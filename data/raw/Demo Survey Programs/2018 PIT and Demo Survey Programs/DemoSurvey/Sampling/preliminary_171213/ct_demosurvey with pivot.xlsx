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3820"/>
  <bookViews>
    <workbookView xWindow="120" yWindow="15" windowWidth="15120" windowHeight="7695" activeTab="2"/>
  </bookViews>
  <sheets>
    <sheet name="Sheet1" sheetId="2" r:id="rId1"/>
    <sheet name="Sheet2" sheetId="3" r:id="rId2"/>
    <sheet name="Data" sheetId="1" r:id="rId3"/>
  </sheets>
  <externalReferences>
    <externalReference r:id="rId4"/>
  </externalReferences>
  <definedNames>
    <definedName name="_xlnm._FilterDatabase" localSheetId="2" hidden="1">Data!$A$1:$U$2161</definedName>
  </definedNames>
  <calcPr calcId="162913"/>
  <pivotCaches>
    <pivotCache cacheId="19" r:id="rId5"/>
  </pivotCaches>
  <webPublishing codePage="1252"/>
</workbook>
</file>

<file path=xl/calcChain.xml><?xml version="1.0" encoding="utf-8"?>
<calcChain xmlns="http://schemas.openxmlformats.org/spreadsheetml/2006/main">
  <c r="R2164" i="1" l="1"/>
  <c r="N2163" i="1"/>
  <c r="R2163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2161" i="1"/>
  <c r="V2161" i="1"/>
  <c r="W2160" i="1"/>
  <c r="V2160" i="1"/>
  <c r="W2159" i="1"/>
  <c r="V2159" i="1"/>
  <c r="W2158" i="1"/>
  <c r="V2158" i="1"/>
  <c r="W2157" i="1"/>
  <c r="V2157" i="1"/>
  <c r="W2156" i="1"/>
  <c r="V2156" i="1"/>
  <c r="W2155" i="1"/>
  <c r="V2155" i="1"/>
  <c r="W2154" i="1"/>
  <c r="V2154" i="1"/>
  <c r="W2153" i="1"/>
  <c r="V2153" i="1"/>
  <c r="W2152" i="1"/>
  <c r="V2152" i="1"/>
  <c r="W2151" i="1"/>
  <c r="V2151" i="1"/>
  <c r="W2150" i="1"/>
  <c r="V2150" i="1"/>
  <c r="W2149" i="1"/>
  <c r="V2149" i="1"/>
  <c r="W2148" i="1"/>
  <c r="V2148" i="1"/>
  <c r="W2147" i="1"/>
  <c r="V2147" i="1"/>
  <c r="W2146" i="1"/>
  <c r="V2146" i="1"/>
  <c r="W2145" i="1"/>
  <c r="V2145" i="1"/>
  <c r="W2144" i="1"/>
  <c r="V2144" i="1"/>
  <c r="W2143" i="1"/>
  <c r="V2143" i="1"/>
  <c r="W2142" i="1"/>
  <c r="V2142" i="1"/>
  <c r="W2141" i="1"/>
  <c r="V2141" i="1"/>
  <c r="W2140" i="1"/>
  <c r="V2140" i="1"/>
  <c r="W2139" i="1"/>
  <c r="V2139" i="1"/>
  <c r="W2138" i="1"/>
  <c r="V2138" i="1"/>
  <c r="W2137" i="1"/>
  <c r="V2137" i="1"/>
  <c r="W2136" i="1"/>
  <c r="V2136" i="1"/>
  <c r="W2135" i="1"/>
  <c r="V2135" i="1"/>
  <c r="W2134" i="1"/>
  <c r="V2134" i="1"/>
  <c r="W2133" i="1"/>
  <c r="V2133" i="1"/>
  <c r="W2132" i="1"/>
  <c r="V2132" i="1"/>
  <c r="W2131" i="1"/>
  <c r="V2131" i="1"/>
  <c r="W2130" i="1"/>
  <c r="V2130" i="1"/>
  <c r="W2129" i="1"/>
  <c r="V2129" i="1"/>
  <c r="W2128" i="1"/>
  <c r="V2128" i="1"/>
  <c r="W2127" i="1"/>
  <c r="V2127" i="1"/>
  <c r="W2126" i="1"/>
  <c r="V2126" i="1"/>
  <c r="W2125" i="1"/>
  <c r="V2125" i="1"/>
  <c r="W2124" i="1"/>
  <c r="V2124" i="1"/>
  <c r="W2123" i="1"/>
  <c r="V2123" i="1"/>
  <c r="W2122" i="1"/>
  <c r="V2122" i="1"/>
  <c r="W2121" i="1"/>
  <c r="V2121" i="1"/>
  <c r="W2120" i="1"/>
  <c r="V2120" i="1"/>
  <c r="W2119" i="1"/>
  <c r="V2119" i="1"/>
  <c r="W2118" i="1"/>
  <c r="V2118" i="1"/>
  <c r="W2117" i="1"/>
  <c r="V2117" i="1"/>
  <c r="W2116" i="1"/>
  <c r="V2116" i="1"/>
  <c r="W2115" i="1"/>
  <c r="V2115" i="1"/>
  <c r="W2114" i="1"/>
  <c r="V2114" i="1"/>
  <c r="W2113" i="1"/>
  <c r="V2113" i="1"/>
  <c r="W2112" i="1"/>
  <c r="V2112" i="1"/>
  <c r="W2111" i="1"/>
  <c r="V2111" i="1"/>
  <c r="W2110" i="1"/>
  <c r="V2110" i="1"/>
  <c r="W2109" i="1"/>
  <c r="V2109" i="1"/>
  <c r="W2108" i="1"/>
  <c r="V2108" i="1"/>
  <c r="W2107" i="1"/>
  <c r="V2107" i="1"/>
  <c r="W2106" i="1"/>
  <c r="V2106" i="1"/>
  <c r="W2105" i="1"/>
  <c r="V2105" i="1"/>
  <c r="W2104" i="1"/>
  <c r="V2104" i="1"/>
  <c r="W2103" i="1"/>
  <c r="V2103" i="1"/>
  <c r="W2102" i="1"/>
  <c r="V2102" i="1"/>
  <c r="W2101" i="1"/>
  <c r="V2101" i="1"/>
  <c r="W2100" i="1"/>
  <c r="V2100" i="1"/>
  <c r="W2099" i="1"/>
  <c r="V2099" i="1"/>
  <c r="W2098" i="1"/>
  <c r="V2098" i="1"/>
  <c r="W2097" i="1"/>
  <c r="V2097" i="1"/>
  <c r="W2096" i="1"/>
  <c r="V2096" i="1"/>
  <c r="W2095" i="1"/>
  <c r="V2095" i="1"/>
  <c r="W2094" i="1"/>
  <c r="V2094" i="1"/>
  <c r="W2093" i="1"/>
  <c r="V2093" i="1"/>
  <c r="W2092" i="1"/>
  <c r="V2092" i="1"/>
  <c r="W2091" i="1"/>
  <c r="V2091" i="1"/>
  <c r="W2090" i="1"/>
  <c r="V2090" i="1"/>
  <c r="W2089" i="1"/>
  <c r="V2089" i="1"/>
  <c r="W2088" i="1"/>
  <c r="V2088" i="1"/>
  <c r="W2087" i="1"/>
  <c r="V2087" i="1"/>
  <c r="W2086" i="1"/>
  <c r="V2086" i="1"/>
  <c r="W2085" i="1"/>
  <c r="V2085" i="1"/>
  <c r="W2084" i="1"/>
  <c r="V2084" i="1"/>
  <c r="W2083" i="1"/>
  <c r="V2083" i="1"/>
  <c r="W2082" i="1"/>
  <c r="V2082" i="1"/>
  <c r="W2081" i="1"/>
  <c r="V2081" i="1"/>
  <c r="W2080" i="1"/>
  <c r="V2080" i="1"/>
  <c r="W2079" i="1"/>
  <c r="V2079" i="1"/>
  <c r="W2078" i="1"/>
  <c r="V2078" i="1"/>
  <c r="W2077" i="1"/>
  <c r="V2077" i="1"/>
  <c r="W2076" i="1"/>
  <c r="V2076" i="1"/>
  <c r="W2075" i="1"/>
  <c r="V2075" i="1"/>
  <c r="W2074" i="1"/>
  <c r="V2074" i="1"/>
  <c r="W2073" i="1"/>
  <c r="V2073" i="1"/>
  <c r="W2072" i="1"/>
  <c r="V2072" i="1"/>
  <c r="W2071" i="1"/>
  <c r="V2071" i="1"/>
  <c r="W2070" i="1"/>
  <c r="V2070" i="1"/>
  <c r="W2069" i="1"/>
  <c r="V2069" i="1"/>
  <c r="W2068" i="1"/>
  <c r="V2068" i="1"/>
  <c r="W2067" i="1"/>
  <c r="V2067" i="1"/>
  <c r="W2066" i="1"/>
  <c r="V2066" i="1"/>
  <c r="W2065" i="1"/>
  <c r="V2065" i="1"/>
  <c r="W2064" i="1"/>
  <c r="V2064" i="1"/>
  <c r="W2063" i="1"/>
  <c r="V2063" i="1"/>
  <c r="W2062" i="1"/>
  <c r="V2062" i="1"/>
  <c r="W2061" i="1"/>
  <c r="V2061" i="1"/>
  <c r="W2060" i="1"/>
  <c r="V2060" i="1"/>
  <c r="W2059" i="1"/>
  <c r="V2059" i="1"/>
  <c r="W2058" i="1"/>
  <c r="V2058" i="1"/>
  <c r="W2057" i="1"/>
  <c r="V2057" i="1"/>
  <c r="W2056" i="1"/>
  <c r="V2056" i="1"/>
  <c r="W2055" i="1"/>
  <c r="V2055" i="1"/>
  <c r="W2054" i="1"/>
  <c r="V2054" i="1"/>
  <c r="W2053" i="1"/>
  <c r="V2053" i="1"/>
  <c r="W2052" i="1"/>
  <c r="V2052" i="1"/>
  <c r="W2051" i="1"/>
  <c r="V2051" i="1"/>
  <c r="W2050" i="1"/>
  <c r="V2050" i="1"/>
  <c r="W2049" i="1"/>
  <c r="V2049" i="1"/>
  <c r="W2048" i="1"/>
  <c r="V2048" i="1"/>
  <c r="W2047" i="1"/>
  <c r="V2047" i="1"/>
  <c r="W2046" i="1"/>
  <c r="V2046" i="1"/>
  <c r="W2045" i="1"/>
  <c r="V2045" i="1"/>
  <c r="W2044" i="1"/>
  <c r="V2044" i="1"/>
  <c r="W2043" i="1"/>
  <c r="V2043" i="1"/>
  <c r="W2042" i="1"/>
  <c r="V2042" i="1"/>
  <c r="W2041" i="1"/>
  <c r="V2041" i="1"/>
  <c r="W2040" i="1"/>
  <c r="V2040" i="1"/>
  <c r="W2039" i="1"/>
  <c r="V2039" i="1"/>
  <c r="W2038" i="1"/>
  <c r="V2038" i="1"/>
  <c r="W2037" i="1"/>
  <c r="V2037" i="1"/>
  <c r="W2036" i="1"/>
  <c r="V2036" i="1"/>
  <c r="W2035" i="1"/>
  <c r="V2035" i="1"/>
  <c r="W2034" i="1"/>
  <c r="V2034" i="1"/>
  <c r="W2033" i="1"/>
  <c r="V2033" i="1"/>
  <c r="W2032" i="1"/>
  <c r="V2032" i="1"/>
  <c r="W2031" i="1"/>
  <c r="V2031" i="1"/>
  <c r="W2030" i="1"/>
  <c r="V2030" i="1"/>
  <c r="W2029" i="1"/>
  <c r="V2029" i="1"/>
  <c r="W2028" i="1"/>
  <c r="V2028" i="1"/>
  <c r="W2027" i="1"/>
  <c r="V2027" i="1"/>
  <c r="W2026" i="1"/>
  <c r="V2026" i="1"/>
  <c r="W2025" i="1"/>
  <c r="V2025" i="1"/>
  <c r="W2024" i="1"/>
  <c r="V2024" i="1"/>
  <c r="W2023" i="1"/>
  <c r="V2023" i="1"/>
  <c r="W2022" i="1"/>
  <c r="V2022" i="1"/>
  <c r="W2021" i="1"/>
  <c r="V2021" i="1"/>
  <c r="W2020" i="1"/>
  <c r="V2020" i="1"/>
  <c r="W2019" i="1"/>
  <c r="V2019" i="1"/>
  <c r="W2018" i="1"/>
  <c r="V2018" i="1"/>
  <c r="W2017" i="1"/>
  <c r="V2017" i="1"/>
  <c r="W2016" i="1"/>
  <c r="V2016" i="1"/>
  <c r="W2015" i="1"/>
  <c r="V2015" i="1"/>
  <c r="W2014" i="1"/>
  <c r="V2014" i="1"/>
  <c r="W2013" i="1"/>
  <c r="V2013" i="1"/>
  <c r="W2012" i="1"/>
  <c r="V2012" i="1"/>
  <c r="W2011" i="1"/>
  <c r="V2011" i="1"/>
  <c r="W2010" i="1"/>
  <c r="V2010" i="1"/>
  <c r="W2009" i="1"/>
  <c r="V2009" i="1"/>
  <c r="W2008" i="1"/>
  <c r="V2008" i="1"/>
  <c r="W2007" i="1"/>
  <c r="V2007" i="1"/>
  <c r="W2006" i="1"/>
  <c r="V2006" i="1"/>
  <c r="W2005" i="1"/>
  <c r="V2005" i="1"/>
  <c r="W2004" i="1"/>
  <c r="V2004" i="1"/>
  <c r="W2003" i="1"/>
  <c r="V2003" i="1"/>
  <c r="W2002" i="1"/>
  <c r="V2002" i="1"/>
  <c r="W2001" i="1"/>
  <c r="V2001" i="1"/>
  <c r="W2000" i="1"/>
  <c r="V2000" i="1"/>
  <c r="W1999" i="1"/>
  <c r="V1999" i="1"/>
  <c r="W1998" i="1"/>
  <c r="V1998" i="1"/>
  <c r="W1997" i="1"/>
  <c r="V1997" i="1"/>
  <c r="W1996" i="1"/>
  <c r="V1996" i="1"/>
  <c r="W1995" i="1"/>
  <c r="V1995" i="1"/>
  <c r="W1994" i="1"/>
  <c r="V1994" i="1"/>
  <c r="W1993" i="1"/>
  <c r="V1993" i="1"/>
  <c r="W1992" i="1"/>
  <c r="V1992" i="1"/>
  <c r="W1991" i="1"/>
  <c r="V1991" i="1"/>
  <c r="W1990" i="1"/>
  <c r="V1990" i="1"/>
  <c r="W1989" i="1"/>
  <c r="V1989" i="1"/>
  <c r="W1988" i="1"/>
  <c r="V1988" i="1"/>
  <c r="W1987" i="1"/>
  <c r="V1987" i="1"/>
  <c r="W1986" i="1"/>
  <c r="V1986" i="1"/>
  <c r="W1985" i="1"/>
  <c r="V1985" i="1"/>
  <c r="W1984" i="1"/>
  <c r="V1984" i="1"/>
  <c r="W1983" i="1"/>
  <c r="V1983" i="1"/>
  <c r="W1982" i="1"/>
  <c r="V1982" i="1"/>
  <c r="W1981" i="1"/>
  <c r="V1981" i="1"/>
  <c r="W1980" i="1"/>
  <c r="V1980" i="1"/>
  <c r="W1979" i="1"/>
  <c r="V1979" i="1"/>
  <c r="W1978" i="1"/>
  <c r="V1978" i="1"/>
  <c r="W1977" i="1"/>
  <c r="V1977" i="1"/>
  <c r="W1976" i="1"/>
  <c r="V1976" i="1"/>
  <c r="W1975" i="1"/>
  <c r="V1975" i="1"/>
  <c r="W1974" i="1"/>
  <c r="V1974" i="1"/>
  <c r="W1973" i="1"/>
  <c r="V1973" i="1"/>
  <c r="W1972" i="1"/>
  <c r="V1972" i="1"/>
  <c r="W1971" i="1"/>
  <c r="V1971" i="1"/>
  <c r="W1970" i="1"/>
  <c r="V1970" i="1"/>
  <c r="W1969" i="1"/>
  <c r="V1969" i="1"/>
  <c r="W1968" i="1"/>
  <c r="V1968" i="1"/>
  <c r="W1967" i="1"/>
  <c r="V1967" i="1"/>
  <c r="W1966" i="1"/>
  <c r="V1966" i="1"/>
  <c r="W1965" i="1"/>
  <c r="V1965" i="1"/>
  <c r="W1964" i="1"/>
  <c r="V1964" i="1"/>
  <c r="W1963" i="1"/>
  <c r="V1963" i="1"/>
  <c r="W1962" i="1"/>
  <c r="V1962" i="1"/>
  <c r="W1961" i="1"/>
  <c r="V1961" i="1"/>
  <c r="W1960" i="1"/>
  <c r="V1960" i="1"/>
  <c r="W1959" i="1"/>
  <c r="V1959" i="1"/>
  <c r="W1958" i="1"/>
  <c r="V1958" i="1"/>
  <c r="W1957" i="1"/>
  <c r="V1957" i="1"/>
  <c r="W1956" i="1"/>
  <c r="V1956" i="1"/>
  <c r="W1955" i="1"/>
  <c r="V1955" i="1"/>
  <c r="W1954" i="1"/>
  <c r="V1954" i="1"/>
  <c r="W1953" i="1"/>
  <c r="V1953" i="1"/>
  <c r="W1952" i="1"/>
  <c r="V1952" i="1"/>
  <c r="W1951" i="1"/>
  <c r="V1951" i="1"/>
  <c r="W1950" i="1"/>
  <c r="V1950" i="1"/>
  <c r="W1949" i="1"/>
  <c r="V1949" i="1"/>
  <c r="W1948" i="1"/>
  <c r="V1948" i="1"/>
  <c r="W1947" i="1"/>
  <c r="V1947" i="1"/>
  <c r="W1946" i="1"/>
  <c r="V1946" i="1"/>
  <c r="W1945" i="1"/>
  <c r="V1945" i="1"/>
  <c r="W1944" i="1"/>
  <c r="V1944" i="1"/>
  <c r="W1943" i="1"/>
  <c r="V1943" i="1"/>
  <c r="W1942" i="1"/>
  <c r="V1942" i="1"/>
  <c r="W1941" i="1"/>
  <c r="V1941" i="1"/>
  <c r="W1940" i="1"/>
  <c r="V1940" i="1"/>
  <c r="W1939" i="1"/>
  <c r="V1939" i="1"/>
  <c r="W1938" i="1"/>
  <c r="V1938" i="1"/>
  <c r="W1937" i="1"/>
  <c r="V1937" i="1"/>
  <c r="W1936" i="1"/>
  <c r="V1936" i="1"/>
  <c r="W1935" i="1"/>
  <c r="V1935" i="1"/>
  <c r="W1934" i="1"/>
  <c r="V1934" i="1"/>
  <c r="W1933" i="1"/>
  <c r="V1933" i="1"/>
  <c r="W1932" i="1"/>
  <c r="V1932" i="1"/>
  <c r="W1931" i="1"/>
  <c r="V1931" i="1"/>
  <c r="W1930" i="1"/>
  <c r="V1930" i="1"/>
  <c r="W1929" i="1"/>
  <c r="V1929" i="1"/>
  <c r="W1928" i="1"/>
  <c r="V1928" i="1"/>
  <c r="W1927" i="1"/>
  <c r="V1927" i="1"/>
  <c r="W1926" i="1"/>
  <c r="V1926" i="1"/>
  <c r="W1925" i="1"/>
  <c r="V1925" i="1"/>
  <c r="W1924" i="1"/>
  <c r="V1924" i="1"/>
  <c r="W1923" i="1"/>
  <c r="V1923" i="1"/>
  <c r="W1922" i="1"/>
  <c r="V1922" i="1"/>
  <c r="W1921" i="1"/>
  <c r="V1921" i="1"/>
  <c r="W1920" i="1"/>
  <c r="V1920" i="1"/>
  <c r="W1919" i="1"/>
  <c r="V1919" i="1"/>
  <c r="W1918" i="1"/>
  <c r="V1918" i="1"/>
  <c r="W1917" i="1"/>
  <c r="V1917" i="1"/>
  <c r="W1916" i="1"/>
  <c r="V1916" i="1"/>
  <c r="W1915" i="1"/>
  <c r="V1915" i="1"/>
  <c r="W1914" i="1"/>
  <c r="V1914" i="1"/>
  <c r="W1913" i="1"/>
  <c r="V1913" i="1"/>
  <c r="W1912" i="1"/>
  <c r="V1912" i="1"/>
  <c r="W1911" i="1"/>
  <c r="V1911" i="1"/>
  <c r="W1910" i="1"/>
  <c r="V1910" i="1"/>
  <c r="W1909" i="1"/>
  <c r="V1909" i="1"/>
  <c r="W1908" i="1"/>
  <c r="V1908" i="1"/>
  <c r="W1907" i="1"/>
  <c r="V1907" i="1"/>
  <c r="W1906" i="1"/>
  <c r="V1906" i="1"/>
  <c r="W1905" i="1"/>
  <c r="V1905" i="1"/>
  <c r="W1904" i="1"/>
  <c r="V1904" i="1"/>
  <c r="W1903" i="1"/>
  <c r="V1903" i="1"/>
  <c r="W1902" i="1"/>
  <c r="V1902" i="1"/>
  <c r="W1901" i="1"/>
  <c r="V1901" i="1"/>
  <c r="W1900" i="1"/>
  <c r="V1900" i="1"/>
  <c r="W1899" i="1"/>
  <c r="V1899" i="1"/>
  <c r="W1898" i="1"/>
  <c r="V1898" i="1"/>
  <c r="W1897" i="1"/>
  <c r="V1897" i="1"/>
  <c r="W1896" i="1"/>
  <c r="V1896" i="1"/>
  <c r="W1895" i="1"/>
  <c r="V1895" i="1"/>
  <c r="W1894" i="1"/>
  <c r="V1894" i="1"/>
  <c r="W1893" i="1"/>
  <c r="V1893" i="1"/>
  <c r="W1892" i="1"/>
  <c r="V1892" i="1"/>
  <c r="W1891" i="1"/>
  <c r="V1891" i="1"/>
  <c r="W1890" i="1"/>
  <c r="V1890" i="1"/>
  <c r="W1889" i="1"/>
  <c r="V1889" i="1"/>
  <c r="W1888" i="1"/>
  <c r="V1888" i="1"/>
  <c r="W1887" i="1"/>
  <c r="V1887" i="1"/>
  <c r="W1886" i="1"/>
  <c r="V1886" i="1"/>
  <c r="W1885" i="1"/>
  <c r="V1885" i="1"/>
  <c r="W1884" i="1"/>
  <c r="V1884" i="1"/>
  <c r="W1883" i="1"/>
  <c r="V1883" i="1"/>
  <c r="W1882" i="1"/>
  <c r="V1882" i="1"/>
  <c r="W1881" i="1"/>
  <c r="V1881" i="1"/>
  <c r="W1880" i="1"/>
  <c r="V1880" i="1"/>
  <c r="W1879" i="1"/>
  <c r="V1879" i="1"/>
  <c r="W1878" i="1"/>
  <c r="V1878" i="1"/>
  <c r="W1877" i="1"/>
  <c r="V1877" i="1"/>
  <c r="W1876" i="1"/>
  <c r="V1876" i="1"/>
  <c r="W1875" i="1"/>
  <c r="V1875" i="1"/>
  <c r="W1874" i="1"/>
  <c r="V1874" i="1"/>
  <c r="W1873" i="1"/>
  <c r="V1873" i="1"/>
  <c r="W1872" i="1"/>
  <c r="V1872" i="1"/>
  <c r="W1871" i="1"/>
  <c r="V1871" i="1"/>
  <c r="W1870" i="1"/>
  <c r="V1870" i="1"/>
  <c r="W1869" i="1"/>
  <c r="V1869" i="1"/>
  <c r="W1868" i="1"/>
  <c r="V1868" i="1"/>
  <c r="W1867" i="1"/>
  <c r="V1867" i="1"/>
  <c r="W1866" i="1"/>
  <c r="V1866" i="1"/>
  <c r="W1865" i="1"/>
  <c r="V1865" i="1"/>
  <c r="W1864" i="1"/>
  <c r="V1864" i="1"/>
  <c r="W1863" i="1"/>
  <c r="V1863" i="1"/>
  <c r="W1862" i="1"/>
  <c r="V1862" i="1"/>
  <c r="W1861" i="1"/>
  <c r="V1861" i="1"/>
  <c r="W1860" i="1"/>
  <c r="V1860" i="1"/>
  <c r="W1859" i="1"/>
  <c r="V1859" i="1"/>
  <c r="W1858" i="1"/>
  <c r="V1858" i="1"/>
  <c r="W1857" i="1"/>
  <c r="V1857" i="1"/>
  <c r="W1856" i="1"/>
  <c r="V1856" i="1"/>
  <c r="W1855" i="1"/>
  <c r="V1855" i="1"/>
  <c r="W1854" i="1"/>
  <c r="V1854" i="1"/>
  <c r="W1853" i="1"/>
  <c r="V1853" i="1"/>
  <c r="W1852" i="1"/>
  <c r="V1852" i="1"/>
  <c r="W1851" i="1"/>
  <c r="V1851" i="1"/>
  <c r="W1850" i="1"/>
  <c r="V1850" i="1"/>
  <c r="W1849" i="1"/>
  <c r="V1849" i="1"/>
  <c r="W1848" i="1"/>
  <c r="V1848" i="1"/>
  <c r="W1847" i="1"/>
  <c r="V1847" i="1"/>
  <c r="W1846" i="1"/>
  <c r="V1846" i="1"/>
  <c r="W1845" i="1"/>
  <c r="V1845" i="1"/>
  <c r="W1844" i="1"/>
  <c r="V1844" i="1"/>
  <c r="W1843" i="1"/>
  <c r="V1843" i="1"/>
  <c r="W1842" i="1"/>
  <c r="V1842" i="1"/>
  <c r="W1841" i="1"/>
  <c r="V1841" i="1"/>
  <c r="W1840" i="1"/>
  <c r="V1840" i="1"/>
  <c r="W1839" i="1"/>
  <c r="V1839" i="1"/>
  <c r="W1838" i="1"/>
  <c r="V1838" i="1"/>
  <c r="W1837" i="1"/>
  <c r="V1837" i="1"/>
  <c r="W1836" i="1"/>
  <c r="V1836" i="1"/>
  <c r="W1835" i="1"/>
  <c r="V1835" i="1"/>
  <c r="W1834" i="1"/>
  <c r="V1834" i="1"/>
  <c r="W1833" i="1"/>
  <c r="V1833" i="1"/>
  <c r="W1832" i="1"/>
  <c r="V1832" i="1"/>
  <c r="W1831" i="1"/>
  <c r="V1831" i="1"/>
  <c r="W1830" i="1"/>
  <c r="V1830" i="1"/>
  <c r="W1829" i="1"/>
  <c r="V1829" i="1"/>
  <c r="W1828" i="1"/>
  <c r="V1828" i="1"/>
  <c r="W1827" i="1"/>
  <c r="V1827" i="1"/>
  <c r="W1826" i="1"/>
  <c r="V1826" i="1"/>
  <c r="W1825" i="1"/>
  <c r="V1825" i="1"/>
  <c r="W1824" i="1"/>
  <c r="V1824" i="1"/>
  <c r="W1823" i="1"/>
  <c r="V1823" i="1"/>
  <c r="W1822" i="1"/>
  <c r="V1822" i="1"/>
  <c r="W1821" i="1"/>
  <c r="V1821" i="1"/>
  <c r="W1820" i="1"/>
  <c r="V1820" i="1"/>
  <c r="W1819" i="1"/>
  <c r="V1819" i="1"/>
  <c r="W1818" i="1"/>
  <c r="V1818" i="1"/>
  <c r="W1817" i="1"/>
  <c r="V1817" i="1"/>
  <c r="W1816" i="1"/>
  <c r="V1816" i="1"/>
  <c r="W1815" i="1"/>
  <c r="V1815" i="1"/>
  <c r="W1814" i="1"/>
  <c r="V1814" i="1"/>
  <c r="W1813" i="1"/>
  <c r="V1813" i="1"/>
  <c r="W1812" i="1"/>
  <c r="V1812" i="1"/>
  <c r="W1811" i="1"/>
  <c r="V1811" i="1"/>
  <c r="W1810" i="1"/>
  <c r="V1810" i="1"/>
  <c r="W1809" i="1"/>
  <c r="V1809" i="1"/>
  <c r="W1808" i="1"/>
  <c r="V1808" i="1"/>
  <c r="W1807" i="1"/>
  <c r="V1807" i="1"/>
  <c r="W1806" i="1"/>
  <c r="V1806" i="1"/>
  <c r="W1805" i="1"/>
  <c r="V1805" i="1"/>
  <c r="W1804" i="1"/>
  <c r="V1804" i="1"/>
  <c r="W1803" i="1"/>
  <c r="V1803" i="1"/>
  <c r="W1802" i="1"/>
  <c r="V1802" i="1"/>
  <c r="W1801" i="1"/>
  <c r="V1801" i="1"/>
  <c r="W1800" i="1"/>
  <c r="V1800" i="1"/>
  <c r="W1799" i="1"/>
  <c r="V1799" i="1"/>
  <c r="W1798" i="1"/>
  <c r="V1798" i="1"/>
  <c r="W1797" i="1"/>
  <c r="V1797" i="1"/>
  <c r="W1796" i="1"/>
  <c r="V1796" i="1"/>
  <c r="W1795" i="1"/>
  <c r="V1795" i="1"/>
  <c r="W1794" i="1"/>
  <c r="V1794" i="1"/>
  <c r="W1793" i="1"/>
  <c r="V1793" i="1"/>
  <c r="W1792" i="1"/>
  <c r="V1792" i="1"/>
  <c r="W1791" i="1"/>
  <c r="V1791" i="1"/>
  <c r="W1790" i="1"/>
  <c r="V1790" i="1"/>
  <c r="W1789" i="1"/>
  <c r="V1789" i="1"/>
  <c r="W1788" i="1"/>
  <c r="V1788" i="1"/>
  <c r="W1787" i="1"/>
  <c r="V1787" i="1"/>
  <c r="W1786" i="1"/>
  <c r="V1786" i="1"/>
  <c r="W1785" i="1"/>
  <c r="V1785" i="1"/>
  <c r="W1784" i="1"/>
  <c r="V1784" i="1"/>
  <c r="W1783" i="1"/>
  <c r="V1783" i="1"/>
  <c r="W1782" i="1"/>
  <c r="V1782" i="1"/>
  <c r="W1781" i="1"/>
  <c r="V1781" i="1"/>
  <c r="W1780" i="1"/>
  <c r="V1780" i="1"/>
  <c r="W1779" i="1"/>
  <c r="V1779" i="1"/>
  <c r="W1778" i="1"/>
  <c r="V1778" i="1"/>
  <c r="W1777" i="1"/>
  <c r="V1777" i="1"/>
  <c r="W1776" i="1"/>
  <c r="V1776" i="1"/>
  <c r="W1775" i="1"/>
  <c r="V1775" i="1"/>
  <c r="W1774" i="1"/>
  <c r="V1774" i="1"/>
  <c r="W1773" i="1"/>
  <c r="V1773" i="1"/>
  <c r="W1772" i="1"/>
  <c r="V1772" i="1"/>
  <c r="W1771" i="1"/>
  <c r="V1771" i="1"/>
  <c r="W1770" i="1"/>
  <c r="V1770" i="1"/>
  <c r="W1769" i="1"/>
  <c r="V1769" i="1"/>
  <c r="W1768" i="1"/>
  <c r="V1768" i="1"/>
  <c r="W1767" i="1"/>
  <c r="V1767" i="1"/>
  <c r="W1766" i="1"/>
  <c r="V1766" i="1"/>
  <c r="W1765" i="1"/>
  <c r="V1765" i="1"/>
  <c r="W1764" i="1"/>
  <c r="V1764" i="1"/>
  <c r="W1763" i="1"/>
  <c r="V1763" i="1"/>
  <c r="W1762" i="1"/>
  <c r="V1762" i="1"/>
  <c r="W1761" i="1"/>
  <c r="V1761" i="1"/>
  <c r="W1760" i="1"/>
  <c r="V1760" i="1"/>
  <c r="W1759" i="1"/>
  <c r="V1759" i="1"/>
  <c r="W1758" i="1"/>
  <c r="V1758" i="1"/>
  <c r="W1757" i="1"/>
  <c r="V1757" i="1"/>
  <c r="W1756" i="1"/>
  <c r="V1756" i="1"/>
  <c r="W1755" i="1"/>
  <c r="V1755" i="1"/>
  <c r="W1754" i="1"/>
  <c r="V1754" i="1"/>
  <c r="W1753" i="1"/>
  <c r="V1753" i="1"/>
  <c r="W1752" i="1"/>
  <c r="V1752" i="1"/>
  <c r="W1751" i="1"/>
  <c r="V1751" i="1"/>
  <c r="W1750" i="1"/>
  <c r="V1750" i="1"/>
  <c r="W1749" i="1"/>
  <c r="V1749" i="1"/>
  <c r="W1748" i="1"/>
  <c r="V1748" i="1"/>
  <c r="W1747" i="1"/>
  <c r="V1747" i="1"/>
  <c r="W1746" i="1"/>
  <c r="V1746" i="1"/>
  <c r="W1745" i="1"/>
  <c r="V1745" i="1"/>
  <c r="W1744" i="1"/>
  <c r="V1744" i="1"/>
  <c r="W1743" i="1"/>
  <c r="V1743" i="1"/>
  <c r="W1742" i="1"/>
  <c r="V1742" i="1"/>
  <c r="W1741" i="1"/>
  <c r="V1741" i="1"/>
  <c r="W1740" i="1"/>
  <c r="V1740" i="1"/>
  <c r="W1739" i="1"/>
  <c r="V1739" i="1"/>
  <c r="W1738" i="1"/>
  <c r="V1738" i="1"/>
  <c r="W1737" i="1"/>
  <c r="V1737" i="1"/>
  <c r="W1736" i="1"/>
  <c r="V1736" i="1"/>
  <c r="W1735" i="1"/>
  <c r="V1735" i="1"/>
  <c r="W1734" i="1"/>
  <c r="V1734" i="1"/>
  <c r="W1733" i="1"/>
  <c r="V1733" i="1"/>
  <c r="W1732" i="1"/>
  <c r="V1732" i="1"/>
  <c r="W1731" i="1"/>
  <c r="V1731" i="1"/>
  <c r="W1730" i="1"/>
  <c r="V1730" i="1"/>
  <c r="W1729" i="1"/>
  <c r="V1729" i="1"/>
  <c r="W1728" i="1"/>
  <c r="V1728" i="1"/>
  <c r="W1727" i="1"/>
  <c r="V1727" i="1"/>
  <c r="W1726" i="1"/>
  <c r="V1726" i="1"/>
  <c r="W1725" i="1"/>
  <c r="V1725" i="1"/>
  <c r="W1724" i="1"/>
  <c r="V1724" i="1"/>
  <c r="W1723" i="1"/>
  <c r="V1723" i="1"/>
  <c r="W1722" i="1"/>
  <c r="V1722" i="1"/>
  <c r="W1721" i="1"/>
  <c r="V1721" i="1"/>
  <c r="W1720" i="1"/>
  <c r="V1720" i="1"/>
  <c r="W1719" i="1"/>
  <c r="V1719" i="1"/>
  <c r="W1718" i="1"/>
  <c r="V1718" i="1"/>
  <c r="W1717" i="1"/>
  <c r="V1717" i="1"/>
  <c r="W1716" i="1"/>
  <c r="V1716" i="1"/>
  <c r="W1715" i="1"/>
  <c r="V1715" i="1"/>
  <c r="W1714" i="1"/>
  <c r="V1714" i="1"/>
  <c r="W1713" i="1"/>
  <c r="V1713" i="1"/>
  <c r="W1712" i="1"/>
  <c r="V1712" i="1"/>
  <c r="W1711" i="1"/>
  <c r="V1711" i="1"/>
  <c r="W1710" i="1"/>
  <c r="V1710" i="1"/>
  <c r="W1709" i="1"/>
  <c r="V1709" i="1"/>
  <c r="W1708" i="1"/>
  <c r="V1708" i="1"/>
  <c r="W1707" i="1"/>
  <c r="V1707" i="1"/>
  <c r="W1706" i="1"/>
  <c r="V1706" i="1"/>
  <c r="W1705" i="1"/>
  <c r="V1705" i="1"/>
  <c r="W1704" i="1"/>
  <c r="V1704" i="1"/>
  <c r="W1703" i="1"/>
  <c r="V1703" i="1"/>
  <c r="W1702" i="1"/>
  <c r="V1702" i="1"/>
  <c r="W1701" i="1"/>
  <c r="V1701" i="1"/>
  <c r="W1700" i="1"/>
  <c r="V1700" i="1"/>
  <c r="W1699" i="1"/>
  <c r="V1699" i="1"/>
  <c r="W1698" i="1"/>
  <c r="V1698" i="1"/>
  <c r="W1697" i="1"/>
  <c r="V1697" i="1"/>
  <c r="W1696" i="1"/>
  <c r="V1696" i="1"/>
  <c r="W1695" i="1"/>
  <c r="V1695" i="1"/>
  <c r="W1694" i="1"/>
  <c r="V1694" i="1"/>
  <c r="W1693" i="1"/>
  <c r="V1693" i="1"/>
  <c r="W1692" i="1"/>
  <c r="V1692" i="1"/>
  <c r="W1691" i="1"/>
  <c r="V1691" i="1"/>
  <c r="W1690" i="1"/>
  <c r="V1690" i="1"/>
  <c r="W1689" i="1"/>
  <c r="V1689" i="1"/>
  <c r="W1688" i="1"/>
  <c r="V1688" i="1"/>
  <c r="W1687" i="1"/>
  <c r="V1687" i="1"/>
  <c r="W1686" i="1"/>
  <c r="V1686" i="1"/>
  <c r="W1685" i="1"/>
  <c r="V1685" i="1"/>
  <c r="W1684" i="1"/>
  <c r="V1684" i="1"/>
  <c r="W1683" i="1"/>
  <c r="V1683" i="1"/>
  <c r="W1682" i="1"/>
  <c r="V1682" i="1"/>
  <c r="W1681" i="1"/>
  <c r="V1681" i="1"/>
  <c r="W1680" i="1"/>
  <c r="V1680" i="1"/>
  <c r="W1679" i="1"/>
  <c r="V1679" i="1"/>
  <c r="W1678" i="1"/>
  <c r="V1678" i="1"/>
  <c r="W1677" i="1"/>
  <c r="V1677" i="1"/>
  <c r="W1676" i="1"/>
  <c r="V1676" i="1"/>
  <c r="W1675" i="1"/>
  <c r="V1675" i="1"/>
  <c r="W1674" i="1"/>
  <c r="V1674" i="1"/>
  <c r="W1673" i="1"/>
  <c r="V1673" i="1"/>
  <c r="W1672" i="1"/>
  <c r="V1672" i="1"/>
  <c r="W1671" i="1"/>
  <c r="V1671" i="1"/>
  <c r="W1670" i="1"/>
  <c r="V1670" i="1"/>
  <c r="W1669" i="1"/>
  <c r="V1669" i="1"/>
  <c r="W1668" i="1"/>
  <c r="V1668" i="1"/>
  <c r="W1667" i="1"/>
  <c r="V1667" i="1"/>
  <c r="W1666" i="1"/>
  <c r="V1666" i="1"/>
  <c r="W1665" i="1"/>
  <c r="V1665" i="1"/>
  <c r="W1664" i="1"/>
  <c r="V1664" i="1"/>
  <c r="W1663" i="1"/>
  <c r="V1663" i="1"/>
  <c r="W1662" i="1"/>
  <c r="V1662" i="1"/>
  <c r="W1661" i="1"/>
  <c r="V1661" i="1"/>
  <c r="W1660" i="1"/>
  <c r="V1660" i="1"/>
  <c r="W1659" i="1"/>
  <c r="V1659" i="1"/>
  <c r="W1658" i="1"/>
  <c r="V1658" i="1"/>
  <c r="W1657" i="1"/>
  <c r="V1657" i="1"/>
  <c r="W1656" i="1"/>
  <c r="V1656" i="1"/>
  <c r="W1655" i="1"/>
  <c r="V1655" i="1"/>
  <c r="W1654" i="1"/>
  <c r="V1654" i="1"/>
  <c r="W1653" i="1"/>
  <c r="V1653" i="1"/>
  <c r="W1652" i="1"/>
  <c r="V1652" i="1"/>
  <c r="W1651" i="1"/>
  <c r="V1651" i="1"/>
  <c r="W1650" i="1"/>
  <c r="V1650" i="1"/>
  <c r="W1649" i="1"/>
  <c r="V1649" i="1"/>
  <c r="W1648" i="1"/>
  <c r="V1648" i="1"/>
  <c r="W1647" i="1"/>
  <c r="V1647" i="1"/>
  <c r="W1646" i="1"/>
  <c r="V1646" i="1"/>
  <c r="W1645" i="1"/>
  <c r="V1645" i="1"/>
  <c r="W1644" i="1"/>
  <c r="V1644" i="1"/>
  <c r="W1643" i="1"/>
  <c r="V1643" i="1"/>
  <c r="W1642" i="1"/>
  <c r="V1642" i="1"/>
  <c r="W1641" i="1"/>
  <c r="V1641" i="1"/>
  <c r="W1640" i="1"/>
  <c r="V1640" i="1"/>
  <c r="W1639" i="1"/>
  <c r="V1639" i="1"/>
  <c r="W1638" i="1"/>
  <c r="V1638" i="1"/>
  <c r="W1637" i="1"/>
  <c r="V1637" i="1"/>
  <c r="W1636" i="1"/>
  <c r="V1636" i="1"/>
  <c r="W1635" i="1"/>
  <c r="V1635" i="1"/>
  <c r="W1634" i="1"/>
  <c r="V1634" i="1"/>
  <c r="W1633" i="1"/>
  <c r="V1633" i="1"/>
  <c r="W1632" i="1"/>
  <c r="V1632" i="1"/>
  <c r="W1631" i="1"/>
  <c r="V1631" i="1"/>
  <c r="W1630" i="1"/>
  <c r="V1630" i="1"/>
  <c r="W1629" i="1"/>
  <c r="V1629" i="1"/>
  <c r="W1628" i="1"/>
  <c r="V1628" i="1"/>
  <c r="W1627" i="1"/>
  <c r="V1627" i="1"/>
  <c r="W1626" i="1"/>
  <c r="V1626" i="1"/>
  <c r="W1625" i="1"/>
  <c r="V1625" i="1"/>
  <c r="W1624" i="1"/>
  <c r="V1624" i="1"/>
  <c r="W1623" i="1"/>
  <c r="V1623" i="1"/>
  <c r="W1622" i="1"/>
  <c r="V1622" i="1"/>
  <c r="W1621" i="1"/>
  <c r="V1621" i="1"/>
  <c r="W1620" i="1"/>
  <c r="V1620" i="1"/>
  <c r="W1619" i="1"/>
  <c r="V1619" i="1"/>
  <c r="W1618" i="1"/>
  <c r="V1618" i="1"/>
  <c r="W1617" i="1"/>
  <c r="V1617" i="1"/>
  <c r="W1616" i="1"/>
  <c r="V1616" i="1"/>
  <c r="W1615" i="1"/>
  <c r="V1615" i="1"/>
  <c r="W1614" i="1"/>
  <c r="V1614" i="1"/>
  <c r="W1613" i="1"/>
  <c r="V1613" i="1"/>
  <c r="W1612" i="1"/>
  <c r="V1612" i="1"/>
  <c r="W1611" i="1"/>
  <c r="V1611" i="1"/>
  <c r="W1610" i="1"/>
  <c r="V1610" i="1"/>
  <c r="W1609" i="1"/>
  <c r="V1609" i="1"/>
  <c r="W1608" i="1"/>
  <c r="V1608" i="1"/>
  <c r="W1607" i="1"/>
  <c r="V1607" i="1"/>
  <c r="W1606" i="1"/>
  <c r="V1606" i="1"/>
  <c r="W1605" i="1"/>
  <c r="V1605" i="1"/>
  <c r="W1604" i="1"/>
  <c r="V1604" i="1"/>
  <c r="W1603" i="1"/>
  <c r="V1603" i="1"/>
  <c r="W1602" i="1"/>
  <c r="V1602" i="1"/>
  <c r="W1601" i="1"/>
  <c r="V1601" i="1"/>
  <c r="W1600" i="1"/>
  <c r="V1600" i="1"/>
  <c r="W1599" i="1"/>
  <c r="V1599" i="1"/>
  <c r="W1598" i="1"/>
  <c r="V1598" i="1"/>
  <c r="W1597" i="1"/>
  <c r="V1597" i="1"/>
  <c r="W1596" i="1"/>
  <c r="V1596" i="1"/>
  <c r="W1595" i="1"/>
  <c r="V1595" i="1"/>
  <c r="W1594" i="1"/>
  <c r="V1594" i="1"/>
  <c r="W1593" i="1"/>
  <c r="V1593" i="1"/>
  <c r="W1592" i="1"/>
  <c r="V1592" i="1"/>
  <c r="W1591" i="1"/>
  <c r="V1591" i="1"/>
  <c r="W1590" i="1"/>
  <c r="V1590" i="1"/>
  <c r="W1589" i="1"/>
  <c r="V1589" i="1"/>
  <c r="W1588" i="1"/>
  <c r="V1588" i="1"/>
  <c r="W1587" i="1"/>
  <c r="V1587" i="1"/>
  <c r="W1586" i="1"/>
  <c r="V1586" i="1"/>
  <c r="W1585" i="1"/>
  <c r="V1585" i="1"/>
  <c r="W1584" i="1"/>
  <c r="V1584" i="1"/>
  <c r="W1583" i="1"/>
  <c r="V1583" i="1"/>
  <c r="W1582" i="1"/>
  <c r="V1582" i="1"/>
  <c r="W1581" i="1"/>
  <c r="V1581" i="1"/>
  <c r="W1580" i="1"/>
  <c r="V1580" i="1"/>
  <c r="W1579" i="1"/>
  <c r="V1579" i="1"/>
  <c r="W1578" i="1"/>
  <c r="V1578" i="1"/>
  <c r="W1577" i="1"/>
  <c r="V1577" i="1"/>
  <c r="W1576" i="1"/>
  <c r="V1576" i="1"/>
  <c r="W1575" i="1"/>
  <c r="V1575" i="1"/>
  <c r="W1574" i="1"/>
  <c r="V1574" i="1"/>
  <c r="W1573" i="1"/>
  <c r="V1573" i="1"/>
  <c r="W1572" i="1"/>
  <c r="V1572" i="1"/>
  <c r="W1571" i="1"/>
  <c r="V1571" i="1"/>
  <c r="W1570" i="1"/>
  <c r="V1570" i="1"/>
  <c r="W1569" i="1"/>
  <c r="V1569" i="1"/>
  <c r="W1568" i="1"/>
  <c r="V1568" i="1"/>
  <c r="W1567" i="1"/>
  <c r="V1567" i="1"/>
  <c r="W1566" i="1"/>
  <c r="V1566" i="1"/>
  <c r="W1565" i="1"/>
  <c r="V1565" i="1"/>
  <c r="W1564" i="1"/>
  <c r="V1564" i="1"/>
  <c r="W1563" i="1"/>
  <c r="V1563" i="1"/>
  <c r="W1562" i="1"/>
  <c r="V1562" i="1"/>
  <c r="W1561" i="1"/>
  <c r="V1561" i="1"/>
  <c r="W1560" i="1"/>
  <c r="V1560" i="1"/>
  <c r="W1559" i="1"/>
  <c r="V1559" i="1"/>
  <c r="W1558" i="1"/>
  <c r="V1558" i="1"/>
  <c r="W1557" i="1"/>
  <c r="V1557" i="1"/>
  <c r="W1556" i="1"/>
  <c r="V1556" i="1"/>
  <c r="W1555" i="1"/>
  <c r="V1555" i="1"/>
  <c r="W1554" i="1"/>
  <c r="V1554" i="1"/>
  <c r="W1553" i="1"/>
  <c r="V1553" i="1"/>
  <c r="W1552" i="1"/>
  <c r="V1552" i="1"/>
  <c r="W1551" i="1"/>
  <c r="V1551" i="1"/>
  <c r="W1550" i="1"/>
  <c r="V1550" i="1"/>
  <c r="W1549" i="1"/>
  <c r="V1549" i="1"/>
  <c r="W1548" i="1"/>
  <c r="V1548" i="1"/>
  <c r="W1547" i="1"/>
  <c r="V1547" i="1"/>
  <c r="W1546" i="1"/>
  <c r="V1546" i="1"/>
  <c r="W1545" i="1"/>
  <c r="V1545" i="1"/>
  <c r="W1544" i="1"/>
  <c r="V1544" i="1"/>
  <c r="W1543" i="1"/>
  <c r="V1543" i="1"/>
  <c r="W1542" i="1"/>
  <c r="V1542" i="1"/>
  <c r="W1541" i="1"/>
  <c r="V1541" i="1"/>
  <c r="W1540" i="1"/>
  <c r="V1540" i="1"/>
  <c r="W1539" i="1"/>
  <c r="V1539" i="1"/>
  <c r="W1538" i="1"/>
  <c r="V1538" i="1"/>
  <c r="W1537" i="1"/>
  <c r="V1537" i="1"/>
  <c r="W1536" i="1"/>
  <c r="V1536" i="1"/>
  <c r="W1535" i="1"/>
  <c r="V1535" i="1"/>
  <c r="W1534" i="1"/>
  <c r="V1534" i="1"/>
  <c r="W1533" i="1"/>
  <c r="V1533" i="1"/>
  <c r="W1532" i="1"/>
  <c r="V1532" i="1"/>
  <c r="W1531" i="1"/>
  <c r="V1531" i="1"/>
  <c r="W1530" i="1"/>
  <c r="V1530" i="1"/>
  <c r="W1529" i="1"/>
  <c r="V1529" i="1"/>
  <c r="W1528" i="1"/>
  <c r="V1528" i="1"/>
  <c r="W1527" i="1"/>
  <c r="V1527" i="1"/>
  <c r="W1526" i="1"/>
  <c r="V1526" i="1"/>
  <c r="W1525" i="1"/>
  <c r="V1525" i="1"/>
  <c r="W1524" i="1"/>
  <c r="V1524" i="1"/>
  <c r="W1523" i="1"/>
  <c r="V1523" i="1"/>
  <c r="W1522" i="1"/>
  <c r="V1522" i="1"/>
  <c r="W1521" i="1"/>
  <c r="V1521" i="1"/>
  <c r="W1520" i="1"/>
  <c r="V1520" i="1"/>
  <c r="W1519" i="1"/>
  <c r="V1519" i="1"/>
  <c r="W1518" i="1"/>
  <c r="V1518" i="1"/>
  <c r="W1517" i="1"/>
  <c r="V1517" i="1"/>
  <c r="W1516" i="1"/>
  <c r="V1516" i="1"/>
  <c r="W1515" i="1"/>
  <c r="V1515" i="1"/>
  <c r="W1514" i="1"/>
  <c r="V1514" i="1"/>
  <c r="W1513" i="1"/>
  <c r="V1513" i="1"/>
  <c r="W1512" i="1"/>
  <c r="V1512" i="1"/>
  <c r="W1511" i="1"/>
  <c r="V1511" i="1"/>
  <c r="W1510" i="1"/>
  <c r="V1510" i="1"/>
  <c r="W1509" i="1"/>
  <c r="V1509" i="1"/>
  <c r="W1508" i="1"/>
  <c r="V1508" i="1"/>
  <c r="W1507" i="1"/>
  <c r="V1507" i="1"/>
  <c r="W1506" i="1"/>
  <c r="V1506" i="1"/>
  <c r="W1505" i="1"/>
  <c r="V1505" i="1"/>
  <c r="W1504" i="1"/>
  <c r="V1504" i="1"/>
  <c r="W1503" i="1"/>
  <c r="V1503" i="1"/>
  <c r="W1502" i="1"/>
  <c r="V1502" i="1"/>
  <c r="W1501" i="1"/>
  <c r="V1501" i="1"/>
  <c r="W1500" i="1"/>
  <c r="V1500" i="1"/>
  <c r="W1499" i="1"/>
  <c r="V1499" i="1"/>
  <c r="W1498" i="1"/>
  <c r="V1498" i="1"/>
  <c r="W1497" i="1"/>
  <c r="V1497" i="1"/>
  <c r="W1496" i="1"/>
  <c r="V1496" i="1"/>
  <c r="W1495" i="1"/>
  <c r="V1495" i="1"/>
  <c r="W1494" i="1"/>
  <c r="V1494" i="1"/>
  <c r="W1493" i="1"/>
  <c r="V1493" i="1"/>
  <c r="W1492" i="1"/>
  <c r="V1492" i="1"/>
  <c r="W1491" i="1"/>
  <c r="V1491" i="1"/>
  <c r="W1490" i="1"/>
  <c r="V1490" i="1"/>
  <c r="W1489" i="1"/>
  <c r="V1489" i="1"/>
  <c r="W1488" i="1"/>
  <c r="V1488" i="1"/>
  <c r="W1487" i="1"/>
  <c r="V1487" i="1"/>
  <c r="W1486" i="1"/>
  <c r="V1486" i="1"/>
  <c r="W1485" i="1"/>
  <c r="V1485" i="1"/>
  <c r="W1484" i="1"/>
  <c r="V1484" i="1"/>
  <c r="W1483" i="1"/>
  <c r="V1483" i="1"/>
  <c r="W1482" i="1"/>
  <c r="V1482" i="1"/>
  <c r="W1481" i="1"/>
  <c r="V1481" i="1"/>
  <c r="W1480" i="1"/>
  <c r="V1480" i="1"/>
  <c r="W1479" i="1"/>
  <c r="V1479" i="1"/>
  <c r="W1478" i="1"/>
  <c r="V1478" i="1"/>
  <c r="W1477" i="1"/>
  <c r="V1477" i="1"/>
  <c r="W1476" i="1"/>
  <c r="V1476" i="1"/>
  <c r="W1475" i="1"/>
  <c r="V1475" i="1"/>
  <c r="W1474" i="1"/>
  <c r="V1474" i="1"/>
  <c r="W1473" i="1"/>
  <c r="V1473" i="1"/>
  <c r="W1472" i="1"/>
  <c r="V1472" i="1"/>
  <c r="W1471" i="1"/>
  <c r="V1471" i="1"/>
  <c r="W1470" i="1"/>
  <c r="V1470" i="1"/>
  <c r="W1469" i="1"/>
  <c r="V1469" i="1"/>
  <c r="W1468" i="1"/>
  <c r="V1468" i="1"/>
  <c r="W1467" i="1"/>
  <c r="V1467" i="1"/>
  <c r="W1466" i="1"/>
  <c r="V1466" i="1"/>
  <c r="W1465" i="1"/>
  <c r="V1465" i="1"/>
  <c r="W1464" i="1"/>
  <c r="V1464" i="1"/>
  <c r="W1463" i="1"/>
  <c r="V1463" i="1"/>
  <c r="W1462" i="1"/>
  <c r="V1462" i="1"/>
  <c r="W1461" i="1"/>
  <c r="V1461" i="1"/>
  <c r="W1460" i="1"/>
  <c r="V1460" i="1"/>
  <c r="W1459" i="1"/>
  <c r="V1459" i="1"/>
  <c r="W1458" i="1"/>
  <c r="V1458" i="1"/>
  <c r="W1457" i="1"/>
  <c r="V1457" i="1"/>
  <c r="W1456" i="1"/>
  <c r="V1456" i="1"/>
  <c r="W1455" i="1"/>
  <c r="V1455" i="1"/>
  <c r="W1454" i="1"/>
  <c r="V1454" i="1"/>
  <c r="W1453" i="1"/>
  <c r="V1453" i="1"/>
  <c r="W1452" i="1"/>
  <c r="V1452" i="1"/>
  <c r="W1451" i="1"/>
  <c r="V1451" i="1"/>
  <c r="W1450" i="1"/>
  <c r="V1450" i="1"/>
  <c r="W1449" i="1"/>
  <c r="V1449" i="1"/>
  <c r="W1448" i="1"/>
  <c r="V1448" i="1"/>
  <c r="W1447" i="1"/>
  <c r="V1447" i="1"/>
  <c r="W1446" i="1"/>
  <c r="V1446" i="1"/>
  <c r="W1445" i="1"/>
  <c r="V1445" i="1"/>
  <c r="W1444" i="1"/>
  <c r="V1444" i="1"/>
  <c r="W1443" i="1"/>
  <c r="V1443" i="1"/>
  <c r="W1442" i="1"/>
  <c r="V1442" i="1"/>
  <c r="W1441" i="1"/>
  <c r="V1441" i="1"/>
  <c r="W1440" i="1"/>
  <c r="V1440" i="1"/>
  <c r="W1439" i="1"/>
  <c r="V1439" i="1"/>
  <c r="W1438" i="1"/>
  <c r="V1438" i="1"/>
  <c r="W1437" i="1"/>
  <c r="V1437" i="1"/>
  <c r="W1436" i="1"/>
  <c r="V1436" i="1"/>
  <c r="W1435" i="1"/>
  <c r="V1435" i="1"/>
  <c r="W1434" i="1"/>
  <c r="V1434" i="1"/>
  <c r="W1433" i="1"/>
  <c r="V1433" i="1"/>
  <c r="W1432" i="1"/>
  <c r="V1432" i="1"/>
  <c r="W1431" i="1"/>
  <c r="V1431" i="1"/>
  <c r="W1430" i="1"/>
  <c r="V1430" i="1"/>
  <c r="W1429" i="1"/>
  <c r="V1429" i="1"/>
  <c r="W1428" i="1"/>
  <c r="V1428" i="1"/>
  <c r="W1427" i="1"/>
  <c r="V1427" i="1"/>
  <c r="W1426" i="1"/>
  <c r="V1426" i="1"/>
  <c r="W1425" i="1"/>
  <c r="V1425" i="1"/>
  <c r="W1424" i="1"/>
  <c r="V1424" i="1"/>
  <c r="W1423" i="1"/>
  <c r="V1423" i="1"/>
  <c r="W1422" i="1"/>
  <c r="V1422" i="1"/>
  <c r="W1421" i="1"/>
  <c r="V1421" i="1"/>
  <c r="W1420" i="1"/>
  <c r="V1420" i="1"/>
  <c r="W1419" i="1"/>
  <c r="V1419" i="1"/>
  <c r="W1418" i="1"/>
  <c r="V1418" i="1"/>
  <c r="W1417" i="1"/>
  <c r="V1417" i="1"/>
  <c r="W1416" i="1"/>
  <c r="V1416" i="1"/>
  <c r="W1415" i="1"/>
  <c r="V1415" i="1"/>
  <c r="W1414" i="1"/>
  <c r="V1414" i="1"/>
  <c r="W1413" i="1"/>
  <c r="V1413" i="1"/>
  <c r="W1412" i="1"/>
  <c r="V1412" i="1"/>
  <c r="W1411" i="1"/>
  <c r="V1411" i="1"/>
  <c r="W1410" i="1"/>
  <c r="V1410" i="1"/>
  <c r="W1409" i="1"/>
  <c r="V1409" i="1"/>
  <c r="W1408" i="1"/>
  <c r="V1408" i="1"/>
  <c r="W1407" i="1"/>
  <c r="V1407" i="1"/>
  <c r="W1406" i="1"/>
  <c r="V1406" i="1"/>
  <c r="W1405" i="1"/>
  <c r="V1405" i="1"/>
  <c r="W1404" i="1"/>
  <c r="V1404" i="1"/>
  <c r="W1403" i="1"/>
  <c r="V1403" i="1"/>
  <c r="W1402" i="1"/>
  <c r="V1402" i="1"/>
  <c r="W1401" i="1"/>
  <c r="V1401" i="1"/>
  <c r="W1400" i="1"/>
  <c r="V1400" i="1"/>
  <c r="W1399" i="1"/>
  <c r="V1399" i="1"/>
  <c r="W1398" i="1"/>
  <c r="V1398" i="1"/>
  <c r="W1397" i="1"/>
  <c r="V1397" i="1"/>
  <c r="W1396" i="1"/>
  <c r="V1396" i="1"/>
  <c r="W1395" i="1"/>
  <c r="V1395" i="1"/>
  <c r="W1394" i="1"/>
  <c r="V1394" i="1"/>
  <c r="W1393" i="1"/>
  <c r="V1393" i="1"/>
  <c r="W1392" i="1"/>
  <c r="V1392" i="1"/>
  <c r="W1391" i="1"/>
  <c r="V1391" i="1"/>
  <c r="W1390" i="1"/>
  <c r="V1390" i="1"/>
  <c r="W1389" i="1"/>
  <c r="V1389" i="1"/>
  <c r="W1388" i="1"/>
  <c r="V1388" i="1"/>
  <c r="W1387" i="1"/>
  <c r="V1387" i="1"/>
  <c r="W1386" i="1"/>
  <c r="V1386" i="1"/>
  <c r="W1385" i="1"/>
  <c r="V1385" i="1"/>
  <c r="W1384" i="1"/>
  <c r="V1384" i="1"/>
  <c r="W1383" i="1"/>
  <c r="V1383" i="1"/>
  <c r="W1382" i="1"/>
  <c r="V1382" i="1"/>
  <c r="W1381" i="1"/>
  <c r="V1381" i="1"/>
  <c r="W1380" i="1"/>
  <c r="V1380" i="1"/>
  <c r="W1379" i="1"/>
  <c r="V1379" i="1"/>
  <c r="W1378" i="1"/>
  <c r="V1378" i="1"/>
  <c r="W1377" i="1"/>
  <c r="V1377" i="1"/>
  <c r="W1376" i="1"/>
  <c r="V1376" i="1"/>
  <c r="W1375" i="1"/>
  <c r="V1375" i="1"/>
  <c r="W1374" i="1"/>
  <c r="V1374" i="1"/>
  <c r="W1373" i="1"/>
  <c r="V1373" i="1"/>
  <c r="W1372" i="1"/>
  <c r="V1372" i="1"/>
  <c r="W1371" i="1"/>
  <c r="V1371" i="1"/>
  <c r="W1370" i="1"/>
  <c r="V1370" i="1"/>
  <c r="W1369" i="1"/>
  <c r="V1369" i="1"/>
  <c r="W1368" i="1"/>
  <c r="V1368" i="1"/>
  <c r="W1367" i="1"/>
  <c r="V1367" i="1"/>
  <c r="W1366" i="1"/>
  <c r="V1366" i="1"/>
  <c r="W1365" i="1"/>
  <c r="V1365" i="1"/>
  <c r="W1364" i="1"/>
  <c r="V1364" i="1"/>
  <c r="W1363" i="1"/>
  <c r="V1363" i="1"/>
  <c r="W1362" i="1"/>
  <c r="V1362" i="1"/>
  <c r="W1361" i="1"/>
  <c r="V1361" i="1"/>
  <c r="W1360" i="1"/>
  <c r="V1360" i="1"/>
  <c r="W1359" i="1"/>
  <c r="V1359" i="1"/>
  <c r="W1358" i="1"/>
  <c r="V1358" i="1"/>
  <c r="W1357" i="1"/>
  <c r="V1357" i="1"/>
  <c r="W1356" i="1"/>
  <c r="V1356" i="1"/>
  <c r="W1355" i="1"/>
  <c r="V1355" i="1"/>
  <c r="W1354" i="1"/>
  <c r="V1354" i="1"/>
  <c r="W1353" i="1"/>
  <c r="V1353" i="1"/>
  <c r="W1352" i="1"/>
  <c r="V1352" i="1"/>
  <c r="W1351" i="1"/>
  <c r="V1351" i="1"/>
  <c r="W1350" i="1"/>
  <c r="V1350" i="1"/>
  <c r="W1349" i="1"/>
  <c r="V1349" i="1"/>
  <c r="W1348" i="1"/>
  <c r="V1348" i="1"/>
  <c r="W1347" i="1"/>
  <c r="V1347" i="1"/>
  <c r="W1346" i="1"/>
  <c r="V1346" i="1"/>
  <c r="W1345" i="1"/>
  <c r="V1345" i="1"/>
  <c r="W1344" i="1"/>
  <c r="V1344" i="1"/>
  <c r="W1343" i="1"/>
  <c r="V1343" i="1"/>
  <c r="W1342" i="1"/>
  <c r="V1342" i="1"/>
  <c r="W1341" i="1"/>
  <c r="V1341" i="1"/>
  <c r="W1340" i="1"/>
  <c r="V1340" i="1"/>
  <c r="W1339" i="1"/>
  <c r="V1339" i="1"/>
  <c r="W1338" i="1"/>
  <c r="V1338" i="1"/>
  <c r="W1337" i="1"/>
  <c r="V1337" i="1"/>
  <c r="W1336" i="1"/>
  <c r="V1336" i="1"/>
  <c r="W1335" i="1"/>
  <c r="V1335" i="1"/>
  <c r="W1334" i="1"/>
  <c r="V1334" i="1"/>
  <c r="W1333" i="1"/>
  <c r="V1333" i="1"/>
  <c r="W1332" i="1"/>
  <c r="V1332" i="1"/>
  <c r="W1331" i="1"/>
  <c r="V1331" i="1"/>
  <c r="W1330" i="1"/>
  <c r="V1330" i="1"/>
  <c r="W1329" i="1"/>
  <c r="V1329" i="1"/>
  <c r="W1328" i="1"/>
  <c r="V1328" i="1"/>
  <c r="W1327" i="1"/>
  <c r="V1327" i="1"/>
  <c r="W1326" i="1"/>
  <c r="V1326" i="1"/>
  <c r="W1325" i="1"/>
  <c r="V1325" i="1"/>
  <c r="W1324" i="1"/>
  <c r="V1324" i="1"/>
  <c r="W1323" i="1"/>
  <c r="V1323" i="1"/>
  <c r="W1322" i="1"/>
  <c r="V1322" i="1"/>
  <c r="W1321" i="1"/>
  <c r="V1321" i="1"/>
  <c r="W1320" i="1"/>
  <c r="V1320" i="1"/>
  <c r="W1319" i="1"/>
  <c r="V1319" i="1"/>
  <c r="W1318" i="1"/>
  <c r="V1318" i="1"/>
  <c r="W1317" i="1"/>
  <c r="V1317" i="1"/>
  <c r="W1316" i="1"/>
  <c r="V1316" i="1"/>
  <c r="W1315" i="1"/>
  <c r="V1315" i="1"/>
  <c r="W1314" i="1"/>
  <c r="V1314" i="1"/>
  <c r="W1313" i="1"/>
  <c r="V1313" i="1"/>
  <c r="W1312" i="1"/>
  <c r="V1312" i="1"/>
  <c r="W1311" i="1"/>
  <c r="V1311" i="1"/>
  <c r="W1310" i="1"/>
  <c r="V1310" i="1"/>
  <c r="W1309" i="1"/>
  <c r="V1309" i="1"/>
  <c r="W1308" i="1"/>
  <c r="V1308" i="1"/>
  <c r="W1307" i="1"/>
  <c r="V1307" i="1"/>
  <c r="W1306" i="1"/>
  <c r="V1306" i="1"/>
  <c r="W1305" i="1"/>
  <c r="V1305" i="1"/>
  <c r="W1304" i="1"/>
  <c r="V1304" i="1"/>
  <c r="W1303" i="1"/>
  <c r="V1303" i="1"/>
  <c r="W1302" i="1"/>
  <c r="V1302" i="1"/>
  <c r="W1301" i="1"/>
  <c r="V1301" i="1"/>
  <c r="W1300" i="1"/>
  <c r="V1300" i="1"/>
  <c r="W1299" i="1"/>
  <c r="V1299" i="1"/>
  <c r="W1298" i="1"/>
  <c r="V1298" i="1"/>
  <c r="W1297" i="1"/>
  <c r="V1297" i="1"/>
  <c r="W1296" i="1"/>
  <c r="V1296" i="1"/>
  <c r="W1295" i="1"/>
  <c r="V1295" i="1"/>
  <c r="W1294" i="1"/>
  <c r="V1294" i="1"/>
  <c r="W1293" i="1"/>
  <c r="V1293" i="1"/>
  <c r="W1292" i="1"/>
  <c r="V1292" i="1"/>
  <c r="W1291" i="1"/>
  <c r="V1291" i="1"/>
  <c r="W1290" i="1"/>
  <c r="V1290" i="1"/>
  <c r="W1289" i="1"/>
  <c r="V1289" i="1"/>
  <c r="W1288" i="1"/>
  <c r="V1288" i="1"/>
  <c r="W1287" i="1"/>
  <c r="V1287" i="1"/>
  <c r="W1286" i="1"/>
  <c r="V1286" i="1"/>
  <c r="W1285" i="1"/>
  <c r="V1285" i="1"/>
  <c r="W1284" i="1"/>
  <c r="V1284" i="1"/>
  <c r="W1283" i="1"/>
  <c r="V1283" i="1"/>
  <c r="W1282" i="1"/>
  <c r="V1282" i="1"/>
  <c r="W1281" i="1"/>
  <c r="V1281" i="1"/>
  <c r="W1280" i="1"/>
  <c r="V1280" i="1"/>
  <c r="W1279" i="1"/>
  <c r="V1279" i="1"/>
  <c r="W1278" i="1"/>
  <c r="V1278" i="1"/>
  <c r="W1277" i="1"/>
  <c r="V1277" i="1"/>
  <c r="W1276" i="1"/>
  <c r="V1276" i="1"/>
  <c r="W1275" i="1"/>
  <c r="V1275" i="1"/>
  <c r="W1274" i="1"/>
  <c r="V1274" i="1"/>
  <c r="W1273" i="1"/>
  <c r="V1273" i="1"/>
  <c r="W1272" i="1"/>
  <c r="V1272" i="1"/>
  <c r="W1271" i="1"/>
  <c r="V1271" i="1"/>
  <c r="W1270" i="1"/>
  <c r="V1270" i="1"/>
  <c r="W1269" i="1"/>
  <c r="V1269" i="1"/>
  <c r="W1268" i="1"/>
  <c r="V1268" i="1"/>
  <c r="W1267" i="1"/>
  <c r="V1267" i="1"/>
  <c r="W1266" i="1"/>
  <c r="V1266" i="1"/>
  <c r="W1265" i="1"/>
  <c r="V1265" i="1"/>
  <c r="W1264" i="1"/>
  <c r="V1264" i="1"/>
  <c r="W1263" i="1"/>
  <c r="V1263" i="1"/>
  <c r="W1262" i="1"/>
  <c r="V1262" i="1"/>
  <c r="W1261" i="1"/>
  <c r="V1261" i="1"/>
  <c r="W1260" i="1"/>
  <c r="V1260" i="1"/>
  <c r="W1259" i="1"/>
  <c r="V1259" i="1"/>
  <c r="W1258" i="1"/>
  <c r="V1258" i="1"/>
  <c r="W1257" i="1"/>
  <c r="V1257" i="1"/>
  <c r="W1256" i="1"/>
  <c r="V1256" i="1"/>
  <c r="W1255" i="1"/>
  <c r="V1255" i="1"/>
  <c r="W1254" i="1"/>
  <c r="V1254" i="1"/>
  <c r="W1253" i="1"/>
  <c r="V1253" i="1"/>
  <c r="W1252" i="1"/>
  <c r="V1252" i="1"/>
  <c r="W1251" i="1"/>
  <c r="V1251" i="1"/>
  <c r="W1250" i="1"/>
  <c r="V1250" i="1"/>
  <c r="W1249" i="1"/>
  <c r="V1249" i="1"/>
  <c r="W1248" i="1"/>
  <c r="V1248" i="1"/>
  <c r="W1247" i="1"/>
  <c r="V1247" i="1"/>
  <c r="W1246" i="1"/>
  <c r="V1246" i="1"/>
  <c r="W1245" i="1"/>
  <c r="V1245" i="1"/>
  <c r="W1244" i="1"/>
  <c r="V1244" i="1"/>
  <c r="W1243" i="1"/>
  <c r="V1243" i="1"/>
  <c r="W1242" i="1"/>
  <c r="V1242" i="1"/>
  <c r="W1241" i="1"/>
  <c r="V1241" i="1"/>
  <c r="W1240" i="1"/>
  <c r="V1240" i="1"/>
  <c r="W1239" i="1"/>
  <c r="V1239" i="1"/>
  <c r="W1238" i="1"/>
  <c r="V1238" i="1"/>
  <c r="W1237" i="1"/>
  <c r="V1237" i="1"/>
  <c r="W1236" i="1"/>
  <c r="V1236" i="1"/>
  <c r="W1235" i="1"/>
  <c r="V1235" i="1"/>
  <c r="W1234" i="1"/>
  <c r="V1234" i="1"/>
  <c r="W1233" i="1"/>
  <c r="V1233" i="1"/>
  <c r="W1232" i="1"/>
  <c r="V1232" i="1"/>
  <c r="W1231" i="1"/>
  <c r="V1231" i="1"/>
  <c r="W1230" i="1"/>
  <c r="V1230" i="1"/>
  <c r="W1229" i="1"/>
  <c r="V1229" i="1"/>
  <c r="W1228" i="1"/>
  <c r="V1228" i="1"/>
  <c r="W1227" i="1"/>
  <c r="V1227" i="1"/>
  <c r="W1226" i="1"/>
  <c r="V1226" i="1"/>
  <c r="W1225" i="1"/>
  <c r="V1225" i="1"/>
  <c r="W1224" i="1"/>
  <c r="V1224" i="1"/>
  <c r="W1223" i="1"/>
  <c r="V1223" i="1"/>
  <c r="W1222" i="1"/>
  <c r="V1222" i="1"/>
  <c r="W1221" i="1"/>
  <c r="V1221" i="1"/>
  <c r="W1220" i="1"/>
  <c r="V1220" i="1"/>
  <c r="W1219" i="1"/>
  <c r="V1219" i="1"/>
  <c r="W1218" i="1"/>
  <c r="V1218" i="1"/>
  <c r="W1217" i="1"/>
  <c r="V1217" i="1"/>
  <c r="W1216" i="1"/>
  <c r="V1216" i="1"/>
  <c r="W1215" i="1"/>
  <c r="V1215" i="1"/>
  <c r="W1214" i="1"/>
  <c r="V1214" i="1"/>
  <c r="W1213" i="1"/>
  <c r="V1213" i="1"/>
  <c r="W1212" i="1"/>
  <c r="V1212" i="1"/>
  <c r="W1211" i="1"/>
  <c r="V1211" i="1"/>
  <c r="W1210" i="1"/>
  <c r="V1210" i="1"/>
  <c r="W1209" i="1"/>
  <c r="V1209" i="1"/>
  <c r="W1208" i="1"/>
  <c r="V1208" i="1"/>
  <c r="W1207" i="1"/>
  <c r="V1207" i="1"/>
  <c r="W1206" i="1"/>
  <c r="V1206" i="1"/>
  <c r="W1205" i="1"/>
  <c r="V1205" i="1"/>
  <c r="W1204" i="1"/>
  <c r="V1204" i="1"/>
  <c r="W1203" i="1"/>
  <c r="V1203" i="1"/>
  <c r="W1202" i="1"/>
  <c r="V1202" i="1"/>
  <c r="W1201" i="1"/>
  <c r="V1201" i="1"/>
  <c r="W1200" i="1"/>
  <c r="V1200" i="1"/>
  <c r="W1199" i="1"/>
  <c r="V1199" i="1"/>
  <c r="W1198" i="1"/>
  <c r="V1198" i="1"/>
  <c r="W1197" i="1"/>
  <c r="V1197" i="1"/>
  <c r="W1196" i="1"/>
  <c r="V1196" i="1"/>
  <c r="W1195" i="1"/>
  <c r="V1195" i="1"/>
  <c r="W1194" i="1"/>
  <c r="V1194" i="1"/>
  <c r="W1193" i="1"/>
  <c r="V1193" i="1"/>
  <c r="W1192" i="1"/>
  <c r="V1192" i="1"/>
  <c r="W1191" i="1"/>
  <c r="V1191" i="1"/>
  <c r="W1190" i="1"/>
  <c r="V1190" i="1"/>
  <c r="W1189" i="1"/>
  <c r="V1189" i="1"/>
  <c r="W1188" i="1"/>
  <c r="V1188" i="1"/>
  <c r="W1187" i="1"/>
  <c r="V1187" i="1"/>
  <c r="W1186" i="1"/>
  <c r="V1186" i="1"/>
  <c r="W1185" i="1"/>
  <c r="V1185" i="1"/>
  <c r="W1184" i="1"/>
  <c r="V1184" i="1"/>
  <c r="W1183" i="1"/>
  <c r="V1183" i="1"/>
  <c r="W1182" i="1"/>
  <c r="V1182" i="1"/>
  <c r="W1181" i="1"/>
  <c r="V1181" i="1"/>
  <c r="W1180" i="1"/>
  <c r="V1180" i="1"/>
  <c r="W1179" i="1"/>
  <c r="V1179" i="1"/>
  <c r="W1178" i="1"/>
  <c r="V1178" i="1"/>
  <c r="W1177" i="1"/>
  <c r="V1177" i="1"/>
  <c r="W1176" i="1"/>
  <c r="V1176" i="1"/>
  <c r="W1175" i="1"/>
  <c r="V1175" i="1"/>
  <c r="W1174" i="1"/>
  <c r="V1174" i="1"/>
  <c r="W1173" i="1"/>
  <c r="V1173" i="1"/>
  <c r="W1172" i="1"/>
  <c r="V1172" i="1"/>
  <c r="W1171" i="1"/>
  <c r="V1171" i="1"/>
  <c r="W1170" i="1"/>
  <c r="V1170" i="1"/>
  <c r="W1169" i="1"/>
  <c r="V1169" i="1"/>
  <c r="W1168" i="1"/>
  <c r="V1168" i="1"/>
  <c r="W1167" i="1"/>
  <c r="V1167" i="1"/>
  <c r="W1166" i="1"/>
  <c r="V1166" i="1"/>
  <c r="W1165" i="1"/>
  <c r="V1165" i="1"/>
  <c r="W1164" i="1"/>
  <c r="V1164" i="1"/>
  <c r="W1163" i="1"/>
  <c r="V1163" i="1"/>
  <c r="W1162" i="1"/>
  <c r="V1162" i="1"/>
  <c r="W1161" i="1"/>
  <c r="V1161" i="1"/>
  <c r="W1160" i="1"/>
  <c r="V1160" i="1"/>
  <c r="W1159" i="1"/>
  <c r="V1159" i="1"/>
  <c r="W1158" i="1"/>
  <c r="V1158" i="1"/>
  <c r="W1157" i="1"/>
  <c r="V1157" i="1"/>
  <c r="W1156" i="1"/>
  <c r="V1156" i="1"/>
  <c r="W1155" i="1"/>
  <c r="V1155" i="1"/>
  <c r="W1154" i="1"/>
  <c r="V1154" i="1"/>
  <c r="W1153" i="1"/>
  <c r="V1153" i="1"/>
  <c r="W1152" i="1"/>
  <c r="V1152" i="1"/>
  <c r="W1151" i="1"/>
  <c r="V1151" i="1"/>
  <c r="W1150" i="1"/>
  <c r="V1150" i="1"/>
  <c r="W1149" i="1"/>
  <c r="V1149" i="1"/>
  <c r="W1148" i="1"/>
  <c r="V1148" i="1"/>
  <c r="W1147" i="1"/>
  <c r="V1147" i="1"/>
  <c r="W1146" i="1"/>
  <c r="V1146" i="1"/>
  <c r="W1145" i="1"/>
  <c r="V1145" i="1"/>
  <c r="W1144" i="1"/>
  <c r="V1144" i="1"/>
  <c r="W1143" i="1"/>
  <c r="V1143" i="1"/>
  <c r="W1142" i="1"/>
  <c r="V1142" i="1"/>
  <c r="W1141" i="1"/>
  <c r="V1141" i="1"/>
  <c r="W1140" i="1"/>
  <c r="V1140" i="1"/>
  <c r="W1139" i="1"/>
  <c r="V1139" i="1"/>
  <c r="W1138" i="1"/>
  <c r="V1138" i="1"/>
  <c r="W1137" i="1"/>
  <c r="V1137" i="1"/>
  <c r="W1136" i="1"/>
  <c r="V1136" i="1"/>
  <c r="W1135" i="1"/>
  <c r="V1135" i="1"/>
  <c r="W1134" i="1"/>
  <c r="V1134" i="1"/>
  <c r="W1133" i="1"/>
  <c r="V1133" i="1"/>
  <c r="W1132" i="1"/>
  <c r="V1132" i="1"/>
  <c r="W1131" i="1"/>
  <c r="V1131" i="1"/>
  <c r="W1130" i="1"/>
  <c r="V1130" i="1"/>
  <c r="W1129" i="1"/>
  <c r="V1129" i="1"/>
  <c r="W1128" i="1"/>
  <c r="V1128" i="1"/>
  <c r="W1127" i="1"/>
  <c r="V1127" i="1"/>
  <c r="W1126" i="1"/>
  <c r="V1126" i="1"/>
  <c r="W1125" i="1"/>
  <c r="V1125" i="1"/>
  <c r="W1124" i="1"/>
  <c r="V1124" i="1"/>
  <c r="W1123" i="1"/>
  <c r="V1123" i="1"/>
  <c r="W1122" i="1"/>
  <c r="V1122" i="1"/>
  <c r="W1121" i="1"/>
  <c r="V1121" i="1"/>
  <c r="W1120" i="1"/>
  <c r="V1120" i="1"/>
  <c r="W1119" i="1"/>
  <c r="V1119" i="1"/>
  <c r="W1118" i="1"/>
  <c r="V1118" i="1"/>
  <c r="W1117" i="1"/>
  <c r="V1117" i="1"/>
  <c r="W1116" i="1"/>
  <c r="V1116" i="1"/>
  <c r="W1115" i="1"/>
  <c r="V1115" i="1"/>
  <c r="W1114" i="1"/>
  <c r="V1114" i="1"/>
  <c r="W1113" i="1"/>
  <c r="V1113" i="1"/>
  <c r="W1112" i="1"/>
  <c r="V1112" i="1"/>
  <c r="W1111" i="1"/>
  <c r="V1111" i="1"/>
  <c r="W1110" i="1"/>
  <c r="V1110" i="1"/>
  <c r="W1109" i="1"/>
  <c r="V1109" i="1"/>
  <c r="W1108" i="1"/>
  <c r="V1108" i="1"/>
  <c r="W1107" i="1"/>
  <c r="V1107" i="1"/>
  <c r="W1106" i="1"/>
  <c r="V1106" i="1"/>
  <c r="W1105" i="1"/>
  <c r="V1105" i="1"/>
  <c r="W1104" i="1"/>
  <c r="V1104" i="1"/>
  <c r="W1103" i="1"/>
  <c r="V1103" i="1"/>
  <c r="W1102" i="1"/>
  <c r="V1102" i="1"/>
  <c r="W1101" i="1"/>
  <c r="V1101" i="1"/>
  <c r="W1100" i="1"/>
  <c r="V1100" i="1"/>
  <c r="W1099" i="1"/>
  <c r="V1099" i="1"/>
  <c r="W1098" i="1"/>
  <c r="V1098" i="1"/>
  <c r="W1097" i="1"/>
  <c r="V1097" i="1"/>
  <c r="W1096" i="1"/>
  <c r="V1096" i="1"/>
  <c r="W1095" i="1"/>
  <c r="V1095" i="1"/>
  <c r="W1094" i="1"/>
  <c r="V1094" i="1"/>
  <c r="W1093" i="1"/>
  <c r="V1093" i="1"/>
  <c r="W1092" i="1"/>
  <c r="V1092" i="1"/>
  <c r="W1091" i="1"/>
  <c r="V1091" i="1"/>
  <c r="W1090" i="1"/>
  <c r="V1090" i="1"/>
  <c r="W1089" i="1"/>
  <c r="V1089" i="1"/>
  <c r="W1088" i="1"/>
  <c r="V1088" i="1"/>
  <c r="W1087" i="1"/>
  <c r="V1087" i="1"/>
  <c r="W1086" i="1"/>
  <c r="V1086" i="1"/>
  <c r="W1085" i="1"/>
  <c r="V1085" i="1"/>
  <c r="W1084" i="1"/>
  <c r="V1084" i="1"/>
  <c r="W1083" i="1"/>
  <c r="V1083" i="1"/>
  <c r="W1082" i="1"/>
  <c r="V1082" i="1"/>
  <c r="W1081" i="1"/>
  <c r="V1081" i="1"/>
  <c r="W1080" i="1"/>
  <c r="V1080" i="1"/>
  <c r="W1079" i="1"/>
  <c r="V1079" i="1"/>
  <c r="W1078" i="1"/>
  <c r="V1078" i="1"/>
  <c r="W1077" i="1"/>
  <c r="V1077" i="1"/>
  <c r="W1076" i="1"/>
  <c r="V1076" i="1"/>
  <c r="W1075" i="1"/>
  <c r="V1075" i="1"/>
  <c r="W1074" i="1"/>
  <c r="V1074" i="1"/>
  <c r="W1073" i="1"/>
  <c r="V1073" i="1"/>
  <c r="W1072" i="1"/>
  <c r="V1072" i="1"/>
  <c r="W1071" i="1"/>
  <c r="V1071" i="1"/>
  <c r="W1070" i="1"/>
  <c r="V1070" i="1"/>
  <c r="W1069" i="1"/>
  <c r="V1069" i="1"/>
  <c r="W1068" i="1"/>
  <c r="V1068" i="1"/>
  <c r="W1067" i="1"/>
  <c r="V1067" i="1"/>
  <c r="W1066" i="1"/>
  <c r="V1066" i="1"/>
  <c r="W1065" i="1"/>
  <c r="V1065" i="1"/>
  <c r="W1064" i="1"/>
  <c r="V1064" i="1"/>
  <c r="W1063" i="1"/>
  <c r="V1063" i="1"/>
  <c r="W1062" i="1"/>
  <c r="V1062" i="1"/>
  <c r="W1061" i="1"/>
  <c r="V1061" i="1"/>
  <c r="W1060" i="1"/>
  <c r="V1060" i="1"/>
  <c r="W1059" i="1"/>
  <c r="V1059" i="1"/>
  <c r="W1058" i="1"/>
  <c r="V1058" i="1"/>
  <c r="W1057" i="1"/>
  <c r="V1057" i="1"/>
  <c r="W1056" i="1"/>
  <c r="V1056" i="1"/>
  <c r="W1055" i="1"/>
  <c r="V1055" i="1"/>
  <c r="W1054" i="1"/>
  <c r="V1054" i="1"/>
  <c r="W1053" i="1"/>
  <c r="V1053" i="1"/>
  <c r="W1052" i="1"/>
  <c r="V1052" i="1"/>
  <c r="W1051" i="1"/>
  <c r="V1051" i="1"/>
  <c r="W1050" i="1"/>
  <c r="V1050" i="1"/>
  <c r="W1049" i="1"/>
  <c r="V1049" i="1"/>
  <c r="W1048" i="1"/>
  <c r="V1048" i="1"/>
  <c r="W1047" i="1"/>
  <c r="V1047" i="1"/>
  <c r="W1046" i="1"/>
  <c r="V1046" i="1"/>
  <c r="W1045" i="1"/>
  <c r="V1045" i="1"/>
  <c r="W1044" i="1"/>
  <c r="V1044" i="1"/>
  <c r="W1043" i="1"/>
  <c r="V1043" i="1"/>
  <c r="W1042" i="1"/>
  <c r="V1042" i="1"/>
  <c r="W1041" i="1"/>
  <c r="V1041" i="1"/>
  <c r="W1040" i="1"/>
  <c r="V1040" i="1"/>
  <c r="W1039" i="1"/>
  <c r="V1039" i="1"/>
  <c r="W1038" i="1"/>
  <c r="V1038" i="1"/>
  <c r="W1037" i="1"/>
  <c r="V1037" i="1"/>
  <c r="W1036" i="1"/>
  <c r="V1036" i="1"/>
  <c r="W1035" i="1"/>
  <c r="V1035" i="1"/>
  <c r="W1034" i="1"/>
  <c r="V1034" i="1"/>
  <c r="W1033" i="1"/>
  <c r="V1033" i="1"/>
  <c r="W1032" i="1"/>
  <c r="V1032" i="1"/>
  <c r="W1031" i="1"/>
  <c r="V1031" i="1"/>
  <c r="W1030" i="1"/>
  <c r="V1030" i="1"/>
  <c r="W1029" i="1"/>
  <c r="V1029" i="1"/>
  <c r="W1028" i="1"/>
  <c r="V1028" i="1"/>
  <c r="W1027" i="1"/>
  <c r="V1027" i="1"/>
  <c r="W1026" i="1"/>
  <c r="V1026" i="1"/>
  <c r="W1025" i="1"/>
  <c r="V1025" i="1"/>
  <c r="W1024" i="1"/>
  <c r="V1024" i="1"/>
  <c r="W1023" i="1"/>
  <c r="V1023" i="1"/>
  <c r="W1022" i="1"/>
  <c r="V1022" i="1"/>
  <c r="W1021" i="1"/>
  <c r="V1021" i="1"/>
  <c r="W1020" i="1"/>
  <c r="V1020" i="1"/>
  <c r="W1019" i="1"/>
  <c r="V1019" i="1"/>
  <c r="W1018" i="1"/>
  <c r="V1018" i="1"/>
  <c r="W1017" i="1"/>
  <c r="V1017" i="1"/>
  <c r="W1016" i="1"/>
  <c r="V1016" i="1"/>
  <c r="W1015" i="1"/>
  <c r="V1015" i="1"/>
  <c r="W1014" i="1"/>
  <c r="V1014" i="1"/>
  <c r="W1013" i="1"/>
  <c r="V1013" i="1"/>
  <c r="W1012" i="1"/>
  <c r="V1012" i="1"/>
  <c r="W1011" i="1"/>
  <c r="V1011" i="1"/>
  <c r="W1010" i="1"/>
  <c r="V1010" i="1"/>
  <c r="W1009" i="1"/>
  <c r="V1009" i="1"/>
  <c r="W1008" i="1"/>
  <c r="V1008" i="1"/>
  <c r="W1007" i="1"/>
  <c r="V1007" i="1"/>
  <c r="W1006" i="1"/>
  <c r="V1006" i="1"/>
  <c r="W1005" i="1"/>
  <c r="V1005" i="1"/>
  <c r="W1004" i="1"/>
  <c r="V1004" i="1"/>
  <c r="W1003" i="1"/>
  <c r="V1003" i="1"/>
  <c r="W1002" i="1"/>
  <c r="V1002" i="1"/>
  <c r="W1001" i="1"/>
  <c r="V1001" i="1"/>
  <c r="W1000" i="1"/>
  <c r="V1000" i="1"/>
  <c r="W999" i="1"/>
  <c r="V999" i="1"/>
  <c r="W998" i="1"/>
  <c r="V998" i="1"/>
  <c r="W997" i="1"/>
  <c r="V997" i="1"/>
  <c r="W996" i="1"/>
  <c r="V996" i="1"/>
  <c r="W995" i="1"/>
  <c r="V995" i="1"/>
  <c r="W994" i="1"/>
  <c r="V994" i="1"/>
  <c r="W993" i="1"/>
  <c r="V993" i="1"/>
  <c r="W992" i="1"/>
  <c r="V992" i="1"/>
  <c r="W991" i="1"/>
  <c r="V991" i="1"/>
  <c r="W990" i="1"/>
  <c r="V990" i="1"/>
  <c r="W989" i="1"/>
  <c r="V989" i="1"/>
  <c r="W988" i="1"/>
  <c r="V988" i="1"/>
  <c r="W987" i="1"/>
  <c r="V987" i="1"/>
  <c r="W986" i="1"/>
  <c r="V986" i="1"/>
  <c r="W985" i="1"/>
  <c r="V985" i="1"/>
  <c r="W984" i="1"/>
  <c r="V984" i="1"/>
  <c r="W983" i="1"/>
  <c r="V983" i="1"/>
  <c r="W982" i="1"/>
  <c r="V982" i="1"/>
  <c r="W981" i="1"/>
  <c r="V981" i="1"/>
  <c r="W980" i="1"/>
  <c r="V980" i="1"/>
  <c r="W979" i="1"/>
  <c r="V979" i="1"/>
  <c r="W978" i="1"/>
  <c r="V978" i="1"/>
  <c r="W977" i="1"/>
  <c r="V977" i="1"/>
  <c r="W976" i="1"/>
  <c r="V976" i="1"/>
  <c r="W975" i="1"/>
  <c r="V975" i="1"/>
  <c r="W974" i="1"/>
  <c r="V974" i="1"/>
  <c r="W973" i="1"/>
  <c r="V973" i="1"/>
  <c r="W972" i="1"/>
  <c r="V972" i="1"/>
  <c r="W971" i="1"/>
  <c r="V971" i="1"/>
  <c r="W970" i="1"/>
  <c r="V970" i="1"/>
  <c r="W969" i="1"/>
  <c r="V969" i="1"/>
  <c r="W968" i="1"/>
  <c r="V968" i="1"/>
  <c r="W967" i="1"/>
  <c r="V967" i="1"/>
  <c r="W966" i="1"/>
  <c r="V966" i="1"/>
  <c r="W965" i="1"/>
  <c r="V965" i="1"/>
  <c r="W964" i="1"/>
  <c r="V964" i="1"/>
  <c r="W963" i="1"/>
  <c r="V963" i="1"/>
  <c r="W962" i="1"/>
  <c r="V962" i="1"/>
  <c r="W961" i="1"/>
  <c r="V961" i="1"/>
  <c r="W960" i="1"/>
  <c r="V960" i="1"/>
  <c r="W959" i="1"/>
  <c r="V959" i="1"/>
  <c r="W958" i="1"/>
  <c r="V958" i="1"/>
  <c r="W957" i="1"/>
  <c r="V957" i="1"/>
  <c r="W956" i="1"/>
  <c r="V956" i="1"/>
  <c r="W955" i="1"/>
  <c r="V955" i="1"/>
  <c r="W954" i="1"/>
  <c r="V954" i="1"/>
  <c r="W953" i="1"/>
  <c r="V953" i="1"/>
  <c r="W952" i="1"/>
  <c r="V952" i="1"/>
  <c r="W951" i="1"/>
  <c r="V951" i="1"/>
  <c r="W950" i="1"/>
  <c r="V950" i="1"/>
  <c r="W949" i="1"/>
  <c r="V949" i="1"/>
  <c r="W948" i="1"/>
  <c r="V948" i="1"/>
  <c r="W947" i="1"/>
  <c r="V947" i="1"/>
  <c r="W946" i="1"/>
  <c r="V946" i="1"/>
  <c r="W945" i="1"/>
  <c r="V945" i="1"/>
  <c r="W944" i="1"/>
  <c r="V944" i="1"/>
  <c r="W943" i="1"/>
  <c r="V943" i="1"/>
  <c r="W942" i="1"/>
  <c r="V942" i="1"/>
  <c r="W941" i="1"/>
  <c r="V941" i="1"/>
  <c r="W940" i="1"/>
  <c r="V940" i="1"/>
  <c r="W939" i="1"/>
  <c r="V939" i="1"/>
  <c r="W938" i="1"/>
  <c r="V938" i="1"/>
  <c r="W937" i="1"/>
  <c r="V937" i="1"/>
  <c r="W936" i="1"/>
  <c r="V936" i="1"/>
  <c r="W935" i="1"/>
  <c r="V935" i="1"/>
  <c r="W934" i="1"/>
  <c r="V934" i="1"/>
  <c r="W933" i="1"/>
  <c r="V933" i="1"/>
  <c r="W932" i="1"/>
  <c r="V932" i="1"/>
  <c r="W931" i="1"/>
  <c r="V931" i="1"/>
  <c r="W930" i="1"/>
  <c r="V930" i="1"/>
  <c r="W929" i="1"/>
  <c r="V929" i="1"/>
  <c r="W928" i="1"/>
  <c r="V928" i="1"/>
  <c r="W927" i="1"/>
  <c r="V927" i="1"/>
  <c r="W926" i="1"/>
  <c r="V926" i="1"/>
  <c r="W925" i="1"/>
  <c r="V925" i="1"/>
  <c r="W924" i="1"/>
  <c r="V924" i="1"/>
  <c r="W923" i="1"/>
  <c r="V923" i="1"/>
  <c r="W922" i="1"/>
  <c r="V922" i="1"/>
  <c r="W921" i="1"/>
  <c r="V921" i="1"/>
  <c r="W920" i="1"/>
  <c r="V920" i="1"/>
  <c r="W919" i="1"/>
  <c r="V919" i="1"/>
  <c r="W918" i="1"/>
  <c r="V918" i="1"/>
  <c r="W917" i="1"/>
  <c r="V917" i="1"/>
  <c r="W916" i="1"/>
  <c r="V916" i="1"/>
  <c r="W915" i="1"/>
  <c r="V915" i="1"/>
  <c r="W914" i="1"/>
  <c r="V914" i="1"/>
  <c r="W913" i="1"/>
  <c r="V913" i="1"/>
  <c r="W912" i="1"/>
  <c r="V912" i="1"/>
  <c r="W911" i="1"/>
  <c r="V911" i="1"/>
  <c r="W910" i="1"/>
  <c r="V910" i="1"/>
  <c r="W909" i="1"/>
  <c r="V909" i="1"/>
  <c r="W908" i="1"/>
  <c r="V908" i="1"/>
  <c r="W907" i="1"/>
  <c r="V907" i="1"/>
  <c r="W906" i="1"/>
  <c r="V906" i="1"/>
  <c r="W905" i="1"/>
  <c r="V905" i="1"/>
  <c r="W904" i="1"/>
  <c r="V904" i="1"/>
  <c r="W903" i="1"/>
  <c r="V903" i="1"/>
  <c r="W902" i="1"/>
  <c r="V902" i="1"/>
  <c r="W901" i="1"/>
  <c r="V901" i="1"/>
  <c r="W900" i="1"/>
  <c r="V900" i="1"/>
  <c r="W899" i="1"/>
  <c r="V899" i="1"/>
  <c r="W898" i="1"/>
  <c r="V898" i="1"/>
  <c r="W897" i="1"/>
  <c r="V897" i="1"/>
  <c r="W896" i="1"/>
  <c r="V896" i="1"/>
  <c r="W895" i="1"/>
  <c r="V895" i="1"/>
  <c r="W894" i="1"/>
  <c r="V894" i="1"/>
  <c r="W893" i="1"/>
  <c r="V893" i="1"/>
  <c r="W892" i="1"/>
  <c r="V892" i="1"/>
  <c r="W891" i="1"/>
  <c r="V891" i="1"/>
  <c r="W890" i="1"/>
  <c r="V890" i="1"/>
  <c r="W889" i="1"/>
  <c r="V889" i="1"/>
  <c r="W888" i="1"/>
  <c r="V888" i="1"/>
  <c r="W887" i="1"/>
  <c r="V887" i="1"/>
  <c r="W886" i="1"/>
  <c r="V886" i="1"/>
  <c r="W885" i="1"/>
  <c r="V885" i="1"/>
  <c r="W884" i="1"/>
  <c r="V884" i="1"/>
  <c r="W883" i="1"/>
  <c r="V883" i="1"/>
  <c r="W882" i="1"/>
  <c r="V882" i="1"/>
  <c r="W881" i="1"/>
  <c r="V881" i="1"/>
  <c r="W880" i="1"/>
  <c r="V880" i="1"/>
  <c r="W879" i="1"/>
  <c r="V879" i="1"/>
  <c r="W878" i="1"/>
  <c r="V878" i="1"/>
  <c r="W877" i="1"/>
  <c r="V877" i="1"/>
  <c r="W876" i="1"/>
  <c r="V876" i="1"/>
  <c r="W875" i="1"/>
  <c r="V875" i="1"/>
  <c r="W874" i="1"/>
  <c r="V874" i="1"/>
  <c r="W873" i="1"/>
  <c r="V873" i="1"/>
  <c r="W872" i="1"/>
  <c r="V872" i="1"/>
  <c r="W871" i="1"/>
  <c r="V871" i="1"/>
  <c r="W870" i="1"/>
  <c r="V870" i="1"/>
  <c r="W869" i="1"/>
  <c r="V869" i="1"/>
  <c r="W868" i="1"/>
  <c r="V868" i="1"/>
  <c r="W867" i="1"/>
  <c r="V867" i="1"/>
  <c r="W866" i="1"/>
  <c r="V866" i="1"/>
  <c r="W865" i="1"/>
  <c r="V865" i="1"/>
  <c r="W864" i="1"/>
  <c r="V864" i="1"/>
  <c r="W863" i="1"/>
  <c r="V863" i="1"/>
  <c r="W862" i="1"/>
  <c r="V862" i="1"/>
  <c r="W861" i="1"/>
  <c r="V861" i="1"/>
  <c r="W860" i="1"/>
  <c r="V860" i="1"/>
  <c r="W859" i="1"/>
  <c r="V859" i="1"/>
  <c r="W858" i="1"/>
  <c r="V858" i="1"/>
  <c r="W857" i="1"/>
  <c r="V857" i="1"/>
  <c r="W856" i="1"/>
  <c r="V856" i="1"/>
  <c r="W855" i="1"/>
  <c r="V855" i="1"/>
  <c r="W854" i="1"/>
  <c r="V854" i="1"/>
  <c r="W853" i="1"/>
  <c r="V853" i="1"/>
  <c r="W852" i="1"/>
  <c r="V852" i="1"/>
  <c r="W851" i="1"/>
  <c r="V851" i="1"/>
  <c r="W850" i="1"/>
  <c r="V850" i="1"/>
  <c r="W849" i="1"/>
  <c r="V849" i="1"/>
  <c r="W848" i="1"/>
  <c r="V848" i="1"/>
  <c r="W847" i="1"/>
  <c r="V847" i="1"/>
  <c r="W846" i="1"/>
  <c r="V846" i="1"/>
  <c r="W845" i="1"/>
  <c r="V845" i="1"/>
  <c r="W844" i="1"/>
  <c r="V844" i="1"/>
  <c r="W843" i="1"/>
  <c r="V843" i="1"/>
  <c r="W842" i="1"/>
  <c r="V842" i="1"/>
  <c r="W841" i="1"/>
  <c r="V841" i="1"/>
  <c r="W840" i="1"/>
  <c r="V840" i="1"/>
  <c r="W839" i="1"/>
  <c r="V839" i="1"/>
  <c r="W838" i="1"/>
  <c r="V838" i="1"/>
  <c r="W837" i="1"/>
  <c r="V837" i="1"/>
  <c r="W836" i="1"/>
  <c r="V836" i="1"/>
  <c r="W835" i="1"/>
  <c r="V835" i="1"/>
  <c r="W834" i="1"/>
  <c r="V834" i="1"/>
  <c r="W833" i="1"/>
  <c r="V833" i="1"/>
  <c r="W832" i="1"/>
  <c r="V832" i="1"/>
  <c r="W831" i="1"/>
  <c r="V831" i="1"/>
  <c r="W830" i="1"/>
  <c r="V830" i="1"/>
  <c r="W829" i="1"/>
  <c r="V829" i="1"/>
  <c r="W828" i="1"/>
  <c r="V828" i="1"/>
  <c r="W827" i="1"/>
  <c r="V827" i="1"/>
  <c r="W826" i="1"/>
  <c r="V826" i="1"/>
  <c r="W825" i="1"/>
  <c r="V825" i="1"/>
  <c r="W824" i="1"/>
  <c r="V824" i="1"/>
  <c r="W823" i="1"/>
  <c r="V823" i="1"/>
  <c r="W822" i="1"/>
  <c r="V822" i="1"/>
  <c r="W821" i="1"/>
  <c r="V821" i="1"/>
  <c r="W820" i="1"/>
  <c r="V820" i="1"/>
  <c r="W819" i="1"/>
  <c r="V819" i="1"/>
  <c r="W818" i="1"/>
  <c r="V818" i="1"/>
  <c r="W817" i="1"/>
  <c r="V817" i="1"/>
  <c r="W816" i="1"/>
  <c r="V816" i="1"/>
  <c r="W815" i="1"/>
  <c r="V815" i="1"/>
  <c r="W814" i="1"/>
  <c r="V814" i="1"/>
  <c r="W813" i="1"/>
  <c r="V813" i="1"/>
  <c r="W812" i="1"/>
  <c r="V812" i="1"/>
  <c r="W811" i="1"/>
  <c r="V811" i="1"/>
  <c r="W810" i="1"/>
  <c r="V810" i="1"/>
  <c r="W809" i="1"/>
  <c r="V809" i="1"/>
  <c r="W808" i="1"/>
  <c r="V808" i="1"/>
  <c r="W807" i="1"/>
  <c r="V807" i="1"/>
  <c r="W806" i="1"/>
  <c r="V806" i="1"/>
  <c r="W805" i="1"/>
  <c r="V805" i="1"/>
  <c r="W804" i="1"/>
  <c r="V804" i="1"/>
  <c r="W803" i="1"/>
  <c r="V803" i="1"/>
  <c r="W802" i="1"/>
  <c r="V802" i="1"/>
  <c r="W801" i="1"/>
  <c r="V801" i="1"/>
  <c r="W800" i="1"/>
  <c r="V800" i="1"/>
  <c r="W799" i="1"/>
  <c r="V799" i="1"/>
  <c r="W798" i="1"/>
  <c r="V798" i="1"/>
  <c r="W797" i="1"/>
  <c r="V797" i="1"/>
  <c r="W796" i="1"/>
  <c r="V796" i="1"/>
  <c r="W795" i="1"/>
  <c r="V795" i="1"/>
  <c r="W794" i="1"/>
  <c r="V794" i="1"/>
  <c r="W793" i="1"/>
  <c r="V793" i="1"/>
  <c r="W792" i="1"/>
  <c r="V792" i="1"/>
  <c r="W791" i="1"/>
  <c r="V791" i="1"/>
  <c r="W790" i="1"/>
  <c r="V790" i="1"/>
  <c r="W789" i="1"/>
  <c r="V789" i="1"/>
  <c r="W788" i="1"/>
  <c r="V788" i="1"/>
  <c r="W787" i="1"/>
  <c r="V787" i="1"/>
  <c r="W786" i="1"/>
  <c r="V786" i="1"/>
  <c r="W785" i="1"/>
  <c r="V785" i="1"/>
  <c r="W784" i="1"/>
  <c r="V784" i="1"/>
  <c r="W783" i="1"/>
  <c r="V783" i="1"/>
  <c r="W782" i="1"/>
  <c r="V782" i="1"/>
  <c r="W781" i="1"/>
  <c r="V781" i="1"/>
  <c r="W780" i="1"/>
  <c r="V780" i="1"/>
  <c r="W779" i="1"/>
  <c r="V779" i="1"/>
  <c r="W778" i="1"/>
  <c r="V778" i="1"/>
  <c r="W777" i="1"/>
  <c r="V777" i="1"/>
  <c r="W776" i="1"/>
  <c r="V776" i="1"/>
  <c r="W775" i="1"/>
  <c r="V775" i="1"/>
  <c r="W774" i="1"/>
  <c r="V774" i="1"/>
  <c r="W773" i="1"/>
  <c r="V773" i="1"/>
  <c r="W772" i="1"/>
  <c r="V772" i="1"/>
  <c r="W771" i="1"/>
  <c r="V771" i="1"/>
  <c r="W770" i="1"/>
  <c r="V770" i="1"/>
  <c r="W769" i="1"/>
  <c r="V769" i="1"/>
  <c r="W768" i="1"/>
  <c r="V768" i="1"/>
  <c r="W767" i="1"/>
  <c r="V767" i="1"/>
  <c r="W766" i="1"/>
  <c r="V766" i="1"/>
  <c r="W765" i="1"/>
  <c r="V765" i="1"/>
  <c r="W764" i="1"/>
  <c r="V764" i="1"/>
  <c r="W763" i="1"/>
  <c r="V763" i="1"/>
  <c r="W762" i="1"/>
  <c r="V762" i="1"/>
  <c r="W761" i="1"/>
  <c r="V761" i="1"/>
  <c r="W760" i="1"/>
  <c r="V760" i="1"/>
  <c r="W759" i="1"/>
  <c r="V759" i="1"/>
  <c r="W758" i="1"/>
  <c r="V758" i="1"/>
  <c r="W757" i="1"/>
  <c r="V757" i="1"/>
  <c r="W756" i="1"/>
  <c r="V756" i="1"/>
  <c r="W755" i="1"/>
  <c r="V755" i="1"/>
  <c r="W754" i="1"/>
  <c r="V754" i="1"/>
  <c r="W753" i="1"/>
  <c r="V753" i="1"/>
  <c r="W752" i="1"/>
  <c r="V752" i="1"/>
  <c r="W751" i="1"/>
  <c r="V751" i="1"/>
  <c r="W750" i="1"/>
  <c r="V750" i="1"/>
  <c r="W749" i="1"/>
  <c r="V749" i="1"/>
  <c r="W748" i="1"/>
  <c r="V748" i="1"/>
  <c r="W747" i="1"/>
  <c r="V747" i="1"/>
  <c r="W746" i="1"/>
  <c r="V746" i="1"/>
  <c r="W745" i="1"/>
  <c r="V745" i="1"/>
  <c r="W744" i="1"/>
  <c r="V744" i="1"/>
  <c r="W743" i="1"/>
  <c r="V743" i="1"/>
  <c r="W742" i="1"/>
  <c r="V742" i="1"/>
  <c r="W741" i="1"/>
  <c r="V741" i="1"/>
  <c r="W740" i="1"/>
  <c r="V740" i="1"/>
  <c r="W739" i="1"/>
  <c r="V739" i="1"/>
  <c r="W738" i="1"/>
  <c r="V738" i="1"/>
  <c r="W737" i="1"/>
  <c r="V737" i="1"/>
  <c r="W736" i="1"/>
  <c r="V736" i="1"/>
  <c r="W735" i="1"/>
  <c r="V735" i="1"/>
  <c r="W734" i="1"/>
  <c r="V734" i="1"/>
  <c r="W733" i="1"/>
  <c r="V733" i="1"/>
  <c r="W732" i="1"/>
  <c r="V732" i="1"/>
  <c r="W731" i="1"/>
  <c r="V731" i="1"/>
  <c r="W730" i="1"/>
  <c r="V730" i="1"/>
  <c r="W729" i="1"/>
  <c r="V729" i="1"/>
  <c r="W728" i="1"/>
  <c r="V728" i="1"/>
  <c r="W727" i="1"/>
  <c r="V727" i="1"/>
  <c r="W726" i="1"/>
  <c r="V726" i="1"/>
  <c r="W725" i="1"/>
  <c r="V725" i="1"/>
  <c r="W724" i="1"/>
  <c r="V724" i="1"/>
  <c r="W723" i="1"/>
  <c r="V723" i="1"/>
  <c r="W722" i="1"/>
  <c r="V722" i="1"/>
  <c r="W721" i="1"/>
  <c r="V721" i="1"/>
  <c r="W720" i="1"/>
  <c r="V720" i="1"/>
  <c r="W719" i="1"/>
  <c r="V719" i="1"/>
  <c r="W718" i="1"/>
  <c r="V718" i="1"/>
  <c r="W717" i="1"/>
  <c r="V717" i="1"/>
  <c r="W716" i="1"/>
  <c r="V716" i="1"/>
  <c r="W715" i="1"/>
  <c r="V715" i="1"/>
  <c r="W714" i="1"/>
  <c r="V714" i="1"/>
  <c r="W713" i="1"/>
  <c r="V713" i="1"/>
  <c r="W712" i="1"/>
  <c r="V712" i="1"/>
  <c r="W711" i="1"/>
  <c r="V711" i="1"/>
  <c r="W710" i="1"/>
  <c r="V710" i="1"/>
  <c r="W709" i="1"/>
  <c r="V709" i="1"/>
  <c r="W708" i="1"/>
  <c r="V708" i="1"/>
  <c r="W707" i="1"/>
  <c r="V707" i="1"/>
  <c r="W706" i="1"/>
  <c r="V706" i="1"/>
  <c r="W705" i="1"/>
  <c r="V705" i="1"/>
  <c r="W704" i="1"/>
  <c r="V704" i="1"/>
  <c r="W703" i="1"/>
  <c r="V703" i="1"/>
  <c r="W702" i="1"/>
  <c r="V702" i="1"/>
  <c r="W701" i="1"/>
  <c r="V701" i="1"/>
  <c r="W700" i="1"/>
  <c r="V700" i="1"/>
  <c r="W699" i="1"/>
  <c r="V699" i="1"/>
  <c r="W698" i="1"/>
  <c r="V698" i="1"/>
  <c r="W697" i="1"/>
  <c r="V697" i="1"/>
  <c r="W696" i="1"/>
  <c r="V696" i="1"/>
  <c r="W695" i="1"/>
  <c r="V695" i="1"/>
  <c r="W694" i="1"/>
  <c r="V694" i="1"/>
  <c r="W693" i="1"/>
  <c r="V693" i="1"/>
  <c r="W692" i="1"/>
  <c r="V692" i="1"/>
  <c r="W691" i="1"/>
  <c r="V691" i="1"/>
  <c r="W690" i="1"/>
  <c r="V690" i="1"/>
  <c r="W689" i="1"/>
  <c r="V689" i="1"/>
  <c r="W688" i="1"/>
  <c r="V688" i="1"/>
  <c r="W687" i="1"/>
  <c r="V687" i="1"/>
  <c r="W686" i="1"/>
  <c r="V686" i="1"/>
  <c r="W685" i="1"/>
  <c r="V685" i="1"/>
  <c r="W684" i="1"/>
  <c r="V684" i="1"/>
  <c r="W683" i="1"/>
  <c r="V683" i="1"/>
  <c r="W682" i="1"/>
  <c r="V682" i="1"/>
  <c r="W681" i="1"/>
  <c r="V681" i="1"/>
  <c r="W680" i="1"/>
  <c r="V680" i="1"/>
  <c r="W679" i="1"/>
  <c r="V679" i="1"/>
  <c r="W678" i="1"/>
  <c r="V678" i="1"/>
  <c r="W677" i="1"/>
  <c r="V677" i="1"/>
  <c r="W676" i="1"/>
  <c r="V676" i="1"/>
  <c r="W675" i="1"/>
  <c r="V675" i="1"/>
  <c r="W674" i="1"/>
  <c r="V674" i="1"/>
  <c r="W673" i="1"/>
  <c r="V673" i="1"/>
  <c r="W672" i="1"/>
  <c r="V672" i="1"/>
  <c r="W671" i="1"/>
  <c r="V671" i="1"/>
  <c r="W670" i="1"/>
  <c r="V670" i="1"/>
  <c r="W669" i="1"/>
  <c r="V669" i="1"/>
  <c r="W668" i="1"/>
  <c r="V668" i="1"/>
  <c r="W667" i="1"/>
  <c r="V667" i="1"/>
  <c r="W666" i="1"/>
  <c r="V666" i="1"/>
  <c r="W665" i="1"/>
  <c r="V665" i="1"/>
  <c r="W664" i="1"/>
  <c r="V664" i="1"/>
  <c r="W663" i="1"/>
  <c r="V663" i="1"/>
  <c r="W662" i="1"/>
  <c r="V662" i="1"/>
  <c r="W661" i="1"/>
  <c r="V661" i="1"/>
  <c r="W660" i="1"/>
  <c r="V660" i="1"/>
  <c r="W659" i="1"/>
  <c r="V659" i="1"/>
  <c r="W658" i="1"/>
  <c r="V658" i="1"/>
  <c r="W657" i="1"/>
  <c r="V657" i="1"/>
  <c r="W656" i="1"/>
  <c r="V656" i="1"/>
  <c r="W655" i="1"/>
  <c r="V655" i="1"/>
  <c r="W654" i="1"/>
  <c r="V654" i="1"/>
  <c r="W653" i="1"/>
  <c r="V653" i="1"/>
  <c r="W652" i="1"/>
  <c r="V652" i="1"/>
  <c r="W651" i="1"/>
  <c r="V651" i="1"/>
  <c r="W650" i="1"/>
  <c r="V650" i="1"/>
  <c r="W649" i="1"/>
  <c r="V649" i="1"/>
  <c r="W648" i="1"/>
  <c r="V648" i="1"/>
  <c r="W647" i="1"/>
  <c r="V647" i="1"/>
  <c r="W646" i="1"/>
  <c r="V646" i="1"/>
  <c r="W645" i="1"/>
  <c r="V645" i="1"/>
  <c r="W644" i="1"/>
  <c r="V644" i="1"/>
  <c r="W643" i="1"/>
  <c r="V643" i="1"/>
  <c r="W642" i="1"/>
  <c r="V642" i="1"/>
  <c r="W641" i="1"/>
  <c r="V641" i="1"/>
  <c r="W640" i="1"/>
  <c r="V640" i="1"/>
  <c r="W639" i="1"/>
  <c r="V639" i="1"/>
  <c r="W638" i="1"/>
  <c r="V638" i="1"/>
  <c r="W637" i="1"/>
  <c r="V637" i="1"/>
  <c r="W636" i="1"/>
  <c r="V636" i="1"/>
  <c r="W635" i="1"/>
  <c r="V635" i="1"/>
  <c r="W634" i="1"/>
  <c r="V634" i="1"/>
  <c r="W633" i="1"/>
  <c r="V633" i="1"/>
  <c r="W632" i="1"/>
  <c r="V632" i="1"/>
  <c r="W631" i="1"/>
  <c r="V631" i="1"/>
  <c r="W630" i="1"/>
  <c r="V630" i="1"/>
  <c r="W629" i="1"/>
  <c r="V629" i="1"/>
  <c r="W628" i="1"/>
  <c r="V628" i="1"/>
  <c r="W627" i="1"/>
  <c r="V627" i="1"/>
  <c r="W626" i="1"/>
  <c r="V626" i="1"/>
  <c r="W625" i="1"/>
  <c r="V625" i="1"/>
  <c r="W624" i="1"/>
  <c r="V624" i="1"/>
  <c r="W623" i="1"/>
  <c r="V623" i="1"/>
  <c r="W622" i="1"/>
  <c r="V622" i="1"/>
  <c r="W621" i="1"/>
  <c r="V621" i="1"/>
  <c r="W620" i="1"/>
  <c r="V620" i="1"/>
  <c r="W619" i="1"/>
  <c r="V619" i="1"/>
  <c r="W618" i="1"/>
  <c r="V618" i="1"/>
  <c r="W617" i="1"/>
  <c r="V617" i="1"/>
  <c r="W616" i="1"/>
  <c r="V616" i="1"/>
  <c r="W615" i="1"/>
  <c r="V615" i="1"/>
  <c r="W614" i="1"/>
  <c r="V614" i="1"/>
  <c r="W613" i="1"/>
  <c r="V613" i="1"/>
  <c r="W612" i="1"/>
  <c r="V612" i="1"/>
  <c r="W611" i="1"/>
  <c r="V611" i="1"/>
  <c r="W610" i="1"/>
  <c r="V610" i="1"/>
  <c r="W609" i="1"/>
  <c r="V609" i="1"/>
  <c r="W608" i="1"/>
  <c r="V608" i="1"/>
  <c r="W607" i="1"/>
  <c r="V607" i="1"/>
  <c r="W606" i="1"/>
  <c r="V606" i="1"/>
  <c r="W605" i="1"/>
  <c r="V605" i="1"/>
  <c r="W604" i="1"/>
  <c r="V604" i="1"/>
  <c r="W603" i="1"/>
  <c r="V603" i="1"/>
  <c r="W602" i="1"/>
  <c r="V602" i="1"/>
  <c r="W601" i="1"/>
  <c r="V601" i="1"/>
  <c r="W600" i="1"/>
  <c r="V600" i="1"/>
  <c r="W599" i="1"/>
  <c r="V599" i="1"/>
  <c r="W598" i="1"/>
  <c r="V598" i="1"/>
  <c r="W597" i="1"/>
  <c r="V597" i="1"/>
  <c r="W596" i="1"/>
  <c r="V596" i="1"/>
  <c r="W595" i="1"/>
  <c r="V595" i="1"/>
  <c r="W594" i="1"/>
  <c r="V594" i="1"/>
  <c r="W593" i="1"/>
  <c r="V593" i="1"/>
  <c r="W592" i="1"/>
  <c r="V592" i="1"/>
  <c r="W591" i="1"/>
  <c r="V591" i="1"/>
  <c r="W590" i="1"/>
  <c r="V590" i="1"/>
  <c r="W589" i="1"/>
  <c r="V589" i="1"/>
  <c r="W588" i="1"/>
  <c r="V588" i="1"/>
  <c r="W587" i="1"/>
  <c r="V587" i="1"/>
  <c r="W586" i="1"/>
  <c r="V586" i="1"/>
  <c r="W585" i="1"/>
  <c r="V585" i="1"/>
  <c r="W584" i="1"/>
  <c r="V584" i="1"/>
  <c r="W583" i="1"/>
  <c r="V583" i="1"/>
  <c r="W582" i="1"/>
  <c r="V582" i="1"/>
  <c r="W581" i="1"/>
  <c r="V581" i="1"/>
  <c r="W580" i="1"/>
  <c r="V580" i="1"/>
  <c r="W579" i="1"/>
  <c r="V579" i="1"/>
  <c r="W578" i="1"/>
  <c r="V578" i="1"/>
  <c r="W577" i="1"/>
  <c r="V577" i="1"/>
  <c r="W576" i="1"/>
  <c r="V576" i="1"/>
  <c r="W575" i="1"/>
  <c r="V575" i="1"/>
  <c r="W574" i="1"/>
  <c r="V574" i="1"/>
  <c r="W573" i="1"/>
  <c r="V573" i="1"/>
  <c r="W572" i="1"/>
  <c r="V572" i="1"/>
  <c r="W571" i="1"/>
  <c r="V571" i="1"/>
  <c r="W570" i="1"/>
  <c r="V570" i="1"/>
  <c r="W569" i="1"/>
  <c r="V569" i="1"/>
  <c r="W568" i="1"/>
  <c r="V568" i="1"/>
  <c r="W567" i="1"/>
  <c r="V567" i="1"/>
  <c r="W566" i="1"/>
  <c r="V566" i="1"/>
  <c r="W565" i="1"/>
  <c r="V565" i="1"/>
  <c r="W564" i="1"/>
  <c r="V564" i="1"/>
  <c r="W563" i="1"/>
  <c r="V563" i="1"/>
  <c r="W562" i="1"/>
  <c r="V562" i="1"/>
  <c r="W561" i="1"/>
  <c r="V561" i="1"/>
  <c r="W560" i="1"/>
  <c r="V560" i="1"/>
  <c r="W559" i="1"/>
  <c r="V559" i="1"/>
  <c r="W558" i="1"/>
  <c r="V558" i="1"/>
  <c r="W557" i="1"/>
  <c r="V557" i="1"/>
  <c r="W556" i="1"/>
  <c r="V556" i="1"/>
  <c r="W555" i="1"/>
  <c r="V555" i="1"/>
  <c r="W554" i="1"/>
  <c r="V554" i="1"/>
  <c r="W553" i="1"/>
  <c r="V553" i="1"/>
  <c r="W552" i="1"/>
  <c r="V552" i="1"/>
  <c r="W551" i="1"/>
  <c r="V551" i="1"/>
  <c r="W550" i="1"/>
  <c r="V550" i="1"/>
  <c r="W549" i="1"/>
  <c r="V549" i="1"/>
  <c r="W548" i="1"/>
  <c r="V548" i="1"/>
  <c r="W547" i="1"/>
  <c r="V547" i="1"/>
  <c r="W546" i="1"/>
  <c r="V546" i="1"/>
  <c r="W545" i="1"/>
  <c r="V545" i="1"/>
  <c r="W544" i="1"/>
  <c r="V544" i="1"/>
  <c r="W543" i="1"/>
  <c r="V543" i="1"/>
  <c r="W542" i="1"/>
  <c r="V542" i="1"/>
  <c r="W541" i="1"/>
  <c r="V541" i="1"/>
  <c r="W540" i="1"/>
  <c r="V540" i="1"/>
  <c r="W539" i="1"/>
  <c r="V539" i="1"/>
  <c r="W538" i="1"/>
  <c r="V538" i="1"/>
  <c r="W537" i="1"/>
  <c r="V537" i="1"/>
  <c r="W536" i="1"/>
  <c r="V536" i="1"/>
  <c r="W535" i="1"/>
  <c r="V535" i="1"/>
  <c r="W534" i="1"/>
  <c r="V534" i="1"/>
  <c r="W533" i="1"/>
  <c r="V533" i="1"/>
  <c r="W532" i="1"/>
  <c r="V532" i="1"/>
  <c r="W531" i="1"/>
  <c r="V531" i="1"/>
  <c r="W530" i="1"/>
  <c r="V530" i="1"/>
  <c r="W529" i="1"/>
  <c r="V529" i="1"/>
  <c r="W528" i="1"/>
  <c r="V528" i="1"/>
  <c r="W527" i="1"/>
  <c r="V527" i="1"/>
  <c r="W526" i="1"/>
  <c r="V526" i="1"/>
  <c r="W525" i="1"/>
  <c r="V525" i="1"/>
  <c r="W524" i="1"/>
  <c r="V524" i="1"/>
  <c r="W523" i="1"/>
  <c r="V523" i="1"/>
  <c r="W522" i="1"/>
  <c r="V522" i="1"/>
  <c r="W521" i="1"/>
  <c r="V521" i="1"/>
  <c r="W520" i="1"/>
  <c r="V520" i="1"/>
  <c r="W519" i="1"/>
  <c r="V519" i="1"/>
  <c r="W518" i="1"/>
  <c r="V518" i="1"/>
  <c r="W517" i="1"/>
  <c r="V517" i="1"/>
  <c r="W516" i="1"/>
  <c r="V516" i="1"/>
  <c r="W515" i="1"/>
  <c r="V515" i="1"/>
  <c r="W514" i="1"/>
  <c r="V514" i="1"/>
  <c r="W513" i="1"/>
  <c r="V513" i="1"/>
  <c r="W512" i="1"/>
  <c r="V512" i="1"/>
  <c r="W511" i="1"/>
  <c r="V511" i="1"/>
  <c r="W510" i="1"/>
  <c r="V510" i="1"/>
  <c r="W509" i="1"/>
  <c r="V509" i="1"/>
  <c r="W508" i="1"/>
  <c r="V508" i="1"/>
  <c r="W507" i="1"/>
  <c r="V507" i="1"/>
  <c r="W506" i="1"/>
  <c r="V506" i="1"/>
  <c r="W505" i="1"/>
  <c r="V505" i="1"/>
  <c r="W504" i="1"/>
  <c r="V504" i="1"/>
  <c r="W503" i="1"/>
  <c r="V503" i="1"/>
  <c r="W502" i="1"/>
  <c r="V502" i="1"/>
  <c r="W501" i="1"/>
  <c r="V501" i="1"/>
  <c r="W500" i="1"/>
  <c r="V500" i="1"/>
  <c r="W499" i="1"/>
  <c r="V499" i="1"/>
  <c r="W498" i="1"/>
  <c r="V498" i="1"/>
  <c r="W497" i="1"/>
  <c r="V497" i="1"/>
  <c r="W496" i="1"/>
  <c r="V496" i="1"/>
  <c r="W495" i="1"/>
  <c r="V495" i="1"/>
  <c r="W494" i="1"/>
  <c r="V494" i="1"/>
  <c r="W493" i="1"/>
  <c r="V493" i="1"/>
  <c r="W492" i="1"/>
  <c r="V492" i="1"/>
  <c r="W491" i="1"/>
  <c r="V491" i="1"/>
  <c r="W490" i="1"/>
  <c r="V490" i="1"/>
  <c r="W489" i="1"/>
  <c r="V489" i="1"/>
  <c r="W488" i="1"/>
  <c r="V488" i="1"/>
  <c r="W487" i="1"/>
  <c r="V487" i="1"/>
  <c r="W486" i="1"/>
  <c r="V486" i="1"/>
  <c r="W485" i="1"/>
  <c r="V485" i="1"/>
  <c r="W484" i="1"/>
  <c r="V484" i="1"/>
  <c r="W483" i="1"/>
  <c r="V483" i="1"/>
  <c r="W482" i="1"/>
  <c r="V482" i="1"/>
  <c r="W481" i="1"/>
  <c r="V481" i="1"/>
  <c r="W480" i="1"/>
  <c r="V480" i="1"/>
  <c r="W479" i="1"/>
  <c r="V479" i="1"/>
  <c r="W478" i="1"/>
  <c r="V478" i="1"/>
  <c r="W477" i="1"/>
  <c r="V477" i="1"/>
  <c r="W476" i="1"/>
  <c r="V476" i="1"/>
  <c r="W475" i="1"/>
  <c r="V475" i="1"/>
  <c r="W474" i="1"/>
  <c r="V474" i="1"/>
  <c r="W473" i="1"/>
  <c r="V473" i="1"/>
  <c r="W472" i="1"/>
  <c r="V472" i="1"/>
  <c r="W471" i="1"/>
  <c r="V471" i="1"/>
  <c r="W470" i="1"/>
  <c r="V470" i="1"/>
  <c r="W469" i="1"/>
  <c r="V469" i="1"/>
  <c r="W468" i="1"/>
  <c r="V468" i="1"/>
  <c r="W467" i="1"/>
  <c r="V467" i="1"/>
  <c r="W466" i="1"/>
  <c r="V466" i="1"/>
  <c r="W465" i="1"/>
  <c r="V465" i="1"/>
  <c r="W464" i="1"/>
  <c r="V464" i="1"/>
  <c r="W463" i="1"/>
  <c r="V463" i="1"/>
  <c r="W462" i="1"/>
  <c r="V462" i="1"/>
  <c r="W461" i="1"/>
  <c r="V461" i="1"/>
  <c r="W460" i="1"/>
  <c r="V460" i="1"/>
  <c r="W459" i="1"/>
  <c r="V459" i="1"/>
  <c r="W458" i="1"/>
  <c r="V458" i="1"/>
  <c r="W457" i="1"/>
  <c r="V457" i="1"/>
  <c r="W456" i="1"/>
  <c r="V456" i="1"/>
  <c r="W455" i="1"/>
  <c r="V455" i="1"/>
  <c r="W454" i="1"/>
  <c r="V454" i="1"/>
  <c r="W453" i="1"/>
  <c r="V453" i="1"/>
  <c r="W452" i="1"/>
  <c r="V452" i="1"/>
  <c r="W451" i="1"/>
  <c r="V451" i="1"/>
  <c r="W450" i="1"/>
  <c r="V450" i="1"/>
  <c r="W449" i="1"/>
  <c r="V449" i="1"/>
  <c r="W448" i="1"/>
  <c r="V448" i="1"/>
  <c r="W447" i="1"/>
  <c r="V447" i="1"/>
  <c r="W446" i="1"/>
  <c r="V446" i="1"/>
  <c r="W445" i="1"/>
  <c r="V445" i="1"/>
  <c r="W444" i="1"/>
  <c r="V444" i="1"/>
  <c r="W443" i="1"/>
  <c r="V443" i="1"/>
  <c r="W442" i="1"/>
  <c r="V442" i="1"/>
  <c r="W441" i="1"/>
  <c r="V441" i="1"/>
  <c r="W440" i="1"/>
  <c r="V440" i="1"/>
  <c r="W439" i="1"/>
  <c r="V439" i="1"/>
  <c r="W438" i="1"/>
  <c r="V438" i="1"/>
  <c r="W437" i="1"/>
  <c r="V437" i="1"/>
  <c r="W436" i="1"/>
  <c r="V436" i="1"/>
  <c r="W435" i="1"/>
  <c r="V435" i="1"/>
  <c r="W434" i="1"/>
  <c r="V434" i="1"/>
  <c r="W433" i="1"/>
  <c r="V433" i="1"/>
  <c r="W432" i="1"/>
  <c r="V432" i="1"/>
  <c r="W431" i="1"/>
  <c r="V431" i="1"/>
  <c r="W430" i="1"/>
  <c r="V430" i="1"/>
  <c r="W429" i="1"/>
  <c r="V429" i="1"/>
  <c r="W428" i="1"/>
  <c r="V428" i="1"/>
  <c r="W427" i="1"/>
  <c r="V427" i="1"/>
  <c r="W426" i="1"/>
  <c r="V426" i="1"/>
  <c r="W425" i="1"/>
  <c r="V425" i="1"/>
  <c r="W424" i="1"/>
  <c r="V424" i="1"/>
  <c r="W423" i="1"/>
  <c r="V423" i="1"/>
  <c r="W422" i="1"/>
  <c r="V422" i="1"/>
  <c r="W421" i="1"/>
  <c r="V421" i="1"/>
  <c r="W420" i="1"/>
  <c r="V420" i="1"/>
  <c r="W419" i="1"/>
  <c r="V419" i="1"/>
  <c r="W418" i="1"/>
  <c r="V418" i="1"/>
  <c r="W417" i="1"/>
  <c r="V417" i="1"/>
  <c r="W416" i="1"/>
  <c r="V416" i="1"/>
  <c r="W415" i="1"/>
  <c r="V415" i="1"/>
  <c r="W414" i="1"/>
  <c r="V414" i="1"/>
  <c r="W413" i="1"/>
  <c r="V413" i="1"/>
  <c r="W412" i="1"/>
  <c r="V412" i="1"/>
  <c r="W411" i="1"/>
  <c r="V411" i="1"/>
  <c r="W410" i="1"/>
  <c r="V410" i="1"/>
  <c r="W409" i="1"/>
  <c r="V409" i="1"/>
  <c r="W408" i="1"/>
  <c r="V408" i="1"/>
  <c r="W407" i="1"/>
  <c r="V407" i="1"/>
  <c r="W406" i="1"/>
  <c r="V406" i="1"/>
  <c r="W405" i="1"/>
  <c r="V405" i="1"/>
  <c r="W404" i="1"/>
  <c r="V404" i="1"/>
  <c r="W403" i="1"/>
  <c r="V403" i="1"/>
  <c r="W402" i="1"/>
  <c r="V402" i="1"/>
  <c r="W401" i="1"/>
  <c r="V401" i="1"/>
  <c r="W400" i="1"/>
  <c r="V400" i="1"/>
  <c r="W399" i="1"/>
  <c r="V399" i="1"/>
  <c r="W398" i="1"/>
  <c r="V398" i="1"/>
  <c r="W397" i="1"/>
  <c r="V397" i="1"/>
  <c r="W396" i="1"/>
  <c r="V396" i="1"/>
  <c r="W395" i="1"/>
  <c r="V395" i="1"/>
  <c r="W394" i="1"/>
  <c r="V394" i="1"/>
  <c r="W393" i="1"/>
  <c r="V393" i="1"/>
  <c r="W392" i="1"/>
  <c r="V392" i="1"/>
  <c r="W391" i="1"/>
  <c r="V391" i="1"/>
  <c r="W390" i="1"/>
  <c r="V390" i="1"/>
  <c r="W389" i="1"/>
  <c r="V389" i="1"/>
  <c r="W388" i="1"/>
  <c r="V388" i="1"/>
  <c r="W387" i="1"/>
  <c r="V387" i="1"/>
  <c r="W386" i="1"/>
  <c r="V386" i="1"/>
  <c r="W385" i="1"/>
  <c r="V385" i="1"/>
  <c r="W384" i="1"/>
  <c r="V384" i="1"/>
  <c r="W383" i="1"/>
  <c r="V383" i="1"/>
  <c r="W382" i="1"/>
  <c r="V382" i="1"/>
  <c r="W381" i="1"/>
  <c r="V381" i="1"/>
  <c r="W380" i="1"/>
  <c r="V380" i="1"/>
  <c r="W379" i="1"/>
  <c r="V379" i="1"/>
  <c r="W378" i="1"/>
  <c r="V378" i="1"/>
  <c r="W377" i="1"/>
  <c r="V377" i="1"/>
  <c r="W376" i="1"/>
  <c r="V376" i="1"/>
  <c r="W375" i="1"/>
  <c r="V375" i="1"/>
  <c r="W374" i="1"/>
  <c r="V374" i="1"/>
  <c r="W373" i="1"/>
  <c r="V373" i="1"/>
  <c r="W372" i="1"/>
  <c r="V372" i="1"/>
  <c r="W371" i="1"/>
  <c r="V371" i="1"/>
  <c r="W370" i="1"/>
  <c r="V370" i="1"/>
  <c r="W369" i="1"/>
  <c r="V369" i="1"/>
  <c r="W368" i="1"/>
  <c r="V368" i="1"/>
  <c r="W367" i="1"/>
  <c r="V367" i="1"/>
  <c r="W366" i="1"/>
  <c r="V366" i="1"/>
  <c r="W365" i="1"/>
  <c r="V365" i="1"/>
  <c r="W364" i="1"/>
  <c r="V364" i="1"/>
  <c r="W363" i="1"/>
  <c r="V363" i="1"/>
  <c r="W362" i="1"/>
  <c r="V362" i="1"/>
  <c r="W361" i="1"/>
  <c r="V361" i="1"/>
  <c r="W360" i="1"/>
  <c r="V360" i="1"/>
  <c r="W359" i="1"/>
  <c r="V359" i="1"/>
  <c r="W358" i="1"/>
  <c r="V358" i="1"/>
  <c r="W357" i="1"/>
  <c r="V357" i="1"/>
  <c r="W356" i="1"/>
  <c r="V356" i="1"/>
  <c r="W355" i="1"/>
  <c r="V355" i="1"/>
  <c r="W354" i="1"/>
  <c r="V354" i="1"/>
  <c r="W353" i="1"/>
  <c r="V353" i="1"/>
  <c r="W352" i="1"/>
  <c r="V352" i="1"/>
  <c r="W351" i="1"/>
  <c r="V351" i="1"/>
  <c r="W350" i="1"/>
  <c r="V350" i="1"/>
  <c r="W349" i="1"/>
  <c r="V349" i="1"/>
  <c r="W348" i="1"/>
  <c r="V348" i="1"/>
  <c r="W347" i="1"/>
  <c r="V347" i="1"/>
  <c r="W346" i="1"/>
  <c r="V346" i="1"/>
  <c r="W345" i="1"/>
  <c r="V345" i="1"/>
  <c r="W344" i="1"/>
  <c r="V344" i="1"/>
  <c r="W343" i="1"/>
  <c r="V343" i="1"/>
  <c r="W342" i="1"/>
  <c r="V342" i="1"/>
  <c r="W341" i="1"/>
  <c r="V341" i="1"/>
  <c r="W340" i="1"/>
  <c r="V340" i="1"/>
  <c r="W339" i="1"/>
  <c r="V339" i="1"/>
  <c r="W338" i="1"/>
  <c r="V338" i="1"/>
  <c r="W337" i="1"/>
  <c r="V337" i="1"/>
  <c r="W336" i="1"/>
  <c r="V336" i="1"/>
  <c r="W335" i="1"/>
  <c r="V335" i="1"/>
  <c r="W334" i="1"/>
  <c r="V334" i="1"/>
  <c r="W333" i="1"/>
  <c r="V333" i="1"/>
  <c r="W332" i="1"/>
  <c r="V332" i="1"/>
  <c r="W331" i="1"/>
  <c r="V331" i="1"/>
  <c r="W330" i="1"/>
  <c r="V330" i="1"/>
  <c r="W329" i="1"/>
  <c r="V329" i="1"/>
  <c r="W328" i="1"/>
  <c r="V328" i="1"/>
  <c r="W327" i="1"/>
  <c r="V327" i="1"/>
  <c r="W326" i="1"/>
  <c r="V326" i="1"/>
  <c r="W325" i="1"/>
  <c r="V325" i="1"/>
  <c r="W324" i="1"/>
  <c r="V324" i="1"/>
  <c r="W323" i="1"/>
  <c r="V323" i="1"/>
  <c r="W322" i="1"/>
  <c r="V322" i="1"/>
  <c r="W321" i="1"/>
  <c r="V321" i="1"/>
  <c r="W320" i="1"/>
  <c r="V320" i="1"/>
  <c r="W319" i="1"/>
  <c r="V319" i="1"/>
  <c r="W318" i="1"/>
  <c r="V318" i="1"/>
  <c r="W317" i="1"/>
  <c r="V317" i="1"/>
  <c r="W316" i="1"/>
  <c r="V316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W309" i="1"/>
  <c r="V309" i="1"/>
  <c r="W308" i="1"/>
  <c r="V308" i="1"/>
  <c r="W307" i="1"/>
  <c r="V307" i="1"/>
  <c r="W306" i="1"/>
  <c r="V306" i="1"/>
  <c r="W305" i="1"/>
  <c r="V305" i="1"/>
  <c r="W304" i="1"/>
  <c r="V304" i="1"/>
  <c r="W303" i="1"/>
  <c r="V303" i="1"/>
  <c r="W302" i="1"/>
  <c r="V302" i="1"/>
  <c r="W301" i="1"/>
  <c r="V301" i="1"/>
  <c r="W300" i="1"/>
  <c r="V300" i="1"/>
  <c r="W299" i="1"/>
  <c r="V299" i="1"/>
  <c r="W298" i="1"/>
  <c r="V298" i="1"/>
  <c r="W297" i="1"/>
  <c r="V297" i="1"/>
  <c r="W296" i="1"/>
  <c r="V296" i="1"/>
  <c r="W295" i="1"/>
  <c r="V295" i="1"/>
  <c r="W294" i="1"/>
  <c r="V294" i="1"/>
  <c r="W293" i="1"/>
  <c r="V293" i="1"/>
  <c r="W292" i="1"/>
  <c r="V292" i="1"/>
  <c r="W291" i="1"/>
  <c r="V291" i="1"/>
  <c r="W290" i="1"/>
  <c r="V290" i="1"/>
  <c r="W289" i="1"/>
  <c r="V289" i="1"/>
  <c r="W288" i="1"/>
  <c r="V288" i="1"/>
  <c r="W287" i="1"/>
  <c r="V287" i="1"/>
  <c r="W286" i="1"/>
  <c r="V286" i="1"/>
  <c r="W285" i="1"/>
  <c r="V285" i="1"/>
  <c r="W284" i="1"/>
  <c r="V284" i="1"/>
  <c r="W283" i="1"/>
  <c r="V283" i="1"/>
  <c r="W282" i="1"/>
  <c r="V282" i="1"/>
  <c r="W281" i="1"/>
  <c r="V281" i="1"/>
  <c r="W280" i="1"/>
  <c r="V280" i="1"/>
  <c r="W279" i="1"/>
  <c r="V279" i="1"/>
  <c r="W278" i="1"/>
  <c r="V278" i="1"/>
  <c r="W277" i="1"/>
  <c r="V277" i="1"/>
  <c r="W276" i="1"/>
  <c r="V276" i="1"/>
  <c r="W275" i="1"/>
  <c r="V275" i="1"/>
  <c r="W274" i="1"/>
  <c r="V274" i="1"/>
  <c r="W273" i="1"/>
  <c r="V273" i="1"/>
  <c r="W272" i="1"/>
  <c r="V272" i="1"/>
  <c r="W271" i="1"/>
  <c r="V271" i="1"/>
  <c r="W270" i="1"/>
  <c r="V270" i="1"/>
  <c r="W269" i="1"/>
  <c r="V269" i="1"/>
  <c r="W268" i="1"/>
  <c r="V268" i="1"/>
  <c r="W267" i="1"/>
  <c r="V267" i="1"/>
  <c r="W266" i="1"/>
  <c r="V266" i="1"/>
  <c r="W265" i="1"/>
  <c r="V265" i="1"/>
  <c r="W264" i="1"/>
  <c r="V264" i="1"/>
  <c r="W263" i="1"/>
  <c r="V263" i="1"/>
  <c r="W262" i="1"/>
  <c r="V262" i="1"/>
  <c r="W261" i="1"/>
  <c r="V261" i="1"/>
  <c r="W260" i="1"/>
  <c r="V260" i="1"/>
  <c r="W259" i="1"/>
  <c r="V259" i="1"/>
  <c r="W258" i="1"/>
  <c r="V258" i="1"/>
  <c r="W257" i="1"/>
  <c r="V257" i="1"/>
  <c r="W256" i="1"/>
  <c r="V256" i="1"/>
  <c r="W255" i="1"/>
  <c r="V255" i="1"/>
  <c r="W254" i="1"/>
  <c r="V254" i="1"/>
  <c r="W253" i="1"/>
  <c r="V253" i="1"/>
  <c r="W252" i="1"/>
  <c r="V252" i="1"/>
  <c r="W251" i="1"/>
  <c r="V251" i="1"/>
  <c r="W250" i="1"/>
  <c r="V250" i="1"/>
  <c r="W249" i="1"/>
  <c r="V249" i="1"/>
  <c r="W248" i="1"/>
  <c r="V248" i="1"/>
  <c r="W247" i="1"/>
  <c r="V247" i="1"/>
  <c r="W246" i="1"/>
  <c r="V246" i="1"/>
  <c r="W245" i="1"/>
  <c r="V245" i="1"/>
  <c r="W244" i="1"/>
  <c r="V244" i="1"/>
  <c r="W243" i="1"/>
  <c r="V243" i="1"/>
  <c r="W242" i="1"/>
  <c r="V242" i="1"/>
  <c r="W241" i="1"/>
  <c r="V241" i="1"/>
  <c r="W240" i="1"/>
  <c r="V240" i="1"/>
  <c r="W239" i="1"/>
  <c r="V239" i="1"/>
  <c r="W238" i="1"/>
  <c r="V238" i="1"/>
  <c r="W237" i="1"/>
  <c r="V237" i="1"/>
  <c r="W236" i="1"/>
  <c r="V236" i="1"/>
  <c r="W235" i="1"/>
  <c r="V235" i="1"/>
  <c r="W234" i="1"/>
  <c r="V234" i="1"/>
  <c r="W233" i="1"/>
  <c r="V233" i="1"/>
  <c r="W232" i="1"/>
  <c r="V232" i="1"/>
  <c r="W231" i="1"/>
  <c r="V231" i="1"/>
  <c r="W230" i="1"/>
  <c r="V230" i="1"/>
  <c r="W229" i="1"/>
  <c r="V229" i="1"/>
  <c r="W228" i="1"/>
  <c r="V228" i="1"/>
  <c r="W227" i="1"/>
  <c r="V227" i="1"/>
  <c r="W226" i="1"/>
  <c r="V226" i="1"/>
  <c r="W225" i="1"/>
  <c r="V225" i="1"/>
  <c r="W224" i="1"/>
  <c r="V224" i="1"/>
  <c r="W223" i="1"/>
  <c r="V223" i="1"/>
  <c r="W222" i="1"/>
  <c r="V222" i="1"/>
  <c r="W221" i="1"/>
  <c r="V221" i="1"/>
  <c r="W220" i="1"/>
  <c r="V220" i="1"/>
  <c r="W219" i="1"/>
  <c r="V219" i="1"/>
  <c r="W218" i="1"/>
  <c r="V218" i="1"/>
  <c r="W217" i="1"/>
  <c r="V217" i="1"/>
  <c r="W216" i="1"/>
  <c r="V216" i="1"/>
  <c r="W215" i="1"/>
  <c r="V215" i="1"/>
  <c r="W214" i="1"/>
  <c r="V214" i="1"/>
  <c r="W213" i="1"/>
  <c r="V213" i="1"/>
  <c r="W212" i="1"/>
  <c r="V212" i="1"/>
  <c r="W211" i="1"/>
  <c r="V211" i="1"/>
  <c r="W210" i="1"/>
  <c r="V210" i="1"/>
  <c r="W209" i="1"/>
  <c r="V209" i="1"/>
  <c r="W208" i="1"/>
  <c r="V208" i="1"/>
  <c r="W207" i="1"/>
  <c r="V207" i="1"/>
  <c r="W206" i="1"/>
  <c r="V206" i="1"/>
  <c r="W205" i="1"/>
  <c r="V205" i="1"/>
  <c r="W204" i="1"/>
  <c r="V204" i="1"/>
  <c r="W203" i="1"/>
  <c r="V203" i="1"/>
  <c r="W202" i="1"/>
  <c r="V202" i="1"/>
  <c r="W201" i="1"/>
  <c r="V201" i="1"/>
  <c r="W200" i="1"/>
  <c r="V200" i="1"/>
  <c r="W199" i="1"/>
  <c r="V199" i="1"/>
  <c r="W198" i="1"/>
  <c r="V198" i="1"/>
  <c r="W197" i="1"/>
  <c r="V197" i="1"/>
  <c r="W196" i="1"/>
  <c r="V196" i="1"/>
  <c r="W195" i="1"/>
  <c r="V195" i="1"/>
  <c r="W194" i="1"/>
  <c r="V194" i="1"/>
  <c r="W193" i="1"/>
  <c r="V193" i="1"/>
  <c r="W192" i="1"/>
  <c r="V192" i="1"/>
  <c r="W191" i="1"/>
  <c r="V191" i="1"/>
  <c r="W190" i="1"/>
  <c r="V190" i="1"/>
  <c r="W189" i="1"/>
  <c r="V189" i="1"/>
  <c r="W188" i="1"/>
  <c r="V188" i="1"/>
  <c r="W187" i="1"/>
  <c r="V187" i="1"/>
  <c r="W186" i="1"/>
  <c r="V186" i="1"/>
  <c r="W185" i="1"/>
  <c r="V185" i="1"/>
  <c r="W184" i="1"/>
  <c r="V184" i="1"/>
  <c r="W183" i="1"/>
  <c r="V183" i="1"/>
  <c r="W182" i="1"/>
  <c r="V182" i="1"/>
  <c r="W181" i="1"/>
  <c r="V181" i="1"/>
  <c r="W180" i="1"/>
  <c r="V180" i="1"/>
  <c r="W179" i="1"/>
  <c r="V179" i="1"/>
  <c r="W178" i="1"/>
  <c r="V178" i="1"/>
  <c r="W177" i="1"/>
  <c r="V177" i="1"/>
  <c r="W176" i="1"/>
  <c r="V176" i="1"/>
  <c r="W175" i="1"/>
  <c r="V175" i="1"/>
  <c r="W174" i="1"/>
  <c r="V174" i="1"/>
  <c r="W173" i="1"/>
  <c r="V173" i="1"/>
  <c r="W172" i="1"/>
  <c r="V172" i="1"/>
  <c r="W171" i="1"/>
  <c r="V171" i="1"/>
  <c r="W170" i="1"/>
  <c r="V170" i="1"/>
  <c r="W169" i="1"/>
  <c r="V169" i="1"/>
  <c r="W168" i="1"/>
  <c r="V168" i="1"/>
  <c r="W167" i="1"/>
  <c r="V167" i="1"/>
  <c r="W166" i="1"/>
  <c r="V166" i="1"/>
  <c r="W165" i="1"/>
  <c r="V165" i="1"/>
  <c r="W164" i="1"/>
  <c r="V164" i="1"/>
  <c r="W163" i="1"/>
  <c r="V163" i="1"/>
  <c r="W162" i="1"/>
  <c r="V162" i="1"/>
  <c r="W161" i="1"/>
  <c r="V161" i="1"/>
  <c r="W160" i="1"/>
  <c r="V160" i="1"/>
  <c r="W159" i="1"/>
  <c r="V159" i="1"/>
  <c r="W158" i="1"/>
  <c r="V158" i="1"/>
  <c r="W157" i="1"/>
  <c r="V157" i="1"/>
  <c r="W156" i="1"/>
  <c r="V156" i="1"/>
  <c r="W155" i="1"/>
  <c r="V155" i="1"/>
  <c r="W154" i="1"/>
  <c r="V154" i="1"/>
  <c r="W153" i="1"/>
  <c r="V153" i="1"/>
  <c r="W152" i="1"/>
  <c r="V152" i="1"/>
  <c r="W151" i="1"/>
  <c r="V151" i="1"/>
  <c r="W150" i="1"/>
  <c r="V150" i="1"/>
  <c r="W149" i="1"/>
  <c r="V149" i="1"/>
  <c r="W148" i="1"/>
  <c r="V148" i="1"/>
  <c r="W147" i="1"/>
  <c r="V147" i="1"/>
  <c r="W146" i="1"/>
  <c r="V146" i="1"/>
  <c r="W145" i="1"/>
  <c r="V145" i="1"/>
  <c r="W144" i="1"/>
  <c r="V144" i="1"/>
  <c r="W143" i="1"/>
  <c r="V143" i="1"/>
  <c r="W142" i="1"/>
  <c r="V142" i="1"/>
  <c r="W141" i="1"/>
  <c r="V141" i="1"/>
  <c r="W140" i="1"/>
  <c r="V140" i="1"/>
  <c r="W139" i="1"/>
  <c r="V139" i="1"/>
  <c r="W138" i="1"/>
  <c r="V138" i="1"/>
  <c r="W137" i="1"/>
  <c r="V137" i="1"/>
  <c r="W136" i="1"/>
  <c r="V136" i="1"/>
  <c r="W135" i="1"/>
  <c r="V135" i="1"/>
  <c r="W134" i="1"/>
  <c r="V134" i="1"/>
  <c r="W133" i="1"/>
  <c r="V133" i="1"/>
  <c r="W132" i="1"/>
  <c r="V132" i="1"/>
  <c r="W131" i="1"/>
  <c r="V131" i="1"/>
  <c r="W130" i="1"/>
  <c r="V130" i="1"/>
  <c r="W129" i="1"/>
  <c r="V129" i="1"/>
  <c r="W128" i="1"/>
  <c r="V128" i="1"/>
  <c r="W127" i="1"/>
  <c r="V127" i="1"/>
  <c r="W126" i="1"/>
  <c r="V126" i="1"/>
  <c r="W125" i="1"/>
  <c r="V125" i="1"/>
  <c r="W124" i="1"/>
  <c r="V124" i="1"/>
  <c r="W123" i="1"/>
  <c r="V123" i="1"/>
  <c r="W122" i="1"/>
  <c r="V122" i="1"/>
  <c r="W121" i="1"/>
  <c r="V121" i="1"/>
  <c r="W120" i="1"/>
  <c r="V120" i="1"/>
  <c r="W119" i="1"/>
  <c r="V119" i="1"/>
  <c r="W118" i="1"/>
  <c r="V118" i="1"/>
  <c r="W117" i="1"/>
  <c r="V117" i="1"/>
  <c r="W116" i="1"/>
  <c r="V116" i="1"/>
  <c r="W115" i="1"/>
  <c r="V115" i="1"/>
  <c r="W114" i="1"/>
  <c r="V114" i="1"/>
  <c r="W113" i="1"/>
  <c r="V113" i="1"/>
  <c r="W112" i="1"/>
  <c r="V112" i="1"/>
  <c r="W111" i="1"/>
  <c r="V111" i="1"/>
  <c r="W110" i="1"/>
  <c r="V110" i="1"/>
  <c r="W109" i="1"/>
  <c r="V109" i="1"/>
  <c r="W108" i="1"/>
  <c r="V108" i="1"/>
  <c r="W107" i="1"/>
  <c r="V107" i="1"/>
  <c r="W106" i="1"/>
  <c r="V106" i="1"/>
  <c r="W105" i="1"/>
  <c r="V105" i="1"/>
  <c r="W104" i="1"/>
  <c r="V104" i="1"/>
  <c r="W103" i="1"/>
  <c r="V103" i="1"/>
  <c r="W102" i="1"/>
  <c r="V102" i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W4" i="1"/>
  <c r="V4" i="1"/>
  <c r="W3" i="1"/>
  <c r="V3" i="1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120" i="2"/>
  <c r="H121" i="2" s="1"/>
  <c r="H118" i="2"/>
  <c r="H119" i="2" s="1"/>
  <c r="H117" i="2"/>
  <c r="H115" i="2"/>
  <c r="H116" i="2" s="1"/>
  <c r="H114" i="2"/>
  <c r="H113" i="2"/>
  <c r="H112" i="2"/>
  <c r="H111" i="2"/>
  <c r="H110" i="2"/>
  <c r="H108" i="2"/>
  <c r="H109" i="2" s="1"/>
  <c r="H106" i="2"/>
  <c r="H107" i="2" s="1"/>
  <c r="H105" i="2"/>
  <c r="H104" i="2"/>
  <c r="H103" i="2"/>
  <c r="H102" i="2"/>
  <c r="H101" i="2"/>
  <c r="H100" i="2"/>
  <c r="H99" i="2"/>
  <c r="H98" i="2"/>
  <c r="H97" i="2"/>
  <c r="H96" i="2"/>
  <c r="H95" i="2"/>
  <c r="H94" i="2"/>
  <c r="H91" i="2"/>
  <c r="H92" i="2" s="1"/>
  <c r="H93" i="2" s="1"/>
  <c r="H90" i="2"/>
  <c r="H89" i="2"/>
  <c r="H88" i="2"/>
  <c r="H87" i="2"/>
  <c r="H85" i="2"/>
  <c r="H86" i="2" s="1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4" i="2"/>
  <c r="H65" i="2" s="1"/>
  <c r="H66" i="2" s="1"/>
  <c r="H61" i="2"/>
  <c r="H62" i="2" s="1"/>
  <c r="H63" i="2" s="1"/>
  <c r="H59" i="2"/>
  <c r="H60" i="2" s="1"/>
  <c r="H56" i="2"/>
  <c r="H57" i="2" s="1"/>
  <c r="H58" i="2" s="1"/>
  <c r="H55" i="2"/>
  <c r="H53" i="2"/>
  <c r="H54" i="2" s="1"/>
  <c r="H52" i="2"/>
  <c r="H51" i="2"/>
  <c r="H48" i="2"/>
  <c r="H49" i="2" s="1"/>
  <c r="H50" i="2" s="1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26" i="2"/>
  <c r="H27" i="2" s="1"/>
  <c r="H28" i="2" s="1"/>
  <c r="H29" i="2" s="1"/>
  <c r="H30" i="2" s="1"/>
  <c r="H31" i="2" s="1"/>
  <c r="H32" i="2" s="1"/>
  <c r="H33" i="2" s="1"/>
  <c r="H18" i="2"/>
  <c r="H19" i="2" s="1"/>
  <c r="H20" i="2" s="1"/>
  <c r="H21" i="2" s="1"/>
  <c r="H22" i="2" s="1"/>
  <c r="H23" i="2" s="1"/>
  <c r="H24" i="2" s="1"/>
  <c r="H25" i="2" s="1"/>
  <c r="H13" i="2"/>
  <c r="H14" i="2" s="1"/>
  <c r="H15" i="2" s="1"/>
  <c r="H16" i="2" s="1"/>
  <c r="H17" i="2" s="1"/>
  <c r="H12" i="2"/>
  <c r="H5" i="2"/>
  <c r="H6" i="2" s="1"/>
  <c r="H7" i="2" s="1"/>
  <c r="H8" i="2" s="1"/>
  <c r="H9" i="2" s="1"/>
  <c r="H10" i="2" s="1"/>
  <c r="H11" i="2" s="1"/>
  <c r="G115" i="2"/>
  <c r="G116" i="2" s="1"/>
  <c r="G117" i="2" s="1"/>
  <c r="G118" i="2" s="1"/>
  <c r="G119" i="2" s="1"/>
  <c r="G120" i="2" s="1"/>
  <c r="G121" i="2" s="1"/>
  <c r="G110" i="2"/>
  <c r="G111" i="2" s="1"/>
  <c r="G112" i="2" s="1"/>
  <c r="G113" i="2" s="1"/>
  <c r="G114" i="2" s="1"/>
  <c r="G103" i="2"/>
  <c r="G104" i="2" s="1"/>
  <c r="G105" i="2" s="1"/>
  <c r="G106" i="2" s="1"/>
  <c r="G107" i="2" s="1"/>
  <c r="G108" i="2" s="1"/>
  <c r="G109" i="2" s="1"/>
  <c r="G100" i="2"/>
  <c r="G101" i="2" s="1"/>
  <c r="G102" i="2" s="1"/>
  <c r="G99" i="2"/>
  <c r="G94" i="2"/>
  <c r="G95" i="2" s="1"/>
  <c r="G96" i="2" s="1"/>
  <c r="G97" i="2" s="1"/>
  <c r="G98" i="2" s="1"/>
  <c r="G84" i="2"/>
  <c r="G85" i="2" s="1"/>
  <c r="G86" i="2" s="1"/>
  <c r="G87" i="2" s="1"/>
  <c r="G88" i="2" s="1"/>
  <c r="G89" i="2" s="1"/>
  <c r="G90" i="2" s="1"/>
  <c r="G91" i="2" s="1"/>
  <c r="G92" i="2" s="1"/>
  <c r="G93" i="2" s="1"/>
  <c r="G79" i="2"/>
  <c r="G80" i="2" s="1"/>
  <c r="G81" i="2" s="1"/>
  <c r="G82" i="2" s="1"/>
  <c r="G83" i="2" s="1"/>
  <c r="G75" i="2"/>
  <c r="G76" i="2" s="1"/>
  <c r="G77" i="2" s="1"/>
  <c r="G78" i="2" s="1"/>
  <c r="G71" i="2"/>
  <c r="G72" i="2" s="1"/>
  <c r="G73" i="2" s="1"/>
  <c r="G74" i="2" s="1"/>
  <c r="G68" i="2"/>
  <c r="G69" i="2" s="1"/>
  <c r="G70" i="2" s="1"/>
  <c r="G67" i="2"/>
  <c r="G59" i="2"/>
  <c r="G60" i="2" s="1"/>
  <c r="G61" i="2" s="1"/>
  <c r="G62" i="2" s="1"/>
  <c r="G63" i="2" s="1"/>
  <c r="G64" i="2" s="1"/>
  <c r="G65" i="2" s="1"/>
  <c r="G66" i="2" s="1"/>
  <c r="G49" i="2"/>
  <c r="G50" i="2" s="1"/>
  <c r="G51" i="2" s="1"/>
  <c r="G52" i="2" s="1"/>
  <c r="G53" i="2" s="1"/>
  <c r="G54" i="2" s="1"/>
  <c r="G55" i="2" s="1"/>
  <c r="G56" i="2" s="1"/>
  <c r="G57" i="2" s="1"/>
  <c r="G58" i="2" s="1"/>
  <c r="G48" i="2"/>
  <c r="G44" i="2"/>
  <c r="G45" i="2" s="1"/>
  <c r="G46" i="2" s="1"/>
  <c r="G47" i="2" s="1"/>
  <c r="G40" i="2"/>
  <c r="G41" i="2" s="1"/>
  <c r="G42" i="2" s="1"/>
  <c r="G43" i="2" s="1"/>
  <c r="G34" i="2"/>
  <c r="G35" i="2" s="1"/>
  <c r="G36" i="2" s="1"/>
  <c r="G37" i="2" s="1"/>
  <c r="G38" i="2" s="1"/>
  <c r="G39" i="2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V2" i="1" s="1"/>
  <c r="B2" i="1"/>
  <c r="W2" i="1" s="1"/>
  <c r="A2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  <c r="D123" i="2"/>
  <c r="K2163" i="1" l="1"/>
  <c r="H2163" i="1"/>
  <c r="O2163" i="1"/>
  <c r="M2163" i="1"/>
  <c r="J2163" i="1"/>
  <c r="G2163" i="1"/>
  <c r="L2163" i="1"/>
  <c r="I2163" i="1"/>
  <c r="U2163" i="1" l="1"/>
</calcChain>
</file>

<file path=xl/sharedStrings.xml><?xml version="1.0" encoding="utf-8"?>
<sst xmlns="http://schemas.openxmlformats.org/spreadsheetml/2006/main" count="149" uniqueCount="20">
  <si>
    <t>SPA</t>
  </si>
  <si>
    <t>CD</t>
  </si>
  <si>
    <t>nstrata</t>
  </si>
  <si>
    <t>CVCTE</t>
  </si>
  <si>
    <t>NON-HS</t>
  </si>
  <si>
    <t>INDIV</t>
  </si>
  <si>
    <t>FAMILY</t>
  </si>
  <si>
    <t>SKIDROW</t>
  </si>
  <si>
    <t>VENICE</t>
  </si>
  <si>
    <t>Row Labels</t>
  </si>
  <si>
    <t>Grand Total</t>
  </si>
  <si>
    <t>Max of SelectionProb_addCD</t>
  </si>
  <si>
    <t>Values</t>
  </si>
  <si>
    <t>Count of Tract</t>
  </si>
  <si>
    <t>Selection Prob_CD</t>
  </si>
  <si>
    <t>SamplingWeight_CD</t>
  </si>
  <si>
    <t>Max of SelectionProb_SPA</t>
  </si>
  <si>
    <t>Key</t>
  </si>
  <si>
    <t>Sel Prob</t>
  </si>
  <si>
    <t>Sum of SamplingWeight_CD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</si>
</sst>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3" fontId="0" fillId="0" borderId="0" xfId="0" applyNumberFormat="1"/>
    <xf numFmtId="167" fontId="0" fillId="0" borderId="0" xfId="1" applyNumberFormat="1" applyFont="1"/>
    <xf numFmtId="1" fontId="0" fillId="0" borderId="0" xfId="0" applyNumberForma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3" fillId="3" borderId="0" xfId="0" applyFont="1" applyFill="1" applyAlignment="1">
      <alignment horizontal="right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homeless_count\_2018survey\DemoSurvey\data\ct_demosurve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>
        <row r="1">
          <cell r="A1" t="str">
            <v>Tract</v>
          </cell>
          <cell r="B1" t="str">
            <v>SPA</v>
          </cell>
          <cell r="C1" t="str">
            <v>CD</v>
          </cell>
          <cell r="D1" t="str">
            <v>SD</v>
          </cell>
          <cell r="E1" t="str">
            <v>nstrata</v>
          </cell>
          <cell r="F1" t="str">
            <v>Community_Name</v>
          </cell>
          <cell r="G1" t="str">
            <v>selected_spa</v>
          </cell>
          <cell r="H1" t="str">
            <v>selected_cd</v>
          </cell>
          <cell r="I1" t="str">
            <v>Total_2017_CT_Population</v>
          </cell>
          <cell r="J1" t="str">
            <v>totcvctep</v>
          </cell>
          <cell r="K1" t="str">
            <v>totestind</v>
          </cell>
          <cell r="L1" t="str">
            <v>totestfammem</v>
          </cell>
          <cell r="M1" t="str">
            <v>totestpeo</v>
          </cell>
          <cell r="N1" t="str">
            <v>SelectionProb_SPA</v>
          </cell>
          <cell r="O1" t="str">
            <v>SamplingWeight_SPA</v>
          </cell>
          <cell r="P1" t="str">
            <v>perc_of_spa_strata</v>
          </cell>
          <cell r="Q1" t="str">
            <v>perc_of_cd_strata</v>
          </cell>
          <cell r="R1" t="str">
            <v>SelectionProb_addCD</v>
          </cell>
          <cell r="S1" t="str">
            <v>SamplingWeight_addCD</v>
          </cell>
        </row>
        <row r="2">
          <cell r="A2">
            <v>900806</v>
          </cell>
          <cell r="B2">
            <v>1</v>
          </cell>
          <cell r="C2">
            <v>0</v>
          </cell>
          <cell r="D2">
            <v>5</v>
          </cell>
          <cell r="E2" t="str">
            <v>CVCTE</v>
          </cell>
          <cell r="F2" t="str">
            <v>Lancaster</v>
          </cell>
          <cell r="G2">
            <v>1</v>
          </cell>
          <cell r="H2">
            <v>1</v>
          </cell>
          <cell r="I2">
            <v>39.655000000000001</v>
          </cell>
          <cell r="J2">
            <v>16.282900000000001</v>
          </cell>
          <cell r="K2">
            <v>39.282899999999998</v>
          </cell>
          <cell r="L2">
            <v>0.371681380682226</v>
          </cell>
          <cell r="M2">
            <v>39.654581380682203</v>
          </cell>
          <cell r="N2">
            <v>0.55000000000000004</v>
          </cell>
          <cell r="O2">
            <v>1.8181818181818199</v>
          </cell>
          <cell r="P2">
            <v>1</v>
          </cell>
        </row>
        <row r="3">
          <cell r="A3">
            <v>900300</v>
          </cell>
          <cell r="B3">
            <v>1</v>
          </cell>
          <cell r="C3">
            <v>0</v>
          </cell>
          <cell r="D3">
            <v>5</v>
          </cell>
          <cell r="E3" t="str">
            <v>CVCTE</v>
          </cell>
          <cell r="F3" t="str">
            <v>Unincorporated Antelope Valley</v>
          </cell>
          <cell r="G3">
            <v>1</v>
          </cell>
          <cell r="H3">
            <v>1</v>
          </cell>
          <cell r="I3">
            <v>40.488999999999997</v>
          </cell>
          <cell r="J3">
            <v>37.826908529999997</v>
          </cell>
          <cell r="K3">
            <v>39.826908529999997</v>
          </cell>
          <cell r="L3">
            <v>0.661438604506284</v>
          </cell>
          <cell r="M3">
            <v>40.488347134506299</v>
          </cell>
          <cell r="N3">
            <v>0.55000000000000004</v>
          </cell>
          <cell r="O3">
            <v>1.8181818181818199</v>
          </cell>
          <cell r="P3">
            <v>1</v>
          </cell>
        </row>
        <row r="4">
          <cell r="A4">
            <v>900103</v>
          </cell>
          <cell r="B4">
            <v>1</v>
          </cell>
          <cell r="C4">
            <v>0</v>
          </cell>
          <cell r="D4">
            <v>5</v>
          </cell>
          <cell r="E4" t="str">
            <v>CVCTE</v>
          </cell>
          <cell r="F4" t="str">
            <v>Unincorporated Antelope Valley</v>
          </cell>
          <cell r="G4">
            <v>1</v>
          </cell>
          <cell r="H4">
            <v>1</v>
          </cell>
          <cell r="I4">
            <v>97.194999999999993</v>
          </cell>
          <cell r="J4">
            <v>91.171364639999993</v>
          </cell>
          <cell r="K4">
            <v>92.171364639999993</v>
          </cell>
          <cell r="L4">
            <v>5.0233923842908403</v>
          </cell>
          <cell r="M4">
            <v>97.194757024290894</v>
          </cell>
          <cell r="N4">
            <v>0.55000000000000004</v>
          </cell>
          <cell r="O4">
            <v>1.8181818181818199</v>
          </cell>
          <cell r="P4">
            <v>1</v>
          </cell>
        </row>
        <row r="5">
          <cell r="A5">
            <v>910401</v>
          </cell>
          <cell r="B5">
            <v>1</v>
          </cell>
          <cell r="C5">
            <v>0</v>
          </cell>
          <cell r="D5">
            <v>5</v>
          </cell>
          <cell r="E5" t="str">
            <v>CVCTE</v>
          </cell>
          <cell r="F5" t="str">
            <v>Palmdale</v>
          </cell>
          <cell r="G5">
            <v>0</v>
          </cell>
          <cell r="H5">
            <v>0</v>
          </cell>
          <cell r="I5">
            <v>5.5170000000000003</v>
          </cell>
          <cell r="J5">
            <v>3.3440765099999998</v>
          </cell>
          <cell r="K5">
            <v>5.3440765099999998</v>
          </cell>
          <cell r="L5">
            <v>0.17207732822262101</v>
          </cell>
          <cell r="M5">
            <v>5.5161538382226203</v>
          </cell>
          <cell r="N5">
            <v>0.55000000000000004</v>
          </cell>
          <cell r="O5">
            <v>0</v>
          </cell>
          <cell r="P5">
            <v>1</v>
          </cell>
        </row>
        <row r="6">
          <cell r="A6">
            <v>900900</v>
          </cell>
          <cell r="B6">
            <v>1</v>
          </cell>
          <cell r="C6">
            <v>0</v>
          </cell>
          <cell r="D6">
            <v>5</v>
          </cell>
          <cell r="E6" t="str">
            <v>CVCTE</v>
          </cell>
          <cell r="F6" t="str">
            <v>Unincorporated Antelope Valley</v>
          </cell>
          <cell r="G6">
            <v>1</v>
          </cell>
          <cell r="H6">
            <v>1</v>
          </cell>
          <cell r="I6">
            <v>14.664</v>
          </cell>
          <cell r="J6">
            <v>13.88589762</v>
          </cell>
          <cell r="K6">
            <v>13.88589762</v>
          </cell>
          <cell r="L6">
            <v>0.77820820967684001</v>
          </cell>
          <cell r="M6">
            <v>14.664105829676799</v>
          </cell>
          <cell r="N6">
            <v>0.55000000000000004</v>
          </cell>
          <cell r="O6">
            <v>1.8181818181818199</v>
          </cell>
          <cell r="P6">
            <v>1</v>
          </cell>
        </row>
        <row r="7">
          <cell r="A7">
            <v>900609</v>
          </cell>
          <cell r="B7">
            <v>1</v>
          </cell>
          <cell r="C7">
            <v>0</v>
          </cell>
          <cell r="D7">
            <v>5</v>
          </cell>
          <cell r="E7" t="str">
            <v>CVCTE</v>
          </cell>
          <cell r="F7" t="str">
            <v>Lancaster</v>
          </cell>
          <cell r="G7">
            <v>1</v>
          </cell>
          <cell r="H7">
            <v>1</v>
          </cell>
          <cell r="I7">
            <v>75.650000000000006</v>
          </cell>
          <cell r="J7">
            <v>73.843141020000004</v>
          </cell>
          <cell r="K7">
            <v>74.843141020000004</v>
          </cell>
          <cell r="L7">
            <v>0.80612078057450598</v>
          </cell>
          <cell r="M7">
            <v>75.649261800574493</v>
          </cell>
          <cell r="N7">
            <v>0.55000000000000004</v>
          </cell>
          <cell r="O7">
            <v>1.8181818181818199</v>
          </cell>
          <cell r="P7">
            <v>1</v>
          </cell>
        </row>
        <row r="8">
          <cell r="A8">
            <v>901209</v>
          </cell>
          <cell r="B8">
            <v>1</v>
          </cell>
          <cell r="C8">
            <v>0</v>
          </cell>
          <cell r="D8">
            <v>5</v>
          </cell>
          <cell r="E8" t="str">
            <v>CVCTE</v>
          </cell>
          <cell r="F8" t="str">
            <v>Unincorporated Antelope Valley</v>
          </cell>
          <cell r="G8">
            <v>0</v>
          </cell>
          <cell r="H8">
            <v>0</v>
          </cell>
          <cell r="I8">
            <v>6.7809999999999997</v>
          </cell>
          <cell r="J8">
            <v>5.4065958900000002</v>
          </cell>
          <cell r="K8">
            <v>6.4065958900000002</v>
          </cell>
          <cell r="L8">
            <v>0.37379720890484702</v>
          </cell>
          <cell r="M8">
            <v>6.7803930989048498</v>
          </cell>
          <cell r="N8">
            <v>0.55000000000000004</v>
          </cell>
          <cell r="O8">
            <v>0</v>
          </cell>
          <cell r="P8">
            <v>1</v>
          </cell>
        </row>
        <row r="9">
          <cell r="A9">
            <v>900607</v>
          </cell>
          <cell r="B9">
            <v>1</v>
          </cell>
          <cell r="C9">
            <v>0</v>
          </cell>
          <cell r="D9">
            <v>5</v>
          </cell>
          <cell r="E9" t="str">
            <v>CVCTE</v>
          </cell>
          <cell r="F9" t="str">
            <v>Lancaster</v>
          </cell>
          <cell r="G9">
            <v>0</v>
          </cell>
          <cell r="H9">
            <v>0</v>
          </cell>
          <cell r="I9">
            <v>46.170999999999999</v>
          </cell>
          <cell r="J9">
            <v>35.61962055</v>
          </cell>
          <cell r="K9">
            <v>45.61962055</v>
          </cell>
          <cell r="L9">
            <v>0.55113261280071801</v>
          </cell>
          <cell r="M9">
            <v>46.1707531628007</v>
          </cell>
          <cell r="N9">
            <v>0.55000000000000004</v>
          </cell>
          <cell r="O9">
            <v>0</v>
          </cell>
          <cell r="P9">
            <v>1</v>
          </cell>
        </row>
        <row r="10">
          <cell r="A10">
            <v>910403</v>
          </cell>
          <cell r="B10">
            <v>1</v>
          </cell>
          <cell r="C10">
            <v>0</v>
          </cell>
          <cell r="D10">
            <v>5</v>
          </cell>
          <cell r="E10" t="str">
            <v>CVCTE</v>
          </cell>
          <cell r="F10" t="str">
            <v>Palmdale</v>
          </cell>
          <cell r="G10">
            <v>1</v>
          </cell>
          <cell r="H10">
            <v>1</v>
          </cell>
          <cell r="I10">
            <v>60.744</v>
          </cell>
          <cell r="J10">
            <v>51.57562969</v>
          </cell>
          <cell r="K10">
            <v>59.57562969</v>
          </cell>
          <cell r="L10">
            <v>1.16863085123878</v>
          </cell>
          <cell r="M10">
            <v>60.744260541238802</v>
          </cell>
          <cell r="N10">
            <v>0.55000000000000004</v>
          </cell>
          <cell r="O10">
            <v>1.8181818181818199</v>
          </cell>
          <cell r="P10">
            <v>1</v>
          </cell>
        </row>
        <row r="11">
          <cell r="A11">
            <v>900602</v>
          </cell>
          <cell r="B11">
            <v>1</v>
          </cell>
          <cell r="C11">
            <v>0</v>
          </cell>
          <cell r="D11">
            <v>5</v>
          </cell>
          <cell r="E11" t="str">
            <v>CVCTE</v>
          </cell>
          <cell r="F11" t="str">
            <v>Lancaster</v>
          </cell>
          <cell r="G11">
            <v>1</v>
          </cell>
          <cell r="H11">
            <v>1</v>
          </cell>
          <cell r="I11">
            <v>9.6859999999999999</v>
          </cell>
          <cell r="J11">
            <v>3.4228962300000001</v>
          </cell>
          <cell r="K11">
            <v>9.4228962299999992</v>
          </cell>
          <cell r="L11">
            <v>0.26262460752244199</v>
          </cell>
          <cell r="M11">
            <v>9.6855208375224393</v>
          </cell>
          <cell r="N11">
            <v>0.55000000000000004</v>
          </cell>
          <cell r="O11">
            <v>1.8181818181818199</v>
          </cell>
          <cell r="P11">
            <v>1</v>
          </cell>
        </row>
        <row r="12">
          <cell r="A12">
            <v>910501</v>
          </cell>
          <cell r="B12">
            <v>1</v>
          </cell>
          <cell r="C12">
            <v>0</v>
          </cell>
          <cell r="D12">
            <v>5</v>
          </cell>
          <cell r="E12" t="str">
            <v>CVCTE</v>
          </cell>
          <cell r="F12" t="str">
            <v>Palmdale</v>
          </cell>
          <cell r="G12">
            <v>1</v>
          </cell>
          <cell r="H12">
            <v>1</v>
          </cell>
          <cell r="I12">
            <v>22.483000000000001</v>
          </cell>
          <cell r="J12">
            <v>13.026115649999999</v>
          </cell>
          <cell r="K12">
            <v>22.026115650000001</v>
          </cell>
          <cell r="L12">
            <v>0.456298497235189</v>
          </cell>
          <cell r="M12">
            <v>22.4824141472352</v>
          </cell>
          <cell r="N12">
            <v>0.55000000000000004</v>
          </cell>
          <cell r="O12">
            <v>1.8181818181818199</v>
          </cell>
          <cell r="P12">
            <v>1</v>
          </cell>
        </row>
        <row r="13">
          <cell r="A13">
            <v>901008</v>
          </cell>
          <cell r="B13">
            <v>1</v>
          </cell>
          <cell r="C13">
            <v>0</v>
          </cell>
          <cell r="D13">
            <v>5</v>
          </cell>
          <cell r="E13" t="str">
            <v>CVCTE</v>
          </cell>
          <cell r="F13" t="str">
            <v>Lancaster</v>
          </cell>
          <cell r="G13">
            <v>1</v>
          </cell>
          <cell r="H13">
            <v>1</v>
          </cell>
          <cell r="I13">
            <v>15.217000000000001</v>
          </cell>
          <cell r="J13">
            <v>10.08774972</v>
          </cell>
          <cell r="K13">
            <v>15.08774972</v>
          </cell>
          <cell r="L13">
            <v>0.128951590556553</v>
          </cell>
          <cell r="M13">
            <v>15.2167013105566</v>
          </cell>
          <cell r="N13">
            <v>0.55000000000000004</v>
          </cell>
          <cell r="O13">
            <v>1.8181818181818199</v>
          </cell>
          <cell r="P13">
            <v>1</v>
          </cell>
        </row>
        <row r="14">
          <cell r="A14">
            <v>900501</v>
          </cell>
          <cell r="B14">
            <v>1</v>
          </cell>
          <cell r="C14">
            <v>0</v>
          </cell>
          <cell r="D14">
            <v>5</v>
          </cell>
          <cell r="E14" t="str">
            <v>CVCTE</v>
          </cell>
          <cell r="F14" t="str">
            <v>Lancaster</v>
          </cell>
          <cell r="G14">
            <v>0</v>
          </cell>
          <cell r="H14">
            <v>0</v>
          </cell>
          <cell r="I14">
            <v>21.324999999999999</v>
          </cell>
          <cell r="J14">
            <v>5.07720868</v>
          </cell>
          <cell r="K14">
            <v>21.077208679999998</v>
          </cell>
          <cell r="L14">
            <v>0.24706283850987401</v>
          </cell>
          <cell r="M14">
            <v>21.324271518509899</v>
          </cell>
          <cell r="N14">
            <v>0.55000000000000004</v>
          </cell>
          <cell r="O14">
            <v>0</v>
          </cell>
          <cell r="P14">
            <v>1</v>
          </cell>
        </row>
        <row r="15">
          <cell r="A15">
            <v>900703</v>
          </cell>
          <cell r="B15">
            <v>1</v>
          </cell>
          <cell r="C15">
            <v>0</v>
          </cell>
          <cell r="D15">
            <v>5</v>
          </cell>
          <cell r="E15" t="str">
            <v>CVCTE</v>
          </cell>
          <cell r="F15" t="str">
            <v>Lancaster</v>
          </cell>
          <cell r="G15">
            <v>1</v>
          </cell>
          <cell r="H15">
            <v>1</v>
          </cell>
          <cell r="I15">
            <v>65.837000000000003</v>
          </cell>
          <cell r="J15">
            <v>48.827896819999999</v>
          </cell>
          <cell r="K15">
            <v>64.827896820000007</v>
          </cell>
          <cell r="L15">
            <v>1.00976769678636</v>
          </cell>
          <cell r="M15">
            <v>65.837664516786404</v>
          </cell>
          <cell r="N15">
            <v>0.55000000000000004</v>
          </cell>
          <cell r="O15">
            <v>1.8181818181818199</v>
          </cell>
          <cell r="P15">
            <v>1</v>
          </cell>
        </row>
        <row r="16">
          <cell r="A16">
            <v>900605</v>
          </cell>
          <cell r="B16">
            <v>1</v>
          </cell>
          <cell r="C16">
            <v>0</v>
          </cell>
          <cell r="D16">
            <v>5</v>
          </cell>
          <cell r="E16" t="str">
            <v>CVCTE</v>
          </cell>
          <cell r="F16" t="str">
            <v>Lancaster</v>
          </cell>
          <cell r="G16">
            <v>0</v>
          </cell>
          <cell r="H16">
            <v>0</v>
          </cell>
          <cell r="I16">
            <v>3.181</v>
          </cell>
          <cell r="J16">
            <v>2.87839314</v>
          </cell>
          <cell r="K16">
            <v>2.87839314</v>
          </cell>
          <cell r="L16">
            <v>0.30290401228007202</v>
          </cell>
          <cell r="M16">
            <v>3.1812971522800702</v>
          </cell>
          <cell r="N16">
            <v>0.55000000000000004</v>
          </cell>
          <cell r="O16">
            <v>0</v>
          </cell>
          <cell r="P16">
            <v>1</v>
          </cell>
        </row>
        <row r="17">
          <cell r="A17">
            <v>900104</v>
          </cell>
          <cell r="B17">
            <v>1</v>
          </cell>
          <cell r="C17">
            <v>0</v>
          </cell>
          <cell r="D17">
            <v>5</v>
          </cell>
          <cell r="E17" t="str">
            <v>CVCTE</v>
          </cell>
          <cell r="F17" t="str">
            <v>Unincorporated Antelope Valley</v>
          </cell>
          <cell r="G17">
            <v>0</v>
          </cell>
          <cell r="H17">
            <v>0</v>
          </cell>
          <cell r="I17">
            <v>117.57599999999999</v>
          </cell>
          <cell r="J17">
            <v>108.22235605</v>
          </cell>
          <cell r="K17">
            <v>112.22235605</v>
          </cell>
          <cell r="L17">
            <v>5.3539277505385998</v>
          </cell>
          <cell r="M17">
            <v>117.576283800539</v>
          </cell>
          <cell r="N17">
            <v>0.55000000000000004</v>
          </cell>
          <cell r="O17">
            <v>0</v>
          </cell>
          <cell r="P17">
            <v>1</v>
          </cell>
        </row>
        <row r="18">
          <cell r="A18">
            <v>910812</v>
          </cell>
          <cell r="B18">
            <v>1</v>
          </cell>
          <cell r="C18">
            <v>0</v>
          </cell>
          <cell r="D18">
            <v>5</v>
          </cell>
          <cell r="E18" t="str">
            <v>CVCTE</v>
          </cell>
          <cell r="F18" t="str">
            <v>Unincorporated Antelope Valley</v>
          </cell>
          <cell r="G18">
            <v>0</v>
          </cell>
          <cell r="H18">
            <v>0</v>
          </cell>
          <cell r="I18">
            <v>82.486000000000004</v>
          </cell>
          <cell r="J18">
            <v>79.241247479999998</v>
          </cell>
          <cell r="K18">
            <v>80.241247479999998</v>
          </cell>
          <cell r="L18">
            <v>2.2455088853860001</v>
          </cell>
          <cell r="M18">
            <v>82.486756365386</v>
          </cell>
          <cell r="N18">
            <v>0.55000000000000004</v>
          </cell>
          <cell r="O18">
            <v>0</v>
          </cell>
          <cell r="P18">
            <v>1</v>
          </cell>
        </row>
        <row r="19">
          <cell r="A19">
            <v>910805</v>
          </cell>
          <cell r="B19">
            <v>1</v>
          </cell>
          <cell r="C19">
            <v>0</v>
          </cell>
          <cell r="D19">
            <v>5</v>
          </cell>
          <cell r="E19" t="str">
            <v>CVCTE</v>
          </cell>
          <cell r="F19" t="str">
            <v>Unincorporated Antelope Valley</v>
          </cell>
          <cell r="G19">
            <v>0</v>
          </cell>
          <cell r="H19">
            <v>0</v>
          </cell>
          <cell r="I19">
            <v>263.99299999999999</v>
          </cell>
          <cell r="J19">
            <v>246.9753493</v>
          </cell>
          <cell r="K19">
            <v>250.9753493</v>
          </cell>
          <cell r="L19">
            <v>13.0188499999282</v>
          </cell>
          <cell r="M19">
            <v>263.99419929992803</v>
          </cell>
          <cell r="N19">
            <v>0.55000000000000004</v>
          </cell>
          <cell r="O19">
            <v>0</v>
          </cell>
          <cell r="P19">
            <v>1</v>
          </cell>
        </row>
        <row r="20">
          <cell r="A20">
            <v>910002</v>
          </cell>
          <cell r="B20">
            <v>1</v>
          </cell>
          <cell r="C20">
            <v>0</v>
          </cell>
          <cell r="D20">
            <v>5</v>
          </cell>
          <cell r="E20" t="str">
            <v>CVCTE</v>
          </cell>
          <cell r="F20" t="str">
            <v>Unincorporated Antelope Valley</v>
          </cell>
          <cell r="G20">
            <v>1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0.55000000000000004</v>
          </cell>
          <cell r="O20">
            <v>1.8181818181818199</v>
          </cell>
          <cell r="P20">
            <v>1</v>
          </cell>
        </row>
        <row r="21">
          <cell r="A21">
            <v>910202</v>
          </cell>
          <cell r="B21">
            <v>1</v>
          </cell>
          <cell r="C21">
            <v>0</v>
          </cell>
          <cell r="D21">
            <v>5</v>
          </cell>
          <cell r="E21" t="str">
            <v>CVCTE</v>
          </cell>
          <cell r="F21" t="str">
            <v>Palmdale</v>
          </cell>
          <cell r="G21">
            <v>0</v>
          </cell>
          <cell r="H21">
            <v>0</v>
          </cell>
          <cell r="I21">
            <v>552.55799999999999</v>
          </cell>
          <cell r="J21">
            <v>512.99724968999999</v>
          </cell>
          <cell r="K21">
            <v>523.99724968999999</v>
          </cell>
          <cell r="L21">
            <v>28.562341324901301</v>
          </cell>
          <cell r="M21">
            <v>552.559591014901</v>
          </cell>
          <cell r="N21">
            <v>0.55000000000000004</v>
          </cell>
          <cell r="O21">
            <v>0</v>
          </cell>
          <cell r="P21">
            <v>1</v>
          </cell>
        </row>
        <row r="22">
          <cell r="A22">
            <v>800102</v>
          </cell>
          <cell r="B22">
            <v>2</v>
          </cell>
          <cell r="C22">
            <v>0</v>
          </cell>
          <cell r="D22">
            <v>3</v>
          </cell>
          <cell r="E22" t="str">
            <v>CVCTE</v>
          </cell>
          <cell r="F22" t="str">
            <v>Topanga</v>
          </cell>
          <cell r="G22">
            <v>1</v>
          </cell>
          <cell r="H22">
            <v>1</v>
          </cell>
          <cell r="I22">
            <v>124.69</v>
          </cell>
          <cell r="J22">
            <v>70.248496000000003</v>
          </cell>
          <cell r="K22">
            <v>121.248496</v>
          </cell>
          <cell r="L22">
            <v>3.4422692591920998</v>
          </cell>
          <cell r="M22">
            <v>124.69076525919201</v>
          </cell>
          <cell r="N22">
            <v>0.17910447761194001</v>
          </cell>
          <cell r="O22">
            <v>5.5833333333333304</v>
          </cell>
          <cell r="P22">
            <v>0.104477611940299</v>
          </cell>
        </row>
        <row r="23">
          <cell r="A23">
            <v>310900</v>
          </cell>
          <cell r="B23">
            <v>2</v>
          </cell>
          <cell r="C23">
            <v>0</v>
          </cell>
          <cell r="D23">
            <v>5</v>
          </cell>
          <cell r="E23" t="str">
            <v>CVCTE</v>
          </cell>
          <cell r="F23" t="str">
            <v>Burbank</v>
          </cell>
          <cell r="G23">
            <v>0</v>
          </cell>
          <cell r="H23">
            <v>0</v>
          </cell>
          <cell r="I23">
            <v>23.233000000000001</v>
          </cell>
          <cell r="J23">
            <v>20.86075129</v>
          </cell>
          <cell r="K23">
            <v>22.86075129</v>
          </cell>
          <cell r="L23">
            <v>0.37178601041292603</v>
          </cell>
          <cell r="M23">
            <v>23.232537300412901</v>
          </cell>
          <cell r="N23">
            <v>0.17910447761194001</v>
          </cell>
          <cell r="O23">
            <v>0</v>
          </cell>
          <cell r="P23">
            <v>0.104477611940299</v>
          </cell>
        </row>
        <row r="24">
          <cell r="A24">
            <v>920023</v>
          </cell>
          <cell r="B24">
            <v>2</v>
          </cell>
          <cell r="C24">
            <v>0</v>
          </cell>
          <cell r="D24">
            <v>5</v>
          </cell>
          <cell r="E24" t="str">
            <v>CVCTE</v>
          </cell>
          <cell r="F24" t="str">
            <v>Santa Clarita</v>
          </cell>
          <cell r="G24">
            <v>1</v>
          </cell>
          <cell r="H24">
            <v>1</v>
          </cell>
          <cell r="I24">
            <v>26.373000000000001</v>
          </cell>
          <cell r="J24">
            <v>25.036393109999999</v>
          </cell>
          <cell r="K24">
            <v>25.036393109999999</v>
          </cell>
          <cell r="L24">
            <v>1.3366825446858199</v>
          </cell>
          <cell r="M24">
            <v>26.373075654685799</v>
          </cell>
          <cell r="N24">
            <v>0.17910447761194001</v>
          </cell>
          <cell r="O24">
            <v>5.5833333333333304</v>
          </cell>
          <cell r="P24">
            <v>0.104477611940299</v>
          </cell>
        </row>
        <row r="25">
          <cell r="A25">
            <v>800331</v>
          </cell>
          <cell r="B25">
            <v>2</v>
          </cell>
          <cell r="C25">
            <v>0</v>
          </cell>
          <cell r="D25">
            <v>3</v>
          </cell>
          <cell r="E25" t="str">
            <v>CVCTE</v>
          </cell>
          <cell r="F25" t="str">
            <v>Agoura Hills</v>
          </cell>
          <cell r="G25">
            <v>1</v>
          </cell>
          <cell r="H25">
            <v>1</v>
          </cell>
          <cell r="I25">
            <v>25.498000000000001</v>
          </cell>
          <cell r="J25">
            <v>16.985042530000001</v>
          </cell>
          <cell r="K25">
            <v>24.985042530000001</v>
          </cell>
          <cell r="L25">
            <v>0.51249653452423705</v>
          </cell>
          <cell r="M25">
            <v>25.497539064524201</v>
          </cell>
          <cell r="N25">
            <v>0.17910447761194001</v>
          </cell>
          <cell r="O25">
            <v>5.5833333333333304</v>
          </cell>
          <cell r="P25">
            <v>0.104477611940299</v>
          </cell>
        </row>
        <row r="26">
          <cell r="A26">
            <v>920314</v>
          </cell>
          <cell r="B26">
            <v>2</v>
          </cell>
          <cell r="C26">
            <v>0</v>
          </cell>
          <cell r="D26">
            <v>5</v>
          </cell>
          <cell r="E26" t="str">
            <v>CVCTE</v>
          </cell>
          <cell r="F26" t="str">
            <v>Santa Clarita</v>
          </cell>
          <cell r="G26">
            <v>0</v>
          </cell>
          <cell r="H26">
            <v>0</v>
          </cell>
          <cell r="I26">
            <v>38.238</v>
          </cell>
          <cell r="J26">
            <v>35.798263200000001</v>
          </cell>
          <cell r="K26">
            <v>35.798263200000001</v>
          </cell>
          <cell r="L26">
            <v>2.4397373205206501</v>
          </cell>
          <cell r="M26">
            <v>38.2380005205207</v>
          </cell>
          <cell r="N26">
            <v>0.17910447761194001</v>
          </cell>
          <cell r="O26">
            <v>0</v>
          </cell>
          <cell r="P26">
            <v>0.104477611940299</v>
          </cell>
        </row>
        <row r="27">
          <cell r="A27">
            <v>920102</v>
          </cell>
          <cell r="B27">
            <v>2</v>
          </cell>
          <cell r="C27">
            <v>0</v>
          </cell>
          <cell r="D27">
            <v>5</v>
          </cell>
          <cell r="E27" t="str">
            <v>CVCTE</v>
          </cell>
          <cell r="F27" t="str">
            <v>Agua Dulce</v>
          </cell>
          <cell r="G27">
            <v>0</v>
          </cell>
          <cell r="H27">
            <v>0</v>
          </cell>
          <cell r="I27">
            <v>17.081</v>
          </cell>
          <cell r="J27">
            <v>11.39700478</v>
          </cell>
          <cell r="K27">
            <v>16.39700478</v>
          </cell>
          <cell r="L27">
            <v>0.68349799360861796</v>
          </cell>
          <cell r="M27">
            <v>17.0805027736086</v>
          </cell>
          <cell r="N27">
            <v>0.17910447761194001</v>
          </cell>
          <cell r="O27">
            <v>0</v>
          </cell>
          <cell r="P27">
            <v>0.104477611940299</v>
          </cell>
        </row>
        <row r="28">
          <cell r="A28">
            <v>920035</v>
          </cell>
          <cell r="B28">
            <v>2</v>
          </cell>
          <cell r="C28">
            <v>0</v>
          </cell>
          <cell r="D28">
            <v>5</v>
          </cell>
          <cell r="E28" t="str">
            <v>CVCTE</v>
          </cell>
          <cell r="F28" t="str">
            <v>Santa Clarita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0.17910447761194001</v>
          </cell>
          <cell r="O28">
            <v>0</v>
          </cell>
          <cell r="P28">
            <v>0.104477611940299</v>
          </cell>
        </row>
        <row r="29">
          <cell r="A29">
            <v>310701</v>
          </cell>
          <cell r="B29">
            <v>2</v>
          </cell>
          <cell r="C29">
            <v>0</v>
          </cell>
          <cell r="D29">
            <v>5</v>
          </cell>
          <cell r="E29" t="str">
            <v>CVCTE</v>
          </cell>
          <cell r="F29" t="str">
            <v>Burbank</v>
          </cell>
          <cell r="G29">
            <v>1</v>
          </cell>
          <cell r="H29">
            <v>1</v>
          </cell>
          <cell r="I29">
            <v>31.359000000000002</v>
          </cell>
          <cell r="J29">
            <v>28.656757420000002</v>
          </cell>
          <cell r="K29">
            <v>30.656757420000002</v>
          </cell>
          <cell r="L29">
            <v>0.701486242244165</v>
          </cell>
          <cell r="M29">
            <v>31.358243662244199</v>
          </cell>
          <cell r="N29">
            <v>0.17910447761194001</v>
          </cell>
          <cell r="O29">
            <v>5.5833333333333304</v>
          </cell>
          <cell r="P29">
            <v>0.104477611940299</v>
          </cell>
        </row>
        <row r="30">
          <cell r="A30">
            <v>920031</v>
          </cell>
          <cell r="B30">
            <v>2</v>
          </cell>
          <cell r="C30">
            <v>0</v>
          </cell>
          <cell r="D30">
            <v>5</v>
          </cell>
          <cell r="E30" t="str">
            <v>CVCTE</v>
          </cell>
          <cell r="F30" t="str">
            <v>Santa Clarita</v>
          </cell>
          <cell r="G30">
            <v>0</v>
          </cell>
          <cell r="H30">
            <v>0</v>
          </cell>
          <cell r="I30">
            <v>7.4939999999999998</v>
          </cell>
          <cell r="J30">
            <v>5.1560284000000003</v>
          </cell>
          <cell r="K30">
            <v>7.1560284000000003</v>
          </cell>
          <cell r="L30">
            <v>0.33761011780969502</v>
          </cell>
          <cell r="M30">
            <v>7.4936385178096998</v>
          </cell>
          <cell r="N30">
            <v>0.17910447761194001</v>
          </cell>
          <cell r="O30">
            <v>0</v>
          </cell>
          <cell r="P30">
            <v>0.104477611940299</v>
          </cell>
        </row>
        <row r="31">
          <cell r="A31">
            <v>920115</v>
          </cell>
          <cell r="B31">
            <v>2</v>
          </cell>
          <cell r="C31">
            <v>0</v>
          </cell>
          <cell r="D31">
            <v>5</v>
          </cell>
          <cell r="E31" t="str">
            <v>CVCTE</v>
          </cell>
          <cell r="F31" t="str">
            <v>Santa Clarita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0.17910447761194001</v>
          </cell>
          <cell r="O31">
            <v>0</v>
          </cell>
          <cell r="P31">
            <v>0.104477611940299</v>
          </cell>
        </row>
        <row r="32">
          <cell r="A32">
            <v>310702</v>
          </cell>
          <cell r="B32">
            <v>2</v>
          </cell>
          <cell r="C32">
            <v>0</v>
          </cell>
          <cell r="D32">
            <v>5</v>
          </cell>
          <cell r="E32" t="str">
            <v>CVCTE</v>
          </cell>
          <cell r="F32" t="str">
            <v>Burbank</v>
          </cell>
          <cell r="G32">
            <v>0</v>
          </cell>
          <cell r="H32">
            <v>0</v>
          </cell>
          <cell r="I32">
            <v>22.795000000000002</v>
          </cell>
          <cell r="J32">
            <v>12.04518897</v>
          </cell>
          <cell r="K32">
            <v>22.045188970000002</v>
          </cell>
          <cell r="L32">
            <v>0.75020574590664302</v>
          </cell>
          <cell r="M32">
            <v>22.7953947159066</v>
          </cell>
          <cell r="N32">
            <v>0.17910447761194001</v>
          </cell>
          <cell r="O32">
            <v>0</v>
          </cell>
          <cell r="P32">
            <v>0.104477611940299</v>
          </cell>
        </row>
        <row r="33">
          <cell r="A33">
            <v>920337</v>
          </cell>
          <cell r="B33">
            <v>2</v>
          </cell>
          <cell r="C33">
            <v>0</v>
          </cell>
          <cell r="D33">
            <v>5</v>
          </cell>
          <cell r="E33" t="str">
            <v>CVCTE</v>
          </cell>
          <cell r="F33" t="str">
            <v>Santa Clarita</v>
          </cell>
          <cell r="G33">
            <v>1</v>
          </cell>
          <cell r="H33">
            <v>1</v>
          </cell>
          <cell r="I33">
            <v>1.8080000000000001</v>
          </cell>
          <cell r="J33">
            <v>1.73313217</v>
          </cell>
          <cell r="K33">
            <v>1.73313217</v>
          </cell>
          <cell r="L33">
            <v>7.4985510287253102E-2</v>
          </cell>
          <cell r="M33">
            <v>1.8081176802872501</v>
          </cell>
          <cell r="N33">
            <v>0.17910447761194001</v>
          </cell>
          <cell r="O33">
            <v>5.5833333333333304</v>
          </cell>
          <cell r="P33">
            <v>0.104477611940299</v>
          </cell>
        </row>
        <row r="34">
          <cell r="A34">
            <v>930200</v>
          </cell>
          <cell r="B34">
            <v>2</v>
          </cell>
          <cell r="C34">
            <v>0</v>
          </cell>
          <cell r="D34">
            <v>5</v>
          </cell>
          <cell r="E34" t="str">
            <v>CVCTE</v>
          </cell>
          <cell r="F34" t="str">
            <v>Angeles National Forest</v>
          </cell>
          <cell r="G34">
            <v>0</v>
          </cell>
          <cell r="H34">
            <v>0</v>
          </cell>
          <cell r="I34">
            <v>29.187999999999999</v>
          </cell>
          <cell r="J34">
            <v>16.18027786</v>
          </cell>
          <cell r="K34">
            <v>28.18027786</v>
          </cell>
          <cell r="L34">
            <v>1.00702732797127</v>
          </cell>
          <cell r="M34">
            <v>29.187305187971301</v>
          </cell>
          <cell r="N34">
            <v>0.17910447761194001</v>
          </cell>
          <cell r="O34">
            <v>0</v>
          </cell>
          <cell r="P34">
            <v>0.104477611940299</v>
          </cell>
        </row>
        <row r="35">
          <cell r="A35">
            <v>310501</v>
          </cell>
          <cell r="B35">
            <v>2</v>
          </cell>
          <cell r="C35">
            <v>0</v>
          </cell>
          <cell r="D35">
            <v>5</v>
          </cell>
          <cell r="E35" t="str">
            <v>CVCTE</v>
          </cell>
          <cell r="F35" t="str">
            <v>Burbank</v>
          </cell>
          <cell r="G35">
            <v>1</v>
          </cell>
          <cell r="H35">
            <v>1</v>
          </cell>
          <cell r="I35">
            <v>15.803000000000001</v>
          </cell>
          <cell r="J35">
            <v>13.13419515</v>
          </cell>
          <cell r="K35">
            <v>15.13419515</v>
          </cell>
          <cell r="L35">
            <v>0.66964693639138195</v>
          </cell>
          <cell r="M35">
            <v>15.8038420863914</v>
          </cell>
          <cell r="N35">
            <v>0.17910447761194001</v>
          </cell>
          <cell r="O35">
            <v>5.5833333333333304</v>
          </cell>
          <cell r="P35">
            <v>0.104477611940299</v>
          </cell>
        </row>
        <row r="36">
          <cell r="A36">
            <v>402402</v>
          </cell>
          <cell r="B36">
            <v>3</v>
          </cell>
          <cell r="C36">
            <v>0</v>
          </cell>
          <cell r="D36">
            <v>1</v>
          </cell>
          <cell r="E36" t="str">
            <v>CVCTE</v>
          </cell>
          <cell r="F36" t="str">
            <v>Pomona</v>
          </cell>
          <cell r="G36">
            <v>0</v>
          </cell>
          <cell r="H36">
            <v>0</v>
          </cell>
          <cell r="I36">
            <v>35.807000000000002</v>
          </cell>
          <cell r="J36">
            <v>25.276726409999998</v>
          </cell>
          <cell r="K36">
            <v>34.276726410000002</v>
          </cell>
          <cell r="L36">
            <v>1.5299289477737901</v>
          </cell>
          <cell r="M36">
            <v>35.806655357773799</v>
          </cell>
          <cell r="N36">
            <v>0.41176470588235298</v>
          </cell>
          <cell r="O36">
            <v>0</v>
          </cell>
          <cell r="P36">
            <v>1</v>
          </cell>
        </row>
        <row r="37">
          <cell r="A37">
            <v>406000</v>
          </cell>
          <cell r="B37">
            <v>3</v>
          </cell>
          <cell r="C37">
            <v>0</v>
          </cell>
          <cell r="D37">
            <v>5</v>
          </cell>
          <cell r="E37" t="str">
            <v>CVCTE</v>
          </cell>
          <cell r="F37" t="str">
            <v>Covina</v>
          </cell>
          <cell r="G37">
            <v>1</v>
          </cell>
          <cell r="H37">
            <v>1</v>
          </cell>
          <cell r="I37">
            <v>17.417999999999999</v>
          </cell>
          <cell r="J37">
            <v>12.76143983</v>
          </cell>
          <cell r="K37">
            <v>16.76143983</v>
          </cell>
          <cell r="L37">
            <v>0.65556615294434495</v>
          </cell>
          <cell r="M37">
            <v>17.4170059829443</v>
          </cell>
          <cell r="N37">
            <v>0.41176470588235298</v>
          </cell>
          <cell r="O37">
            <v>2.4285714285714302</v>
          </cell>
          <cell r="P37">
            <v>1</v>
          </cell>
        </row>
        <row r="38">
          <cell r="A38">
            <v>404803</v>
          </cell>
          <cell r="B38">
            <v>3</v>
          </cell>
          <cell r="C38">
            <v>0</v>
          </cell>
          <cell r="D38">
            <v>1</v>
          </cell>
          <cell r="E38" t="str">
            <v>CVCTE</v>
          </cell>
          <cell r="F38" t="str">
            <v>Baldwin Park</v>
          </cell>
          <cell r="G38">
            <v>0</v>
          </cell>
          <cell r="H38">
            <v>0</v>
          </cell>
          <cell r="I38">
            <v>22.2</v>
          </cell>
          <cell r="J38">
            <v>12.467504229999999</v>
          </cell>
          <cell r="K38">
            <v>21.467504229999999</v>
          </cell>
          <cell r="L38">
            <v>0.73203264879712704</v>
          </cell>
          <cell r="M38">
            <v>22.199536878797101</v>
          </cell>
          <cell r="N38">
            <v>0.41176470588235298</v>
          </cell>
          <cell r="O38">
            <v>0</v>
          </cell>
          <cell r="P38">
            <v>1</v>
          </cell>
        </row>
        <row r="39">
          <cell r="A39">
            <v>405800</v>
          </cell>
          <cell r="B39">
            <v>3</v>
          </cell>
          <cell r="C39">
            <v>0</v>
          </cell>
          <cell r="D39">
            <v>5</v>
          </cell>
          <cell r="E39" t="str">
            <v>CVCTE</v>
          </cell>
          <cell r="F39" t="str">
            <v>Covina</v>
          </cell>
          <cell r="G39">
            <v>0</v>
          </cell>
          <cell r="H39">
            <v>0</v>
          </cell>
          <cell r="I39">
            <v>20.123999999999999</v>
          </cell>
          <cell r="J39">
            <v>14.685901299999999</v>
          </cell>
          <cell r="K39">
            <v>18.685901300000001</v>
          </cell>
          <cell r="L39">
            <v>1.4380535655475799</v>
          </cell>
          <cell r="M39">
            <v>20.123954865547599</v>
          </cell>
          <cell r="N39">
            <v>0.41176470588235298</v>
          </cell>
          <cell r="O39">
            <v>0</v>
          </cell>
          <cell r="P39">
            <v>1</v>
          </cell>
        </row>
        <row r="40">
          <cell r="A40">
            <v>406500</v>
          </cell>
          <cell r="B40">
            <v>3</v>
          </cell>
          <cell r="C40">
            <v>0</v>
          </cell>
          <cell r="D40">
            <v>1</v>
          </cell>
          <cell r="E40" t="str">
            <v>CVCTE</v>
          </cell>
          <cell r="F40" t="str">
            <v>West Covina</v>
          </cell>
          <cell r="G40">
            <v>0</v>
          </cell>
          <cell r="H40">
            <v>0</v>
          </cell>
          <cell r="I40">
            <v>16.649000000000001</v>
          </cell>
          <cell r="J40">
            <v>7.4747511600000003</v>
          </cell>
          <cell r="K40">
            <v>16.47475116</v>
          </cell>
          <cell r="L40">
            <v>0.17391517730700201</v>
          </cell>
          <cell r="M40">
            <v>16.648666337306999</v>
          </cell>
          <cell r="N40">
            <v>0.41176470588235298</v>
          </cell>
          <cell r="O40">
            <v>0</v>
          </cell>
          <cell r="P40">
            <v>1</v>
          </cell>
        </row>
        <row r="41">
          <cell r="A41">
            <v>408401</v>
          </cell>
          <cell r="B41">
            <v>3</v>
          </cell>
          <cell r="C41">
            <v>0</v>
          </cell>
          <cell r="D41">
            <v>4</v>
          </cell>
          <cell r="E41" t="str">
            <v>CVCTE</v>
          </cell>
          <cell r="F41" t="str">
            <v>Hacienda Heights</v>
          </cell>
          <cell r="G41">
            <v>1</v>
          </cell>
          <cell r="H41">
            <v>1</v>
          </cell>
          <cell r="I41">
            <v>10.01</v>
          </cell>
          <cell r="J41">
            <v>8.5001049099999992</v>
          </cell>
          <cell r="K41">
            <v>9.5001049099999992</v>
          </cell>
          <cell r="L41">
            <v>0.50968744603231597</v>
          </cell>
          <cell r="M41">
            <v>10.0097923560323</v>
          </cell>
          <cell r="N41">
            <v>0.41176470588235298</v>
          </cell>
          <cell r="O41">
            <v>2.4285714285714302</v>
          </cell>
          <cell r="P41">
            <v>1</v>
          </cell>
        </row>
        <row r="42">
          <cell r="A42">
            <v>406901</v>
          </cell>
          <cell r="B42">
            <v>3</v>
          </cell>
          <cell r="C42">
            <v>0</v>
          </cell>
          <cell r="D42">
            <v>1</v>
          </cell>
          <cell r="E42" t="str">
            <v>CVCTE</v>
          </cell>
          <cell r="F42" t="str">
            <v>West Puente Valley</v>
          </cell>
          <cell r="G42">
            <v>0</v>
          </cell>
          <cell r="H42">
            <v>0</v>
          </cell>
          <cell r="I42">
            <v>13.97</v>
          </cell>
          <cell r="J42">
            <v>9.3739952100000004</v>
          </cell>
          <cell r="K42">
            <v>13.37399521</v>
          </cell>
          <cell r="L42">
            <v>0.59614241166965898</v>
          </cell>
          <cell r="M42">
            <v>13.9701376216697</v>
          </cell>
          <cell r="N42">
            <v>0.41176470588235298</v>
          </cell>
          <cell r="O42">
            <v>0</v>
          </cell>
          <cell r="P42">
            <v>1</v>
          </cell>
        </row>
        <row r="43">
          <cell r="A43">
            <v>408140</v>
          </cell>
          <cell r="B43">
            <v>3</v>
          </cell>
          <cell r="C43">
            <v>0</v>
          </cell>
          <cell r="D43">
            <v>1</v>
          </cell>
          <cell r="E43" t="str">
            <v>CVCTE</v>
          </cell>
          <cell r="F43" t="str">
            <v>South San Jose Hills</v>
          </cell>
          <cell r="G43">
            <v>0</v>
          </cell>
          <cell r="H43">
            <v>0</v>
          </cell>
          <cell r="I43">
            <v>5.8289999999999997</v>
          </cell>
          <cell r="J43">
            <v>5.6217117700000001</v>
          </cell>
          <cell r="K43">
            <v>5.6217117700000001</v>
          </cell>
          <cell r="L43">
            <v>0.20678343375224401</v>
          </cell>
          <cell r="M43">
            <v>5.8284952037522402</v>
          </cell>
          <cell r="N43">
            <v>0.41176470588235298</v>
          </cell>
          <cell r="O43">
            <v>0</v>
          </cell>
          <cell r="P43">
            <v>1</v>
          </cell>
        </row>
        <row r="44">
          <cell r="A44">
            <v>401500</v>
          </cell>
          <cell r="B44">
            <v>3</v>
          </cell>
          <cell r="C44">
            <v>0</v>
          </cell>
          <cell r="D44">
            <v>5</v>
          </cell>
          <cell r="E44" t="str">
            <v>CVCTE</v>
          </cell>
          <cell r="F44" t="str">
            <v>La Verne</v>
          </cell>
          <cell r="G44">
            <v>0</v>
          </cell>
          <cell r="H44">
            <v>0</v>
          </cell>
          <cell r="I44">
            <v>7.202</v>
          </cell>
          <cell r="J44">
            <v>6.7669727399999999</v>
          </cell>
          <cell r="K44">
            <v>6.7669727399999999</v>
          </cell>
          <cell r="L44">
            <v>0.434701935745063</v>
          </cell>
          <cell r="M44">
            <v>7.2016746757450596</v>
          </cell>
          <cell r="N44">
            <v>0.41176470588235298</v>
          </cell>
          <cell r="O44">
            <v>0</v>
          </cell>
          <cell r="P44">
            <v>1</v>
          </cell>
        </row>
        <row r="45">
          <cell r="A45">
            <v>407802</v>
          </cell>
          <cell r="B45">
            <v>3</v>
          </cell>
          <cell r="C45">
            <v>0</v>
          </cell>
          <cell r="D45">
            <v>1</v>
          </cell>
          <cell r="E45" t="str">
            <v>CVCTE</v>
          </cell>
          <cell r="F45" t="str">
            <v>Industry</v>
          </cell>
          <cell r="G45">
            <v>0</v>
          </cell>
          <cell r="H45">
            <v>0</v>
          </cell>
          <cell r="I45">
            <v>4.1900000000000004</v>
          </cell>
          <cell r="J45">
            <v>3.9673993200000002</v>
          </cell>
          <cell r="K45">
            <v>3.9673993200000002</v>
          </cell>
          <cell r="L45">
            <v>0.22234520276481101</v>
          </cell>
          <cell r="M45">
            <v>4.1897445227648102</v>
          </cell>
          <cell r="N45">
            <v>0.41176470588235298</v>
          </cell>
          <cell r="O45">
            <v>0</v>
          </cell>
          <cell r="P45">
            <v>1</v>
          </cell>
        </row>
        <row r="46">
          <cell r="A46">
            <v>407102</v>
          </cell>
          <cell r="B46">
            <v>3</v>
          </cell>
          <cell r="C46">
            <v>0</v>
          </cell>
          <cell r="D46">
            <v>1</v>
          </cell>
          <cell r="E46" t="str">
            <v>CVCTE</v>
          </cell>
          <cell r="F46" t="str">
            <v>La Puente</v>
          </cell>
          <cell r="G46">
            <v>1</v>
          </cell>
          <cell r="H46">
            <v>1</v>
          </cell>
          <cell r="I46">
            <v>5.19</v>
          </cell>
          <cell r="J46">
            <v>3.9673993200000002</v>
          </cell>
          <cell r="K46">
            <v>4.9673993200000002</v>
          </cell>
          <cell r="L46">
            <v>0.22234520276481101</v>
          </cell>
          <cell r="M46">
            <v>5.1897445227648102</v>
          </cell>
          <cell r="N46">
            <v>0.41176470588235298</v>
          </cell>
          <cell r="O46">
            <v>2.4285714285714302</v>
          </cell>
          <cell r="P46">
            <v>1</v>
          </cell>
        </row>
        <row r="47">
          <cell r="A47">
            <v>401202</v>
          </cell>
          <cell r="B47">
            <v>3</v>
          </cell>
          <cell r="C47">
            <v>0</v>
          </cell>
          <cell r="D47">
            <v>5</v>
          </cell>
          <cell r="E47" t="str">
            <v>CVCTE</v>
          </cell>
          <cell r="F47" t="str">
            <v>Glendora</v>
          </cell>
          <cell r="G47">
            <v>1</v>
          </cell>
          <cell r="H47">
            <v>1</v>
          </cell>
          <cell r="I47">
            <v>19.908000000000001</v>
          </cell>
          <cell r="J47">
            <v>14.078448570000001</v>
          </cell>
          <cell r="K47">
            <v>19.078448569999999</v>
          </cell>
          <cell r="L47">
            <v>0.82912446673249596</v>
          </cell>
          <cell r="M47">
            <v>19.907573036732501</v>
          </cell>
          <cell r="N47">
            <v>0.41176470588235298</v>
          </cell>
          <cell r="O47">
            <v>2.4285714285714302</v>
          </cell>
          <cell r="P47">
            <v>1</v>
          </cell>
        </row>
        <row r="48">
          <cell r="A48">
            <v>402801</v>
          </cell>
          <cell r="B48">
            <v>3</v>
          </cell>
          <cell r="C48">
            <v>0</v>
          </cell>
          <cell r="D48">
            <v>1</v>
          </cell>
          <cell r="E48" t="str">
            <v>CVCTE</v>
          </cell>
          <cell r="F48" t="str">
            <v>Pomona</v>
          </cell>
          <cell r="G48">
            <v>0</v>
          </cell>
          <cell r="H48">
            <v>0</v>
          </cell>
          <cell r="I48">
            <v>32.106999999999999</v>
          </cell>
          <cell r="J48">
            <v>16.920331139999998</v>
          </cell>
          <cell r="K48">
            <v>31.920331139999998</v>
          </cell>
          <cell r="L48">
            <v>0.18649450842010801</v>
          </cell>
          <cell r="M48">
            <v>32.106825648420099</v>
          </cell>
          <cell r="N48">
            <v>0.41176470588235298</v>
          </cell>
          <cell r="O48">
            <v>0</v>
          </cell>
          <cell r="P48">
            <v>1</v>
          </cell>
        </row>
        <row r="49">
          <cell r="A49">
            <v>402902</v>
          </cell>
          <cell r="B49">
            <v>3</v>
          </cell>
          <cell r="C49">
            <v>0</v>
          </cell>
          <cell r="D49">
            <v>1</v>
          </cell>
          <cell r="E49" t="str">
            <v>CVCTE</v>
          </cell>
          <cell r="F49" t="str">
            <v>Pomona</v>
          </cell>
          <cell r="G49">
            <v>1</v>
          </cell>
          <cell r="H49">
            <v>1</v>
          </cell>
          <cell r="I49">
            <v>13.276</v>
          </cell>
          <cell r="J49">
            <v>4.8620928000000001</v>
          </cell>
          <cell r="K49">
            <v>12.862092799999999</v>
          </cell>
          <cell r="L49">
            <v>0.414076613662478</v>
          </cell>
          <cell r="M49">
            <v>13.276169413662499</v>
          </cell>
          <cell r="N49">
            <v>0.41176470588235298</v>
          </cell>
          <cell r="O49">
            <v>2.4285714285714302</v>
          </cell>
          <cell r="P49">
            <v>1</v>
          </cell>
        </row>
        <row r="50">
          <cell r="A50">
            <v>433200</v>
          </cell>
          <cell r="B50">
            <v>3</v>
          </cell>
          <cell r="C50">
            <v>0</v>
          </cell>
          <cell r="D50">
            <v>1</v>
          </cell>
          <cell r="E50" t="str">
            <v>CVCTE</v>
          </cell>
          <cell r="F50" t="str">
            <v>El Monte</v>
          </cell>
          <cell r="G50">
            <v>1</v>
          </cell>
          <cell r="H50">
            <v>1</v>
          </cell>
          <cell r="I50">
            <v>33.274999999999999</v>
          </cell>
          <cell r="J50">
            <v>17.074971340000001</v>
          </cell>
          <cell r="K50">
            <v>32.074971339999998</v>
          </cell>
          <cell r="L50">
            <v>1.19875873886894</v>
          </cell>
          <cell r="M50">
            <v>33.273730078868901</v>
          </cell>
          <cell r="N50">
            <v>0.41176470588235298</v>
          </cell>
          <cell r="O50">
            <v>2.4285714285714302</v>
          </cell>
          <cell r="P50">
            <v>1</v>
          </cell>
        </row>
        <row r="51">
          <cell r="A51">
            <v>433307</v>
          </cell>
          <cell r="B51">
            <v>3</v>
          </cell>
          <cell r="C51">
            <v>0</v>
          </cell>
          <cell r="D51">
            <v>1</v>
          </cell>
          <cell r="E51" t="str">
            <v>CVCTE</v>
          </cell>
          <cell r="F51" t="str">
            <v>El Monte</v>
          </cell>
          <cell r="G51">
            <v>0</v>
          </cell>
          <cell r="H51">
            <v>0</v>
          </cell>
          <cell r="I51">
            <v>1.8080000000000001</v>
          </cell>
          <cell r="J51">
            <v>1.73313217</v>
          </cell>
          <cell r="K51">
            <v>1.73313217</v>
          </cell>
          <cell r="L51">
            <v>7.4985510287253102E-2</v>
          </cell>
          <cell r="M51">
            <v>1.8081176802872501</v>
          </cell>
          <cell r="N51">
            <v>0.41176470588235298</v>
          </cell>
          <cell r="O51">
            <v>0</v>
          </cell>
          <cell r="P51">
            <v>1</v>
          </cell>
        </row>
        <row r="52">
          <cell r="A52">
            <v>433102</v>
          </cell>
          <cell r="B52">
            <v>3</v>
          </cell>
          <cell r="C52">
            <v>0</v>
          </cell>
          <cell r="D52">
            <v>1</v>
          </cell>
          <cell r="E52" t="str">
            <v>CVCTE</v>
          </cell>
          <cell r="F52" t="str">
            <v>El Monte</v>
          </cell>
          <cell r="G52">
            <v>0</v>
          </cell>
          <cell r="H52">
            <v>0</v>
          </cell>
          <cell r="I52">
            <v>36.436999999999998</v>
          </cell>
          <cell r="J52">
            <v>34.064250600000001</v>
          </cell>
          <cell r="K52">
            <v>36.064250600000001</v>
          </cell>
          <cell r="L52">
            <v>0.37212240716337502</v>
          </cell>
          <cell r="M52">
            <v>36.436373007163397</v>
          </cell>
          <cell r="N52">
            <v>0.41176470588235298</v>
          </cell>
          <cell r="O52">
            <v>0</v>
          </cell>
          <cell r="P52">
            <v>1</v>
          </cell>
        </row>
        <row r="53">
          <cell r="A53">
            <v>431100</v>
          </cell>
          <cell r="B53">
            <v>3</v>
          </cell>
          <cell r="C53">
            <v>0</v>
          </cell>
          <cell r="D53">
            <v>5</v>
          </cell>
          <cell r="E53" t="str">
            <v>CVCTE</v>
          </cell>
          <cell r="F53" t="str">
            <v>Monrovia</v>
          </cell>
          <cell r="G53">
            <v>0</v>
          </cell>
          <cell r="H53">
            <v>0</v>
          </cell>
          <cell r="I53">
            <v>8.1159999999999997</v>
          </cell>
          <cell r="J53">
            <v>5.87227926</v>
          </cell>
          <cell r="K53">
            <v>7.87227926</v>
          </cell>
          <cell r="L53">
            <v>0.24297052484739701</v>
          </cell>
          <cell r="M53">
            <v>8.1152497848473999</v>
          </cell>
          <cell r="N53">
            <v>0.41176470588235298</v>
          </cell>
          <cell r="O53">
            <v>0</v>
          </cell>
          <cell r="P53">
            <v>1</v>
          </cell>
        </row>
        <row r="54">
          <cell r="A54">
            <v>433501</v>
          </cell>
          <cell r="B54">
            <v>3</v>
          </cell>
          <cell r="C54">
            <v>0</v>
          </cell>
          <cell r="D54">
            <v>1</v>
          </cell>
          <cell r="E54" t="str">
            <v>CVCTE</v>
          </cell>
          <cell r="F54" t="str">
            <v>South El Monte</v>
          </cell>
          <cell r="G54">
            <v>1</v>
          </cell>
          <cell r="H54">
            <v>1</v>
          </cell>
          <cell r="I54">
            <v>25.878</v>
          </cell>
          <cell r="J54">
            <v>21.898975879999998</v>
          </cell>
          <cell r="K54">
            <v>24.898975879999998</v>
          </cell>
          <cell r="L54">
            <v>0.98006672671454198</v>
          </cell>
          <cell r="M54">
            <v>25.879042606714499</v>
          </cell>
          <cell r="N54">
            <v>0.41176470588235298</v>
          </cell>
          <cell r="O54">
            <v>2.4285714285714302</v>
          </cell>
          <cell r="P54">
            <v>1</v>
          </cell>
        </row>
        <row r="55">
          <cell r="A55">
            <v>432401</v>
          </cell>
          <cell r="B55">
            <v>3</v>
          </cell>
          <cell r="C55">
            <v>0</v>
          </cell>
          <cell r="D55">
            <v>1</v>
          </cell>
          <cell r="E55" t="str">
            <v>CVCTE</v>
          </cell>
          <cell r="F55" t="str">
            <v>El Monte</v>
          </cell>
          <cell r="G55">
            <v>0</v>
          </cell>
          <cell r="H55">
            <v>0</v>
          </cell>
          <cell r="I55">
            <v>1</v>
          </cell>
          <cell r="J55">
            <v>0</v>
          </cell>
          <cell r="K55">
            <v>1</v>
          </cell>
          <cell r="L55">
            <v>0</v>
          </cell>
          <cell r="M55">
            <v>1</v>
          </cell>
          <cell r="N55">
            <v>0.41176470588235298</v>
          </cell>
          <cell r="O55">
            <v>0</v>
          </cell>
          <cell r="P55">
            <v>1</v>
          </cell>
        </row>
        <row r="56">
          <cell r="A56">
            <v>408501</v>
          </cell>
          <cell r="B56">
            <v>3</v>
          </cell>
          <cell r="C56">
            <v>0</v>
          </cell>
          <cell r="D56">
            <v>4</v>
          </cell>
          <cell r="E56" t="str">
            <v>CVCTE</v>
          </cell>
          <cell r="F56" t="str">
            <v>Hacienda Heights</v>
          </cell>
          <cell r="G56">
            <v>0</v>
          </cell>
          <cell r="H56">
            <v>0</v>
          </cell>
          <cell r="I56">
            <v>13.702</v>
          </cell>
          <cell r="J56">
            <v>7.6195197600000002</v>
          </cell>
          <cell r="K56">
            <v>13.619519759999999</v>
          </cell>
          <cell r="L56">
            <v>8.2501288330341094E-2</v>
          </cell>
          <cell r="M56">
            <v>13.7020210483303</v>
          </cell>
          <cell r="N56">
            <v>0.41176470588235298</v>
          </cell>
          <cell r="O56">
            <v>0</v>
          </cell>
          <cell r="P56">
            <v>1</v>
          </cell>
        </row>
        <row r="57">
          <cell r="A57">
            <v>405102</v>
          </cell>
          <cell r="B57">
            <v>3</v>
          </cell>
          <cell r="C57">
            <v>0</v>
          </cell>
          <cell r="D57">
            <v>1</v>
          </cell>
          <cell r="E57" t="str">
            <v>CVCTE</v>
          </cell>
          <cell r="F57" t="str">
            <v>Baldwin Park</v>
          </cell>
          <cell r="G57">
            <v>0</v>
          </cell>
          <cell r="H57">
            <v>0</v>
          </cell>
          <cell r="I57">
            <v>11.68</v>
          </cell>
          <cell r="J57">
            <v>9.4314716500000007</v>
          </cell>
          <cell r="K57">
            <v>11.431471650000001</v>
          </cell>
          <cell r="L57">
            <v>0.248034077917415</v>
          </cell>
          <cell r="M57">
            <v>11.6795057279174</v>
          </cell>
          <cell r="N57">
            <v>0.41176470588235298</v>
          </cell>
          <cell r="O57">
            <v>0</v>
          </cell>
          <cell r="P57">
            <v>1</v>
          </cell>
        </row>
        <row r="58">
          <cell r="A58">
            <v>408703</v>
          </cell>
          <cell r="B58">
            <v>3</v>
          </cell>
          <cell r="C58">
            <v>0</v>
          </cell>
          <cell r="D58">
            <v>4</v>
          </cell>
          <cell r="E58" t="str">
            <v>CVCTE</v>
          </cell>
          <cell r="F58" t="str">
            <v>Rowland Heights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0.41176470588235298</v>
          </cell>
          <cell r="O58">
            <v>0</v>
          </cell>
          <cell r="P58">
            <v>1</v>
          </cell>
        </row>
        <row r="59">
          <cell r="A59">
            <v>401304</v>
          </cell>
          <cell r="B59">
            <v>3</v>
          </cell>
          <cell r="C59">
            <v>0</v>
          </cell>
          <cell r="D59">
            <v>5</v>
          </cell>
          <cell r="E59" t="str">
            <v>CVCTE</v>
          </cell>
          <cell r="F59" t="str">
            <v>San Dimas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0.41176470588235298</v>
          </cell>
          <cell r="O59">
            <v>0</v>
          </cell>
          <cell r="P59">
            <v>1</v>
          </cell>
        </row>
        <row r="60">
          <cell r="A60">
            <v>403801</v>
          </cell>
          <cell r="B60">
            <v>3</v>
          </cell>
          <cell r="C60">
            <v>0</v>
          </cell>
          <cell r="D60">
            <v>5</v>
          </cell>
          <cell r="E60" t="str">
            <v>CVCTE</v>
          </cell>
          <cell r="F60" t="str">
            <v>Charter Oak</v>
          </cell>
          <cell r="G60">
            <v>1</v>
          </cell>
          <cell r="H60">
            <v>1</v>
          </cell>
          <cell r="I60">
            <v>5.2759999999999998</v>
          </cell>
          <cell r="J60">
            <v>4.8620928000000001</v>
          </cell>
          <cell r="K60">
            <v>4.8620928000000001</v>
          </cell>
          <cell r="L60">
            <v>0.414076613662478</v>
          </cell>
          <cell r="M60">
            <v>5.2761694136624797</v>
          </cell>
          <cell r="N60">
            <v>0.41176470588235298</v>
          </cell>
          <cell r="O60">
            <v>2.4285714285714302</v>
          </cell>
          <cell r="P60">
            <v>1</v>
          </cell>
        </row>
        <row r="61">
          <cell r="A61">
            <v>407002</v>
          </cell>
          <cell r="B61">
            <v>3</v>
          </cell>
          <cell r="C61">
            <v>0</v>
          </cell>
          <cell r="D61">
            <v>1</v>
          </cell>
          <cell r="E61" t="str">
            <v>CVCTE</v>
          </cell>
          <cell r="F61" t="str">
            <v>Industry</v>
          </cell>
          <cell r="G61">
            <v>1</v>
          </cell>
          <cell r="H61">
            <v>1</v>
          </cell>
          <cell r="I61">
            <v>119.64</v>
          </cell>
          <cell r="J61">
            <v>75.756779399999999</v>
          </cell>
          <cell r="K61">
            <v>118.7567794</v>
          </cell>
          <cell r="L61">
            <v>0.88272911132854603</v>
          </cell>
          <cell r="M61">
            <v>119.639508511329</v>
          </cell>
          <cell r="N61">
            <v>0.41176470588235298</v>
          </cell>
          <cell r="O61">
            <v>2.4285714285714302</v>
          </cell>
          <cell r="P61">
            <v>1</v>
          </cell>
        </row>
        <row r="62">
          <cell r="A62">
            <v>480802</v>
          </cell>
          <cell r="B62">
            <v>3</v>
          </cell>
          <cell r="C62">
            <v>0</v>
          </cell>
          <cell r="D62">
            <v>5</v>
          </cell>
          <cell r="E62" t="str">
            <v>CVCTE</v>
          </cell>
          <cell r="F62" t="str">
            <v>Alhambra</v>
          </cell>
          <cell r="G62">
            <v>0</v>
          </cell>
          <cell r="H62">
            <v>0</v>
          </cell>
          <cell r="I62">
            <v>7.9459999999999997</v>
          </cell>
          <cell r="J62">
            <v>5.7934595399999997</v>
          </cell>
          <cell r="K62">
            <v>7.7934595399999997</v>
          </cell>
          <cell r="L62">
            <v>0.152423245547576</v>
          </cell>
          <cell r="M62">
            <v>7.94588278554758</v>
          </cell>
          <cell r="N62">
            <v>0.41176470588235298</v>
          </cell>
          <cell r="O62">
            <v>0</v>
          </cell>
          <cell r="P62">
            <v>1</v>
          </cell>
        </row>
        <row r="63">
          <cell r="A63">
            <v>433700</v>
          </cell>
          <cell r="B63">
            <v>3</v>
          </cell>
          <cell r="C63">
            <v>0</v>
          </cell>
          <cell r="D63">
            <v>1</v>
          </cell>
          <cell r="E63" t="str">
            <v>CVCTE</v>
          </cell>
          <cell r="F63" t="str">
            <v>South El Monte</v>
          </cell>
          <cell r="G63">
            <v>1</v>
          </cell>
          <cell r="H63">
            <v>1</v>
          </cell>
          <cell r="I63">
            <v>19.937000000000001</v>
          </cell>
          <cell r="J63">
            <v>19.056034350000001</v>
          </cell>
          <cell r="K63">
            <v>19.056034350000001</v>
          </cell>
          <cell r="L63">
            <v>0.88036358068222598</v>
          </cell>
          <cell r="M63">
            <v>19.936397930682201</v>
          </cell>
          <cell r="N63">
            <v>0.41176470588235298</v>
          </cell>
          <cell r="O63">
            <v>2.4285714285714302</v>
          </cell>
          <cell r="P63">
            <v>1</v>
          </cell>
        </row>
        <row r="64">
          <cell r="A64">
            <v>404802</v>
          </cell>
          <cell r="B64">
            <v>3</v>
          </cell>
          <cell r="C64">
            <v>0</v>
          </cell>
          <cell r="D64">
            <v>1</v>
          </cell>
          <cell r="E64" t="str">
            <v>CVCTE</v>
          </cell>
          <cell r="F64" t="str">
            <v>Baldwin Park</v>
          </cell>
          <cell r="G64">
            <v>1</v>
          </cell>
          <cell r="H64">
            <v>1</v>
          </cell>
          <cell r="I64">
            <v>15.507999999999999</v>
          </cell>
          <cell r="J64">
            <v>11.79462148</v>
          </cell>
          <cell r="K64">
            <v>14.79462148</v>
          </cell>
          <cell r="L64">
            <v>0.71401865481148996</v>
          </cell>
          <cell r="M64">
            <v>15.5086401348115</v>
          </cell>
          <cell r="N64">
            <v>0.41176470588235298</v>
          </cell>
          <cell r="O64">
            <v>2.4285714285714302</v>
          </cell>
          <cell r="P64">
            <v>1</v>
          </cell>
        </row>
        <row r="65">
          <cell r="A65">
            <v>404401</v>
          </cell>
          <cell r="B65">
            <v>3</v>
          </cell>
          <cell r="C65">
            <v>0</v>
          </cell>
          <cell r="D65">
            <v>1</v>
          </cell>
          <cell r="E65" t="str">
            <v>CVCTE</v>
          </cell>
          <cell r="F65" t="str">
            <v>Azusa</v>
          </cell>
          <cell r="G65">
            <v>0</v>
          </cell>
          <cell r="H65">
            <v>0</v>
          </cell>
          <cell r="I65">
            <v>6.2759999999999998</v>
          </cell>
          <cell r="J65">
            <v>4.8620928000000001</v>
          </cell>
          <cell r="K65">
            <v>5.8620928000000001</v>
          </cell>
          <cell r="L65">
            <v>0.414076613662478</v>
          </cell>
          <cell r="M65">
            <v>6.2761694136624797</v>
          </cell>
          <cell r="N65">
            <v>0.41176470588235298</v>
          </cell>
          <cell r="O65">
            <v>0</v>
          </cell>
          <cell r="P65">
            <v>1</v>
          </cell>
        </row>
        <row r="66">
          <cell r="A66">
            <v>406300</v>
          </cell>
          <cell r="B66">
            <v>3</v>
          </cell>
          <cell r="C66">
            <v>0</v>
          </cell>
          <cell r="D66">
            <v>1</v>
          </cell>
          <cell r="E66" t="str">
            <v>CVCTE</v>
          </cell>
          <cell r="F66" t="str">
            <v>West Covina</v>
          </cell>
          <cell r="G66">
            <v>0</v>
          </cell>
          <cell r="H66">
            <v>0</v>
          </cell>
          <cell r="I66">
            <v>7.2759999999999998</v>
          </cell>
          <cell r="J66">
            <v>4.8620928000000001</v>
          </cell>
          <cell r="K66">
            <v>6.8620928000000001</v>
          </cell>
          <cell r="L66">
            <v>0.414076613662478</v>
          </cell>
          <cell r="M66">
            <v>7.2761694136624797</v>
          </cell>
          <cell r="N66">
            <v>0.41176470588235298</v>
          </cell>
          <cell r="O66">
            <v>0</v>
          </cell>
          <cell r="P66">
            <v>1</v>
          </cell>
        </row>
        <row r="67">
          <cell r="A67">
            <v>406101</v>
          </cell>
          <cell r="B67">
            <v>3</v>
          </cell>
          <cell r="C67">
            <v>0</v>
          </cell>
          <cell r="D67">
            <v>5</v>
          </cell>
          <cell r="E67" t="str">
            <v>CVCTE</v>
          </cell>
          <cell r="F67" t="str">
            <v>Covina</v>
          </cell>
          <cell r="G67">
            <v>1</v>
          </cell>
          <cell r="H67">
            <v>1</v>
          </cell>
          <cell r="I67">
            <v>16.202000000000002</v>
          </cell>
          <cell r="J67">
            <v>6.7669727399999999</v>
          </cell>
          <cell r="K67">
            <v>15.76697274</v>
          </cell>
          <cell r="L67">
            <v>0.434701935745063</v>
          </cell>
          <cell r="M67">
            <v>16.2016746757451</v>
          </cell>
          <cell r="N67">
            <v>0.41176470588235298</v>
          </cell>
          <cell r="O67">
            <v>2.4285714285714302</v>
          </cell>
          <cell r="P67">
            <v>1</v>
          </cell>
        </row>
        <row r="68">
          <cell r="A68">
            <v>408402</v>
          </cell>
          <cell r="B68">
            <v>3</v>
          </cell>
          <cell r="C68">
            <v>0</v>
          </cell>
          <cell r="D68">
            <v>4</v>
          </cell>
          <cell r="E68" t="str">
            <v>CVCTE</v>
          </cell>
          <cell r="F68" t="str">
            <v>Hacienda Heights</v>
          </cell>
          <cell r="G68">
            <v>0</v>
          </cell>
          <cell r="H68">
            <v>0</v>
          </cell>
          <cell r="I68">
            <v>9.9529999999999994</v>
          </cell>
          <cell r="J68">
            <v>7.19598285</v>
          </cell>
          <cell r="K68">
            <v>9.19598285</v>
          </cell>
          <cell r="L68">
            <v>0.75726003070018</v>
          </cell>
          <cell r="M68">
            <v>9.9532428807001807</v>
          </cell>
          <cell r="N68">
            <v>0.41176470588235298</v>
          </cell>
          <cell r="O68">
            <v>0</v>
          </cell>
          <cell r="P68">
            <v>1</v>
          </cell>
        </row>
        <row r="69">
          <cell r="A69">
            <v>403721</v>
          </cell>
          <cell r="B69">
            <v>3</v>
          </cell>
          <cell r="C69">
            <v>0</v>
          </cell>
          <cell r="D69">
            <v>5</v>
          </cell>
          <cell r="E69" t="str">
            <v>CVCTE</v>
          </cell>
          <cell r="F69" t="str">
            <v>Covina</v>
          </cell>
          <cell r="G69">
            <v>0</v>
          </cell>
          <cell r="H69">
            <v>0</v>
          </cell>
          <cell r="I69">
            <v>6.4939999999999998</v>
          </cell>
          <cell r="J69">
            <v>5.1560284000000003</v>
          </cell>
          <cell r="K69">
            <v>6.1560284000000003</v>
          </cell>
          <cell r="L69">
            <v>0.33761011780969502</v>
          </cell>
          <cell r="M69">
            <v>6.4936385178096998</v>
          </cell>
          <cell r="N69">
            <v>0.41176470588235298</v>
          </cell>
          <cell r="O69">
            <v>0</v>
          </cell>
          <cell r="P69">
            <v>1</v>
          </cell>
        </row>
        <row r="70">
          <cell r="A70">
            <v>404703</v>
          </cell>
          <cell r="B70">
            <v>3</v>
          </cell>
          <cell r="C70">
            <v>0</v>
          </cell>
          <cell r="D70">
            <v>1</v>
          </cell>
          <cell r="E70" t="str">
            <v>CVCTE</v>
          </cell>
          <cell r="F70" t="str">
            <v>Baldwin Park</v>
          </cell>
          <cell r="G70">
            <v>0</v>
          </cell>
          <cell r="H70">
            <v>0</v>
          </cell>
          <cell r="I70">
            <v>5.4420000000000002</v>
          </cell>
          <cell r="J70">
            <v>5.2489564499999997</v>
          </cell>
          <cell r="K70">
            <v>5.2489564499999997</v>
          </cell>
          <cell r="L70">
            <v>0.192702650305207</v>
          </cell>
          <cell r="M70">
            <v>5.4416591003052099</v>
          </cell>
          <cell r="N70">
            <v>0.41176470588235298</v>
          </cell>
          <cell r="O70">
            <v>0</v>
          </cell>
          <cell r="P70">
            <v>1</v>
          </cell>
        </row>
        <row r="71">
          <cell r="A71">
            <v>482402</v>
          </cell>
          <cell r="B71">
            <v>3</v>
          </cell>
          <cell r="C71">
            <v>0</v>
          </cell>
          <cell r="D71">
            <v>1</v>
          </cell>
          <cell r="E71" t="str">
            <v>CVCTE</v>
          </cell>
          <cell r="F71" t="str">
            <v>Rosemead</v>
          </cell>
          <cell r="G71">
            <v>0</v>
          </cell>
          <cell r="H71">
            <v>0</v>
          </cell>
          <cell r="I71">
            <v>2.0950000000000002</v>
          </cell>
          <cell r="J71">
            <v>1.9836996600000001</v>
          </cell>
          <cell r="K71">
            <v>1.9836996600000001</v>
          </cell>
          <cell r="L71">
            <v>0.11117260138240601</v>
          </cell>
          <cell r="M71">
            <v>2.09487226138241</v>
          </cell>
          <cell r="N71">
            <v>0.41176470588235298</v>
          </cell>
          <cell r="O71">
            <v>0</v>
          </cell>
          <cell r="P71">
            <v>1</v>
          </cell>
        </row>
        <row r="72">
          <cell r="A72">
            <v>404701</v>
          </cell>
          <cell r="B72">
            <v>3</v>
          </cell>
          <cell r="C72">
            <v>0</v>
          </cell>
          <cell r="D72">
            <v>1</v>
          </cell>
          <cell r="E72" t="str">
            <v>CVCTE</v>
          </cell>
          <cell r="F72" t="str">
            <v>Baldwin Park</v>
          </cell>
          <cell r="G72">
            <v>0</v>
          </cell>
          <cell r="H72">
            <v>0</v>
          </cell>
          <cell r="I72">
            <v>13.176</v>
          </cell>
          <cell r="J72">
            <v>8.8869685599999997</v>
          </cell>
          <cell r="K72">
            <v>12.88696856</v>
          </cell>
          <cell r="L72">
            <v>0.28831348267504497</v>
          </cell>
          <cell r="M72">
            <v>13.175282042675001</v>
          </cell>
          <cell r="N72">
            <v>0.41176470588235298</v>
          </cell>
          <cell r="O72">
            <v>0</v>
          </cell>
          <cell r="P72">
            <v>1</v>
          </cell>
        </row>
        <row r="73">
          <cell r="A73">
            <v>407602</v>
          </cell>
          <cell r="B73">
            <v>3</v>
          </cell>
          <cell r="C73">
            <v>0</v>
          </cell>
          <cell r="D73">
            <v>1</v>
          </cell>
          <cell r="E73" t="str">
            <v>CVCTE</v>
          </cell>
          <cell r="F73" t="str">
            <v>La Puente</v>
          </cell>
          <cell r="G73">
            <v>0</v>
          </cell>
          <cell r="H73">
            <v>0</v>
          </cell>
          <cell r="I73">
            <v>11.776999999999999</v>
          </cell>
          <cell r="J73">
            <v>5.7146398200000004</v>
          </cell>
          <cell r="K73">
            <v>11.71463982</v>
          </cell>
          <cell r="L73">
            <v>6.18759662477558E-2</v>
          </cell>
          <cell r="M73">
            <v>11.776515786247799</v>
          </cell>
          <cell r="N73">
            <v>0.41176470588235298</v>
          </cell>
          <cell r="O73">
            <v>0</v>
          </cell>
          <cell r="P73">
            <v>1</v>
          </cell>
        </row>
        <row r="74">
          <cell r="A74">
            <v>432300</v>
          </cell>
          <cell r="B74">
            <v>3</v>
          </cell>
          <cell r="C74">
            <v>0</v>
          </cell>
          <cell r="D74">
            <v>1</v>
          </cell>
          <cell r="E74" t="str">
            <v>CVCTE</v>
          </cell>
          <cell r="F74" t="str">
            <v>El Monte</v>
          </cell>
          <cell r="G74">
            <v>1</v>
          </cell>
          <cell r="H74">
            <v>1</v>
          </cell>
          <cell r="I74">
            <v>10.707000000000001</v>
          </cell>
          <cell r="J74">
            <v>7.31147583</v>
          </cell>
          <cell r="K74">
            <v>10.311475829999999</v>
          </cell>
          <cell r="L74">
            <v>0.39442253098743302</v>
          </cell>
          <cell r="M74">
            <v>10.705898360987399</v>
          </cell>
          <cell r="N74">
            <v>0.41176470588235298</v>
          </cell>
          <cell r="O74">
            <v>2.4285714285714302</v>
          </cell>
          <cell r="P74">
            <v>1</v>
          </cell>
        </row>
        <row r="75">
          <cell r="A75">
            <v>405203</v>
          </cell>
          <cell r="B75">
            <v>3</v>
          </cell>
          <cell r="C75">
            <v>0</v>
          </cell>
          <cell r="D75">
            <v>1</v>
          </cell>
          <cell r="E75" t="str">
            <v>CVCTE</v>
          </cell>
          <cell r="F75" t="str">
            <v>Baldwin Park</v>
          </cell>
          <cell r="G75">
            <v>0</v>
          </cell>
          <cell r="H75">
            <v>0</v>
          </cell>
          <cell r="I75">
            <v>7.806</v>
          </cell>
          <cell r="J75">
            <v>7.4336636599999997</v>
          </cell>
          <cell r="K75">
            <v>7.4336636599999997</v>
          </cell>
          <cell r="L75">
            <v>0.37231622333931802</v>
          </cell>
          <cell r="M75">
            <v>7.8059798833393197</v>
          </cell>
          <cell r="N75">
            <v>0.41176470588235298</v>
          </cell>
          <cell r="O75">
            <v>0</v>
          </cell>
          <cell r="P75">
            <v>1</v>
          </cell>
        </row>
        <row r="76">
          <cell r="A76">
            <v>405002</v>
          </cell>
          <cell r="B76">
            <v>3</v>
          </cell>
          <cell r="C76">
            <v>0</v>
          </cell>
          <cell r="D76">
            <v>1</v>
          </cell>
          <cell r="E76" t="str">
            <v>CVCTE</v>
          </cell>
          <cell r="F76" t="str">
            <v>Baldwin Park</v>
          </cell>
          <cell r="G76">
            <v>0</v>
          </cell>
          <cell r="H76">
            <v>0</v>
          </cell>
          <cell r="I76">
            <v>15.186999999999999</v>
          </cell>
          <cell r="J76">
            <v>9.6679308099999997</v>
          </cell>
          <cell r="K76">
            <v>14.66793081</v>
          </cell>
          <cell r="L76">
            <v>0.519675915816876</v>
          </cell>
          <cell r="M76">
            <v>15.187606725816901</v>
          </cell>
          <cell r="N76">
            <v>0.41176470588235298</v>
          </cell>
          <cell r="O76">
            <v>0</v>
          </cell>
          <cell r="P76">
            <v>1</v>
          </cell>
        </row>
        <row r="77">
          <cell r="A77">
            <v>433101</v>
          </cell>
          <cell r="B77">
            <v>3</v>
          </cell>
          <cell r="C77">
            <v>0</v>
          </cell>
          <cell r="D77">
            <v>1</v>
          </cell>
          <cell r="E77" t="str">
            <v>CVCTE</v>
          </cell>
          <cell r="F77" t="str">
            <v>El Monte</v>
          </cell>
          <cell r="G77">
            <v>1</v>
          </cell>
          <cell r="H77">
            <v>1</v>
          </cell>
          <cell r="I77">
            <v>2</v>
          </cell>
          <cell r="J77">
            <v>0</v>
          </cell>
          <cell r="K77">
            <v>2</v>
          </cell>
          <cell r="L77">
            <v>0</v>
          </cell>
          <cell r="M77">
            <v>2</v>
          </cell>
          <cell r="N77">
            <v>0.41176470588235298</v>
          </cell>
          <cell r="O77">
            <v>2.4285714285714302</v>
          </cell>
          <cell r="P77">
            <v>1</v>
          </cell>
        </row>
        <row r="78">
          <cell r="A78">
            <v>401704</v>
          </cell>
          <cell r="B78">
            <v>3</v>
          </cell>
          <cell r="C78">
            <v>0</v>
          </cell>
          <cell r="D78">
            <v>1</v>
          </cell>
          <cell r="E78" t="str">
            <v>CVCTE</v>
          </cell>
          <cell r="F78" t="str">
            <v>Pomona</v>
          </cell>
          <cell r="G78">
            <v>1</v>
          </cell>
          <cell r="H78">
            <v>1</v>
          </cell>
          <cell r="I78">
            <v>11.589</v>
          </cell>
          <cell r="J78">
            <v>7.1397280600000004</v>
          </cell>
          <cell r="K78">
            <v>11.139728059999999</v>
          </cell>
          <cell r="L78">
            <v>0.448782719192101</v>
          </cell>
          <cell r="M78">
            <v>11.5885107791921</v>
          </cell>
          <cell r="N78">
            <v>0.41176470588235298</v>
          </cell>
          <cell r="O78">
            <v>2.4285714285714302</v>
          </cell>
          <cell r="P78">
            <v>1</v>
          </cell>
        </row>
        <row r="79">
          <cell r="A79">
            <v>433601</v>
          </cell>
          <cell r="B79">
            <v>3</v>
          </cell>
          <cell r="C79">
            <v>0</v>
          </cell>
          <cell r="D79">
            <v>1</v>
          </cell>
          <cell r="E79" t="str">
            <v>CVCTE</v>
          </cell>
          <cell r="F79" t="str">
            <v>Rosemead</v>
          </cell>
          <cell r="G79">
            <v>0</v>
          </cell>
          <cell r="H79">
            <v>0</v>
          </cell>
          <cell r="I79">
            <v>5.5540000000000003</v>
          </cell>
          <cell r="J79">
            <v>5.4910515000000002</v>
          </cell>
          <cell r="K79">
            <v>5.4910515000000002</v>
          </cell>
          <cell r="L79">
            <v>6.2742575924596006E-2</v>
          </cell>
          <cell r="M79">
            <v>5.5537940759245998</v>
          </cell>
          <cell r="N79">
            <v>0.41176470588235298</v>
          </cell>
          <cell r="O79">
            <v>0</v>
          </cell>
          <cell r="P79">
            <v>1</v>
          </cell>
        </row>
        <row r="80">
          <cell r="A80">
            <v>432801</v>
          </cell>
          <cell r="B80">
            <v>3</v>
          </cell>
          <cell r="C80">
            <v>0</v>
          </cell>
          <cell r="D80">
            <v>1</v>
          </cell>
          <cell r="E80" t="str">
            <v>CVCTE</v>
          </cell>
          <cell r="F80" t="str">
            <v>El Monte</v>
          </cell>
          <cell r="G80">
            <v>1</v>
          </cell>
          <cell r="H80">
            <v>1</v>
          </cell>
          <cell r="I80">
            <v>50.546999999999997</v>
          </cell>
          <cell r="J80">
            <v>25.5858293</v>
          </cell>
          <cell r="K80">
            <v>48.5858293</v>
          </cell>
          <cell r="L80">
            <v>1.9603408094614001</v>
          </cell>
          <cell r="M80">
            <v>50.5461701094614</v>
          </cell>
          <cell r="N80">
            <v>0.41176470588235298</v>
          </cell>
          <cell r="O80">
            <v>2.4285714285714302</v>
          </cell>
          <cell r="P80">
            <v>1</v>
          </cell>
        </row>
        <row r="81">
          <cell r="A81">
            <v>401800</v>
          </cell>
          <cell r="B81">
            <v>3</v>
          </cell>
          <cell r="C81">
            <v>0</v>
          </cell>
          <cell r="D81">
            <v>1</v>
          </cell>
          <cell r="E81" t="str">
            <v>CVCTE</v>
          </cell>
          <cell r="F81" t="str">
            <v>Claremont</v>
          </cell>
          <cell r="G81">
            <v>0</v>
          </cell>
          <cell r="H81">
            <v>0</v>
          </cell>
          <cell r="I81">
            <v>2</v>
          </cell>
          <cell r="J81">
            <v>0</v>
          </cell>
          <cell r="K81">
            <v>2</v>
          </cell>
          <cell r="L81">
            <v>0</v>
          </cell>
          <cell r="M81">
            <v>2</v>
          </cell>
          <cell r="N81">
            <v>0.41176470588235298</v>
          </cell>
          <cell r="O81">
            <v>0</v>
          </cell>
          <cell r="P81">
            <v>1</v>
          </cell>
        </row>
        <row r="82">
          <cell r="A82">
            <v>406902</v>
          </cell>
          <cell r="B82">
            <v>3</v>
          </cell>
          <cell r="C82">
            <v>0</v>
          </cell>
          <cell r="D82">
            <v>1</v>
          </cell>
          <cell r="E82" t="str">
            <v>CVCTE</v>
          </cell>
          <cell r="F82" t="str">
            <v>West Puente Valley</v>
          </cell>
          <cell r="G82">
            <v>0</v>
          </cell>
          <cell r="H82">
            <v>0</v>
          </cell>
          <cell r="I82">
            <v>8.093</v>
          </cell>
          <cell r="J82">
            <v>7.6842311499999996</v>
          </cell>
          <cell r="K82">
            <v>7.6842311499999996</v>
          </cell>
          <cell r="L82">
            <v>0.40850331443447002</v>
          </cell>
          <cell r="M82">
            <v>8.0927344644344696</v>
          </cell>
          <cell r="N82">
            <v>0.41176470588235298</v>
          </cell>
          <cell r="O82">
            <v>0</v>
          </cell>
          <cell r="P82">
            <v>1</v>
          </cell>
        </row>
        <row r="83">
          <cell r="A83">
            <v>480302</v>
          </cell>
          <cell r="B83">
            <v>3</v>
          </cell>
          <cell r="C83">
            <v>0</v>
          </cell>
          <cell r="D83">
            <v>5</v>
          </cell>
          <cell r="E83" t="str">
            <v>CVCTE</v>
          </cell>
          <cell r="F83" t="str">
            <v>Alhambra</v>
          </cell>
          <cell r="G83">
            <v>0</v>
          </cell>
          <cell r="H83">
            <v>0</v>
          </cell>
          <cell r="I83">
            <v>7.6589999999999998</v>
          </cell>
          <cell r="J83">
            <v>5.5428920499999998</v>
          </cell>
          <cell r="K83">
            <v>7.5428920499999998</v>
          </cell>
          <cell r="L83">
            <v>0.116236154452424</v>
          </cell>
          <cell r="M83">
            <v>7.6591282044524203</v>
          </cell>
          <cell r="N83">
            <v>0.41176470588235298</v>
          </cell>
          <cell r="O83">
            <v>0</v>
          </cell>
          <cell r="P83">
            <v>1</v>
          </cell>
        </row>
        <row r="84">
          <cell r="A84">
            <v>404801</v>
          </cell>
          <cell r="B84">
            <v>3</v>
          </cell>
          <cell r="C84">
            <v>0</v>
          </cell>
          <cell r="D84">
            <v>1</v>
          </cell>
          <cell r="E84" t="str">
            <v>CVCTE</v>
          </cell>
          <cell r="F84" t="str">
            <v>Baldwin Park</v>
          </cell>
          <cell r="G84">
            <v>0</v>
          </cell>
          <cell r="H84">
            <v>0</v>
          </cell>
          <cell r="I84">
            <v>6.6120000000000001</v>
          </cell>
          <cell r="J84">
            <v>5.3277761699999999</v>
          </cell>
          <cell r="K84">
            <v>6.3277761699999999</v>
          </cell>
          <cell r="L84">
            <v>0.28324992960502698</v>
          </cell>
          <cell r="M84">
            <v>6.6110260996050298</v>
          </cell>
          <cell r="N84">
            <v>0.41176470588235298</v>
          </cell>
          <cell r="O84">
            <v>0</v>
          </cell>
          <cell r="P84">
            <v>1</v>
          </cell>
        </row>
        <row r="85">
          <cell r="A85">
            <v>404202</v>
          </cell>
          <cell r="B85">
            <v>3</v>
          </cell>
          <cell r="C85">
            <v>0</v>
          </cell>
          <cell r="D85">
            <v>1</v>
          </cell>
          <cell r="E85" t="str">
            <v>CVCTE</v>
          </cell>
          <cell r="F85" t="str">
            <v>Azusa</v>
          </cell>
          <cell r="G85">
            <v>0</v>
          </cell>
          <cell r="H85">
            <v>0</v>
          </cell>
          <cell r="I85">
            <v>16.623000000000001</v>
          </cell>
          <cell r="J85">
            <v>8.1273495899999997</v>
          </cell>
          <cell r="K85">
            <v>16.127349590000001</v>
          </cell>
          <cell r="L85">
            <v>0.49560666258527802</v>
          </cell>
          <cell r="M85">
            <v>16.622956252585301</v>
          </cell>
          <cell r="N85">
            <v>0.41176470588235298</v>
          </cell>
          <cell r="O85">
            <v>0</v>
          </cell>
          <cell r="P85">
            <v>1</v>
          </cell>
        </row>
        <row r="86">
          <cell r="A86">
            <v>404600</v>
          </cell>
          <cell r="B86">
            <v>3</v>
          </cell>
          <cell r="C86">
            <v>0</v>
          </cell>
          <cell r="D86">
            <v>1</v>
          </cell>
          <cell r="E86" t="str">
            <v>CVCTE</v>
          </cell>
          <cell r="F86" t="str">
            <v>Irwindale</v>
          </cell>
          <cell r="G86">
            <v>1</v>
          </cell>
          <cell r="H86">
            <v>1</v>
          </cell>
          <cell r="I86">
            <v>49.503</v>
          </cell>
          <cell r="J86">
            <v>34.520061349999999</v>
          </cell>
          <cell r="K86">
            <v>47.520061349999999</v>
          </cell>
          <cell r="L86">
            <v>1.9820305016158</v>
          </cell>
          <cell r="M86">
            <v>49.502091851615802</v>
          </cell>
          <cell r="N86">
            <v>0.41176470588235298</v>
          </cell>
          <cell r="O86">
            <v>2.4285714285714302</v>
          </cell>
          <cell r="P86">
            <v>1</v>
          </cell>
        </row>
        <row r="87">
          <cell r="A87">
            <v>431001</v>
          </cell>
          <cell r="B87">
            <v>3</v>
          </cell>
          <cell r="C87">
            <v>0</v>
          </cell>
          <cell r="D87">
            <v>5</v>
          </cell>
          <cell r="E87" t="str">
            <v>CVCTE</v>
          </cell>
          <cell r="F87" t="str">
            <v>Monrovia</v>
          </cell>
          <cell r="G87">
            <v>0</v>
          </cell>
          <cell r="H87">
            <v>0</v>
          </cell>
          <cell r="I87">
            <v>12.462999999999999</v>
          </cell>
          <cell r="J87">
            <v>9.1375360499999996</v>
          </cell>
          <cell r="K87">
            <v>12.13753605</v>
          </cell>
          <cell r="L87">
            <v>0.32450057377019698</v>
          </cell>
          <cell r="M87">
            <v>12.462036623770199</v>
          </cell>
          <cell r="N87">
            <v>0.41176470588235298</v>
          </cell>
          <cell r="O87">
            <v>0</v>
          </cell>
          <cell r="P87">
            <v>1</v>
          </cell>
        </row>
        <row r="88">
          <cell r="A88">
            <v>404504</v>
          </cell>
          <cell r="B88">
            <v>3</v>
          </cell>
          <cell r="C88">
            <v>0</v>
          </cell>
          <cell r="D88">
            <v>1</v>
          </cell>
          <cell r="E88" t="str">
            <v>CVCTE</v>
          </cell>
          <cell r="F88" t="str">
            <v>Azusa</v>
          </cell>
          <cell r="G88">
            <v>1</v>
          </cell>
          <cell r="H88">
            <v>1</v>
          </cell>
          <cell r="I88">
            <v>11.211</v>
          </cell>
          <cell r="J88">
            <v>7.8559789200000001</v>
          </cell>
          <cell r="K88">
            <v>10.85597892</v>
          </cell>
          <cell r="L88">
            <v>0.35414312622980199</v>
          </cell>
          <cell r="M88">
            <v>11.210122046229801</v>
          </cell>
          <cell r="N88">
            <v>0.41176470588235298</v>
          </cell>
          <cell r="O88">
            <v>2.4285714285714302</v>
          </cell>
          <cell r="P88">
            <v>1</v>
          </cell>
        </row>
        <row r="89">
          <cell r="A89">
            <v>460200</v>
          </cell>
          <cell r="B89">
            <v>3</v>
          </cell>
          <cell r="C89">
            <v>0</v>
          </cell>
          <cell r="D89">
            <v>5</v>
          </cell>
          <cell r="E89" t="str">
            <v>CVCTE</v>
          </cell>
          <cell r="F89" t="str">
            <v>Altadena</v>
          </cell>
          <cell r="G89">
            <v>1</v>
          </cell>
          <cell r="H89">
            <v>1</v>
          </cell>
          <cell r="I89">
            <v>7.1970000000000001</v>
          </cell>
          <cell r="J89">
            <v>6.8373200199999999</v>
          </cell>
          <cell r="K89">
            <v>6.8373200199999999</v>
          </cell>
          <cell r="L89">
            <v>0.35910204956912001</v>
          </cell>
          <cell r="M89">
            <v>7.1964220695691203</v>
          </cell>
          <cell r="N89">
            <v>0.41176470588235298</v>
          </cell>
          <cell r="O89">
            <v>2.4285714285714302</v>
          </cell>
          <cell r="P89">
            <v>1</v>
          </cell>
        </row>
        <row r="90">
          <cell r="A90">
            <v>404501</v>
          </cell>
          <cell r="B90">
            <v>3</v>
          </cell>
          <cell r="C90">
            <v>0</v>
          </cell>
          <cell r="D90">
            <v>1</v>
          </cell>
          <cell r="E90" t="str">
            <v>CVCTE</v>
          </cell>
          <cell r="F90" t="str">
            <v>Azusa</v>
          </cell>
          <cell r="G90">
            <v>0</v>
          </cell>
          <cell r="H90">
            <v>0</v>
          </cell>
          <cell r="I90">
            <v>12.988</v>
          </cell>
          <cell r="J90">
            <v>7.6323905999999999</v>
          </cell>
          <cell r="K90">
            <v>12.632390600000001</v>
          </cell>
          <cell r="L90">
            <v>0.35500973590664298</v>
          </cell>
          <cell r="M90">
            <v>12.987400335906599</v>
          </cell>
          <cell r="N90">
            <v>0.41176470588235298</v>
          </cell>
          <cell r="O90">
            <v>0</v>
          </cell>
          <cell r="P90">
            <v>1</v>
          </cell>
        </row>
        <row r="91">
          <cell r="A91">
            <v>482401</v>
          </cell>
          <cell r="B91">
            <v>3</v>
          </cell>
          <cell r="C91">
            <v>0</v>
          </cell>
          <cell r="D91">
            <v>1</v>
          </cell>
          <cell r="E91" t="str">
            <v>CVCTE</v>
          </cell>
          <cell r="F91" t="str">
            <v>Rosemead</v>
          </cell>
          <cell r="G91">
            <v>0</v>
          </cell>
          <cell r="H91">
            <v>0</v>
          </cell>
          <cell r="I91">
            <v>17.548999999999999</v>
          </cell>
          <cell r="J91">
            <v>10.03222953</v>
          </cell>
          <cell r="K91">
            <v>17.032229529999999</v>
          </cell>
          <cell r="L91">
            <v>0.51623198466786402</v>
          </cell>
          <cell r="M91">
            <v>17.548461514667899</v>
          </cell>
          <cell r="N91">
            <v>0.41176470588235298</v>
          </cell>
          <cell r="O91">
            <v>0</v>
          </cell>
          <cell r="P91">
            <v>1</v>
          </cell>
        </row>
        <row r="92">
          <cell r="A92">
            <v>481202</v>
          </cell>
          <cell r="B92">
            <v>3</v>
          </cell>
          <cell r="C92">
            <v>0</v>
          </cell>
          <cell r="D92">
            <v>5</v>
          </cell>
          <cell r="E92" t="str">
            <v>CVCTE</v>
          </cell>
          <cell r="F92" t="str">
            <v>East San Gabriel</v>
          </cell>
          <cell r="G92">
            <v>0</v>
          </cell>
          <cell r="H92">
            <v>0</v>
          </cell>
          <cell r="I92">
            <v>3.6160000000000001</v>
          </cell>
          <cell r="J92">
            <v>3.4662643399999999</v>
          </cell>
          <cell r="K92">
            <v>3.4662643399999999</v>
          </cell>
          <cell r="L92">
            <v>0.14997102057450601</v>
          </cell>
          <cell r="M92">
            <v>3.6162353605745099</v>
          </cell>
          <cell r="N92">
            <v>0.41176470588235298</v>
          </cell>
          <cell r="O92">
            <v>0</v>
          </cell>
          <cell r="P92">
            <v>1</v>
          </cell>
        </row>
        <row r="93">
          <cell r="A93">
            <v>480600</v>
          </cell>
          <cell r="B93">
            <v>3</v>
          </cell>
          <cell r="C93">
            <v>0</v>
          </cell>
          <cell r="D93">
            <v>5</v>
          </cell>
          <cell r="E93" t="str">
            <v>CVCTE</v>
          </cell>
          <cell r="F93" t="str">
            <v>South Pasadena</v>
          </cell>
          <cell r="G93">
            <v>1</v>
          </cell>
          <cell r="H93">
            <v>1</v>
          </cell>
          <cell r="I93">
            <v>9.1809999999999992</v>
          </cell>
          <cell r="J93">
            <v>2.87839314</v>
          </cell>
          <cell r="K93">
            <v>8.87839314</v>
          </cell>
          <cell r="L93">
            <v>0.30290401228007202</v>
          </cell>
          <cell r="M93">
            <v>9.1812971522800702</v>
          </cell>
          <cell r="N93">
            <v>0.41176470588235298</v>
          </cell>
          <cell r="O93">
            <v>2.4285714285714302</v>
          </cell>
          <cell r="P93">
            <v>1</v>
          </cell>
        </row>
        <row r="94">
          <cell r="A94">
            <v>402303</v>
          </cell>
          <cell r="B94">
            <v>3</v>
          </cell>
          <cell r="C94">
            <v>0</v>
          </cell>
          <cell r="D94">
            <v>1</v>
          </cell>
          <cell r="E94" t="str">
            <v>CVCTE</v>
          </cell>
          <cell r="F94" t="str">
            <v>Pomona</v>
          </cell>
          <cell r="G94">
            <v>0</v>
          </cell>
          <cell r="H94">
            <v>0</v>
          </cell>
          <cell r="I94">
            <v>3</v>
          </cell>
          <cell r="J94">
            <v>0</v>
          </cell>
          <cell r="K94">
            <v>3</v>
          </cell>
          <cell r="L94">
            <v>0</v>
          </cell>
          <cell r="M94">
            <v>3</v>
          </cell>
          <cell r="N94">
            <v>0.41176470588235298</v>
          </cell>
          <cell r="O94">
            <v>0</v>
          </cell>
          <cell r="P94">
            <v>1</v>
          </cell>
        </row>
        <row r="95">
          <cell r="A95">
            <v>930301</v>
          </cell>
          <cell r="B95">
            <v>3</v>
          </cell>
          <cell r="C95">
            <v>0</v>
          </cell>
          <cell r="D95">
            <v>5</v>
          </cell>
          <cell r="E95" t="str">
            <v>CVCTE</v>
          </cell>
          <cell r="F95" t="str">
            <v>Angeles National Forest</v>
          </cell>
          <cell r="G95">
            <v>1</v>
          </cell>
          <cell r="H95">
            <v>1</v>
          </cell>
          <cell r="I95">
            <v>60.912999999999997</v>
          </cell>
          <cell r="J95">
            <v>33.341466560000001</v>
          </cell>
          <cell r="K95">
            <v>59.341466560000001</v>
          </cell>
          <cell r="L95">
            <v>1.57152495639138</v>
          </cell>
          <cell r="M95">
            <v>60.912991516391401</v>
          </cell>
          <cell r="N95">
            <v>0.41176470588235298</v>
          </cell>
          <cell r="O95">
            <v>2.4285714285714302</v>
          </cell>
          <cell r="P95">
            <v>1</v>
          </cell>
        </row>
        <row r="96">
          <cell r="A96">
            <v>407302</v>
          </cell>
          <cell r="B96">
            <v>3</v>
          </cell>
          <cell r="C96">
            <v>0</v>
          </cell>
          <cell r="D96">
            <v>1</v>
          </cell>
          <cell r="E96" t="str">
            <v>CVCTE</v>
          </cell>
          <cell r="F96" t="str">
            <v>West Puente Valley</v>
          </cell>
          <cell r="G96">
            <v>0</v>
          </cell>
          <cell r="H96">
            <v>0</v>
          </cell>
          <cell r="I96">
            <v>4.9889999999999999</v>
          </cell>
          <cell r="J96">
            <v>4.6115253100000002</v>
          </cell>
          <cell r="K96">
            <v>4.6115253100000002</v>
          </cell>
          <cell r="L96">
            <v>0.377889522567325</v>
          </cell>
          <cell r="M96">
            <v>4.9894148325673298</v>
          </cell>
          <cell r="N96">
            <v>0.41176470588235298</v>
          </cell>
          <cell r="O96">
            <v>0</v>
          </cell>
          <cell r="P96">
            <v>1</v>
          </cell>
        </row>
        <row r="97">
          <cell r="A97">
            <v>930101</v>
          </cell>
          <cell r="B97">
            <v>3</v>
          </cell>
          <cell r="C97">
            <v>0</v>
          </cell>
          <cell r="D97">
            <v>5</v>
          </cell>
          <cell r="E97" t="str">
            <v>CVCTE</v>
          </cell>
          <cell r="F97" t="str">
            <v>Angeles National Forest</v>
          </cell>
          <cell r="G97">
            <v>0</v>
          </cell>
          <cell r="H97">
            <v>0</v>
          </cell>
          <cell r="I97">
            <v>43.985999999999997</v>
          </cell>
          <cell r="J97">
            <v>25.405949159999999</v>
          </cell>
          <cell r="K97">
            <v>43.405949159999999</v>
          </cell>
          <cell r="L97">
            <v>0.57969929612208304</v>
          </cell>
          <cell r="M97">
            <v>43.9856484561221</v>
          </cell>
          <cell r="N97">
            <v>0.41176470588235298</v>
          </cell>
          <cell r="O97">
            <v>0</v>
          </cell>
          <cell r="P97">
            <v>1</v>
          </cell>
        </row>
        <row r="98">
          <cell r="A98">
            <v>431502</v>
          </cell>
          <cell r="B98">
            <v>3</v>
          </cell>
          <cell r="C98">
            <v>0</v>
          </cell>
          <cell r="D98">
            <v>5</v>
          </cell>
          <cell r="E98" t="str">
            <v>CVCTE</v>
          </cell>
          <cell r="F98" t="str">
            <v>North El Monte</v>
          </cell>
          <cell r="G98">
            <v>1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0.41176470588235298</v>
          </cell>
          <cell r="O98">
            <v>2.4285714285714302</v>
          </cell>
          <cell r="P98">
            <v>1</v>
          </cell>
        </row>
        <row r="99">
          <cell r="A99">
            <v>434001</v>
          </cell>
          <cell r="B99">
            <v>3</v>
          </cell>
          <cell r="C99">
            <v>0</v>
          </cell>
          <cell r="D99">
            <v>1</v>
          </cell>
          <cell r="E99" t="str">
            <v>CVCTE</v>
          </cell>
          <cell r="F99" t="str">
            <v>El Monte</v>
          </cell>
          <cell r="G99">
            <v>1</v>
          </cell>
          <cell r="H99">
            <v>1</v>
          </cell>
          <cell r="I99">
            <v>1.9259999999999999</v>
          </cell>
          <cell r="J99">
            <v>1.90487994</v>
          </cell>
          <cell r="K99">
            <v>1.90487994</v>
          </cell>
          <cell r="L99">
            <v>2.0625322082585301E-2</v>
          </cell>
          <cell r="M99">
            <v>1.9255052620825901</v>
          </cell>
          <cell r="N99">
            <v>0.41176470588235298</v>
          </cell>
          <cell r="O99">
            <v>2.4285714285714302</v>
          </cell>
          <cell r="P99">
            <v>1</v>
          </cell>
        </row>
        <row r="100">
          <cell r="A100">
            <v>433802</v>
          </cell>
          <cell r="B100">
            <v>3</v>
          </cell>
          <cell r="C100">
            <v>0</v>
          </cell>
          <cell r="D100">
            <v>1</v>
          </cell>
          <cell r="E100" t="str">
            <v>CVCTE</v>
          </cell>
          <cell r="F100" t="str">
            <v>Whittier Narrows</v>
          </cell>
          <cell r="G100">
            <v>0</v>
          </cell>
          <cell r="H100">
            <v>0</v>
          </cell>
          <cell r="I100">
            <v>85.631</v>
          </cell>
          <cell r="J100">
            <v>62.061660670000002</v>
          </cell>
          <cell r="K100">
            <v>84.061660669999995</v>
          </cell>
          <cell r="L100">
            <v>1.5698763513285501</v>
          </cell>
          <cell r="M100">
            <v>85.631537021328597</v>
          </cell>
          <cell r="N100">
            <v>0.41176470588235298</v>
          </cell>
          <cell r="O100">
            <v>0</v>
          </cell>
          <cell r="P100">
            <v>1</v>
          </cell>
        </row>
        <row r="101">
          <cell r="A101">
            <v>433302</v>
          </cell>
          <cell r="B101">
            <v>3</v>
          </cell>
          <cell r="C101">
            <v>0</v>
          </cell>
          <cell r="D101">
            <v>1</v>
          </cell>
          <cell r="E101" t="str">
            <v>CVCTE</v>
          </cell>
          <cell r="F101" t="str">
            <v>El Monte</v>
          </cell>
          <cell r="G101">
            <v>1</v>
          </cell>
          <cell r="H101">
            <v>1</v>
          </cell>
          <cell r="I101">
            <v>26.893999999999998</v>
          </cell>
          <cell r="J101">
            <v>24.39050537</v>
          </cell>
          <cell r="K101">
            <v>25.39050537</v>
          </cell>
          <cell r="L101">
            <v>1.5043447023518799</v>
          </cell>
          <cell r="M101">
            <v>26.8948500723519</v>
          </cell>
          <cell r="N101">
            <v>0.41176470588235298</v>
          </cell>
          <cell r="O101">
            <v>2.4285714285714302</v>
          </cell>
          <cell r="P101">
            <v>1</v>
          </cell>
        </row>
        <row r="102">
          <cell r="A102">
            <v>407801</v>
          </cell>
          <cell r="B102">
            <v>3</v>
          </cell>
          <cell r="C102">
            <v>0</v>
          </cell>
          <cell r="D102">
            <v>1</v>
          </cell>
          <cell r="E102" t="str">
            <v>CVCTE</v>
          </cell>
          <cell r="F102" t="str">
            <v>Industry</v>
          </cell>
          <cell r="G102">
            <v>0</v>
          </cell>
          <cell r="H102">
            <v>0</v>
          </cell>
          <cell r="I102">
            <v>6.5540000000000003</v>
          </cell>
          <cell r="J102">
            <v>5.4910515000000002</v>
          </cell>
          <cell r="K102">
            <v>6.4910515000000002</v>
          </cell>
          <cell r="L102">
            <v>6.2742575924596006E-2</v>
          </cell>
          <cell r="M102">
            <v>6.5537940759245998</v>
          </cell>
          <cell r="N102">
            <v>0.41176470588235298</v>
          </cell>
          <cell r="O102">
            <v>0</v>
          </cell>
          <cell r="P102">
            <v>1</v>
          </cell>
        </row>
        <row r="103">
          <cell r="A103">
            <v>408723</v>
          </cell>
          <cell r="B103">
            <v>3</v>
          </cell>
          <cell r="C103">
            <v>0</v>
          </cell>
          <cell r="D103">
            <v>4</v>
          </cell>
          <cell r="E103" t="str">
            <v>CVCTE</v>
          </cell>
          <cell r="F103" t="str">
            <v>Rowland Heights</v>
          </cell>
          <cell r="G103">
            <v>1</v>
          </cell>
          <cell r="H103">
            <v>1</v>
          </cell>
          <cell r="I103">
            <v>7.6369999999999996</v>
          </cell>
          <cell r="J103">
            <v>7.3548439400000003</v>
          </cell>
          <cell r="K103">
            <v>7.3548439400000003</v>
          </cell>
          <cell r="L103">
            <v>0.28176894403949698</v>
          </cell>
          <cell r="M103">
            <v>7.6366128840394998</v>
          </cell>
          <cell r="N103">
            <v>0.41176470588235298</v>
          </cell>
          <cell r="O103">
            <v>2.4285714285714302</v>
          </cell>
          <cell r="P103">
            <v>1</v>
          </cell>
        </row>
        <row r="104">
          <cell r="A104">
            <v>408704</v>
          </cell>
          <cell r="B104">
            <v>3</v>
          </cell>
          <cell r="C104">
            <v>0</v>
          </cell>
          <cell r="D104">
            <v>4</v>
          </cell>
          <cell r="E104" t="str">
            <v>CVCTE</v>
          </cell>
          <cell r="F104" t="str">
            <v>Rowland Heights</v>
          </cell>
          <cell r="G104">
            <v>1</v>
          </cell>
          <cell r="H104">
            <v>1</v>
          </cell>
          <cell r="I104">
            <v>7.0839999999999996</v>
          </cell>
          <cell r="J104">
            <v>6.5952249700000003</v>
          </cell>
          <cell r="K104">
            <v>6.5952249700000003</v>
          </cell>
          <cell r="L104">
            <v>0.48906212394973098</v>
          </cell>
          <cell r="M104">
            <v>7.0842870939497304</v>
          </cell>
          <cell r="N104">
            <v>0.41176470588235298</v>
          </cell>
          <cell r="O104">
            <v>2.4285714285714302</v>
          </cell>
          <cell r="P104">
            <v>1</v>
          </cell>
        </row>
        <row r="105">
          <cell r="A105">
            <v>402200</v>
          </cell>
          <cell r="B105">
            <v>3</v>
          </cell>
          <cell r="C105">
            <v>0</v>
          </cell>
          <cell r="D105">
            <v>1</v>
          </cell>
          <cell r="E105" t="str">
            <v>CVCTE</v>
          </cell>
          <cell r="F105" t="str">
            <v>Pomona</v>
          </cell>
          <cell r="G105">
            <v>0</v>
          </cell>
          <cell r="H105">
            <v>0</v>
          </cell>
          <cell r="I105">
            <v>41.470999999999997</v>
          </cell>
          <cell r="J105">
            <v>14.720278110000001</v>
          </cell>
          <cell r="K105">
            <v>40.720278110000002</v>
          </cell>
          <cell r="L105">
            <v>0.75029887657091598</v>
          </cell>
          <cell r="M105">
            <v>41.470576986570897</v>
          </cell>
          <cell r="N105">
            <v>0.41176470588235298</v>
          </cell>
          <cell r="O105">
            <v>0</v>
          </cell>
          <cell r="P105">
            <v>1</v>
          </cell>
        </row>
        <row r="106">
          <cell r="A106">
            <v>408302</v>
          </cell>
          <cell r="B106">
            <v>3</v>
          </cell>
          <cell r="C106">
            <v>0</v>
          </cell>
          <cell r="D106">
            <v>1</v>
          </cell>
          <cell r="E106" t="str">
            <v>CVCTE</v>
          </cell>
          <cell r="F106" t="str">
            <v>Avocado Heights</v>
          </cell>
          <cell r="G106">
            <v>1</v>
          </cell>
          <cell r="H106">
            <v>1</v>
          </cell>
          <cell r="I106">
            <v>32.438000000000002</v>
          </cell>
          <cell r="J106">
            <v>22.187794319999998</v>
          </cell>
          <cell r="K106">
            <v>32.187794320000002</v>
          </cell>
          <cell r="L106">
            <v>0.25010369402154398</v>
          </cell>
          <cell r="M106">
            <v>32.437898014021499</v>
          </cell>
          <cell r="N106">
            <v>0.41176470588235298</v>
          </cell>
          <cell r="O106">
            <v>2.4285714285714302</v>
          </cell>
          <cell r="P106">
            <v>1</v>
          </cell>
        </row>
        <row r="107">
          <cell r="A107">
            <v>430901</v>
          </cell>
          <cell r="B107">
            <v>3</v>
          </cell>
          <cell r="C107">
            <v>0</v>
          </cell>
          <cell r="D107">
            <v>5</v>
          </cell>
          <cell r="E107" t="str">
            <v>CVCTE</v>
          </cell>
          <cell r="F107" t="str">
            <v>Monrovia</v>
          </cell>
          <cell r="G107">
            <v>0</v>
          </cell>
          <cell r="H107">
            <v>0</v>
          </cell>
          <cell r="I107">
            <v>7.8289999999999997</v>
          </cell>
          <cell r="J107">
            <v>5.6217117700000001</v>
          </cell>
          <cell r="K107">
            <v>7.6217117700000001</v>
          </cell>
          <cell r="L107">
            <v>0.20678343375224401</v>
          </cell>
          <cell r="M107">
            <v>7.8284952037522402</v>
          </cell>
          <cell r="N107">
            <v>0.41176470588235298</v>
          </cell>
          <cell r="O107">
            <v>0</v>
          </cell>
          <cell r="P107">
            <v>1</v>
          </cell>
        </row>
        <row r="108">
          <cell r="A108">
            <v>433602</v>
          </cell>
          <cell r="B108">
            <v>3</v>
          </cell>
          <cell r="C108">
            <v>0</v>
          </cell>
          <cell r="D108">
            <v>1</v>
          </cell>
          <cell r="E108" t="str">
            <v>CVCTE</v>
          </cell>
          <cell r="F108" t="str">
            <v>Rosemead</v>
          </cell>
          <cell r="G108">
            <v>1</v>
          </cell>
          <cell r="H108">
            <v>1</v>
          </cell>
          <cell r="I108">
            <v>9.5909999999999993</v>
          </cell>
          <cell r="J108">
            <v>1.43919657</v>
          </cell>
          <cell r="K108">
            <v>9.43919657</v>
          </cell>
          <cell r="L108">
            <v>0.15145200614003601</v>
          </cell>
          <cell r="M108">
            <v>9.5906485761400404</v>
          </cell>
          <cell r="N108">
            <v>0.41176470588235298</v>
          </cell>
          <cell r="O108">
            <v>2.4285714285714302</v>
          </cell>
          <cell r="P108">
            <v>1</v>
          </cell>
        </row>
        <row r="109">
          <cell r="A109">
            <v>431400</v>
          </cell>
          <cell r="B109">
            <v>3</v>
          </cell>
          <cell r="C109">
            <v>0</v>
          </cell>
          <cell r="D109">
            <v>5</v>
          </cell>
          <cell r="E109" t="str">
            <v>CVCTE</v>
          </cell>
          <cell r="F109" t="str">
            <v>Mayflower Village</v>
          </cell>
          <cell r="G109">
            <v>1</v>
          </cell>
          <cell r="H109">
            <v>1</v>
          </cell>
          <cell r="I109">
            <v>9.19</v>
          </cell>
          <cell r="J109">
            <v>3.9673993200000002</v>
          </cell>
          <cell r="K109">
            <v>8.9673993200000002</v>
          </cell>
          <cell r="L109">
            <v>0.22234520276481101</v>
          </cell>
          <cell r="M109">
            <v>9.1897445227648102</v>
          </cell>
          <cell r="N109">
            <v>0.41176470588235298</v>
          </cell>
          <cell r="O109">
            <v>2.4285714285714302</v>
          </cell>
          <cell r="P109">
            <v>1</v>
          </cell>
        </row>
        <row r="110">
          <cell r="A110">
            <v>432802</v>
          </cell>
          <cell r="B110">
            <v>3</v>
          </cell>
          <cell r="C110">
            <v>0</v>
          </cell>
          <cell r="D110">
            <v>1</v>
          </cell>
          <cell r="E110" t="str">
            <v>CVCTE</v>
          </cell>
          <cell r="F110" t="str">
            <v>El Monte</v>
          </cell>
          <cell r="G110">
            <v>1</v>
          </cell>
          <cell r="H110">
            <v>1</v>
          </cell>
          <cell r="I110">
            <v>16.102</v>
          </cell>
          <cell r="J110">
            <v>4.8536203599999999</v>
          </cell>
          <cell r="K110">
            <v>15.853620360000001</v>
          </cell>
          <cell r="L110">
            <v>0.247929448186715</v>
          </cell>
          <cell r="M110">
            <v>16.1015498081867</v>
          </cell>
          <cell r="N110">
            <v>0.41176470588235298</v>
          </cell>
          <cell r="O110">
            <v>2.4285714285714302</v>
          </cell>
          <cell r="P110">
            <v>1</v>
          </cell>
        </row>
        <row r="111">
          <cell r="A111">
            <v>408202</v>
          </cell>
          <cell r="B111">
            <v>3</v>
          </cell>
          <cell r="C111">
            <v>0</v>
          </cell>
          <cell r="D111">
            <v>1</v>
          </cell>
          <cell r="E111" t="str">
            <v>CVCTE</v>
          </cell>
          <cell r="F111" t="str">
            <v>Industry</v>
          </cell>
          <cell r="G111">
            <v>1</v>
          </cell>
          <cell r="H111">
            <v>1</v>
          </cell>
          <cell r="I111">
            <v>15.731999999999999</v>
          </cell>
          <cell r="J111">
            <v>9.3385435999999995</v>
          </cell>
          <cell r="K111">
            <v>15.3385436</v>
          </cell>
          <cell r="L111">
            <v>0.39294154542190302</v>
          </cell>
          <cell r="M111">
            <v>15.7314851454219</v>
          </cell>
          <cell r="N111">
            <v>0.41176470588235298</v>
          </cell>
          <cell r="O111">
            <v>2.4285714285714302</v>
          </cell>
          <cell r="P111">
            <v>1</v>
          </cell>
        </row>
        <row r="112">
          <cell r="A112">
            <v>460301</v>
          </cell>
          <cell r="B112">
            <v>3</v>
          </cell>
          <cell r="C112">
            <v>0</v>
          </cell>
          <cell r="D112">
            <v>5</v>
          </cell>
          <cell r="E112" t="str">
            <v>CVCTE</v>
          </cell>
          <cell r="F112" t="str">
            <v>Altadena</v>
          </cell>
          <cell r="G112">
            <v>1</v>
          </cell>
          <cell r="H112">
            <v>1</v>
          </cell>
          <cell r="I112">
            <v>4.7720000000000002</v>
          </cell>
          <cell r="J112">
            <v>4.31758971</v>
          </cell>
          <cell r="K112">
            <v>4.31758971</v>
          </cell>
          <cell r="L112">
            <v>0.45435601842010798</v>
          </cell>
          <cell r="M112">
            <v>4.7719457284201097</v>
          </cell>
          <cell r="N112">
            <v>0.41176470588235298</v>
          </cell>
          <cell r="O112">
            <v>2.4285714285714302</v>
          </cell>
          <cell r="P112">
            <v>1</v>
          </cell>
        </row>
        <row r="113">
          <cell r="A113">
            <v>408301</v>
          </cell>
          <cell r="B113">
            <v>3</v>
          </cell>
          <cell r="C113">
            <v>0</v>
          </cell>
          <cell r="D113">
            <v>1</v>
          </cell>
          <cell r="E113" t="str">
            <v>CVCTE</v>
          </cell>
          <cell r="F113" t="str">
            <v>Avocado Heights</v>
          </cell>
          <cell r="G113">
            <v>0</v>
          </cell>
          <cell r="H113">
            <v>0</v>
          </cell>
          <cell r="I113">
            <v>17.021999999999998</v>
          </cell>
          <cell r="J113">
            <v>14.5811454</v>
          </cell>
          <cell r="K113">
            <v>16.5811454</v>
          </cell>
          <cell r="L113">
            <v>0.44011085326750399</v>
          </cell>
          <cell r="M113">
            <v>17.021256253267499</v>
          </cell>
          <cell r="N113">
            <v>0.41176470588235298</v>
          </cell>
          <cell r="O113">
            <v>0</v>
          </cell>
          <cell r="P113">
            <v>1</v>
          </cell>
        </row>
        <row r="114">
          <cell r="A114">
            <v>402102</v>
          </cell>
          <cell r="B114">
            <v>3</v>
          </cell>
          <cell r="C114">
            <v>0</v>
          </cell>
          <cell r="D114">
            <v>1</v>
          </cell>
          <cell r="E114" t="str">
            <v>CVCTE</v>
          </cell>
          <cell r="F114" t="str">
            <v>Pomona</v>
          </cell>
          <cell r="G114">
            <v>0</v>
          </cell>
          <cell r="H114">
            <v>0</v>
          </cell>
          <cell r="I114">
            <v>18.265999999999998</v>
          </cell>
          <cell r="J114">
            <v>9.4736181100000003</v>
          </cell>
          <cell r="K114">
            <v>17.47361811</v>
          </cell>
          <cell r="L114">
            <v>0.79196613622980205</v>
          </cell>
          <cell r="M114">
            <v>18.2655842462298</v>
          </cell>
          <cell r="N114">
            <v>0.41176470588235298</v>
          </cell>
          <cell r="O114">
            <v>0</v>
          </cell>
          <cell r="P114">
            <v>1</v>
          </cell>
        </row>
        <row r="115">
          <cell r="A115">
            <v>405500</v>
          </cell>
          <cell r="B115">
            <v>3</v>
          </cell>
          <cell r="C115">
            <v>0</v>
          </cell>
          <cell r="D115">
            <v>1</v>
          </cell>
          <cell r="E115" t="str">
            <v>CVCTE</v>
          </cell>
          <cell r="F115" t="str">
            <v>West Covina</v>
          </cell>
          <cell r="G115">
            <v>1</v>
          </cell>
          <cell r="H115">
            <v>1</v>
          </cell>
          <cell r="I115">
            <v>9.5540000000000003</v>
          </cell>
          <cell r="J115">
            <v>5.4910515000000002</v>
          </cell>
          <cell r="K115">
            <v>9.4910514999999993</v>
          </cell>
          <cell r="L115">
            <v>6.2742575924596006E-2</v>
          </cell>
          <cell r="M115">
            <v>9.5537940759245892</v>
          </cell>
          <cell r="N115">
            <v>0.41176470588235298</v>
          </cell>
          <cell r="O115">
            <v>2.4285714285714302</v>
          </cell>
          <cell r="P115">
            <v>1</v>
          </cell>
        </row>
        <row r="116">
          <cell r="A116">
            <v>432700</v>
          </cell>
          <cell r="B116">
            <v>3</v>
          </cell>
          <cell r="C116">
            <v>0</v>
          </cell>
          <cell r="D116">
            <v>1</v>
          </cell>
          <cell r="E116" t="str">
            <v>CVCTE</v>
          </cell>
          <cell r="F116" t="str">
            <v>El Monte</v>
          </cell>
          <cell r="G116">
            <v>1</v>
          </cell>
          <cell r="H116">
            <v>1</v>
          </cell>
          <cell r="I116">
            <v>6</v>
          </cell>
          <cell r="J116">
            <v>0</v>
          </cell>
          <cell r="K116">
            <v>6</v>
          </cell>
          <cell r="L116">
            <v>0</v>
          </cell>
          <cell r="M116">
            <v>6</v>
          </cell>
          <cell r="N116">
            <v>0.41176470588235298</v>
          </cell>
          <cell r="O116">
            <v>2.4285714285714302</v>
          </cell>
          <cell r="P116">
            <v>1</v>
          </cell>
        </row>
        <row r="117">
          <cell r="A117">
            <v>406702</v>
          </cell>
          <cell r="B117">
            <v>3</v>
          </cell>
          <cell r="C117">
            <v>0</v>
          </cell>
          <cell r="D117">
            <v>1</v>
          </cell>
          <cell r="E117" t="str">
            <v>CVCTE</v>
          </cell>
          <cell r="F117" t="str">
            <v>West Covina</v>
          </cell>
          <cell r="G117">
            <v>0</v>
          </cell>
          <cell r="H117">
            <v>0</v>
          </cell>
          <cell r="I117">
            <v>88.826999999999998</v>
          </cell>
          <cell r="J117">
            <v>41.302364070000003</v>
          </cell>
          <cell r="K117">
            <v>87.302364069999996</v>
          </cell>
          <cell r="L117">
            <v>1.52469204529623</v>
          </cell>
          <cell r="M117">
            <v>88.827056115296202</v>
          </cell>
          <cell r="N117">
            <v>0.41176470588235298</v>
          </cell>
          <cell r="O117">
            <v>0</v>
          </cell>
          <cell r="P117">
            <v>1</v>
          </cell>
        </row>
        <row r="118">
          <cell r="A118">
            <v>405202</v>
          </cell>
          <cell r="B118">
            <v>3</v>
          </cell>
          <cell r="C118">
            <v>0</v>
          </cell>
          <cell r="D118">
            <v>1</v>
          </cell>
          <cell r="E118" t="str">
            <v>CVCTE</v>
          </cell>
          <cell r="F118" t="str">
            <v>Baldwin Park</v>
          </cell>
          <cell r="G118">
            <v>1</v>
          </cell>
          <cell r="H118">
            <v>1</v>
          </cell>
          <cell r="I118">
            <v>24.422000000000001</v>
          </cell>
          <cell r="J118">
            <v>10.899927999999999</v>
          </cell>
          <cell r="K118">
            <v>23.899927999999999</v>
          </cell>
          <cell r="L118">
            <v>0.52228724391382397</v>
          </cell>
          <cell r="M118">
            <v>24.422215243913801</v>
          </cell>
          <cell r="N118">
            <v>0.41176470588235298</v>
          </cell>
          <cell r="O118">
            <v>2.4285714285714302</v>
          </cell>
          <cell r="P118">
            <v>1</v>
          </cell>
        </row>
        <row r="119">
          <cell r="A119">
            <v>402501</v>
          </cell>
          <cell r="B119">
            <v>3</v>
          </cell>
          <cell r="C119">
            <v>0</v>
          </cell>
          <cell r="D119">
            <v>1</v>
          </cell>
          <cell r="E119" t="str">
            <v>CVCTE</v>
          </cell>
          <cell r="F119" t="str">
            <v>Pomona</v>
          </cell>
          <cell r="G119">
            <v>0</v>
          </cell>
          <cell r="H119">
            <v>0</v>
          </cell>
          <cell r="I119">
            <v>34.143000000000001</v>
          </cell>
          <cell r="J119">
            <v>11.99262966</v>
          </cell>
          <cell r="K119">
            <v>33.992629659999999</v>
          </cell>
          <cell r="L119">
            <v>0.149576912639138</v>
          </cell>
          <cell r="M119">
            <v>34.142206572639097</v>
          </cell>
          <cell r="N119">
            <v>0.41176470588235298</v>
          </cell>
          <cell r="O119">
            <v>0</v>
          </cell>
          <cell r="P119">
            <v>1</v>
          </cell>
        </row>
        <row r="120">
          <cell r="A120">
            <v>407501</v>
          </cell>
          <cell r="B120">
            <v>3</v>
          </cell>
          <cell r="C120">
            <v>0</v>
          </cell>
          <cell r="D120">
            <v>1</v>
          </cell>
          <cell r="E120" t="str">
            <v>CVCTE</v>
          </cell>
          <cell r="F120" t="str">
            <v>Valinda</v>
          </cell>
          <cell r="G120">
            <v>0</v>
          </cell>
          <cell r="H120">
            <v>0</v>
          </cell>
          <cell r="I120">
            <v>16.196000000000002</v>
          </cell>
          <cell r="J120">
            <v>12.77554816</v>
          </cell>
          <cell r="K120">
            <v>15.77554816</v>
          </cell>
          <cell r="L120">
            <v>0.420111406140036</v>
          </cell>
          <cell r="M120">
            <v>16.195659566140002</v>
          </cell>
          <cell r="N120">
            <v>0.41176470588235298</v>
          </cell>
          <cell r="O120">
            <v>0</v>
          </cell>
          <cell r="P120">
            <v>1</v>
          </cell>
        </row>
        <row r="121">
          <cell r="A121">
            <v>404402</v>
          </cell>
          <cell r="B121">
            <v>3</v>
          </cell>
          <cell r="C121">
            <v>0</v>
          </cell>
          <cell r="D121">
            <v>1</v>
          </cell>
          <cell r="E121" t="str">
            <v>CVCTE</v>
          </cell>
          <cell r="F121" t="str">
            <v>Azusa</v>
          </cell>
          <cell r="G121">
            <v>1</v>
          </cell>
          <cell r="H121">
            <v>1</v>
          </cell>
          <cell r="I121">
            <v>28.78</v>
          </cell>
          <cell r="J121">
            <v>19.758176880000001</v>
          </cell>
          <cell r="K121">
            <v>27.758176880000001</v>
          </cell>
          <cell r="L121">
            <v>1.02117873452424</v>
          </cell>
          <cell r="M121">
            <v>28.779355614524199</v>
          </cell>
          <cell r="N121">
            <v>0.41176470588235298</v>
          </cell>
          <cell r="O121">
            <v>2.4285714285714302</v>
          </cell>
          <cell r="P121">
            <v>1</v>
          </cell>
        </row>
        <row r="122">
          <cell r="A122">
            <v>482521</v>
          </cell>
          <cell r="B122">
            <v>3</v>
          </cell>
          <cell r="C122">
            <v>0</v>
          </cell>
          <cell r="D122">
            <v>1</v>
          </cell>
          <cell r="E122" t="str">
            <v>CVCTE</v>
          </cell>
          <cell r="F122" t="str">
            <v>South San Gabriel</v>
          </cell>
          <cell r="G122">
            <v>0</v>
          </cell>
          <cell r="H122">
            <v>0</v>
          </cell>
          <cell r="I122">
            <v>28.812999999999999</v>
          </cell>
          <cell r="J122">
            <v>25.781363649999999</v>
          </cell>
          <cell r="K122">
            <v>27.781363649999999</v>
          </cell>
          <cell r="L122">
            <v>1.03146494378815</v>
          </cell>
          <cell r="M122">
            <v>28.8128285937882</v>
          </cell>
          <cell r="N122">
            <v>0.41176470588235298</v>
          </cell>
          <cell r="O122">
            <v>0</v>
          </cell>
          <cell r="P122">
            <v>1</v>
          </cell>
        </row>
        <row r="123">
          <cell r="A123">
            <v>434004</v>
          </cell>
          <cell r="B123">
            <v>3</v>
          </cell>
          <cell r="C123">
            <v>0</v>
          </cell>
          <cell r="D123">
            <v>1</v>
          </cell>
          <cell r="E123" t="str">
            <v>CVCTE</v>
          </cell>
          <cell r="F123" t="str">
            <v>El Monte</v>
          </cell>
          <cell r="G123">
            <v>1</v>
          </cell>
          <cell r="H123">
            <v>1</v>
          </cell>
          <cell r="I123">
            <v>15.276</v>
          </cell>
          <cell r="J123">
            <v>4.8620928000000001</v>
          </cell>
          <cell r="K123">
            <v>14.862092799999999</v>
          </cell>
          <cell r="L123">
            <v>0.414076613662478</v>
          </cell>
          <cell r="M123">
            <v>15.276169413662499</v>
          </cell>
          <cell r="N123">
            <v>0.41176470588235298</v>
          </cell>
          <cell r="O123">
            <v>2.4285714285714302</v>
          </cell>
          <cell r="P123">
            <v>1</v>
          </cell>
        </row>
        <row r="124">
          <cell r="A124">
            <v>430801</v>
          </cell>
          <cell r="B124">
            <v>3</v>
          </cell>
          <cell r="C124">
            <v>0</v>
          </cell>
          <cell r="D124">
            <v>5</v>
          </cell>
          <cell r="E124" t="str">
            <v>CVCTE</v>
          </cell>
          <cell r="F124" t="str">
            <v>Arcadia</v>
          </cell>
          <cell r="G124">
            <v>0</v>
          </cell>
          <cell r="H124">
            <v>0</v>
          </cell>
          <cell r="I124">
            <v>4.1900000000000004</v>
          </cell>
          <cell r="J124">
            <v>3.9673993200000002</v>
          </cell>
          <cell r="K124">
            <v>3.9673993200000002</v>
          </cell>
          <cell r="L124">
            <v>0.22234520276481101</v>
          </cell>
          <cell r="M124">
            <v>4.1897445227648102</v>
          </cell>
          <cell r="N124">
            <v>0.41176470588235298</v>
          </cell>
          <cell r="O124">
            <v>0</v>
          </cell>
          <cell r="P124">
            <v>1</v>
          </cell>
        </row>
        <row r="125">
          <cell r="A125">
            <v>403802</v>
          </cell>
          <cell r="B125">
            <v>3</v>
          </cell>
          <cell r="C125">
            <v>0</v>
          </cell>
          <cell r="D125">
            <v>5</v>
          </cell>
          <cell r="E125" t="str">
            <v>CVCTE</v>
          </cell>
          <cell r="F125" t="str">
            <v>Charter Oak</v>
          </cell>
          <cell r="G125">
            <v>0</v>
          </cell>
          <cell r="H125">
            <v>0</v>
          </cell>
          <cell r="I125">
            <v>26.207000000000001</v>
          </cell>
          <cell r="J125">
            <v>23.98847443</v>
          </cell>
          <cell r="K125">
            <v>24.98847443</v>
          </cell>
          <cell r="L125">
            <v>1.21884030816876</v>
          </cell>
          <cell r="M125">
            <v>26.207314738168801</v>
          </cell>
          <cell r="N125">
            <v>0.41176470588235298</v>
          </cell>
          <cell r="O125">
            <v>0</v>
          </cell>
          <cell r="P125">
            <v>1</v>
          </cell>
        </row>
        <row r="126">
          <cell r="A126">
            <v>432102</v>
          </cell>
          <cell r="B126">
            <v>3</v>
          </cell>
          <cell r="C126">
            <v>0</v>
          </cell>
          <cell r="D126">
            <v>5</v>
          </cell>
          <cell r="E126" t="str">
            <v>CVCTE</v>
          </cell>
          <cell r="F126" t="str">
            <v>Temple City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0.41176470588235298</v>
          </cell>
          <cell r="O126">
            <v>0</v>
          </cell>
          <cell r="P126">
            <v>1</v>
          </cell>
        </row>
        <row r="127">
          <cell r="A127">
            <v>407900</v>
          </cell>
          <cell r="B127">
            <v>3</v>
          </cell>
          <cell r="C127">
            <v>0</v>
          </cell>
          <cell r="D127">
            <v>1</v>
          </cell>
          <cell r="E127" t="str">
            <v>CVCTE</v>
          </cell>
          <cell r="F127" t="str">
            <v>Valinda</v>
          </cell>
          <cell r="G127">
            <v>0</v>
          </cell>
          <cell r="H127">
            <v>0</v>
          </cell>
          <cell r="I127">
            <v>17.062000000000001</v>
          </cell>
          <cell r="J127">
            <v>11.6657388</v>
          </cell>
          <cell r="K127">
            <v>16.6657388</v>
          </cell>
          <cell r="L127">
            <v>0.39539377039497298</v>
          </cell>
          <cell r="M127">
            <v>17.061132570394999</v>
          </cell>
          <cell r="N127">
            <v>0.41176470588235298</v>
          </cell>
          <cell r="O127">
            <v>0</v>
          </cell>
          <cell r="P127">
            <v>1</v>
          </cell>
        </row>
        <row r="128">
          <cell r="A128">
            <v>482701</v>
          </cell>
          <cell r="B128">
            <v>3</v>
          </cell>
          <cell r="C128">
            <v>0</v>
          </cell>
          <cell r="D128">
            <v>1</v>
          </cell>
          <cell r="E128" t="str">
            <v>CVCTE</v>
          </cell>
          <cell r="F128" t="str">
            <v>Monterey Park</v>
          </cell>
          <cell r="G128">
            <v>1</v>
          </cell>
          <cell r="H128">
            <v>1</v>
          </cell>
          <cell r="I128">
            <v>6.5110000000000001</v>
          </cell>
          <cell r="J128">
            <v>3.4144237899999998</v>
          </cell>
          <cell r="K128">
            <v>6.4144237899999998</v>
          </cell>
          <cell r="L128">
            <v>9.6477442046678602E-2</v>
          </cell>
          <cell r="M128">
            <v>6.5109012320466801</v>
          </cell>
          <cell r="N128">
            <v>0.41176470588235298</v>
          </cell>
          <cell r="O128">
            <v>2.4285714285714302</v>
          </cell>
          <cell r="P128">
            <v>1</v>
          </cell>
        </row>
        <row r="129">
          <cell r="A129">
            <v>481901</v>
          </cell>
          <cell r="B129">
            <v>3</v>
          </cell>
          <cell r="C129">
            <v>0</v>
          </cell>
          <cell r="D129">
            <v>5</v>
          </cell>
          <cell r="E129" t="str">
            <v>CVCTE</v>
          </cell>
          <cell r="F129" t="str">
            <v>Alhambra</v>
          </cell>
          <cell r="G129">
            <v>0</v>
          </cell>
          <cell r="H129">
            <v>0</v>
          </cell>
          <cell r="I129">
            <v>33.914999999999999</v>
          </cell>
          <cell r="J129">
            <v>16.948369270000001</v>
          </cell>
          <cell r="K129">
            <v>32.948369270000001</v>
          </cell>
          <cell r="L129">
            <v>0.96588131353680395</v>
          </cell>
          <cell r="M129">
            <v>33.914250583536798</v>
          </cell>
          <cell r="N129">
            <v>0.41176470588235298</v>
          </cell>
          <cell r="O129">
            <v>0</v>
          </cell>
          <cell r="P129">
            <v>1</v>
          </cell>
        </row>
        <row r="130">
          <cell r="A130">
            <v>402304</v>
          </cell>
          <cell r="B130">
            <v>3</v>
          </cell>
          <cell r="C130">
            <v>0</v>
          </cell>
          <cell r="D130">
            <v>1</v>
          </cell>
          <cell r="E130" t="str">
            <v>CVCTE</v>
          </cell>
          <cell r="F130" t="str">
            <v>Pomona</v>
          </cell>
          <cell r="G130">
            <v>0</v>
          </cell>
          <cell r="H130">
            <v>0</v>
          </cell>
          <cell r="I130">
            <v>14.183</v>
          </cell>
          <cell r="J130">
            <v>9.0772230599999997</v>
          </cell>
          <cell r="K130">
            <v>14.07722306</v>
          </cell>
          <cell r="L130">
            <v>0.104859829766607</v>
          </cell>
          <cell r="M130">
            <v>14.182082889766599</v>
          </cell>
          <cell r="N130">
            <v>0.41176470588235298</v>
          </cell>
          <cell r="O130">
            <v>0</v>
          </cell>
          <cell r="P130">
            <v>1</v>
          </cell>
        </row>
        <row r="131">
          <cell r="A131">
            <v>408504</v>
          </cell>
          <cell r="B131">
            <v>3</v>
          </cell>
          <cell r="C131">
            <v>0</v>
          </cell>
          <cell r="D131">
            <v>4</v>
          </cell>
          <cell r="E131" t="str">
            <v>CVCTE</v>
          </cell>
          <cell r="F131" t="str">
            <v>Hacienda Heights</v>
          </cell>
          <cell r="G131">
            <v>0</v>
          </cell>
          <cell r="H131">
            <v>0</v>
          </cell>
          <cell r="I131">
            <v>4.7720000000000002</v>
          </cell>
          <cell r="J131">
            <v>4.31758971</v>
          </cell>
          <cell r="K131">
            <v>4.31758971</v>
          </cell>
          <cell r="L131">
            <v>0.45435601842010798</v>
          </cell>
          <cell r="M131">
            <v>4.7719457284201097</v>
          </cell>
          <cell r="N131">
            <v>0.41176470588235298</v>
          </cell>
          <cell r="O131">
            <v>0</v>
          </cell>
          <cell r="P131">
            <v>1</v>
          </cell>
        </row>
        <row r="132">
          <cell r="A132">
            <v>403000</v>
          </cell>
          <cell r="B132">
            <v>3</v>
          </cell>
          <cell r="C132">
            <v>0</v>
          </cell>
          <cell r="D132">
            <v>1</v>
          </cell>
          <cell r="E132" t="str">
            <v>CVCTE</v>
          </cell>
          <cell r="F132" t="str">
            <v>Pomona</v>
          </cell>
          <cell r="G132">
            <v>1</v>
          </cell>
          <cell r="H132">
            <v>1</v>
          </cell>
          <cell r="I132">
            <v>23.338000000000001</v>
          </cell>
          <cell r="J132">
            <v>16.788433380000001</v>
          </cell>
          <cell r="K132">
            <v>22.788433380000001</v>
          </cell>
          <cell r="L132">
            <v>0.55041684497306997</v>
          </cell>
          <cell r="M132">
            <v>23.3388502249731</v>
          </cell>
          <cell r="N132">
            <v>0.41176470588235298</v>
          </cell>
          <cell r="O132">
            <v>2.4285714285714302</v>
          </cell>
          <cell r="P132">
            <v>1</v>
          </cell>
        </row>
        <row r="133">
          <cell r="A133">
            <v>400603</v>
          </cell>
          <cell r="B133">
            <v>3</v>
          </cell>
          <cell r="C133">
            <v>0</v>
          </cell>
          <cell r="D133">
            <v>1</v>
          </cell>
          <cell r="E133" t="str">
            <v>CVCTE</v>
          </cell>
          <cell r="F133" t="str">
            <v>Azusa</v>
          </cell>
          <cell r="G133">
            <v>0</v>
          </cell>
          <cell r="H133">
            <v>0</v>
          </cell>
          <cell r="I133">
            <v>38.475000000000001</v>
          </cell>
          <cell r="J133">
            <v>16.430845349999998</v>
          </cell>
          <cell r="K133">
            <v>37.430845349999998</v>
          </cell>
          <cell r="L133">
            <v>1.0432144190664301</v>
          </cell>
          <cell r="M133">
            <v>38.4740597690664</v>
          </cell>
          <cell r="N133">
            <v>0.41176470588235298</v>
          </cell>
          <cell r="O133">
            <v>0</v>
          </cell>
          <cell r="P133">
            <v>1</v>
          </cell>
        </row>
        <row r="134">
          <cell r="A134">
            <v>481201</v>
          </cell>
          <cell r="B134">
            <v>3</v>
          </cell>
          <cell r="C134">
            <v>0</v>
          </cell>
          <cell r="D134">
            <v>5</v>
          </cell>
          <cell r="E134" t="str">
            <v>CVCTE</v>
          </cell>
          <cell r="F134" t="str">
            <v>Temple City</v>
          </cell>
          <cell r="G134">
            <v>1</v>
          </cell>
          <cell r="H134">
            <v>1</v>
          </cell>
          <cell r="I134">
            <v>11.058</v>
          </cell>
          <cell r="J134">
            <v>8.7152207900000001</v>
          </cell>
          <cell r="K134">
            <v>10.71522079</v>
          </cell>
          <cell r="L134">
            <v>0.34267367087971301</v>
          </cell>
          <cell r="M134">
            <v>11.0578944608797</v>
          </cell>
          <cell r="N134">
            <v>0.41176470588235298</v>
          </cell>
          <cell r="O134">
            <v>2.4285714285714302</v>
          </cell>
          <cell r="P134">
            <v>1</v>
          </cell>
        </row>
        <row r="135">
          <cell r="A135">
            <v>404702</v>
          </cell>
          <cell r="B135">
            <v>3</v>
          </cell>
          <cell r="C135">
            <v>0</v>
          </cell>
          <cell r="D135">
            <v>1</v>
          </cell>
          <cell r="E135" t="str">
            <v>CVCTE</v>
          </cell>
          <cell r="F135" t="str">
            <v>Baldwin Park</v>
          </cell>
          <cell r="G135">
            <v>1</v>
          </cell>
          <cell r="H135">
            <v>1</v>
          </cell>
          <cell r="I135">
            <v>12.285</v>
          </cell>
          <cell r="J135">
            <v>5.9510989800000003</v>
          </cell>
          <cell r="K135">
            <v>11.951098979999999</v>
          </cell>
          <cell r="L135">
            <v>0.33351780414721699</v>
          </cell>
          <cell r="M135">
            <v>12.2846167841472</v>
          </cell>
          <cell r="N135">
            <v>0.41176470588235298</v>
          </cell>
          <cell r="O135">
            <v>2.4285714285714302</v>
          </cell>
          <cell r="P135">
            <v>1</v>
          </cell>
        </row>
        <row r="136">
          <cell r="A136">
            <v>463101</v>
          </cell>
          <cell r="B136">
            <v>3</v>
          </cell>
          <cell r="C136">
            <v>0</v>
          </cell>
          <cell r="D136">
            <v>5</v>
          </cell>
          <cell r="E136" t="str">
            <v>CVCTE</v>
          </cell>
          <cell r="F136" t="str">
            <v>East Pasadena</v>
          </cell>
          <cell r="G136">
            <v>0</v>
          </cell>
          <cell r="H136">
            <v>0</v>
          </cell>
          <cell r="I136">
            <v>16.934000000000001</v>
          </cell>
          <cell r="J136">
            <v>14.55204844</v>
          </cell>
          <cell r="K136">
            <v>16.55204844</v>
          </cell>
          <cell r="L136">
            <v>0.382443329479354</v>
          </cell>
          <cell r="M136">
            <v>16.934491769479401</v>
          </cell>
          <cell r="N136">
            <v>0.41176470588235298</v>
          </cell>
          <cell r="O136">
            <v>0</v>
          </cell>
          <cell r="P136">
            <v>1</v>
          </cell>
        </row>
        <row r="137">
          <cell r="A137">
            <v>461000</v>
          </cell>
          <cell r="B137">
            <v>3</v>
          </cell>
          <cell r="C137">
            <v>0</v>
          </cell>
          <cell r="D137">
            <v>5</v>
          </cell>
          <cell r="E137" t="str">
            <v>CVCTE</v>
          </cell>
          <cell r="F137" t="str">
            <v>Altadena</v>
          </cell>
          <cell r="G137">
            <v>1</v>
          </cell>
          <cell r="H137">
            <v>1</v>
          </cell>
          <cell r="I137">
            <v>12.305</v>
          </cell>
          <cell r="J137">
            <v>9.8396785799999993</v>
          </cell>
          <cell r="K137">
            <v>11.839678579999999</v>
          </cell>
          <cell r="L137">
            <v>0.46531572761220802</v>
          </cell>
          <cell r="M137">
            <v>12.304994307612199</v>
          </cell>
          <cell r="N137">
            <v>0.41176470588235298</v>
          </cell>
          <cell r="O137">
            <v>2.4285714285714302</v>
          </cell>
          <cell r="P137">
            <v>1</v>
          </cell>
        </row>
        <row r="138">
          <cell r="A138">
            <v>701100</v>
          </cell>
          <cell r="B138">
            <v>5</v>
          </cell>
          <cell r="C138">
            <v>0</v>
          </cell>
          <cell r="D138">
            <v>3</v>
          </cell>
          <cell r="E138" t="str">
            <v>CVCTE</v>
          </cell>
          <cell r="F138" t="str">
            <v>US Department of Affairs West LA Campus</v>
          </cell>
          <cell r="G138">
            <v>1</v>
          </cell>
          <cell r="H138">
            <v>1</v>
          </cell>
          <cell r="I138">
            <v>87.378</v>
          </cell>
          <cell r="J138">
            <v>73.754417129999993</v>
          </cell>
          <cell r="K138">
            <v>83.754417129999993</v>
          </cell>
          <cell r="L138">
            <v>3.62311576369838</v>
          </cell>
          <cell r="M138">
            <v>87.377532893698401</v>
          </cell>
          <cell r="N138">
            <v>0.35</v>
          </cell>
          <cell r="O138">
            <v>2.8571428571428599</v>
          </cell>
          <cell r="P138">
            <v>0.25</v>
          </cell>
        </row>
        <row r="139">
          <cell r="A139">
            <v>702600</v>
          </cell>
          <cell r="B139">
            <v>5</v>
          </cell>
          <cell r="C139">
            <v>0</v>
          </cell>
          <cell r="D139">
            <v>2</v>
          </cell>
          <cell r="E139" t="str">
            <v>CVCTE</v>
          </cell>
          <cell r="F139" t="str">
            <v>Culver City</v>
          </cell>
          <cell r="G139">
            <v>0</v>
          </cell>
          <cell r="H139">
            <v>0</v>
          </cell>
          <cell r="I139">
            <v>25.387</v>
          </cell>
          <cell r="J139">
            <v>22.135435040000001</v>
          </cell>
          <cell r="K139">
            <v>24.135435040000001</v>
          </cell>
          <cell r="L139">
            <v>1.251708564614</v>
          </cell>
          <cell r="M139">
            <v>25.387143604614</v>
          </cell>
          <cell r="N139">
            <v>0.35</v>
          </cell>
          <cell r="O139">
            <v>0</v>
          </cell>
          <cell r="P139">
            <v>0.25</v>
          </cell>
        </row>
        <row r="140">
          <cell r="A140">
            <v>702102</v>
          </cell>
          <cell r="B140">
            <v>5</v>
          </cell>
          <cell r="C140">
            <v>0</v>
          </cell>
          <cell r="D140">
            <v>3</v>
          </cell>
          <cell r="E140" t="str">
            <v>CVCTE</v>
          </cell>
          <cell r="F140" t="str">
            <v>Santa Monica</v>
          </cell>
          <cell r="G140">
            <v>0</v>
          </cell>
          <cell r="H140">
            <v>0</v>
          </cell>
          <cell r="I140">
            <v>33.761000000000003</v>
          </cell>
          <cell r="J140">
            <v>8.9291150199999993</v>
          </cell>
          <cell r="K140">
            <v>32.929115019999998</v>
          </cell>
          <cell r="L140">
            <v>0.83224554098743297</v>
          </cell>
          <cell r="M140">
            <v>33.761360560987399</v>
          </cell>
          <cell r="N140">
            <v>0.35</v>
          </cell>
          <cell r="O140">
            <v>0</v>
          </cell>
          <cell r="P140">
            <v>0.25</v>
          </cell>
        </row>
        <row r="141">
          <cell r="A141">
            <v>701802</v>
          </cell>
          <cell r="B141">
            <v>5</v>
          </cell>
          <cell r="C141">
            <v>0</v>
          </cell>
          <cell r="D141">
            <v>3</v>
          </cell>
          <cell r="E141" t="str">
            <v>CVCTE</v>
          </cell>
          <cell r="F141" t="str">
            <v>Santa Monica</v>
          </cell>
          <cell r="G141">
            <v>0</v>
          </cell>
          <cell r="H141">
            <v>0</v>
          </cell>
          <cell r="I141">
            <v>39.656999999999996</v>
          </cell>
          <cell r="J141">
            <v>11.24342354</v>
          </cell>
          <cell r="K141">
            <v>39.243423540000002</v>
          </cell>
          <cell r="L141">
            <v>0.41356686750448801</v>
          </cell>
          <cell r="M141">
            <v>39.656990407504502</v>
          </cell>
          <cell r="N141">
            <v>0.35</v>
          </cell>
          <cell r="O141">
            <v>0</v>
          </cell>
          <cell r="P141">
            <v>0.25</v>
          </cell>
        </row>
        <row r="142">
          <cell r="A142">
            <v>701902</v>
          </cell>
          <cell r="B142">
            <v>5</v>
          </cell>
          <cell r="C142">
            <v>0</v>
          </cell>
          <cell r="D142">
            <v>3</v>
          </cell>
          <cell r="E142" t="str">
            <v>CVCTE</v>
          </cell>
          <cell r="F142" t="str">
            <v>Santa Monica</v>
          </cell>
          <cell r="G142">
            <v>0</v>
          </cell>
          <cell r="H142">
            <v>0</v>
          </cell>
          <cell r="I142">
            <v>234.72499999999999</v>
          </cell>
          <cell r="J142">
            <v>23.412933970000001</v>
          </cell>
          <cell r="K142">
            <v>233.41293397000001</v>
          </cell>
          <cell r="L142">
            <v>1.31090257965889</v>
          </cell>
          <cell r="M142">
            <v>234.72383654965901</v>
          </cell>
          <cell r="N142">
            <v>0.35</v>
          </cell>
          <cell r="O142">
            <v>0</v>
          </cell>
          <cell r="P142">
            <v>0.25</v>
          </cell>
        </row>
        <row r="143">
          <cell r="A143">
            <v>702002</v>
          </cell>
          <cell r="B143">
            <v>5</v>
          </cell>
          <cell r="C143">
            <v>0</v>
          </cell>
          <cell r="D143">
            <v>3</v>
          </cell>
          <cell r="E143" t="str">
            <v>CVCTE</v>
          </cell>
          <cell r="F143" t="str">
            <v>Santa Monica</v>
          </cell>
          <cell r="G143">
            <v>0</v>
          </cell>
          <cell r="H143">
            <v>0</v>
          </cell>
          <cell r="I143">
            <v>54.728999999999999</v>
          </cell>
          <cell r="J143">
            <v>29.039206960000001</v>
          </cell>
          <cell r="K143">
            <v>53.039206960000001</v>
          </cell>
          <cell r="L143">
            <v>1.68918093157989</v>
          </cell>
          <cell r="M143">
            <v>54.728387891579899</v>
          </cell>
          <cell r="N143">
            <v>0.35</v>
          </cell>
          <cell r="O143">
            <v>0</v>
          </cell>
          <cell r="P143">
            <v>0.25</v>
          </cell>
        </row>
        <row r="144">
          <cell r="A144">
            <v>703001</v>
          </cell>
          <cell r="B144">
            <v>5</v>
          </cell>
          <cell r="C144">
            <v>0</v>
          </cell>
          <cell r="D144">
            <v>2</v>
          </cell>
          <cell r="E144" t="str">
            <v>CVCTE</v>
          </cell>
          <cell r="F144" t="str">
            <v>Culver City</v>
          </cell>
          <cell r="G144">
            <v>0</v>
          </cell>
          <cell r="H144">
            <v>0</v>
          </cell>
          <cell r="I144">
            <v>32.656999999999996</v>
          </cell>
          <cell r="J144">
            <v>24.355053760000001</v>
          </cell>
          <cell r="K144">
            <v>31.355053760000001</v>
          </cell>
          <cell r="L144">
            <v>1.3011438361041301</v>
          </cell>
          <cell r="M144">
            <v>32.6561975961041</v>
          </cell>
          <cell r="N144">
            <v>0.35</v>
          </cell>
          <cell r="O144">
            <v>0</v>
          </cell>
          <cell r="P144">
            <v>0.25</v>
          </cell>
        </row>
        <row r="145">
          <cell r="A145">
            <v>800410</v>
          </cell>
          <cell r="B145">
            <v>5</v>
          </cell>
          <cell r="C145">
            <v>0</v>
          </cell>
          <cell r="D145">
            <v>3</v>
          </cell>
          <cell r="E145" t="str">
            <v>CVCTE</v>
          </cell>
          <cell r="F145" t="str">
            <v>Malibu</v>
          </cell>
          <cell r="G145">
            <v>1</v>
          </cell>
          <cell r="H145">
            <v>1</v>
          </cell>
          <cell r="I145">
            <v>52.576000000000001</v>
          </cell>
          <cell r="J145">
            <v>23.01246488</v>
          </cell>
          <cell r="K145">
            <v>52.012464880000003</v>
          </cell>
          <cell r="L145">
            <v>0.56401038982046703</v>
          </cell>
          <cell r="M145">
            <v>52.576475269820499</v>
          </cell>
          <cell r="N145">
            <v>0.35</v>
          </cell>
          <cell r="O145">
            <v>2.8571428571428599</v>
          </cell>
          <cell r="P145">
            <v>0.25</v>
          </cell>
        </row>
        <row r="146">
          <cell r="A146">
            <v>800506</v>
          </cell>
          <cell r="B146">
            <v>5</v>
          </cell>
          <cell r="C146">
            <v>0</v>
          </cell>
          <cell r="D146">
            <v>3</v>
          </cell>
          <cell r="E146" t="str">
            <v>CVCTE</v>
          </cell>
          <cell r="F146" t="str">
            <v>Malibu</v>
          </cell>
          <cell r="G146">
            <v>0</v>
          </cell>
          <cell r="H146">
            <v>0</v>
          </cell>
          <cell r="I146">
            <v>47.537999999999997</v>
          </cell>
          <cell r="J146">
            <v>35.194165750000003</v>
          </cell>
          <cell r="K146">
            <v>46.194165750000003</v>
          </cell>
          <cell r="L146">
            <v>1.34345885034111</v>
          </cell>
          <cell r="M146">
            <v>47.537624600341097</v>
          </cell>
          <cell r="N146">
            <v>0.35</v>
          </cell>
          <cell r="O146">
            <v>0</v>
          </cell>
          <cell r="P146">
            <v>0.25</v>
          </cell>
        </row>
        <row r="147">
          <cell r="A147">
            <v>701801</v>
          </cell>
          <cell r="B147">
            <v>5</v>
          </cell>
          <cell r="C147">
            <v>0</v>
          </cell>
          <cell r="D147">
            <v>3</v>
          </cell>
          <cell r="E147" t="str">
            <v>CVCTE</v>
          </cell>
          <cell r="F147" t="str">
            <v>Santa Monica</v>
          </cell>
          <cell r="G147">
            <v>1</v>
          </cell>
          <cell r="H147">
            <v>1</v>
          </cell>
          <cell r="I147">
            <v>12.282999999999999</v>
          </cell>
          <cell r="J147">
            <v>7.7320134999999999</v>
          </cell>
          <cell r="K147">
            <v>11.732013500000001</v>
          </cell>
          <cell r="L147">
            <v>0.55083346046678605</v>
          </cell>
          <cell r="M147">
            <v>12.2828469604668</v>
          </cell>
          <cell r="N147">
            <v>0.35</v>
          </cell>
          <cell r="O147">
            <v>2.8571428571428599</v>
          </cell>
          <cell r="P147">
            <v>0.25</v>
          </cell>
        </row>
        <row r="148">
          <cell r="A148">
            <v>540700</v>
          </cell>
          <cell r="B148">
            <v>6</v>
          </cell>
          <cell r="C148">
            <v>0</v>
          </cell>
          <cell r="D148">
            <v>2</v>
          </cell>
          <cell r="E148" t="str">
            <v>CVCTE</v>
          </cell>
          <cell r="F148" t="str">
            <v>Willowbrook</v>
          </cell>
          <cell r="G148">
            <v>0</v>
          </cell>
          <cell r="H148">
            <v>0</v>
          </cell>
          <cell r="I148">
            <v>46.247</v>
          </cell>
          <cell r="J148">
            <v>37.703861770000003</v>
          </cell>
          <cell r="K148">
            <v>44.703861770000003</v>
          </cell>
          <cell r="L148">
            <v>1.5434455116696599</v>
          </cell>
          <cell r="M148">
            <v>46.247307281669698</v>
          </cell>
          <cell r="N148">
            <v>0.16393442622950799</v>
          </cell>
          <cell r="O148">
            <v>0</v>
          </cell>
          <cell r="P148">
            <v>0.19672131147541</v>
          </cell>
        </row>
        <row r="149">
          <cell r="A149">
            <v>542602</v>
          </cell>
          <cell r="B149">
            <v>6</v>
          </cell>
          <cell r="C149">
            <v>0</v>
          </cell>
          <cell r="D149">
            <v>2</v>
          </cell>
          <cell r="E149" t="str">
            <v>CVCTE</v>
          </cell>
          <cell r="F149" t="str">
            <v>Compton</v>
          </cell>
          <cell r="G149">
            <v>0</v>
          </cell>
          <cell r="H149">
            <v>0</v>
          </cell>
          <cell r="I149">
            <v>53.640999999999998</v>
          </cell>
          <cell r="J149">
            <v>41.921109950000002</v>
          </cell>
          <cell r="K149">
            <v>50.921109950000002</v>
          </cell>
          <cell r="L149">
            <v>2.7188949364632</v>
          </cell>
          <cell r="M149">
            <v>53.640004886463203</v>
          </cell>
          <cell r="N149">
            <v>0.16393442622950799</v>
          </cell>
          <cell r="O149">
            <v>0</v>
          </cell>
          <cell r="P149">
            <v>0.19672131147541</v>
          </cell>
        </row>
        <row r="150">
          <cell r="A150">
            <v>535300</v>
          </cell>
          <cell r="B150">
            <v>6</v>
          </cell>
          <cell r="C150">
            <v>0</v>
          </cell>
          <cell r="D150">
            <v>2</v>
          </cell>
          <cell r="E150" t="str">
            <v>CVCTE</v>
          </cell>
          <cell r="F150" t="str">
            <v>Florence-Graham</v>
          </cell>
          <cell r="G150">
            <v>0</v>
          </cell>
          <cell r="H150">
            <v>0</v>
          </cell>
          <cell r="I150">
            <v>75.350999999999999</v>
          </cell>
          <cell r="J150">
            <v>67.032983209999998</v>
          </cell>
          <cell r="K150">
            <v>72.032983209999998</v>
          </cell>
          <cell r="L150">
            <v>3.3180441970197498</v>
          </cell>
          <cell r="M150">
            <v>75.351027407019799</v>
          </cell>
          <cell r="N150">
            <v>0.16393442622950799</v>
          </cell>
          <cell r="O150">
            <v>0</v>
          </cell>
          <cell r="P150">
            <v>0.19672131147541</v>
          </cell>
        </row>
        <row r="151">
          <cell r="A151">
            <v>534900</v>
          </cell>
          <cell r="B151">
            <v>6</v>
          </cell>
          <cell r="C151">
            <v>0</v>
          </cell>
          <cell r="D151">
            <v>2</v>
          </cell>
          <cell r="E151" t="str">
            <v>CVCTE</v>
          </cell>
          <cell r="F151" t="str">
            <v>Florence-Graham</v>
          </cell>
          <cell r="G151">
            <v>1</v>
          </cell>
          <cell r="H151">
            <v>1</v>
          </cell>
          <cell r="I151">
            <v>44.308999999999997</v>
          </cell>
          <cell r="J151">
            <v>34.201427189999997</v>
          </cell>
          <cell r="K151">
            <v>42.201427189999997</v>
          </cell>
          <cell r="L151">
            <v>2.1071907557809699</v>
          </cell>
          <cell r="M151">
            <v>44.308617945781002</v>
          </cell>
          <cell r="N151">
            <v>0.16393442622950799</v>
          </cell>
          <cell r="O151">
            <v>6.1</v>
          </cell>
          <cell r="P151">
            <v>0.19672131147541</v>
          </cell>
        </row>
        <row r="152">
          <cell r="A152">
            <v>541001</v>
          </cell>
          <cell r="B152">
            <v>6</v>
          </cell>
          <cell r="C152">
            <v>0</v>
          </cell>
          <cell r="D152">
            <v>2</v>
          </cell>
          <cell r="E152" t="str">
            <v>CVCTE</v>
          </cell>
          <cell r="F152" t="str">
            <v>West Compton</v>
          </cell>
          <cell r="G152">
            <v>0</v>
          </cell>
          <cell r="H152">
            <v>0</v>
          </cell>
          <cell r="I152">
            <v>183.327</v>
          </cell>
          <cell r="J152">
            <v>172.96571359000001</v>
          </cell>
          <cell r="K152">
            <v>172.96571359000001</v>
          </cell>
          <cell r="L152">
            <v>10.3573867975224</v>
          </cell>
          <cell r="M152">
            <v>183.323100387522</v>
          </cell>
          <cell r="N152">
            <v>0.16393442622950799</v>
          </cell>
          <cell r="O152">
            <v>0</v>
          </cell>
          <cell r="P152">
            <v>0.19672131147541</v>
          </cell>
        </row>
        <row r="153">
          <cell r="A153">
            <v>541100</v>
          </cell>
          <cell r="B153">
            <v>6</v>
          </cell>
          <cell r="C153">
            <v>0</v>
          </cell>
          <cell r="D153">
            <v>2</v>
          </cell>
          <cell r="E153" t="str">
            <v>CVCTE</v>
          </cell>
          <cell r="F153" t="str">
            <v>West Compton</v>
          </cell>
          <cell r="G153">
            <v>0</v>
          </cell>
          <cell r="H153">
            <v>0</v>
          </cell>
          <cell r="I153">
            <v>47.991999999999997</v>
          </cell>
          <cell r="J153">
            <v>41.657692859999997</v>
          </cell>
          <cell r="K153">
            <v>45.657692859999997</v>
          </cell>
          <cell r="L153">
            <v>2.3346246290305199</v>
          </cell>
          <cell r="M153">
            <v>47.992317489030498</v>
          </cell>
          <cell r="N153">
            <v>0.16393442622950799</v>
          </cell>
          <cell r="O153">
            <v>0</v>
          </cell>
          <cell r="P153">
            <v>0.19672131147541</v>
          </cell>
        </row>
        <row r="154">
          <cell r="A154">
            <v>541300</v>
          </cell>
          <cell r="B154">
            <v>6</v>
          </cell>
          <cell r="C154">
            <v>0</v>
          </cell>
          <cell r="D154">
            <v>2</v>
          </cell>
          <cell r="E154" t="str">
            <v>CVCTE</v>
          </cell>
          <cell r="F154" t="str">
            <v>Compton</v>
          </cell>
          <cell r="G154">
            <v>0</v>
          </cell>
          <cell r="H154">
            <v>0</v>
          </cell>
          <cell r="I154">
            <v>10.42</v>
          </cell>
          <cell r="J154">
            <v>7.0609083400000001</v>
          </cell>
          <cell r="K154">
            <v>10.060908339999999</v>
          </cell>
          <cell r="L154">
            <v>0.35823543989228002</v>
          </cell>
          <cell r="M154">
            <v>10.4191437798923</v>
          </cell>
          <cell r="N154">
            <v>0.16393442622950799</v>
          </cell>
          <cell r="O154">
            <v>0</v>
          </cell>
          <cell r="P154">
            <v>0.19672131147541</v>
          </cell>
        </row>
        <row r="155">
          <cell r="A155">
            <v>542601</v>
          </cell>
          <cell r="B155">
            <v>6</v>
          </cell>
          <cell r="C155">
            <v>0</v>
          </cell>
          <cell r="D155">
            <v>2</v>
          </cell>
          <cell r="E155" t="str">
            <v>CVCTE</v>
          </cell>
          <cell r="F155" t="str">
            <v>Compton</v>
          </cell>
          <cell r="G155">
            <v>1</v>
          </cell>
          <cell r="H155">
            <v>1</v>
          </cell>
          <cell r="I155">
            <v>73.679000000000002</v>
          </cell>
          <cell r="J155">
            <v>67.066804210000001</v>
          </cell>
          <cell r="K155">
            <v>70.066804210000001</v>
          </cell>
          <cell r="L155">
            <v>3.6123402750448799</v>
          </cell>
          <cell r="M155">
            <v>73.679144485044901</v>
          </cell>
          <cell r="N155">
            <v>0.16393442622950799</v>
          </cell>
          <cell r="O155">
            <v>6.1</v>
          </cell>
          <cell r="P155">
            <v>0.19672131147541</v>
          </cell>
        </row>
        <row r="156">
          <cell r="A156">
            <v>541200</v>
          </cell>
          <cell r="B156">
            <v>6</v>
          </cell>
          <cell r="C156">
            <v>0</v>
          </cell>
          <cell r="D156">
            <v>2</v>
          </cell>
          <cell r="E156" t="str">
            <v>CVCTE</v>
          </cell>
          <cell r="F156" t="str">
            <v>Compton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0.16393442622950799</v>
          </cell>
          <cell r="O156">
            <v>0</v>
          </cell>
          <cell r="P156">
            <v>0.19672131147541</v>
          </cell>
        </row>
        <row r="157">
          <cell r="A157">
            <v>540902</v>
          </cell>
          <cell r="B157">
            <v>6</v>
          </cell>
          <cell r="C157">
            <v>0</v>
          </cell>
          <cell r="D157">
            <v>2</v>
          </cell>
          <cell r="E157" t="str">
            <v>CVCTE</v>
          </cell>
          <cell r="F157" t="str">
            <v>Willowbrook</v>
          </cell>
          <cell r="G157">
            <v>0</v>
          </cell>
          <cell r="H157">
            <v>0</v>
          </cell>
          <cell r="I157">
            <v>176.56200000000001</v>
          </cell>
          <cell r="J157">
            <v>161.75104680999999</v>
          </cell>
          <cell r="K157">
            <v>166.75104680999999</v>
          </cell>
          <cell r="L157">
            <v>9.8062896042010799</v>
          </cell>
          <cell r="M157">
            <v>176.55733641420099</v>
          </cell>
          <cell r="N157">
            <v>0.16393442622950799</v>
          </cell>
          <cell r="O157">
            <v>0</v>
          </cell>
          <cell r="P157">
            <v>0.19672131147541</v>
          </cell>
        </row>
        <row r="158">
          <cell r="A158">
            <v>540800</v>
          </cell>
          <cell r="B158">
            <v>6</v>
          </cell>
          <cell r="C158">
            <v>0</v>
          </cell>
          <cell r="D158">
            <v>2</v>
          </cell>
          <cell r="E158" t="str">
            <v>CVCTE</v>
          </cell>
          <cell r="F158" t="str">
            <v>Willowbrook</v>
          </cell>
          <cell r="G158">
            <v>0</v>
          </cell>
          <cell r="H158">
            <v>0</v>
          </cell>
          <cell r="I158">
            <v>81.257999999999996</v>
          </cell>
          <cell r="J158">
            <v>72.542541569999997</v>
          </cell>
          <cell r="K158">
            <v>76.542541569999997</v>
          </cell>
          <cell r="L158">
            <v>4.7157456939138198</v>
          </cell>
          <cell r="M158">
            <v>81.2582872639138</v>
          </cell>
          <cell r="N158">
            <v>0.16393442622950799</v>
          </cell>
          <cell r="O158">
            <v>0</v>
          </cell>
          <cell r="P158">
            <v>0.19672131147541</v>
          </cell>
        </row>
        <row r="159">
          <cell r="A159">
            <v>535001</v>
          </cell>
          <cell r="B159">
            <v>6</v>
          </cell>
          <cell r="C159">
            <v>0</v>
          </cell>
          <cell r="D159">
            <v>2</v>
          </cell>
          <cell r="E159" t="str">
            <v>CVCTE</v>
          </cell>
          <cell r="F159" t="str">
            <v>Florence-Graham</v>
          </cell>
          <cell r="G159">
            <v>0</v>
          </cell>
          <cell r="H159">
            <v>0</v>
          </cell>
          <cell r="I159">
            <v>41.902999999999999</v>
          </cell>
          <cell r="J159">
            <v>31.40357844</v>
          </cell>
          <cell r="K159">
            <v>40.403578439999997</v>
          </cell>
          <cell r="L159">
            <v>1.49857986321364</v>
          </cell>
          <cell r="M159">
            <v>41.902158303213596</v>
          </cell>
          <cell r="N159">
            <v>0.16393442622950799</v>
          </cell>
          <cell r="O159">
            <v>0</v>
          </cell>
          <cell r="P159">
            <v>0.19672131147541</v>
          </cell>
        </row>
        <row r="160">
          <cell r="A160">
            <v>500300</v>
          </cell>
          <cell r="B160">
            <v>7</v>
          </cell>
          <cell r="C160">
            <v>0</v>
          </cell>
          <cell r="D160">
            <v>4</v>
          </cell>
          <cell r="E160" t="str">
            <v>CVCTE</v>
          </cell>
          <cell r="F160" t="str">
            <v>Unincorporated Whittier</v>
          </cell>
          <cell r="G160">
            <v>0</v>
          </cell>
          <cell r="H160">
            <v>0</v>
          </cell>
          <cell r="I160">
            <v>7.9459999999999997</v>
          </cell>
          <cell r="J160">
            <v>5.7934595399999997</v>
          </cell>
          <cell r="K160">
            <v>7.7934595399999997</v>
          </cell>
          <cell r="L160">
            <v>0.152423245547576</v>
          </cell>
          <cell r="M160">
            <v>7.94588278554758</v>
          </cell>
          <cell r="N160">
            <v>0.23958333333333301</v>
          </cell>
          <cell r="O160">
            <v>0</v>
          </cell>
          <cell r="P160">
            <v>1</v>
          </cell>
        </row>
        <row r="161">
          <cell r="A161">
            <v>500402</v>
          </cell>
          <cell r="B161">
            <v>7</v>
          </cell>
          <cell r="C161">
            <v>0</v>
          </cell>
          <cell r="D161">
            <v>1</v>
          </cell>
          <cell r="E161" t="str">
            <v>CVCTE</v>
          </cell>
          <cell r="F161" t="str">
            <v>Pico Rivera</v>
          </cell>
          <cell r="G161">
            <v>0</v>
          </cell>
          <cell r="H161">
            <v>0</v>
          </cell>
          <cell r="I161">
            <v>25.835000000000001</v>
          </cell>
          <cell r="J161">
            <v>21.375816069999999</v>
          </cell>
          <cell r="K161">
            <v>24.375816069999999</v>
          </cell>
          <cell r="L161">
            <v>1.45900174452424</v>
          </cell>
          <cell r="M161">
            <v>25.8348178145242</v>
          </cell>
          <cell r="N161">
            <v>0.23958333333333301</v>
          </cell>
          <cell r="O161">
            <v>0</v>
          </cell>
          <cell r="P161">
            <v>1</v>
          </cell>
        </row>
        <row r="162">
          <cell r="A162">
            <v>500403</v>
          </cell>
          <cell r="B162">
            <v>7</v>
          </cell>
          <cell r="C162">
            <v>0</v>
          </cell>
          <cell r="D162">
            <v>1</v>
          </cell>
          <cell r="E162" t="str">
            <v>CVCTE</v>
          </cell>
          <cell r="F162" t="str">
            <v>Pico Rivera</v>
          </cell>
          <cell r="G162">
            <v>0</v>
          </cell>
          <cell r="H162">
            <v>0</v>
          </cell>
          <cell r="I162">
            <v>4.6289999999999996</v>
          </cell>
          <cell r="J162">
            <v>3.5861715599999999</v>
          </cell>
          <cell r="K162">
            <v>4.5861715600000004</v>
          </cell>
          <cell r="L162">
            <v>4.2117253842010802E-2</v>
          </cell>
          <cell r="M162">
            <v>4.6282888138420102</v>
          </cell>
          <cell r="N162">
            <v>0.23958333333333301</v>
          </cell>
          <cell r="O162">
            <v>0</v>
          </cell>
          <cell r="P162">
            <v>1</v>
          </cell>
        </row>
        <row r="163">
          <cell r="A163">
            <v>500900</v>
          </cell>
          <cell r="B163">
            <v>7</v>
          </cell>
          <cell r="C163">
            <v>0</v>
          </cell>
          <cell r="D163">
            <v>1</v>
          </cell>
          <cell r="E163" t="str">
            <v>CVCTE</v>
          </cell>
          <cell r="F163" t="str">
            <v>Pico Rivera</v>
          </cell>
          <cell r="G163">
            <v>0</v>
          </cell>
          <cell r="H163">
            <v>0</v>
          </cell>
          <cell r="I163">
            <v>19.905999999999999</v>
          </cell>
          <cell r="J163">
            <v>14.3919657</v>
          </cell>
          <cell r="K163">
            <v>18.3919657</v>
          </cell>
          <cell r="L163">
            <v>1.51452006140036</v>
          </cell>
          <cell r="M163">
            <v>19.9064857614004</v>
          </cell>
          <cell r="N163">
            <v>0.23958333333333301</v>
          </cell>
          <cell r="O163">
            <v>0</v>
          </cell>
          <cell r="P163">
            <v>1</v>
          </cell>
        </row>
        <row r="164">
          <cell r="A164">
            <v>501400</v>
          </cell>
          <cell r="B164">
            <v>7</v>
          </cell>
          <cell r="C164">
            <v>0</v>
          </cell>
          <cell r="D164">
            <v>4</v>
          </cell>
          <cell r="E164" t="str">
            <v>CVCTE</v>
          </cell>
          <cell r="F164" t="str">
            <v>Whittier</v>
          </cell>
          <cell r="G164">
            <v>1</v>
          </cell>
          <cell r="H164">
            <v>1</v>
          </cell>
          <cell r="I164">
            <v>32.357999999999997</v>
          </cell>
          <cell r="J164">
            <v>17.157849259999999</v>
          </cell>
          <cell r="K164">
            <v>31.157849259999999</v>
          </cell>
          <cell r="L164">
            <v>1.2004694506642699</v>
          </cell>
          <cell r="M164">
            <v>32.3583187106643</v>
          </cell>
          <cell r="N164">
            <v>0.23958333333333301</v>
          </cell>
          <cell r="O164">
            <v>4.1739130434782599</v>
          </cell>
          <cell r="P164">
            <v>1</v>
          </cell>
        </row>
        <row r="165">
          <cell r="A165">
            <v>502004</v>
          </cell>
          <cell r="B165">
            <v>7</v>
          </cell>
          <cell r="C165">
            <v>0</v>
          </cell>
          <cell r="D165">
            <v>4</v>
          </cell>
          <cell r="E165" t="str">
            <v>CVCTE</v>
          </cell>
          <cell r="F165" t="str">
            <v>Whittier</v>
          </cell>
          <cell r="G165">
            <v>0</v>
          </cell>
          <cell r="H165">
            <v>0</v>
          </cell>
          <cell r="I165">
            <v>21.166</v>
          </cell>
          <cell r="J165">
            <v>18.89098143</v>
          </cell>
          <cell r="K165">
            <v>19.89098143</v>
          </cell>
          <cell r="L165">
            <v>1.27545496095153</v>
          </cell>
          <cell r="M165">
            <v>21.1664363909515</v>
          </cell>
          <cell r="N165">
            <v>0.23958333333333301</v>
          </cell>
          <cell r="O165">
            <v>0</v>
          </cell>
          <cell r="P165">
            <v>1</v>
          </cell>
        </row>
        <row r="166">
          <cell r="A166">
            <v>502100</v>
          </cell>
          <cell r="B166">
            <v>7</v>
          </cell>
          <cell r="C166">
            <v>0</v>
          </cell>
          <cell r="D166">
            <v>4</v>
          </cell>
          <cell r="E166" t="str">
            <v>CVCTE</v>
          </cell>
          <cell r="F166" t="str">
            <v>Whittier</v>
          </cell>
          <cell r="G166">
            <v>1</v>
          </cell>
          <cell r="H166">
            <v>1</v>
          </cell>
          <cell r="I166">
            <v>15.246</v>
          </cell>
          <cell r="J166">
            <v>14.23608801</v>
          </cell>
          <cell r="K166">
            <v>14.23608801</v>
          </cell>
          <cell r="L166">
            <v>1.0102190253321399</v>
          </cell>
          <cell r="M166">
            <v>15.2463070353321</v>
          </cell>
          <cell r="N166">
            <v>0.23958333333333301</v>
          </cell>
          <cell r="O166">
            <v>4.1739130434782599</v>
          </cell>
          <cell r="P166">
            <v>1</v>
          </cell>
        </row>
        <row r="167">
          <cell r="A167">
            <v>502301</v>
          </cell>
          <cell r="B167">
            <v>7</v>
          </cell>
          <cell r="C167">
            <v>0</v>
          </cell>
          <cell r="D167">
            <v>4</v>
          </cell>
          <cell r="E167" t="str">
            <v>CVCTE</v>
          </cell>
          <cell r="F167" t="str">
            <v>Los Nietos</v>
          </cell>
          <cell r="G167">
            <v>0</v>
          </cell>
          <cell r="H167">
            <v>0</v>
          </cell>
          <cell r="I167">
            <v>21.771999999999998</v>
          </cell>
          <cell r="J167">
            <v>16.216951120000001</v>
          </cell>
          <cell r="K167">
            <v>21.216951120000001</v>
          </cell>
          <cell r="L167">
            <v>0.55364254895870701</v>
          </cell>
          <cell r="M167">
            <v>21.7705936689587</v>
          </cell>
          <cell r="N167">
            <v>0.23958333333333301</v>
          </cell>
          <cell r="O167">
            <v>0</v>
          </cell>
          <cell r="P167">
            <v>1</v>
          </cell>
        </row>
        <row r="168">
          <cell r="A168">
            <v>502302</v>
          </cell>
          <cell r="B168">
            <v>7</v>
          </cell>
          <cell r="C168">
            <v>0</v>
          </cell>
          <cell r="D168">
            <v>4</v>
          </cell>
          <cell r="E168" t="str">
            <v>CVCTE</v>
          </cell>
          <cell r="F168" t="str">
            <v>Los Nietos</v>
          </cell>
          <cell r="G168">
            <v>0</v>
          </cell>
          <cell r="H168">
            <v>0</v>
          </cell>
          <cell r="I168">
            <v>15.247999999999999</v>
          </cell>
          <cell r="J168">
            <v>12.68262011</v>
          </cell>
          <cell r="K168">
            <v>14.68262011</v>
          </cell>
          <cell r="L168">
            <v>0.56501887364452397</v>
          </cell>
          <cell r="M168">
            <v>15.247638983644499</v>
          </cell>
          <cell r="N168">
            <v>0.23958333333333301</v>
          </cell>
          <cell r="O168">
            <v>0</v>
          </cell>
          <cell r="P168">
            <v>1</v>
          </cell>
        </row>
        <row r="169">
          <cell r="A169">
            <v>502601</v>
          </cell>
          <cell r="B169">
            <v>7</v>
          </cell>
          <cell r="C169">
            <v>0</v>
          </cell>
          <cell r="D169">
            <v>1</v>
          </cell>
          <cell r="E169" t="str">
            <v>CVCTE</v>
          </cell>
          <cell r="F169" t="str">
            <v>Pico Rivera</v>
          </cell>
          <cell r="G169">
            <v>0</v>
          </cell>
          <cell r="H169">
            <v>0</v>
          </cell>
          <cell r="I169">
            <v>15.148999999999999</v>
          </cell>
          <cell r="J169">
            <v>12.821034060000001</v>
          </cell>
          <cell r="K169">
            <v>14.821034060000001</v>
          </cell>
          <cell r="L169">
            <v>0.32807164220825902</v>
          </cell>
          <cell r="M169">
            <v>15.149105702208301</v>
          </cell>
          <cell r="N169">
            <v>0.23958333333333301</v>
          </cell>
          <cell r="O169">
            <v>0</v>
          </cell>
          <cell r="P169">
            <v>1</v>
          </cell>
        </row>
        <row r="170">
          <cell r="A170">
            <v>503105</v>
          </cell>
          <cell r="B170">
            <v>7</v>
          </cell>
          <cell r="C170">
            <v>0</v>
          </cell>
          <cell r="D170">
            <v>4</v>
          </cell>
          <cell r="E170" t="str">
            <v>CVCTE</v>
          </cell>
          <cell r="F170" t="str">
            <v>South Whittier</v>
          </cell>
          <cell r="G170">
            <v>0</v>
          </cell>
          <cell r="H170">
            <v>0</v>
          </cell>
          <cell r="I170">
            <v>11.305</v>
          </cell>
          <cell r="J170">
            <v>9.8396785799999993</v>
          </cell>
          <cell r="K170">
            <v>10.839678579999999</v>
          </cell>
          <cell r="L170">
            <v>0.46531572761220802</v>
          </cell>
          <cell r="M170">
            <v>11.304994307612199</v>
          </cell>
          <cell r="N170">
            <v>0.23958333333333301</v>
          </cell>
          <cell r="O170">
            <v>0</v>
          </cell>
          <cell r="P170">
            <v>1</v>
          </cell>
        </row>
        <row r="171">
          <cell r="A171">
            <v>555212</v>
          </cell>
          <cell r="B171">
            <v>7</v>
          </cell>
          <cell r="C171">
            <v>0</v>
          </cell>
          <cell r="D171">
            <v>4</v>
          </cell>
          <cell r="E171" t="str">
            <v>CVCTE</v>
          </cell>
          <cell r="F171" t="str">
            <v>Hawaiian Gardens</v>
          </cell>
          <cell r="G171">
            <v>0</v>
          </cell>
          <cell r="H171">
            <v>0</v>
          </cell>
          <cell r="I171">
            <v>38.176000000000002</v>
          </cell>
          <cell r="J171">
            <v>22.25920056</v>
          </cell>
          <cell r="K171">
            <v>37.259200559999996</v>
          </cell>
          <cell r="L171">
            <v>0.91683691219030505</v>
          </cell>
          <cell r="M171">
            <v>38.176037472190302</v>
          </cell>
          <cell r="N171">
            <v>0.23958333333333301</v>
          </cell>
          <cell r="O171">
            <v>0</v>
          </cell>
          <cell r="P171">
            <v>1</v>
          </cell>
        </row>
        <row r="172">
          <cell r="A172">
            <v>530004</v>
          </cell>
          <cell r="B172">
            <v>7</v>
          </cell>
          <cell r="C172">
            <v>0</v>
          </cell>
          <cell r="D172">
            <v>1</v>
          </cell>
          <cell r="E172" t="str">
            <v>CVCTE</v>
          </cell>
          <cell r="F172" t="str">
            <v>Montebello</v>
          </cell>
          <cell r="G172">
            <v>0</v>
          </cell>
          <cell r="H172">
            <v>0</v>
          </cell>
          <cell r="I172">
            <v>93.516999999999996</v>
          </cell>
          <cell r="J172">
            <v>75.864734569999996</v>
          </cell>
          <cell r="K172">
            <v>90.864734569999996</v>
          </cell>
          <cell r="L172">
            <v>2.65173585561939</v>
          </cell>
          <cell r="M172">
            <v>93.516470425619403</v>
          </cell>
          <cell r="N172">
            <v>0.23958333333333301</v>
          </cell>
          <cell r="O172">
            <v>0</v>
          </cell>
          <cell r="P172">
            <v>1</v>
          </cell>
        </row>
        <row r="173">
          <cell r="A173">
            <v>530006</v>
          </cell>
          <cell r="B173">
            <v>7</v>
          </cell>
          <cell r="C173">
            <v>0</v>
          </cell>
          <cell r="D173">
            <v>1</v>
          </cell>
          <cell r="E173" t="str">
            <v>CVCTE</v>
          </cell>
          <cell r="F173" t="str">
            <v>Montebello</v>
          </cell>
          <cell r="G173">
            <v>0</v>
          </cell>
          <cell r="H173">
            <v>0</v>
          </cell>
          <cell r="I173">
            <v>21.253</v>
          </cell>
          <cell r="J173">
            <v>19.785674910000001</v>
          </cell>
          <cell r="K173">
            <v>19.785674910000001</v>
          </cell>
          <cell r="L173">
            <v>1.46718637184919</v>
          </cell>
          <cell r="M173">
            <v>21.252861281849199</v>
          </cell>
          <cell r="N173">
            <v>0.23958333333333301</v>
          </cell>
          <cell r="O173">
            <v>0</v>
          </cell>
          <cell r="P173">
            <v>1</v>
          </cell>
        </row>
        <row r="174">
          <cell r="A174">
            <v>530102</v>
          </cell>
          <cell r="B174">
            <v>7</v>
          </cell>
          <cell r="C174">
            <v>0</v>
          </cell>
          <cell r="D174">
            <v>1</v>
          </cell>
          <cell r="E174" t="str">
            <v>CVCTE</v>
          </cell>
          <cell r="F174" t="str">
            <v>Montebello</v>
          </cell>
          <cell r="G174">
            <v>0</v>
          </cell>
          <cell r="H174">
            <v>0</v>
          </cell>
          <cell r="I174">
            <v>10.917999999999999</v>
          </cell>
          <cell r="J174">
            <v>10.35542491</v>
          </cell>
          <cell r="K174">
            <v>10.35542491</v>
          </cell>
          <cell r="L174">
            <v>0.56256664867145401</v>
          </cell>
          <cell r="M174">
            <v>10.917991558671501</v>
          </cell>
          <cell r="N174">
            <v>0.23958333333333301</v>
          </cell>
          <cell r="O174">
            <v>0</v>
          </cell>
          <cell r="P174">
            <v>1</v>
          </cell>
        </row>
        <row r="175">
          <cell r="A175">
            <v>530202</v>
          </cell>
          <cell r="B175">
            <v>7</v>
          </cell>
          <cell r="C175">
            <v>0</v>
          </cell>
          <cell r="D175">
            <v>1</v>
          </cell>
          <cell r="E175" t="str">
            <v>CVCTE</v>
          </cell>
          <cell r="F175" t="str">
            <v>Montebello</v>
          </cell>
          <cell r="G175">
            <v>0</v>
          </cell>
          <cell r="H175">
            <v>0</v>
          </cell>
          <cell r="I175">
            <v>14.535</v>
          </cell>
          <cell r="J175">
            <v>13.82168925</v>
          </cell>
          <cell r="K175">
            <v>13.82168925</v>
          </cell>
          <cell r="L175">
            <v>0.71253766924595996</v>
          </cell>
          <cell r="M175">
            <v>14.534226919246001</v>
          </cell>
          <cell r="N175">
            <v>0.23958333333333301</v>
          </cell>
          <cell r="O175">
            <v>0</v>
          </cell>
          <cell r="P175">
            <v>1</v>
          </cell>
        </row>
        <row r="176">
          <cell r="A176">
            <v>530204</v>
          </cell>
          <cell r="B176">
            <v>7</v>
          </cell>
          <cell r="C176">
            <v>0</v>
          </cell>
          <cell r="D176">
            <v>1</v>
          </cell>
          <cell r="E176" t="str">
            <v>CVCTE</v>
          </cell>
          <cell r="F176" t="str">
            <v>Montebello</v>
          </cell>
          <cell r="G176">
            <v>0</v>
          </cell>
          <cell r="H176">
            <v>0</v>
          </cell>
          <cell r="I176">
            <v>49.884999999999998</v>
          </cell>
          <cell r="J176">
            <v>46.266197689999998</v>
          </cell>
          <cell r="K176">
            <v>46.266197689999998</v>
          </cell>
          <cell r="L176">
            <v>3.6192585922082601</v>
          </cell>
          <cell r="M176">
            <v>49.885456282208303</v>
          </cell>
          <cell r="N176">
            <v>0.23958333333333301</v>
          </cell>
          <cell r="O176">
            <v>0</v>
          </cell>
          <cell r="P176">
            <v>1</v>
          </cell>
        </row>
        <row r="177">
          <cell r="A177">
            <v>530902</v>
          </cell>
          <cell r="B177">
            <v>7</v>
          </cell>
          <cell r="C177">
            <v>0</v>
          </cell>
          <cell r="D177">
            <v>1</v>
          </cell>
          <cell r="E177" t="str">
            <v>CVCTE</v>
          </cell>
          <cell r="F177" t="str">
            <v>East Los Angeles</v>
          </cell>
          <cell r="G177">
            <v>0</v>
          </cell>
          <cell r="H177">
            <v>0</v>
          </cell>
          <cell r="I177">
            <v>16.751999999999999</v>
          </cell>
          <cell r="J177">
            <v>14.11562485</v>
          </cell>
          <cell r="K177">
            <v>16.11562485</v>
          </cell>
          <cell r="L177">
            <v>0.63607117339317798</v>
          </cell>
          <cell r="M177">
            <v>16.751696023393201</v>
          </cell>
          <cell r="N177">
            <v>0.23958333333333301</v>
          </cell>
          <cell r="O177">
            <v>0</v>
          </cell>
          <cell r="P177">
            <v>1</v>
          </cell>
        </row>
        <row r="178">
          <cell r="A178">
            <v>573403</v>
          </cell>
          <cell r="B178">
            <v>7</v>
          </cell>
          <cell r="C178">
            <v>0</v>
          </cell>
          <cell r="D178">
            <v>4</v>
          </cell>
          <cell r="E178" t="str">
            <v>CVCTE</v>
          </cell>
          <cell r="F178" t="str">
            <v>Signal Hill</v>
          </cell>
          <cell r="G178">
            <v>0</v>
          </cell>
          <cell r="H178">
            <v>0</v>
          </cell>
          <cell r="I178">
            <v>12.135</v>
          </cell>
          <cell r="J178">
            <v>10.07437599</v>
          </cell>
          <cell r="K178">
            <v>11.07437599</v>
          </cell>
          <cell r="L178">
            <v>1.0601640429802499</v>
          </cell>
          <cell r="M178">
            <v>12.134540032980301</v>
          </cell>
          <cell r="N178">
            <v>0.23958333333333301</v>
          </cell>
          <cell r="O178">
            <v>0</v>
          </cell>
          <cell r="P178">
            <v>1</v>
          </cell>
        </row>
        <row r="179">
          <cell r="A179">
            <v>554204</v>
          </cell>
          <cell r="B179">
            <v>7</v>
          </cell>
          <cell r="C179">
            <v>0</v>
          </cell>
          <cell r="D179">
            <v>4</v>
          </cell>
          <cell r="E179" t="str">
            <v>CVCTE</v>
          </cell>
          <cell r="F179" t="str">
            <v>Bellflower</v>
          </cell>
          <cell r="G179">
            <v>0</v>
          </cell>
          <cell r="H179">
            <v>0</v>
          </cell>
          <cell r="I179">
            <v>22.785</v>
          </cell>
          <cell r="J179">
            <v>18.361808320000002</v>
          </cell>
          <cell r="K179">
            <v>22.361808320000002</v>
          </cell>
          <cell r="L179">
            <v>0.42369397364452399</v>
          </cell>
          <cell r="M179">
            <v>22.785502293644502</v>
          </cell>
          <cell r="N179">
            <v>0.23958333333333301</v>
          </cell>
          <cell r="O179">
            <v>0</v>
          </cell>
          <cell r="P179">
            <v>1</v>
          </cell>
        </row>
        <row r="180">
          <cell r="A180">
            <v>552200</v>
          </cell>
          <cell r="B180">
            <v>7</v>
          </cell>
          <cell r="C180">
            <v>0</v>
          </cell>
          <cell r="D180">
            <v>4</v>
          </cell>
          <cell r="E180" t="str">
            <v>CVCTE</v>
          </cell>
          <cell r="F180" t="str">
            <v>Norwalk</v>
          </cell>
          <cell r="G180">
            <v>0</v>
          </cell>
          <cell r="H180">
            <v>0</v>
          </cell>
          <cell r="I180">
            <v>30.594000000000001</v>
          </cell>
          <cell r="J180">
            <v>19.206438840000001</v>
          </cell>
          <cell r="K180">
            <v>30.206438840000001</v>
          </cell>
          <cell r="L180">
            <v>0.38734777942549398</v>
          </cell>
          <cell r="M180">
            <v>30.593786619425501</v>
          </cell>
          <cell r="N180">
            <v>0.23958333333333301</v>
          </cell>
          <cell r="O180">
            <v>0</v>
          </cell>
          <cell r="P180">
            <v>1</v>
          </cell>
        </row>
        <row r="181">
          <cell r="A181">
            <v>531000</v>
          </cell>
          <cell r="B181">
            <v>7</v>
          </cell>
          <cell r="C181">
            <v>0</v>
          </cell>
          <cell r="D181">
            <v>1</v>
          </cell>
          <cell r="E181" t="str">
            <v>CVCTE</v>
          </cell>
          <cell r="F181" t="str">
            <v>East Los Angeles</v>
          </cell>
          <cell r="G181">
            <v>0</v>
          </cell>
          <cell r="H181">
            <v>0</v>
          </cell>
          <cell r="I181">
            <v>30.222000000000001</v>
          </cell>
          <cell r="J181">
            <v>25.895634980000001</v>
          </cell>
          <cell r="K181">
            <v>28.895634980000001</v>
          </cell>
          <cell r="L181">
            <v>1.3252130893357299</v>
          </cell>
          <cell r="M181">
            <v>30.220848069335698</v>
          </cell>
          <cell r="N181">
            <v>0.23958333333333301</v>
          </cell>
          <cell r="O181">
            <v>0</v>
          </cell>
          <cell r="P181">
            <v>1</v>
          </cell>
        </row>
        <row r="182">
          <cell r="A182">
            <v>531102</v>
          </cell>
          <cell r="B182">
            <v>7</v>
          </cell>
          <cell r="C182">
            <v>0</v>
          </cell>
          <cell r="D182">
            <v>1</v>
          </cell>
          <cell r="E182" t="str">
            <v>CVCTE</v>
          </cell>
          <cell r="F182" t="str">
            <v>East Los Angeles</v>
          </cell>
          <cell r="G182">
            <v>1</v>
          </cell>
          <cell r="H182">
            <v>1</v>
          </cell>
          <cell r="I182">
            <v>13.752000000000001</v>
          </cell>
          <cell r="J182">
            <v>13.227123199999999</v>
          </cell>
          <cell r="K182">
            <v>13.227123199999999</v>
          </cell>
          <cell r="L182">
            <v>0.52473946888689404</v>
          </cell>
          <cell r="M182">
            <v>13.751862668886901</v>
          </cell>
          <cell r="N182">
            <v>0.23958333333333301</v>
          </cell>
          <cell r="O182">
            <v>4.1739130434782599</v>
          </cell>
          <cell r="P182">
            <v>1</v>
          </cell>
        </row>
        <row r="183">
          <cell r="A183">
            <v>531503</v>
          </cell>
          <cell r="B183">
            <v>7</v>
          </cell>
          <cell r="C183">
            <v>0</v>
          </cell>
          <cell r="D183">
            <v>1</v>
          </cell>
          <cell r="E183" t="str">
            <v>CVCTE</v>
          </cell>
          <cell r="F183" t="str">
            <v>East Los Angeles</v>
          </cell>
          <cell r="G183">
            <v>0</v>
          </cell>
          <cell r="H183">
            <v>0</v>
          </cell>
          <cell r="I183">
            <v>26.588999999999999</v>
          </cell>
          <cell r="J183">
            <v>24.659023650000002</v>
          </cell>
          <cell r="K183">
            <v>25.659023650000002</v>
          </cell>
          <cell r="L183">
            <v>0.92943671007181305</v>
          </cell>
          <cell r="M183">
            <v>26.588460360071799</v>
          </cell>
          <cell r="N183">
            <v>0.23958333333333301</v>
          </cell>
          <cell r="O183">
            <v>0</v>
          </cell>
          <cell r="P183">
            <v>1</v>
          </cell>
        </row>
        <row r="184">
          <cell r="A184">
            <v>531602</v>
          </cell>
          <cell r="B184">
            <v>7</v>
          </cell>
          <cell r="C184">
            <v>0</v>
          </cell>
          <cell r="D184">
            <v>1</v>
          </cell>
          <cell r="E184" t="str">
            <v>CVCTE</v>
          </cell>
          <cell r="F184" t="str">
            <v>East Los Angeles</v>
          </cell>
          <cell r="G184">
            <v>1</v>
          </cell>
          <cell r="H184">
            <v>1</v>
          </cell>
          <cell r="I184">
            <v>42.887</v>
          </cell>
          <cell r="J184">
            <v>36.988113929999997</v>
          </cell>
          <cell r="K184">
            <v>40.988113929999997</v>
          </cell>
          <cell r="L184">
            <v>1.8984165903052099</v>
          </cell>
          <cell r="M184">
            <v>42.8865305203052</v>
          </cell>
          <cell r="N184">
            <v>0.23958333333333301</v>
          </cell>
          <cell r="O184">
            <v>4.1739130434782599</v>
          </cell>
          <cell r="P184">
            <v>1</v>
          </cell>
        </row>
        <row r="185">
          <cell r="A185">
            <v>531701</v>
          </cell>
          <cell r="B185">
            <v>7</v>
          </cell>
          <cell r="C185">
            <v>0</v>
          </cell>
          <cell r="D185">
            <v>1</v>
          </cell>
          <cell r="E185" t="str">
            <v>CVCTE</v>
          </cell>
          <cell r="F185" t="str">
            <v>East Los Angeles</v>
          </cell>
          <cell r="G185">
            <v>0</v>
          </cell>
          <cell r="H185">
            <v>0</v>
          </cell>
          <cell r="I185">
            <v>20.291</v>
          </cell>
          <cell r="J185">
            <v>14.759247820000001</v>
          </cell>
          <cell r="K185">
            <v>19.759247819999999</v>
          </cell>
          <cell r="L185">
            <v>0.53128400752244198</v>
          </cell>
          <cell r="M185">
            <v>20.2905318275224</v>
          </cell>
          <cell r="N185">
            <v>0.23958333333333301</v>
          </cell>
          <cell r="O185">
            <v>0</v>
          </cell>
          <cell r="P185">
            <v>1</v>
          </cell>
        </row>
        <row r="186">
          <cell r="A186">
            <v>531800</v>
          </cell>
          <cell r="B186">
            <v>7</v>
          </cell>
          <cell r="C186">
            <v>0</v>
          </cell>
          <cell r="D186">
            <v>1</v>
          </cell>
          <cell r="E186" t="str">
            <v>CVCTE</v>
          </cell>
          <cell r="F186" t="str">
            <v>East Los Angeles</v>
          </cell>
          <cell r="G186">
            <v>0</v>
          </cell>
          <cell r="H186">
            <v>0</v>
          </cell>
          <cell r="I186">
            <v>27.024000000000001</v>
          </cell>
          <cell r="J186">
            <v>20.21132961</v>
          </cell>
          <cell r="K186">
            <v>26.21132961</v>
          </cell>
          <cell r="L186">
            <v>0.81304145249551196</v>
          </cell>
          <cell r="M186">
            <v>27.024371062495501</v>
          </cell>
          <cell r="N186">
            <v>0.23958333333333301</v>
          </cell>
          <cell r="O186">
            <v>0</v>
          </cell>
          <cell r="P186">
            <v>1</v>
          </cell>
        </row>
        <row r="187">
          <cell r="A187">
            <v>531902</v>
          </cell>
          <cell r="B187">
            <v>7</v>
          </cell>
          <cell r="C187">
            <v>0</v>
          </cell>
          <cell r="D187">
            <v>1</v>
          </cell>
          <cell r="E187" t="str">
            <v>CVCTE</v>
          </cell>
          <cell r="F187" t="str">
            <v>East Los Angeles</v>
          </cell>
          <cell r="G187">
            <v>0</v>
          </cell>
          <cell r="H187">
            <v>0</v>
          </cell>
          <cell r="I187">
            <v>48.795999999999999</v>
          </cell>
          <cell r="J187">
            <v>42.800117280000002</v>
          </cell>
          <cell r="K187">
            <v>46.800117280000002</v>
          </cell>
          <cell r="L187">
            <v>1.9947940532674999</v>
          </cell>
          <cell r="M187">
            <v>48.7949113332675</v>
          </cell>
          <cell r="N187">
            <v>0.23958333333333301</v>
          </cell>
          <cell r="O187">
            <v>0</v>
          </cell>
          <cell r="P187">
            <v>1</v>
          </cell>
        </row>
        <row r="188">
          <cell r="A188">
            <v>532001</v>
          </cell>
          <cell r="B188">
            <v>7</v>
          </cell>
          <cell r="C188">
            <v>0</v>
          </cell>
          <cell r="D188">
            <v>1</v>
          </cell>
          <cell r="E188" t="str">
            <v>CVCTE</v>
          </cell>
          <cell r="F188" t="str">
            <v>Montebello</v>
          </cell>
          <cell r="G188">
            <v>1</v>
          </cell>
          <cell r="H188">
            <v>1</v>
          </cell>
          <cell r="I188">
            <v>14.313000000000001</v>
          </cell>
          <cell r="J188">
            <v>12.709599280000001</v>
          </cell>
          <cell r="K188">
            <v>13.709599280000001</v>
          </cell>
          <cell r="L188">
            <v>0.60207257441651696</v>
          </cell>
          <cell r="M188">
            <v>14.311671854416501</v>
          </cell>
          <cell r="N188">
            <v>0.23958333333333301</v>
          </cell>
          <cell r="O188">
            <v>4.1739130434782599</v>
          </cell>
          <cell r="P188">
            <v>1</v>
          </cell>
        </row>
        <row r="189">
          <cell r="A189">
            <v>532101</v>
          </cell>
          <cell r="B189">
            <v>7</v>
          </cell>
          <cell r="C189">
            <v>0</v>
          </cell>
          <cell r="D189">
            <v>1</v>
          </cell>
          <cell r="E189" t="str">
            <v>CVCTE</v>
          </cell>
          <cell r="F189" t="str">
            <v>Montebello</v>
          </cell>
          <cell r="G189">
            <v>1</v>
          </cell>
          <cell r="H189">
            <v>1</v>
          </cell>
          <cell r="I189">
            <v>23.727</v>
          </cell>
          <cell r="J189">
            <v>11.200055430000001</v>
          </cell>
          <cell r="K189">
            <v>23.200055429999999</v>
          </cell>
          <cell r="L189">
            <v>0.52622045445242405</v>
          </cell>
          <cell r="M189">
            <v>23.726275884452399</v>
          </cell>
          <cell r="N189">
            <v>0.23958333333333301</v>
          </cell>
          <cell r="O189">
            <v>4.1739130434782599</v>
          </cell>
          <cell r="P189">
            <v>1</v>
          </cell>
        </row>
        <row r="190">
          <cell r="A190">
            <v>551000</v>
          </cell>
          <cell r="B190">
            <v>7</v>
          </cell>
          <cell r="C190">
            <v>0</v>
          </cell>
          <cell r="D190">
            <v>4</v>
          </cell>
          <cell r="E190" t="str">
            <v>CVCTE</v>
          </cell>
          <cell r="F190" t="str">
            <v>Downey</v>
          </cell>
          <cell r="G190">
            <v>0</v>
          </cell>
          <cell r="H190">
            <v>0</v>
          </cell>
          <cell r="I190">
            <v>17.065999999999999</v>
          </cell>
          <cell r="J190">
            <v>7.4380778999999997</v>
          </cell>
          <cell r="K190">
            <v>16.4380779</v>
          </cell>
          <cell r="L190">
            <v>0.62729995631956903</v>
          </cell>
          <cell r="M190">
            <v>17.0653778563196</v>
          </cell>
          <cell r="N190">
            <v>0.23958333333333301</v>
          </cell>
          <cell r="O190">
            <v>0</v>
          </cell>
          <cell r="P190">
            <v>1</v>
          </cell>
        </row>
        <row r="191">
          <cell r="A191">
            <v>532102</v>
          </cell>
          <cell r="B191">
            <v>7</v>
          </cell>
          <cell r="C191">
            <v>0</v>
          </cell>
          <cell r="D191">
            <v>1</v>
          </cell>
          <cell r="E191" t="str">
            <v>CVCTE</v>
          </cell>
          <cell r="F191" t="str">
            <v>Montebello</v>
          </cell>
          <cell r="G191">
            <v>0</v>
          </cell>
          <cell r="H191">
            <v>0</v>
          </cell>
          <cell r="I191">
            <v>17.434000000000001</v>
          </cell>
          <cell r="J191">
            <v>16.958063360000001</v>
          </cell>
          <cell r="K191">
            <v>16.958063360000001</v>
          </cell>
          <cell r="L191">
            <v>0.475442833752244</v>
          </cell>
          <cell r="M191">
            <v>17.433506193752201</v>
          </cell>
          <cell r="N191">
            <v>0.23958333333333301</v>
          </cell>
          <cell r="O191">
            <v>0</v>
          </cell>
          <cell r="P191">
            <v>1</v>
          </cell>
        </row>
        <row r="192">
          <cell r="A192">
            <v>532200</v>
          </cell>
          <cell r="B192">
            <v>7</v>
          </cell>
          <cell r="C192">
            <v>0</v>
          </cell>
          <cell r="D192">
            <v>1</v>
          </cell>
          <cell r="E192" t="str">
            <v>CVCTE</v>
          </cell>
          <cell r="F192" t="str">
            <v>Montebello</v>
          </cell>
          <cell r="G192">
            <v>0</v>
          </cell>
          <cell r="H192">
            <v>0</v>
          </cell>
          <cell r="I192">
            <v>20.759</v>
          </cell>
          <cell r="J192">
            <v>15.869597280000001</v>
          </cell>
          <cell r="K192">
            <v>19.869597280000001</v>
          </cell>
          <cell r="L192">
            <v>0.88938081105924605</v>
          </cell>
          <cell r="M192">
            <v>20.758978091059198</v>
          </cell>
          <cell r="N192">
            <v>0.23958333333333301</v>
          </cell>
          <cell r="O192">
            <v>0</v>
          </cell>
          <cell r="P192">
            <v>1</v>
          </cell>
        </row>
        <row r="193">
          <cell r="A193">
            <v>532303</v>
          </cell>
          <cell r="B193">
            <v>7</v>
          </cell>
          <cell r="C193">
            <v>0</v>
          </cell>
          <cell r="D193">
            <v>1</v>
          </cell>
          <cell r="E193" t="str">
            <v>CVCTE</v>
          </cell>
          <cell r="F193" t="str">
            <v>Commerce</v>
          </cell>
          <cell r="G193">
            <v>1</v>
          </cell>
          <cell r="H193">
            <v>1</v>
          </cell>
          <cell r="I193">
            <v>50.572000000000003</v>
          </cell>
          <cell r="J193">
            <v>47.708414740000002</v>
          </cell>
          <cell r="K193">
            <v>47.708414740000002</v>
          </cell>
          <cell r="L193">
            <v>2.8639661577378801</v>
          </cell>
          <cell r="M193">
            <v>50.572380897737901</v>
          </cell>
          <cell r="N193">
            <v>0.23958333333333301</v>
          </cell>
          <cell r="O193">
            <v>4.1739130434782599</v>
          </cell>
          <cell r="P193">
            <v>1</v>
          </cell>
        </row>
        <row r="194">
          <cell r="A194">
            <v>532400</v>
          </cell>
          <cell r="B194">
            <v>7</v>
          </cell>
          <cell r="C194">
            <v>0</v>
          </cell>
          <cell r="D194">
            <v>1</v>
          </cell>
          <cell r="E194" t="str">
            <v>CVCTE</v>
          </cell>
          <cell r="F194" t="str">
            <v>Vernon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0.23958333333333301</v>
          </cell>
          <cell r="O194">
            <v>0</v>
          </cell>
          <cell r="P194">
            <v>1</v>
          </cell>
        </row>
        <row r="195">
          <cell r="A195">
            <v>550300</v>
          </cell>
          <cell r="B195">
            <v>7</v>
          </cell>
          <cell r="C195">
            <v>0</v>
          </cell>
          <cell r="D195">
            <v>4</v>
          </cell>
          <cell r="E195" t="str">
            <v>CVCTE</v>
          </cell>
          <cell r="F195" t="str">
            <v>Norwalk</v>
          </cell>
          <cell r="G195">
            <v>0</v>
          </cell>
          <cell r="H195">
            <v>0</v>
          </cell>
          <cell r="I195">
            <v>36.433</v>
          </cell>
          <cell r="J195">
            <v>26.113727579999999</v>
          </cell>
          <cell r="K195">
            <v>36.113727580000003</v>
          </cell>
          <cell r="L195">
            <v>0.318912537684022</v>
          </cell>
          <cell r="M195">
            <v>36.432640117684002</v>
          </cell>
          <cell r="N195">
            <v>0.23958333333333301</v>
          </cell>
          <cell r="O195">
            <v>0</v>
          </cell>
          <cell r="P195">
            <v>1</v>
          </cell>
        </row>
        <row r="196">
          <cell r="A196">
            <v>532603</v>
          </cell>
          <cell r="B196">
            <v>7</v>
          </cell>
          <cell r="C196">
            <v>0</v>
          </cell>
          <cell r="D196">
            <v>1</v>
          </cell>
          <cell r="E196" t="str">
            <v>CVCTE</v>
          </cell>
          <cell r="F196" t="str">
            <v>Huntington Park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0.23958333333333301</v>
          </cell>
          <cell r="O196">
            <v>0</v>
          </cell>
          <cell r="P196">
            <v>1</v>
          </cell>
        </row>
        <row r="197">
          <cell r="A197">
            <v>532605</v>
          </cell>
          <cell r="B197">
            <v>7</v>
          </cell>
          <cell r="C197">
            <v>0</v>
          </cell>
          <cell r="D197">
            <v>1</v>
          </cell>
          <cell r="E197" t="str">
            <v>CVCTE</v>
          </cell>
          <cell r="F197" t="str">
            <v>Huntington Park</v>
          </cell>
          <cell r="G197">
            <v>0</v>
          </cell>
          <cell r="H197">
            <v>0</v>
          </cell>
          <cell r="I197">
            <v>47.250999999999998</v>
          </cell>
          <cell r="J197">
            <v>29.788807349999999</v>
          </cell>
          <cell r="K197">
            <v>46.788807349999999</v>
          </cell>
          <cell r="L197">
            <v>0.46169844705565499</v>
          </cell>
          <cell r="M197">
            <v>47.250505797055702</v>
          </cell>
          <cell r="N197">
            <v>0.23958333333333301</v>
          </cell>
          <cell r="O197">
            <v>0</v>
          </cell>
          <cell r="P197">
            <v>1</v>
          </cell>
        </row>
        <row r="198">
          <cell r="A198">
            <v>532700</v>
          </cell>
          <cell r="B198">
            <v>7</v>
          </cell>
          <cell r="C198">
            <v>0</v>
          </cell>
          <cell r="D198">
            <v>2</v>
          </cell>
          <cell r="E198" t="str">
            <v>CVCTE</v>
          </cell>
          <cell r="F198" t="str">
            <v>Florence-Graham</v>
          </cell>
          <cell r="G198">
            <v>0</v>
          </cell>
          <cell r="H198">
            <v>0</v>
          </cell>
          <cell r="I198">
            <v>18.821000000000002</v>
          </cell>
          <cell r="J198">
            <v>13.18375509</v>
          </cell>
          <cell r="K198">
            <v>18.183755089999998</v>
          </cell>
          <cell r="L198">
            <v>0.63739305583482897</v>
          </cell>
          <cell r="M198">
            <v>18.821148145834801</v>
          </cell>
          <cell r="N198">
            <v>0.23958333333333301</v>
          </cell>
          <cell r="O198">
            <v>0</v>
          </cell>
          <cell r="P198">
            <v>1</v>
          </cell>
        </row>
        <row r="199">
          <cell r="A199">
            <v>533002</v>
          </cell>
          <cell r="B199">
            <v>7</v>
          </cell>
          <cell r="C199">
            <v>0</v>
          </cell>
          <cell r="D199">
            <v>1</v>
          </cell>
          <cell r="E199" t="str">
            <v>CVCTE</v>
          </cell>
          <cell r="F199" t="str">
            <v>Florence-Graham</v>
          </cell>
          <cell r="G199">
            <v>0</v>
          </cell>
          <cell r="H199">
            <v>0</v>
          </cell>
          <cell r="I199">
            <v>36.476999999999997</v>
          </cell>
          <cell r="J199">
            <v>25.980646530000001</v>
          </cell>
          <cell r="K199">
            <v>34.980646530000001</v>
          </cell>
          <cell r="L199">
            <v>1.4961600750269299</v>
          </cell>
          <cell r="M199">
            <v>36.476806605026901</v>
          </cell>
          <cell r="N199">
            <v>0.23958333333333301</v>
          </cell>
          <cell r="O199">
            <v>0</v>
          </cell>
          <cell r="P199">
            <v>1</v>
          </cell>
        </row>
        <row r="200">
          <cell r="A200">
            <v>533103</v>
          </cell>
          <cell r="B200">
            <v>7</v>
          </cell>
          <cell r="C200">
            <v>0</v>
          </cell>
          <cell r="D200">
            <v>1</v>
          </cell>
          <cell r="E200" t="str">
            <v>CVCTE</v>
          </cell>
          <cell r="F200" t="str">
            <v>Huntington Park</v>
          </cell>
          <cell r="G200">
            <v>0</v>
          </cell>
          <cell r="H200">
            <v>0</v>
          </cell>
          <cell r="I200">
            <v>38.043999999999997</v>
          </cell>
          <cell r="J200">
            <v>17.901079289999998</v>
          </cell>
          <cell r="K200">
            <v>36.901079289999998</v>
          </cell>
          <cell r="L200">
            <v>1.1428835584739701</v>
          </cell>
          <cell r="M200">
            <v>38.043962848474003</v>
          </cell>
          <cell r="N200">
            <v>0.23958333333333301</v>
          </cell>
          <cell r="O200">
            <v>0</v>
          </cell>
          <cell r="P200">
            <v>1</v>
          </cell>
        </row>
        <row r="201">
          <cell r="A201">
            <v>533106</v>
          </cell>
          <cell r="B201">
            <v>7</v>
          </cell>
          <cell r="C201">
            <v>0</v>
          </cell>
          <cell r="D201">
            <v>1</v>
          </cell>
          <cell r="E201" t="str">
            <v>CVCTE</v>
          </cell>
          <cell r="F201" t="str">
            <v>Huntington Park</v>
          </cell>
          <cell r="G201">
            <v>0</v>
          </cell>
          <cell r="H201">
            <v>0</v>
          </cell>
          <cell r="I201">
            <v>15.292999999999999</v>
          </cell>
          <cell r="J201">
            <v>9.0587163299999993</v>
          </cell>
          <cell r="K201">
            <v>15.058716329999999</v>
          </cell>
          <cell r="L201">
            <v>0.23395329447037699</v>
          </cell>
          <cell r="M201">
            <v>15.292669624470401</v>
          </cell>
          <cell r="N201">
            <v>0.23958333333333301</v>
          </cell>
          <cell r="O201">
            <v>0</v>
          </cell>
          <cell r="P201">
            <v>1</v>
          </cell>
        </row>
        <row r="202">
          <cell r="A202">
            <v>532304</v>
          </cell>
          <cell r="B202">
            <v>7</v>
          </cell>
          <cell r="C202">
            <v>0</v>
          </cell>
          <cell r="D202">
            <v>1</v>
          </cell>
          <cell r="E202" t="str">
            <v>CVCTE</v>
          </cell>
          <cell r="F202" t="str">
            <v>Commerce</v>
          </cell>
          <cell r="G202">
            <v>0</v>
          </cell>
          <cell r="H202">
            <v>0</v>
          </cell>
          <cell r="I202">
            <v>9.9049999999999994</v>
          </cell>
          <cell r="J202">
            <v>8.4482643599999996</v>
          </cell>
          <cell r="K202">
            <v>9.4482643599999996</v>
          </cell>
          <cell r="L202">
            <v>0.45619386750448798</v>
          </cell>
          <cell r="M202">
            <v>9.9044582275044899</v>
          </cell>
          <cell r="N202">
            <v>0.23958333333333301</v>
          </cell>
          <cell r="O202">
            <v>0</v>
          </cell>
          <cell r="P202">
            <v>1</v>
          </cell>
        </row>
        <row r="203">
          <cell r="A203">
            <v>536104</v>
          </cell>
          <cell r="B203">
            <v>7</v>
          </cell>
          <cell r="C203">
            <v>0</v>
          </cell>
          <cell r="D203">
            <v>1</v>
          </cell>
          <cell r="E203" t="str">
            <v>CVCTE</v>
          </cell>
          <cell r="F203" t="str">
            <v>South Gate</v>
          </cell>
          <cell r="G203">
            <v>0</v>
          </cell>
          <cell r="H203">
            <v>0</v>
          </cell>
          <cell r="I203">
            <v>11.093</v>
          </cell>
          <cell r="J203">
            <v>7.6842311499999996</v>
          </cell>
          <cell r="K203">
            <v>10.68423115</v>
          </cell>
          <cell r="L203">
            <v>0.40850331443447002</v>
          </cell>
          <cell r="M203">
            <v>11.0927344644345</v>
          </cell>
          <cell r="N203">
            <v>0.23958333333333301</v>
          </cell>
          <cell r="O203">
            <v>0</v>
          </cell>
          <cell r="P203">
            <v>1</v>
          </cell>
        </row>
        <row r="204">
          <cell r="A204">
            <v>533300</v>
          </cell>
          <cell r="B204">
            <v>7</v>
          </cell>
          <cell r="C204">
            <v>0</v>
          </cell>
          <cell r="D204">
            <v>1</v>
          </cell>
          <cell r="E204" t="str">
            <v>CVCTE</v>
          </cell>
          <cell r="F204" t="str">
            <v>Maywood</v>
          </cell>
          <cell r="G204">
            <v>0</v>
          </cell>
          <cell r="H204">
            <v>0</v>
          </cell>
          <cell r="I204">
            <v>5.0949999999999998</v>
          </cell>
          <cell r="J204">
            <v>1.9836996600000001</v>
          </cell>
          <cell r="K204">
            <v>4.9836996600000001</v>
          </cell>
          <cell r="L204">
            <v>0.11117260138240601</v>
          </cell>
          <cell r="M204">
            <v>5.0948722613824096</v>
          </cell>
          <cell r="N204">
            <v>0.23958333333333301</v>
          </cell>
          <cell r="O204">
            <v>0</v>
          </cell>
          <cell r="P204">
            <v>1</v>
          </cell>
        </row>
        <row r="205">
          <cell r="A205">
            <v>531901</v>
          </cell>
          <cell r="B205">
            <v>7</v>
          </cell>
          <cell r="C205">
            <v>0</v>
          </cell>
          <cell r="D205">
            <v>1</v>
          </cell>
          <cell r="E205" t="str">
            <v>CVCTE</v>
          </cell>
          <cell r="F205" t="str">
            <v>East Los Angeles</v>
          </cell>
          <cell r="G205">
            <v>1</v>
          </cell>
          <cell r="H205">
            <v>1</v>
          </cell>
          <cell r="I205">
            <v>25.187000000000001</v>
          </cell>
          <cell r="J205">
            <v>22.77956103</v>
          </cell>
          <cell r="K205">
            <v>23.77956103</v>
          </cell>
          <cell r="L205">
            <v>1.40725288441652</v>
          </cell>
          <cell r="M205">
            <v>25.186813914416501</v>
          </cell>
          <cell r="N205">
            <v>0.23958333333333301</v>
          </cell>
          <cell r="O205">
            <v>4.1739130434782599</v>
          </cell>
          <cell r="P205">
            <v>1</v>
          </cell>
        </row>
        <row r="206">
          <cell r="A206">
            <v>554403</v>
          </cell>
          <cell r="B206">
            <v>7</v>
          </cell>
          <cell r="C206">
            <v>0</v>
          </cell>
          <cell r="D206">
            <v>4</v>
          </cell>
          <cell r="E206" t="str">
            <v>CVCTE</v>
          </cell>
          <cell r="F206" t="str">
            <v>Bellflower</v>
          </cell>
          <cell r="G206">
            <v>0</v>
          </cell>
          <cell r="H206">
            <v>0</v>
          </cell>
          <cell r="I206">
            <v>17.568999999999999</v>
          </cell>
          <cell r="J206">
            <v>10.66224719</v>
          </cell>
          <cell r="K206">
            <v>16.662247189999999</v>
          </cell>
          <cell r="L206">
            <v>0.90723105127468595</v>
          </cell>
          <cell r="M206">
            <v>17.569478241274702</v>
          </cell>
          <cell r="N206">
            <v>0.23958333333333301</v>
          </cell>
          <cell r="O206">
            <v>0</v>
          </cell>
          <cell r="P206">
            <v>1</v>
          </cell>
        </row>
        <row r="207">
          <cell r="A207">
            <v>533703</v>
          </cell>
          <cell r="B207">
            <v>7</v>
          </cell>
          <cell r="C207">
            <v>0</v>
          </cell>
          <cell r="D207">
            <v>1</v>
          </cell>
          <cell r="E207" t="str">
            <v>CVCTE</v>
          </cell>
          <cell r="F207" t="str">
            <v>Maywood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0.23958333333333301</v>
          </cell>
          <cell r="O207">
            <v>0</v>
          </cell>
          <cell r="P207">
            <v>1</v>
          </cell>
        </row>
        <row r="208">
          <cell r="A208">
            <v>533806</v>
          </cell>
          <cell r="B208">
            <v>7</v>
          </cell>
          <cell r="C208">
            <v>0</v>
          </cell>
          <cell r="D208">
            <v>1</v>
          </cell>
          <cell r="E208" t="str">
            <v>CVCTE</v>
          </cell>
          <cell r="F208" t="str">
            <v>Bell</v>
          </cell>
          <cell r="G208">
            <v>0</v>
          </cell>
          <cell r="H208">
            <v>0</v>
          </cell>
          <cell r="I208">
            <v>44.162999999999997</v>
          </cell>
          <cell r="J208">
            <v>30.697933519999999</v>
          </cell>
          <cell r="K208">
            <v>43.697933519999999</v>
          </cell>
          <cell r="L208">
            <v>0.464550509874327</v>
          </cell>
          <cell r="M208">
            <v>44.1624840298743</v>
          </cell>
          <cell r="N208">
            <v>0.23958333333333301</v>
          </cell>
          <cell r="O208">
            <v>0</v>
          </cell>
          <cell r="P208">
            <v>1</v>
          </cell>
        </row>
        <row r="209">
          <cell r="A209">
            <v>534101</v>
          </cell>
          <cell r="B209">
            <v>7</v>
          </cell>
          <cell r="C209">
            <v>0</v>
          </cell>
          <cell r="D209">
            <v>1</v>
          </cell>
          <cell r="E209" t="str">
            <v>CVCTE</v>
          </cell>
          <cell r="F209" t="str">
            <v>Bell Gardens</v>
          </cell>
          <cell r="G209">
            <v>0</v>
          </cell>
          <cell r="H209">
            <v>0</v>
          </cell>
          <cell r="I209">
            <v>18.89</v>
          </cell>
          <cell r="J209">
            <v>14.028888630000001</v>
          </cell>
          <cell r="K209">
            <v>18.028888630000001</v>
          </cell>
          <cell r="L209">
            <v>0.86137834728904805</v>
          </cell>
          <cell r="M209">
            <v>18.890266977288999</v>
          </cell>
          <cell r="N209">
            <v>0.23958333333333301</v>
          </cell>
          <cell r="O209">
            <v>0</v>
          </cell>
          <cell r="P209">
            <v>1</v>
          </cell>
        </row>
        <row r="210">
          <cell r="A210">
            <v>534201</v>
          </cell>
          <cell r="B210">
            <v>7</v>
          </cell>
          <cell r="C210">
            <v>0</v>
          </cell>
          <cell r="D210">
            <v>1</v>
          </cell>
          <cell r="E210" t="str">
            <v>CVCTE</v>
          </cell>
          <cell r="F210" t="str">
            <v>Bell Gardens</v>
          </cell>
          <cell r="G210">
            <v>0</v>
          </cell>
          <cell r="H210">
            <v>0</v>
          </cell>
          <cell r="I210">
            <v>15.956</v>
          </cell>
          <cell r="J210">
            <v>14.29356445</v>
          </cell>
          <cell r="K210">
            <v>15.29356445</v>
          </cell>
          <cell r="L210">
            <v>0.662110691579892</v>
          </cell>
          <cell r="M210">
            <v>15.955675141579899</v>
          </cell>
          <cell r="N210">
            <v>0.23958333333333301</v>
          </cell>
          <cell r="O210">
            <v>0</v>
          </cell>
          <cell r="P210">
            <v>1</v>
          </cell>
        </row>
        <row r="211">
          <cell r="A211">
            <v>534203</v>
          </cell>
          <cell r="B211">
            <v>7</v>
          </cell>
          <cell r="C211">
            <v>0</v>
          </cell>
          <cell r="D211">
            <v>1</v>
          </cell>
          <cell r="E211" t="str">
            <v>CVCTE</v>
          </cell>
          <cell r="F211" t="str">
            <v>Bell Gardens</v>
          </cell>
          <cell r="G211">
            <v>0</v>
          </cell>
          <cell r="H211">
            <v>0</v>
          </cell>
          <cell r="I211">
            <v>15.065</v>
          </cell>
          <cell r="J211">
            <v>11.35769487</v>
          </cell>
          <cell r="K211">
            <v>14.35769487</v>
          </cell>
          <cell r="L211">
            <v>0.70731501305206501</v>
          </cell>
          <cell r="M211">
            <v>15.065009883052101</v>
          </cell>
          <cell r="N211">
            <v>0.23958333333333301</v>
          </cell>
          <cell r="O211">
            <v>0</v>
          </cell>
          <cell r="P211">
            <v>1</v>
          </cell>
        </row>
        <row r="212">
          <cell r="A212">
            <v>532002</v>
          </cell>
          <cell r="B212">
            <v>7</v>
          </cell>
          <cell r="C212">
            <v>0</v>
          </cell>
          <cell r="D212">
            <v>1</v>
          </cell>
          <cell r="E212" t="str">
            <v>CVCTE</v>
          </cell>
          <cell r="F212" t="str">
            <v>Montebello</v>
          </cell>
          <cell r="G212">
            <v>1</v>
          </cell>
          <cell r="H212">
            <v>1</v>
          </cell>
          <cell r="I212">
            <v>23.300999999999998</v>
          </cell>
          <cell r="J212">
            <v>21.24074156</v>
          </cell>
          <cell r="K212">
            <v>22.24074156</v>
          </cell>
          <cell r="L212">
            <v>1.05997715371634</v>
          </cell>
          <cell r="M212">
            <v>23.3007187137163</v>
          </cell>
          <cell r="N212">
            <v>0.23958333333333301</v>
          </cell>
          <cell r="O212">
            <v>4.1739130434782599</v>
          </cell>
          <cell r="P212">
            <v>1</v>
          </cell>
        </row>
        <row r="213">
          <cell r="A213">
            <v>531702</v>
          </cell>
          <cell r="B213">
            <v>7</v>
          </cell>
          <cell r="C213">
            <v>0</v>
          </cell>
          <cell r="D213">
            <v>1</v>
          </cell>
          <cell r="E213" t="str">
            <v>CVCTE</v>
          </cell>
          <cell r="F213" t="str">
            <v>East Los Angeles</v>
          </cell>
          <cell r="G213">
            <v>0</v>
          </cell>
          <cell r="H213">
            <v>0</v>
          </cell>
          <cell r="I213">
            <v>51.735999999999997</v>
          </cell>
          <cell r="J213">
            <v>44.707240749999997</v>
          </cell>
          <cell r="K213">
            <v>49.707240749999997</v>
          </cell>
          <cell r="L213">
            <v>2.0281191523159801</v>
          </cell>
          <cell r="M213">
            <v>51.735359902315999</v>
          </cell>
          <cell r="N213">
            <v>0.23958333333333301</v>
          </cell>
          <cell r="O213">
            <v>0</v>
          </cell>
          <cell r="P213">
            <v>1</v>
          </cell>
        </row>
        <row r="214">
          <cell r="A214">
            <v>534403</v>
          </cell>
          <cell r="B214">
            <v>7</v>
          </cell>
          <cell r="C214">
            <v>0</v>
          </cell>
          <cell r="D214">
            <v>1</v>
          </cell>
          <cell r="E214" t="str">
            <v>CVCTE</v>
          </cell>
          <cell r="F214" t="str">
            <v>Cudahy</v>
          </cell>
          <cell r="G214">
            <v>1</v>
          </cell>
          <cell r="H214">
            <v>1</v>
          </cell>
          <cell r="I214">
            <v>4.5910000000000002</v>
          </cell>
          <cell r="J214">
            <v>1.43919657</v>
          </cell>
          <cell r="K214">
            <v>4.43919657</v>
          </cell>
          <cell r="L214">
            <v>0.15145200614003601</v>
          </cell>
          <cell r="M214">
            <v>4.5906485761400404</v>
          </cell>
          <cell r="N214">
            <v>0.23958333333333301</v>
          </cell>
          <cell r="O214">
            <v>4.1739130434782599</v>
          </cell>
          <cell r="P214">
            <v>1</v>
          </cell>
        </row>
        <row r="215">
          <cell r="A215">
            <v>531603</v>
          </cell>
          <cell r="B215">
            <v>7</v>
          </cell>
          <cell r="C215">
            <v>0</v>
          </cell>
          <cell r="D215">
            <v>1</v>
          </cell>
          <cell r="E215" t="str">
            <v>CVCTE</v>
          </cell>
          <cell r="F215" t="str">
            <v>East Los Angeles</v>
          </cell>
          <cell r="G215">
            <v>1</v>
          </cell>
          <cell r="H215">
            <v>1</v>
          </cell>
          <cell r="I215">
            <v>16.965</v>
          </cell>
          <cell r="J215">
            <v>16.271072279999998</v>
          </cell>
          <cell r="K215">
            <v>16.271072279999998</v>
          </cell>
          <cell r="L215">
            <v>0.69288358657091598</v>
          </cell>
          <cell r="M215">
            <v>16.963955866570899</v>
          </cell>
          <cell r="N215">
            <v>0.23958333333333301</v>
          </cell>
          <cell r="O215">
            <v>4.1739130434782599</v>
          </cell>
          <cell r="P215">
            <v>1</v>
          </cell>
        </row>
        <row r="216">
          <cell r="A216">
            <v>534406</v>
          </cell>
          <cell r="B216">
            <v>7</v>
          </cell>
          <cell r="C216">
            <v>0</v>
          </cell>
          <cell r="D216">
            <v>1</v>
          </cell>
          <cell r="E216" t="str">
            <v>CVCTE</v>
          </cell>
          <cell r="F216" t="str">
            <v>Cudahy</v>
          </cell>
          <cell r="G216">
            <v>0</v>
          </cell>
          <cell r="H216">
            <v>0</v>
          </cell>
          <cell r="I216">
            <v>5</v>
          </cell>
          <cell r="J216">
            <v>0</v>
          </cell>
          <cell r="K216">
            <v>5</v>
          </cell>
          <cell r="L216">
            <v>0</v>
          </cell>
          <cell r="M216">
            <v>5</v>
          </cell>
          <cell r="N216">
            <v>0.23958333333333301</v>
          </cell>
          <cell r="O216">
            <v>0</v>
          </cell>
          <cell r="P216">
            <v>1</v>
          </cell>
        </row>
        <row r="217">
          <cell r="A217">
            <v>535501</v>
          </cell>
          <cell r="B217">
            <v>7</v>
          </cell>
          <cell r="C217">
            <v>0</v>
          </cell>
          <cell r="D217">
            <v>1</v>
          </cell>
          <cell r="E217" t="str">
            <v>CVCTE</v>
          </cell>
          <cell r="F217" t="str">
            <v>South Gate</v>
          </cell>
          <cell r="G217">
            <v>0</v>
          </cell>
          <cell r="H217">
            <v>0</v>
          </cell>
          <cell r="I217">
            <v>18.056999999999999</v>
          </cell>
          <cell r="J217">
            <v>10.268688689999999</v>
          </cell>
          <cell r="K217">
            <v>17.268688690000001</v>
          </cell>
          <cell r="L217">
            <v>0.78787382256732497</v>
          </cell>
          <cell r="M217">
            <v>18.0565625125673</v>
          </cell>
          <cell r="N217">
            <v>0.23958333333333301</v>
          </cell>
          <cell r="O217">
            <v>0</v>
          </cell>
          <cell r="P217">
            <v>1</v>
          </cell>
        </row>
        <row r="218">
          <cell r="A218">
            <v>531502</v>
          </cell>
          <cell r="B218">
            <v>7</v>
          </cell>
          <cell r="C218">
            <v>0</v>
          </cell>
          <cell r="D218">
            <v>1</v>
          </cell>
          <cell r="E218" t="str">
            <v>CVCTE</v>
          </cell>
          <cell r="F218" t="str">
            <v>East Los Angeles</v>
          </cell>
          <cell r="G218">
            <v>0</v>
          </cell>
          <cell r="H218">
            <v>0</v>
          </cell>
          <cell r="I218">
            <v>12.446999999999999</v>
          </cell>
          <cell r="J218">
            <v>11.139742439999999</v>
          </cell>
          <cell r="K218">
            <v>12.139742439999999</v>
          </cell>
          <cell r="L218">
            <v>0.30657971044883298</v>
          </cell>
          <cell r="M218">
            <v>12.4463221504488</v>
          </cell>
          <cell r="N218">
            <v>0.23958333333333301</v>
          </cell>
          <cell r="O218">
            <v>0</v>
          </cell>
          <cell r="P218">
            <v>1</v>
          </cell>
        </row>
        <row r="219">
          <cell r="A219">
            <v>535502</v>
          </cell>
          <cell r="B219">
            <v>7</v>
          </cell>
          <cell r="C219">
            <v>0</v>
          </cell>
          <cell r="D219">
            <v>1</v>
          </cell>
          <cell r="E219" t="str">
            <v>CVCTE</v>
          </cell>
          <cell r="F219" t="str">
            <v>South Gate</v>
          </cell>
          <cell r="G219">
            <v>1</v>
          </cell>
          <cell r="H219">
            <v>1</v>
          </cell>
          <cell r="I219">
            <v>18.481000000000002</v>
          </cell>
          <cell r="J219">
            <v>15.468085200000001</v>
          </cell>
          <cell r="K219">
            <v>17.468085200000001</v>
          </cell>
          <cell r="L219">
            <v>1.0128303534290799</v>
          </cell>
          <cell r="M219">
            <v>18.480915553429099</v>
          </cell>
          <cell r="N219">
            <v>0.23958333333333301</v>
          </cell>
          <cell r="O219">
            <v>4.1739130434782599</v>
          </cell>
          <cell r="P219">
            <v>1</v>
          </cell>
        </row>
        <row r="220">
          <cell r="A220">
            <v>536102</v>
          </cell>
          <cell r="B220">
            <v>7</v>
          </cell>
          <cell r="C220">
            <v>0</v>
          </cell>
          <cell r="D220">
            <v>1</v>
          </cell>
          <cell r="E220" t="str">
            <v>CVCTE</v>
          </cell>
          <cell r="F220" t="str">
            <v>South Gate</v>
          </cell>
          <cell r="G220">
            <v>1</v>
          </cell>
          <cell r="H220">
            <v>1</v>
          </cell>
          <cell r="I220">
            <v>21.209</v>
          </cell>
          <cell r="J220">
            <v>15.835723359999999</v>
          </cell>
          <cell r="K220">
            <v>20.835723359999999</v>
          </cell>
          <cell r="L220">
            <v>0.37341460003590699</v>
          </cell>
          <cell r="M220">
            <v>21.2091379600359</v>
          </cell>
          <cell r="N220">
            <v>0.23958333333333301</v>
          </cell>
          <cell r="O220">
            <v>4.1739130434782599</v>
          </cell>
          <cell r="P220">
            <v>1</v>
          </cell>
        </row>
        <row r="221">
          <cell r="A221">
            <v>531202</v>
          </cell>
          <cell r="B221">
            <v>7</v>
          </cell>
          <cell r="C221">
            <v>0</v>
          </cell>
          <cell r="D221">
            <v>1</v>
          </cell>
          <cell r="E221" t="str">
            <v>CVCTE</v>
          </cell>
          <cell r="F221" t="str">
            <v>East Los Angeles</v>
          </cell>
          <cell r="G221">
            <v>0</v>
          </cell>
          <cell r="H221">
            <v>0</v>
          </cell>
          <cell r="I221">
            <v>20.443999999999999</v>
          </cell>
          <cell r="J221">
            <v>16.840273929999999</v>
          </cell>
          <cell r="K221">
            <v>19.840273929999999</v>
          </cell>
          <cell r="L221">
            <v>0.60391042350089796</v>
          </cell>
          <cell r="M221">
            <v>20.444184353500901</v>
          </cell>
          <cell r="N221">
            <v>0.23958333333333301</v>
          </cell>
          <cell r="O221">
            <v>0</v>
          </cell>
          <cell r="P221">
            <v>1</v>
          </cell>
        </row>
        <row r="222">
          <cell r="A222">
            <v>536103</v>
          </cell>
          <cell r="B222">
            <v>7</v>
          </cell>
          <cell r="C222">
            <v>0</v>
          </cell>
          <cell r="D222">
            <v>1</v>
          </cell>
          <cell r="E222" t="str">
            <v>CVCTE</v>
          </cell>
          <cell r="F222" t="str">
            <v>South Gate</v>
          </cell>
          <cell r="G222">
            <v>0</v>
          </cell>
          <cell r="H222">
            <v>0</v>
          </cell>
          <cell r="I222">
            <v>21.193999999999999</v>
          </cell>
          <cell r="J222">
            <v>19.364581300000001</v>
          </cell>
          <cell r="K222">
            <v>20.364581300000001</v>
          </cell>
          <cell r="L222">
            <v>0.82877382369838404</v>
          </cell>
          <cell r="M222">
            <v>21.193355123698399</v>
          </cell>
          <cell r="N222">
            <v>0.23958333333333301</v>
          </cell>
          <cell r="O222">
            <v>0</v>
          </cell>
          <cell r="P222">
            <v>1</v>
          </cell>
        </row>
        <row r="223">
          <cell r="A223">
            <v>536200</v>
          </cell>
          <cell r="B223">
            <v>7</v>
          </cell>
          <cell r="C223">
            <v>0</v>
          </cell>
          <cell r="D223">
            <v>1</v>
          </cell>
          <cell r="E223" t="str">
            <v>CVCTE</v>
          </cell>
          <cell r="F223" t="str">
            <v>South Gate</v>
          </cell>
          <cell r="G223">
            <v>1</v>
          </cell>
          <cell r="H223">
            <v>1</v>
          </cell>
          <cell r="I223">
            <v>17.853999999999999</v>
          </cell>
          <cell r="J223">
            <v>16.61334617</v>
          </cell>
          <cell r="K223">
            <v>16.61334617</v>
          </cell>
          <cell r="L223">
            <v>1.2407488554218999</v>
          </cell>
          <cell r="M223">
            <v>17.854095025421898</v>
          </cell>
          <cell r="N223">
            <v>0.23958333333333301</v>
          </cell>
          <cell r="O223">
            <v>4.1739130434782599</v>
          </cell>
          <cell r="P223">
            <v>1</v>
          </cell>
        </row>
        <row r="224">
          <cell r="A224">
            <v>550100</v>
          </cell>
          <cell r="B224">
            <v>7</v>
          </cell>
          <cell r="C224">
            <v>0</v>
          </cell>
          <cell r="D224">
            <v>4</v>
          </cell>
          <cell r="E224" t="str">
            <v>CVCTE</v>
          </cell>
          <cell r="F224" t="str">
            <v>Norwalk</v>
          </cell>
          <cell r="G224">
            <v>0</v>
          </cell>
          <cell r="H224">
            <v>0</v>
          </cell>
          <cell r="I224">
            <v>21.219000000000001</v>
          </cell>
          <cell r="J224">
            <v>10.96359627</v>
          </cell>
          <cell r="K224">
            <v>20.96359627</v>
          </cell>
          <cell r="L224">
            <v>0.25457861655296199</v>
          </cell>
          <cell r="M224">
            <v>21.218174886553001</v>
          </cell>
          <cell r="N224">
            <v>0.23958333333333301</v>
          </cell>
          <cell r="O224">
            <v>0</v>
          </cell>
          <cell r="P224">
            <v>1</v>
          </cell>
        </row>
        <row r="225">
          <cell r="A225">
            <v>550202</v>
          </cell>
          <cell r="B225">
            <v>7</v>
          </cell>
          <cell r="C225">
            <v>0</v>
          </cell>
          <cell r="D225">
            <v>4</v>
          </cell>
          <cell r="E225" t="str">
            <v>CVCTE</v>
          </cell>
          <cell r="F225" t="str">
            <v>Norwalk</v>
          </cell>
          <cell r="G225">
            <v>0</v>
          </cell>
          <cell r="H225">
            <v>0</v>
          </cell>
          <cell r="I225">
            <v>5.3250000000000002</v>
          </cell>
          <cell r="J225">
            <v>5.07720868</v>
          </cell>
          <cell r="K225">
            <v>5.07720868</v>
          </cell>
          <cell r="L225">
            <v>0.24706283850987401</v>
          </cell>
          <cell r="M225">
            <v>5.3242715185098701</v>
          </cell>
          <cell r="N225">
            <v>0.23958333333333301</v>
          </cell>
          <cell r="O225">
            <v>0</v>
          </cell>
          <cell r="P225">
            <v>1</v>
          </cell>
        </row>
        <row r="226">
          <cell r="A226">
            <v>550400</v>
          </cell>
          <cell r="B226">
            <v>7</v>
          </cell>
          <cell r="C226">
            <v>0</v>
          </cell>
          <cell r="D226">
            <v>4</v>
          </cell>
          <cell r="E226" t="str">
            <v>CVCTE</v>
          </cell>
          <cell r="F226" t="str">
            <v>Downey</v>
          </cell>
          <cell r="G226">
            <v>1</v>
          </cell>
          <cell r="H226">
            <v>1</v>
          </cell>
          <cell r="I226">
            <v>20.927</v>
          </cell>
          <cell r="J226">
            <v>18.2805453</v>
          </cell>
          <cell r="K226">
            <v>19.2805453</v>
          </cell>
          <cell r="L226">
            <v>1.64631798486535</v>
          </cell>
          <cell r="M226">
            <v>20.926863284865401</v>
          </cell>
          <cell r="N226">
            <v>0.23958333333333301</v>
          </cell>
          <cell r="O226">
            <v>4.1739130434782599</v>
          </cell>
          <cell r="P226">
            <v>1</v>
          </cell>
        </row>
        <row r="227">
          <cell r="A227">
            <v>550500</v>
          </cell>
          <cell r="B227">
            <v>7</v>
          </cell>
          <cell r="C227">
            <v>0</v>
          </cell>
          <cell r="D227">
            <v>4</v>
          </cell>
          <cell r="E227" t="str">
            <v>CVCTE</v>
          </cell>
          <cell r="F227" t="str">
            <v>Downey</v>
          </cell>
          <cell r="G227">
            <v>0</v>
          </cell>
          <cell r="H227">
            <v>0</v>
          </cell>
          <cell r="I227">
            <v>25.657</v>
          </cell>
          <cell r="J227">
            <v>20.39908776</v>
          </cell>
          <cell r="K227">
            <v>25.39908776</v>
          </cell>
          <cell r="L227">
            <v>0.25703657143626601</v>
          </cell>
          <cell r="M227">
            <v>25.656124331436299</v>
          </cell>
          <cell r="N227">
            <v>0.23958333333333301</v>
          </cell>
          <cell r="O227">
            <v>0</v>
          </cell>
          <cell r="P227">
            <v>1</v>
          </cell>
        </row>
        <row r="228">
          <cell r="A228">
            <v>550700</v>
          </cell>
          <cell r="B228">
            <v>7</v>
          </cell>
          <cell r="C228">
            <v>0</v>
          </cell>
          <cell r="D228">
            <v>4</v>
          </cell>
          <cell r="E228" t="str">
            <v>CVCTE</v>
          </cell>
          <cell r="F228" t="str">
            <v>Downey</v>
          </cell>
          <cell r="G228">
            <v>1</v>
          </cell>
          <cell r="H228">
            <v>1</v>
          </cell>
          <cell r="I228">
            <v>14.218999999999999</v>
          </cell>
          <cell r="J228">
            <v>10.96359627</v>
          </cell>
          <cell r="K228">
            <v>13.96359627</v>
          </cell>
          <cell r="L228">
            <v>0.25457861655296199</v>
          </cell>
          <cell r="M228">
            <v>14.218174886552999</v>
          </cell>
          <cell r="N228">
            <v>0.23958333333333301</v>
          </cell>
          <cell r="O228">
            <v>4.1739130434782599</v>
          </cell>
          <cell r="P228">
            <v>1</v>
          </cell>
        </row>
        <row r="229">
          <cell r="A229">
            <v>551102</v>
          </cell>
          <cell r="B229">
            <v>7</v>
          </cell>
          <cell r="C229">
            <v>0</v>
          </cell>
          <cell r="D229">
            <v>4</v>
          </cell>
          <cell r="E229" t="str">
            <v>CVCTE</v>
          </cell>
          <cell r="F229" t="str">
            <v>Downey</v>
          </cell>
          <cell r="G229">
            <v>1</v>
          </cell>
          <cell r="H229">
            <v>1</v>
          </cell>
          <cell r="I229">
            <v>5.0949999999999998</v>
          </cell>
          <cell r="J229">
            <v>1.9836996600000001</v>
          </cell>
          <cell r="K229">
            <v>4.9836996600000001</v>
          </cell>
          <cell r="L229">
            <v>0.11117260138240601</v>
          </cell>
          <cell r="M229">
            <v>5.0948722613824096</v>
          </cell>
          <cell r="N229">
            <v>0.23958333333333301</v>
          </cell>
          <cell r="O229">
            <v>4.1739130434782599</v>
          </cell>
          <cell r="P229">
            <v>1</v>
          </cell>
        </row>
        <row r="230">
          <cell r="A230">
            <v>551800</v>
          </cell>
          <cell r="B230">
            <v>7</v>
          </cell>
          <cell r="C230">
            <v>0</v>
          </cell>
          <cell r="D230">
            <v>4</v>
          </cell>
          <cell r="E230" t="str">
            <v>CVCTE</v>
          </cell>
          <cell r="F230" t="str">
            <v>Downey</v>
          </cell>
          <cell r="G230">
            <v>0</v>
          </cell>
          <cell r="H230">
            <v>0</v>
          </cell>
          <cell r="I230">
            <v>3</v>
          </cell>
          <cell r="J230">
            <v>0</v>
          </cell>
          <cell r="K230">
            <v>3</v>
          </cell>
          <cell r="L230">
            <v>0</v>
          </cell>
          <cell r="M230">
            <v>3</v>
          </cell>
          <cell r="N230">
            <v>0.23958333333333301</v>
          </cell>
          <cell r="O230">
            <v>0</v>
          </cell>
          <cell r="P230">
            <v>1</v>
          </cell>
        </row>
        <row r="231">
          <cell r="A231">
            <v>530203</v>
          </cell>
          <cell r="B231">
            <v>7</v>
          </cell>
          <cell r="C231">
            <v>0</v>
          </cell>
          <cell r="D231">
            <v>1</v>
          </cell>
          <cell r="E231" t="str">
            <v>CVCTE</v>
          </cell>
          <cell r="F231" t="str">
            <v>Montebello</v>
          </cell>
          <cell r="G231">
            <v>0</v>
          </cell>
          <cell r="H231">
            <v>0</v>
          </cell>
          <cell r="I231">
            <v>45.682000000000002</v>
          </cell>
          <cell r="J231">
            <v>40.382253400000003</v>
          </cell>
          <cell r="K231">
            <v>43.382253400000003</v>
          </cell>
          <cell r="L231">
            <v>2.2985715236445201</v>
          </cell>
          <cell r="M231">
            <v>45.680824923644501</v>
          </cell>
          <cell r="N231">
            <v>0.23958333333333301</v>
          </cell>
          <cell r="O231">
            <v>0</v>
          </cell>
          <cell r="P231">
            <v>1</v>
          </cell>
        </row>
        <row r="232">
          <cell r="A232">
            <v>530005</v>
          </cell>
          <cell r="B232">
            <v>7</v>
          </cell>
          <cell r="C232">
            <v>0</v>
          </cell>
          <cell r="D232">
            <v>1</v>
          </cell>
          <cell r="E232" t="str">
            <v>CVCTE</v>
          </cell>
          <cell r="F232" t="str">
            <v>Montebello</v>
          </cell>
          <cell r="G232">
            <v>0</v>
          </cell>
          <cell r="H232">
            <v>0</v>
          </cell>
          <cell r="I232">
            <v>12.323</v>
          </cell>
          <cell r="J232">
            <v>10.77774017</v>
          </cell>
          <cell r="K232">
            <v>11.77774017</v>
          </cell>
          <cell r="L232">
            <v>0.54439355156193903</v>
          </cell>
          <cell r="M232">
            <v>12.322133721561899</v>
          </cell>
          <cell r="N232">
            <v>0.23958333333333301</v>
          </cell>
          <cell r="O232">
            <v>0</v>
          </cell>
          <cell r="P232">
            <v>1</v>
          </cell>
        </row>
        <row r="233">
          <cell r="A233">
            <v>503104</v>
          </cell>
          <cell r="B233">
            <v>7</v>
          </cell>
          <cell r="C233">
            <v>0</v>
          </cell>
          <cell r="D233">
            <v>4</v>
          </cell>
          <cell r="E233" t="str">
            <v>CVCTE</v>
          </cell>
          <cell r="F233" t="str">
            <v>South Whittier</v>
          </cell>
          <cell r="G233">
            <v>0</v>
          </cell>
          <cell r="H233">
            <v>0</v>
          </cell>
          <cell r="I233">
            <v>17.896000000000001</v>
          </cell>
          <cell r="J233">
            <v>11.278875149999999</v>
          </cell>
          <cell r="K233">
            <v>17.278875150000001</v>
          </cell>
          <cell r="L233">
            <v>0.61676773375224403</v>
          </cell>
          <cell r="M233">
            <v>17.895642883752199</v>
          </cell>
          <cell r="N233">
            <v>0.23958333333333301</v>
          </cell>
          <cell r="O233">
            <v>0</v>
          </cell>
          <cell r="P233">
            <v>1</v>
          </cell>
        </row>
        <row r="234">
          <cell r="A234">
            <v>530101</v>
          </cell>
          <cell r="B234">
            <v>7</v>
          </cell>
          <cell r="C234">
            <v>0</v>
          </cell>
          <cell r="D234">
            <v>1</v>
          </cell>
          <cell r="E234" t="str">
            <v>CVCTE</v>
          </cell>
          <cell r="F234" t="str">
            <v>Montebello</v>
          </cell>
          <cell r="G234">
            <v>0</v>
          </cell>
          <cell r="H234">
            <v>0</v>
          </cell>
          <cell r="I234">
            <v>2.0950000000000002</v>
          </cell>
          <cell r="J234">
            <v>1.9836996600000001</v>
          </cell>
          <cell r="K234">
            <v>1.9836996600000001</v>
          </cell>
          <cell r="L234">
            <v>0.11117260138240601</v>
          </cell>
          <cell r="M234">
            <v>2.09487226138241</v>
          </cell>
          <cell r="N234">
            <v>0.23958333333333301</v>
          </cell>
          <cell r="O234">
            <v>0</v>
          </cell>
          <cell r="P234">
            <v>1</v>
          </cell>
        </row>
        <row r="235">
          <cell r="A235">
            <v>504102</v>
          </cell>
          <cell r="B235">
            <v>7</v>
          </cell>
          <cell r="C235">
            <v>0</v>
          </cell>
          <cell r="D235">
            <v>4</v>
          </cell>
          <cell r="E235" t="str">
            <v>CVCTE</v>
          </cell>
          <cell r="F235" t="str">
            <v>Santa Fe Springs</v>
          </cell>
          <cell r="G235">
            <v>1</v>
          </cell>
          <cell r="H235">
            <v>1</v>
          </cell>
          <cell r="I235">
            <v>46.289000000000001</v>
          </cell>
          <cell r="J235">
            <v>42.222459030000003</v>
          </cell>
          <cell r="K235">
            <v>44.222459030000003</v>
          </cell>
          <cell r="L235">
            <v>2.0662425017414701</v>
          </cell>
          <cell r="M235">
            <v>46.288701531741502</v>
          </cell>
          <cell r="N235">
            <v>0.23958333333333301</v>
          </cell>
          <cell r="O235">
            <v>4.1739130434782599</v>
          </cell>
          <cell r="P235">
            <v>1</v>
          </cell>
        </row>
        <row r="236">
          <cell r="A236">
            <v>502500</v>
          </cell>
          <cell r="B236">
            <v>7</v>
          </cell>
          <cell r="C236">
            <v>0</v>
          </cell>
          <cell r="D236">
            <v>1</v>
          </cell>
          <cell r="E236" t="str">
            <v>CVCTE</v>
          </cell>
          <cell r="F236" t="str">
            <v>Pico Rivera</v>
          </cell>
          <cell r="G236">
            <v>1</v>
          </cell>
          <cell r="H236">
            <v>1</v>
          </cell>
          <cell r="I236">
            <v>58.421999999999997</v>
          </cell>
          <cell r="J236">
            <v>48.609441500000003</v>
          </cell>
          <cell r="K236">
            <v>56.609441500000003</v>
          </cell>
          <cell r="L236">
            <v>1.8127532941831199</v>
          </cell>
          <cell r="M236">
            <v>58.422194794183099</v>
          </cell>
          <cell r="N236">
            <v>0.23958333333333301</v>
          </cell>
          <cell r="O236">
            <v>4.1739130434782599</v>
          </cell>
          <cell r="P236">
            <v>1</v>
          </cell>
        </row>
        <row r="237">
          <cell r="A237">
            <v>551900</v>
          </cell>
          <cell r="B237">
            <v>7</v>
          </cell>
          <cell r="C237">
            <v>0</v>
          </cell>
          <cell r="D237">
            <v>4</v>
          </cell>
          <cell r="E237" t="str">
            <v>CVCTE</v>
          </cell>
          <cell r="F237" t="str">
            <v>Norwalk</v>
          </cell>
          <cell r="G237">
            <v>0</v>
          </cell>
          <cell r="H237">
            <v>0</v>
          </cell>
          <cell r="I237">
            <v>59.796999999999997</v>
          </cell>
          <cell r="J237">
            <v>53.164890550000003</v>
          </cell>
          <cell r="K237">
            <v>59.164890550000003</v>
          </cell>
          <cell r="L237">
            <v>0.63186920651705603</v>
          </cell>
          <cell r="M237">
            <v>59.796759756516998</v>
          </cell>
          <cell r="N237">
            <v>0.23958333333333301</v>
          </cell>
          <cell r="O237">
            <v>0</v>
          </cell>
          <cell r="P237">
            <v>1</v>
          </cell>
        </row>
        <row r="238">
          <cell r="A238">
            <v>552100</v>
          </cell>
          <cell r="B238">
            <v>7</v>
          </cell>
          <cell r="C238">
            <v>0</v>
          </cell>
          <cell r="D238">
            <v>4</v>
          </cell>
          <cell r="E238" t="str">
            <v>CVCTE</v>
          </cell>
          <cell r="F238" t="str">
            <v>Norwalk</v>
          </cell>
          <cell r="G238">
            <v>0</v>
          </cell>
          <cell r="H238">
            <v>0</v>
          </cell>
          <cell r="I238">
            <v>23.052</v>
          </cell>
          <cell r="J238">
            <v>14.72379621</v>
          </cell>
          <cell r="K238">
            <v>22.72379621</v>
          </cell>
          <cell r="L238">
            <v>0.32808314127468602</v>
          </cell>
          <cell r="M238">
            <v>23.0518793512747</v>
          </cell>
          <cell r="N238">
            <v>0.23958333333333301</v>
          </cell>
          <cell r="O238">
            <v>0</v>
          </cell>
          <cell r="P238">
            <v>1</v>
          </cell>
        </row>
        <row r="239">
          <cell r="A239">
            <v>552601</v>
          </cell>
          <cell r="B239">
            <v>7</v>
          </cell>
          <cell r="C239">
            <v>0</v>
          </cell>
          <cell r="D239">
            <v>4</v>
          </cell>
          <cell r="E239" t="str">
            <v>CVCTE</v>
          </cell>
          <cell r="F239" t="str">
            <v>Norwalk</v>
          </cell>
          <cell r="G239">
            <v>0</v>
          </cell>
          <cell r="H239">
            <v>0</v>
          </cell>
          <cell r="I239">
            <v>15.122</v>
          </cell>
          <cell r="J239">
            <v>14.6804281</v>
          </cell>
          <cell r="K239">
            <v>14.6804281</v>
          </cell>
          <cell r="L239">
            <v>0.440736728222621</v>
          </cell>
          <cell r="M239">
            <v>15.1211648282226</v>
          </cell>
          <cell r="N239">
            <v>0.23958333333333301</v>
          </cell>
          <cell r="O239">
            <v>0</v>
          </cell>
          <cell r="P239">
            <v>1</v>
          </cell>
        </row>
        <row r="240">
          <cell r="A240">
            <v>553000</v>
          </cell>
          <cell r="B240">
            <v>7</v>
          </cell>
          <cell r="C240">
            <v>0</v>
          </cell>
          <cell r="D240">
            <v>4</v>
          </cell>
          <cell r="E240" t="str">
            <v>CVCTE</v>
          </cell>
          <cell r="F240" t="str">
            <v>Norwalk</v>
          </cell>
          <cell r="G240">
            <v>0</v>
          </cell>
          <cell r="H240">
            <v>0</v>
          </cell>
          <cell r="I240">
            <v>7</v>
          </cell>
          <cell r="J240">
            <v>0</v>
          </cell>
          <cell r="K240">
            <v>7</v>
          </cell>
          <cell r="L240">
            <v>0</v>
          </cell>
          <cell r="M240">
            <v>7</v>
          </cell>
          <cell r="N240">
            <v>0.23958333333333301</v>
          </cell>
          <cell r="O240">
            <v>0</v>
          </cell>
          <cell r="P240">
            <v>1</v>
          </cell>
        </row>
        <row r="241">
          <cell r="A241">
            <v>553100</v>
          </cell>
          <cell r="B241">
            <v>7</v>
          </cell>
          <cell r="C241">
            <v>0</v>
          </cell>
          <cell r="D241">
            <v>4</v>
          </cell>
          <cell r="E241" t="str">
            <v>CVCTE</v>
          </cell>
          <cell r="F241" t="str">
            <v>Bellflower</v>
          </cell>
          <cell r="G241">
            <v>1</v>
          </cell>
          <cell r="H241">
            <v>1</v>
          </cell>
          <cell r="I241">
            <v>5.8289999999999997</v>
          </cell>
          <cell r="J241">
            <v>5.6217117700000001</v>
          </cell>
          <cell r="K241">
            <v>5.6217117700000001</v>
          </cell>
          <cell r="L241">
            <v>0.20678343375224401</v>
          </cell>
          <cell r="M241">
            <v>5.8284952037522402</v>
          </cell>
          <cell r="N241">
            <v>0.23958333333333301</v>
          </cell>
          <cell r="O241">
            <v>4.1739130434782599</v>
          </cell>
          <cell r="P241">
            <v>1</v>
          </cell>
        </row>
        <row r="242">
          <cell r="A242">
            <v>500700</v>
          </cell>
          <cell r="B242">
            <v>7</v>
          </cell>
          <cell r="C242">
            <v>0</v>
          </cell>
          <cell r="D242">
            <v>1</v>
          </cell>
          <cell r="E242" t="str">
            <v>CVCTE</v>
          </cell>
          <cell r="F242" t="str">
            <v>Pico Rivera</v>
          </cell>
          <cell r="G242">
            <v>0</v>
          </cell>
          <cell r="H242">
            <v>0</v>
          </cell>
          <cell r="I242">
            <v>55.353000000000002</v>
          </cell>
          <cell r="J242">
            <v>48.448268120000002</v>
          </cell>
          <cell r="K242">
            <v>53.448268120000002</v>
          </cell>
          <cell r="L242">
            <v>1.90525202</v>
          </cell>
          <cell r="M242">
            <v>55.353520140000001</v>
          </cell>
          <cell r="N242">
            <v>0.23958333333333301</v>
          </cell>
          <cell r="O242">
            <v>0</v>
          </cell>
          <cell r="P242">
            <v>1</v>
          </cell>
        </row>
        <row r="243">
          <cell r="A243">
            <v>554302</v>
          </cell>
          <cell r="B243">
            <v>7</v>
          </cell>
          <cell r="C243">
            <v>0</v>
          </cell>
          <cell r="D243">
            <v>4</v>
          </cell>
          <cell r="E243" t="str">
            <v>CVCTE</v>
          </cell>
          <cell r="F243" t="str">
            <v>Bellflower</v>
          </cell>
          <cell r="G243">
            <v>1</v>
          </cell>
          <cell r="H243">
            <v>1</v>
          </cell>
          <cell r="I243">
            <v>8.9969999999999999</v>
          </cell>
          <cell r="J243">
            <v>4.8017798100000002</v>
          </cell>
          <cell r="K243">
            <v>8.8017798099999993</v>
          </cell>
          <cell r="L243">
            <v>0.19443586965888701</v>
          </cell>
          <cell r="M243">
            <v>8.9962156796588904</v>
          </cell>
          <cell r="N243">
            <v>0.23958333333333301</v>
          </cell>
          <cell r="O243">
            <v>4.1739130434782599</v>
          </cell>
          <cell r="P243">
            <v>1</v>
          </cell>
        </row>
        <row r="244">
          <cell r="A244">
            <v>500600</v>
          </cell>
          <cell r="B244">
            <v>7</v>
          </cell>
          <cell r="C244">
            <v>0</v>
          </cell>
          <cell r="D244">
            <v>1</v>
          </cell>
          <cell r="E244" t="str">
            <v>CVCTE</v>
          </cell>
          <cell r="F244" t="str">
            <v>Pico Rivera</v>
          </cell>
          <cell r="G244">
            <v>0</v>
          </cell>
          <cell r="H244">
            <v>0</v>
          </cell>
          <cell r="I244">
            <v>17.417999999999999</v>
          </cell>
          <cell r="J244">
            <v>12.76143983</v>
          </cell>
          <cell r="K244">
            <v>16.76143983</v>
          </cell>
          <cell r="L244">
            <v>0.65556615294434495</v>
          </cell>
          <cell r="M244">
            <v>17.4170059829443</v>
          </cell>
          <cell r="N244">
            <v>0.23958333333333301</v>
          </cell>
          <cell r="O244">
            <v>0</v>
          </cell>
          <cell r="P244">
            <v>1</v>
          </cell>
        </row>
        <row r="245">
          <cell r="A245">
            <v>554406</v>
          </cell>
          <cell r="B245">
            <v>7</v>
          </cell>
          <cell r="C245">
            <v>0</v>
          </cell>
          <cell r="D245">
            <v>4</v>
          </cell>
          <cell r="E245" t="str">
            <v>CVCTE</v>
          </cell>
          <cell r="F245" t="str">
            <v>Bellflower</v>
          </cell>
          <cell r="G245">
            <v>0</v>
          </cell>
          <cell r="H245">
            <v>0</v>
          </cell>
          <cell r="I245">
            <v>13.276</v>
          </cell>
          <cell r="J245">
            <v>4.8620928000000001</v>
          </cell>
          <cell r="K245">
            <v>12.862092799999999</v>
          </cell>
          <cell r="L245">
            <v>0.414076613662478</v>
          </cell>
          <cell r="M245">
            <v>13.276169413662499</v>
          </cell>
          <cell r="N245">
            <v>0.23958333333333301</v>
          </cell>
          <cell r="O245">
            <v>0</v>
          </cell>
          <cell r="P245">
            <v>1</v>
          </cell>
        </row>
        <row r="246">
          <cell r="A246">
            <v>554518</v>
          </cell>
          <cell r="B246">
            <v>7</v>
          </cell>
          <cell r="C246">
            <v>0</v>
          </cell>
          <cell r="D246">
            <v>4</v>
          </cell>
          <cell r="E246" t="str">
            <v>CVCTE</v>
          </cell>
          <cell r="F246" t="str">
            <v>Cerritos</v>
          </cell>
          <cell r="G246">
            <v>0</v>
          </cell>
          <cell r="H246">
            <v>0</v>
          </cell>
          <cell r="I246">
            <v>4.9029999999999996</v>
          </cell>
          <cell r="J246">
            <v>3.7168318299999998</v>
          </cell>
          <cell r="K246">
            <v>4.7168318300000003</v>
          </cell>
          <cell r="L246">
            <v>0.18615811166965901</v>
          </cell>
          <cell r="M246">
            <v>4.9029899416696603</v>
          </cell>
          <cell r="N246">
            <v>0.23958333333333301</v>
          </cell>
          <cell r="O246">
            <v>0</v>
          </cell>
          <cell r="P246">
            <v>1</v>
          </cell>
        </row>
        <row r="247">
          <cell r="A247">
            <v>554521</v>
          </cell>
          <cell r="B247">
            <v>7</v>
          </cell>
          <cell r="C247">
            <v>0</v>
          </cell>
          <cell r="D247">
            <v>4</v>
          </cell>
          <cell r="E247" t="str">
            <v>CVCTE</v>
          </cell>
          <cell r="F247" t="str">
            <v>Cerritos</v>
          </cell>
          <cell r="G247">
            <v>0</v>
          </cell>
          <cell r="H247">
            <v>0</v>
          </cell>
          <cell r="I247">
            <v>41.417999999999999</v>
          </cell>
          <cell r="J247">
            <v>28.991780519999999</v>
          </cell>
          <cell r="K247">
            <v>40.991780519999999</v>
          </cell>
          <cell r="L247">
            <v>0.42661870035906602</v>
          </cell>
          <cell r="M247">
            <v>41.418399220359099</v>
          </cell>
          <cell r="N247">
            <v>0.23958333333333301</v>
          </cell>
          <cell r="O247">
            <v>0</v>
          </cell>
          <cell r="P247">
            <v>1</v>
          </cell>
        </row>
        <row r="248">
          <cell r="A248">
            <v>554700</v>
          </cell>
          <cell r="B248">
            <v>7</v>
          </cell>
          <cell r="C248">
            <v>0</v>
          </cell>
          <cell r="D248">
            <v>4</v>
          </cell>
          <cell r="E248" t="str">
            <v>CVCTE</v>
          </cell>
          <cell r="F248" t="str">
            <v>Norwalk</v>
          </cell>
          <cell r="G248">
            <v>0</v>
          </cell>
          <cell r="H248">
            <v>0</v>
          </cell>
          <cell r="I248">
            <v>37.771999999999998</v>
          </cell>
          <cell r="J248">
            <v>22.392875910000001</v>
          </cell>
          <cell r="K248">
            <v>37.392875910000001</v>
          </cell>
          <cell r="L248">
            <v>0.37833054904847402</v>
          </cell>
          <cell r="M248">
            <v>37.7712064590485</v>
          </cell>
          <cell r="N248">
            <v>0.23958333333333301</v>
          </cell>
          <cell r="O248">
            <v>0</v>
          </cell>
          <cell r="P248">
            <v>1</v>
          </cell>
        </row>
        <row r="249">
          <cell r="A249">
            <v>555001</v>
          </cell>
          <cell r="B249">
            <v>7</v>
          </cell>
          <cell r="C249">
            <v>0</v>
          </cell>
          <cell r="D249">
            <v>4</v>
          </cell>
          <cell r="E249" t="str">
            <v>CVCTE</v>
          </cell>
          <cell r="F249" t="str">
            <v>Lakewood</v>
          </cell>
          <cell r="G249">
            <v>0</v>
          </cell>
          <cell r="H249">
            <v>0</v>
          </cell>
          <cell r="I249">
            <v>1.9259999999999999</v>
          </cell>
          <cell r="J249">
            <v>1.90487994</v>
          </cell>
          <cell r="K249">
            <v>1.90487994</v>
          </cell>
          <cell r="L249">
            <v>2.0625322082585301E-2</v>
          </cell>
          <cell r="M249">
            <v>1.9255052620825901</v>
          </cell>
          <cell r="N249">
            <v>0.23958333333333301</v>
          </cell>
          <cell r="O249">
            <v>0</v>
          </cell>
          <cell r="P249">
            <v>1</v>
          </cell>
        </row>
        <row r="250">
          <cell r="A250">
            <v>555002</v>
          </cell>
          <cell r="B250">
            <v>7</v>
          </cell>
          <cell r="C250">
            <v>0</v>
          </cell>
          <cell r="D250">
            <v>4</v>
          </cell>
          <cell r="E250" t="str">
            <v>CVCTE</v>
          </cell>
          <cell r="F250" t="str">
            <v>Lakewood</v>
          </cell>
          <cell r="G250">
            <v>0</v>
          </cell>
          <cell r="H250">
            <v>0</v>
          </cell>
          <cell r="I250">
            <v>23.181999999999999</v>
          </cell>
          <cell r="J250">
            <v>15.015451199999999</v>
          </cell>
          <cell r="K250">
            <v>23.015451200000001</v>
          </cell>
          <cell r="L250">
            <v>0.16586918633752201</v>
          </cell>
          <cell r="M250">
            <v>23.1813203863375</v>
          </cell>
          <cell r="N250">
            <v>0.23958333333333301</v>
          </cell>
          <cell r="O250">
            <v>0</v>
          </cell>
          <cell r="P250">
            <v>1</v>
          </cell>
        </row>
        <row r="251">
          <cell r="A251">
            <v>555103</v>
          </cell>
          <cell r="B251">
            <v>7</v>
          </cell>
          <cell r="C251">
            <v>0</v>
          </cell>
          <cell r="D251">
            <v>4</v>
          </cell>
          <cell r="E251" t="str">
            <v>CVCTE</v>
          </cell>
          <cell r="F251" t="str">
            <v>Lakewood</v>
          </cell>
          <cell r="G251">
            <v>0</v>
          </cell>
          <cell r="H251">
            <v>0</v>
          </cell>
          <cell r="I251">
            <v>2.9260000000000002</v>
          </cell>
          <cell r="J251">
            <v>1.90487994</v>
          </cell>
          <cell r="K251">
            <v>2.9048799399999998</v>
          </cell>
          <cell r="L251">
            <v>2.0625322082585301E-2</v>
          </cell>
          <cell r="M251">
            <v>2.9255052620825901</v>
          </cell>
          <cell r="N251">
            <v>0.23958333333333301</v>
          </cell>
          <cell r="O251">
            <v>0</v>
          </cell>
          <cell r="P251">
            <v>1</v>
          </cell>
        </row>
        <row r="252">
          <cell r="A252">
            <v>555102</v>
          </cell>
          <cell r="B252">
            <v>7</v>
          </cell>
          <cell r="C252">
            <v>0</v>
          </cell>
          <cell r="D252">
            <v>4</v>
          </cell>
          <cell r="E252" t="str">
            <v>CVCTE</v>
          </cell>
          <cell r="F252" t="str">
            <v>Hawaiian Gardens</v>
          </cell>
          <cell r="G252">
            <v>1</v>
          </cell>
          <cell r="H252">
            <v>1</v>
          </cell>
          <cell r="I252">
            <v>14.061999999999999</v>
          </cell>
          <cell r="J252">
            <v>11.6657388</v>
          </cell>
          <cell r="K252">
            <v>13.6657388</v>
          </cell>
          <cell r="L252">
            <v>0.39539377039497298</v>
          </cell>
          <cell r="M252">
            <v>14.061132570394999</v>
          </cell>
          <cell r="N252">
            <v>0.23958333333333301</v>
          </cell>
          <cell r="O252">
            <v>4.1739130434782599</v>
          </cell>
          <cell r="P252">
            <v>1</v>
          </cell>
        </row>
        <row r="253">
          <cell r="A253">
            <v>570800</v>
          </cell>
          <cell r="B253">
            <v>7</v>
          </cell>
          <cell r="C253">
            <v>0</v>
          </cell>
          <cell r="D253">
            <v>4</v>
          </cell>
          <cell r="E253" t="str">
            <v>CVCTE</v>
          </cell>
          <cell r="F253" t="str">
            <v>Lakewood</v>
          </cell>
          <cell r="G253">
            <v>0</v>
          </cell>
          <cell r="H253">
            <v>0</v>
          </cell>
          <cell r="I253">
            <v>16.192</v>
          </cell>
          <cell r="J253">
            <v>11.378498049999999</v>
          </cell>
          <cell r="K253">
            <v>15.378498049999999</v>
          </cell>
          <cell r="L253">
            <v>0.81259145831238799</v>
          </cell>
          <cell r="M253">
            <v>16.191089508312398</v>
          </cell>
          <cell r="N253">
            <v>0.23958333333333301</v>
          </cell>
          <cell r="O253">
            <v>0</v>
          </cell>
          <cell r="P253">
            <v>1</v>
          </cell>
        </row>
        <row r="254">
          <cell r="A254">
            <v>555104</v>
          </cell>
          <cell r="B254">
            <v>7</v>
          </cell>
          <cell r="C254">
            <v>0</v>
          </cell>
          <cell r="D254">
            <v>4</v>
          </cell>
          <cell r="E254" t="str">
            <v>CVCTE</v>
          </cell>
          <cell r="F254" t="str">
            <v>Hawaiian Gardens</v>
          </cell>
          <cell r="G254">
            <v>0</v>
          </cell>
          <cell r="H254">
            <v>0</v>
          </cell>
          <cell r="I254">
            <v>22.015000000000001</v>
          </cell>
          <cell r="J254">
            <v>17.070557099999998</v>
          </cell>
          <cell r="K254">
            <v>21.070557099999998</v>
          </cell>
          <cell r="L254">
            <v>0.94377500588868901</v>
          </cell>
          <cell r="M254">
            <v>22.014332105888698</v>
          </cell>
          <cell r="N254">
            <v>0.23958333333333301</v>
          </cell>
          <cell r="O254">
            <v>0</v>
          </cell>
          <cell r="P254">
            <v>1</v>
          </cell>
        </row>
        <row r="255">
          <cell r="A255">
            <v>570702</v>
          </cell>
          <cell r="B255">
            <v>7</v>
          </cell>
          <cell r="C255">
            <v>0</v>
          </cell>
          <cell r="D255">
            <v>4</v>
          </cell>
          <cell r="E255" t="str">
            <v>CVCTE</v>
          </cell>
          <cell r="F255" t="str">
            <v>Lakewood</v>
          </cell>
          <cell r="G255">
            <v>1</v>
          </cell>
          <cell r="H255">
            <v>1</v>
          </cell>
          <cell r="I255">
            <v>1</v>
          </cell>
          <cell r="J255">
            <v>0</v>
          </cell>
          <cell r="K255">
            <v>1</v>
          </cell>
          <cell r="L255">
            <v>0</v>
          </cell>
          <cell r="M255">
            <v>1</v>
          </cell>
          <cell r="N255">
            <v>0.23958333333333301</v>
          </cell>
          <cell r="O255">
            <v>4.1739130434782599</v>
          </cell>
          <cell r="P255">
            <v>1</v>
          </cell>
        </row>
        <row r="256">
          <cell r="A256">
            <v>543703</v>
          </cell>
          <cell r="B256">
            <v>8</v>
          </cell>
          <cell r="C256">
            <v>0</v>
          </cell>
          <cell r="D256">
            <v>2</v>
          </cell>
          <cell r="E256" t="str">
            <v>CVCTE</v>
          </cell>
          <cell r="F256" t="str">
            <v>Carson</v>
          </cell>
          <cell r="G256">
            <v>0</v>
          </cell>
          <cell r="H256">
            <v>0</v>
          </cell>
          <cell r="I256">
            <v>13.856</v>
          </cell>
          <cell r="J256">
            <v>10.91281468</v>
          </cell>
          <cell r="K256">
            <v>12.91281468</v>
          </cell>
          <cell r="L256">
            <v>0.94341814236983801</v>
          </cell>
          <cell r="M256">
            <v>13.856232822369799</v>
          </cell>
          <cell r="N256">
            <v>0.27272727272727298</v>
          </cell>
          <cell r="O256">
            <v>0</v>
          </cell>
          <cell r="P256">
            <v>0.64935064935064901</v>
          </cell>
        </row>
        <row r="257">
          <cell r="A257">
            <v>543502</v>
          </cell>
          <cell r="B257">
            <v>8</v>
          </cell>
          <cell r="C257">
            <v>0</v>
          </cell>
          <cell r="D257">
            <v>2</v>
          </cell>
          <cell r="E257" t="str">
            <v>CVCTE</v>
          </cell>
          <cell r="F257" t="str">
            <v>West Carson</v>
          </cell>
          <cell r="G257">
            <v>0</v>
          </cell>
          <cell r="H257">
            <v>0</v>
          </cell>
          <cell r="I257">
            <v>28.468</v>
          </cell>
          <cell r="J257">
            <v>27.020092770000002</v>
          </cell>
          <cell r="K257">
            <v>27.020092770000002</v>
          </cell>
          <cell r="L257">
            <v>1.4478551460682201</v>
          </cell>
          <cell r="M257">
            <v>28.467947916068201</v>
          </cell>
          <cell r="N257">
            <v>0.27272727272727298</v>
          </cell>
          <cell r="O257">
            <v>0</v>
          </cell>
          <cell r="P257">
            <v>0.64935064935064901</v>
          </cell>
        </row>
        <row r="258">
          <cell r="A258">
            <v>543305</v>
          </cell>
          <cell r="B258">
            <v>8</v>
          </cell>
          <cell r="C258">
            <v>0</v>
          </cell>
          <cell r="D258">
            <v>2</v>
          </cell>
          <cell r="E258" t="str">
            <v>CVCTE</v>
          </cell>
          <cell r="F258" t="str">
            <v>Unincorporated Compton</v>
          </cell>
          <cell r="G258">
            <v>0</v>
          </cell>
          <cell r="H258">
            <v>0</v>
          </cell>
          <cell r="I258">
            <v>116.45699999999999</v>
          </cell>
          <cell r="J258">
            <v>99.161862130000003</v>
          </cell>
          <cell r="K258">
            <v>111.16186213</v>
          </cell>
          <cell r="L258">
            <v>5.2945584826570897</v>
          </cell>
          <cell r="M258">
            <v>116.456420612657</v>
          </cell>
          <cell r="N258">
            <v>0.27272727272727298</v>
          </cell>
          <cell r="O258">
            <v>0</v>
          </cell>
          <cell r="P258">
            <v>0.64935064935064901</v>
          </cell>
        </row>
        <row r="259">
          <cell r="A259">
            <v>980013</v>
          </cell>
          <cell r="B259">
            <v>8</v>
          </cell>
          <cell r="C259">
            <v>0</v>
          </cell>
          <cell r="D259">
            <v>4</v>
          </cell>
          <cell r="E259" t="str">
            <v>CVCTE</v>
          </cell>
          <cell r="F259" t="str">
            <v>El Segundo</v>
          </cell>
          <cell r="G259">
            <v>1</v>
          </cell>
          <cell r="H259">
            <v>1</v>
          </cell>
          <cell r="I259">
            <v>7.2320000000000002</v>
          </cell>
          <cell r="J259">
            <v>6.9325286799999999</v>
          </cell>
          <cell r="K259">
            <v>6.9325286799999999</v>
          </cell>
          <cell r="L259">
            <v>0.29994204114901302</v>
          </cell>
          <cell r="M259">
            <v>7.23247072114901</v>
          </cell>
          <cell r="N259">
            <v>0.27272727272727298</v>
          </cell>
          <cell r="O259">
            <v>3.6666666666666701</v>
          </cell>
          <cell r="P259">
            <v>0.64935064935064901</v>
          </cell>
        </row>
        <row r="260">
          <cell r="A260">
            <v>541002</v>
          </cell>
          <cell r="B260">
            <v>8</v>
          </cell>
          <cell r="C260">
            <v>0</v>
          </cell>
          <cell r="D260">
            <v>2</v>
          </cell>
          <cell r="E260" t="str">
            <v>CVCTE</v>
          </cell>
          <cell r="F260" t="str">
            <v>Carson</v>
          </cell>
          <cell r="G260">
            <v>0</v>
          </cell>
          <cell r="H260">
            <v>0</v>
          </cell>
          <cell r="I260">
            <v>35.326000000000001</v>
          </cell>
          <cell r="J260">
            <v>33.472326729999999</v>
          </cell>
          <cell r="K260">
            <v>33.472326729999999</v>
          </cell>
          <cell r="L260">
            <v>1.85374713240575</v>
          </cell>
          <cell r="M260">
            <v>35.3260738624057</v>
          </cell>
          <cell r="N260">
            <v>0.27272727272727298</v>
          </cell>
          <cell r="O260">
            <v>0</v>
          </cell>
          <cell r="P260">
            <v>0.64935064935064901</v>
          </cell>
        </row>
        <row r="261">
          <cell r="A261">
            <v>543322</v>
          </cell>
          <cell r="B261">
            <v>8</v>
          </cell>
          <cell r="C261">
            <v>0</v>
          </cell>
          <cell r="D261">
            <v>2</v>
          </cell>
          <cell r="E261" t="str">
            <v>CVCTE</v>
          </cell>
          <cell r="F261" t="str">
            <v>Carson</v>
          </cell>
          <cell r="G261">
            <v>0</v>
          </cell>
          <cell r="H261">
            <v>0</v>
          </cell>
          <cell r="I261">
            <v>20.045999999999999</v>
          </cell>
          <cell r="J261">
            <v>14.880214</v>
          </cell>
          <cell r="K261">
            <v>18.880213999999999</v>
          </cell>
          <cell r="L261">
            <v>1.1657633451346501</v>
          </cell>
          <cell r="M261">
            <v>20.045977345134599</v>
          </cell>
          <cell r="N261">
            <v>0.27272727272727298</v>
          </cell>
          <cell r="O261">
            <v>0</v>
          </cell>
          <cell r="P261">
            <v>0.64935064935064901</v>
          </cell>
        </row>
        <row r="262">
          <cell r="A262">
            <v>543501</v>
          </cell>
          <cell r="B262">
            <v>8</v>
          </cell>
          <cell r="C262">
            <v>0</v>
          </cell>
          <cell r="D262">
            <v>2</v>
          </cell>
          <cell r="E262" t="str">
            <v>CVCTE</v>
          </cell>
          <cell r="F262" t="str">
            <v>Carson</v>
          </cell>
          <cell r="G262">
            <v>0</v>
          </cell>
          <cell r="H262">
            <v>0</v>
          </cell>
          <cell r="I262">
            <v>68.313000000000002</v>
          </cell>
          <cell r="J262">
            <v>58.135964520000002</v>
          </cell>
          <cell r="K262">
            <v>65.135964520000002</v>
          </cell>
          <cell r="L262">
            <v>3.1763488936445201</v>
          </cell>
          <cell r="M262">
            <v>68.312313413644503</v>
          </cell>
          <cell r="N262">
            <v>0.27272727272727298</v>
          </cell>
          <cell r="O262">
            <v>0</v>
          </cell>
          <cell r="P262">
            <v>0.64935064935064901</v>
          </cell>
        </row>
        <row r="263">
          <cell r="A263">
            <v>543602</v>
          </cell>
          <cell r="B263">
            <v>8</v>
          </cell>
          <cell r="C263">
            <v>0</v>
          </cell>
          <cell r="D263">
            <v>2</v>
          </cell>
          <cell r="E263" t="str">
            <v>CVCTE</v>
          </cell>
          <cell r="F263" t="str">
            <v>West Carson</v>
          </cell>
          <cell r="G263">
            <v>0</v>
          </cell>
          <cell r="H263">
            <v>0</v>
          </cell>
          <cell r="I263">
            <v>24.391999999999999</v>
          </cell>
          <cell r="J263">
            <v>20.27392321</v>
          </cell>
          <cell r="K263">
            <v>23.27392321</v>
          </cell>
          <cell r="L263">
            <v>1.1184296555834801</v>
          </cell>
          <cell r="M263">
            <v>24.392352865583501</v>
          </cell>
          <cell r="N263">
            <v>0.27272727272727298</v>
          </cell>
          <cell r="O263">
            <v>0</v>
          </cell>
          <cell r="P263">
            <v>0.64935064935064901</v>
          </cell>
        </row>
        <row r="264">
          <cell r="A264">
            <v>543603</v>
          </cell>
          <cell r="B264">
            <v>8</v>
          </cell>
          <cell r="C264">
            <v>0</v>
          </cell>
          <cell r="D264">
            <v>2</v>
          </cell>
          <cell r="E264" t="str">
            <v>CVCTE</v>
          </cell>
          <cell r="F264" t="str">
            <v>West Carson</v>
          </cell>
          <cell r="G264">
            <v>0</v>
          </cell>
          <cell r="H264">
            <v>0</v>
          </cell>
          <cell r="I264">
            <v>55.548999999999999</v>
          </cell>
          <cell r="J264">
            <v>47.213434380000002</v>
          </cell>
          <cell r="K264">
            <v>54.213434380000002</v>
          </cell>
          <cell r="L264">
            <v>1.33489161414722</v>
          </cell>
          <cell r="M264">
            <v>55.548325994147199</v>
          </cell>
          <cell r="N264">
            <v>0.27272727272727298</v>
          </cell>
          <cell r="O264">
            <v>0</v>
          </cell>
          <cell r="P264">
            <v>0.64935064935064901</v>
          </cell>
        </row>
        <row r="265">
          <cell r="A265">
            <v>543604</v>
          </cell>
          <cell r="B265">
            <v>8</v>
          </cell>
          <cell r="C265">
            <v>0</v>
          </cell>
          <cell r="D265">
            <v>2</v>
          </cell>
          <cell r="E265" t="str">
            <v>CVCTE</v>
          </cell>
          <cell r="F265" t="str">
            <v>Carson</v>
          </cell>
          <cell r="G265">
            <v>0</v>
          </cell>
          <cell r="H265">
            <v>0</v>
          </cell>
          <cell r="I265">
            <v>133.929</v>
          </cell>
          <cell r="J265">
            <v>112.44689940000001</v>
          </cell>
          <cell r="K265">
            <v>132.44689940000001</v>
          </cell>
          <cell r="L265">
            <v>1.4823963793177699</v>
          </cell>
          <cell r="M265">
            <v>133.92929577931801</v>
          </cell>
          <cell r="N265">
            <v>0.27272727272727298</v>
          </cell>
          <cell r="O265">
            <v>0</v>
          </cell>
          <cell r="P265">
            <v>0.64935064935064901</v>
          </cell>
        </row>
        <row r="266">
          <cell r="A266">
            <v>651101</v>
          </cell>
          <cell r="B266">
            <v>8</v>
          </cell>
          <cell r="C266">
            <v>0</v>
          </cell>
          <cell r="D266">
            <v>4</v>
          </cell>
          <cell r="E266" t="str">
            <v>CVCTE</v>
          </cell>
          <cell r="F266" t="str">
            <v>Torrance</v>
          </cell>
          <cell r="G266">
            <v>0</v>
          </cell>
          <cell r="H266">
            <v>0</v>
          </cell>
          <cell r="I266">
            <v>20.989000000000001</v>
          </cell>
          <cell r="J266">
            <v>18.9631063</v>
          </cell>
          <cell r="K266">
            <v>19.9631063</v>
          </cell>
          <cell r="L266">
            <v>1.02527104818671</v>
          </cell>
          <cell r="M266">
            <v>20.988377348186699</v>
          </cell>
          <cell r="N266">
            <v>0.27272727272727298</v>
          </cell>
          <cell r="O266">
            <v>0</v>
          </cell>
          <cell r="P266">
            <v>0.64935064935064901</v>
          </cell>
        </row>
        <row r="267">
          <cell r="A267">
            <v>543903</v>
          </cell>
          <cell r="B267">
            <v>8</v>
          </cell>
          <cell r="C267">
            <v>0</v>
          </cell>
          <cell r="D267">
            <v>2</v>
          </cell>
          <cell r="E267" t="str">
            <v>CVCTE</v>
          </cell>
          <cell r="F267" t="str">
            <v>Carson</v>
          </cell>
          <cell r="G267">
            <v>0</v>
          </cell>
          <cell r="H267">
            <v>0</v>
          </cell>
          <cell r="I267">
            <v>1.9259999999999999</v>
          </cell>
          <cell r="J267">
            <v>1.90487994</v>
          </cell>
          <cell r="K267">
            <v>1.90487994</v>
          </cell>
          <cell r="L267">
            <v>2.0625322082585301E-2</v>
          </cell>
          <cell r="M267">
            <v>1.9255052620825901</v>
          </cell>
          <cell r="N267">
            <v>0.27272727272727298</v>
          </cell>
          <cell r="O267">
            <v>0</v>
          </cell>
          <cell r="P267">
            <v>0.64935064935064901</v>
          </cell>
        </row>
        <row r="268">
          <cell r="A268">
            <v>544001</v>
          </cell>
          <cell r="B268">
            <v>8</v>
          </cell>
          <cell r="C268">
            <v>0</v>
          </cell>
          <cell r="D268">
            <v>4</v>
          </cell>
          <cell r="E268" t="str">
            <v>CVCTE</v>
          </cell>
          <cell r="F268" t="str">
            <v>Carson</v>
          </cell>
          <cell r="G268">
            <v>1</v>
          </cell>
          <cell r="H268">
            <v>1</v>
          </cell>
          <cell r="I268">
            <v>24.384</v>
          </cell>
          <cell r="J268">
            <v>23.33198062</v>
          </cell>
          <cell r="K268">
            <v>23.33198062</v>
          </cell>
          <cell r="L268">
            <v>1.0511190264632</v>
          </cell>
          <cell r="M268">
            <v>24.383099646463201</v>
          </cell>
          <cell r="N268">
            <v>0.27272727272727298</v>
          </cell>
          <cell r="O268">
            <v>3.6666666666666701</v>
          </cell>
          <cell r="P268">
            <v>0.64935064935064901</v>
          </cell>
        </row>
        <row r="269">
          <cell r="A269">
            <v>600202</v>
          </cell>
          <cell r="B269">
            <v>8</v>
          </cell>
          <cell r="C269">
            <v>0</v>
          </cell>
          <cell r="D269">
            <v>2</v>
          </cell>
          <cell r="E269" t="str">
            <v>CVCTE</v>
          </cell>
          <cell r="F269" t="str">
            <v>Westmont / West Athens</v>
          </cell>
          <cell r="G269">
            <v>0</v>
          </cell>
          <cell r="H269">
            <v>0</v>
          </cell>
          <cell r="I269">
            <v>30.335000000000001</v>
          </cell>
          <cell r="J269">
            <v>22.228363089999998</v>
          </cell>
          <cell r="K269">
            <v>29.228363089999998</v>
          </cell>
          <cell r="L269">
            <v>1.1068010971095199</v>
          </cell>
          <cell r="M269">
            <v>30.335164187109498</v>
          </cell>
          <cell r="N269">
            <v>0.27272727272727298</v>
          </cell>
          <cell r="O269">
            <v>0</v>
          </cell>
          <cell r="P269">
            <v>0.64935064935064901</v>
          </cell>
        </row>
        <row r="270">
          <cell r="A270">
            <v>621301</v>
          </cell>
          <cell r="B270">
            <v>8</v>
          </cell>
          <cell r="C270">
            <v>0</v>
          </cell>
          <cell r="D270">
            <v>4</v>
          </cell>
          <cell r="E270" t="str">
            <v>CVCTE</v>
          </cell>
          <cell r="F270" t="str">
            <v>Redondo Beach</v>
          </cell>
          <cell r="G270">
            <v>0</v>
          </cell>
          <cell r="H270">
            <v>0</v>
          </cell>
          <cell r="I270">
            <v>20.611000000000001</v>
          </cell>
          <cell r="J270">
            <v>14.867327319999999</v>
          </cell>
          <cell r="K270">
            <v>19.867327320000001</v>
          </cell>
          <cell r="L270">
            <v>0.74463244667863604</v>
          </cell>
          <cell r="M270">
            <v>20.611959766678599</v>
          </cell>
          <cell r="N270">
            <v>0.27272727272727298</v>
          </cell>
          <cell r="O270">
            <v>0</v>
          </cell>
          <cell r="P270">
            <v>0.64935064935064901</v>
          </cell>
        </row>
        <row r="271">
          <cell r="A271">
            <v>600304</v>
          </cell>
          <cell r="B271">
            <v>8</v>
          </cell>
          <cell r="C271">
            <v>0</v>
          </cell>
          <cell r="D271">
            <v>2</v>
          </cell>
          <cell r="E271" t="str">
            <v>CVCTE</v>
          </cell>
          <cell r="F271" t="str">
            <v>Westmont / West Athens</v>
          </cell>
          <cell r="G271">
            <v>1</v>
          </cell>
          <cell r="H271">
            <v>1</v>
          </cell>
          <cell r="I271">
            <v>30.943000000000001</v>
          </cell>
          <cell r="J271">
            <v>10.59523935</v>
          </cell>
          <cell r="K271">
            <v>30.59523935</v>
          </cell>
          <cell r="L271">
            <v>0.34685911520646301</v>
          </cell>
          <cell r="M271">
            <v>30.942098465206499</v>
          </cell>
          <cell r="N271">
            <v>0.27272727272727298</v>
          </cell>
          <cell r="O271">
            <v>3.6666666666666701</v>
          </cell>
          <cell r="P271">
            <v>0.64935064935064901</v>
          </cell>
        </row>
        <row r="272">
          <cell r="A272">
            <v>600704</v>
          </cell>
          <cell r="B272">
            <v>8</v>
          </cell>
          <cell r="C272">
            <v>0</v>
          </cell>
          <cell r="D272">
            <v>2</v>
          </cell>
          <cell r="E272" t="str">
            <v>CVCTE</v>
          </cell>
          <cell r="F272" t="str">
            <v>Inglewood</v>
          </cell>
          <cell r="G272">
            <v>0</v>
          </cell>
          <cell r="H272">
            <v>0</v>
          </cell>
          <cell r="I272">
            <v>3</v>
          </cell>
          <cell r="J272">
            <v>0</v>
          </cell>
          <cell r="K272">
            <v>3</v>
          </cell>
          <cell r="L272">
            <v>0</v>
          </cell>
          <cell r="M272">
            <v>3</v>
          </cell>
          <cell r="N272">
            <v>0.27272727272727298</v>
          </cell>
          <cell r="O272">
            <v>0</v>
          </cell>
          <cell r="P272">
            <v>0.64935064935064901</v>
          </cell>
        </row>
        <row r="273">
          <cell r="A273">
            <v>600802</v>
          </cell>
          <cell r="B273">
            <v>8</v>
          </cell>
          <cell r="C273">
            <v>0</v>
          </cell>
          <cell r="D273">
            <v>2</v>
          </cell>
          <cell r="E273" t="str">
            <v>CVCTE</v>
          </cell>
          <cell r="F273" t="str">
            <v>Inglewood</v>
          </cell>
          <cell r="G273">
            <v>0</v>
          </cell>
          <cell r="H273">
            <v>0</v>
          </cell>
          <cell r="I273">
            <v>4.9029999999999996</v>
          </cell>
          <cell r="J273">
            <v>3.7168318299999998</v>
          </cell>
          <cell r="K273">
            <v>4.7168318300000003</v>
          </cell>
          <cell r="L273">
            <v>0.18615811166965901</v>
          </cell>
          <cell r="M273">
            <v>4.9029899416696603</v>
          </cell>
          <cell r="N273">
            <v>0.27272727272727298</v>
          </cell>
          <cell r="O273">
            <v>0</v>
          </cell>
          <cell r="P273">
            <v>0.64935064935064901</v>
          </cell>
        </row>
        <row r="274">
          <cell r="A274">
            <v>602301</v>
          </cell>
          <cell r="B274">
            <v>8</v>
          </cell>
          <cell r="C274">
            <v>0</v>
          </cell>
          <cell r="D274">
            <v>2</v>
          </cell>
          <cell r="E274" t="str">
            <v>CVCTE</v>
          </cell>
          <cell r="F274" t="str">
            <v>Del Aire</v>
          </cell>
          <cell r="G274">
            <v>1</v>
          </cell>
          <cell r="H274">
            <v>1</v>
          </cell>
          <cell r="I274">
            <v>22.792000000000002</v>
          </cell>
          <cell r="J274">
            <v>17.745720460000001</v>
          </cell>
          <cell r="K274">
            <v>21.745720460000001</v>
          </cell>
          <cell r="L274">
            <v>1.0475364589587099</v>
          </cell>
          <cell r="M274">
            <v>22.793256918958701</v>
          </cell>
          <cell r="N274">
            <v>0.27272727272727298</v>
          </cell>
          <cell r="O274">
            <v>3.6666666666666701</v>
          </cell>
          <cell r="P274">
            <v>0.64935064935064901</v>
          </cell>
        </row>
        <row r="275">
          <cell r="A275">
            <v>600902</v>
          </cell>
          <cell r="B275">
            <v>8</v>
          </cell>
          <cell r="C275">
            <v>0</v>
          </cell>
          <cell r="D275">
            <v>2</v>
          </cell>
          <cell r="E275" t="str">
            <v>CVCTE</v>
          </cell>
          <cell r="F275" t="str">
            <v>Inglewood</v>
          </cell>
          <cell r="G275">
            <v>0</v>
          </cell>
          <cell r="H275">
            <v>0</v>
          </cell>
          <cell r="I275">
            <v>49.304000000000002</v>
          </cell>
          <cell r="J275">
            <v>14.56086108</v>
          </cell>
          <cell r="K275">
            <v>48.560861080000002</v>
          </cell>
          <cell r="L275">
            <v>0.74378834456014398</v>
          </cell>
          <cell r="M275">
            <v>49.304649424560097</v>
          </cell>
          <cell r="N275">
            <v>0.27272727272727298</v>
          </cell>
          <cell r="O275">
            <v>0</v>
          </cell>
          <cell r="P275">
            <v>0.64935064935064901</v>
          </cell>
        </row>
        <row r="276">
          <cell r="A276">
            <v>601001</v>
          </cell>
          <cell r="B276">
            <v>8</v>
          </cell>
          <cell r="C276">
            <v>0</v>
          </cell>
          <cell r="D276">
            <v>2</v>
          </cell>
          <cell r="E276" t="str">
            <v>CVCTE</v>
          </cell>
          <cell r="F276" t="str">
            <v>Inglewood</v>
          </cell>
          <cell r="G276">
            <v>0</v>
          </cell>
          <cell r="H276">
            <v>0</v>
          </cell>
          <cell r="I276">
            <v>5</v>
          </cell>
          <cell r="J276">
            <v>0</v>
          </cell>
          <cell r="K276">
            <v>5</v>
          </cell>
          <cell r="L276">
            <v>0</v>
          </cell>
          <cell r="M276">
            <v>5</v>
          </cell>
          <cell r="N276">
            <v>0.27272727272727298</v>
          </cell>
          <cell r="O276">
            <v>0</v>
          </cell>
          <cell r="P276">
            <v>0.64935064935064901</v>
          </cell>
        </row>
        <row r="277">
          <cell r="A277">
            <v>601100</v>
          </cell>
          <cell r="B277">
            <v>8</v>
          </cell>
          <cell r="C277">
            <v>0</v>
          </cell>
          <cell r="D277">
            <v>2</v>
          </cell>
          <cell r="E277" t="str">
            <v>CVCTE</v>
          </cell>
          <cell r="F277" t="str">
            <v>Inglewood</v>
          </cell>
          <cell r="G277">
            <v>0</v>
          </cell>
          <cell r="H277">
            <v>0</v>
          </cell>
          <cell r="I277">
            <v>15</v>
          </cell>
          <cell r="J277">
            <v>0</v>
          </cell>
          <cell r="K277">
            <v>15</v>
          </cell>
          <cell r="L277">
            <v>0</v>
          </cell>
          <cell r="M277">
            <v>15</v>
          </cell>
          <cell r="N277">
            <v>0.27272727272727298</v>
          </cell>
          <cell r="O277">
            <v>0</v>
          </cell>
          <cell r="P277">
            <v>0.64935064935064901</v>
          </cell>
        </row>
        <row r="278">
          <cell r="A278">
            <v>601212</v>
          </cell>
          <cell r="B278">
            <v>8</v>
          </cell>
          <cell r="C278">
            <v>0</v>
          </cell>
          <cell r="D278">
            <v>2</v>
          </cell>
          <cell r="E278" t="str">
            <v>CVCTE</v>
          </cell>
          <cell r="F278" t="str">
            <v>Inglewood</v>
          </cell>
          <cell r="G278">
            <v>0</v>
          </cell>
          <cell r="H278">
            <v>0</v>
          </cell>
          <cell r="I278">
            <v>10.423999999999999</v>
          </cell>
          <cell r="J278">
            <v>5.1993965099999997</v>
          </cell>
          <cell r="K278">
            <v>10.19939651</v>
          </cell>
          <cell r="L278">
            <v>0.22495653086175901</v>
          </cell>
          <cell r="M278">
            <v>10.424353040861799</v>
          </cell>
          <cell r="N278">
            <v>0.27272727272727298</v>
          </cell>
          <cell r="O278">
            <v>0</v>
          </cell>
          <cell r="P278">
            <v>0.64935064935064901</v>
          </cell>
        </row>
        <row r="279">
          <cell r="A279">
            <v>600702</v>
          </cell>
          <cell r="B279">
            <v>8</v>
          </cell>
          <cell r="C279">
            <v>0</v>
          </cell>
          <cell r="D279">
            <v>2</v>
          </cell>
          <cell r="E279" t="str">
            <v>CVCTE</v>
          </cell>
          <cell r="F279" t="str">
            <v>Inglewood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0.27272727272727298</v>
          </cell>
          <cell r="O279">
            <v>0</v>
          </cell>
          <cell r="P279">
            <v>0.64935064935064901</v>
          </cell>
        </row>
        <row r="280">
          <cell r="A280">
            <v>601502</v>
          </cell>
          <cell r="B280">
            <v>8</v>
          </cell>
          <cell r="C280">
            <v>0</v>
          </cell>
          <cell r="D280">
            <v>2</v>
          </cell>
          <cell r="E280" t="str">
            <v>CVCTE</v>
          </cell>
          <cell r="F280" t="str">
            <v>Lennox</v>
          </cell>
          <cell r="G280">
            <v>0</v>
          </cell>
          <cell r="H280">
            <v>0</v>
          </cell>
          <cell r="I280">
            <v>14.577999999999999</v>
          </cell>
          <cell r="J280">
            <v>11.751253370000001</v>
          </cell>
          <cell r="K280">
            <v>13.751253370000001</v>
          </cell>
          <cell r="L280">
            <v>0.826672241759426</v>
          </cell>
          <cell r="M280">
            <v>14.577925611759399</v>
          </cell>
          <cell r="N280">
            <v>0.27272727272727298</v>
          </cell>
          <cell r="O280">
            <v>0</v>
          </cell>
          <cell r="P280">
            <v>0.64935064935064901</v>
          </cell>
        </row>
        <row r="281">
          <cell r="A281">
            <v>601700</v>
          </cell>
          <cell r="B281">
            <v>8</v>
          </cell>
          <cell r="C281">
            <v>0</v>
          </cell>
          <cell r="D281">
            <v>2</v>
          </cell>
          <cell r="E281" t="str">
            <v>CVCTE</v>
          </cell>
          <cell r="F281" t="str">
            <v>Lennox</v>
          </cell>
          <cell r="G281">
            <v>1</v>
          </cell>
          <cell r="H281">
            <v>1</v>
          </cell>
          <cell r="I281">
            <v>73.266999999999996</v>
          </cell>
          <cell r="J281">
            <v>50.205558879999998</v>
          </cell>
          <cell r="K281">
            <v>70.205558879999998</v>
          </cell>
          <cell r="L281">
            <v>3.06221698985637</v>
          </cell>
          <cell r="M281">
            <v>73.267775869856393</v>
          </cell>
          <cell r="N281">
            <v>0.27272727272727298</v>
          </cell>
          <cell r="O281">
            <v>3.6666666666666701</v>
          </cell>
          <cell r="P281">
            <v>0.64935064935064901</v>
          </cell>
        </row>
        <row r="282">
          <cell r="A282">
            <v>603101</v>
          </cell>
          <cell r="B282">
            <v>8</v>
          </cell>
          <cell r="C282">
            <v>0</v>
          </cell>
          <cell r="D282">
            <v>2</v>
          </cell>
          <cell r="E282" t="str">
            <v>CVCTE</v>
          </cell>
          <cell r="F282" t="str">
            <v>Gardena</v>
          </cell>
          <cell r="G282">
            <v>0</v>
          </cell>
          <cell r="H282">
            <v>0</v>
          </cell>
          <cell r="I282">
            <v>18.802</v>
          </cell>
          <cell r="J282">
            <v>17.594775869999999</v>
          </cell>
          <cell r="K282">
            <v>17.594775869999999</v>
          </cell>
          <cell r="L282">
            <v>1.2071730924237001</v>
          </cell>
          <cell r="M282">
            <v>18.801948962423701</v>
          </cell>
          <cell r="N282">
            <v>0.27272727272727298</v>
          </cell>
          <cell r="O282">
            <v>0</v>
          </cell>
          <cell r="P282">
            <v>0.64935064935064901</v>
          </cell>
        </row>
        <row r="283">
          <cell r="A283">
            <v>601801</v>
          </cell>
          <cell r="B283">
            <v>8</v>
          </cell>
          <cell r="C283">
            <v>0</v>
          </cell>
          <cell r="D283">
            <v>2</v>
          </cell>
          <cell r="E283" t="str">
            <v>CVCTE</v>
          </cell>
          <cell r="F283" t="str">
            <v>Inglewood</v>
          </cell>
          <cell r="G283">
            <v>0</v>
          </cell>
          <cell r="H283">
            <v>0</v>
          </cell>
          <cell r="I283">
            <v>19.251999999999999</v>
          </cell>
          <cell r="J283">
            <v>11.71352115</v>
          </cell>
          <cell r="K283">
            <v>18.713521149999998</v>
          </cell>
          <cell r="L283">
            <v>0.53772391642728901</v>
          </cell>
          <cell r="M283">
            <v>19.251245066427298</v>
          </cell>
          <cell r="N283">
            <v>0.27272727272727298</v>
          </cell>
          <cell r="O283">
            <v>0</v>
          </cell>
          <cell r="P283">
            <v>0.64935064935064901</v>
          </cell>
        </row>
        <row r="284">
          <cell r="A284">
            <v>600100</v>
          </cell>
          <cell r="B284">
            <v>8</v>
          </cell>
          <cell r="C284">
            <v>0</v>
          </cell>
          <cell r="D284">
            <v>2</v>
          </cell>
          <cell r="E284" t="str">
            <v>CVCTE</v>
          </cell>
          <cell r="F284" t="str">
            <v>Westmont / West Athens</v>
          </cell>
          <cell r="G284">
            <v>0</v>
          </cell>
          <cell r="H284">
            <v>0</v>
          </cell>
          <cell r="I284">
            <v>38.298000000000002</v>
          </cell>
          <cell r="J284">
            <v>19.703839980000001</v>
          </cell>
          <cell r="K284">
            <v>37.703839979999998</v>
          </cell>
          <cell r="L284">
            <v>0.59513392784560104</v>
          </cell>
          <cell r="M284">
            <v>38.2989739078456</v>
          </cell>
          <cell r="N284">
            <v>0.27272727272727298</v>
          </cell>
          <cell r="O284">
            <v>0</v>
          </cell>
          <cell r="P284">
            <v>0.64935064935064901</v>
          </cell>
        </row>
        <row r="285">
          <cell r="A285">
            <v>602105</v>
          </cell>
          <cell r="B285">
            <v>8</v>
          </cell>
          <cell r="C285">
            <v>0</v>
          </cell>
          <cell r="D285">
            <v>2</v>
          </cell>
          <cell r="E285" t="str">
            <v>CVCTE</v>
          </cell>
          <cell r="F285" t="str">
            <v>Hawthorne</v>
          </cell>
          <cell r="G285">
            <v>0</v>
          </cell>
          <cell r="H285">
            <v>0</v>
          </cell>
          <cell r="I285">
            <v>5.734</v>
          </cell>
          <cell r="J285">
            <v>3.63801211</v>
          </cell>
          <cell r="K285">
            <v>5.63801211</v>
          </cell>
          <cell r="L285">
            <v>9.5610832369838403E-2</v>
          </cell>
          <cell r="M285">
            <v>5.7336229423698404</v>
          </cell>
          <cell r="N285">
            <v>0.27272727272727298</v>
          </cell>
          <cell r="O285">
            <v>0</v>
          </cell>
          <cell r="P285">
            <v>0.64935064935064901</v>
          </cell>
        </row>
        <row r="286">
          <cell r="A286">
            <v>602402</v>
          </cell>
          <cell r="B286">
            <v>8</v>
          </cell>
          <cell r="C286">
            <v>0</v>
          </cell>
          <cell r="D286">
            <v>2</v>
          </cell>
          <cell r="E286" t="str">
            <v>CVCTE</v>
          </cell>
          <cell r="F286" t="str">
            <v>Hawthorne</v>
          </cell>
          <cell r="G286">
            <v>0</v>
          </cell>
          <cell r="H286">
            <v>0</v>
          </cell>
          <cell r="I286">
            <v>13.057</v>
          </cell>
          <cell r="J286">
            <v>10.268688689999999</v>
          </cell>
          <cell r="K286">
            <v>12.268688689999999</v>
          </cell>
          <cell r="L286">
            <v>0.78787382256732497</v>
          </cell>
          <cell r="M286">
            <v>13.0565625125673</v>
          </cell>
          <cell r="N286">
            <v>0.27272727272727298</v>
          </cell>
          <cell r="O286">
            <v>0</v>
          </cell>
          <cell r="P286">
            <v>0.64935064935064901</v>
          </cell>
        </row>
        <row r="287">
          <cell r="A287">
            <v>602404</v>
          </cell>
          <cell r="B287">
            <v>8</v>
          </cell>
          <cell r="C287">
            <v>0</v>
          </cell>
          <cell r="D287">
            <v>2</v>
          </cell>
          <cell r="E287" t="str">
            <v>CVCTE</v>
          </cell>
          <cell r="F287" t="str">
            <v>Hawthorne</v>
          </cell>
          <cell r="G287">
            <v>1</v>
          </cell>
          <cell r="H287">
            <v>1</v>
          </cell>
          <cell r="I287">
            <v>21.158000000000001</v>
          </cell>
          <cell r="J287">
            <v>17.801975250000002</v>
          </cell>
          <cell r="K287">
            <v>19.801975250000002</v>
          </cell>
          <cell r="L287">
            <v>1.3560137704667901</v>
          </cell>
          <cell r="M287">
            <v>21.1579890204668</v>
          </cell>
          <cell r="N287">
            <v>0.27272727272727298</v>
          </cell>
          <cell r="O287">
            <v>3.6666666666666701</v>
          </cell>
          <cell r="P287">
            <v>0.64935064935064901</v>
          </cell>
        </row>
        <row r="288">
          <cell r="A288">
            <v>602600</v>
          </cell>
          <cell r="B288">
            <v>8</v>
          </cell>
          <cell r="C288">
            <v>0</v>
          </cell>
          <cell r="D288">
            <v>2</v>
          </cell>
          <cell r="E288" t="str">
            <v>CVCTE</v>
          </cell>
          <cell r="F288" t="str">
            <v>Gardena</v>
          </cell>
          <cell r="G288">
            <v>0</v>
          </cell>
          <cell r="H288">
            <v>0</v>
          </cell>
          <cell r="I288">
            <v>7.19</v>
          </cell>
          <cell r="J288">
            <v>3.9673993200000002</v>
          </cell>
          <cell r="K288">
            <v>6.9673993200000002</v>
          </cell>
          <cell r="L288">
            <v>0.22234520276481101</v>
          </cell>
          <cell r="M288">
            <v>7.1897445227648102</v>
          </cell>
          <cell r="N288">
            <v>0.27272727272727298</v>
          </cell>
          <cell r="O288">
            <v>0</v>
          </cell>
          <cell r="P288">
            <v>0.64935064935064901</v>
          </cell>
        </row>
        <row r="289">
          <cell r="A289">
            <v>543400</v>
          </cell>
          <cell r="B289">
            <v>8</v>
          </cell>
          <cell r="C289">
            <v>0</v>
          </cell>
          <cell r="D289">
            <v>2</v>
          </cell>
          <cell r="E289" t="str">
            <v>CVCTE</v>
          </cell>
          <cell r="F289" t="str">
            <v>Carson</v>
          </cell>
          <cell r="G289">
            <v>0</v>
          </cell>
          <cell r="H289">
            <v>0</v>
          </cell>
          <cell r="I289">
            <v>14.664</v>
          </cell>
          <cell r="J289">
            <v>13.88589762</v>
          </cell>
          <cell r="K289">
            <v>13.88589762</v>
          </cell>
          <cell r="L289">
            <v>0.77820820967684001</v>
          </cell>
          <cell r="M289">
            <v>14.664105829676799</v>
          </cell>
          <cell r="N289">
            <v>0.27272727272727298</v>
          </cell>
          <cell r="O289">
            <v>0</v>
          </cell>
          <cell r="P289">
            <v>0.64935064935064901</v>
          </cell>
        </row>
        <row r="290">
          <cell r="A290">
            <v>603802</v>
          </cell>
          <cell r="B290">
            <v>8</v>
          </cell>
          <cell r="C290">
            <v>0</v>
          </cell>
          <cell r="D290">
            <v>2</v>
          </cell>
          <cell r="E290" t="str">
            <v>CVCTE</v>
          </cell>
          <cell r="F290" t="str">
            <v>Lawndale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0.27272727272727298</v>
          </cell>
          <cell r="O290">
            <v>0</v>
          </cell>
          <cell r="P290">
            <v>0.64935064935064901</v>
          </cell>
        </row>
        <row r="291">
          <cell r="A291">
            <v>604001</v>
          </cell>
          <cell r="B291">
            <v>8</v>
          </cell>
          <cell r="C291">
            <v>0</v>
          </cell>
          <cell r="D291">
            <v>2</v>
          </cell>
          <cell r="E291" t="str">
            <v>CVCTE</v>
          </cell>
          <cell r="F291" t="str">
            <v>Lawndale</v>
          </cell>
          <cell r="G291">
            <v>1</v>
          </cell>
          <cell r="H291">
            <v>1</v>
          </cell>
          <cell r="I291">
            <v>9.702</v>
          </cell>
          <cell r="J291">
            <v>7.6195197600000002</v>
          </cell>
          <cell r="K291">
            <v>9.6195197599999993</v>
          </cell>
          <cell r="L291">
            <v>8.2501288330341094E-2</v>
          </cell>
          <cell r="M291">
            <v>9.7020210483303408</v>
          </cell>
          <cell r="N291">
            <v>0.27272727272727298</v>
          </cell>
          <cell r="O291">
            <v>3.6666666666666701</v>
          </cell>
          <cell r="P291">
            <v>0.64935064935064901</v>
          </cell>
        </row>
        <row r="292">
          <cell r="A292">
            <v>604100</v>
          </cell>
          <cell r="B292">
            <v>8</v>
          </cell>
          <cell r="C292">
            <v>0</v>
          </cell>
          <cell r="D292">
            <v>2</v>
          </cell>
          <cell r="E292" t="str">
            <v>CVCTE</v>
          </cell>
          <cell r="F292" t="str">
            <v>Lawndale</v>
          </cell>
          <cell r="G292">
            <v>1</v>
          </cell>
          <cell r="H292">
            <v>1</v>
          </cell>
          <cell r="I292">
            <v>9</v>
          </cell>
          <cell r="J292">
            <v>0</v>
          </cell>
          <cell r="K292">
            <v>9</v>
          </cell>
          <cell r="L292">
            <v>0</v>
          </cell>
          <cell r="M292">
            <v>9</v>
          </cell>
          <cell r="N292">
            <v>0.27272727272727298</v>
          </cell>
          <cell r="O292">
            <v>3.6666666666666701</v>
          </cell>
          <cell r="P292">
            <v>0.64935064935064901</v>
          </cell>
        </row>
        <row r="293">
          <cell r="A293">
            <v>620002</v>
          </cell>
          <cell r="B293">
            <v>8</v>
          </cell>
          <cell r="C293">
            <v>0</v>
          </cell>
          <cell r="D293">
            <v>4</v>
          </cell>
          <cell r="E293" t="str">
            <v>CVCTE</v>
          </cell>
          <cell r="F293" t="str">
            <v>El Segundo</v>
          </cell>
          <cell r="G293">
            <v>1</v>
          </cell>
          <cell r="H293">
            <v>1</v>
          </cell>
          <cell r="I293">
            <v>14.654999999999999</v>
          </cell>
          <cell r="J293">
            <v>12.79689144</v>
          </cell>
          <cell r="K293">
            <v>13.79689144</v>
          </cell>
          <cell r="L293">
            <v>0.85876701919209997</v>
          </cell>
          <cell r="M293">
            <v>14.6556584591921</v>
          </cell>
          <cell r="N293">
            <v>0.27272727272727298</v>
          </cell>
          <cell r="O293">
            <v>3.6666666666666701</v>
          </cell>
          <cell r="P293">
            <v>0.64935064935064901</v>
          </cell>
        </row>
        <row r="294">
          <cell r="A294">
            <v>980002</v>
          </cell>
          <cell r="B294">
            <v>8</v>
          </cell>
          <cell r="C294">
            <v>0</v>
          </cell>
          <cell r="D294">
            <v>2</v>
          </cell>
          <cell r="E294" t="str">
            <v>CVCTE</v>
          </cell>
          <cell r="F294" t="str">
            <v>Carson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0.27272727272727298</v>
          </cell>
          <cell r="O294">
            <v>0</v>
          </cell>
          <cell r="P294">
            <v>0.64935064935064901</v>
          </cell>
        </row>
        <row r="295">
          <cell r="A295">
            <v>601600</v>
          </cell>
          <cell r="B295">
            <v>8</v>
          </cell>
          <cell r="C295">
            <v>0</v>
          </cell>
          <cell r="D295">
            <v>2</v>
          </cell>
          <cell r="E295" t="str">
            <v>CVCTE</v>
          </cell>
          <cell r="F295" t="str">
            <v>Lennox</v>
          </cell>
          <cell r="G295">
            <v>0</v>
          </cell>
          <cell r="H295">
            <v>0</v>
          </cell>
          <cell r="I295">
            <v>29.135000000000002</v>
          </cell>
          <cell r="J295">
            <v>22.872489080000001</v>
          </cell>
          <cell r="K295">
            <v>27.872489080000001</v>
          </cell>
          <cell r="L295">
            <v>1.2623454169120301</v>
          </cell>
          <cell r="M295">
            <v>29.134834496911999</v>
          </cell>
          <cell r="N295">
            <v>0.27272727272727298</v>
          </cell>
          <cell r="O295">
            <v>0</v>
          </cell>
          <cell r="P295">
            <v>0.64935064935064901</v>
          </cell>
        </row>
        <row r="296">
          <cell r="A296">
            <v>620501</v>
          </cell>
          <cell r="B296">
            <v>8</v>
          </cell>
          <cell r="C296">
            <v>0</v>
          </cell>
          <cell r="D296">
            <v>4</v>
          </cell>
          <cell r="E296" t="str">
            <v>CVCTE</v>
          </cell>
          <cell r="F296" t="str">
            <v>Redondo Beach</v>
          </cell>
          <cell r="G296">
            <v>1</v>
          </cell>
          <cell r="H296">
            <v>1</v>
          </cell>
          <cell r="I296">
            <v>37.994</v>
          </cell>
          <cell r="J296">
            <v>29.324723039999999</v>
          </cell>
          <cell r="K296">
            <v>36.324723040000002</v>
          </cell>
          <cell r="L296">
            <v>1.6682374032495499</v>
          </cell>
          <cell r="M296">
            <v>37.992960443249601</v>
          </cell>
          <cell r="N296">
            <v>0.27272727272727298</v>
          </cell>
          <cell r="O296">
            <v>3.6666666666666701</v>
          </cell>
          <cell r="P296">
            <v>0.64935064935064901</v>
          </cell>
        </row>
        <row r="297">
          <cell r="A297">
            <v>620601</v>
          </cell>
          <cell r="B297">
            <v>8</v>
          </cell>
          <cell r="C297">
            <v>0</v>
          </cell>
          <cell r="D297">
            <v>4</v>
          </cell>
          <cell r="E297" t="str">
            <v>CVCTE</v>
          </cell>
          <cell r="F297" t="str">
            <v>Redondo Beach</v>
          </cell>
          <cell r="G297">
            <v>0</v>
          </cell>
          <cell r="H297">
            <v>0</v>
          </cell>
          <cell r="I297">
            <v>23.882000000000001</v>
          </cell>
          <cell r="J297">
            <v>12.939882450000001</v>
          </cell>
          <cell r="K297">
            <v>22.939882449999999</v>
          </cell>
          <cell r="L297">
            <v>0.94193715680430901</v>
          </cell>
          <cell r="M297">
            <v>23.881819606804299</v>
          </cell>
          <cell r="N297">
            <v>0.27272727272727298</v>
          </cell>
          <cell r="O297">
            <v>0</v>
          </cell>
          <cell r="P297">
            <v>0.64935064935064901</v>
          </cell>
        </row>
        <row r="298">
          <cell r="A298">
            <v>601002</v>
          </cell>
          <cell r="B298">
            <v>8</v>
          </cell>
          <cell r="C298">
            <v>0</v>
          </cell>
          <cell r="D298">
            <v>2</v>
          </cell>
          <cell r="E298" t="str">
            <v>CVCTE</v>
          </cell>
          <cell r="F298" t="str">
            <v>Inglewood</v>
          </cell>
          <cell r="G298">
            <v>1</v>
          </cell>
          <cell r="H298">
            <v>1</v>
          </cell>
          <cell r="I298">
            <v>37.56</v>
          </cell>
          <cell r="J298">
            <v>21.472602420000001</v>
          </cell>
          <cell r="K298">
            <v>36.472602420000001</v>
          </cell>
          <cell r="L298">
            <v>1.0870763913285499</v>
          </cell>
          <cell r="M298">
            <v>37.559678811328503</v>
          </cell>
          <cell r="N298">
            <v>0.27272727272727298</v>
          </cell>
          <cell r="O298">
            <v>3.6666666666666701</v>
          </cell>
          <cell r="P298">
            <v>0.64935064935064901</v>
          </cell>
        </row>
        <row r="299">
          <cell r="A299">
            <v>600201</v>
          </cell>
          <cell r="B299">
            <v>8</v>
          </cell>
          <cell r="C299">
            <v>0</v>
          </cell>
          <cell r="D299">
            <v>2</v>
          </cell>
          <cell r="E299" t="str">
            <v>CVCTE</v>
          </cell>
          <cell r="F299" t="str">
            <v>Westmont / West Athens</v>
          </cell>
          <cell r="G299">
            <v>0</v>
          </cell>
          <cell r="H299">
            <v>0</v>
          </cell>
          <cell r="I299">
            <v>40.220999999999997</v>
          </cell>
          <cell r="J299">
            <v>22.554913750000001</v>
          </cell>
          <cell r="K299">
            <v>39.554913749999997</v>
          </cell>
          <cell r="L299">
            <v>0.66578638974865301</v>
          </cell>
          <cell r="M299">
            <v>40.220700139748701</v>
          </cell>
          <cell r="N299">
            <v>0.27272727272727298</v>
          </cell>
          <cell r="O299">
            <v>0</v>
          </cell>
          <cell r="P299">
            <v>0.64935064935064901</v>
          </cell>
        </row>
        <row r="300">
          <cell r="A300">
            <v>621201</v>
          </cell>
          <cell r="B300">
            <v>8</v>
          </cell>
          <cell r="C300">
            <v>0</v>
          </cell>
          <cell r="D300">
            <v>4</v>
          </cell>
          <cell r="E300" t="str">
            <v>CVCTE</v>
          </cell>
          <cell r="F300" t="str">
            <v>Redondo Beach</v>
          </cell>
          <cell r="G300">
            <v>0</v>
          </cell>
          <cell r="H300">
            <v>0</v>
          </cell>
          <cell r="I300">
            <v>13.082000000000001</v>
          </cell>
          <cell r="J300">
            <v>12.29575646</v>
          </cell>
          <cell r="K300">
            <v>12.29575646</v>
          </cell>
          <cell r="L300">
            <v>0.78639283700179496</v>
          </cell>
          <cell r="M300">
            <v>13.0821492970018</v>
          </cell>
          <cell r="N300">
            <v>0.27272727272727298</v>
          </cell>
          <cell r="O300">
            <v>0</v>
          </cell>
          <cell r="P300">
            <v>0.64935064935064901</v>
          </cell>
        </row>
        <row r="301">
          <cell r="A301">
            <v>621204</v>
          </cell>
          <cell r="B301">
            <v>8</v>
          </cell>
          <cell r="C301">
            <v>0</v>
          </cell>
          <cell r="D301">
            <v>4</v>
          </cell>
          <cell r="E301" t="str">
            <v>CVCTE</v>
          </cell>
          <cell r="F301" t="str">
            <v>Redondo Beach</v>
          </cell>
          <cell r="G301">
            <v>0</v>
          </cell>
          <cell r="H301">
            <v>0</v>
          </cell>
          <cell r="I301">
            <v>88.274000000000001</v>
          </cell>
          <cell r="J301">
            <v>46.325435880000001</v>
          </cell>
          <cell r="K301">
            <v>85.325435880000001</v>
          </cell>
          <cell r="L301">
            <v>2.9479437809874298</v>
          </cell>
          <cell r="M301">
            <v>88.273379660987402</v>
          </cell>
          <cell r="N301">
            <v>0.27272727272727298</v>
          </cell>
          <cell r="O301">
            <v>0</v>
          </cell>
          <cell r="P301">
            <v>0.64935064935064901</v>
          </cell>
        </row>
        <row r="302">
          <cell r="A302">
            <v>621326</v>
          </cell>
          <cell r="B302">
            <v>8</v>
          </cell>
          <cell r="C302">
            <v>0</v>
          </cell>
          <cell r="D302">
            <v>4</v>
          </cell>
          <cell r="E302" t="str">
            <v>CVCTE</v>
          </cell>
          <cell r="F302" t="str">
            <v>Redondo Beach</v>
          </cell>
          <cell r="G302">
            <v>1</v>
          </cell>
          <cell r="H302">
            <v>1</v>
          </cell>
          <cell r="I302">
            <v>14</v>
          </cell>
          <cell r="J302">
            <v>0</v>
          </cell>
          <cell r="K302">
            <v>14</v>
          </cell>
          <cell r="L302">
            <v>0</v>
          </cell>
          <cell r="M302">
            <v>14</v>
          </cell>
          <cell r="N302">
            <v>0.27272727272727298</v>
          </cell>
          <cell r="O302">
            <v>3.6666666666666701</v>
          </cell>
          <cell r="P302">
            <v>0.64935064935064901</v>
          </cell>
        </row>
        <row r="303">
          <cell r="A303">
            <v>650300</v>
          </cell>
          <cell r="B303">
            <v>8</v>
          </cell>
          <cell r="C303">
            <v>0</v>
          </cell>
          <cell r="D303">
            <v>4</v>
          </cell>
          <cell r="E303" t="str">
            <v>CVCTE</v>
          </cell>
          <cell r="F303" t="str">
            <v>Torrance</v>
          </cell>
          <cell r="G303">
            <v>1</v>
          </cell>
          <cell r="H303">
            <v>1</v>
          </cell>
          <cell r="I303">
            <v>22.619</v>
          </cell>
          <cell r="J303">
            <v>20.416914219999999</v>
          </cell>
          <cell r="K303">
            <v>21.416914219999999</v>
          </cell>
          <cell r="L303">
            <v>1.2015997931956901</v>
          </cell>
          <cell r="M303">
            <v>22.6185140131957</v>
          </cell>
          <cell r="N303">
            <v>0.27272727272727298</v>
          </cell>
          <cell r="O303">
            <v>3.6666666666666701</v>
          </cell>
          <cell r="P303">
            <v>0.64935064935064901</v>
          </cell>
        </row>
        <row r="304">
          <cell r="A304">
            <v>650401</v>
          </cell>
          <cell r="B304">
            <v>8</v>
          </cell>
          <cell r="C304">
            <v>0</v>
          </cell>
          <cell r="D304">
            <v>4</v>
          </cell>
          <cell r="E304" t="str">
            <v>CVCTE</v>
          </cell>
          <cell r="F304" t="str">
            <v>Torrance</v>
          </cell>
          <cell r="G304">
            <v>0</v>
          </cell>
          <cell r="H304">
            <v>0</v>
          </cell>
          <cell r="I304">
            <v>8.9979999999999993</v>
          </cell>
          <cell r="J304">
            <v>5.7005314900000004</v>
          </cell>
          <cell r="K304">
            <v>8.7005314899999995</v>
          </cell>
          <cell r="L304">
            <v>0.29733071305206499</v>
          </cell>
          <cell r="M304">
            <v>8.9978622030520601</v>
          </cell>
          <cell r="N304">
            <v>0.27272727272727298</v>
          </cell>
          <cell r="O304">
            <v>0</v>
          </cell>
          <cell r="P304">
            <v>0.64935064935064901</v>
          </cell>
        </row>
        <row r="305">
          <cell r="A305">
            <v>651102</v>
          </cell>
          <cell r="B305">
            <v>8</v>
          </cell>
          <cell r="C305">
            <v>0</v>
          </cell>
          <cell r="D305">
            <v>4</v>
          </cell>
          <cell r="E305" t="str">
            <v>CVCTE</v>
          </cell>
          <cell r="F305" t="str">
            <v>Torrance</v>
          </cell>
          <cell r="G305">
            <v>0</v>
          </cell>
          <cell r="H305">
            <v>0</v>
          </cell>
          <cell r="I305">
            <v>10.917999999999999</v>
          </cell>
          <cell r="J305">
            <v>10.35542491</v>
          </cell>
          <cell r="K305">
            <v>10.35542491</v>
          </cell>
          <cell r="L305">
            <v>0.56256664867145401</v>
          </cell>
          <cell r="M305">
            <v>10.917991558671501</v>
          </cell>
          <cell r="N305">
            <v>0.27272727272727298</v>
          </cell>
          <cell r="O305">
            <v>0</v>
          </cell>
          <cell r="P305">
            <v>0.64935064935064901</v>
          </cell>
        </row>
        <row r="306">
          <cell r="A306">
            <v>911001</v>
          </cell>
          <cell r="B306">
            <v>1</v>
          </cell>
          <cell r="C306">
            <v>0</v>
          </cell>
          <cell r="D306">
            <v>5</v>
          </cell>
          <cell r="E306" t="str">
            <v>FAMILY</v>
          </cell>
          <cell r="F306" t="str">
            <v>Unincorporated Antelope Valley</v>
          </cell>
          <cell r="G306">
            <v>1</v>
          </cell>
          <cell r="H306">
            <v>1</v>
          </cell>
          <cell r="I306">
            <v>465.37599999999998</v>
          </cell>
          <cell r="J306">
            <v>424.81247237000002</v>
          </cell>
          <cell r="K306">
            <v>443.81247237000002</v>
          </cell>
          <cell r="L306">
            <v>35.567577013931803</v>
          </cell>
          <cell r="M306">
            <v>479.38004938393198</v>
          </cell>
          <cell r="N306">
            <v>1</v>
          </cell>
          <cell r="O306">
            <v>1</v>
          </cell>
        </row>
        <row r="307">
          <cell r="A307">
            <v>900201</v>
          </cell>
          <cell r="B307">
            <v>1</v>
          </cell>
          <cell r="C307">
            <v>0</v>
          </cell>
          <cell r="D307">
            <v>5</v>
          </cell>
          <cell r="E307" t="str">
            <v>FAMILY</v>
          </cell>
          <cell r="F307" t="str">
            <v>Unincorporated Antelope Valley</v>
          </cell>
          <cell r="G307">
            <v>1</v>
          </cell>
          <cell r="H307">
            <v>1</v>
          </cell>
          <cell r="I307">
            <v>127.97</v>
          </cell>
          <cell r="J307">
            <v>122.13469274000001</v>
          </cell>
          <cell r="K307">
            <v>122.13469274000001</v>
          </cell>
          <cell r="L307">
            <v>5.83581049319569</v>
          </cell>
          <cell r="M307">
            <v>127.970503233196</v>
          </cell>
          <cell r="N307">
            <v>1</v>
          </cell>
          <cell r="O307">
            <v>1</v>
          </cell>
        </row>
        <row r="308">
          <cell r="A308">
            <v>900704</v>
          </cell>
          <cell r="B308">
            <v>1</v>
          </cell>
          <cell r="C308">
            <v>0</v>
          </cell>
          <cell r="D308">
            <v>5</v>
          </cell>
          <cell r="E308" t="str">
            <v>FAMILY</v>
          </cell>
          <cell r="F308" t="str">
            <v>Lancaster</v>
          </cell>
          <cell r="G308">
            <v>1</v>
          </cell>
          <cell r="H308">
            <v>1</v>
          </cell>
          <cell r="I308">
            <v>7.7069999999999999</v>
          </cell>
          <cell r="J308">
            <v>7.31147583</v>
          </cell>
          <cell r="K308">
            <v>7.31147583</v>
          </cell>
          <cell r="L308">
            <v>0.39442253098743302</v>
          </cell>
          <cell r="M308">
            <v>7.7058983609874296</v>
          </cell>
          <cell r="N308">
            <v>1</v>
          </cell>
          <cell r="O308">
            <v>1</v>
          </cell>
        </row>
        <row r="309">
          <cell r="A309">
            <v>900102</v>
          </cell>
          <cell r="B309">
            <v>1</v>
          </cell>
          <cell r="C309">
            <v>0</v>
          </cell>
          <cell r="D309">
            <v>5</v>
          </cell>
          <cell r="E309" t="str">
            <v>FAMILY</v>
          </cell>
          <cell r="F309" t="str">
            <v>Unincorporated Antelope Valley</v>
          </cell>
          <cell r="G309">
            <v>1</v>
          </cell>
          <cell r="H309">
            <v>1</v>
          </cell>
          <cell r="I309">
            <v>367.36399999999998</v>
          </cell>
          <cell r="J309">
            <v>345.45162646</v>
          </cell>
          <cell r="K309">
            <v>354.45162646</v>
          </cell>
          <cell r="L309">
            <v>12.912518897971299</v>
          </cell>
          <cell r="M309">
            <v>367.36414535797098</v>
          </cell>
          <cell r="N309">
            <v>1</v>
          </cell>
          <cell r="O309">
            <v>1</v>
          </cell>
        </row>
        <row r="310">
          <cell r="A310">
            <v>910201</v>
          </cell>
          <cell r="B310">
            <v>1</v>
          </cell>
          <cell r="C310">
            <v>0</v>
          </cell>
          <cell r="D310">
            <v>5</v>
          </cell>
          <cell r="E310" t="str">
            <v>FAMILY</v>
          </cell>
          <cell r="F310" t="str">
            <v>Palmdale</v>
          </cell>
          <cell r="G310">
            <v>1</v>
          </cell>
          <cell r="H310">
            <v>1</v>
          </cell>
          <cell r="I310">
            <v>8.7769999999999992</v>
          </cell>
          <cell r="J310">
            <v>5.7146398200000004</v>
          </cell>
          <cell r="K310">
            <v>8.7146398200000004</v>
          </cell>
          <cell r="L310">
            <v>6.18759662477558E-2</v>
          </cell>
          <cell r="M310">
            <v>8.7765157862477494</v>
          </cell>
          <cell r="N310">
            <v>1</v>
          </cell>
          <cell r="O310">
            <v>1</v>
          </cell>
        </row>
        <row r="311">
          <cell r="A311">
            <v>900606</v>
          </cell>
          <cell r="B311">
            <v>1</v>
          </cell>
          <cell r="C311">
            <v>0</v>
          </cell>
          <cell r="D311">
            <v>5</v>
          </cell>
          <cell r="E311" t="str">
            <v>FAMILY</v>
          </cell>
          <cell r="F311" t="str">
            <v>Lancaster</v>
          </cell>
          <cell r="G311">
            <v>1</v>
          </cell>
          <cell r="H311">
            <v>1</v>
          </cell>
          <cell r="I311">
            <v>29.771999999999998</v>
          </cell>
          <cell r="J311">
            <v>4.31758971</v>
          </cell>
          <cell r="K311">
            <v>29.31758971</v>
          </cell>
          <cell r="L311">
            <v>0.45435601842010798</v>
          </cell>
          <cell r="M311">
            <v>29.7719457284201</v>
          </cell>
          <cell r="N311">
            <v>1</v>
          </cell>
          <cell r="O311">
            <v>1</v>
          </cell>
        </row>
        <row r="312">
          <cell r="A312">
            <v>900705</v>
          </cell>
          <cell r="B312">
            <v>1</v>
          </cell>
          <cell r="C312">
            <v>0</v>
          </cell>
          <cell r="D312">
            <v>5</v>
          </cell>
          <cell r="E312" t="str">
            <v>FAMILY</v>
          </cell>
          <cell r="F312" t="str">
            <v>Lancaster</v>
          </cell>
          <cell r="G312">
            <v>1</v>
          </cell>
          <cell r="H312">
            <v>1</v>
          </cell>
          <cell r="I312">
            <v>25.88</v>
          </cell>
          <cell r="J312">
            <v>15.29969271</v>
          </cell>
          <cell r="K312">
            <v>25.299692709999999</v>
          </cell>
          <cell r="L312">
            <v>0.57984117026930004</v>
          </cell>
          <cell r="M312">
            <v>25.8795338802693</v>
          </cell>
          <cell r="N312">
            <v>1</v>
          </cell>
          <cell r="O312">
            <v>1</v>
          </cell>
        </row>
        <row r="313">
          <cell r="A313">
            <v>900504</v>
          </cell>
          <cell r="B313">
            <v>1</v>
          </cell>
          <cell r="C313">
            <v>0</v>
          </cell>
          <cell r="D313">
            <v>5</v>
          </cell>
          <cell r="E313" t="str">
            <v>FAMILY</v>
          </cell>
          <cell r="F313" t="str">
            <v>Lancaster</v>
          </cell>
          <cell r="G313">
            <v>1</v>
          </cell>
          <cell r="H313">
            <v>1</v>
          </cell>
          <cell r="I313">
            <v>39.384999999999998</v>
          </cell>
          <cell r="J313">
            <v>34.950114450000001</v>
          </cell>
          <cell r="K313">
            <v>37.950114450000001</v>
          </cell>
          <cell r="L313">
            <v>1.43424686436266</v>
          </cell>
          <cell r="M313">
            <v>39.3843613143627</v>
          </cell>
          <cell r="N313">
            <v>1</v>
          </cell>
          <cell r="O313">
            <v>1</v>
          </cell>
        </row>
        <row r="314">
          <cell r="A314">
            <v>910402</v>
          </cell>
          <cell r="B314">
            <v>1</v>
          </cell>
          <cell r="C314">
            <v>0</v>
          </cell>
          <cell r="D314">
            <v>5</v>
          </cell>
          <cell r="E314" t="str">
            <v>FAMILY</v>
          </cell>
          <cell r="F314" t="str">
            <v>Palmdale</v>
          </cell>
          <cell r="G314">
            <v>1</v>
          </cell>
          <cell r="H314">
            <v>1</v>
          </cell>
          <cell r="I314">
            <v>70.965999999999994</v>
          </cell>
          <cell r="J314">
            <v>65.512649100000004</v>
          </cell>
          <cell r="K314">
            <v>69.512649100000004</v>
          </cell>
          <cell r="L314">
            <v>1.45319738470377</v>
          </cell>
          <cell r="M314">
            <v>70.965846484703803</v>
          </cell>
          <cell r="N314">
            <v>1</v>
          </cell>
          <cell r="O314">
            <v>1</v>
          </cell>
        </row>
        <row r="315">
          <cell r="A315">
            <v>461200</v>
          </cell>
          <cell r="B315">
            <v>3</v>
          </cell>
          <cell r="C315">
            <v>0</v>
          </cell>
          <cell r="D315">
            <v>5</v>
          </cell>
          <cell r="E315" t="str">
            <v>FAMILY</v>
          </cell>
          <cell r="F315" t="str">
            <v>Altadena</v>
          </cell>
          <cell r="G315">
            <v>1</v>
          </cell>
          <cell r="H315">
            <v>1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1</v>
          </cell>
          <cell r="O315">
            <v>1</v>
          </cell>
        </row>
        <row r="316">
          <cell r="A316">
            <v>430101</v>
          </cell>
          <cell r="B316">
            <v>3</v>
          </cell>
          <cell r="C316">
            <v>0</v>
          </cell>
          <cell r="D316">
            <v>5</v>
          </cell>
          <cell r="E316" t="str">
            <v>FAMILY</v>
          </cell>
          <cell r="F316" t="str">
            <v>Duarte</v>
          </cell>
          <cell r="G316">
            <v>1</v>
          </cell>
          <cell r="H316">
            <v>1</v>
          </cell>
          <cell r="I316">
            <v>19.728999999999999</v>
          </cell>
          <cell r="J316">
            <v>15.039075090000001</v>
          </cell>
          <cell r="K316">
            <v>19.039075090000001</v>
          </cell>
          <cell r="L316">
            <v>6.6902722584739696</v>
          </cell>
          <cell r="M316">
            <v>25.729347348474001</v>
          </cell>
          <cell r="N316">
            <v>1</v>
          </cell>
          <cell r="O316">
            <v>1</v>
          </cell>
        </row>
        <row r="317">
          <cell r="A317">
            <v>402702</v>
          </cell>
          <cell r="B317">
            <v>3</v>
          </cell>
          <cell r="C317">
            <v>0</v>
          </cell>
          <cell r="D317">
            <v>1</v>
          </cell>
          <cell r="E317" t="str">
            <v>FAMILY</v>
          </cell>
          <cell r="F317" t="str">
            <v>Pomona</v>
          </cell>
          <cell r="G317">
            <v>1</v>
          </cell>
          <cell r="H317">
            <v>1</v>
          </cell>
          <cell r="I317">
            <v>52.363999999999997</v>
          </cell>
          <cell r="J317">
            <v>30.650831570000001</v>
          </cell>
          <cell r="K317">
            <v>51.650831570000001</v>
          </cell>
          <cell r="L317">
            <v>0.71261606305206504</v>
          </cell>
          <cell r="M317">
            <v>52.363447633052097</v>
          </cell>
          <cell r="N317">
            <v>1</v>
          </cell>
          <cell r="O317">
            <v>1</v>
          </cell>
        </row>
        <row r="318">
          <cell r="A318">
            <v>403318</v>
          </cell>
          <cell r="B318">
            <v>3</v>
          </cell>
          <cell r="C318">
            <v>0</v>
          </cell>
          <cell r="D318">
            <v>1</v>
          </cell>
          <cell r="E318" t="str">
            <v>FAMILY</v>
          </cell>
          <cell r="F318" t="str">
            <v>Pomona</v>
          </cell>
          <cell r="G318">
            <v>1</v>
          </cell>
          <cell r="H318">
            <v>1</v>
          </cell>
          <cell r="I318">
            <v>10.537000000000001</v>
          </cell>
          <cell r="J318">
            <v>7.2326561099999997</v>
          </cell>
          <cell r="K318">
            <v>10.232656110000001</v>
          </cell>
          <cell r="L318">
            <v>0.30387525168761198</v>
          </cell>
          <cell r="M318">
            <v>10.536531361687601</v>
          </cell>
          <cell r="N318">
            <v>1</v>
          </cell>
          <cell r="O318">
            <v>1</v>
          </cell>
        </row>
        <row r="319">
          <cell r="A319">
            <v>461100</v>
          </cell>
          <cell r="B319">
            <v>3</v>
          </cell>
          <cell r="C319">
            <v>0</v>
          </cell>
          <cell r="D319">
            <v>5</v>
          </cell>
          <cell r="E319" t="str">
            <v>FAMILY</v>
          </cell>
          <cell r="F319" t="str">
            <v>Altadena</v>
          </cell>
          <cell r="G319">
            <v>1</v>
          </cell>
          <cell r="H319">
            <v>1</v>
          </cell>
          <cell r="I319">
            <v>4.0949999999999998</v>
          </cell>
          <cell r="J319">
            <v>1.9836996600000001</v>
          </cell>
          <cell r="K319">
            <v>3.9836996600000001</v>
          </cell>
          <cell r="L319">
            <v>0.11117260138240601</v>
          </cell>
          <cell r="M319">
            <v>4.0948722613824096</v>
          </cell>
          <cell r="N319">
            <v>1</v>
          </cell>
          <cell r="O319">
            <v>1</v>
          </cell>
        </row>
        <row r="320">
          <cell r="A320">
            <v>408800</v>
          </cell>
          <cell r="B320">
            <v>3</v>
          </cell>
          <cell r="C320">
            <v>0</v>
          </cell>
          <cell r="D320">
            <v>1</v>
          </cell>
          <cell r="E320" t="str">
            <v>FAMILY</v>
          </cell>
          <cell r="F320" t="str">
            <v>Pomona</v>
          </cell>
          <cell r="G320">
            <v>1</v>
          </cell>
          <cell r="H320">
            <v>1</v>
          </cell>
          <cell r="I320">
            <v>28.963000000000001</v>
          </cell>
          <cell r="J320">
            <v>20.42204709</v>
          </cell>
          <cell r="K320">
            <v>28.42204709</v>
          </cell>
          <cell r="L320">
            <v>0.53966639524237003</v>
          </cell>
          <cell r="M320">
            <v>28.961713485242399</v>
          </cell>
          <cell r="N320">
            <v>1</v>
          </cell>
          <cell r="O320">
            <v>1</v>
          </cell>
        </row>
        <row r="321">
          <cell r="A321">
            <v>702803</v>
          </cell>
          <cell r="B321">
            <v>5</v>
          </cell>
          <cell r="C321">
            <v>0</v>
          </cell>
          <cell r="D321">
            <v>2</v>
          </cell>
          <cell r="E321" t="str">
            <v>FAMILY</v>
          </cell>
          <cell r="F321" t="str">
            <v>Culver City</v>
          </cell>
          <cell r="G321">
            <v>1</v>
          </cell>
          <cell r="H321">
            <v>1</v>
          </cell>
          <cell r="I321">
            <v>68.742999999999995</v>
          </cell>
          <cell r="J321">
            <v>52.936493849999998</v>
          </cell>
          <cell r="K321">
            <v>65.936493850000005</v>
          </cell>
          <cell r="L321">
            <v>6.8052969985457796</v>
          </cell>
          <cell r="M321">
            <v>72.741790848545804</v>
          </cell>
          <cell r="N321">
            <v>1</v>
          </cell>
          <cell r="O321">
            <v>1</v>
          </cell>
        </row>
        <row r="322">
          <cell r="A322">
            <v>800408</v>
          </cell>
          <cell r="B322">
            <v>5</v>
          </cell>
          <cell r="C322">
            <v>0</v>
          </cell>
          <cell r="D322">
            <v>3</v>
          </cell>
          <cell r="E322" t="str">
            <v>FAMILY</v>
          </cell>
          <cell r="F322" t="str">
            <v>Malibu</v>
          </cell>
          <cell r="G322">
            <v>1</v>
          </cell>
          <cell r="H322">
            <v>1</v>
          </cell>
          <cell r="I322">
            <v>60.234000000000002</v>
          </cell>
          <cell r="J322">
            <v>50.261976359999998</v>
          </cell>
          <cell r="K322">
            <v>58.261976359999998</v>
          </cell>
          <cell r="L322">
            <v>5.9717755517594302</v>
          </cell>
          <cell r="M322">
            <v>64.233751911759398</v>
          </cell>
          <cell r="N322">
            <v>1</v>
          </cell>
          <cell r="O322">
            <v>1</v>
          </cell>
        </row>
        <row r="323">
          <cell r="A323">
            <v>535400</v>
          </cell>
          <cell r="B323">
            <v>6</v>
          </cell>
          <cell r="C323">
            <v>0</v>
          </cell>
          <cell r="D323">
            <v>2</v>
          </cell>
          <cell r="E323" t="str">
            <v>FAMILY</v>
          </cell>
          <cell r="F323" t="str">
            <v>Florence-Graham</v>
          </cell>
          <cell r="G323">
            <v>1</v>
          </cell>
          <cell r="H323">
            <v>1</v>
          </cell>
          <cell r="I323">
            <v>145.87799999999999</v>
          </cell>
          <cell r="J323">
            <v>103.09206392999999</v>
          </cell>
          <cell r="K323">
            <v>140.09206392999999</v>
          </cell>
          <cell r="L323">
            <v>7.7855317475224401</v>
          </cell>
          <cell r="M323">
            <v>147.87759567752201</v>
          </cell>
          <cell r="N323">
            <v>1</v>
          </cell>
          <cell r="O323">
            <v>1</v>
          </cell>
        </row>
        <row r="324">
          <cell r="A324">
            <v>501002</v>
          </cell>
          <cell r="B324">
            <v>7</v>
          </cell>
          <cell r="C324">
            <v>0</v>
          </cell>
          <cell r="D324">
            <v>4</v>
          </cell>
          <cell r="E324" t="str">
            <v>FAMILY</v>
          </cell>
          <cell r="F324" t="str">
            <v>West Whittier</v>
          </cell>
          <cell r="G324">
            <v>1</v>
          </cell>
          <cell r="H324">
            <v>1</v>
          </cell>
          <cell r="I324">
            <v>52.491</v>
          </cell>
          <cell r="J324">
            <v>27.48735383</v>
          </cell>
          <cell r="K324">
            <v>51.487353830000004</v>
          </cell>
          <cell r="L324">
            <v>4.0042631172351904</v>
          </cell>
          <cell r="M324">
            <v>55.491616947235201</v>
          </cell>
          <cell r="N324">
            <v>1</v>
          </cell>
          <cell r="O324">
            <v>1</v>
          </cell>
        </row>
        <row r="325">
          <cell r="A325">
            <v>502700</v>
          </cell>
          <cell r="B325">
            <v>7</v>
          </cell>
          <cell r="C325">
            <v>0</v>
          </cell>
          <cell r="D325">
            <v>4</v>
          </cell>
          <cell r="E325" t="str">
            <v>FAMILY</v>
          </cell>
          <cell r="F325" t="str">
            <v>Santa Fe Springs</v>
          </cell>
          <cell r="G325">
            <v>1</v>
          </cell>
          <cell r="H325">
            <v>1</v>
          </cell>
          <cell r="I325">
            <v>36.627000000000002</v>
          </cell>
          <cell r="J325">
            <v>19.97926885</v>
          </cell>
          <cell r="K325">
            <v>35.979268849999997</v>
          </cell>
          <cell r="L325">
            <v>0.64776089669658898</v>
          </cell>
          <cell r="M325">
            <v>36.6270297466966</v>
          </cell>
          <cell r="N325">
            <v>1</v>
          </cell>
          <cell r="O325">
            <v>1</v>
          </cell>
        </row>
        <row r="326">
          <cell r="A326">
            <v>502802</v>
          </cell>
          <cell r="B326">
            <v>7</v>
          </cell>
          <cell r="C326">
            <v>0</v>
          </cell>
          <cell r="D326">
            <v>4</v>
          </cell>
          <cell r="E326" t="str">
            <v>FAMILY</v>
          </cell>
          <cell r="F326" t="str">
            <v>Santa Fe Springs</v>
          </cell>
          <cell r="G326">
            <v>1</v>
          </cell>
          <cell r="H326">
            <v>1</v>
          </cell>
          <cell r="I326">
            <v>60.323</v>
          </cell>
          <cell r="J326">
            <v>36.117972160000001</v>
          </cell>
          <cell r="K326">
            <v>57.117972160000001</v>
          </cell>
          <cell r="L326">
            <v>13.2055326215799</v>
          </cell>
          <cell r="M326">
            <v>70.323504781579899</v>
          </cell>
          <cell r="N326">
            <v>1</v>
          </cell>
          <cell r="O326">
            <v>1</v>
          </cell>
        </row>
        <row r="327">
          <cell r="A327">
            <v>532302</v>
          </cell>
          <cell r="B327">
            <v>7</v>
          </cell>
          <cell r="C327">
            <v>0</v>
          </cell>
          <cell r="D327">
            <v>1</v>
          </cell>
          <cell r="E327" t="str">
            <v>FAMILY</v>
          </cell>
          <cell r="F327" t="str">
            <v>Commerce</v>
          </cell>
          <cell r="G327">
            <v>1</v>
          </cell>
          <cell r="H327">
            <v>1</v>
          </cell>
          <cell r="I327">
            <v>16.225999999999999</v>
          </cell>
          <cell r="J327">
            <v>14.494572</v>
          </cell>
          <cell r="K327">
            <v>15.494572</v>
          </cell>
          <cell r="L327">
            <v>0.73055166323159804</v>
          </cell>
          <cell r="M327">
            <v>16.225123663231599</v>
          </cell>
          <cell r="N327">
            <v>1</v>
          </cell>
          <cell r="O327">
            <v>1</v>
          </cell>
        </row>
        <row r="328">
          <cell r="A328">
            <v>554405</v>
          </cell>
          <cell r="B328">
            <v>7</v>
          </cell>
          <cell r="C328">
            <v>0</v>
          </cell>
          <cell r="D328">
            <v>4</v>
          </cell>
          <cell r="E328" t="str">
            <v>FAMILY</v>
          </cell>
          <cell r="F328" t="str">
            <v>Bellflower</v>
          </cell>
          <cell r="G328">
            <v>1</v>
          </cell>
          <cell r="H328">
            <v>1</v>
          </cell>
          <cell r="I328">
            <v>17.812999999999999</v>
          </cell>
          <cell r="J328">
            <v>12.09474891</v>
          </cell>
          <cell r="K328">
            <v>17.09474891</v>
          </cell>
          <cell r="L328">
            <v>7.7179518653500896</v>
          </cell>
          <cell r="M328">
            <v>24.812700775350098</v>
          </cell>
          <cell r="N328">
            <v>1</v>
          </cell>
          <cell r="O328">
            <v>1</v>
          </cell>
        </row>
        <row r="329">
          <cell r="A329">
            <v>601401</v>
          </cell>
          <cell r="B329">
            <v>8</v>
          </cell>
          <cell r="C329">
            <v>0</v>
          </cell>
          <cell r="D329">
            <v>2</v>
          </cell>
          <cell r="E329" t="str">
            <v>FAMILY</v>
          </cell>
          <cell r="F329" t="str">
            <v>Inglewood</v>
          </cell>
          <cell r="G329">
            <v>1</v>
          </cell>
          <cell r="H329">
            <v>1</v>
          </cell>
          <cell r="I329">
            <v>4.0209999999999999</v>
          </cell>
          <cell r="J329">
            <v>3.8885795999999999</v>
          </cell>
          <cell r="K329">
            <v>3.8885795999999999</v>
          </cell>
          <cell r="L329">
            <v>3.13179792346499</v>
          </cell>
          <cell r="M329">
            <v>7.0203775234649903</v>
          </cell>
          <cell r="N329">
            <v>1</v>
          </cell>
          <cell r="O329">
            <v>1</v>
          </cell>
        </row>
        <row r="330">
          <cell r="A330">
            <v>603006</v>
          </cell>
          <cell r="B330">
            <v>8</v>
          </cell>
          <cell r="C330">
            <v>0</v>
          </cell>
          <cell r="D330">
            <v>2</v>
          </cell>
          <cell r="E330" t="str">
            <v>FAMILY</v>
          </cell>
          <cell r="F330" t="str">
            <v>Gardena</v>
          </cell>
          <cell r="G330">
            <v>1</v>
          </cell>
          <cell r="H330">
            <v>1</v>
          </cell>
          <cell r="I330">
            <v>2</v>
          </cell>
          <cell r="J330">
            <v>0</v>
          </cell>
          <cell r="K330">
            <v>2</v>
          </cell>
          <cell r="L330">
            <v>0</v>
          </cell>
          <cell r="M330">
            <v>2</v>
          </cell>
          <cell r="N330">
            <v>1</v>
          </cell>
          <cell r="O330">
            <v>1</v>
          </cell>
        </row>
        <row r="331">
          <cell r="A331">
            <v>603301</v>
          </cell>
          <cell r="B331">
            <v>8</v>
          </cell>
          <cell r="C331">
            <v>0</v>
          </cell>
          <cell r="D331">
            <v>2</v>
          </cell>
          <cell r="E331" t="str">
            <v>FAMILY</v>
          </cell>
          <cell r="F331" t="str">
            <v>Gardena</v>
          </cell>
          <cell r="G331">
            <v>1</v>
          </cell>
          <cell r="H331">
            <v>1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1</v>
          </cell>
          <cell r="O331">
            <v>1</v>
          </cell>
        </row>
        <row r="332">
          <cell r="A332">
            <v>670416</v>
          </cell>
          <cell r="B332">
            <v>8</v>
          </cell>
          <cell r="C332">
            <v>0</v>
          </cell>
          <cell r="D332">
            <v>4</v>
          </cell>
          <cell r="E332" t="str">
            <v>FAMILY</v>
          </cell>
          <cell r="F332" t="str">
            <v>Rancho Palos Verdes</v>
          </cell>
          <cell r="G332">
            <v>1</v>
          </cell>
          <cell r="H332">
            <v>1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1</v>
          </cell>
          <cell r="O332">
            <v>1</v>
          </cell>
        </row>
        <row r="333">
          <cell r="A333">
            <v>910706</v>
          </cell>
          <cell r="B333">
            <v>1</v>
          </cell>
          <cell r="C333">
            <v>0</v>
          </cell>
          <cell r="D333">
            <v>5</v>
          </cell>
          <cell r="E333" t="str">
            <v>INDIV</v>
          </cell>
          <cell r="F333" t="str">
            <v>Palmdale</v>
          </cell>
          <cell r="G333">
            <v>0</v>
          </cell>
          <cell r="H333">
            <v>0</v>
          </cell>
          <cell r="I333">
            <v>21.741</v>
          </cell>
          <cell r="J333">
            <v>15.158982310000001</v>
          </cell>
          <cell r="K333">
            <v>21.158982309999999</v>
          </cell>
          <cell r="L333">
            <v>0.58241849174147198</v>
          </cell>
          <cell r="M333">
            <v>21.741400801741499</v>
          </cell>
          <cell r="N333">
            <v>0.2</v>
          </cell>
          <cell r="O333">
            <v>0</v>
          </cell>
          <cell r="P333">
            <v>1</v>
          </cell>
        </row>
        <row r="334">
          <cell r="A334">
            <v>910811</v>
          </cell>
          <cell r="B334">
            <v>1</v>
          </cell>
          <cell r="C334">
            <v>0</v>
          </cell>
          <cell r="D334">
            <v>5</v>
          </cell>
          <cell r="E334" t="str">
            <v>INDIV</v>
          </cell>
          <cell r="F334" t="str">
            <v>Unincorporated Antelope Valley</v>
          </cell>
          <cell r="G334">
            <v>0</v>
          </cell>
          <cell r="H334">
            <v>0</v>
          </cell>
          <cell r="I334">
            <v>26.68</v>
          </cell>
          <cell r="J334">
            <v>13.92520753</v>
          </cell>
          <cell r="K334">
            <v>25.925207530000002</v>
          </cell>
          <cell r="L334">
            <v>0.75439119023339296</v>
          </cell>
          <cell r="M334">
            <v>26.6795987202334</v>
          </cell>
          <cell r="N334">
            <v>0.2</v>
          </cell>
          <cell r="O334">
            <v>0</v>
          </cell>
          <cell r="P334">
            <v>1</v>
          </cell>
        </row>
        <row r="335">
          <cell r="A335">
            <v>900701</v>
          </cell>
          <cell r="B335">
            <v>1</v>
          </cell>
          <cell r="C335">
            <v>0</v>
          </cell>
          <cell r="D335">
            <v>5</v>
          </cell>
          <cell r="E335" t="str">
            <v>INDIV</v>
          </cell>
          <cell r="F335" t="str">
            <v>Lancaster</v>
          </cell>
          <cell r="G335">
            <v>0</v>
          </cell>
          <cell r="H335">
            <v>0</v>
          </cell>
          <cell r="I335">
            <v>33.799999999999997</v>
          </cell>
          <cell r="J335">
            <v>23.646756480000001</v>
          </cell>
          <cell r="K335">
            <v>32.646756480000001</v>
          </cell>
          <cell r="L335">
            <v>1.15297665798923</v>
          </cell>
          <cell r="M335">
            <v>33.7997331379892</v>
          </cell>
          <cell r="N335">
            <v>0.2</v>
          </cell>
          <cell r="O335">
            <v>0</v>
          </cell>
          <cell r="P335">
            <v>1</v>
          </cell>
        </row>
        <row r="336">
          <cell r="A336">
            <v>910502</v>
          </cell>
          <cell r="B336">
            <v>1</v>
          </cell>
          <cell r="C336">
            <v>0</v>
          </cell>
          <cell r="D336">
            <v>5</v>
          </cell>
          <cell r="E336" t="str">
            <v>INDIV</v>
          </cell>
          <cell r="F336" t="str">
            <v>Palmdale</v>
          </cell>
          <cell r="G336">
            <v>1</v>
          </cell>
          <cell r="H336">
            <v>1</v>
          </cell>
          <cell r="I336">
            <v>10.021000000000001</v>
          </cell>
          <cell r="J336">
            <v>3.8885795999999999</v>
          </cell>
          <cell r="K336">
            <v>9.8885795999999999</v>
          </cell>
          <cell r="L336">
            <v>0.131797923464991</v>
          </cell>
          <cell r="M336">
            <v>10.020377523464999</v>
          </cell>
          <cell r="N336">
            <v>0.2</v>
          </cell>
          <cell r="O336">
            <v>5</v>
          </cell>
          <cell r="P336">
            <v>1</v>
          </cell>
        </row>
        <row r="337">
          <cell r="A337">
            <v>900803</v>
          </cell>
          <cell r="B337">
            <v>1</v>
          </cell>
          <cell r="C337">
            <v>0</v>
          </cell>
          <cell r="D337">
            <v>5</v>
          </cell>
          <cell r="E337" t="str">
            <v>INDIV</v>
          </cell>
          <cell r="F337" t="str">
            <v>Lancaster</v>
          </cell>
          <cell r="G337">
            <v>0</v>
          </cell>
          <cell r="H337">
            <v>0</v>
          </cell>
          <cell r="I337">
            <v>33.798000000000002</v>
          </cell>
          <cell r="J337">
            <v>14.096955299999999</v>
          </cell>
          <cell r="K337">
            <v>33.096955299999998</v>
          </cell>
          <cell r="L337">
            <v>0.70003100202872504</v>
          </cell>
          <cell r="M337">
            <v>33.796986302028699</v>
          </cell>
          <cell r="N337">
            <v>0.2</v>
          </cell>
          <cell r="O337">
            <v>0</v>
          </cell>
          <cell r="P337">
            <v>1</v>
          </cell>
        </row>
        <row r="338">
          <cell r="A338">
            <v>910809</v>
          </cell>
          <cell r="B338">
            <v>2</v>
          </cell>
          <cell r="C338">
            <v>0</v>
          </cell>
          <cell r="D338">
            <v>5</v>
          </cell>
          <cell r="E338" t="str">
            <v>INDIV</v>
          </cell>
          <cell r="F338" t="str">
            <v>Santa Clarita</v>
          </cell>
          <cell r="G338">
            <v>0</v>
          </cell>
          <cell r="H338">
            <v>0</v>
          </cell>
          <cell r="I338">
            <v>4.1900000000000004</v>
          </cell>
          <cell r="J338">
            <v>3.9673993200000002</v>
          </cell>
          <cell r="K338">
            <v>3.9673993200000002</v>
          </cell>
          <cell r="L338">
            <v>0.22234520276481101</v>
          </cell>
          <cell r="M338">
            <v>4.1897445227648102</v>
          </cell>
          <cell r="N338">
            <v>4.8387096774193498E-2</v>
          </cell>
          <cell r="O338">
            <v>0</v>
          </cell>
          <cell r="P338">
            <v>0.27419354838709697</v>
          </cell>
        </row>
        <row r="339">
          <cell r="A339">
            <v>310602</v>
          </cell>
          <cell r="B339">
            <v>2</v>
          </cell>
          <cell r="C339">
            <v>0</v>
          </cell>
          <cell r="D339">
            <v>5</v>
          </cell>
          <cell r="E339" t="str">
            <v>INDIV</v>
          </cell>
          <cell r="F339" t="str">
            <v>Burbank</v>
          </cell>
          <cell r="G339">
            <v>0</v>
          </cell>
          <cell r="H339">
            <v>0</v>
          </cell>
          <cell r="I339">
            <v>2</v>
          </cell>
          <cell r="J339">
            <v>0</v>
          </cell>
          <cell r="K339">
            <v>2</v>
          </cell>
          <cell r="L339">
            <v>0</v>
          </cell>
          <cell r="M339">
            <v>2</v>
          </cell>
          <cell r="N339">
            <v>4.8387096774193498E-2</v>
          </cell>
          <cell r="O339">
            <v>0</v>
          </cell>
          <cell r="P339">
            <v>0.27419354838709697</v>
          </cell>
        </row>
        <row r="340">
          <cell r="A340">
            <v>920104</v>
          </cell>
          <cell r="B340">
            <v>2</v>
          </cell>
          <cell r="C340">
            <v>0</v>
          </cell>
          <cell r="D340">
            <v>5</v>
          </cell>
          <cell r="E340" t="str">
            <v>INDIV</v>
          </cell>
          <cell r="F340" t="str">
            <v>Agua Dulce</v>
          </cell>
          <cell r="G340">
            <v>0</v>
          </cell>
          <cell r="H340">
            <v>0</v>
          </cell>
          <cell r="I340">
            <v>18.995000000000001</v>
          </cell>
          <cell r="J340">
            <v>10.502311300000001</v>
          </cell>
          <cell r="K340">
            <v>18.502311299999999</v>
          </cell>
          <cell r="L340">
            <v>0.49176658271095203</v>
          </cell>
          <cell r="M340">
            <v>18.994077882711</v>
          </cell>
          <cell r="N340">
            <v>4.8387096774193498E-2</v>
          </cell>
          <cell r="O340">
            <v>0</v>
          </cell>
          <cell r="P340">
            <v>0.27419354838709697</v>
          </cell>
        </row>
        <row r="341">
          <cell r="A341">
            <v>920040</v>
          </cell>
          <cell r="B341">
            <v>2</v>
          </cell>
          <cell r="C341">
            <v>0</v>
          </cell>
          <cell r="D341">
            <v>5</v>
          </cell>
          <cell r="E341" t="str">
            <v>INDIV</v>
          </cell>
          <cell r="F341" t="str">
            <v>Santa Clarita</v>
          </cell>
          <cell r="G341">
            <v>0</v>
          </cell>
          <cell r="H341">
            <v>0</v>
          </cell>
          <cell r="I341">
            <v>13.77</v>
          </cell>
          <cell r="J341">
            <v>10.0181212</v>
          </cell>
          <cell r="K341">
            <v>13.0181212</v>
          </cell>
          <cell r="L341">
            <v>0.75168673147217202</v>
          </cell>
          <cell r="M341">
            <v>13.769807931472201</v>
          </cell>
          <cell r="N341">
            <v>4.8387096774193498E-2</v>
          </cell>
          <cell r="O341">
            <v>0</v>
          </cell>
          <cell r="P341">
            <v>0.27419354838709697</v>
          </cell>
        </row>
        <row r="342">
          <cell r="A342">
            <v>320300</v>
          </cell>
          <cell r="B342">
            <v>2</v>
          </cell>
          <cell r="C342">
            <v>0</v>
          </cell>
          <cell r="D342">
            <v>3</v>
          </cell>
          <cell r="E342" t="str">
            <v>INDIV</v>
          </cell>
          <cell r="F342" t="str">
            <v>San Fernando</v>
          </cell>
          <cell r="G342">
            <v>0</v>
          </cell>
          <cell r="H342">
            <v>0</v>
          </cell>
          <cell r="I342">
            <v>11.707000000000001</v>
          </cell>
          <cell r="J342">
            <v>7.31147583</v>
          </cell>
          <cell r="K342">
            <v>11.311475829999999</v>
          </cell>
          <cell r="L342">
            <v>0.39442253098743302</v>
          </cell>
          <cell r="M342">
            <v>11.705898360987399</v>
          </cell>
          <cell r="N342">
            <v>4.8387096774193498E-2</v>
          </cell>
          <cell r="O342">
            <v>0</v>
          </cell>
          <cell r="P342">
            <v>0.27419354838709697</v>
          </cell>
        </row>
        <row r="343">
          <cell r="A343">
            <v>920336</v>
          </cell>
          <cell r="B343">
            <v>2</v>
          </cell>
          <cell r="C343">
            <v>0</v>
          </cell>
          <cell r="D343">
            <v>5</v>
          </cell>
          <cell r="E343" t="str">
            <v>INDIV</v>
          </cell>
          <cell r="F343" t="str">
            <v>Santa Clarita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4.8387096774193498E-2</v>
          </cell>
          <cell r="O343">
            <v>0</v>
          </cell>
          <cell r="P343">
            <v>0.27419354838709697</v>
          </cell>
        </row>
        <row r="344">
          <cell r="A344">
            <v>920036</v>
          </cell>
          <cell r="B344">
            <v>2</v>
          </cell>
          <cell r="C344">
            <v>0</v>
          </cell>
          <cell r="D344">
            <v>5</v>
          </cell>
          <cell r="E344" t="str">
            <v>INDIV</v>
          </cell>
          <cell r="F344" t="str">
            <v>Santa Clarita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4.8387096774193498E-2</v>
          </cell>
          <cell r="O344">
            <v>0</v>
          </cell>
          <cell r="P344">
            <v>0.27419354838709697</v>
          </cell>
        </row>
        <row r="345">
          <cell r="A345">
            <v>311400</v>
          </cell>
          <cell r="B345">
            <v>2</v>
          </cell>
          <cell r="C345">
            <v>0</v>
          </cell>
          <cell r="D345">
            <v>5</v>
          </cell>
          <cell r="E345" t="str">
            <v>INDIV</v>
          </cell>
          <cell r="F345" t="str">
            <v>Burbank</v>
          </cell>
          <cell r="G345">
            <v>0</v>
          </cell>
          <cell r="H345">
            <v>0</v>
          </cell>
          <cell r="I345">
            <v>10.276</v>
          </cell>
          <cell r="J345">
            <v>4.8620928000000001</v>
          </cell>
          <cell r="K345">
            <v>9.8620927999999992</v>
          </cell>
          <cell r="L345">
            <v>0.414076613662478</v>
          </cell>
          <cell r="M345">
            <v>10.276169413662499</v>
          </cell>
          <cell r="N345">
            <v>4.8387096774193498E-2</v>
          </cell>
          <cell r="O345">
            <v>0</v>
          </cell>
          <cell r="P345">
            <v>0.27419354838709697</v>
          </cell>
        </row>
        <row r="346">
          <cell r="A346">
            <v>311000</v>
          </cell>
          <cell r="B346">
            <v>2</v>
          </cell>
          <cell r="C346">
            <v>0</v>
          </cell>
          <cell r="D346">
            <v>5</v>
          </cell>
          <cell r="E346" t="str">
            <v>INDIV</v>
          </cell>
          <cell r="F346" t="str">
            <v>Burbank</v>
          </cell>
          <cell r="G346">
            <v>0</v>
          </cell>
          <cell r="H346">
            <v>0</v>
          </cell>
          <cell r="I346">
            <v>5.5170000000000003</v>
          </cell>
          <cell r="J346">
            <v>3.3440765099999998</v>
          </cell>
          <cell r="K346">
            <v>5.3440765099999998</v>
          </cell>
          <cell r="L346">
            <v>0.17207732822262101</v>
          </cell>
          <cell r="M346">
            <v>5.5161538382226203</v>
          </cell>
          <cell r="N346">
            <v>4.8387096774193498E-2</v>
          </cell>
          <cell r="O346">
            <v>0</v>
          </cell>
          <cell r="P346">
            <v>0.27419354838709697</v>
          </cell>
        </row>
        <row r="347">
          <cell r="A347">
            <v>800202</v>
          </cell>
          <cell r="B347">
            <v>2</v>
          </cell>
          <cell r="C347">
            <v>0</v>
          </cell>
          <cell r="D347">
            <v>3</v>
          </cell>
          <cell r="E347" t="str">
            <v>INDIV</v>
          </cell>
          <cell r="F347" t="str">
            <v>Calabasas</v>
          </cell>
          <cell r="G347">
            <v>0</v>
          </cell>
          <cell r="H347">
            <v>0</v>
          </cell>
          <cell r="I347">
            <v>5.5910000000000002</v>
          </cell>
          <cell r="J347">
            <v>1.43919657</v>
          </cell>
          <cell r="K347">
            <v>5.43919657</v>
          </cell>
          <cell r="L347">
            <v>0.15145200614003601</v>
          </cell>
          <cell r="M347">
            <v>5.5906485761400404</v>
          </cell>
          <cell r="N347">
            <v>4.8387096774193498E-2</v>
          </cell>
          <cell r="O347">
            <v>0</v>
          </cell>
          <cell r="P347">
            <v>0.27419354838709697</v>
          </cell>
        </row>
        <row r="348">
          <cell r="A348">
            <v>311700</v>
          </cell>
          <cell r="B348">
            <v>2</v>
          </cell>
          <cell r="C348">
            <v>0</v>
          </cell>
          <cell r="D348">
            <v>5</v>
          </cell>
          <cell r="E348" t="str">
            <v>INDIV</v>
          </cell>
          <cell r="F348" t="str">
            <v>Burbank</v>
          </cell>
          <cell r="G348">
            <v>0</v>
          </cell>
          <cell r="H348">
            <v>0</v>
          </cell>
          <cell r="I348">
            <v>3</v>
          </cell>
          <cell r="J348">
            <v>0</v>
          </cell>
          <cell r="K348">
            <v>3</v>
          </cell>
          <cell r="L348">
            <v>0</v>
          </cell>
          <cell r="M348">
            <v>3</v>
          </cell>
          <cell r="N348">
            <v>4.8387096774193498E-2</v>
          </cell>
          <cell r="O348">
            <v>0</v>
          </cell>
          <cell r="P348">
            <v>0.27419354838709697</v>
          </cell>
        </row>
        <row r="349">
          <cell r="A349">
            <v>310800</v>
          </cell>
          <cell r="B349">
            <v>2</v>
          </cell>
          <cell r="C349">
            <v>0</v>
          </cell>
          <cell r="D349">
            <v>5</v>
          </cell>
          <cell r="E349" t="str">
            <v>INDIV</v>
          </cell>
          <cell r="F349" t="str">
            <v>Burbank</v>
          </cell>
          <cell r="G349">
            <v>0</v>
          </cell>
          <cell r="H349">
            <v>0</v>
          </cell>
          <cell r="I349">
            <v>20.399000000000001</v>
          </cell>
          <cell r="J349">
            <v>3.1723287400000002</v>
          </cell>
          <cell r="K349">
            <v>20.172328740000001</v>
          </cell>
          <cell r="L349">
            <v>0.22643751642728899</v>
          </cell>
          <cell r="M349">
            <v>20.398766256427301</v>
          </cell>
          <cell r="N349">
            <v>4.8387096774193498E-2</v>
          </cell>
          <cell r="O349">
            <v>0</v>
          </cell>
          <cell r="P349">
            <v>0.27419354838709697</v>
          </cell>
        </row>
        <row r="350">
          <cell r="A350">
            <v>320202</v>
          </cell>
          <cell r="B350">
            <v>2</v>
          </cell>
          <cell r="C350">
            <v>0</v>
          </cell>
          <cell r="D350">
            <v>3</v>
          </cell>
          <cell r="E350" t="str">
            <v>INDIV</v>
          </cell>
          <cell r="F350" t="str">
            <v>San Fernando</v>
          </cell>
          <cell r="G350">
            <v>0</v>
          </cell>
          <cell r="H350">
            <v>0</v>
          </cell>
          <cell r="I350">
            <v>8.2759999999999998</v>
          </cell>
          <cell r="J350">
            <v>4.8620928000000001</v>
          </cell>
          <cell r="K350">
            <v>7.8620928000000001</v>
          </cell>
          <cell r="L350">
            <v>0.414076613662478</v>
          </cell>
          <cell r="M350">
            <v>8.2761694136624797</v>
          </cell>
          <cell r="N350">
            <v>4.8387096774193498E-2</v>
          </cell>
          <cell r="O350">
            <v>0</v>
          </cell>
          <cell r="P350">
            <v>0.27419354838709697</v>
          </cell>
        </row>
        <row r="351">
          <cell r="A351">
            <v>310703</v>
          </cell>
          <cell r="B351">
            <v>2</v>
          </cell>
          <cell r="C351">
            <v>0</v>
          </cell>
          <cell r="D351">
            <v>5</v>
          </cell>
          <cell r="E351" t="str">
            <v>INDIV</v>
          </cell>
          <cell r="F351" t="str">
            <v>Burbank</v>
          </cell>
          <cell r="G351">
            <v>1</v>
          </cell>
          <cell r="H351">
            <v>1</v>
          </cell>
          <cell r="I351">
            <v>5.19</v>
          </cell>
          <cell r="J351">
            <v>3.9673993200000002</v>
          </cell>
          <cell r="K351">
            <v>4.9673993200000002</v>
          </cell>
          <cell r="L351">
            <v>0.22234520276481101</v>
          </cell>
          <cell r="M351">
            <v>5.1897445227648102</v>
          </cell>
          <cell r="N351">
            <v>4.8387096774193498E-2</v>
          </cell>
          <cell r="O351">
            <v>20.6666666666667</v>
          </cell>
          <cell r="P351">
            <v>0.27419354838709697</v>
          </cell>
        </row>
        <row r="352">
          <cell r="A352">
            <v>920042</v>
          </cell>
          <cell r="B352">
            <v>2</v>
          </cell>
          <cell r="C352">
            <v>0</v>
          </cell>
          <cell r="D352">
            <v>5</v>
          </cell>
          <cell r="E352" t="str">
            <v>INDIV</v>
          </cell>
          <cell r="F352" t="str">
            <v>Santa Clarita</v>
          </cell>
          <cell r="G352">
            <v>0</v>
          </cell>
          <cell r="H352">
            <v>0</v>
          </cell>
          <cell r="I352">
            <v>6.7720000000000002</v>
          </cell>
          <cell r="J352">
            <v>4.31758971</v>
          </cell>
          <cell r="K352">
            <v>6.31758971</v>
          </cell>
          <cell r="L352">
            <v>0.45435601842010798</v>
          </cell>
          <cell r="M352">
            <v>6.7719457284201097</v>
          </cell>
          <cell r="N352">
            <v>4.8387096774193498E-2</v>
          </cell>
          <cell r="O352">
            <v>0</v>
          </cell>
          <cell r="P352">
            <v>0.27419354838709697</v>
          </cell>
        </row>
        <row r="353">
          <cell r="A353">
            <v>311802</v>
          </cell>
          <cell r="B353">
            <v>2</v>
          </cell>
          <cell r="C353">
            <v>0</v>
          </cell>
          <cell r="D353">
            <v>5</v>
          </cell>
          <cell r="E353" t="str">
            <v>INDIV</v>
          </cell>
          <cell r="F353" t="str">
            <v>Burbank</v>
          </cell>
          <cell r="G353">
            <v>0</v>
          </cell>
          <cell r="H353">
            <v>0</v>
          </cell>
          <cell r="I353">
            <v>8</v>
          </cell>
          <cell r="J353">
            <v>0</v>
          </cell>
          <cell r="K353">
            <v>8</v>
          </cell>
          <cell r="L353">
            <v>0</v>
          </cell>
          <cell r="M353">
            <v>8</v>
          </cell>
          <cell r="N353">
            <v>4.8387096774193498E-2</v>
          </cell>
          <cell r="O353">
            <v>0</v>
          </cell>
          <cell r="P353">
            <v>0.27419354838709697</v>
          </cell>
        </row>
        <row r="354">
          <cell r="A354">
            <v>920037</v>
          </cell>
          <cell r="B354">
            <v>2</v>
          </cell>
          <cell r="C354">
            <v>0</v>
          </cell>
          <cell r="D354">
            <v>5</v>
          </cell>
          <cell r="E354" t="str">
            <v>INDIV</v>
          </cell>
          <cell r="F354" t="str">
            <v>Santa Clarita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4.8387096774193498E-2</v>
          </cell>
          <cell r="O354">
            <v>0</v>
          </cell>
          <cell r="P354">
            <v>0.27419354838709697</v>
          </cell>
        </row>
        <row r="355">
          <cell r="A355">
            <v>400602</v>
          </cell>
          <cell r="B355">
            <v>3</v>
          </cell>
          <cell r="C355">
            <v>0</v>
          </cell>
          <cell r="D355">
            <v>1</v>
          </cell>
          <cell r="E355" t="str">
            <v>INDIV</v>
          </cell>
          <cell r="F355" t="str">
            <v>Azusa</v>
          </cell>
          <cell r="G355">
            <v>1</v>
          </cell>
          <cell r="H355">
            <v>1</v>
          </cell>
          <cell r="I355">
            <v>11.095000000000001</v>
          </cell>
          <cell r="J355">
            <v>1.9836996600000001</v>
          </cell>
          <cell r="K355">
            <v>10.983699659999999</v>
          </cell>
          <cell r="L355">
            <v>0.11117260138240601</v>
          </cell>
          <cell r="M355">
            <v>11.094872261382401</v>
          </cell>
          <cell r="N355">
            <v>8.9285714285714302E-2</v>
          </cell>
          <cell r="O355">
            <v>11.2</v>
          </cell>
          <cell r="P355">
            <v>1</v>
          </cell>
        </row>
        <row r="356">
          <cell r="A356">
            <v>481102</v>
          </cell>
          <cell r="B356">
            <v>3</v>
          </cell>
          <cell r="C356">
            <v>0</v>
          </cell>
          <cell r="D356">
            <v>5</v>
          </cell>
          <cell r="E356" t="str">
            <v>INDIV</v>
          </cell>
          <cell r="F356" t="str">
            <v>San Gabriel</v>
          </cell>
          <cell r="G356">
            <v>0</v>
          </cell>
          <cell r="H356">
            <v>0</v>
          </cell>
          <cell r="I356">
            <v>3.9260000000000002</v>
          </cell>
          <cell r="J356">
            <v>1.90487994</v>
          </cell>
          <cell r="K356">
            <v>3.9048799399999998</v>
          </cell>
          <cell r="L356">
            <v>2.0625322082585301E-2</v>
          </cell>
          <cell r="M356">
            <v>3.9255052620825901</v>
          </cell>
          <cell r="N356">
            <v>8.9285714285714302E-2</v>
          </cell>
          <cell r="O356">
            <v>0</v>
          </cell>
          <cell r="P356">
            <v>1</v>
          </cell>
        </row>
        <row r="357">
          <cell r="A357">
            <v>408212</v>
          </cell>
          <cell r="B357">
            <v>3</v>
          </cell>
          <cell r="C357">
            <v>0</v>
          </cell>
          <cell r="D357">
            <v>4</v>
          </cell>
          <cell r="E357" t="str">
            <v>INDIV</v>
          </cell>
          <cell r="F357" t="str">
            <v>Rowland Heights</v>
          </cell>
          <cell r="G357">
            <v>0</v>
          </cell>
          <cell r="H357">
            <v>0</v>
          </cell>
          <cell r="I357">
            <v>3</v>
          </cell>
          <cell r="J357">
            <v>0</v>
          </cell>
          <cell r="K357">
            <v>3</v>
          </cell>
          <cell r="L357">
            <v>0</v>
          </cell>
          <cell r="M357">
            <v>3</v>
          </cell>
          <cell r="N357">
            <v>8.9285714285714302E-2</v>
          </cell>
          <cell r="O357">
            <v>0</v>
          </cell>
          <cell r="P357">
            <v>1</v>
          </cell>
        </row>
        <row r="358">
          <cell r="A358">
            <v>400604</v>
          </cell>
          <cell r="B358">
            <v>3</v>
          </cell>
          <cell r="C358">
            <v>0</v>
          </cell>
          <cell r="D358">
            <v>1</v>
          </cell>
          <cell r="E358" t="str">
            <v>INDIV</v>
          </cell>
          <cell r="F358" t="str">
            <v>Azusa</v>
          </cell>
          <cell r="G358">
            <v>0</v>
          </cell>
          <cell r="H358">
            <v>0</v>
          </cell>
          <cell r="I358">
            <v>7.2939999999999996</v>
          </cell>
          <cell r="J358">
            <v>3.1204881900000001</v>
          </cell>
          <cell r="K358">
            <v>7.1204881899999997</v>
          </cell>
          <cell r="L358">
            <v>0.172943937899461</v>
          </cell>
          <cell r="M358">
            <v>7.29343212789946</v>
          </cell>
          <cell r="N358">
            <v>8.9285714285714302E-2</v>
          </cell>
          <cell r="O358">
            <v>0</v>
          </cell>
          <cell r="P358">
            <v>1</v>
          </cell>
        </row>
        <row r="359">
          <cell r="A359">
            <v>401311</v>
          </cell>
          <cell r="B359">
            <v>3</v>
          </cell>
          <cell r="C359">
            <v>0</v>
          </cell>
          <cell r="D359">
            <v>5</v>
          </cell>
          <cell r="E359" t="str">
            <v>INDIV</v>
          </cell>
          <cell r="F359" t="str">
            <v>San Dimas</v>
          </cell>
          <cell r="G359">
            <v>0</v>
          </cell>
          <cell r="H359">
            <v>0</v>
          </cell>
          <cell r="I359">
            <v>4.5910000000000002</v>
          </cell>
          <cell r="J359">
            <v>1.43919657</v>
          </cell>
          <cell r="K359">
            <v>4.43919657</v>
          </cell>
          <cell r="L359">
            <v>0.15145200614003601</v>
          </cell>
          <cell r="M359">
            <v>4.5906485761400404</v>
          </cell>
          <cell r="N359">
            <v>8.9285714285714302E-2</v>
          </cell>
          <cell r="O359">
            <v>0</v>
          </cell>
          <cell r="P359">
            <v>1</v>
          </cell>
        </row>
        <row r="360">
          <cell r="A360">
            <v>431900</v>
          </cell>
          <cell r="B360">
            <v>3</v>
          </cell>
          <cell r="C360">
            <v>0</v>
          </cell>
          <cell r="D360">
            <v>5</v>
          </cell>
          <cell r="E360" t="str">
            <v>INDIV</v>
          </cell>
          <cell r="F360" t="str">
            <v>Temple City</v>
          </cell>
          <cell r="G360">
            <v>0</v>
          </cell>
          <cell r="H360">
            <v>0</v>
          </cell>
          <cell r="I360">
            <v>8.9260000000000002</v>
          </cell>
          <cell r="J360">
            <v>1.90487994</v>
          </cell>
          <cell r="K360">
            <v>8.9048799400000007</v>
          </cell>
          <cell r="L360">
            <v>2.0625322082585301E-2</v>
          </cell>
          <cell r="M360">
            <v>8.9255052620825897</v>
          </cell>
          <cell r="N360">
            <v>8.9285714285714302E-2</v>
          </cell>
          <cell r="O360">
            <v>0</v>
          </cell>
          <cell r="P360">
            <v>1</v>
          </cell>
        </row>
        <row r="361">
          <cell r="A361">
            <v>404201</v>
          </cell>
          <cell r="B361">
            <v>3</v>
          </cell>
          <cell r="C361">
            <v>0</v>
          </cell>
          <cell r="D361">
            <v>1</v>
          </cell>
          <cell r="E361" t="str">
            <v>INDIV</v>
          </cell>
          <cell r="F361" t="str">
            <v>Azusa</v>
          </cell>
          <cell r="G361">
            <v>0</v>
          </cell>
          <cell r="H361">
            <v>0</v>
          </cell>
          <cell r="I361">
            <v>1</v>
          </cell>
          <cell r="J361">
            <v>0</v>
          </cell>
          <cell r="K361">
            <v>1</v>
          </cell>
          <cell r="L361">
            <v>0</v>
          </cell>
          <cell r="M361">
            <v>1</v>
          </cell>
          <cell r="N361">
            <v>8.9285714285714302E-2</v>
          </cell>
          <cell r="O361">
            <v>0</v>
          </cell>
          <cell r="P361">
            <v>1</v>
          </cell>
        </row>
        <row r="362">
          <cell r="A362">
            <v>404301</v>
          </cell>
          <cell r="B362">
            <v>3</v>
          </cell>
          <cell r="C362">
            <v>0</v>
          </cell>
          <cell r="D362">
            <v>1</v>
          </cell>
          <cell r="E362" t="str">
            <v>INDIV</v>
          </cell>
          <cell r="F362" t="str">
            <v>Azusa</v>
          </cell>
          <cell r="G362">
            <v>0</v>
          </cell>
          <cell r="H362">
            <v>0</v>
          </cell>
          <cell r="I362">
            <v>3</v>
          </cell>
          <cell r="J362">
            <v>0</v>
          </cell>
          <cell r="K362">
            <v>3</v>
          </cell>
          <cell r="L362">
            <v>0</v>
          </cell>
          <cell r="M362">
            <v>3</v>
          </cell>
          <cell r="N362">
            <v>8.9285714285714302E-2</v>
          </cell>
          <cell r="O362">
            <v>0</v>
          </cell>
          <cell r="P362">
            <v>1</v>
          </cell>
        </row>
        <row r="363">
          <cell r="A363">
            <v>402600</v>
          </cell>
          <cell r="B363">
            <v>3</v>
          </cell>
          <cell r="C363">
            <v>0</v>
          </cell>
          <cell r="D363">
            <v>1</v>
          </cell>
          <cell r="E363" t="str">
            <v>INDIV</v>
          </cell>
          <cell r="F363" t="str">
            <v>Pomona</v>
          </cell>
          <cell r="G363">
            <v>0</v>
          </cell>
          <cell r="H363">
            <v>0</v>
          </cell>
          <cell r="I363">
            <v>14.021000000000001</v>
          </cell>
          <cell r="J363">
            <v>3.8885795999999999</v>
          </cell>
          <cell r="K363">
            <v>13.8885796</v>
          </cell>
          <cell r="L363">
            <v>0.131797923464991</v>
          </cell>
          <cell r="M363">
            <v>14.020377523464999</v>
          </cell>
          <cell r="N363">
            <v>8.9285714285714302E-2</v>
          </cell>
          <cell r="O363">
            <v>0</v>
          </cell>
          <cell r="P363">
            <v>1</v>
          </cell>
        </row>
        <row r="364">
          <cell r="A364">
            <v>407101</v>
          </cell>
          <cell r="B364">
            <v>3</v>
          </cell>
          <cell r="C364">
            <v>0</v>
          </cell>
          <cell r="D364">
            <v>1</v>
          </cell>
          <cell r="E364" t="str">
            <v>INDIV</v>
          </cell>
          <cell r="F364" t="str">
            <v>La Puente</v>
          </cell>
          <cell r="G364">
            <v>0</v>
          </cell>
          <cell r="H364">
            <v>0</v>
          </cell>
          <cell r="I364">
            <v>6.0949999999999998</v>
          </cell>
          <cell r="J364">
            <v>1.9836996600000001</v>
          </cell>
          <cell r="K364">
            <v>5.9836996600000001</v>
          </cell>
          <cell r="L364">
            <v>0.11117260138240601</v>
          </cell>
          <cell r="M364">
            <v>6.0948722613824096</v>
          </cell>
          <cell r="N364">
            <v>8.9285714285714302E-2</v>
          </cell>
          <cell r="O364">
            <v>0</v>
          </cell>
          <cell r="P364">
            <v>1</v>
          </cell>
        </row>
        <row r="365">
          <cell r="A365">
            <v>405702</v>
          </cell>
          <cell r="B365">
            <v>3</v>
          </cell>
          <cell r="C365">
            <v>0</v>
          </cell>
          <cell r="D365">
            <v>5</v>
          </cell>
          <cell r="E365" t="str">
            <v>INDIV</v>
          </cell>
          <cell r="F365" t="str">
            <v>Covina</v>
          </cell>
          <cell r="G365">
            <v>0</v>
          </cell>
          <cell r="H365">
            <v>0</v>
          </cell>
          <cell r="I365">
            <v>6</v>
          </cell>
          <cell r="J365">
            <v>0</v>
          </cell>
          <cell r="K365">
            <v>6</v>
          </cell>
          <cell r="L365">
            <v>0</v>
          </cell>
          <cell r="M365">
            <v>6</v>
          </cell>
          <cell r="N365">
            <v>8.9285714285714302E-2</v>
          </cell>
          <cell r="O365">
            <v>0</v>
          </cell>
          <cell r="P365">
            <v>1</v>
          </cell>
        </row>
        <row r="366">
          <cell r="A366">
            <v>405900</v>
          </cell>
          <cell r="B366">
            <v>3</v>
          </cell>
          <cell r="C366">
            <v>0</v>
          </cell>
          <cell r="D366">
            <v>5</v>
          </cell>
          <cell r="E366" t="str">
            <v>INDIV</v>
          </cell>
          <cell r="F366" t="str">
            <v>Covina</v>
          </cell>
          <cell r="G366">
            <v>0</v>
          </cell>
          <cell r="H366">
            <v>0</v>
          </cell>
          <cell r="I366">
            <v>3</v>
          </cell>
          <cell r="J366">
            <v>0</v>
          </cell>
          <cell r="K366">
            <v>3</v>
          </cell>
          <cell r="L366">
            <v>0</v>
          </cell>
          <cell r="M366">
            <v>3</v>
          </cell>
          <cell r="N366">
            <v>8.9285714285714302E-2</v>
          </cell>
          <cell r="O366">
            <v>0</v>
          </cell>
          <cell r="P366">
            <v>1</v>
          </cell>
        </row>
        <row r="367">
          <cell r="A367">
            <v>406200</v>
          </cell>
          <cell r="B367">
            <v>3</v>
          </cell>
          <cell r="C367">
            <v>0</v>
          </cell>
          <cell r="D367">
            <v>1</v>
          </cell>
          <cell r="E367" t="str">
            <v>INDIV</v>
          </cell>
          <cell r="F367" t="str">
            <v>West Covina</v>
          </cell>
          <cell r="G367">
            <v>0</v>
          </cell>
          <cell r="H367">
            <v>0</v>
          </cell>
          <cell r="I367">
            <v>6.5170000000000003</v>
          </cell>
          <cell r="J367">
            <v>3.3440765099999998</v>
          </cell>
          <cell r="K367">
            <v>6.3440765099999998</v>
          </cell>
          <cell r="L367">
            <v>0.17207732822262101</v>
          </cell>
          <cell r="M367">
            <v>6.5161538382226203</v>
          </cell>
          <cell r="N367">
            <v>8.9285714285714302E-2</v>
          </cell>
          <cell r="O367">
            <v>0</v>
          </cell>
          <cell r="P367">
            <v>1</v>
          </cell>
        </row>
        <row r="368">
          <cell r="A368">
            <v>481402</v>
          </cell>
          <cell r="B368">
            <v>3</v>
          </cell>
          <cell r="C368">
            <v>0</v>
          </cell>
          <cell r="D368">
            <v>5</v>
          </cell>
          <cell r="E368" t="str">
            <v>INDIV</v>
          </cell>
          <cell r="F368" t="str">
            <v>San Gabriel</v>
          </cell>
          <cell r="G368">
            <v>0</v>
          </cell>
          <cell r="H368">
            <v>0</v>
          </cell>
          <cell r="I368">
            <v>1</v>
          </cell>
          <cell r="J368">
            <v>0</v>
          </cell>
          <cell r="K368">
            <v>1</v>
          </cell>
          <cell r="L368">
            <v>0</v>
          </cell>
          <cell r="M368">
            <v>1</v>
          </cell>
          <cell r="N368">
            <v>8.9285714285714302E-2</v>
          </cell>
          <cell r="O368">
            <v>0</v>
          </cell>
          <cell r="P368">
            <v>1</v>
          </cell>
        </row>
        <row r="369">
          <cell r="A369">
            <v>482600</v>
          </cell>
          <cell r="B369">
            <v>3</v>
          </cell>
          <cell r="C369">
            <v>0</v>
          </cell>
          <cell r="D369">
            <v>1</v>
          </cell>
          <cell r="E369" t="str">
            <v>INDIV</v>
          </cell>
          <cell r="F369" t="str">
            <v>Monterey Park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8.9285714285714302E-2</v>
          </cell>
          <cell r="O369">
            <v>0</v>
          </cell>
          <cell r="P369">
            <v>1</v>
          </cell>
        </row>
        <row r="370">
          <cell r="A370">
            <v>402706</v>
          </cell>
          <cell r="B370">
            <v>3</v>
          </cell>
          <cell r="C370">
            <v>0</v>
          </cell>
          <cell r="D370">
            <v>1</v>
          </cell>
          <cell r="E370" t="str">
            <v>INDIV</v>
          </cell>
          <cell r="F370" t="str">
            <v>Pomona</v>
          </cell>
          <cell r="G370">
            <v>0</v>
          </cell>
          <cell r="H370">
            <v>0</v>
          </cell>
          <cell r="I370">
            <v>5.0949999999999998</v>
          </cell>
          <cell r="J370">
            <v>1.9836996600000001</v>
          </cell>
          <cell r="K370">
            <v>4.9836996600000001</v>
          </cell>
          <cell r="L370">
            <v>0.11117260138240601</v>
          </cell>
          <cell r="M370">
            <v>5.0948722613824096</v>
          </cell>
          <cell r="N370">
            <v>8.9285714285714302E-2</v>
          </cell>
          <cell r="O370">
            <v>0</v>
          </cell>
          <cell r="P370">
            <v>1</v>
          </cell>
        </row>
        <row r="371">
          <cell r="A371">
            <v>400800</v>
          </cell>
          <cell r="B371">
            <v>3</v>
          </cell>
          <cell r="C371">
            <v>0</v>
          </cell>
          <cell r="D371">
            <v>5</v>
          </cell>
          <cell r="E371" t="str">
            <v>INDIV</v>
          </cell>
          <cell r="F371" t="str">
            <v>Glendora</v>
          </cell>
          <cell r="G371">
            <v>1</v>
          </cell>
          <cell r="H371">
            <v>1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8.9285714285714302E-2</v>
          </cell>
          <cell r="O371">
            <v>11.2</v>
          </cell>
          <cell r="P371">
            <v>1</v>
          </cell>
        </row>
        <row r="372">
          <cell r="A372">
            <v>405302</v>
          </cell>
          <cell r="B372">
            <v>3</v>
          </cell>
          <cell r="C372">
            <v>0</v>
          </cell>
          <cell r="D372">
            <v>1</v>
          </cell>
          <cell r="E372" t="str">
            <v>INDIV</v>
          </cell>
          <cell r="F372" t="str">
            <v>West Covina</v>
          </cell>
          <cell r="G372">
            <v>0</v>
          </cell>
          <cell r="H372">
            <v>0</v>
          </cell>
          <cell r="I372">
            <v>5.5170000000000003</v>
          </cell>
          <cell r="J372">
            <v>3.3440765099999998</v>
          </cell>
          <cell r="K372">
            <v>5.3440765099999998</v>
          </cell>
          <cell r="L372">
            <v>0.17207732822262101</v>
          </cell>
          <cell r="M372">
            <v>5.5161538382226203</v>
          </cell>
          <cell r="N372">
            <v>8.9285714285714302E-2</v>
          </cell>
          <cell r="O372">
            <v>0</v>
          </cell>
          <cell r="P372">
            <v>1</v>
          </cell>
        </row>
        <row r="373">
          <cell r="A373">
            <v>432201</v>
          </cell>
          <cell r="B373">
            <v>3</v>
          </cell>
          <cell r="C373">
            <v>0</v>
          </cell>
          <cell r="D373">
            <v>1</v>
          </cell>
          <cell r="E373" t="str">
            <v>INDIV</v>
          </cell>
          <cell r="F373" t="str">
            <v>Rosemead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8.9285714285714302E-2</v>
          </cell>
          <cell r="O373">
            <v>0</v>
          </cell>
          <cell r="P373">
            <v>1</v>
          </cell>
        </row>
        <row r="374">
          <cell r="A374">
            <v>405001</v>
          </cell>
          <cell r="B374">
            <v>3</v>
          </cell>
          <cell r="C374">
            <v>0</v>
          </cell>
          <cell r="D374">
            <v>1</v>
          </cell>
          <cell r="E374" t="str">
            <v>INDIV</v>
          </cell>
          <cell r="F374" t="str">
            <v>Baldwin Park</v>
          </cell>
          <cell r="G374">
            <v>0</v>
          </cell>
          <cell r="H374">
            <v>0</v>
          </cell>
          <cell r="I374">
            <v>3.0950000000000002</v>
          </cell>
          <cell r="J374">
            <v>1.9836996600000001</v>
          </cell>
          <cell r="K374">
            <v>2.9836996600000001</v>
          </cell>
          <cell r="L374">
            <v>0.11117260138240601</v>
          </cell>
          <cell r="M374">
            <v>3.09487226138241</v>
          </cell>
          <cell r="N374">
            <v>8.9285714285714302E-2</v>
          </cell>
          <cell r="O374">
            <v>0</v>
          </cell>
          <cell r="P374">
            <v>1</v>
          </cell>
        </row>
        <row r="375">
          <cell r="A375">
            <v>401102</v>
          </cell>
          <cell r="B375">
            <v>3</v>
          </cell>
          <cell r="C375">
            <v>0</v>
          </cell>
          <cell r="D375">
            <v>5</v>
          </cell>
          <cell r="E375" t="str">
            <v>INDIV</v>
          </cell>
          <cell r="F375" t="str">
            <v>Glendora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8.9285714285714302E-2</v>
          </cell>
          <cell r="O375">
            <v>0</v>
          </cell>
          <cell r="P375">
            <v>1</v>
          </cell>
        </row>
        <row r="376">
          <cell r="A376">
            <v>433401</v>
          </cell>
          <cell r="B376">
            <v>3</v>
          </cell>
          <cell r="C376">
            <v>0</v>
          </cell>
          <cell r="D376">
            <v>1</v>
          </cell>
          <cell r="E376" t="str">
            <v>INDIV</v>
          </cell>
          <cell r="F376" t="str">
            <v>El Monte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8.9285714285714302E-2</v>
          </cell>
          <cell r="O376">
            <v>0</v>
          </cell>
          <cell r="P376">
            <v>1</v>
          </cell>
        </row>
        <row r="377">
          <cell r="A377">
            <v>407200</v>
          </cell>
          <cell r="B377">
            <v>3</v>
          </cell>
          <cell r="C377">
            <v>0</v>
          </cell>
          <cell r="D377">
            <v>1</v>
          </cell>
          <cell r="E377" t="str">
            <v>INDIV</v>
          </cell>
          <cell r="F377" t="str">
            <v>La Puente</v>
          </cell>
          <cell r="G377">
            <v>0</v>
          </cell>
          <cell r="H377">
            <v>0</v>
          </cell>
          <cell r="I377">
            <v>1</v>
          </cell>
          <cell r="J377">
            <v>0</v>
          </cell>
          <cell r="K377">
            <v>1</v>
          </cell>
          <cell r="L377">
            <v>0</v>
          </cell>
          <cell r="M377">
            <v>1</v>
          </cell>
          <cell r="N377">
            <v>8.9285714285714302E-2</v>
          </cell>
          <cell r="O377">
            <v>0</v>
          </cell>
          <cell r="P377">
            <v>1</v>
          </cell>
        </row>
        <row r="378">
          <cell r="A378">
            <v>460302</v>
          </cell>
          <cell r="B378">
            <v>3</v>
          </cell>
          <cell r="C378">
            <v>0</v>
          </cell>
          <cell r="D378">
            <v>5</v>
          </cell>
          <cell r="E378" t="str">
            <v>INDIV</v>
          </cell>
          <cell r="F378" t="str">
            <v>Altadena</v>
          </cell>
          <cell r="G378">
            <v>0</v>
          </cell>
          <cell r="H378">
            <v>0</v>
          </cell>
          <cell r="I378">
            <v>4.8079999999999998</v>
          </cell>
          <cell r="J378">
            <v>1.73313217</v>
          </cell>
          <cell r="K378">
            <v>4.7331321700000002</v>
          </cell>
          <cell r="L378">
            <v>7.4985510287253102E-2</v>
          </cell>
          <cell r="M378">
            <v>4.8081176802872498</v>
          </cell>
          <cell r="N378">
            <v>8.9285714285714302E-2</v>
          </cell>
          <cell r="O378">
            <v>0</v>
          </cell>
          <cell r="P378">
            <v>1</v>
          </cell>
        </row>
        <row r="379">
          <cell r="A379">
            <v>405600</v>
          </cell>
          <cell r="B379">
            <v>3</v>
          </cell>
          <cell r="C379">
            <v>0</v>
          </cell>
          <cell r="D379">
            <v>1</v>
          </cell>
          <cell r="E379" t="str">
            <v>INDIV</v>
          </cell>
          <cell r="F379" t="str">
            <v>West Covina</v>
          </cell>
          <cell r="G379">
            <v>0</v>
          </cell>
          <cell r="H379">
            <v>0</v>
          </cell>
          <cell r="I379">
            <v>12.180999999999999</v>
          </cell>
          <cell r="J379">
            <v>2.87839314</v>
          </cell>
          <cell r="K379">
            <v>11.87839314</v>
          </cell>
          <cell r="L379">
            <v>0.30290401228007202</v>
          </cell>
          <cell r="M379">
            <v>12.1812971522801</v>
          </cell>
          <cell r="N379">
            <v>8.9285714285714302E-2</v>
          </cell>
          <cell r="O379">
            <v>0</v>
          </cell>
          <cell r="P379">
            <v>1</v>
          </cell>
        </row>
        <row r="380">
          <cell r="A380">
            <v>482002</v>
          </cell>
          <cell r="B380">
            <v>3</v>
          </cell>
          <cell r="C380">
            <v>0</v>
          </cell>
          <cell r="D380">
            <v>1</v>
          </cell>
          <cell r="E380" t="str">
            <v>INDIV</v>
          </cell>
          <cell r="F380" t="str">
            <v>Monterey Park</v>
          </cell>
          <cell r="G380">
            <v>0</v>
          </cell>
          <cell r="H380">
            <v>0</v>
          </cell>
          <cell r="I380">
            <v>3</v>
          </cell>
          <cell r="J380">
            <v>0</v>
          </cell>
          <cell r="K380">
            <v>3</v>
          </cell>
          <cell r="L380">
            <v>0</v>
          </cell>
          <cell r="M380">
            <v>3</v>
          </cell>
          <cell r="N380">
            <v>8.9285714285714302E-2</v>
          </cell>
          <cell r="O380">
            <v>0</v>
          </cell>
          <cell r="P380">
            <v>1</v>
          </cell>
        </row>
        <row r="381">
          <cell r="A381">
            <v>461300</v>
          </cell>
          <cell r="B381">
            <v>3</v>
          </cell>
          <cell r="C381">
            <v>0</v>
          </cell>
          <cell r="D381">
            <v>5</v>
          </cell>
          <cell r="E381" t="str">
            <v>INDIV</v>
          </cell>
          <cell r="F381" t="str">
            <v>Altadena</v>
          </cell>
          <cell r="G381">
            <v>0</v>
          </cell>
          <cell r="H381">
            <v>0</v>
          </cell>
          <cell r="I381">
            <v>4</v>
          </cell>
          <cell r="J381">
            <v>0</v>
          </cell>
          <cell r="K381">
            <v>4</v>
          </cell>
          <cell r="L381">
            <v>0</v>
          </cell>
          <cell r="M381">
            <v>4</v>
          </cell>
          <cell r="N381">
            <v>8.9285714285714302E-2</v>
          </cell>
          <cell r="O381">
            <v>0</v>
          </cell>
          <cell r="P381">
            <v>1</v>
          </cell>
        </row>
        <row r="382">
          <cell r="A382">
            <v>402502</v>
          </cell>
          <cell r="B382">
            <v>3</v>
          </cell>
          <cell r="C382">
            <v>0</v>
          </cell>
          <cell r="D382">
            <v>1</v>
          </cell>
          <cell r="E382" t="str">
            <v>INDIV</v>
          </cell>
          <cell r="F382" t="str">
            <v>Pomona</v>
          </cell>
          <cell r="G382">
            <v>0</v>
          </cell>
          <cell r="H382">
            <v>0</v>
          </cell>
          <cell r="I382">
            <v>4</v>
          </cell>
          <cell r="J382">
            <v>0</v>
          </cell>
          <cell r="K382">
            <v>4</v>
          </cell>
          <cell r="L382">
            <v>0</v>
          </cell>
          <cell r="M382">
            <v>4</v>
          </cell>
          <cell r="N382">
            <v>8.9285714285714302E-2</v>
          </cell>
          <cell r="O382">
            <v>0</v>
          </cell>
          <cell r="P382">
            <v>1</v>
          </cell>
        </row>
        <row r="383">
          <cell r="A383">
            <v>480803</v>
          </cell>
          <cell r="B383">
            <v>3</v>
          </cell>
          <cell r="C383">
            <v>0</v>
          </cell>
          <cell r="D383">
            <v>5</v>
          </cell>
          <cell r="E383" t="str">
            <v>INDIV</v>
          </cell>
          <cell r="F383" t="str">
            <v>Alhambra</v>
          </cell>
          <cell r="G383">
            <v>0</v>
          </cell>
          <cell r="H383">
            <v>0</v>
          </cell>
          <cell r="I383">
            <v>5.0209999999999999</v>
          </cell>
          <cell r="J383">
            <v>3.8885795999999999</v>
          </cell>
          <cell r="K383">
            <v>4.8885795999999999</v>
          </cell>
          <cell r="L383">
            <v>0.131797923464991</v>
          </cell>
          <cell r="M383">
            <v>5.0203775234649903</v>
          </cell>
          <cell r="N383">
            <v>8.9285714285714302E-2</v>
          </cell>
          <cell r="O383">
            <v>0</v>
          </cell>
          <cell r="P383">
            <v>1</v>
          </cell>
        </row>
        <row r="384">
          <cell r="A384">
            <v>481101</v>
          </cell>
          <cell r="B384">
            <v>3</v>
          </cell>
          <cell r="C384">
            <v>0</v>
          </cell>
          <cell r="D384">
            <v>5</v>
          </cell>
          <cell r="E384" t="str">
            <v>INDIV</v>
          </cell>
          <cell r="F384" t="str">
            <v>San Gabriel</v>
          </cell>
          <cell r="G384">
            <v>0</v>
          </cell>
          <cell r="H384">
            <v>0</v>
          </cell>
          <cell r="I384">
            <v>3.0950000000000002</v>
          </cell>
          <cell r="J384">
            <v>1.9836996600000001</v>
          </cell>
          <cell r="K384">
            <v>2.9836996600000001</v>
          </cell>
          <cell r="L384">
            <v>0.11117260138240601</v>
          </cell>
          <cell r="M384">
            <v>3.09487226138241</v>
          </cell>
          <cell r="N384">
            <v>8.9285714285714302E-2</v>
          </cell>
          <cell r="O384">
            <v>0</v>
          </cell>
          <cell r="P384">
            <v>1</v>
          </cell>
        </row>
        <row r="385">
          <cell r="A385">
            <v>402406</v>
          </cell>
          <cell r="B385">
            <v>3</v>
          </cell>
          <cell r="C385">
            <v>0</v>
          </cell>
          <cell r="D385">
            <v>1</v>
          </cell>
          <cell r="E385" t="str">
            <v>INDIV</v>
          </cell>
          <cell r="F385" t="str">
            <v>Pomona</v>
          </cell>
          <cell r="G385">
            <v>1</v>
          </cell>
          <cell r="H385">
            <v>1</v>
          </cell>
          <cell r="I385">
            <v>17.516999999999999</v>
          </cell>
          <cell r="J385">
            <v>3.3440765099999998</v>
          </cell>
          <cell r="K385">
            <v>17.344076510000001</v>
          </cell>
          <cell r="L385">
            <v>0.17207732822262101</v>
          </cell>
          <cell r="M385">
            <v>17.5161538382226</v>
          </cell>
          <cell r="N385">
            <v>8.9285714285714302E-2</v>
          </cell>
          <cell r="O385">
            <v>11.2</v>
          </cell>
          <cell r="P385">
            <v>1</v>
          </cell>
        </row>
        <row r="386">
          <cell r="A386">
            <v>481712</v>
          </cell>
          <cell r="B386">
            <v>3</v>
          </cell>
          <cell r="C386">
            <v>0</v>
          </cell>
          <cell r="D386">
            <v>1</v>
          </cell>
          <cell r="E386" t="str">
            <v>INDIV</v>
          </cell>
          <cell r="F386" t="str">
            <v>Monterey Park</v>
          </cell>
          <cell r="G386">
            <v>1</v>
          </cell>
          <cell r="H386">
            <v>1</v>
          </cell>
          <cell r="I386">
            <v>3.8079999999999998</v>
          </cell>
          <cell r="J386">
            <v>1.73313217</v>
          </cell>
          <cell r="K386">
            <v>3.7331321700000002</v>
          </cell>
          <cell r="L386">
            <v>7.4985510287253102E-2</v>
          </cell>
          <cell r="M386">
            <v>3.8081176802872498</v>
          </cell>
          <cell r="N386">
            <v>8.9285714285714302E-2</v>
          </cell>
          <cell r="O386">
            <v>11.2</v>
          </cell>
          <cell r="P386">
            <v>1</v>
          </cell>
        </row>
        <row r="387">
          <cell r="A387">
            <v>482303</v>
          </cell>
          <cell r="B387">
            <v>3</v>
          </cell>
          <cell r="C387">
            <v>0</v>
          </cell>
          <cell r="D387">
            <v>1</v>
          </cell>
          <cell r="E387" t="str">
            <v>INDIV</v>
          </cell>
          <cell r="F387" t="str">
            <v>Rosemead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8.9285714285714302E-2</v>
          </cell>
          <cell r="O387">
            <v>0</v>
          </cell>
          <cell r="P387">
            <v>1</v>
          </cell>
        </row>
        <row r="388">
          <cell r="A388">
            <v>405201</v>
          </cell>
          <cell r="B388">
            <v>3</v>
          </cell>
          <cell r="C388">
            <v>0</v>
          </cell>
          <cell r="D388">
            <v>1</v>
          </cell>
          <cell r="E388" t="str">
            <v>INDIV</v>
          </cell>
          <cell r="F388" t="str">
            <v>Baldwin Park</v>
          </cell>
          <cell r="G388">
            <v>0</v>
          </cell>
          <cell r="H388">
            <v>0</v>
          </cell>
          <cell r="I388">
            <v>2.0950000000000002</v>
          </cell>
          <cell r="J388">
            <v>1.9836996600000001</v>
          </cell>
          <cell r="K388">
            <v>1.9836996600000001</v>
          </cell>
          <cell r="L388">
            <v>0.11117260138240601</v>
          </cell>
          <cell r="M388">
            <v>2.09487226138241</v>
          </cell>
          <cell r="N388">
            <v>8.9285714285714302E-2</v>
          </cell>
          <cell r="O388">
            <v>0</v>
          </cell>
          <cell r="P388">
            <v>1</v>
          </cell>
        </row>
        <row r="389">
          <cell r="A389">
            <v>404302</v>
          </cell>
          <cell r="B389">
            <v>3</v>
          </cell>
          <cell r="C389">
            <v>0</v>
          </cell>
          <cell r="D389">
            <v>1</v>
          </cell>
          <cell r="E389" t="str">
            <v>INDIV</v>
          </cell>
          <cell r="F389" t="str">
            <v>Azusa</v>
          </cell>
          <cell r="G389">
            <v>0</v>
          </cell>
          <cell r="H389">
            <v>0</v>
          </cell>
          <cell r="I389">
            <v>3</v>
          </cell>
          <cell r="J389">
            <v>0</v>
          </cell>
          <cell r="K389">
            <v>3</v>
          </cell>
          <cell r="L389">
            <v>0</v>
          </cell>
          <cell r="M389">
            <v>3</v>
          </cell>
          <cell r="N389">
            <v>8.9285714285714302E-2</v>
          </cell>
          <cell r="O389">
            <v>0</v>
          </cell>
          <cell r="P389">
            <v>1</v>
          </cell>
        </row>
        <row r="390">
          <cell r="A390">
            <v>402903</v>
          </cell>
          <cell r="B390">
            <v>3</v>
          </cell>
          <cell r="C390">
            <v>0</v>
          </cell>
          <cell r="D390">
            <v>1</v>
          </cell>
          <cell r="E390" t="str">
            <v>INDIV</v>
          </cell>
          <cell r="F390" t="str">
            <v>Pomona</v>
          </cell>
          <cell r="G390">
            <v>0</v>
          </cell>
          <cell r="H390">
            <v>0</v>
          </cell>
          <cell r="I390">
            <v>6.798</v>
          </cell>
          <cell r="J390">
            <v>3.6649912800000002</v>
          </cell>
          <cell r="K390">
            <v>6.6649912799999997</v>
          </cell>
          <cell r="L390">
            <v>0.13266453314183099</v>
          </cell>
          <cell r="M390">
            <v>6.7976558131418301</v>
          </cell>
          <cell r="N390">
            <v>8.9285714285714302E-2</v>
          </cell>
          <cell r="O390">
            <v>0</v>
          </cell>
          <cell r="P390">
            <v>1</v>
          </cell>
        </row>
        <row r="391">
          <cell r="A391">
            <v>482502</v>
          </cell>
          <cell r="B391">
            <v>3</v>
          </cell>
          <cell r="C391">
            <v>0</v>
          </cell>
          <cell r="D391">
            <v>1</v>
          </cell>
          <cell r="E391" t="str">
            <v>INDIV</v>
          </cell>
          <cell r="F391" t="str">
            <v>Rosemead</v>
          </cell>
          <cell r="G391">
            <v>0</v>
          </cell>
          <cell r="H391">
            <v>0</v>
          </cell>
          <cell r="I391">
            <v>1</v>
          </cell>
          <cell r="J391">
            <v>0</v>
          </cell>
          <cell r="K391">
            <v>1</v>
          </cell>
          <cell r="L391">
            <v>0</v>
          </cell>
          <cell r="M391">
            <v>1</v>
          </cell>
          <cell r="N391">
            <v>8.9285714285714302E-2</v>
          </cell>
          <cell r="O391">
            <v>0</v>
          </cell>
          <cell r="P391">
            <v>1</v>
          </cell>
        </row>
        <row r="392">
          <cell r="A392">
            <v>402002</v>
          </cell>
          <cell r="B392">
            <v>3</v>
          </cell>
          <cell r="C392">
            <v>0</v>
          </cell>
          <cell r="D392">
            <v>1</v>
          </cell>
          <cell r="E392" t="str">
            <v>INDIV</v>
          </cell>
          <cell r="F392" t="str">
            <v>Claremont</v>
          </cell>
          <cell r="G392">
            <v>0</v>
          </cell>
          <cell r="H392">
            <v>0</v>
          </cell>
          <cell r="I392">
            <v>1</v>
          </cell>
          <cell r="J392">
            <v>0</v>
          </cell>
          <cell r="K392">
            <v>1</v>
          </cell>
          <cell r="L392">
            <v>0</v>
          </cell>
          <cell r="M392">
            <v>1</v>
          </cell>
          <cell r="N392">
            <v>8.9285714285714302E-2</v>
          </cell>
          <cell r="O392">
            <v>0</v>
          </cell>
          <cell r="P392">
            <v>1</v>
          </cell>
        </row>
        <row r="393">
          <cell r="A393">
            <v>404100</v>
          </cell>
          <cell r="B393">
            <v>3</v>
          </cell>
          <cell r="C393">
            <v>0</v>
          </cell>
          <cell r="D393">
            <v>1</v>
          </cell>
          <cell r="E393" t="str">
            <v>INDIV</v>
          </cell>
          <cell r="F393" t="str">
            <v>Citrus</v>
          </cell>
          <cell r="G393">
            <v>0</v>
          </cell>
          <cell r="H393">
            <v>0</v>
          </cell>
          <cell r="I393">
            <v>8.8079999999999998</v>
          </cell>
          <cell r="J393">
            <v>1.73313217</v>
          </cell>
          <cell r="K393">
            <v>8.7331321699999993</v>
          </cell>
          <cell r="L393">
            <v>7.4985510287253102E-2</v>
          </cell>
          <cell r="M393">
            <v>8.8081176802872498</v>
          </cell>
          <cell r="N393">
            <v>8.9285714285714302E-2</v>
          </cell>
          <cell r="O393">
            <v>0</v>
          </cell>
          <cell r="P393">
            <v>1</v>
          </cell>
        </row>
        <row r="394">
          <cell r="A394">
            <v>482503</v>
          </cell>
          <cell r="B394">
            <v>3</v>
          </cell>
          <cell r="C394">
            <v>0</v>
          </cell>
          <cell r="D394">
            <v>1</v>
          </cell>
          <cell r="E394" t="str">
            <v>INDIV</v>
          </cell>
          <cell r="F394" t="str">
            <v>Rosemead</v>
          </cell>
          <cell r="G394">
            <v>0</v>
          </cell>
          <cell r="H394">
            <v>0</v>
          </cell>
          <cell r="I394">
            <v>4.399</v>
          </cell>
          <cell r="J394">
            <v>3.1723287400000002</v>
          </cell>
          <cell r="K394">
            <v>4.1723287400000002</v>
          </cell>
          <cell r="L394">
            <v>0.22643751642728899</v>
          </cell>
          <cell r="M394">
            <v>4.3987662564272902</v>
          </cell>
          <cell r="N394">
            <v>8.9285714285714302E-2</v>
          </cell>
          <cell r="O394">
            <v>0</v>
          </cell>
          <cell r="P394">
            <v>1</v>
          </cell>
        </row>
        <row r="395">
          <cell r="A395">
            <v>406602</v>
          </cell>
          <cell r="B395">
            <v>3</v>
          </cell>
          <cell r="C395">
            <v>0</v>
          </cell>
          <cell r="D395">
            <v>1</v>
          </cell>
          <cell r="E395" t="str">
            <v>INDIV</v>
          </cell>
          <cell r="F395" t="str">
            <v>West Covina</v>
          </cell>
          <cell r="G395">
            <v>0</v>
          </cell>
          <cell r="H395">
            <v>0</v>
          </cell>
          <cell r="I395">
            <v>3</v>
          </cell>
          <cell r="J395">
            <v>0</v>
          </cell>
          <cell r="K395">
            <v>3</v>
          </cell>
          <cell r="L395">
            <v>0</v>
          </cell>
          <cell r="M395">
            <v>3</v>
          </cell>
          <cell r="N395">
            <v>8.9285714285714302E-2</v>
          </cell>
          <cell r="O395">
            <v>0</v>
          </cell>
          <cell r="P395">
            <v>1</v>
          </cell>
        </row>
        <row r="396">
          <cell r="A396">
            <v>430721</v>
          </cell>
          <cell r="B396">
            <v>3</v>
          </cell>
          <cell r="C396">
            <v>0</v>
          </cell>
          <cell r="D396">
            <v>5</v>
          </cell>
          <cell r="E396" t="str">
            <v>INDIV</v>
          </cell>
          <cell r="F396" t="str">
            <v>Arcadia</v>
          </cell>
          <cell r="G396">
            <v>0</v>
          </cell>
          <cell r="H396">
            <v>0</v>
          </cell>
          <cell r="I396">
            <v>3.399</v>
          </cell>
          <cell r="J396">
            <v>3.1723287400000002</v>
          </cell>
          <cell r="K396">
            <v>3.1723287400000002</v>
          </cell>
          <cell r="L396">
            <v>0.22643751642728899</v>
          </cell>
          <cell r="M396">
            <v>3.3987662564272898</v>
          </cell>
          <cell r="N396">
            <v>8.9285714285714302E-2</v>
          </cell>
          <cell r="O396">
            <v>0</v>
          </cell>
          <cell r="P396">
            <v>1</v>
          </cell>
        </row>
        <row r="397">
          <cell r="A397">
            <v>401601</v>
          </cell>
          <cell r="B397">
            <v>3</v>
          </cell>
          <cell r="C397">
            <v>0</v>
          </cell>
          <cell r="D397">
            <v>5</v>
          </cell>
          <cell r="E397" t="str">
            <v>INDIV</v>
          </cell>
          <cell r="F397" t="str">
            <v>La Verne</v>
          </cell>
          <cell r="G397">
            <v>0</v>
          </cell>
          <cell r="H397">
            <v>0</v>
          </cell>
          <cell r="I397">
            <v>1</v>
          </cell>
          <cell r="J397">
            <v>0</v>
          </cell>
          <cell r="K397">
            <v>1</v>
          </cell>
          <cell r="L397">
            <v>0</v>
          </cell>
          <cell r="M397">
            <v>1</v>
          </cell>
          <cell r="N397">
            <v>8.9285714285714302E-2</v>
          </cell>
          <cell r="O397">
            <v>0</v>
          </cell>
          <cell r="P397">
            <v>1</v>
          </cell>
        </row>
        <row r="398">
          <cell r="A398">
            <v>433403</v>
          </cell>
          <cell r="B398">
            <v>3</v>
          </cell>
          <cell r="C398">
            <v>0</v>
          </cell>
          <cell r="D398">
            <v>1</v>
          </cell>
          <cell r="E398" t="str">
            <v>INDIV</v>
          </cell>
          <cell r="F398" t="str">
            <v>El Monte</v>
          </cell>
          <cell r="G398">
            <v>0</v>
          </cell>
          <cell r="H398">
            <v>0</v>
          </cell>
          <cell r="I398">
            <v>8.5169999999999995</v>
          </cell>
          <cell r="J398">
            <v>3.3440765099999998</v>
          </cell>
          <cell r="K398">
            <v>8.3440765100000007</v>
          </cell>
          <cell r="L398">
            <v>0.17207732822262101</v>
          </cell>
          <cell r="M398">
            <v>8.5161538382226194</v>
          </cell>
          <cell r="N398">
            <v>8.9285714285714302E-2</v>
          </cell>
          <cell r="O398">
            <v>0</v>
          </cell>
          <cell r="P398">
            <v>1</v>
          </cell>
        </row>
        <row r="399">
          <cell r="A399">
            <v>403600</v>
          </cell>
          <cell r="B399">
            <v>3</v>
          </cell>
          <cell r="C399">
            <v>0</v>
          </cell>
          <cell r="D399">
            <v>5</v>
          </cell>
          <cell r="E399" t="str">
            <v>INDIV</v>
          </cell>
          <cell r="F399" t="str">
            <v>Covina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8.9285714285714302E-2</v>
          </cell>
          <cell r="O399">
            <v>0</v>
          </cell>
          <cell r="P399">
            <v>1</v>
          </cell>
        </row>
        <row r="400">
          <cell r="A400">
            <v>408006</v>
          </cell>
          <cell r="B400">
            <v>3</v>
          </cell>
          <cell r="C400">
            <v>0</v>
          </cell>
          <cell r="D400">
            <v>1</v>
          </cell>
          <cell r="E400" t="str">
            <v>INDIV</v>
          </cell>
          <cell r="F400" t="str">
            <v>West Covina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8.9285714285714302E-2</v>
          </cell>
          <cell r="O400">
            <v>0</v>
          </cell>
          <cell r="P400">
            <v>1</v>
          </cell>
        </row>
        <row r="401">
          <cell r="A401">
            <v>401701</v>
          </cell>
          <cell r="B401">
            <v>3</v>
          </cell>
          <cell r="C401">
            <v>0</v>
          </cell>
          <cell r="D401">
            <v>1</v>
          </cell>
          <cell r="E401" t="str">
            <v>INDIV</v>
          </cell>
          <cell r="F401" t="str">
            <v>Claremont</v>
          </cell>
          <cell r="G401">
            <v>0</v>
          </cell>
          <cell r="H401">
            <v>0</v>
          </cell>
          <cell r="I401">
            <v>1.591</v>
          </cell>
          <cell r="J401">
            <v>1.43919657</v>
          </cell>
          <cell r="K401">
            <v>1.43919657</v>
          </cell>
          <cell r="L401">
            <v>0.15145200614003601</v>
          </cell>
          <cell r="M401">
            <v>1.59064857614004</v>
          </cell>
          <cell r="N401">
            <v>8.9285714285714302E-2</v>
          </cell>
          <cell r="O401">
            <v>0</v>
          </cell>
          <cell r="P401">
            <v>1</v>
          </cell>
        </row>
        <row r="402">
          <cell r="A402">
            <v>460100</v>
          </cell>
          <cell r="B402">
            <v>3</v>
          </cell>
          <cell r="C402">
            <v>0</v>
          </cell>
          <cell r="D402">
            <v>5</v>
          </cell>
          <cell r="E402" t="str">
            <v>INDIV</v>
          </cell>
          <cell r="F402" t="str">
            <v>Altadena</v>
          </cell>
          <cell r="G402">
            <v>0</v>
          </cell>
          <cell r="H402">
            <v>0</v>
          </cell>
          <cell r="I402">
            <v>2.0950000000000002</v>
          </cell>
          <cell r="J402">
            <v>1.9836996600000001</v>
          </cell>
          <cell r="K402">
            <v>1.9836996600000001</v>
          </cell>
          <cell r="L402">
            <v>0.11117260138240601</v>
          </cell>
          <cell r="M402">
            <v>2.09487226138241</v>
          </cell>
          <cell r="N402">
            <v>8.9285714285714302E-2</v>
          </cell>
          <cell r="O402">
            <v>0</v>
          </cell>
          <cell r="P402">
            <v>1</v>
          </cell>
        </row>
        <row r="403">
          <cell r="A403">
            <v>432901</v>
          </cell>
          <cell r="B403">
            <v>3</v>
          </cell>
          <cell r="C403">
            <v>0</v>
          </cell>
          <cell r="D403">
            <v>1</v>
          </cell>
          <cell r="E403" t="str">
            <v>INDIV</v>
          </cell>
          <cell r="F403" t="str">
            <v>Rosemead</v>
          </cell>
          <cell r="G403">
            <v>0</v>
          </cell>
          <cell r="H403">
            <v>0</v>
          </cell>
          <cell r="I403">
            <v>8.1809999999999992</v>
          </cell>
          <cell r="J403">
            <v>2.87839314</v>
          </cell>
          <cell r="K403">
            <v>7.87839314</v>
          </cell>
          <cell r="L403">
            <v>0.30290401228007202</v>
          </cell>
          <cell r="M403">
            <v>8.1812971522800702</v>
          </cell>
          <cell r="N403">
            <v>8.9285714285714302E-2</v>
          </cell>
          <cell r="O403">
            <v>0</v>
          </cell>
          <cell r="P403">
            <v>1</v>
          </cell>
        </row>
        <row r="404">
          <cell r="A404">
            <v>432000</v>
          </cell>
          <cell r="B404">
            <v>3</v>
          </cell>
          <cell r="C404">
            <v>0</v>
          </cell>
          <cell r="D404">
            <v>5</v>
          </cell>
          <cell r="E404" t="str">
            <v>INDIV</v>
          </cell>
          <cell r="F404" t="str">
            <v>Temple City</v>
          </cell>
          <cell r="G404">
            <v>0</v>
          </cell>
          <cell r="H404">
            <v>0</v>
          </cell>
          <cell r="I404">
            <v>3</v>
          </cell>
          <cell r="J404">
            <v>0</v>
          </cell>
          <cell r="K404">
            <v>3</v>
          </cell>
          <cell r="L404">
            <v>0</v>
          </cell>
          <cell r="M404">
            <v>3</v>
          </cell>
          <cell r="N404">
            <v>8.9285714285714302E-2</v>
          </cell>
          <cell r="O404">
            <v>0</v>
          </cell>
          <cell r="P404">
            <v>1</v>
          </cell>
        </row>
        <row r="405">
          <cell r="A405">
            <v>480011</v>
          </cell>
          <cell r="B405">
            <v>3</v>
          </cell>
          <cell r="C405">
            <v>0</v>
          </cell>
          <cell r="D405">
            <v>5</v>
          </cell>
          <cell r="E405" t="str">
            <v>INDIV</v>
          </cell>
          <cell r="F405" t="str">
            <v>East San Gabriel</v>
          </cell>
          <cell r="G405">
            <v>0</v>
          </cell>
          <cell r="H405">
            <v>0</v>
          </cell>
          <cell r="I405">
            <v>7.5170000000000003</v>
          </cell>
          <cell r="J405">
            <v>3.3440765099999998</v>
          </cell>
          <cell r="K405">
            <v>7.3440765099999998</v>
          </cell>
          <cell r="L405">
            <v>0.17207732822262101</v>
          </cell>
          <cell r="M405">
            <v>7.5161538382226203</v>
          </cell>
          <cell r="N405">
            <v>8.9285714285714302E-2</v>
          </cell>
          <cell r="O405">
            <v>0</v>
          </cell>
          <cell r="P405">
            <v>1</v>
          </cell>
        </row>
        <row r="406">
          <cell r="A406">
            <v>430002</v>
          </cell>
          <cell r="B406">
            <v>3</v>
          </cell>
          <cell r="C406">
            <v>0</v>
          </cell>
          <cell r="D406">
            <v>5</v>
          </cell>
          <cell r="E406" t="str">
            <v>INDIV</v>
          </cell>
          <cell r="F406" t="str">
            <v>Duarte</v>
          </cell>
          <cell r="G406">
            <v>1</v>
          </cell>
          <cell r="H406">
            <v>1</v>
          </cell>
          <cell r="I406">
            <v>5.8079999999999998</v>
          </cell>
          <cell r="J406">
            <v>1.73313217</v>
          </cell>
          <cell r="K406">
            <v>5.7331321700000002</v>
          </cell>
          <cell r="L406">
            <v>7.4985510287253102E-2</v>
          </cell>
          <cell r="M406">
            <v>5.8081176802872498</v>
          </cell>
          <cell r="N406">
            <v>8.9285714285714302E-2</v>
          </cell>
          <cell r="O406">
            <v>11.2</v>
          </cell>
          <cell r="P406">
            <v>1</v>
          </cell>
        </row>
        <row r="407">
          <cell r="A407">
            <v>480304</v>
          </cell>
          <cell r="B407">
            <v>3</v>
          </cell>
          <cell r="C407">
            <v>0</v>
          </cell>
          <cell r="D407">
            <v>5</v>
          </cell>
          <cell r="E407" t="str">
            <v>INDIV</v>
          </cell>
          <cell r="F407" t="str">
            <v>Alhambra</v>
          </cell>
          <cell r="G407">
            <v>0</v>
          </cell>
          <cell r="H407">
            <v>0</v>
          </cell>
          <cell r="I407">
            <v>3.5169999999999999</v>
          </cell>
          <cell r="J407">
            <v>3.3440765099999998</v>
          </cell>
          <cell r="K407">
            <v>3.3440765099999998</v>
          </cell>
          <cell r="L407">
            <v>0.17207732822262101</v>
          </cell>
          <cell r="M407">
            <v>3.5161538382226198</v>
          </cell>
          <cell r="N407">
            <v>8.9285714285714302E-2</v>
          </cell>
          <cell r="O407">
            <v>0</v>
          </cell>
          <cell r="P407">
            <v>1</v>
          </cell>
        </row>
        <row r="408">
          <cell r="A408">
            <v>432601</v>
          </cell>
          <cell r="B408">
            <v>3</v>
          </cell>
          <cell r="C408">
            <v>0</v>
          </cell>
          <cell r="D408">
            <v>1</v>
          </cell>
          <cell r="E408" t="str">
            <v>INDIV</v>
          </cell>
          <cell r="F408" t="str">
            <v>El Monte</v>
          </cell>
          <cell r="G408">
            <v>0</v>
          </cell>
          <cell r="H408">
            <v>0</v>
          </cell>
          <cell r="I408">
            <v>6</v>
          </cell>
          <cell r="J408">
            <v>0</v>
          </cell>
          <cell r="K408">
            <v>6</v>
          </cell>
          <cell r="L408">
            <v>0</v>
          </cell>
          <cell r="M408">
            <v>6</v>
          </cell>
          <cell r="N408">
            <v>8.9285714285714302E-2</v>
          </cell>
          <cell r="O408">
            <v>0</v>
          </cell>
          <cell r="P408">
            <v>1</v>
          </cell>
        </row>
        <row r="409">
          <cell r="A409">
            <v>401902</v>
          </cell>
          <cell r="B409">
            <v>3</v>
          </cell>
          <cell r="C409">
            <v>0</v>
          </cell>
          <cell r="D409">
            <v>1</v>
          </cell>
          <cell r="E409" t="str">
            <v>INDIV</v>
          </cell>
          <cell r="F409" t="str">
            <v>Claremont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8.9285714285714302E-2</v>
          </cell>
          <cell r="O409">
            <v>0</v>
          </cell>
          <cell r="P409">
            <v>1</v>
          </cell>
        </row>
        <row r="410">
          <cell r="A410">
            <v>408626</v>
          </cell>
          <cell r="B410">
            <v>3</v>
          </cell>
          <cell r="C410">
            <v>0</v>
          </cell>
          <cell r="D410">
            <v>4</v>
          </cell>
          <cell r="E410" t="str">
            <v>INDIV</v>
          </cell>
          <cell r="F410" t="str">
            <v>Rowland Heights</v>
          </cell>
          <cell r="G410">
            <v>0</v>
          </cell>
          <cell r="H410">
            <v>0</v>
          </cell>
          <cell r="I410">
            <v>8.5909999999999993</v>
          </cell>
          <cell r="J410">
            <v>1.43919657</v>
          </cell>
          <cell r="K410">
            <v>8.43919657</v>
          </cell>
          <cell r="L410">
            <v>0.15145200614003601</v>
          </cell>
          <cell r="M410">
            <v>8.5906485761400404</v>
          </cell>
          <cell r="N410">
            <v>8.9285714285714302E-2</v>
          </cell>
          <cell r="O410">
            <v>0</v>
          </cell>
          <cell r="P410">
            <v>1</v>
          </cell>
        </row>
        <row r="411">
          <cell r="A411">
            <v>700501</v>
          </cell>
          <cell r="B411">
            <v>4</v>
          </cell>
          <cell r="C411">
            <v>0</v>
          </cell>
          <cell r="D411">
            <v>3</v>
          </cell>
          <cell r="E411" t="str">
            <v>INDIV</v>
          </cell>
          <cell r="F411" t="str">
            <v>West Hollywood</v>
          </cell>
          <cell r="G411">
            <v>0</v>
          </cell>
          <cell r="H411">
            <v>0</v>
          </cell>
          <cell r="I411">
            <v>16</v>
          </cell>
          <cell r="J411">
            <v>0</v>
          </cell>
          <cell r="K411">
            <v>16</v>
          </cell>
          <cell r="L411">
            <v>0</v>
          </cell>
          <cell r="M411">
            <v>16</v>
          </cell>
          <cell r="N411">
            <v>8.5106382978723402E-2</v>
          </cell>
          <cell r="O411">
            <v>0</v>
          </cell>
          <cell r="P411">
            <v>0.14893617021276601</v>
          </cell>
        </row>
        <row r="412">
          <cell r="A412">
            <v>700400</v>
          </cell>
          <cell r="B412">
            <v>4</v>
          </cell>
          <cell r="C412">
            <v>0</v>
          </cell>
          <cell r="D412">
            <v>3</v>
          </cell>
          <cell r="E412" t="str">
            <v>INDIV</v>
          </cell>
          <cell r="F412" t="str">
            <v>West Hollywood</v>
          </cell>
          <cell r="G412">
            <v>0</v>
          </cell>
          <cell r="H412">
            <v>0</v>
          </cell>
          <cell r="I412">
            <v>21.702999999999999</v>
          </cell>
          <cell r="J412">
            <v>1.6812916200000001</v>
          </cell>
          <cell r="K412">
            <v>21.68129162</v>
          </cell>
          <cell r="L412">
            <v>2.14919317594255E-2</v>
          </cell>
          <cell r="M412">
            <v>21.702783551759399</v>
          </cell>
          <cell r="N412">
            <v>8.5106382978723402E-2</v>
          </cell>
          <cell r="O412">
            <v>0</v>
          </cell>
          <cell r="P412">
            <v>0.14893617021276601</v>
          </cell>
        </row>
        <row r="413">
          <cell r="A413">
            <v>700200</v>
          </cell>
          <cell r="B413">
            <v>4</v>
          </cell>
          <cell r="C413">
            <v>0</v>
          </cell>
          <cell r="D413">
            <v>3</v>
          </cell>
          <cell r="E413" t="str">
            <v>INDIV</v>
          </cell>
          <cell r="F413" t="str">
            <v>West Hollywood</v>
          </cell>
          <cell r="G413">
            <v>0</v>
          </cell>
          <cell r="H413">
            <v>0</v>
          </cell>
          <cell r="I413">
            <v>10.926</v>
          </cell>
          <cell r="J413">
            <v>1.90487994</v>
          </cell>
          <cell r="K413">
            <v>10.904879940000001</v>
          </cell>
          <cell r="L413">
            <v>2.0625322082585301E-2</v>
          </cell>
          <cell r="M413">
            <v>10.9255052620826</v>
          </cell>
          <cell r="N413">
            <v>8.5106382978723402E-2</v>
          </cell>
          <cell r="O413">
            <v>0</v>
          </cell>
          <cell r="P413">
            <v>0.14893617021276601</v>
          </cell>
        </row>
        <row r="414">
          <cell r="A414">
            <v>700102</v>
          </cell>
          <cell r="B414">
            <v>4</v>
          </cell>
          <cell r="C414">
            <v>0</v>
          </cell>
          <cell r="D414">
            <v>3</v>
          </cell>
          <cell r="E414" t="str">
            <v>INDIV</v>
          </cell>
          <cell r="F414" t="str">
            <v>West Hollywood</v>
          </cell>
          <cell r="G414">
            <v>0</v>
          </cell>
          <cell r="H414">
            <v>0</v>
          </cell>
          <cell r="I414">
            <v>14.851000000000001</v>
          </cell>
          <cell r="J414">
            <v>3.8097598800000001</v>
          </cell>
          <cell r="K414">
            <v>14.80975988</v>
          </cell>
          <cell r="L414">
            <v>4.1250644165170602E-2</v>
          </cell>
          <cell r="M414">
            <v>14.851010524165201</v>
          </cell>
          <cell r="N414">
            <v>8.5106382978723402E-2</v>
          </cell>
          <cell r="O414">
            <v>0</v>
          </cell>
          <cell r="P414">
            <v>0.14893617021276601</v>
          </cell>
        </row>
        <row r="415">
          <cell r="A415">
            <v>700101</v>
          </cell>
          <cell r="B415">
            <v>4</v>
          </cell>
          <cell r="C415">
            <v>0</v>
          </cell>
          <cell r="D415">
            <v>3</v>
          </cell>
          <cell r="E415" t="str">
            <v>INDIV</v>
          </cell>
          <cell r="F415" t="str">
            <v>West Hollywood</v>
          </cell>
          <cell r="G415">
            <v>0</v>
          </cell>
          <cell r="H415">
            <v>0</v>
          </cell>
          <cell r="I415">
            <v>18.734000000000002</v>
          </cell>
          <cell r="J415">
            <v>3.63801211</v>
          </cell>
          <cell r="K415">
            <v>18.638012109999998</v>
          </cell>
          <cell r="L415">
            <v>9.5610832369838403E-2</v>
          </cell>
          <cell r="M415">
            <v>18.733622942369799</v>
          </cell>
          <cell r="N415">
            <v>8.5106382978723402E-2</v>
          </cell>
          <cell r="O415">
            <v>0</v>
          </cell>
          <cell r="P415">
            <v>0.14893617021276601</v>
          </cell>
        </row>
        <row r="416">
          <cell r="A416">
            <v>700502</v>
          </cell>
          <cell r="B416">
            <v>4</v>
          </cell>
          <cell r="C416">
            <v>0</v>
          </cell>
          <cell r="D416">
            <v>3</v>
          </cell>
          <cell r="E416" t="str">
            <v>INDIV</v>
          </cell>
          <cell r="F416" t="str">
            <v>West Hollywood</v>
          </cell>
          <cell r="G416">
            <v>0</v>
          </cell>
          <cell r="H416">
            <v>0</v>
          </cell>
          <cell r="I416">
            <v>11</v>
          </cell>
          <cell r="J416">
            <v>0</v>
          </cell>
          <cell r="K416">
            <v>11</v>
          </cell>
          <cell r="L416">
            <v>0</v>
          </cell>
          <cell r="M416">
            <v>11</v>
          </cell>
          <cell r="N416">
            <v>8.5106382978723402E-2</v>
          </cell>
          <cell r="O416">
            <v>0</v>
          </cell>
          <cell r="P416">
            <v>0.14893617021276601</v>
          </cell>
        </row>
        <row r="417">
          <cell r="A417">
            <v>700300</v>
          </cell>
          <cell r="B417">
            <v>4</v>
          </cell>
          <cell r="C417">
            <v>0</v>
          </cell>
          <cell r="D417">
            <v>3</v>
          </cell>
          <cell r="E417" t="str">
            <v>INDIV</v>
          </cell>
          <cell r="F417" t="str">
            <v>West Hollywood</v>
          </cell>
          <cell r="G417">
            <v>0</v>
          </cell>
          <cell r="H417">
            <v>0</v>
          </cell>
          <cell r="I417">
            <v>11.808</v>
          </cell>
          <cell r="J417">
            <v>1.73313217</v>
          </cell>
          <cell r="K417">
            <v>11.733132169999999</v>
          </cell>
          <cell r="L417">
            <v>7.4985510287253102E-2</v>
          </cell>
          <cell r="M417">
            <v>11.8081176802873</v>
          </cell>
          <cell r="N417">
            <v>8.5106382978723402E-2</v>
          </cell>
          <cell r="O417">
            <v>0</v>
          </cell>
          <cell r="P417">
            <v>0.14893617021276601</v>
          </cell>
        </row>
        <row r="418">
          <cell r="A418">
            <v>701304</v>
          </cell>
          <cell r="B418">
            <v>5</v>
          </cell>
          <cell r="C418">
            <v>0</v>
          </cell>
          <cell r="D418">
            <v>3</v>
          </cell>
          <cell r="E418" t="str">
            <v>INDIV</v>
          </cell>
          <cell r="F418" t="str">
            <v>Santa Monica</v>
          </cell>
          <cell r="G418">
            <v>0</v>
          </cell>
          <cell r="H418">
            <v>0</v>
          </cell>
          <cell r="I418">
            <v>37.511000000000003</v>
          </cell>
          <cell r="J418">
            <v>3.4144237899999998</v>
          </cell>
          <cell r="K418">
            <v>37.414423790000001</v>
          </cell>
          <cell r="L418">
            <v>9.6477442046678602E-2</v>
          </cell>
          <cell r="M418">
            <v>37.510901232046699</v>
          </cell>
          <cell r="N418">
            <v>7.69230769230769E-2</v>
          </cell>
          <cell r="O418">
            <v>0</v>
          </cell>
          <cell r="P418">
            <v>0.53846153846153799</v>
          </cell>
        </row>
        <row r="419">
          <cell r="A419">
            <v>701501</v>
          </cell>
          <cell r="B419">
            <v>5</v>
          </cell>
          <cell r="C419">
            <v>0</v>
          </cell>
          <cell r="D419">
            <v>3</v>
          </cell>
          <cell r="E419" t="str">
            <v>INDIV</v>
          </cell>
          <cell r="F419" t="str">
            <v>Santa Monica</v>
          </cell>
          <cell r="G419">
            <v>0</v>
          </cell>
          <cell r="H419">
            <v>0</v>
          </cell>
          <cell r="I419">
            <v>18.445</v>
          </cell>
          <cell r="J419">
            <v>9.0879761099999996</v>
          </cell>
          <cell r="K419">
            <v>18.08797611</v>
          </cell>
          <cell r="L419">
            <v>0.35675445432675001</v>
          </cell>
          <cell r="M419">
            <v>18.4447305643268</v>
          </cell>
          <cell r="N419">
            <v>7.69230769230769E-2</v>
          </cell>
          <cell r="O419">
            <v>0</v>
          </cell>
          <cell r="P419">
            <v>0.53846153846153799</v>
          </cell>
        </row>
        <row r="420">
          <cell r="A420">
            <v>702300</v>
          </cell>
          <cell r="B420">
            <v>5</v>
          </cell>
          <cell r="C420">
            <v>0</v>
          </cell>
          <cell r="D420">
            <v>3</v>
          </cell>
          <cell r="E420" t="str">
            <v>INDIV</v>
          </cell>
          <cell r="F420" t="str">
            <v>Santa Monica</v>
          </cell>
          <cell r="G420">
            <v>0</v>
          </cell>
          <cell r="H420">
            <v>0</v>
          </cell>
          <cell r="I420">
            <v>18.338999999999999</v>
          </cell>
          <cell r="J420">
            <v>11.71580176</v>
          </cell>
          <cell r="K420">
            <v>17.715801760000002</v>
          </cell>
          <cell r="L420">
            <v>0.62347137551166998</v>
          </cell>
          <cell r="M420">
            <v>18.3392731355117</v>
          </cell>
          <cell r="N420">
            <v>7.69230769230769E-2</v>
          </cell>
          <cell r="O420">
            <v>0</v>
          </cell>
          <cell r="P420">
            <v>0.53846153846153799</v>
          </cell>
        </row>
        <row r="421">
          <cell r="A421">
            <v>701602</v>
          </cell>
          <cell r="B421">
            <v>5</v>
          </cell>
          <cell r="C421">
            <v>0</v>
          </cell>
          <cell r="D421">
            <v>3</v>
          </cell>
          <cell r="E421" t="str">
            <v>INDIV</v>
          </cell>
          <cell r="F421" t="str">
            <v>Santa Monica</v>
          </cell>
          <cell r="G421">
            <v>0</v>
          </cell>
          <cell r="H421">
            <v>0</v>
          </cell>
          <cell r="I421">
            <v>21.777000000000001</v>
          </cell>
          <cell r="J421">
            <v>5.7146398200000004</v>
          </cell>
          <cell r="K421">
            <v>21.714639819999999</v>
          </cell>
          <cell r="L421">
            <v>6.18759662477558E-2</v>
          </cell>
          <cell r="M421">
            <v>21.776515786247799</v>
          </cell>
          <cell r="N421">
            <v>7.69230769230769E-2</v>
          </cell>
          <cell r="O421">
            <v>0</v>
          </cell>
          <cell r="P421">
            <v>0.53846153846153799</v>
          </cell>
        </row>
        <row r="422">
          <cell r="A422">
            <v>701402</v>
          </cell>
          <cell r="B422">
            <v>5</v>
          </cell>
          <cell r="C422">
            <v>0</v>
          </cell>
          <cell r="D422">
            <v>3</v>
          </cell>
          <cell r="E422" t="str">
            <v>INDIV</v>
          </cell>
          <cell r="F422" t="str">
            <v>Santa Monica</v>
          </cell>
          <cell r="G422">
            <v>0</v>
          </cell>
          <cell r="H422">
            <v>0</v>
          </cell>
          <cell r="I422">
            <v>56.478999999999999</v>
          </cell>
          <cell r="J422">
            <v>11.629065539999999</v>
          </cell>
          <cell r="K422">
            <v>55.629065539999999</v>
          </cell>
          <cell r="L422">
            <v>0.84877854940754005</v>
          </cell>
          <cell r="M422">
            <v>56.477844089407498</v>
          </cell>
          <cell r="N422">
            <v>7.69230769230769E-2</v>
          </cell>
          <cell r="O422">
            <v>0</v>
          </cell>
          <cell r="P422">
            <v>0.53846153846153799</v>
          </cell>
        </row>
        <row r="423">
          <cell r="A423">
            <v>701502</v>
          </cell>
          <cell r="B423">
            <v>5</v>
          </cell>
          <cell r="C423">
            <v>0</v>
          </cell>
          <cell r="D423">
            <v>3</v>
          </cell>
          <cell r="E423" t="str">
            <v>INDIV</v>
          </cell>
          <cell r="F423" t="str">
            <v>Santa Monica</v>
          </cell>
          <cell r="G423">
            <v>0</v>
          </cell>
          <cell r="H423">
            <v>0</v>
          </cell>
          <cell r="I423">
            <v>19.207000000000001</v>
          </cell>
          <cell r="J423">
            <v>4.9054609100000004</v>
          </cell>
          <cell r="K423">
            <v>18.905460909999999</v>
          </cell>
          <cell r="L423">
            <v>0.30142302671454202</v>
          </cell>
          <cell r="M423">
            <v>19.206883936714501</v>
          </cell>
          <cell r="N423">
            <v>7.69230769230769E-2</v>
          </cell>
          <cell r="O423">
            <v>0</v>
          </cell>
          <cell r="P423">
            <v>0.53846153846153799</v>
          </cell>
        </row>
        <row r="424">
          <cell r="A424">
            <v>701702</v>
          </cell>
          <cell r="B424">
            <v>5</v>
          </cell>
          <cell r="C424">
            <v>0</v>
          </cell>
          <cell r="D424">
            <v>3</v>
          </cell>
          <cell r="E424" t="str">
            <v>INDIV</v>
          </cell>
          <cell r="F424" t="str">
            <v>Santa Monica</v>
          </cell>
          <cell r="G424">
            <v>0</v>
          </cell>
          <cell r="H424">
            <v>0</v>
          </cell>
          <cell r="I424">
            <v>29.324999999999999</v>
          </cell>
          <cell r="J424">
            <v>5.07720868</v>
          </cell>
          <cell r="K424">
            <v>29.077208679999998</v>
          </cell>
          <cell r="L424">
            <v>0.24706283850987401</v>
          </cell>
          <cell r="M424">
            <v>29.324271518509899</v>
          </cell>
          <cell r="N424">
            <v>7.69230769230769E-2</v>
          </cell>
          <cell r="O424">
            <v>0</v>
          </cell>
          <cell r="P424">
            <v>0.53846153846153799</v>
          </cell>
        </row>
        <row r="425">
          <cell r="A425">
            <v>535200</v>
          </cell>
          <cell r="B425">
            <v>6</v>
          </cell>
          <cell r="C425">
            <v>0</v>
          </cell>
          <cell r="D425">
            <v>2</v>
          </cell>
          <cell r="E425" t="str">
            <v>INDIV</v>
          </cell>
          <cell r="F425" t="str">
            <v>Florence-Graham</v>
          </cell>
          <cell r="G425">
            <v>0</v>
          </cell>
          <cell r="H425">
            <v>0</v>
          </cell>
          <cell r="I425">
            <v>21.085999999999999</v>
          </cell>
          <cell r="J425">
            <v>15.246274469999999</v>
          </cell>
          <cell r="K425">
            <v>20.246274469999999</v>
          </cell>
          <cell r="L425">
            <v>0.83911293651705599</v>
          </cell>
          <cell r="M425">
            <v>21.0853874065171</v>
          </cell>
          <cell r="N425">
            <v>3.2258064516128997E-2</v>
          </cell>
          <cell r="O425">
            <v>0</v>
          </cell>
          <cell r="P425">
            <v>0.29032258064516098</v>
          </cell>
        </row>
        <row r="426">
          <cell r="A426">
            <v>535101</v>
          </cell>
          <cell r="B426">
            <v>6</v>
          </cell>
          <cell r="C426">
            <v>0</v>
          </cell>
          <cell r="D426">
            <v>2</v>
          </cell>
          <cell r="E426" t="str">
            <v>INDIV</v>
          </cell>
          <cell r="F426" t="str">
            <v>Florence-Graham</v>
          </cell>
          <cell r="G426">
            <v>0</v>
          </cell>
          <cell r="H426">
            <v>0</v>
          </cell>
          <cell r="I426">
            <v>20.759</v>
          </cell>
          <cell r="J426">
            <v>17.88820845</v>
          </cell>
          <cell r="K426">
            <v>19.88820845</v>
          </cell>
          <cell r="L426">
            <v>0.87037511089766595</v>
          </cell>
          <cell r="M426">
            <v>20.758583560897701</v>
          </cell>
          <cell r="N426">
            <v>3.2258064516128997E-2</v>
          </cell>
          <cell r="O426">
            <v>0</v>
          </cell>
          <cell r="P426">
            <v>0.29032258064516098</v>
          </cell>
        </row>
        <row r="427">
          <cell r="A427">
            <v>542200</v>
          </cell>
          <cell r="B427">
            <v>6</v>
          </cell>
          <cell r="C427">
            <v>0</v>
          </cell>
          <cell r="D427">
            <v>2</v>
          </cell>
          <cell r="E427" t="str">
            <v>INDIV</v>
          </cell>
          <cell r="F427" t="str">
            <v>Compton</v>
          </cell>
          <cell r="G427">
            <v>0</v>
          </cell>
          <cell r="H427">
            <v>0</v>
          </cell>
          <cell r="I427">
            <v>17.603000000000002</v>
          </cell>
          <cell r="J427">
            <v>17.036883079999999</v>
          </cell>
          <cell r="K427">
            <v>17.036883079999999</v>
          </cell>
          <cell r="L427">
            <v>0.56599011305206504</v>
          </cell>
          <cell r="M427">
            <v>17.602873193052101</v>
          </cell>
          <cell r="N427">
            <v>3.2258064516128997E-2</v>
          </cell>
          <cell r="O427">
            <v>0</v>
          </cell>
          <cell r="P427">
            <v>0.29032258064516098</v>
          </cell>
        </row>
        <row r="428">
          <cell r="A428">
            <v>540400</v>
          </cell>
          <cell r="B428">
            <v>6</v>
          </cell>
          <cell r="C428">
            <v>0</v>
          </cell>
          <cell r="D428">
            <v>2</v>
          </cell>
          <cell r="E428" t="str">
            <v>INDIV</v>
          </cell>
          <cell r="F428" t="str">
            <v>Lynwood</v>
          </cell>
          <cell r="G428">
            <v>0</v>
          </cell>
          <cell r="H428">
            <v>0</v>
          </cell>
          <cell r="I428">
            <v>34.435000000000002</v>
          </cell>
          <cell r="J428">
            <v>21.68949589</v>
          </cell>
          <cell r="K428">
            <v>33.689495890000003</v>
          </cell>
          <cell r="L428">
            <v>0.74547858958707403</v>
          </cell>
          <cell r="M428">
            <v>34.434974479587098</v>
          </cell>
          <cell r="N428">
            <v>3.2258064516128997E-2</v>
          </cell>
          <cell r="O428">
            <v>0</v>
          </cell>
          <cell r="P428">
            <v>0.29032258064516098</v>
          </cell>
        </row>
        <row r="429">
          <cell r="A429">
            <v>541605</v>
          </cell>
          <cell r="B429">
            <v>6</v>
          </cell>
          <cell r="C429">
            <v>0</v>
          </cell>
          <cell r="D429">
            <v>2</v>
          </cell>
          <cell r="E429" t="str">
            <v>INDIV</v>
          </cell>
          <cell r="F429" t="str">
            <v>Compton</v>
          </cell>
          <cell r="G429">
            <v>0</v>
          </cell>
          <cell r="H429">
            <v>0</v>
          </cell>
          <cell r="I429">
            <v>31.077000000000002</v>
          </cell>
          <cell r="J429">
            <v>23.696819439999999</v>
          </cell>
          <cell r="K429">
            <v>29.696819439999999</v>
          </cell>
          <cell r="L429">
            <v>1.3810542631059199</v>
          </cell>
          <cell r="M429">
            <v>31.077873703105901</v>
          </cell>
          <cell r="N429">
            <v>3.2258064516128997E-2</v>
          </cell>
          <cell r="O429">
            <v>0</v>
          </cell>
          <cell r="P429">
            <v>0.29032258064516098</v>
          </cell>
        </row>
        <row r="430">
          <cell r="A430">
            <v>541700</v>
          </cell>
          <cell r="B430">
            <v>6</v>
          </cell>
          <cell r="C430">
            <v>0</v>
          </cell>
          <cell r="D430">
            <v>2</v>
          </cell>
          <cell r="E430" t="str">
            <v>INDIV</v>
          </cell>
          <cell r="F430" t="str">
            <v>Lynwood</v>
          </cell>
          <cell r="G430">
            <v>0</v>
          </cell>
          <cell r="H430">
            <v>0</v>
          </cell>
          <cell r="I430">
            <v>6.2850000000000001</v>
          </cell>
          <cell r="J430">
            <v>5.9510989800000003</v>
          </cell>
          <cell r="K430">
            <v>5.9510989800000003</v>
          </cell>
          <cell r="L430">
            <v>0.33351780414721699</v>
          </cell>
          <cell r="M430">
            <v>6.2846167841472198</v>
          </cell>
          <cell r="N430">
            <v>3.2258064516128997E-2</v>
          </cell>
          <cell r="O430">
            <v>0</v>
          </cell>
          <cell r="P430">
            <v>0.29032258064516098</v>
          </cell>
        </row>
        <row r="431">
          <cell r="A431">
            <v>540600</v>
          </cell>
          <cell r="B431">
            <v>6</v>
          </cell>
          <cell r="C431">
            <v>0</v>
          </cell>
          <cell r="D431">
            <v>2</v>
          </cell>
          <cell r="E431" t="str">
            <v>INDIV</v>
          </cell>
          <cell r="F431" t="str">
            <v>Willowbrook</v>
          </cell>
          <cell r="G431">
            <v>0</v>
          </cell>
          <cell r="H431">
            <v>0</v>
          </cell>
          <cell r="I431">
            <v>11</v>
          </cell>
          <cell r="J431">
            <v>0</v>
          </cell>
          <cell r="K431">
            <v>11</v>
          </cell>
          <cell r="L431">
            <v>0</v>
          </cell>
          <cell r="M431">
            <v>11</v>
          </cell>
          <cell r="N431">
            <v>3.2258064516128997E-2</v>
          </cell>
          <cell r="O431">
            <v>0</v>
          </cell>
          <cell r="P431">
            <v>0.29032258064516098</v>
          </cell>
        </row>
        <row r="432">
          <cell r="A432">
            <v>540300</v>
          </cell>
          <cell r="B432">
            <v>6</v>
          </cell>
          <cell r="C432">
            <v>0</v>
          </cell>
          <cell r="D432">
            <v>2</v>
          </cell>
          <cell r="E432" t="str">
            <v>INDIV</v>
          </cell>
          <cell r="F432" t="str">
            <v>Lynwood</v>
          </cell>
          <cell r="G432">
            <v>0</v>
          </cell>
          <cell r="H432">
            <v>0</v>
          </cell>
          <cell r="I432">
            <v>5.9260000000000002</v>
          </cell>
          <cell r="J432">
            <v>1.90487994</v>
          </cell>
          <cell r="K432">
            <v>5.9048799399999998</v>
          </cell>
          <cell r="L432">
            <v>2.0625322082585301E-2</v>
          </cell>
          <cell r="M432">
            <v>5.9255052620825897</v>
          </cell>
          <cell r="N432">
            <v>3.2258064516128997E-2</v>
          </cell>
          <cell r="O432">
            <v>0</v>
          </cell>
          <cell r="P432">
            <v>0.29032258064516098</v>
          </cell>
        </row>
        <row r="433">
          <cell r="A433">
            <v>540202</v>
          </cell>
          <cell r="B433">
            <v>6</v>
          </cell>
          <cell r="C433">
            <v>0</v>
          </cell>
          <cell r="D433">
            <v>2</v>
          </cell>
          <cell r="E433" t="str">
            <v>INDIV</v>
          </cell>
          <cell r="F433" t="str">
            <v>Lynwood</v>
          </cell>
          <cell r="G433">
            <v>0</v>
          </cell>
          <cell r="H433">
            <v>0</v>
          </cell>
          <cell r="I433">
            <v>11</v>
          </cell>
          <cell r="J433">
            <v>0</v>
          </cell>
          <cell r="K433">
            <v>11</v>
          </cell>
          <cell r="L433">
            <v>0</v>
          </cell>
          <cell r="M433">
            <v>11</v>
          </cell>
          <cell r="N433">
            <v>3.2258064516128997E-2</v>
          </cell>
          <cell r="O433">
            <v>0</v>
          </cell>
          <cell r="P433">
            <v>0.29032258064516098</v>
          </cell>
        </row>
        <row r="434">
          <cell r="A434">
            <v>500202</v>
          </cell>
          <cell r="B434">
            <v>7</v>
          </cell>
          <cell r="C434">
            <v>0</v>
          </cell>
          <cell r="D434">
            <v>4</v>
          </cell>
          <cell r="E434" t="str">
            <v>INDIV</v>
          </cell>
          <cell r="F434" t="str">
            <v>Whittier</v>
          </cell>
          <cell r="G434">
            <v>0</v>
          </cell>
          <cell r="H434">
            <v>0</v>
          </cell>
          <cell r="I434">
            <v>21.765999999999998</v>
          </cell>
          <cell r="J434">
            <v>10.32616513</v>
          </cell>
          <cell r="K434">
            <v>21.32616513</v>
          </cell>
          <cell r="L434">
            <v>0.43976548881508098</v>
          </cell>
          <cell r="M434">
            <v>21.765930618815101</v>
          </cell>
          <cell r="N434">
            <v>9.0909090909090898E-2</v>
          </cell>
          <cell r="O434">
            <v>0</v>
          </cell>
          <cell r="P434">
            <v>1</v>
          </cell>
        </row>
        <row r="435">
          <cell r="A435">
            <v>501300</v>
          </cell>
          <cell r="B435">
            <v>7</v>
          </cell>
          <cell r="C435">
            <v>0</v>
          </cell>
          <cell r="D435">
            <v>4</v>
          </cell>
          <cell r="E435" t="str">
            <v>INDIV</v>
          </cell>
          <cell r="F435" t="str">
            <v>Whittier</v>
          </cell>
          <cell r="G435">
            <v>0</v>
          </cell>
          <cell r="H435">
            <v>0</v>
          </cell>
          <cell r="I435">
            <v>2.0950000000000002</v>
          </cell>
          <cell r="J435">
            <v>1.9836996600000001</v>
          </cell>
          <cell r="K435">
            <v>1.9836996600000001</v>
          </cell>
          <cell r="L435">
            <v>0.11117260138240601</v>
          </cell>
          <cell r="M435">
            <v>2.09487226138241</v>
          </cell>
          <cell r="N435">
            <v>9.0909090909090898E-2</v>
          </cell>
          <cell r="O435">
            <v>0</v>
          </cell>
          <cell r="P435">
            <v>1</v>
          </cell>
        </row>
        <row r="436">
          <cell r="A436">
            <v>501504</v>
          </cell>
          <cell r="B436">
            <v>7</v>
          </cell>
          <cell r="C436">
            <v>0</v>
          </cell>
          <cell r="D436">
            <v>4</v>
          </cell>
          <cell r="E436" t="str">
            <v>INDIV</v>
          </cell>
          <cell r="F436" t="str">
            <v>Whittier</v>
          </cell>
          <cell r="G436">
            <v>0</v>
          </cell>
          <cell r="H436">
            <v>0</v>
          </cell>
          <cell r="I436">
            <v>23.518999999999998</v>
          </cell>
          <cell r="J436">
            <v>7.1830961699999998</v>
          </cell>
          <cell r="K436">
            <v>23.183096169999999</v>
          </cell>
          <cell r="L436">
            <v>0.33612913224416502</v>
          </cell>
          <cell r="M436">
            <v>23.519225302244202</v>
          </cell>
          <cell r="N436">
            <v>9.0909090909090898E-2</v>
          </cell>
          <cell r="O436">
            <v>0</v>
          </cell>
          <cell r="P436">
            <v>1</v>
          </cell>
        </row>
        <row r="437">
          <cell r="A437">
            <v>501803</v>
          </cell>
          <cell r="B437">
            <v>7</v>
          </cell>
          <cell r="C437">
            <v>0</v>
          </cell>
          <cell r="D437">
            <v>4</v>
          </cell>
          <cell r="E437" t="str">
            <v>INDIV</v>
          </cell>
          <cell r="F437" t="str">
            <v>Whittier</v>
          </cell>
          <cell r="G437">
            <v>0</v>
          </cell>
          <cell r="H437">
            <v>0</v>
          </cell>
          <cell r="I437">
            <v>4.851</v>
          </cell>
          <cell r="J437">
            <v>3.8097598800000001</v>
          </cell>
          <cell r="K437">
            <v>4.8097598799999997</v>
          </cell>
          <cell r="L437">
            <v>4.1250644165170602E-2</v>
          </cell>
          <cell r="M437">
            <v>4.8510105241651704</v>
          </cell>
          <cell r="N437">
            <v>9.0909090909090898E-2</v>
          </cell>
          <cell r="O437">
            <v>0</v>
          </cell>
          <cell r="P437">
            <v>1</v>
          </cell>
        </row>
        <row r="438">
          <cell r="A438">
            <v>501804</v>
          </cell>
          <cell r="B438">
            <v>7</v>
          </cell>
          <cell r="C438">
            <v>0</v>
          </cell>
          <cell r="D438">
            <v>4</v>
          </cell>
          <cell r="E438" t="str">
            <v>INDIV</v>
          </cell>
          <cell r="F438" t="str">
            <v>Whittier</v>
          </cell>
          <cell r="G438">
            <v>0</v>
          </cell>
          <cell r="H438">
            <v>0</v>
          </cell>
          <cell r="I438">
            <v>5.19</v>
          </cell>
          <cell r="J438">
            <v>3.9673993200000002</v>
          </cell>
          <cell r="K438">
            <v>4.9673993200000002</v>
          </cell>
          <cell r="L438">
            <v>0.22234520276481101</v>
          </cell>
          <cell r="M438">
            <v>5.1897445227648102</v>
          </cell>
          <cell r="N438">
            <v>9.0909090909090898E-2</v>
          </cell>
          <cell r="O438">
            <v>0</v>
          </cell>
          <cell r="P438">
            <v>1</v>
          </cell>
        </row>
        <row r="439">
          <cell r="A439">
            <v>501900</v>
          </cell>
          <cell r="B439">
            <v>7</v>
          </cell>
          <cell r="C439">
            <v>0</v>
          </cell>
          <cell r="D439">
            <v>4</v>
          </cell>
          <cell r="E439" t="str">
            <v>INDIV</v>
          </cell>
          <cell r="F439" t="str">
            <v>Whittier</v>
          </cell>
          <cell r="G439">
            <v>0</v>
          </cell>
          <cell r="H439">
            <v>0</v>
          </cell>
          <cell r="I439">
            <v>3.9260000000000002</v>
          </cell>
          <cell r="J439">
            <v>1.90487994</v>
          </cell>
          <cell r="K439">
            <v>3.9048799399999998</v>
          </cell>
          <cell r="L439">
            <v>2.0625322082585301E-2</v>
          </cell>
          <cell r="M439">
            <v>3.9255052620825901</v>
          </cell>
          <cell r="N439">
            <v>9.0909090909090898E-2</v>
          </cell>
          <cell r="O439">
            <v>0</v>
          </cell>
          <cell r="P439">
            <v>1</v>
          </cell>
        </row>
        <row r="440">
          <cell r="A440">
            <v>502200</v>
          </cell>
          <cell r="B440">
            <v>7</v>
          </cell>
          <cell r="C440">
            <v>0</v>
          </cell>
          <cell r="D440">
            <v>4</v>
          </cell>
          <cell r="E440" t="str">
            <v>INDIV</v>
          </cell>
          <cell r="F440" t="str">
            <v>West Whittier</v>
          </cell>
          <cell r="G440">
            <v>0</v>
          </cell>
          <cell r="H440">
            <v>0</v>
          </cell>
          <cell r="I440">
            <v>6.0949999999999998</v>
          </cell>
          <cell r="J440">
            <v>1.9836996600000001</v>
          </cell>
          <cell r="K440">
            <v>5.9836996600000001</v>
          </cell>
          <cell r="L440">
            <v>0.11117260138240601</v>
          </cell>
          <cell r="M440">
            <v>6.0948722613824096</v>
          </cell>
          <cell r="N440">
            <v>9.0909090909090898E-2</v>
          </cell>
          <cell r="O440">
            <v>0</v>
          </cell>
          <cell r="P440">
            <v>1</v>
          </cell>
        </row>
        <row r="441">
          <cell r="A441">
            <v>503302</v>
          </cell>
          <cell r="B441">
            <v>7</v>
          </cell>
          <cell r="C441">
            <v>0</v>
          </cell>
          <cell r="D441">
            <v>4</v>
          </cell>
          <cell r="E441" t="str">
            <v>INDIV</v>
          </cell>
          <cell r="F441" t="str">
            <v>South Whittier</v>
          </cell>
          <cell r="G441">
            <v>0</v>
          </cell>
          <cell r="H441">
            <v>0</v>
          </cell>
          <cell r="I441">
            <v>12.946</v>
          </cell>
          <cell r="J441">
            <v>5.7934595399999997</v>
          </cell>
          <cell r="K441">
            <v>12.793459540000001</v>
          </cell>
          <cell r="L441">
            <v>0.152423245547576</v>
          </cell>
          <cell r="M441">
            <v>12.9458827855476</v>
          </cell>
          <cell r="N441">
            <v>9.0909090909090898E-2</v>
          </cell>
          <cell r="O441">
            <v>0</v>
          </cell>
          <cell r="P441">
            <v>1</v>
          </cell>
        </row>
        <row r="442">
          <cell r="A442">
            <v>503401</v>
          </cell>
          <cell r="B442">
            <v>7</v>
          </cell>
          <cell r="C442">
            <v>0</v>
          </cell>
          <cell r="D442">
            <v>4</v>
          </cell>
          <cell r="E442" t="str">
            <v>INDIV</v>
          </cell>
          <cell r="F442" t="str">
            <v>Whittier</v>
          </cell>
          <cell r="G442">
            <v>0</v>
          </cell>
          <cell r="H442">
            <v>0</v>
          </cell>
          <cell r="I442">
            <v>4.798</v>
          </cell>
          <cell r="J442">
            <v>3.6649912800000002</v>
          </cell>
          <cell r="K442">
            <v>4.6649912799999997</v>
          </cell>
          <cell r="L442">
            <v>0.13266453314183099</v>
          </cell>
          <cell r="M442">
            <v>4.7976558131418301</v>
          </cell>
          <cell r="N442">
            <v>9.0909090909090898E-2</v>
          </cell>
          <cell r="O442">
            <v>0</v>
          </cell>
          <cell r="P442">
            <v>1</v>
          </cell>
        </row>
        <row r="443">
          <cell r="A443">
            <v>503602</v>
          </cell>
          <cell r="B443">
            <v>7</v>
          </cell>
          <cell r="C443">
            <v>0</v>
          </cell>
          <cell r="D443">
            <v>4</v>
          </cell>
          <cell r="E443" t="str">
            <v>INDIV</v>
          </cell>
          <cell r="F443" t="str">
            <v>La Mirada</v>
          </cell>
          <cell r="G443">
            <v>1</v>
          </cell>
          <cell r="H443">
            <v>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9.0909090909090898E-2</v>
          </cell>
          <cell r="O443">
            <v>11</v>
          </cell>
          <cell r="P443">
            <v>1</v>
          </cell>
        </row>
        <row r="444">
          <cell r="A444">
            <v>503702</v>
          </cell>
          <cell r="B444">
            <v>7</v>
          </cell>
          <cell r="C444">
            <v>0</v>
          </cell>
          <cell r="D444">
            <v>4</v>
          </cell>
          <cell r="E444" t="str">
            <v>INDIV</v>
          </cell>
          <cell r="F444" t="str">
            <v>Unincorporated East Whittier</v>
          </cell>
          <cell r="G444">
            <v>0</v>
          </cell>
          <cell r="H444">
            <v>0</v>
          </cell>
          <cell r="I444">
            <v>12.276</v>
          </cell>
          <cell r="J444">
            <v>4.8620928000000001</v>
          </cell>
          <cell r="K444">
            <v>11.862092799999999</v>
          </cell>
          <cell r="L444">
            <v>0.414076613662478</v>
          </cell>
          <cell r="M444">
            <v>12.276169413662499</v>
          </cell>
          <cell r="N444">
            <v>9.0909090909090898E-2</v>
          </cell>
          <cell r="O444">
            <v>0</v>
          </cell>
          <cell r="P444">
            <v>1</v>
          </cell>
        </row>
        <row r="445">
          <cell r="A445">
            <v>503802</v>
          </cell>
          <cell r="B445">
            <v>7</v>
          </cell>
          <cell r="C445">
            <v>0</v>
          </cell>
          <cell r="D445">
            <v>4</v>
          </cell>
          <cell r="E445" t="str">
            <v>INDIV</v>
          </cell>
          <cell r="F445" t="str">
            <v>La Mirada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9.0909090909090898E-2</v>
          </cell>
          <cell r="O445">
            <v>0</v>
          </cell>
          <cell r="P445">
            <v>1</v>
          </cell>
        </row>
        <row r="446">
          <cell r="A446">
            <v>530301</v>
          </cell>
          <cell r="B446">
            <v>7</v>
          </cell>
          <cell r="C446">
            <v>0</v>
          </cell>
          <cell r="D446">
            <v>1</v>
          </cell>
          <cell r="E446" t="str">
            <v>INDIV</v>
          </cell>
          <cell r="F446" t="str">
            <v>East Los Angeles</v>
          </cell>
          <cell r="G446">
            <v>0</v>
          </cell>
          <cell r="H446">
            <v>0</v>
          </cell>
          <cell r="I446">
            <v>14.628</v>
          </cell>
          <cell r="J446">
            <v>9.5243997</v>
          </cell>
          <cell r="K446">
            <v>14.5243997</v>
          </cell>
          <cell r="L446">
            <v>0.10312661041292601</v>
          </cell>
          <cell r="M446">
            <v>14.6275263104129</v>
          </cell>
          <cell r="N446">
            <v>9.0909090909090898E-2</v>
          </cell>
          <cell r="O446">
            <v>0</v>
          </cell>
          <cell r="P446">
            <v>1</v>
          </cell>
        </row>
        <row r="447">
          <cell r="A447">
            <v>554519</v>
          </cell>
          <cell r="B447">
            <v>7</v>
          </cell>
          <cell r="C447">
            <v>0</v>
          </cell>
          <cell r="D447">
            <v>4</v>
          </cell>
          <cell r="E447" t="str">
            <v>INDIV</v>
          </cell>
          <cell r="F447" t="str">
            <v>Cerritos</v>
          </cell>
          <cell r="G447">
            <v>0</v>
          </cell>
          <cell r="H447">
            <v>0</v>
          </cell>
          <cell r="I447">
            <v>1.591</v>
          </cell>
          <cell r="J447">
            <v>1.43919657</v>
          </cell>
          <cell r="K447">
            <v>1.43919657</v>
          </cell>
          <cell r="L447">
            <v>0.15145200614003601</v>
          </cell>
          <cell r="M447">
            <v>1.59064857614004</v>
          </cell>
          <cell r="N447">
            <v>9.0909090909090898E-2</v>
          </cell>
          <cell r="O447">
            <v>0</v>
          </cell>
          <cell r="P447">
            <v>1</v>
          </cell>
        </row>
        <row r="448">
          <cell r="A448">
            <v>554001</v>
          </cell>
          <cell r="B448">
            <v>7</v>
          </cell>
          <cell r="C448">
            <v>0</v>
          </cell>
          <cell r="D448">
            <v>4</v>
          </cell>
          <cell r="E448" t="str">
            <v>INDIV</v>
          </cell>
          <cell r="F448" t="str">
            <v>Bellflower</v>
          </cell>
          <cell r="G448">
            <v>0</v>
          </cell>
          <cell r="H448">
            <v>0</v>
          </cell>
          <cell r="I448">
            <v>2.8079999999999998</v>
          </cell>
          <cell r="J448">
            <v>1.73313217</v>
          </cell>
          <cell r="K448">
            <v>2.7331321700000002</v>
          </cell>
          <cell r="L448">
            <v>7.4985510287253102E-2</v>
          </cell>
          <cell r="M448">
            <v>2.8081176802872498</v>
          </cell>
          <cell r="N448">
            <v>9.0909090909090898E-2</v>
          </cell>
          <cell r="O448">
            <v>0</v>
          </cell>
          <cell r="P448">
            <v>1</v>
          </cell>
        </row>
        <row r="449">
          <cell r="A449">
            <v>531504</v>
          </cell>
          <cell r="B449">
            <v>7</v>
          </cell>
          <cell r="C449">
            <v>0</v>
          </cell>
          <cell r="D449">
            <v>1</v>
          </cell>
          <cell r="E449" t="str">
            <v>INDIV</v>
          </cell>
          <cell r="F449" t="str">
            <v>East Los Angeles</v>
          </cell>
          <cell r="G449">
            <v>0</v>
          </cell>
          <cell r="H449">
            <v>0</v>
          </cell>
          <cell r="I449">
            <v>18.966999999999999</v>
          </cell>
          <cell r="J449">
            <v>9.6820391400000005</v>
          </cell>
          <cell r="K449">
            <v>18.682039140000001</v>
          </cell>
          <cell r="L449">
            <v>0.284221169012567</v>
          </cell>
          <cell r="M449">
            <v>18.966260309012601</v>
          </cell>
          <cell r="N449">
            <v>9.0909090909090898E-2</v>
          </cell>
          <cell r="O449">
            <v>0</v>
          </cell>
          <cell r="P449">
            <v>1</v>
          </cell>
        </row>
        <row r="450">
          <cell r="A450">
            <v>532500</v>
          </cell>
          <cell r="B450">
            <v>7</v>
          </cell>
          <cell r="C450">
            <v>0</v>
          </cell>
          <cell r="D450">
            <v>1</v>
          </cell>
          <cell r="E450" t="str">
            <v>INDIV</v>
          </cell>
          <cell r="F450" t="str">
            <v>Huntington Park</v>
          </cell>
          <cell r="G450">
            <v>0</v>
          </cell>
          <cell r="H450">
            <v>0</v>
          </cell>
          <cell r="I450">
            <v>3</v>
          </cell>
          <cell r="J450">
            <v>0</v>
          </cell>
          <cell r="K450">
            <v>3</v>
          </cell>
          <cell r="L450">
            <v>0</v>
          </cell>
          <cell r="M450">
            <v>3</v>
          </cell>
          <cell r="N450">
            <v>9.0909090909090898E-2</v>
          </cell>
          <cell r="O450">
            <v>0</v>
          </cell>
          <cell r="P450">
            <v>1</v>
          </cell>
        </row>
        <row r="451">
          <cell r="A451">
            <v>532604</v>
          </cell>
          <cell r="B451">
            <v>7</v>
          </cell>
          <cell r="C451">
            <v>0</v>
          </cell>
          <cell r="D451">
            <v>1</v>
          </cell>
          <cell r="E451" t="str">
            <v>INDIV</v>
          </cell>
          <cell r="F451" t="str">
            <v>Huntington Park</v>
          </cell>
          <cell r="G451">
            <v>0</v>
          </cell>
          <cell r="H451">
            <v>0</v>
          </cell>
          <cell r="I451">
            <v>9.4420000000000002</v>
          </cell>
          <cell r="J451">
            <v>5.2489564499999997</v>
          </cell>
          <cell r="K451">
            <v>9.2489564499999997</v>
          </cell>
          <cell r="L451">
            <v>0.192702650305207</v>
          </cell>
          <cell r="M451">
            <v>9.4416591003052108</v>
          </cell>
          <cell r="N451">
            <v>9.0909090909090898E-2</v>
          </cell>
          <cell r="O451">
            <v>0</v>
          </cell>
          <cell r="P451">
            <v>1</v>
          </cell>
        </row>
        <row r="452">
          <cell r="A452">
            <v>533001</v>
          </cell>
          <cell r="B452">
            <v>7</v>
          </cell>
          <cell r="C452">
            <v>0</v>
          </cell>
          <cell r="D452">
            <v>2</v>
          </cell>
          <cell r="E452" t="str">
            <v>INDIV</v>
          </cell>
          <cell r="F452" t="str">
            <v>Florence-Graham</v>
          </cell>
          <cell r="G452">
            <v>0</v>
          </cell>
          <cell r="H452">
            <v>0</v>
          </cell>
          <cell r="I452">
            <v>10.805999999999999</v>
          </cell>
          <cell r="J452">
            <v>7.4336636599999997</v>
          </cell>
          <cell r="K452">
            <v>10.433663660000001</v>
          </cell>
          <cell r="L452">
            <v>0.37231622333931802</v>
          </cell>
          <cell r="M452">
            <v>10.805979883339299</v>
          </cell>
          <cell r="N452">
            <v>9.0909090909090898E-2</v>
          </cell>
          <cell r="O452">
            <v>0</v>
          </cell>
          <cell r="P452">
            <v>1</v>
          </cell>
        </row>
        <row r="453">
          <cell r="A453">
            <v>533403</v>
          </cell>
          <cell r="B453">
            <v>7</v>
          </cell>
          <cell r="C453">
            <v>0</v>
          </cell>
          <cell r="D453">
            <v>1</v>
          </cell>
          <cell r="E453" t="str">
            <v>INDIV</v>
          </cell>
          <cell r="F453" t="str">
            <v>Maywood</v>
          </cell>
          <cell r="G453">
            <v>0</v>
          </cell>
          <cell r="H453">
            <v>0</v>
          </cell>
          <cell r="I453">
            <v>13.702</v>
          </cell>
          <cell r="J453">
            <v>7.6195197600000002</v>
          </cell>
          <cell r="K453">
            <v>13.619519759999999</v>
          </cell>
          <cell r="L453">
            <v>8.2501288330341094E-2</v>
          </cell>
          <cell r="M453">
            <v>13.7020210483303</v>
          </cell>
          <cell r="N453">
            <v>9.0909090909090898E-2</v>
          </cell>
          <cell r="O453">
            <v>0</v>
          </cell>
          <cell r="P453">
            <v>1</v>
          </cell>
        </row>
        <row r="454">
          <cell r="A454">
            <v>533501</v>
          </cell>
          <cell r="B454">
            <v>7</v>
          </cell>
          <cell r="C454">
            <v>0</v>
          </cell>
          <cell r="D454">
            <v>1</v>
          </cell>
          <cell r="E454" t="str">
            <v>INDIV</v>
          </cell>
          <cell r="F454" t="str">
            <v>Huntington Park</v>
          </cell>
          <cell r="G454">
            <v>0</v>
          </cell>
          <cell r="H454">
            <v>0</v>
          </cell>
          <cell r="I454">
            <v>10.772</v>
          </cell>
          <cell r="J454">
            <v>4.31758971</v>
          </cell>
          <cell r="K454">
            <v>10.31758971</v>
          </cell>
          <cell r="L454">
            <v>0.45435601842010798</v>
          </cell>
          <cell r="M454">
            <v>10.7719457284201</v>
          </cell>
          <cell r="N454">
            <v>9.0909090909090898E-2</v>
          </cell>
          <cell r="O454">
            <v>0</v>
          </cell>
          <cell r="P454">
            <v>1</v>
          </cell>
        </row>
        <row r="455">
          <cell r="A455">
            <v>533203</v>
          </cell>
          <cell r="B455">
            <v>7</v>
          </cell>
          <cell r="C455">
            <v>0</v>
          </cell>
          <cell r="D455">
            <v>1</v>
          </cell>
          <cell r="E455" t="str">
            <v>INDIV</v>
          </cell>
          <cell r="F455" t="str">
            <v>Huntington Park</v>
          </cell>
          <cell r="G455">
            <v>0</v>
          </cell>
          <cell r="H455">
            <v>0</v>
          </cell>
          <cell r="I455">
            <v>1</v>
          </cell>
          <cell r="J455">
            <v>0</v>
          </cell>
          <cell r="K455">
            <v>1</v>
          </cell>
          <cell r="L455">
            <v>0</v>
          </cell>
          <cell r="M455">
            <v>1</v>
          </cell>
          <cell r="N455">
            <v>9.0909090909090898E-2</v>
          </cell>
          <cell r="O455">
            <v>0</v>
          </cell>
          <cell r="P455">
            <v>1</v>
          </cell>
        </row>
        <row r="456">
          <cell r="A456">
            <v>533602</v>
          </cell>
          <cell r="B456">
            <v>7</v>
          </cell>
          <cell r="C456">
            <v>0</v>
          </cell>
          <cell r="D456">
            <v>1</v>
          </cell>
          <cell r="E456" t="str">
            <v>INDIV</v>
          </cell>
          <cell r="F456" t="str">
            <v>Bell</v>
          </cell>
          <cell r="G456">
            <v>0</v>
          </cell>
          <cell r="H456">
            <v>0</v>
          </cell>
          <cell r="I456">
            <v>6</v>
          </cell>
          <cell r="J456">
            <v>0</v>
          </cell>
          <cell r="K456">
            <v>6</v>
          </cell>
          <cell r="L456">
            <v>0</v>
          </cell>
          <cell r="M456">
            <v>6</v>
          </cell>
          <cell r="N456">
            <v>9.0909090909090898E-2</v>
          </cell>
          <cell r="O456">
            <v>0</v>
          </cell>
          <cell r="P456">
            <v>1</v>
          </cell>
        </row>
        <row r="457">
          <cell r="A457">
            <v>552302</v>
          </cell>
          <cell r="B457">
            <v>7</v>
          </cell>
          <cell r="C457">
            <v>0</v>
          </cell>
          <cell r="D457">
            <v>4</v>
          </cell>
          <cell r="E457" t="str">
            <v>INDIV</v>
          </cell>
          <cell r="F457" t="str">
            <v>Norwalk</v>
          </cell>
          <cell r="G457">
            <v>1</v>
          </cell>
          <cell r="H457">
            <v>1</v>
          </cell>
          <cell r="I457">
            <v>1</v>
          </cell>
          <cell r="J457">
            <v>0</v>
          </cell>
          <cell r="K457">
            <v>1</v>
          </cell>
          <cell r="L457">
            <v>0</v>
          </cell>
          <cell r="M457">
            <v>1</v>
          </cell>
          <cell r="N457">
            <v>9.0909090909090898E-2</v>
          </cell>
          <cell r="O457">
            <v>11</v>
          </cell>
          <cell r="P457">
            <v>1</v>
          </cell>
        </row>
        <row r="458">
          <cell r="A458">
            <v>533701</v>
          </cell>
          <cell r="B458">
            <v>7</v>
          </cell>
          <cell r="C458">
            <v>0</v>
          </cell>
          <cell r="D458">
            <v>1</v>
          </cell>
          <cell r="E458" t="str">
            <v>INDIV</v>
          </cell>
          <cell r="F458" t="str">
            <v>Maywood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9.0909090909090898E-2</v>
          </cell>
          <cell r="O458">
            <v>0</v>
          </cell>
          <cell r="P458">
            <v>1</v>
          </cell>
        </row>
        <row r="459">
          <cell r="A459">
            <v>534302</v>
          </cell>
          <cell r="B459">
            <v>7</v>
          </cell>
          <cell r="C459">
            <v>0</v>
          </cell>
          <cell r="D459">
            <v>1</v>
          </cell>
          <cell r="E459" t="str">
            <v>INDIV</v>
          </cell>
          <cell r="F459" t="str">
            <v>Cudahy</v>
          </cell>
          <cell r="G459">
            <v>0</v>
          </cell>
          <cell r="H459">
            <v>0</v>
          </cell>
          <cell r="I459">
            <v>9.9459999999999997</v>
          </cell>
          <cell r="J459">
            <v>5.7934595399999997</v>
          </cell>
          <cell r="K459">
            <v>9.7934595400000006</v>
          </cell>
          <cell r="L459">
            <v>0.152423245547576</v>
          </cell>
          <cell r="M459">
            <v>9.94588278554758</v>
          </cell>
          <cell r="N459">
            <v>9.0909090909090898E-2</v>
          </cell>
          <cell r="O459">
            <v>0</v>
          </cell>
          <cell r="P459">
            <v>1</v>
          </cell>
        </row>
        <row r="460">
          <cell r="A460">
            <v>534405</v>
          </cell>
          <cell r="B460">
            <v>7</v>
          </cell>
          <cell r="C460">
            <v>0</v>
          </cell>
          <cell r="D460">
            <v>1</v>
          </cell>
          <cell r="E460" t="str">
            <v>INDIV</v>
          </cell>
          <cell r="F460" t="str">
            <v>Cudahy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9.0909090909090898E-2</v>
          </cell>
          <cell r="O460">
            <v>0</v>
          </cell>
          <cell r="P460">
            <v>1</v>
          </cell>
        </row>
        <row r="461">
          <cell r="A461">
            <v>534501</v>
          </cell>
          <cell r="B461">
            <v>7</v>
          </cell>
          <cell r="C461">
            <v>0</v>
          </cell>
          <cell r="D461">
            <v>1</v>
          </cell>
          <cell r="E461" t="str">
            <v>INDIV</v>
          </cell>
          <cell r="F461" t="str">
            <v>Huntington Park</v>
          </cell>
          <cell r="G461">
            <v>1</v>
          </cell>
          <cell r="H461">
            <v>1</v>
          </cell>
          <cell r="I461">
            <v>26.19</v>
          </cell>
          <cell r="J461">
            <v>3.9673993200000002</v>
          </cell>
          <cell r="K461">
            <v>25.967399319999998</v>
          </cell>
          <cell r="L461">
            <v>0.22234520276481101</v>
          </cell>
          <cell r="M461">
            <v>26.189744522764801</v>
          </cell>
          <cell r="N461">
            <v>9.0909090909090898E-2</v>
          </cell>
          <cell r="O461">
            <v>11</v>
          </cell>
          <cell r="P461">
            <v>1</v>
          </cell>
        </row>
        <row r="462">
          <cell r="A462">
            <v>530400</v>
          </cell>
          <cell r="B462">
            <v>7</v>
          </cell>
          <cell r="C462">
            <v>0</v>
          </cell>
          <cell r="D462">
            <v>1</v>
          </cell>
          <cell r="E462" t="str">
            <v>INDIV</v>
          </cell>
          <cell r="F462" t="str">
            <v>East Los Angeles</v>
          </cell>
          <cell r="G462">
            <v>1</v>
          </cell>
          <cell r="H462">
            <v>1</v>
          </cell>
          <cell r="I462">
            <v>11.332000000000001</v>
          </cell>
          <cell r="J462">
            <v>5.26746318</v>
          </cell>
          <cell r="K462">
            <v>11.26746318</v>
          </cell>
          <cell r="L462">
            <v>6.3609185601436302E-2</v>
          </cell>
          <cell r="M462">
            <v>11.331072365601401</v>
          </cell>
          <cell r="N462">
            <v>9.0909090909090898E-2</v>
          </cell>
          <cell r="O462">
            <v>11</v>
          </cell>
          <cell r="P462">
            <v>1</v>
          </cell>
        </row>
        <row r="463">
          <cell r="A463">
            <v>503801</v>
          </cell>
          <cell r="B463">
            <v>7</v>
          </cell>
          <cell r="C463">
            <v>0</v>
          </cell>
          <cell r="D463">
            <v>4</v>
          </cell>
          <cell r="E463" t="str">
            <v>INDIV</v>
          </cell>
          <cell r="F463" t="str">
            <v>La Mirada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9.0909090909090898E-2</v>
          </cell>
          <cell r="O463">
            <v>0</v>
          </cell>
          <cell r="P463">
            <v>1</v>
          </cell>
        </row>
        <row r="464">
          <cell r="A464">
            <v>534502</v>
          </cell>
          <cell r="B464">
            <v>7</v>
          </cell>
          <cell r="C464">
            <v>0</v>
          </cell>
          <cell r="D464">
            <v>1</v>
          </cell>
          <cell r="E464" t="str">
            <v>INDIV</v>
          </cell>
          <cell r="F464" t="str">
            <v>Huntington Park</v>
          </cell>
          <cell r="G464">
            <v>0</v>
          </cell>
          <cell r="H464">
            <v>0</v>
          </cell>
          <cell r="I464">
            <v>13.276</v>
          </cell>
          <cell r="J464">
            <v>4.8620928000000001</v>
          </cell>
          <cell r="K464">
            <v>12.862092799999999</v>
          </cell>
          <cell r="L464">
            <v>0.414076613662478</v>
          </cell>
          <cell r="M464">
            <v>13.276169413662499</v>
          </cell>
          <cell r="N464">
            <v>9.0909090909090898E-2</v>
          </cell>
          <cell r="O464">
            <v>0</v>
          </cell>
          <cell r="P464">
            <v>1</v>
          </cell>
        </row>
        <row r="465">
          <cell r="A465">
            <v>535803</v>
          </cell>
          <cell r="B465">
            <v>7</v>
          </cell>
          <cell r="C465">
            <v>0</v>
          </cell>
          <cell r="D465">
            <v>1</v>
          </cell>
          <cell r="E465" t="str">
            <v>INDIV</v>
          </cell>
          <cell r="F465" t="str">
            <v>South Gate</v>
          </cell>
          <cell r="G465">
            <v>0</v>
          </cell>
          <cell r="H465">
            <v>0</v>
          </cell>
          <cell r="I465">
            <v>6</v>
          </cell>
          <cell r="J465">
            <v>0</v>
          </cell>
          <cell r="K465">
            <v>6</v>
          </cell>
          <cell r="L465">
            <v>0</v>
          </cell>
          <cell r="M465">
            <v>6</v>
          </cell>
          <cell r="N465">
            <v>9.0909090909090898E-2</v>
          </cell>
          <cell r="O465">
            <v>0</v>
          </cell>
          <cell r="P465">
            <v>1</v>
          </cell>
        </row>
        <row r="466">
          <cell r="A466">
            <v>535606</v>
          </cell>
          <cell r="B466">
            <v>7</v>
          </cell>
          <cell r="C466">
            <v>0</v>
          </cell>
          <cell r="D466">
            <v>1</v>
          </cell>
          <cell r="E466" t="str">
            <v>INDIV</v>
          </cell>
          <cell r="F466" t="str">
            <v>South Gate</v>
          </cell>
          <cell r="G466">
            <v>0</v>
          </cell>
          <cell r="H466">
            <v>0</v>
          </cell>
          <cell r="I466">
            <v>7.851</v>
          </cell>
          <cell r="J466">
            <v>3.8097598800000001</v>
          </cell>
          <cell r="K466">
            <v>7.8097598799999997</v>
          </cell>
          <cell r="L466">
            <v>4.1250644165170602E-2</v>
          </cell>
          <cell r="M466">
            <v>7.8510105241651704</v>
          </cell>
          <cell r="N466">
            <v>9.0909090909090898E-2</v>
          </cell>
          <cell r="O466">
            <v>0</v>
          </cell>
          <cell r="P466">
            <v>1</v>
          </cell>
        </row>
        <row r="467">
          <cell r="A467">
            <v>550602</v>
          </cell>
          <cell r="B467">
            <v>7</v>
          </cell>
          <cell r="C467">
            <v>0</v>
          </cell>
          <cell r="D467">
            <v>4</v>
          </cell>
          <cell r="E467" t="str">
            <v>INDIV</v>
          </cell>
          <cell r="F467" t="str">
            <v>Downey</v>
          </cell>
          <cell r="G467">
            <v>1</v>
          </cell>
          <cell r="H467">
            <v>1</v>
          </cell>
          <cell r="I467">
            <v>2</v>
          </cell>
          <cell r="J467">
            <v>0</v>
          </cell>
          <cell r="K467">
            <v>2</v>
          </cell>
          <cell r="L467">
            <v>0</v>
          </cell>
          <cell r="M467">
            <v>2</v>
          </cell>
          <cell r="N467">
            <v>9.0909090909090898E-2</v>
          </cell>
          <cell r="O467">
            <v>11</v>
          </cell>
          <cell r="P467">
            <v>1</v>
          </cell>
        </row>
        <row r="468">
          <cell r="A468">
            <v>551101</v>
          </cell>
          <cell r="B468">
            <v>7</v>
          </cell>
          <cell r="C468">
            <v>0</v>
          </cell>
          <cell r="D468">
            <v>4</v>
          </cell>
          <cell r="E468" t="str">
            <v>INDIV</v>
          </cell>
          <cell r="F468" t="str">
            <v>Downey</v>
          </cell>
          <cell r="G468">
            <v>0</v>
          </cell>
          <cell r="H468">
            <v>0</v>
          </cell>
          <cell r="I468">
            <v>2.0950000000000002</v>
          </cell>
          <cell r="J468">
            <v>1.9836996600000001</v>
          </cell>
          <cell r="K468">
            <v>1.9836996600000001</v>
          </cell>
          <cell r="L468">
            <v>0.11117260138240601</v>
          </cell>
          <cell r="M468">
            <v>2.09487226138241</v>
          </cell>
          <cell r="N468">
            <v>9.0909090909090898E-2</v>
          </cell>
          <cell r="O468">
            <v>0</v>
          </cell>
          <cell r="P468">
            <v>1</v>
          </cell>
        </row>
        <row r="469">
          <cell r="A469">
            <v>551300</v>
          </cell>
          <cell r="B469">
            <v>7</v>
          </cell>
          <cell r="C469">
            <v>0</v>
          </cell>
          <cell r="D469">
            <v>4</v>
          </cell>
          <cell r="E469" t="str">
            <v>INDIV</v>
          </cell>
          <cell r="F469" t="str">
            <v>Downey</v>
          </cell>
          <cell r="G469">
            <v>0</v>
          </cell>
          <cell r="H469">
            <v>0</v>
          </cell>
          <cell r="I469">
            <v>9.3680000000000003</v>
          </cell>
          <cell r="J469">
            <v>7.1538363900000004</v>
          </cell>
          <cell r="K469">
            <v>9.1538363900000004</v>
          </cell>
          <cell r="L469">
            <v>0.213327972387792</v>
          </cell>
          <cell r="M469">
            <v>9.3671643623877898</v>
          </cell>
          <cell r="N469">
            <v>9.0909090909090898E-2</v>
          </cell>
          <cell r="O469">
            <v>0</v>
          </cell>
          <cell r="P469">
            <v>1</v>
          </cell>
        </row>
        <row r="470">
          <cell r="A470">
            <v>551600</v>
          </cell>
          <cell r="B470">
            <v>7</v>
          </cell>
          <cell r="C470">
            <v>0</v>
          </cell>
          <cell r="D470">
            <v>4</v>
          </cell>
          <cell r="E470" t="str">
            <v>INDIV</v>
          </cell>
          <cell r="F470" t="str">
            <v>Downey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9.0909090909090898E-2</v>
          </cell>
          <cell r="O470">
            <v>0</v>
          </cell>
          <cell r="P470">
            <v>1</v>
          </cell>
        </row>
        <row r="471">
          <cell r="A471">
            <v>503701</v>
          </cell>
          <cell r="B471">
            <v>7</v>
          </cell>
          <cell r="C471">
            <v>0</v>
          </cell>
          <cell r="D471">
            <v>4</v>
          </cell>
          <cell r="E471" t="str">
            <v>INDIV</v>
          </cell>
          <cell r="F471" t="str">
            <v>Unincorporated East Whittier</v>
          </cell>
          <cell r="G471">
            <v>0</v>
          </cell>
          <cell r="H471">
            <v>0</v>
          </cell>
          <cell r="I471">
            <v>17.797000000000001</v>
          </cell>
          <cell r="J471">
            <v>9.6032194200000003</v>
          </cell>
          <cell r="K471">
            <v>17.603219419999999</v>
          </cell>
          <cell r="L471">
            <v>0.19367388971274699</v>
          </cell>
          <cell r="M471">
            <v>17.796893309712701</v>
          </cell>
          <cell r="N471">
            <v>9.0909090909090898E-2</v>
          </cell>
          <cell r="O471">
            <v>0</v>
          </cell>
          <cell r="P471">
            <v>1</v>
          </cell>
        </row>
        <row r="472">
          <cell r="A472">
            <v>503301</v>
          </cell>
          <cell r="B472">
            <v>7</v>
          </cell>
          <cell r="C472">
            <v>0</v>
          </cell>
          <cell r="D472">
            <v>4</v>
          </cell>
          <cell r="E472" t="str">
            <v>INDIV</v>
          </cell>
          <cell r="F472" t="str">
            <v>Whittier</v>
          </cell>
          <cell r="G472">
            <v>0</v>
          </cell>
          <cell r="H472">
            <v>0</v>
          </cell>
          <cell r="I472">
            <v>5.6859999999999999</v>
          </cell>
          <cell r="J472">
            <v>3.4228962300000001</v>
          </cell>
          <cell r="K472">
            <v>5.4228962300000001</v>
          </cell>
          <cell r="L472">
            <v>0.26262460752244199</v>
          </cell>
          <cell r="M472">
            <v>5.6855208375224402</v>
          </cell>
          <cell r="N472">
            <v>9.0909090909090898E-2</v>
          </cell>
          <cell r="O472">
            <v>0</v>
          </cell>
          <cell r="P472">
            <v>1</v>
          </cell>
        </row>
        <row r="473">
          <cell r="A473">
            <v>551700</v>
          </cell>
          <cell r="B473">
            <v>7</v>
          </cell>
          <cell r="C473">
            <v>0</v>
          </cell>
          <cell r="D473">
            <v>4</v>
          </cell>
          <cell r="E473" t="str">
            <v>INDIV</v>
          </cell>
          <cell r="F473" t="str">
            <v>Downey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9.0909090909090898E-2</v>
          </cell>
          <cell r="O473">
            <v>0</v>
          </cell>
          <cell r="P473">
            <v>1</v>
          </cell>
        </row>
        <row r="474">
          <cell r="A474">
            <v>503501</v>
          </cell>
          <cell r="B474">
            <v>7</v>
          </cell>
          <cell r="C474">
            <v>0</v>
          </cell>
          <cell r="D474">
            <v>4</v>
          </cell>
          <cell r="E474" t="str">
            <v>INDIV</v>
          </cell>
          <cell r="F474" t="str">
            <v>South Whittier</v>
          </cell>
          <cell r="G474">
            <v>0</v>
          </cell>
          <cell r="H474">
            <v>0</v>
          </cell>
          <cell r="I474">
            <v>9.19</v>
          </cell>
          <cell r="J474">
            <v>3.9673993200000002</v>
          </cell>
          <cell r="K474">
            <v>8.9673993200000002</v>
          </cell>
          <cell r="L474">
            <v>0.22234520276481101</v>
          </cell>
          <cell r="M474">
            <v>9.1897445227648102</v>
          </cell>
          <cell r="N474">
            <v>9.0909090909090898E-2</v>
          </cell>
          <cell r="O474">
            <v>0</v>
          </cell>
          <cell r="P474">
            <v>1</v>
          </cell>
        </row>
        <row r="475">
          <cell r="A475">
            <v>503000</v>
          </cell>
          <cell r="B475">
            <v>7</v>
          </cell>
          <cell r="C475">
            <v>0</v>
          </cell>
          <cell r="D475">
            <v>4</v>
          </cell>
          <cell r="E475" t="str">
            <v>INDIV</v>
          </cell>
          <cell r="F475" t="str">
            <v>South Whittier</v>
          </cell>
          <cell r="G475">
            <v>0</v>
          </cell>
          <cell r="H475">
            <v>0</v>
          </cell>
          <cell r="I475">
            <v>12.875999999999999</v>
          </cell>
          <cell r="J475">
            <v>7.3902955500000003</v>
          </cell>
          <cell r="K475">
            <v>12.390295549999999</v>
          </cell>
          <cell r="L475">
            <v>0.484969810287253</v>
          </cell>
          <cell r="M475">
            <v>12.875265360287299</v>
          </cell>
          <cell r="N475">
            <v>9.0909090909090898E-2</v>
          </cell>
          <cell r="O475">
            <v>0</v>
          </cell>
          <cell r="P475">
            <v>1</v>
          </cell>
        </row>
        <row r="476">
          <cell r="A476">
            <v>552400</v>
          </cell>
          <cell r="B476">
            <v>7</v>
          </cell>
          <cell r="C476">
            <v>0</v>
          </cell>
          <cell r="D476">
            <v>4</v>
          </cell>
          <cell r="E476" t="str">
            <v>INDIV</v>
          </cell>
          <cell r="F476" t="str">
            <v>Norwalk</v>
          </cell>
          <cell r="G476">
            <v>0</v>
          </cell>
          <cell r="H476">
            <v>0</v>
          </cell>
          <cell r="I476">
            <v>10.048</v>
          </cell>
          <cell r="J476">
            <v>9.1796825099999992</v>
          </cell>
          <cell r="K476">
            <v>9.1796825099999992</v>
          </cell>
          <cell r="L476">
            <v>0.86843263208258503</v>
          </cell>
          <cell r="M476">
            <v>10.048115142082599</v>
          </cell>
          <cell r="N476">
            <v>9.0909090909090898E-2</v>
          </cell>
          <cell r="O476">
            <v>0</v>
          </cell>
          <cell r="P476">
            <v>1</v>
          </cell>
        </row>
        <row r="477">
          <cell r="A477">
            <v>552602</v>
          </cell>
          <cell r="B477">
            <v>7</v>
          </cell>
          <cell r="C477">
            <v>0</v>
          </cell>
          <cell r="D477">
            <v>4</v>
          </cell>
          <cell r="E477" t="str">
            <v>INDIV</v>
          </cell>
          <cell r="F477" t="str">
            <v>Norwalk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9.0909090909090898E-2</v>
          </cell>
          <cell r="O477">
            <v>0</v>
          </cell>
          <cell r="P477">
            <v>1</v>
          </cell>
        </row>
        <row r="478">
          <cell r="A478">
            <v>552900</v>
          </cell>
          <cell r="B478">
            <v>7</v>
          </cell>
          <cell r="C478">
            <v>0</v>
          </cell>
          <cell r="D478">
            <v>4</v>
          </cell>
          <cell r="E478" t="str">
            <v>INDIV</v>
          </cell>
          <cell r="F478" t="str">
            <v>Norwalk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9.0909090909090898E-2</v>
          </cell>
          <cell r="O478">
            <v>0</v>
          </cell>
          <cell r="P478">
            <v>1</v>
          </cell>
        </row>
        <row r="479">
          <cell r="A479">
            <v>554103</v>
          </cell>
          <cell r="B479">
            <v>7</v>
          </cell>
          <cell r="C479">
            <v>0</v>
          </cell>
          <cell r="D479">
            <v>4</v>
          </cell>
          <cell r="E479" t="str">
            <v>INDIV</v>
          </cell>
          <cell r="F479" t="str">
            <v>Bellflower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9.0909090909090898E-2</v>
          </cell>
          <cell r="O479">
            <v>0</v>
          </cell>
          <cell r="P479">
            <v>1</v>
          </cell>
        </row>
        <row r="480">
          <cell r="A480">
            <v>554301</v>
          </cell>
          <cell r="B480">
            <v>7</v>
          </cell>
          <cell r="C480">
            <v>0</v>
          </cell>
          <cell r="D480">
            <v>4</v>
          </cell>
          <cell r="E480" t="str">
            <v>INDIV</v>
          </cell>
          <cell r="F480" t="str">
            <v>Bellflower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9.0909090909090898E-2</v>
          </cell>
          <cell r="O480">
            <v>0</v>
          </cell>
          <cell r="P480">
            <v>1</v>
          </cell>
        </row>
        <row r="481">
          <cell r="A481">
            <v>554404</v>
          </cell>
          <cell r="B481">
            <v>7</v>
          </cell>
          <cell r="C481">
            <v>0</v>
          </cell>
          <cell r="D481">
            <v>4</v>
          </cell>
          <cell r="E481" t="str">
            <v>INDIV</v>
          </cell>
          <cell r="F481" t="str">
            <v>Bellflower</v>
          </cell>
          <cell r="G481">
            <v>0</v>
          </cell>
          <cell r="H481">
            <v>0</v>
          </cell>
          <cell r="I481">
            <v>1.8080000000000001</v>
          </cell>
          <cell r="J481">
            <v>1.73313217</v>
          </cell>
          <cell r="K481">
            <v>1.73313217</v>
          </cell>
          <cell r="L481">
            <v>7.4985510287253102E-2</v>
          </cell>
          <cell r="M481">
            <v>1.8081176802872501</v>
          </cell>
          <cell r="N481">
            <v>9.0909090909090898E-2</v>
          </cell>
          <cell r="O481">
            <v>0</v>
          </cell>
          <cell r="P481">
            <v>1</v>
          </cell>
        </row>
        <row r="482">
          <cell r="A482">
            <v>554801</v>
          </cell>
          <cell r="B482">
            <v>7</v>
          </cell>
          <cell r="C482">
            <v>0</v>
          </cell>
          <cell r="D482">
            <v>4</v>
          </cell>
          <cell r="E482" t="str">
            <v>INDIV</v>
          </cell>
          <cell r="F482" t="str">
            <v>Artesia</v>
          </cell>
          <cell r="G482">
            <v>0</v>
          </cell>
          <cell r="H482">
            <v>0</v>
          </cell>
          <cell r="I482">
            <v>1.9259999999999999</v>
          </cell>
          <cell r="J482">
            <v>1.90487994</v>
          </cell>
          <cell r="K482">
            <v>1.90487994</v>
          </cell>
          <cell r="L482">
            <v>2.0625322082585301E-2</v>
          </cell>
          <cell r="M482">
            <v>1.9255052620825901</v>
          </cell>
          <cell r="N482">
            <v>9.0909090909090898E-2</v>
          </cell>
          <cell r="O482">
            <v>0</v>
          </cell>
          <cell r="P482">
            <v>1</v>
          </cell>
        </row>
        <row r="483">
          <cell r="A483">
            <v>554900</v>
          </cell>
          <cell r="B483">
            <v>7</v>
          </cell>
          <cell r="C483">
            <v>0</v>
          </cell>
          <cell r="D483">
            <v>4</v>
          </cell>
          <cell r="E483" t="str">
            <v>INDIV</v>
          </cell>
          <cell r="F483" t="str">
            <v>Artesia</v>
          </cell>
          <cell r="G483">
            <v>0</v>
          </cell>
          <cell r="H483">
            <v>0</v>
          </cell>
          <cell r="I483">
            <v>5.8079999999999998</v>
          </cell>
          <cell r="J483">
            <v>1.73313217</v>
          </cell>
          <cell r="K483">
            <v>5.7331321700000002</v>
          </cell>
          <cell r="L483">
            <v>7.4985510287253102E-2</v>
          </cell>
          <cell r="M483">
            <v>5.8081176802872498</v>
          </cell>
          <cell r="N483">
            <v>9.0909090909090898E-2</v>
          </cell>
          <cell r="O483">
            <v>0</v>
          </cell>
          <cell r="P483">
            <v>1</v>
          </cell>
        </row>
        <row r="484">
          <cell r="A484">
            <v>555211</v>
          </cell>
          <cell r="B484">
            <v>7</v>
          </cell>
          <cell r="C484">
            <v>0</v>
          </cell>
          <cell r="D484">
            <v>4</v>
          </cell>
          <cell r="E484" t="str">
            <v>INDIV</v>
          </cell>
          <cell r="F484" t="str">
            <v>Hawaiian Gardens</v>
          </cell>
          <cell r="G484">
            <v>0</v>
          </cell>
          <cell r="H484">
            <v>0</v>
          </cell>
          <cell r="I484">
            <v>14.327</v>
          </cell>
          <cell r="J484">
            <v>8.91622834</v>
          </cell>
          <cell r="K484">
            <v>13.91622834</v>
          </cell>
          <cell r="L484">
            <v>0.411114642531418</v>
          </cell>
          <cell r="M484">
            <v>14.3273429825314</v>
          </cell>
          <cell r="N484">
            <v>9.0909090909090898E-2</v>
          </cell>
          <cell r="O484">
            <v>0</v>
          </cell>
          <cell r="P484">
            <v>1</v>
          </cell>
        </row>
        <row r="485">
          <cell r="A485">
            <v>570701</v>
          </cell>
          <cell r="B485">
            <v>7</v>
          </cell>
          <cell r="C485">
            <v>0</v>
          </cell>
          <cell r="D485">
            <v>4</v>
          </cell>
          <cell r="E485" t="str">
            <v>INDIV</v>
          </cell>
          <cell r="F485" t="str">
            <v>Lakewood</v>
          </cell>
          <cell r="G485">
            <v>0</v>
          </cell>
          <cell r="H485">
            <v>0</v>
          </cell>
          <cell r="I485">
            <v>8.1809999999999992</v>
          </cell>
          <cell r="J485">
            <v>2.87839314</v>
          </cell>
          <cell r="K485">
            <v>7.87839314</v>
          </cell>
          <cell r="L485">
            <v>0.30290401228007202</v>
          </cell>
          <cell r="M485">
            <v>8.1812971522800702</v>
          </cell>
          <cell r="N485">
            <v>9.0909090909090898E-2</v>
          </cell>
          <cell r="O485">
            <v>0</v>
          </cell>
          <cell r="P485">
            <v>1</v>
          </cell>
        </row>
        <row r="486">
          <cell r="A486">
            <v>571000</v>
          </cell>
          <cell r="B486">
            <v>7</v>
          </cell>
          <cell r="C486">
            <v>0</v>
          </cell>
          <cell r="D486">
            <v>4</v>
          </cell>
          <cell r="E486" t="str">
            <v>INDIV</v>
          </cell>
          <cell r="F486" t="str">
            <v>Lakewood</v>
          </cell>
          <cell r="G486">
            <v>0</v>
          </cell>
          <cell r="H486">
            <v>0</v>
          </cell>
          <cell r="I486">
            <v>2.9260000000000002</v>
          </cell>
          <cell r="J486">
            <v>1.90487994</v>
          </cell>
          <cell r="K486">
            <v>2.9048799399999998</v>
          </cell>
          <cell r="L486">
            <v>2.0625322082585301E-2</v>
          </cell>
          <cell r="M486">
            <v>2.9255052620825901</v>
          </cell>
          <cell r="N486">
            <v>9.0909090909090898E-2</v>
          </cell>
          <cell r="O486">
            <v>0</v>
          </cell>
          <cell r="P486">
            <v>1</v>
          </cell>
        </row>
        <row r="487">
          <cell r="A487">
            <v>571102</v>
          </cell>
          <cell r="B487">
            <v>7</v>
          </cell>
          <cell r="C487">
            <v>0</v>
          </cell>
          <cell r="D487">
            <v>4</v>
          </cell>
          <cell r="E487" t="str">
            <v>INDIV</v>
          </cell>
          <cell r="F487" t="str">
            <v>Lakewood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9.0909090909090898E-2</v>
          </cell>
          <cell r="O487">
            <v>0</v>
          </cell>
          <cell r="P487">
            <v>1</v>
          </cell>
        </row>
        <row r="488">
          <cell r="A488">
            <v>571400</v>
          </cell>
          <cell r="B488">
            <v>7</v>
          </cell>
          <cell r="C488">
            <v>0</v>
          </cell>
          <cell r="D488">
            <v>4</v>
          </cell>
          <cell r="E488" t="str">
            <v>INDIV</v>
          </cell>
          <cell r="F488" t="str">
            <v>Lakewood</v>
          </cell>
          <cell r="G488">
            <v>0</v>
          </cell>
          <cell r="H488">
            <v>0</v>
          </cell>
          <cell r="I488">
            <v>5.9029999999999996</v>
          </cell>
          <cell r="J488">
            <v>3.7168318299999998</v>
          </cell>
          <cell r="K488">
            <v>5.7168318300000003</v>
          </cell>
          <cell r="L488">
            <v>0.18615811166965901</v>
          </cell>
          <cell r="M488">
            <v>5.9029899416696603</v>
          </cell>
          <cell r="N488">
            <v>9.0909090909090898E-2</v>
          </cell>
          <cell r="O488">
            <v>0</v>
          </cell>
          <cell r="P488">
            <v>1</v>
          </cell>
        </row>
        <row r="489">
          <cell r="A489">
            <v>620800</v>
          </cell>
          <cell r="B489">
            <v>8</v>
          </cell>
          <cell r="C489">
            <v>0</v>
          </cell>
          <cell r="D489">
            <v>4</v>
          </cell>
          <cell r="E489" t="str">
            <v>INDIV</v>
          </cell>
          <cell r="F489" t="str">
            <v>Manhattan Beach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6.8181818181818205E-2</v>
          </cell>
          <cell r="O489">
            <v>0</v>
          </cell>
          <cell r="P489">
            <v>0.88636363636363602</v>
          </cell>
        </row>
        <row r="490">
          <cell r="A490">
            <v>602200</v>
          </cell>
          <cell r="B490">
            <v>8</v>
          </cell>
          <cell r="C490">
            <v>0</v>
          </cell>
          <cell r="D490">
            <v>2</v>
          </cell>
          <cell r="E490" t="str">
            <v>INDIV</v>
          </cell>
          <cell r="F490" t="str">
            <v>Del Aire</v>
          </cell>
          <cell r="G490">
            <v>0</v>
          </cell>
          <cell r="H490">
            <v>0</v>
          </cell>
          <cell r="I490">
            <v>9.19</v>
          </cell>
          <cell r="J490">
            <v>3.9673993200000002</v>
          </cell>
          <cell r="K490">
            <v>8.9673993200000002</v>
          </cell>
          <cell r="L490">
            <v>0.22234520276481101</v>
          </cell>
          <cell r="M490">
            <v>9.1897445227648102</v>
          </cell>
          <cell r="N490">
            <v>6.8181818181818205E-2</v>
          </cell>
          <cell r="O490">
            <v>0</v>
          </cell>
          <cell r="P490">
            <v>0.88636363636363602</v>
          </cell>
        </row>
        <row r="491">
          <cell r="A491">
            <v>601900</v>
          </cell>
          <cell r="B491">
            <v>8</v>
          </cell>
          <cell r="C491">
            <v>0</v>
          </cell>
          <cell r="D491">
            <v>2</v>
          </cell>
          <cell r="E491" t="str">
            <v>INDIV</v>
          </cell>
          <cell r="F491" t="str">
            <v>Inglewood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6.8181818181818205E-2</v>
          </cell>
          <cell r="O491">
            <v>0</v>
          </cell>
          <cell r="P491">
            <v>0.88636363636363602</v>
          </cell>
        </row>
        <row r="492">
          <cell r="A492">
            <v>601202</v>
          </cell>
          <cell r="B492">
            <v>8</v>
          </cell>
          <cell r="C492">
            <v>0</v>
          </cell>
          <cell r="D492">
            <v>2</v>
          </cell>
          <cell r="E492" t="str">
            <v>INDIV</v>
          </cell>
          <cell r="F492" t="str">
            <v>Inglewood</v>
          </cell>
          <cell r="G492">
            <v>0</v>
          </cell>
          <cell r="H492">
            <v>0</v>
          </cell>
          <cell r="I492">
            <v>13.475</v>
          </cell>
          <cell r="J492">
            <v>5.9988813299999997</v>
          </cell>
          <cell r="K492">
            <v>12.99888133</v>
          </cell>
          <cell r="L492">
            <v>0.47584795017953302</v>
          </cell>
          <cell r="M492">
            <v>13.474729280179499</v>
          </cell>
          <cell r="N492">
            <v>6.8181818181818205E-2</v>
          </cell>
          <cell r="O492">
            <v>0</v>
          </cell>
          <cell r="P492">
            <v>0.88636363636363602</v>
          </cell>
        </row>
        <row r="493">
          <cell r="A493">
            <v>543801</v>
          </cell>
          <cell r="B493">
            <v>8</v>
          </cell>
          <cell r="C493">
            <v>0</v>
          </cell>
          <cell r="D493">
            <v>2</v>
          </cell>
          <cell r="E493" t="str">
            <v>INDIV</v>
          </cell>
          <cell r="F493" t="str">
            <v>Carson</v>
          </cell>
          <cell r="G493">
            <v>0</v>
          </cell>
          <cell r="H493">
            <v>0</v>
          </cell>
          <cell r="I493">
            <v>9.327</v>
          </cell>
          <cell r="J493">
            <v>8.91622834</v>
          </cell>
          <cell r="K493">
            <v>8.91622834</v>
          </cell>
          <cell r="L493">
            <v>0.411114642531418</v>
          </cell>
          <cell r="M493">
            <v>9.3273429825314196</v>
          </cell>
          <cell r="N493">
            <v>6.8181818181818205E-2</v>
          </cell>
          <cell r="O493">
            <v>0</v>
          </cell>
          <cell r="P493">
            <v>0.88636363636363602</v>
          </cell>
        </row>
        <row r="494">
          <cell r="A494">
            <v>599000</v>
          </cell>
          <cell r="B494">
            <v>8</v>
          </cell>
          <cell r="C494">
            <v>0</v>
          </cell>
          <cell r="D494">
            <v>4</v>
          </cell>
          <cell r="E494" t="str">
            <v>INDIV</v>
          </cell>
          <cell r="F494" t="str">
            <v>Avalon</v>
          </cell>
          <cell r="G494">
            <v>1</v>
          </cell>
          <cell r="H494">
            <v>1</v>
          </cell>
          <cell r="I494">
            <v>6</v>
          </cell>
          <cell r="J494">
            <v>0</v>
          </cell>
          <cell r="K494">
            <v>6</v>
          </cell>
          <cell r="L494">
            <v>0</v>
          </cell>
          <cell r="M494">
            <v>6</v>
          </cell>
          <cell r="N494">
            <v>6.8181818181818205E-2</v>
          </cell>
          <cell r="O494">
            <v>14.6666666666667</v>
          </cell>
          <cell r="P494">
            <v>0.88636363636363602</v>
          </cell>
        </row>
        <row r="495">
          <cell r="A495">
            <v>600400</v>
          </cell>
          <cell r="B495">
            <v>8</v>
          </cell>
          <cell r="C495">
            <v>0</v>
          </cell>
          <cell r="D495">
            <v>2</v>
          </cell>
          <cell r="E495" t="str">
            <v>INDIV</v>
          </cell>
          <cell r="F495" t="str">
            <v>Westmont / West Athens</v>
          </cell>
          <cell r="G495">
            <v>0</v>
          </cell>
          <cell r="H495">
            <v>0</v>
          </cell>
          <cell r="I495">
            <v>10</v>
          </cell>
          <cell r="J495">
            <v>0</v>
          </cell>
          <cell r="K495">
            <v>10</v>
          </cell>
          <cell r="L495">
            <v>0</v>
          </cell>
          <cell r="M495">
            <v>10</v>
          </cell>
          <cell r="N495">
            <v>6.8181818181818205E-2</v>
          </cell>
          <cell r="O495">
            <v>0</v>
          </cell>
          <cell r="P495">
            <v>0.88636363636363602</v>
          </cell>
        </row>
        <row r="496">
          <cell r="A496">
            <v>600601</v>
          </cell>
          <cell r="B496">
            <v>8</v>
          </cell>
          <cell r="C496">
            <v>0</v>
          </cell>
          <cell r="D496">
            <v>2</v>
          </cell>
          <cell r="E496" t="str">
            <v>INDIV</v>
          </cell>
          <cell r="F496" t="str">
            <v>Inglewood</v>
          </cell>
          <cell r="G496">
            <v>0</v>
          </cell>
          <cell r="H496">
            <v>0</v>
          </cell>
          <cell r="I496">
            <v>8</v>
          </cell>
          <cell r="J496">
            <v>0</v>
          </cell>
          <cell r="K496">
            <v>8</v>
          </cell>
          <cell r="L496">
            <v>0</v>
          </cell>
          <cell r="M496">
            <v>8</v>
          </cell>
          <cell r="N496">
            <v>6.8181818181818205E-2</v>
          </cell>
          <cell r="O496">
            <v>0</v>
          </cell>
          <cell r="P496">
            <v>0.88636363636363602</v>
          </cell>
        </row>
        <row r="497">
          <cell r="A497">
            <v>600602</v>
          </cell>
          <cell r="B497">
            <v>8</v>
          </cell>
          <cell r="C497">
            <v>0</v>
          </cell>
          <cell r="D497">
            <v>2</v>
          </cell>
          <cell r="E497" t="str">
            <v>INDIV</v>
          </cell>
          <cell r="F497" t="str">
            <v>Inglewood</v>
          </cell>
          <cell r="G497">
            <v>0</v>
          </cell>
          <cell r="H497">
            <v>0</v>
          </cell>
          <cell r="I497">
            <v>7.0949999999999998</v>
          </cell>
          <cell r="J497">
            <v>1.9836996600000001</v>
          </cell>
          <cell r="K497">
            <v>6.9836996600000001</v>
          </cell>
          <cell r="L497">
            <v>0.11117260138240601</v>
          </cell>
          <cell r="M497">
            <v>7.0948722613824096</v>
          </cell>
          <cell r="N497">
            <v>6.8181818181818205E-2</v>
          </cell>
          <cell r="O497">
            <v>0</v>
          </cell>
          <cell r="P497">
            <v>0.88636363636363602</v>
          </cell>
        </row>
        <row r="498">
          <cell r="A498">
            <v>600801</v>
          </cell>
          <cell r="B498">
            <v>8</v>
          </cell>
          <cell r="C498">
            <v>0</v>
          </cell>
          <cell r="D498">
            <v>2</v>
          </cell>
          <cell r="E498" t="str">
            <v>INDIV</v>
          </cell>
          <cell r="F498" t="str">
            <v>Inglewood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6.8181818181818205E-2</v>
          </cell>
          <cell r="O498">
            <v>0</v>
          </cell>
          <cell r="P498">
            <v>0.88636363636363602</v>
          </cell>
        </row>
        <row r="499">
          <cell r="A499">
            <v>601501</v>
          </cell>
          <cell r="B499">
            <v>8</v>
          </cell>
          <cell r="C499">
            <v>0</v>
          </cell>
          <cell r="D499">
            <v>2</v>
          </cell>
          <cell r="E499" t="str">
            <v>INDIV</v>
          </cell>
          <cell r="F499" t="str">
            <v>Lennox</v>
          </cell>
          <cell r="G499">
            <v>0</v>
          </cell>
          <cell r="H499">
            <v>0</v>
          </cell>
          <cell r="I499">
            <v>20.265999999999998</v>
          </cell>
          <cell r="J499">
            <v>9.4736181100000003</v>
          </cell>
          <cell r="K499">
            <v>19.47361811</v>
          </cell>
          <cell r="L499">
            <v>0.79196613622980205</v>
          </cell>
          <cell r="M499">
            <v>20.2655842462298</v>
          </cell>
          <cell r="N499">
            <v>6.8181818181818205E-2</v>
          </cell>
          <cell r="O499">
            <v>0</v>
          </cell>
          <cell r="P499">
            <v>0.88636363636363602</v>
          </cell>
        </row>
        <row r="500">
          <cell r="A500">
            <v>601802</v>
          </cell>
          <cell r="B500">
            <v>8</v>
          </cell>
          <cell r="C500">
            <v>0</v>
          </cell>
          <cell r="D500">
            <v>2</v>
          </cell>
          <cell r="E500" t="str">
            <v>INDIV</v>
          </cell>
          <cell r="F500" t="str">
            <v>Lennox</v>
          </cell>
          <cell r="G500">
            <v>0</v>
          </cell>
          <cell r="H500">
            <v>0</v>
          </cell>
          <cell r="I500">
            <v>6.0949999999999998</v>
          </cell>
          <cell r="J500">
            <v>1.9836996600000001</v>
          </cell>
          <cell r="K500">
            <v>5.9836996600000001</v>
          </cell>
          <cell r="L500">
            <v>0.11117260138240601</v>
          </cell>
          <cell r="M500">
            <v>6.0948722613824096</v>
          </cell>
          <cell r="N500">
            <v>6.8181818181818205E-2</v>
          </cell>
          <cell r="O500">
            <v>0</v>
          </cell>
          <cell r="P500">
            <v>0.88636363636363602</v>
          </cell>
        </row>
        <row r="501">
          <cell r="A501">
            <v>602004</v>
          </cell>
          <cell r="B501">
            <v>8</v>
          </cell>
          <cell r="C501">
            <v>0</v>
          </cell>
          <cell r="D501">
            <v>2</v>
          </cell>
          <cell r="E501" t="str">
            <v>INDIV</v>
          </cell>
          <cell r="F501" t="str">
            <v>Inglewood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6.8181818181818205E-2</v>
          </cell>
          <cell r="O501">
            <v>0</v>
          </cell>
          <cell r="P501">
            <v>0.88636363636363602</v>
          </cell>
        </row>
        <row r="502">
          <cell r="A502">
            <v>602103</v>
          </cell>
          <cell r="B502">
            <v>8</v>
          </cell>
          <cell r="C502">
            <v>0</v>
          </cell>
          <cell r="D502">
            <v>2</v>
          </cell>
          <cell r="E502" t="str">
            <v>INDIV</v>
          </cell>
          <cell r="F502" t="str">
            <v>Hawthorne</v>
          </cell>
          <cell r="G502">
            <v>0</v>
          </cell>
          <cell r="H502">
            <v>0</v>
          </cell>
          <cell r="I502">
            <v>3</v>
          </cell>
          <cell r="J502">
            <v>0</v>
          </cell>
          <cell r="K502">
            <v>3</v>
          </cell>
          <cell r="L502">
            <v>0</v>
          </cell>
          <cell r="M502">
            <v>3</v>
          </cell>
          <cell r="N502">
            <v>6.8181818181818205E-2</v>
          </cell>
          <cell r="O502">
            <v>0</v>
          </cell>
          <cell r="P502">
            <v>0.88636363636363602</v>
          </cell>
        </row>
        <row r="503">
          <cell r="A503">
            <v>602104</v>
          </cell>
          <cell r="B503">
            <v>8</v>
          </cell>
          <cell r="C503">
            <v>0</v>
          </cell>
          <cell r="D503">
            <v>2</v>
          </cell>
          <cell r="E503" t="str">
            <v>INDIV</v>
          </cell>
          <cell r="F503" t="str">
            <v>Hawthorne</v>
          </cell>
          <cell r="G503">
            <v>0</v>
          </cell>
          <cell r="H503">
            <v>0</v>
          </cell>
          <cell r="I503">
            <v>1</v>
          </cell>
          <cell r="J503">
            <v>0</v>
          </cell>
          <cell r="K503">
            <v>1</v>
          </cell>
          <cell r="L503">
            <v>0</v>
          </cell>
          <cell r="M503">
            <v>1</v>
          </cell>
          <cell r="N503">
            <v>6.8181818181818205E-2</v>
          </cell>
          <cell r="O503">
            <v>0</v>
          </cell>
          <cell r="P503">
            <v>0.88636363636363602</v>
          </cell>
        </row>
        <row r="504">
          <cell r="A504">
            <v>602505</v>
          </cell>
          <cell r="B504">
            <v>8</v>
          </cell>
          <cell r="C504">
            <v>0</v>
          </cell>
          <cell r="D504">
            <v>2</v>
          </cell>
          <cell r="E504" t="str">
            <v>INDIV</v>
          </cell>
          <cell r="F504" t="str">
            <v>Hawthorne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6.8181818181818205E-2</v>
          </cell>
          <cell r="O504">
            <v>0</v>
          </cell>
          <cell r="P504">
            <v>0.88636363636363602</v>
          </cell>
        </row>
        <row r="505">
          <cell r="A505">
            <v>602700</v>
          </cell>
          <cell r="B505">
            <v>8</v>
          </cell>
          <cell r="C505">
            <v>0</v>
          </cell>
          <cell r="D505">
            <v>2</v>
          </cell>
          <cell r="E505" t="str">
            <v>INDIV</v>
          </cell>
          <cell r="F505" t="str">
            <v>Hawthorne</v>
          </cell>
          <cell r="G505">
            <v>0</v>
          </cell>
          <cell r="H505">
            <v>0</v>
          </cell>
          <cell r="I505">
            <v>6.399</v>
          </cell>
          <cell r="J505">
            <v>3.1723287400000002</v>
          </cell>
          <cell r="K505">
            <v>6.1723287400000002</v>
          </cell>
          <cell r="L505">
            <v>0.22643751642728899</v>
          </cell>
          <cell r="M505">
            <v>6.3987662564272902</v>
          </cell>
          <cell r="N505">
            <v>6.8181818181818205E-2</v>
          </cell>
          <cell r="O505">
            <v>0</v>
          </cell>
          <cell r="P505">
            <v>0.88636363636363602</v>
          </cell>
        </row>
        <row r="506">
          <cell r="A506">
            <v>601211</v>
          </cell>
          <cell r="B506">
            <v>8</v>
          </cell>
          <cell r="C506">
            <v>0</v>
          </cell>
          <cell r="D506">
            <v>2</v>
          </cell>
          <cell r="E506" t="str">
            <v>INDIV</v>
          </cell>
          <cell r="F506" t="str">
            <v>Inglewood</v>
          </cell>
          <cell r="G506">
            <v>0</v>
          </cell>
          <cell r="H506">
            <v>0</v>
          </cell>
          <cell r="I506">
            <v>6.5419999999999998</v>
          </cell>
          <cell r="J506">
            <v>5.3711442800000002</v>
          </cell>
          <cell r="K506">
            <v>6.3711442800000002</v>
          </cell>
          <cell r="L506">
            <v>0.170596342657092</v>
          </cell>
          <cell r="M506">
            <v>6.5417406226570902</v>
          </cell>
          <cell r="N506">
            <v>6.8181818181818205E-2</v>
          </cell>
          <cell r="O506">
            <v>0</v>
          </cell>
          <cell r="P506">
            <v>0.88636363636363602</v>
          </cell>
        </row>
        <row r="507">
          <cell r="A507">
            <v>603600</v>
          </cell>
          <cell r="B507">
            <v>8</v>
          </cell>
          <cell r="C507">
            <v>0</v>
          </cell>
          <cell r="D507">
            <v>2</v>
          </cell>
          <cell r="E507" t="str">
            <v>INDIV</v>
          </cell>
          <cell r="F507" t="str">
            <v>Gardena</v>
          </cell>
          <cell r="G507">
            <v>0</v>
          </cell>
          <cell r="H507">
            <v>0</v>
          </cell>
          <cell r="I507">
            <v>10.829000000000001</v>
          </cell>
          <cell r="J507">
            <v>5.6217117700000001</v>
          </cell>
          <cell r="K507">
            <v>10.621711769999999</v>
          </cell>
          <cell r="L507">
            <v>0.20678343375224401</v>
          </cell>
          <cell r="M507">
            <v>10.828495203752199</v>
          </cell>
          <cell r="N507">
            <v>6.8181818181818205E-2</v>
          </cell>
          <cell r="O507">
            <v>0</v>
          </cell>
          <cell r="P507">
            <v>0.88636363636363602</v>
          </cell>
        </row>
        <row r="508">
          <cell r="A508">
            <v>620305</v>
          </cell>
          <cell r="B508">
            <v>8</v>
          </cell>
          <cell r="C508">
            <v>0</v>
          </cell>
          <cell r="D508">
            <v>4</v>
          </cell>
          <cell r="E508" t="str">
            <v>INDIV</v>
          </cell>
          <cell r="F508" t="str">
            <v>Manhattan Beach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6.8181818181818205E-2</v>
          </cell>
          <cell r="O508">
            <v>0</v>
          </cell>
          <cell r="P508">
            <v>0.88636363636363602</v>
          </cell>
        </row>
        <row r="509">
          <cell r="A509">
            <v>600502</v>
          </cell>
          <cell r="B509">
            <v>8</v>
          </cell>
          <cell r="C509">
            <v>0</v>
          </cell>
          <cell r="D509">
            <v>2</v>
          </cell>
          <cell r="E509" t="str">
            <v>INDIV</v>
          </cell>
          <cell r="F509" t="str">
            <v>Inglewood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6.8181818181818205E-2</v>
          </cell>
          <cell r="O509">
            <v>0</v>
          </cell>
          <cell r="P509">
            <v>0.88636363636363602</v>
          </cell>
        </row>
        <row r="510">
          <cell r="A510">
            <v>620521</v>
          </cell>
          <cell r="B510">
            <v>8</v>
          </cell>
          <cell r="C510">
            <v>0</v>
          </cell>
          <cell r="D510">
            <v>4</v>
          </cell>
          <cell r="E510" t="str">
            <v>INDIV</v>
          </cell>
          <cell r="F510" t="str">
            <v>Redondo Beach</v>
          </cell>
          <cell r="G510">
            <v>0</v>
          </cell>
          <cell r="H510">
            <v>0</v>
          </cell>
          <cell r="I510">
            <v>16.466000000000001</v>
          </cell>
          <cell r="J510">
            <v>8.8294921199999994</v>
          </cell>
          <cell r="K510">
            <v>15.829492119999999</v>
          </cell>
          <cell r="L510">
            <v>0.63642181642728901</v>
          </cell>
          <cell r="M510">
            <v>16.465913936427299</v>
          </cell>
          <cell r="N510">
            <v>6.8181818181818205E-2</v>
          </cell>
          <cell r="O510">
            <v>0</v>
          </cell>
          <cell r="P510">
            <v>0.88636363636363602</v>
          </cell>
        </row>
        <row r="511">
          <cell r="A511">
            <v>620602</v>
          </cell>
          <cell r="B511">
            <v>8</v>
          </cell>
          <cell r="C511">
            <v>0</v>
          </cell>
          <cell r="D511">
            <v>4</v>
          </cell>
          <cell r="E511" t="str">
            <v>INDIV</v>
          </cell>
          <cell r="F511" t="str">
            <v>Redondo Beach</v>
          </cell>
          <cell r="G511">
            <v>0</v>
          </cell>
          <cell r="H511">
            <v>0</v>
          </cell>
          <cell r="I511">
            <v>5.181</v>
          </cell>
          <cell r="J511">
            <v>2.87839314</v>
          </cell>
          <cell r="K511">
            <v>4.87839314</v>
          </cell>
          <cell r="L511">
            <v>0.30290401228007202</v>
          </cell>
          <cell r="M511">
            <v>5.1812971522800702</v>
          </cell>
          <cell r="N511">
            <v>6.8181818181818205E-2</v>
          </cell>
          <cell r="O511">
            <v>0</v>
          </cell>
          <cell r="P511">
            <v>0.88636363636363602</v>
          </cell>
        </row>
        <row r="512">
          <cell r="A512">
            <v>543503</v>
          </cell>
          <cell r="B512">
            <v>8</v>
          </cell>
          <cell r="C512">
            <v>0</v>
          </cell>
          <cell r="D512">
            <v>2</v>
          </cell>
          <cell r="E512" t="str">
            <v>INDIV</v>
          </cell>
          <cell r="F512" t="str">
            <v>West Carson</v>
          </cell>
          <cell r="G512">
            <v>0</v>
          </cell>
          <cell r="H512">
            <v>0</v>
          </cell>
          <cell r="I512">
            <v>9.0950000000000006</v>
          </cell>
          <cell r="J512">
            <v>1.9836996600000001</v>
          </cell>
          <cell r="K512">
            <v>8.9836996599999992</v>
          </cell>
          <cell r="L512">
            <v>0.11117260138240601</v>
          </cell>
          <cell r="M512">
            <v>9.0948722613824007</v>
          </cell>
          <cell r="N512">
            <v>6.8181818181818205E-2</v>
          </cell>
          <cell r="O512">
            <v>0</v>
          </cell>
          <cell r="P512">
            <v>0.88636363636363602</v>
          </cell>
        </row>
        <row r="513">
          <cell r="A513">
            <v>620702</v>
          </cell>
          <cell r="B513">
            <v>8</v>
          </cell>
          <cell r="C513">
            <v>0</v>
          </cell>
          <cell r="D513">
            <v>4</v>
          </cell>
          <cell r="E513" t="str">
            <v>INDIV</v>
          </cell>
          <cell r="F513" t="str">
            <v>Redondo Beach</v>
          </cell>
          <cell r="G513">
            <v>1</v>
          </cell>
          <cell r="H513">
            <v>1</v>
          </cell>
          <cell r="I513">
            <v>3.903</v>
          </cell>
          <cell r="J513">
            <v>3.7168318299999998</v>
          </cell>
          <cell r="K513">
            <v>3.7168318299999998</v>
          </cell>
          <cell r="L513">
            <v>0.18615811166965901</v>
          </cell>
          <cell r="M513">
            <v>3.9029899416696598</v>
          </cell>
          <cell r="N513">
            <v>6.8181818181818205E-2</v>
          </cell>
          <cell r="O513">
            <v>14.6666666666667</v>
          </cell>
          <cell r="P513">
            <v>0.88636363636363602</v>
          </cell>
        </row>
        <row r="514">
          <cell r="A514">
            <v>621002</v>
          </cell>
          <cell r="B514">
            <v>8</v>
          </cell>
          <cell r="C514">
            <v>0</v>
          </cell>
          <cell r="D514">
            <v>4</v>
          </cell>
          <cell r="E514" t="str">
            <v>INDIV</v>
          </cell>
          <cell r="F514" t="str">
            <v>Hermosa Beach</v>
          </cell>
          <cell r="G514">
            <v>0</v>
          </cell>
          <cell r="H514">
            <v>0</v>
          </cell>
          <cell r="I514">
            <v>6</v>
          </cell>
          <cell r="J514">
            <v>0</v>
          </cell>
          <cell r="K514">
            <v>6</v>
          </cell>
          <cell r="L514">
            <v>0</v>
          </cell>
          <cell r="M514">
            <v>6</v>
          </cell>
          <cell r="N514">
            <v>6.8181818181818205E-2</v>
          </cell>
          <cell r="O514">
            <v>0</v>
          </cell>
          <cell r="P514">
            <v>0.88636363636363602</v>
          </cell>
        </row>
        <row r="515">
          <cell r="A515">
            <v>621004</v>
          </cell>
          <cell r="B515">
            <v>8</v>
          </cell>
          <cell r="C515">
            <v>0</v>
          </cell>
          <cell r="D515">
            <v>4</v>
          </cell>
          <cell r="E515" t="str">
            <v>INDIV</v>
          </cell>
          <cell r="F515" t="str">
            <v>Hermosa Beach</v>
          </cell>
          <cell r="G515">
            <v>0</v>
          </cell>
          <cell r="H515">
            <v>0</v>
          </cell>
          <cell r="I515">
            <v>2.9260000000000002</v>
          </cell>
          <cell r="J515">
            <v>1.90487994</v>
          </cell>
          <cell r="K515">
            <v>2.9048799399999998</v>
          </cell>
          <cell r="L515">
            <v>2.0625322082585301E-2</v>
          </cell>
          <cell r="M515">
            <v>2.9255052620825901</v>
          </cell>
          <cell r="N515">
            <v>6.8181818181818205E-2</v>
          </cell>
          <cell r="O515">
            <v>0</v>
          </cell>
          <cell r="P515">
            <v>0.88636363636363602</v>
          </cell>
        </row>
        <row r="516">
          <cell r="A516">
            <v>621104</v>
          </cell>
          <cell r="B516">
            <v>8</v>
          </cell>
          <cell r="C516">
            <v>0</v>
          </cell>
          <cell r="D516">
            <v>4</v>
          </cell>
          <cell r="E516" t="str">
            <v>INDIV</v>
          </cell>
          <cell r="F516" t="str">
            <v>Hermosa Beach</v>
          </cell>
          <cell r="G516">
            <v>0</v>
          </cell>
          <cell r="H516">
            <v>0</v>
          </cell>
          <cell r="I516">
            <v>4.0949999999999998</v>
          </cell>
          <cell r="J516">
            <v>1.9836996600000001</v>
          </cell>
          <cell r="K516">
            <v>3.9836996600000001</v>
          </cell>
          <cell r="L516">
            <v>0.11117260138240601</v>
          </cell>
          <cell r="M516">
            <v>4.0948722613824096</v>
          </cell>
          <cell r="N516">
            <v>6.8181818181818205E-2</v>
          </cell>
          <cell r="O516">
            <v>0</v>
          </cell>
          <cell r="P516">
            <v>0.88636363636363602</v>
          </cell>
        </row>
        <row r="517">
          <cell r="A517">
            <v>621400</v>
          </cell>
          <cell r="B517">
            <v>8</v>
          </cell>
          <cell r="C517">
            <v>0</v>
          </cell>
          <cell r="D517">
            <v>4</v>
          </cell>
          <cell r="E517" t="str">
            <v>INDIV</v>
          </cell>
          <cell r="F517" t="str">
            <v>Redondo Beach</v>
          </cell>
          <cell r="G517">
            <v>0</v>
          </cell>
          <cell r="H517">
            <v>0</v>
          </cell>
          <cell r="I517">
            <v>9.2850000000000001</v>
          </cell>
          <cell r="J517">
            <v>5.9510989800000003</v>
          </cell>
          <cell r="K517">
            <v>8.9510989799999994</v>
          </cell>
          <cell r="L517">
            <v>0.33351780414721699</v>
          </cell>
          <cell r="M517">
            <v>9.2846167841472198</v>
          </cell>
          <cell r="N517">
            <v>6.8181818181818205E-2</v>
          </cell>
          <cell r="O517">
            <v>0</v>
          </cell>
          <cell r="P517">
            <v>0.88636363636363602</v>
          </cell>
        </row>
        <row r="518">
          <cell r="A518">
            <v>650200</v>
          </cell>
          <cell r="B518">
            <v>8</v>
          </cell>
          <cell r="C518">
            <v>0</v>
          </cell>
          <cell r="D518">
            <v>4</v>
          </cell>
          <cell r="E518" t="str">
            <v>INDIV</v>
          </cell>
          <cell r="F518" t="str">
            <v>Torrance</v>
          </cell>
          <cell r="G518">
            <v>0</v>
          </cell>
          <cell r="H518">
            <v>0</v>
          </cell>
          <cell r="I518">
            <v>1</v>
          </cell>
          <cell r="J518">
            <v>0</v>
          </cell>
          <cell r="K518">
            <v>1</v>
          </cell>
          <cell r="L518">
            <v>0</v>
          </cell>
          <cell r="M518">
            <v>1</v>
          </cell>
          <cell r="N518">
            <v>6.8181818181818205E-2</v>
          </cell>
          <cell r="O518">
            <v>0</v>
          </cell>
          <cell r="P518">
            <v>0.88636363636363602</v>
          </cell>
        </row>
        <row r="519">
          <cell r="A519">
            <v>650502</v>
          </cell>
          <cell r="B519">
            <v>8</v>
          </cell>
          <cell r="C519">
            <v>0</v>
          </cell>
          <cell r="D519">
            <v>4</v>
          </cell>
          <cell r="E519" t="str">
            <v>INDIV</v>
          </cell>
          <cell r="F519" t="str">
            <v>Torrance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6.8181818181818205E-2</v>
          </cell>
          <cell r="O519">
            <v>0</v>
          </cell>
          <cell r="P519">
            <v>0.88636363636363602</v>
          </cell>
        </row>
        <row r="520">
          <cell r="A520">
            <v>621324</v>
          </cell>
          <cell r="B520">
            <v>8</v>
          </cell>
          <cell r="C520">
            <v>0</v>
          </cell>
          <cell r="D520">
            <v>4</v>
          </cell>
          <cell r="E520" t="str">
            <v>INDIV</v>
          </cell>
          <cell r="F520" t="str">
            <v>Redondo Beach</v>
          </cell>
          <cell r="G520">
            <v>0</v>
          </cell>
          <cell r="H520">
            <v>0</v>
          </cell>
          <cell r="I520">
            <v>10</v>
          </cell>
          <cell r="J520">
            <v>0</v>
          </cell>
          <cell r="K520">
            <v>10</v>
          </cell>
          <cell r="L520">
            <v>0</v>
          </cell>
          <cell r="M520">
            <v>10</v>
          </cell>
          <cell r="N520">
            <v>6.8181818181818205E-2</v>
          </cell>
          <cell r="O520">
            <v>0</v>
          </cell>
          <cell r="P520">
            <v>0.88636363636363602</v>
          </cell>
        </row>
        <row r="521">
          <cell r="A521">
            <v>650603</v>
          </cell>
          <cell r="B521">
            <v>8</v>
          </cell>
          <cell r="C521">
            <v>0</v>
          </cell>
          <cell r="D521">
            <v>4</v>
          </cell>
          <cell r="E521" t="str">
            <v>INDIV</v>
          </cell>
          <cell r="F521" t="str">
            <v>Torrance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6.8181818181818205E-2</v>
          </cell>
          <cell r="O521">
            <v>0</v>
          </cell>
          <cell r="P521">
            <v>0.88636363636363602</v>
          </cell>
        </row>
        <row r="522">
          <cell r="A522">
            <v>650604</v>
          </cell>
          <cell r="B522">
            <v>8</v>
          </cell>
          <cell r="C522">
            <v>0</v>
          </cell>
          <cell r="D522">
            <v>4</v>
          </cell>
          <cell r="E522" t="str">
            <v>INDIV</v>
          </cell>
          <cell r="F522" t="str">
            <v>Torrance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6.8181818181818205E-2</v>
          </cell>
          <cell r="O522">
            <v>0</v>
          </cell>
          <cell r="P522">
            <v>0.88636363636363602</v>
          </cell>
        </row>
        <row r="523">
          <cell r="A523">
            <v>650701</v>
          </cell>
          <cell r="B523">
            <v>8</v>
          </cell>
          <cell r="C523">
            <v>0</v>
          </cell>
          <cell r="D523">
            <v>4</v>
          </cell>
          <cell r="E523" t="str">
            <v>INDIV</v>
          </cell>
          <cell r="F523" t="str">
            <v>Torrance</v>
          </cell>
          <cell r="G523">
            <v>0</v>
          </cell>
          <cell r="H523">
            <v>0</v>
          </cell>
          <cell r="I523">
            <v>7.181</v>
          </cell>
          <cell r="J523">
            <v>2.87839314</v>
          </cell>
          <cell r="K523">
            <v>6.87839314</v>
          </cell>
          <cell r="L523">
            <v>0.30290401228007202</v>
          </cell>
          <cell r="M523">
            <v>7.1812971522800702</v>
          </cell>
          <cell r="N523">
            <v>6.8181818181818205E-2</v>
          </cell>
          <cell r="O523">
            <v>0</v>
          </cell>
          <cell r="P523">
            <v>0.88636363636363602</v>
          </cell>
        </row>
        <row r="524">
          <cell r="A524">
            <v>650901</v>
          </cell>
          <cell r="B524">
            <v>8</v>
          </cell>
          <cell r="C524">
            <v>0</v>
          </cell>
          <cell r="D524">
            <v>4</v>
          </cell>
          <cell r="E524" t="str">
            <v>INDIV</v>
          </cell>
          <cell r="F524" t="str">
            <v>Torrance</v>
          </cell>
          <cell r="G524">
            <v>1</v>
          </cell>
          <cell r="H524">
            <v>1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6.8181818181818205E-2</v>
          </cell>
          <cell r="O524">
            <v>14.6666666666667</v>
          </cell>
          <cell r="P524">
            <v>0.88636363636363602</v>
          </cell>
        </row>
        <row r="525">
          <cell r="A525">
            <v>650902</v>
          </cell>
          <cell r="B525">
            <v>8</v>
          </cell>
          <cell r="C525">
            <v>0</v>
          </cell>
          <cell r="D525">
            <v>4</v>
          </cell>
          <cell r="E525" t="str">
            <v>INDIV</v>
          </cell>
          <cell r="F525" t="str">
            <v>Torrance</v>
          </cell>
          <cell r="G525">
            <v>0</v>
          </cell>
          <cell r="H525">
            <v>0</v>
          </cell>
          <cell r="I525">
            <v>5.6859999999999999</v>
          </cell>
          <cell r="J525">
            <v>3.4228962300000001</v>
          </cell>
          <cell r="K525">
            <v>5.4228962300000001</v>
          </cell>
          <cell r="L525">
            <v>0.26262460752244199</v>
          </cell>
          <cell r="M525">
            <v>5.6855208375224402</v>
          </cell>
          <cell r="N525">
            <v>6.8181818181818205E-2</v>
          </cell>
          <cell r="O525">
            <v>0</v>
          </cell>
          <cell r="P525">
            <v>0.88636363636363602</v>
          </cell>
        </row>
        <row r="526">
          <cell r="A526">
            <v>651304</v>
          </cell>
          <cell r="B526">
            <v>8</v>
          </cell>
          <cell r="C526">
            <v>0</v>
          </cell>
          <cell r="D526">
            <v>4</v>
          </cell>
          <cell r="E526" t="str">
            <v>INDIV</v>
          </cell>
          <cell r="F526" t="str">
            <v>Torrance</v>
          </cell>
          <cell r="G526">
            <v>0</v>
          </cell>
          <cell r="H526">
            <v>0</v>
          </cell>
          <cell r="I526">
            <v>14.77</v>
          </cell>
          <cell r="J526">
            <v>10.0181212</v>
          </cell>
          <cell r="K526">
            <v>14.0181212</v>
          </cell>
          <cell r="L526">
            <v>0.75168673147217202</v>
          </cell>
          <cell r="M526">
            <v>14.769807931472201</v>
          </cell>
          <cell r="N526">
            <v>6.8181818181818205E-2</v>
          </cell>
          <cell r="O526">
            <v>0</v>
          </cell>
          <cell r="P526">
            <v>0.88636363636363602</v>
          </cell>
        </row>
        <row r="527">
          <cell r="A527">
            <v>651402</v>
          </cell>
          <cell r="B527">
            <v>8</v>
          </cell>
          <cell r="C527">
            <v>0</v>
          </cell>
          <cell r="D527">
            <v>4</v>
          </cell>
          <cell r="E527" t="str">
            <v>INDIV</v>
          </cell>
          <cell r="F527" t="str">
            <v>Torrance</v>
          </cell>
          <cell r="G527">
            <v>0</v>
          </cell>
          <cell r="H527">
            <v>0</v>
          </cell>
          <cell r="I527">
            <v>1.8080000000000001</v>
          </cell>
          <cell r="J527">
            <v>1.73313217</v>
          </cell>
          <cell r="K527">
            <v>1.73313217</v>
          </cell>
          <cell r="L527">
            <v>7.4985510287253102E-2</v>
          </cell>
          <cell r="M527">
            <v>1.8081176802872501</v>
          </cell>
          <cell r="N527">
            <v>6.8181818181818205E-2</v>
          </cell>
          <cell r="O527">
            <v>0</v>
          </cell>
          <cell r="P527">
            <v>0.88636363636363602</v>
          </cell>
        </row>
        <row r="528">
          <cell r="A528">
            <v>910712</v>
          </cell>
          <cell r="B528">
            <v>1</v>
          </cell>
          <cell r="C528">
            <v>0</v>
          </cell>
          <cell r="D528">
            <v>5</v>
          </cell>
          <cell r="E528" t="str">
            <v>NON-HS</v>
          </cell>
          <cell r="F528" t="str">
            <v>Palmdale</v>
          </cell>
          <cell r="G528">
            <v>0</v>
          </cell>
          <cell r="H528">
            <v>0</v>
          </cell>
          <cell r="I528">
            <v>2.0950000000000002</v>
          </cell>
          <cell r="J528">
            <v>1.9836996600000001</v>
          </cell>
          <cell r="K528">
            <v>1.9836996600000001</v>
          </cell>
          <cell r="L528">
            <v>0.11117260138240601</v>
          </cell>
          <cell r="M528">
            <v>2.09487226138241</v>
          </cell>
          <cell r="N528">
            <v>0.02</v>
          </cell>
          <cell r="O528">
            <v>0</v>
          </cell>
          <cell r="P528">
            <v>1</v>
          </cell>
        </row>
        <row r="529">
          <cell r="A529">
            <v>980004</v>
          </cell>
          <cell r="B529">
            <v>1</v>
          </cell>
          <cell r="C529">
            <v>0</v>
          </cell>
          <cell r="D529">
            <v>5</v>
          </cell>
          <cell r="E529" t="str">
            <v>NON-HS</v>
          </cell>
          <cell r="F529" t="str">
            <v>Palmdale</v>
          </cell>
          <cell r="G529">
            <v>1</v>
          </cell>
          <cell r="H529">
            <v>1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0.02</v>
          </cell>
          <cell r="O529">
            <v>50</v>
          </cell>
          <cell r="P529">
            <v>1</v>
          </cell>
        </row>
        <row r="530">
          <cell r="A530">
            <v>901010</v>
          </cell>
          <cell r="B530">
            <v>1</v>
          </cell>
          <cell r="C530">
            <v>0</v>
          </cell>
          <cell r="D530">
            <v>5</v>
          </cell>
          <cell r="E530" t="str">
            <v>NON-HS</v>
          </cell>
          <cell r="F530" t="str">
            <v>Lancaster</v>
          </cell>
          <cell r="G530">
            <v>0</v>
          </cell>
          <cell r="H530">
            <v>0</v>
          </cell>
          <cell r="I530">
            <v>24.587</v>
          </cell>
          <cell r="J530">
            <v>24.31626258</v>
          </cell>
          <cell r="K530">
            <v>24.31626258</v>
          </cell>
          <cell r="L530">
            <v>0.26986240642728898</v>
          </cell>
          <cell r="M530">
            <v>24.586124986427301</v>
          </cell>
          <cell r="N530">
            <v>0.02</v>
          </cell>
          <cell r="O530">
            <v>0</v>
          </cell>
          <cell r="P530">
            <v>1</v>
          </cell>
        </row>
        <row r="531">
          <cell r="A531">
            <v>901101</v>
          </cell>
          <cell r="B531">
            <v>1</v>
          </cell>
          <cell r="C531">
            <v>0</v>
          </cell>
          <cell r="D531">
            <v>5</v>
          </cell>
          <cell r="E531" t="str">
            <v>NON-HS</v>
          </cell>
          <cell r="F531" t="str">
            <v>Lancaster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0.02</v>
          </cell>
          <cell r="O531">
            <v>0</v>
          </cell>
          <cell r="P531">
            <v>1</v>
          </cell>
        </row>
        <row r="532">
          <cell r="A532">
            <v>910711</v>
          </cell>
          <cell r="B532">
            <v>1</v>
          </cell>
          <cell r="C532">
            <v>0</v>
          </cell>
          <cell r="D532">
            <v>5</v>
          </cell>
          <cell r="E532" t="str">
            <v>NON-HS</v>
          </cell>
          <cell r="F532" t="str">
            <v>Palmdale</v>
          </cell>
          <cell r="G532">
            <v>0</v>
          </cell>
          <cell r="H532">
            <v>0</v>
          </cell>
          <cell r="I532">
            <v>7.19</v>
          </cell>
          <cell r="J532">
            <v>3.9673993200000002</v>
          </cell>
          <cell r="K532">
            <v>6.9673993200000002</v>
          </cell>
          <cell r="L532">
            <v>0.22234520276481101</v>
          </cell>
          <cell r="M532">
            <v>7.1897445227648102</v>
          </cell>
          <cell r="N532">
            <v>0.02</v>
          </cell>
          <cell r="O532">
            <v>0</v>
          </cell>
          <cell r="P532">
            <v>1</v>
          </cell>
        </row>
        <row r="533">
          <cell r="A533">
            <v>900608</v>
          </cell>
          <cell r="B533">
            <v>1</v>
          </cell>
          <cell r="C533">
            <v>0</v>
          </cell>
          <cell r="D533">
            <v>5</v>
          </cell>
          <cell r="E533" t="str">
            <v>NON-HS</v>
          </cell>
          <cell r="F533" t="str">
            <v>Lancaster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0.02</v>
          </cell>
          <cell r="O533">
            <v>0</v>
          </cell>
          <cell r="P533">
            <v>1</v>
          </cell>
        </row>
        <row r="534">
          <cell r="A534">
            <v>920012</v>
          </cell>
          <cell r="B534">
            <v>1</v>
          </cell>
          <cell r="C534">
            <v>0</v>
          </cell>
          <cell r="D534">
            <v>5</v>
          </cell>
          <cell r="E534" t="str">
            <v>NON-HS</v>
          </cell>
          <cell r="F534" t="str">
            <v>Unincorporated Antelope Valley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0.02</v>
          </cell>
          <cell r="O534">
            <v>0</v>
          </cell>
          <cell r="P534">
            <v>1</v>
          </cell>
        </row>
        <row r="535">
          <cell r="A535">
            <v>910603</v>
          </cell>
          <cell r="B535">
            <v>1</v>
          </cell>
          <cell r="C535">
            <v>0</v>
          </cell>
          <cell r="D535">
            <v>5</v>
          </cell>
          <cell r="E535" t="str">
            <v>NON-HS</v>
          </cell>
          <cell r="F535" t="str">
            <v>Palmdale</v>
          </cell>
          <cell r="G535">
            <v>0</v>
          </cell>
          <cell r="H535">
            <v>0</v>
          </cell>
          <cell r="I535">
            <v>7.7720000000000002</v>
          </cell>
          <cell r="J535">
            <v>4.31758971</v>
          </cell>
          <cell r="K535">
            <v>7.31758971</v>
          </cell>
          <cell r="L535">
            <v>0.45435601842010798</v>
          </cell>
          <cell r="M535">
            <v>7.7719457284201097</v>
          </cell>
          <cell r="N535">
            <v>0.02</v>
          </cell>
          <cell r="O535">
            <v>0</v>
          </cell>
          <cell r="P535">
            <v>1</v>
          </cell>
        </row>
        <row r="536">
          <cell r="A536">
            <v>910709</v>
          </cell>
          <cell r="B536">
            <v>1</v>
          </cell>
          <cell r="C536">
            <v>0</v>
          </cell>
          <cell r="D536">
            <v>5</v>
          </cell>
          <cell r="E536" t="str">
            <v>NON-HS</v>
          </cell>
          <cell r="F536" t="str">
            <v>Palmdale</v>
          </cell>
          <cell r="G536">
            <v>0</v>
          </cell>
          <cell r="H536">
            <v>0</v>
          </cell>
          <cell r="I536">
            <v>12.007999999999999</v>
          </cell>
          <cell r="J536">
            <v>11.520970200000001</v>
          </cell>
          <cell r="K536">
            <v>11.520970200000001</v>
          </cell>
          <cell r="L536">
            <v>0.48680765937163401</v>
          </cell>
          <cell r="M536">
            <v>12.0077778593716</v>
          </cell>
          <cell r="N536">
            <v>0.02</v>
          </cell>
          <cell r="O536">
            <v>0</v>
          </cell>
          <cell r="P536">
            <v>1</v>
          </cell>
        </row>
        <row r="537">
          <cell r="A537">
            <v>910504</v>
          </cell>
          <cell r="B537">
            <v>1</v>
          </cell>
          <cell r="C537">
            <v>0</v>
          </cell>
          <cell r="D537">
            <v>5</v>
          </cell>
          <cell r="E537" t="str">
            <v>NON-HS</v>
          </cell>
          <cell r="F537" t="str">
            <v>Palmdale</v>
          </cell>
          <cell r="G537">
            <v>0</v>
          </cell>
          <cell r="H537">
            <v>0</v>
          </cell>
          <cell r="I537">
            <v>20.216000000000001</v>
          </cell>
          <cell r="J537">
            <v>16.025977860000001</v>
          </cell>
          <cell r="K537">
            <v>20.025977860000001</v>
          </cell>
          <cell r="L537">
            <v>0.189960947127469</v>
          </cell>
          <cell r="M537">
            <v>20.2159388071275</v>
          </cell>
          <cell r="N537">
            <v>0.02</v>
          </cell>
          <cell r="O537">
            <v>0</v>
          </cell>
          <cell r="P537">
            <v>1</v>
          </cell>
        </row>
        <row r="538">
          <cell r="A538">
            <v>910606</v>
          </cell>
          <cell r="B538">
            <v>1</v>
          </cell>
          <cell r="C538">
            <v>0</v>
          </cell>
          <cell r="D538">
            <v>5</v>
          </cell>
          <cell r="E538" t="str">
            <v>NON-HS</v>
          </cell>
          <cell r="F538" t="str">
            <v>Palmdale</v>
          </cell>
          <cell r="G538">
            <v>0</v>
          </cell>
          <cell r="H538">
            <v>0</v>
          </cell>
          <cell r="I538">
            <v>3</v>
          </cell>
          <cell r="J538">
            <v>0</v>
          </cell>
          <cell r="K538">
            <v>3</v>
          </cell>
          <cell r="L538">
            <v>0</v>
          </cell>
          <cell r="M538">
            <v>3</v>
          </cell>
          <cell r="N538">
            <v>0.02</v>
          </cell>
          <cell r="O538">
            <v>0</v>
          </cell>
          <cell r="P538">
            <v>1</v>
          </cell>
        </row>
        <row r="539">
          <cell r="A539">
            <v>900505</v>
          </cell>
          <cell r="B539">
            <v>1</v>
          </cell>
          <cell r="C539">
            <v>0</v>
          </cell>
          <cell r="D539">
            <v>5</v>
          </cell>
          <cell r="E539" t="str">
            <v>NON-HS</v>
          </cell>
          <cell r="F539" t="str">
            <v>Lancaster</v>
          </cell>
          <cell r="G539">
            <v>0</v>
          </cell>
          <cell r="H539">
            <v>0</v>
          </cell>
          <cell r="I539">
            <v>1.591</v>
          </cell>
          <cell r="J539">
            <v>1.43919657</v>
          </cell>
          <cell r="K539">
            <v>1.43919657</v>
          </cell>
          <cell r="L539">
            <v>0.15145200614003601</v>
          </cell>
          <cell r="M539">
            <v>1.59064857614004</v>
          </cell>
          <cell r="N539">
            <v>0.02</v>
          </cell>
          <cell r="O539">
            <v>0</v>
          </cell>
          <cell r="P539">
            <v>1</v>
          </cell>
        </row>
        <row r="540">
          <cell r="A540">
            <v>910209</v>
          </cell>
          <cell r="B540">
            <v>1</v>
          </cell>
          <cell r="C540">
            <v>0</v>
          </cell>
          <cell r="D540">
            <v>5</v>
          </cell>
          <cell r="E540" t="str">
            <v>NON-HS</v>
          </cell>
          <cell r="F540" t="str">
            <v>Palmdale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0.02</v>
          </cell>
          <cell r="O540">
            <v>0</v>
          </cell>
          <cell r="P540">
            <v>1</v>
          </cell>
        </row>
        <row r="541">
          <cell r="A541">
            <v>910605</v>
          </cell>
          <cell r="B541">
            <v>1</v>
          </cell>
          <cell r="C541">
            <v>0</v>
          </cell>
          <cell r="D541">
            <v>5</v>
          </cell>
          <cell r="E541" t="str">
            <v>NON-HS</v>
          </cell>
          <cell r="F541" t="str">
            <v>Palmdale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0.02</v>
          </cell>
          <cell r="O541">
            <v>0</v>
          </cell>
          <cell r="P541">
            <v>1</v>
          </cell>
        </row>
        <row r="542">
          <cell r="A542">
            <v>910715</v>
          </cell>
          <cell r="B542">
            <v>1</v>
          </cell>
          <cell r="C542">
            <v>0</v>
          </cell>
          <cell r="D542">
            <v>5</v>
          </cell>
          <cell r="E542" t="str">
            <v>NON-HS</v>
          </cell>
          <cell r="F542" t="str">
            <v>Palmdale</v>
          </cell>
          <cell r="G542">
            <v>0</v>
          </cell>
          <cell r="H542">
            <v>0</v>
          </cell>
          <cell r="I542">
            <v>1</v>
          </cell>
          <cell r="J542">
            <v>0</v>
          </cell>
          <cell r="K542">
            <v>1</v>
          </cell>
          <cell r="L542">
            <v>0</v>
          </cell>
          <cell r="M542">
            <v>1</v>
          </cell>
          <cell r="N542">
            <v>0.02</v>
          </cell>
          <cell r="O542">
            <v>0</v>
          </cell>
          <cell r="P542">
            <v>1</v>
          </cell>
        </row>
        <row r="543">
          <cell r="A543">
            <v>910716</v>
          </cell>
          <cell r="B543">
            <v>1</v>
          </cell>
          <cell r="C543">
            <v>0</v>
          </cell>
          <cell r="D543">
            <v>5</v>
          </cell>
          <cell r="E543" t="str">
            <v>NON-HS</v>
          </cell>
          <cell r="F543" t="str">
            <v>Palmdale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0.02</v>
          </cell>
          <cell r="O543">
            <v>0</v>
          </cell>
          <cell r="P543">
            <v>1</v>
          </cell>
        </row>
        <row r="544">
          <cell r="A544">
            <v>901009</v>
          </cell>
          <cell r="B544">
            <v>1</v>
          </cell>
          <cell r="C544">
            <v>0</v>
          </cell>
          <cell r="D544">
            <v>5</v>
          </cell>
          <cell r="E544" t="str">
            <v>NON-HS</v>
          </cell>
          <cell r="F544" t="str">
            <v>Lancaster</v>
          </cell>
          <cell r="G544">
            <v>0</v>
          </cell>
          <cell r="H544">
            <v>0</v>
          </cell>
          <cell r="I544">
            <v>11.628</v>
          </cell>
          <cell r="J544">
            <v>9.5243997</v>
          </cell>
          <cell r="K544">
            <v>11.5243997</v>
          </cell>
          <cell r="L544">
            <v>0.10312661041292601</v>
          </cell>
          <cell r="M544">
            <v>11.6275263104129</v>
          </cell>
          <cell r="N544">
            <v>0.02</v>
          </cell>
          <cell r="O544">
            <v>0</v>
          </cell>
          <cell r="P544">
            <v>1</v>
          </cell>
        </row>
        <row r="545">
          <cell r="A545">
            <v>910205</v>
          </cell>
          <cell r="B545">
            <v>1</v>
          </cell>
          <cell r="C545">
            <v>0</v>
          </cell>
          <cell r="D545">
            <v>5</v>
          </cell>
          <cell r="E545" t="str">
            <v>NON-HS</v>
          </cell>
          <cell r="F545" t="str">
            <v>Unincorporated Antelope Valley</v>
          </cell>
          <cell r="G545">
            <v>0</v>
          </cell>
          <cell r="H545">
            <v>0</v>
          </cell>
          <cell r="I545">
            <v>5.7240000000000002</v>
          </cell>
          <cell r="J545">
            <v>5.5698712199999996</v>
          </cell>
          <cell r="K545">
            <v>5.5698712199999996</v>
          </cell>
          <cell r="L545">
            <v>0.15328985522441699</v>
          </cell>
          <cell r="M545">
            <v>5.7231610752244197</v>
          </cell>
          <cell r="N545">
            <v>0.02</v>
          </cell>
          <cell r="O545">
            <v>0</v>
          </cell>
          <cell r="P545">
            <v>1</v>
          </cell>
        </row>
        <row r="546">
          <cell r="A546">
            <v>900506</v>
          </cell>
          <cell r="B546">
            <v>1</v>
          </cell>
          <cell r="C546">
            <v>0</v>
          </cell>
          <cell r="D546">
            <v>5</v>
          </cell>
          <cell r="E546" t="str">
            <v>NON-HS</v>
          </cell>
          <cell r="F546" t="str">
            <v>Lancaster</v>
          </cell>
          <cell r="G546">
            <v>0</v>
          </cell>
          <cell r="H546">
            <v>0</v>
          </cell>
          <cell r="I546">
            <v>4.9260000000000002</v>
          </cell>
          <cell r="J546">
            <v>1.90487994</v>
          </cell>
          <cell r="K546">
            <v>4.9048799399999998</v>
          </cell>
          <cell r="L546">
            <v>2.0625322082585301E-2</v>
          </cell>
          <cell r="M546">
            <v>4.9255052620825897</v>
          </cell>
          <cell r="N546">
            <v>0.02</v>
          </cell>
          <cell r="O546">
            <v>0</v>
          </cell>
          <cell r="P546">
            <v>1</v>
          </cell>
        </row>
        <row r="547">
          <cell r="A547">
            <v>901210</v>
          </cell>
          <cell r="B547">
            <v>1</v>
          </cell>
          <cell r="C547">
            <v>0</v>
          </cell>
          <cell r="D547">
            <v>5</v>
          </cell>
          <cell r="E547" t="str">
            <v>NON-HS</v>
          </cell>
          <cell r="F547" t="str">
            <v>Unincorporated Antelope Valley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0.02</v>
          </cell>
          <cell r="O547">
            <v>0</v>
          </cell>
          <cell r="P547">
            <v>1</v>
          </cell>
        </row>
        <row r="548">
          <cell r="A548">
            <v>910713</v>
          </cell>
          <cell r="B548">
            <v>1</v>
          </cell>
          <cell r="C548">
            <v>0</v>
          </cell>
          <cell r="D548">
            <v>5</v>
          </cell>
          <cell r="E548" t="str">
            <v>NON-HS</v>
          </cell>
          <cell r="F548" t="str">
            <v>Palmdale</v>
          </cell>
          <cell r="G548">
            <v>0</v>
          </cell>
          <cell r="H548">
            <v>0</v>
          </cell>
          <cell r="I548">
            <v>2.0950000000000002</v>
          </cell>
          <cell r="J548">
            <v>1.9836996600000001</v>
          </cell>
          <cell r="K548">
            <v>1.9836996600000001</v>
          </cell>
          <cell r="L548">
            <v>0.11117260138240601</v>
          </cell>
          <cell r="M548">
            <v>2.09487226138241</v>
          </cell>
          <cell r="N548">
            <v>0.02</v>
          </cell>
          <cell r="O548">
            <v>0</v>
          </cell>
          <cell r="P548">
            <v>1</v>
          </cell>
        </row>
        <row r="549">
          <cell r="A549">
            <v>910210</v>
          </cell>
          <cell r="B549">
            <v>1</v>
          </cell>
          <cell r="C549">
            <v>0</v>
          </cell>
          <cell r="D549">
            <v>5</v>
          </cell>
          <cell r="E549" t="str">
            <v>NON-HS</v>
          </cell>
          <cell r="F549" t="str">
            <v>Palmdale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0.02</v>
          </cell>
          <cell r="O549">
            <v>0</v>
          </cell>
          <cell r="P549">
            <v>1</v>
          </cell>
        </row>
        <row r="550">
          <cell r="A550">
            <v>901003</v>
          </cell>
          <cell r="B550">
            <v>1</v>
          </cell>
          <cell r="C550">
            <v>0</v>
          </cell>
          <cell r="D550">
            <v>5</v>
          </cell>
          <cell r="E550" t="str">
            <v>NON-HS</v>
          </cell>
          <cell r="F550" t="str">
            <v>Lancaster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0.02</v>
          </cell>
          <cell r="O550">
            <v>0</v>
          </cell>
          <cell r="P550">
            <v>1</v>
          </cell>
        </row>
        <row r="551">
          <cell r="A551">
            <v>910804</v>
          </cell>
          <cell r="B551">
            <v>1</v>
          </cell>
          <cell r="C551">
            <v>0</v>
          </cell>
          <cell r="D551">
            <v>5</v>
          </cell>
          <cell r="E551" t="str">
            <v>NON-HS</v>
          </cell>
          <cell r="F551" t="str">
            <v>Unincorporated Antelope Valley</v>
          </cell>
          <cell r="G551">
            <v>0</v>
          </cell>
          <cell r="H551">
            <v>0</v>
          </cell>
          <cell r="I551">
            <v>15.156000000000001</v>
          </cell>
          <cell r="J551">
            <v>13.649438460000001</v>
          </cell>
          <cell r="K551">
            <v>14.649438460000001</v>
          </cell>
          <cell r="L551">
            <v>0.50656637177737895</v>
          </cell>
          <cell r="M551">
            <v>15.1560048317774</v>
          </cell>
          <cell r="N551">
            <v>0.02</v>
          </cell>
          <cell r="O551">
            <v>0</v>
          </cell>
          <cell r="P551">
            <v>1</v>
          </cell>
        </row>
        <row r="552">
          <cell r="A552">
            <v>910505</v>
          </cell>
          <cell r="B552">
            <v>1</v>
          </cell>
          <cell r="C552">
            <v>0</v>
          </cell>
          <cell r="D552">
            <v>5</v>
          </cell>
          <cell r="E552" t="str">
            <v>NON-HS</v>
          </cell>
          <cell r="F552" t="str">
            <v>Palmdale</v>
          </cell>
          <cell r="G552">
            <v>0</v>
          </cell>
          <cell r="H552">
            <v>0</v>
          </cell>
          <cell r="I552">
            <v>11.896000000000001</v>
          </cell>
          <cell r="J552">
            <v>11.278875149999999</v>
          </cell>
          <cell r="K552">
            <v>11.278875149999999</v>
          </cell>
          <cell r="L552">
            <v>0.61676773375224403</v>
          </cell>
          <cell r="M552">
            <v>11.895642883752201</v>
          </cell>
          <cell r="N552">
            <v>0.02</v>
          </cell>
          <cell r="O552">
            <v>0</v>
          </cell>
          <cell r="P552">
            <v>1</v>
          </cell>
        </row>
        <row r="553">
          <cell r="A553">
            <v>910101</v>
          </cell>
          <cell r="B553">
            <v>1</v>
          </cell>
          <cell r="C553">
            <v>0</v>
          </cell>
          <cell r="D553">
            <v>5</v>
          </cell>
          <cell r="E553" t="str">
            <v>NON-HS</v>
          </cell>
          <cell r="F553" t="str">
            <v>Palmdale</v>
          </cell>
          <cell r="G553">
            <v>0</v>
          </cell>
          <cell r="H553">
            <v>0</v>
          </cell>
          <cell r="I553">
            <v>1.9259999999999999</v>
          </cell>
          <cell r="J553">
            <v>1.90487994</v>
          </cell>
          <cell r="K553">
            <v>1.90487994</v>
          </cell>
          <cell r="L553">
            <v>2.0625322082585301E-2</v>
          </cell>
          <cell r="M553">
            <v>1.9255052620825901</v>
          </cell>
          <cell r="N553">
            <v>0.02</v>
          </cell>
          <cell r="O553">
            <v>0</v>
          </cell>
          <cell r="P553">
            <v>1</v>
          </cell>
        </row>
        <row r="554">
          <cell r="A554">
            <v>910301</v>
          </cell>
          <cell r="B554">
            <v>1</v>
          </cell>
          <cell r="C554">
            <v>0</v>
          </cell>
          <cell r="D554">
            <v>5</v>
          </cell>
          <cell r="E554" t="str">
            <v>NON-HS</v>
          </cell>
          <cell r="F554" t="str">
            <v>Palmdale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0.02</v>
          </cell>
          <cell r="O554">
            <v>0</v>
          </cell>
          <cell r="P554">
            <v>1</v>
          </cell>
        </row>
        <row r="555">
          <cell r="A555">
            <v>900508</v>
          </cell>
          <cell r="B555">
            <v>1</v>
          </cell>
          <cell r="C555">
            <v>0</v>
          </cell>
          <cell r="D555">
            <v>5</v>
          </cell>
          <cell r="E555" t="str">
            <v>NON-HS</v>
          </cell>
          <cell r="F555" t="str">
            <v>Lancaster</v>
          </cell>
          <cell r="G555">
            <v>0</v>
          </cell>
          <cell r="H555">
            <v>0</v>
          </cell>
          <cell r="I555">
            <v>11.967000000000001</v>
          </cell>
          <cell r="J555">
            <v>9.6820391400000005</v>
          </cell>
          <cell r="K555">
            <v>11.682039140000001</v>
          </cell>
          <cell r="L555">
            <v>0.284221169012567</v>
          </cell>
          <cell r="M555">
            <v>11.966260309012601</v>
          </cell>
          <cell r="N555">
            <v>0.02</v>
          </cell>
          <cell r="O555">
            <v>0</v>
          </cell>
          <cell r="P555">
            <v>1</v>
          </cell>
        </row>
        <row r="556">
          <cell r="A556">
            <v>901205</v>
          </cell>
          <cell r="B556">
            <v>1</v>
          </cell>
          <cell r="C556">
            <v>0</v>
          </cell>
          <cell r="D556">
            <v>5</v>
          </cell>
          <cell r="E556" t="str">
            <v>NON-HS</v>
          </cell>
          <cell r="F556" t="str">
            <v>Lancaster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0.02</v>
          </cell>
          <cell r="O556">
            <v>0</v>
          </cell>
          <cell r="P556">
            <v>1</v>
          </cell>
        </row>
        <row r="557">
          <cell r="A557">
            <v>910207</v>
          </cell>
          <cell r="B557">
            <v>1</v>
          </cell>
          <cell r="C557">
            <v>0</v>
          </cell>
          <cell r="D557">
            <v>5</v>
          </cell>
          <cell r="E557" t="str">
            <v>NON-HS</v>
          </cell>
          <cell r="F557" t="str">
            <v>Palmdale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0.02</v>
          </cell>
          <cell r="O557">
            <v>0</v>
          </cell>
          <cell r="P557">
            <v>1</v>
          </cell>
        </row>
        <row r="558">
          <cell r="A558">
            <v>910302</v>
          </cell>
          <cell r="B558">
            <v>1</v>
          </cell>
          <cell r="C558">
            <v>0</v>
          </cell>
          <cell r="D558">
            <v>5</v>
          </cell>
          <cell r="E558" t="str">
            <v>NON-HS</v>
          </cell>
          <cell r="F558" t="str">
            <v>Palmdale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0.02</v>
          </cell>
          <cell r="O558">
            <v>0</v>
          </cell>
          <cell r="P558">
            <v>1</v>
          </cell>
        </row>
        <row r="559">
          <cell r="A559">
            <v>910705</v>
          </cell>
          <cell r="B559">
            <v>1</v>
          </cell>
          <cell r="C559">
            <v>0</v>
          </cell>
          <cell r="D559">
            <v>5</v>
          </cell>
          <cell r="E559" t="str">
            <v>NON-HS</v>
          </cell>
          <cell r="F559" t="str">
            <v>Palmdale</v>
          </cell>
          <cell r="G559">
            <v>0</v>
          </cell>
          <cell r="H559">
            <v>0</v>
          </cell>
          <cell r="I559">
            <v>3.851</v>
          </cell>
          <cell r="J559">
            <v>3.8097598800000001</v>
          </cell>
          <cell r="K559">
            <v>3.8097598800000001</v>
          </cell>
          <cell r="L559">
            <v>4.1250644165170602E-2</v>
          </cell>
          <cell r="M559">
            <v>3.85101052416517</v>
          </cell>
          <cell r="N559">
            <v>0.02</v>
          </cell>
          <cell r="O559">
            <v>0</v>
          </cell>
          <cell r="P559">
            <v>1</v>
          </cell>
        </row>
        <row r="560">
          <cell r="A560">
            <v>910206</v>
          </cell>
          <cell r="B560">
            <v>1</v>
          </cell>
          <cell r="C560">
            <v>0</v>
          </cell>
          <cell r="D560">
            <v>5</v>
          </cell>
          <cell r="E560" t="str">
            <v>NON-HS</v>
          </cell>
          <cell r="F560" t="str">
            <v>Palmdale</v>
          </cell>
          <cell r="G560">
            <v>0</v>
          </cell>
          <cell r="H560">
            <v>0</v>
          </cell>
          <cell r="I560">
            <v>10.379</v>
          </cell>
          <cell r="J560">
            <v>7.9347986400000003</v>
          </cell>
          <cell r="K560">
            <v>9.9347986400000003</v>
          </cell>
          <cell r="L560">
            <v>0.44469040552962302</v>
          </cell>
          <cell r="M560">
            <v>10.379489045529599</v>
          </cell>
          <cell r="N560">
            <v>0.02</v>
          </cell>
          <cell r="O560">
            <v>0</v>
          </cell>
          <cell r="P560">
            <v>1</v>
          </cell>
        </row>
        <row r="561">
          <cell r="A561">
            <v>901102</v>
          </cell>
          <cell r="B561">
            <v>1</v>
          </cell>
          <cell r="C561">
            <v>0</v>
          </cell>
          <cell r="D561">
            <v>5</v>
          </cell>
          <cell r="E561" t="str">
            <v>NON-HS</v>
          </cell>
          <cell r="F561" t="str">
            <v>Lancaster</v>
          </cell>
          <cell r="G561">
            <v>0</v>
          </cell>
          <cell r="H561">
            <v>0</v>
          </cell>
          <cell r="I561">
            <v>11.553000000000001</v>
          </cell>
          <cell r="J561">
            <v>11.429279640000001</v>
          </cell>
          <cell r="K561">
            <v>11.429279640000001</v>
          </cell>
          <cell r="L561">
            <v>0.123751932495512</v>
          </cell>
          <cell r="M561">
            <v>11.553031572495501</v>
          </cell>
          <cell r="N561">
            <v>0.02</v>
          </cell>
          <cell r="O561">
            <v>0</v>
          </cell>
          <cell r="P561">
            <v>1</v>
          </cell>
        </row>
        <row r="562">
          <cell r="A562">
            <v>910601</v>
          </cell>
          <cell r="B562">
            <v>1</v>
          </cell>
          <cell r="C562">
            <v>0</v>
          </cell>
          <cell r="D562">
            <v>5</v>
          </cell>
          <cell r="E562" t="str">
            <v>NON-HS</v>
          </cell>
          <cell r="F562" t="str">
            <v>Palmdale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0.02</v>
          </cell>
          <cell r="O562">
            <v>0</v>
          </cell>
          <cell r="P562">
            <v>1</v>
          </cell>
        </row>
        <row r="563">
          <cell r="A563">
            <v>910714</v>
          </cell>
          <cell r="B563">
            <v>1</v>
          </cell>
          <cell r="C563">
            <v>0</v>
          </cell>
          <cell r="D563">
            <v>5</v>
          </cell>
          <cell r="E563" t="str">
            <v>NON-HS</v>
          </cell>
          <cell r="F563" t="str">
            <v>Palmdale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0.02</v>
          </cell>
          <cell r="O563">
            <v>0</v>
          </cell>
          <cell r="P563">
            <v>1</v>
          </cell>
        </row>
        <row r="564">
          <cell r="A564">
            <v>900804</v>
          </cell>
          <cell r="B564">
            <v>1</v>
          </cell>
          <cell r="C564">
            <v>0</v>
          </cell>
          <cell r="D564">
            <v>5</v>
          </cell>
          <cell r="E564" t="str">
            <v>NON-HS</v>
          </cell>
          <cell r="F564" t="str">
            <v>Lancaster</v>
          </cell>
          <cell r="G564">
            <v>0</v>
          </cell>
          <cell r="H564">
            <v>0</v>
          </cell>
          <cell r="I564">
            <v>19.59</v>
          </cell>
          <cell r="J564">
            <v>17.809388729999998</v>
          </cell>
          <cell r="K564">
            <v>18.809388729999998</v>
          </cell>
          <cell r="L564">
            <v>0.77982783159784597</v>
          </cell>
          <cell r="M564">
            <v>19.589216561597802</v>
          </cell>
          <cell r="N564">
            <v>0.02</v>
          </cell>
          <cell r="O564">
            <v>0</v>
          </cell>
          <cell r="P564">
            <v>1</v>
          </cell>
        </row>
        <row r="565">
          <cell r="A565">
            <v>910404</v>
          </cell>
          <cell r="B565">
            <v>1</v>
          </cell>
          <cell r="C565">
            <v>0</v>
          </cell>
          <cell r="D565">
            <v>5</v>
          </cell>
          <cell r="E565" t="str">
            <v>NON-HS</v>
          </cell>
          <cell r="F565" t="str">
            <v>Palmdale</v>
          </cell>
          <cell r="G565">
            <v>0</v>
          </cell>
          <cell r="H565">
            <v>0</v>
          </cell>
          <cell r="I565">
            <v>27.233000000000001</v>
          </cell>
          <cell r="J565">
            <v>25.78809558</v>
          </cell>
          <cell r="K565">
            <v>25.78809558</v>
          </cell>
          <cell r="L565">
            <v>1.4452438179712701</v>
          </cell>
          <cell r="M565">
            <v>27.233339397971299</v>
          </cell>
          <cell r="N565">
            <v>0.02</v>
          </cell>
          <cell r="O565">
            <v>0</v>
          </cell>
          <cell r="P565">
            <v>1</v>
          </cell>
        </row>
        <row r="566">
          <cell r="A566">
            <v>901213</v>
          </cell>
          <cell r="B566">
            <v>1</v>
          </cell>
          <cell r="C566">
            <v>0</v>
          </cell>
          <cell r="D566">
            <v>5</v>
          </cell>
          <cell r="E566" t="str">
            <v>NON-HS</v>
          </cell>
          <cell r="F566" t="str">
            <v>Palmdale</v>
          </cell>
          <cell r="G566">
            <v>0</v>
          </cell>
          <cell r="H566">
            <v>0</v>
          </cell>
          <cell r="I566">
            <v>22.875</v>
          </cell>
          <cell r="J566">
            <v>21.74187654</v>
          </cell>
          <cell r="K566">
            <v>21.74187654</v>
          </cell>
          <cell r="L566">
            <v>1.1323513359066399</v>
          </cell>
          <cell r="M566">
            <v>22.874227875906598</v>
          </cell>
          <cell r="N566">
            <v>0.02</v>
          </cell>
          <cell r="O566">
            <v>0</v>
          </cell>
          <cell r="P566">
            <v>1</v>
          </cell>
        </row>
        <row r="567">
          <cell r="A567">
            <v>901007</v>
          </cell>
          <cell r="B567">
            <v>1</v>
          </cell>
          <cell r="C567">
            <v>0</v>
          </cell>
          <cell r="D567">
            <v>5</v>
          </cell>
          <cell r="E567" t="str">
            <v>NON-HS</v>
          </cell>
          <cell r="F567" t="str">
            <v>Lancaster</v>
          </cell>
          <cell r="G567">
            <v>0</v>
          </cell>
          <cell r="H567">
            <v>0</v>
          </cell>
          <cell r="I567">
            <v>1</v>
          </cell>
          <cell r="J567">
            <v>0</v>
          </cell>
          <cell r="K567">
            <v>1</v>
          </cell>
          <cell r="L567">
            <v>0</v>
          </cell>
          <cell r="M567">
            <v>1</v>
          </cell>
          <cell r="N567">
            <v>0.02</v>
          </cell>
          <cell r="O567">
            <v>0</v>
          </cell>
          <cell r="P567">
            <v>1</v>
          </cell>
        </row>
        <row r="568">
          <cell r="A568">
            <v>980003</v>
          </cell>
          <cell r="B568">
            <v>1</v>
          </cell>
          <cell r="C568">
            <v>0</v>
          </cell>
          <cell r="D568">
            <v>5</v>
          </cell>
          <cell r="E568" t="str">
            <v>NON-HS</v>
          </cell>
          <cell r="F568" t="str">
            <v>Unincorporated Antelope Valley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0.02</v>
          </cell>
          <cell r="O568">
            <v>0</v>
          </cell>
          <cell r="P568">
            <v>1</v>
          </cell>
        </row>
        <row r="569">
          <cell r="A569">
            <v>901011</v>
          </cell>
          <cell r="B569">
            <v>1</v>
          </cell>
          <cell r="C569">
            <v>0</v>
          </cell>
          <cell r="D569">
            <v>5</v>
          </cell>
          <cell r="E569" t="str">
            <v>NON-HS</v>
          </cell>
          <cell r="F569" t="str">
            <v>Lancaster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0.02</v>
          </cell>
          <cell r="O569">
            <v>0</v>
          </cell>
          <cell r="P569">
            <v>1</v>
          </cell>
        </row>
        <row r="570">
          <cell r="A570">
            <v>910208</v>
          </cell>
          <cell r="B570">
            <v>1</v>
          </cell>
          <cell r="C570">
            <v>0</v>
          </cell>
          <cell r="D570">
            <v>5</v>
          </cell>
          <cell r="E570" t="str">
            <v>NON-HS</v>
          </cell>
          <cell r="F570" t="str">
            <v>Palmdale</v>
          </cell>
          <cell r="G570">
            <v>0</v>
          </cell>
          <cell r="H570">
            <v>0</v>
          </cell>
          <cell r="I570">
            <v>33.518000000000001</v>
          </cell>
          <cell r="J570">
            <v>31.739194560000001</v>
          </cell>
          <cell r="K570">
            <v>31.739194560000001</v>
          </cell>
          <cell r="L570">
            <v>1.7787616221184901</v>
          </cell>
          <cell r="M570">
            <v>33.517956182118503</v>
          </cell>
          <cell r="N570">
            <v>0.02</v>
          </cell>
          <cell r="O570">
            <v>0</v>
          </cell>
          <cell r="P570">
            <v>1</v>
          </cell>
        </row>
        <row r="571">
          <cell r="A571">
            <v>900507</v>
          </cell>
          <cell r="B571">
            <v>1</v>
          </cell>
          <cell r="C571">
            <v>0</v>
          </cell>
          <cell r="D571">
            <v>5</v>
          </cell>
          <cell r="E571" t="str">
            <v>NON-HS</v>
          </cell>
          <cell r="F571" t="str">
            <v>Lancaster</v>
          </cell>
          <cell r="G571">
            <v>0</v>
          </cell>
          <cell r="H571">
            <v>0</v>
          </cell>
          <cell r="I571">
            <v>4.851</v>
          </cell>
          <cell r="J571">
            <v>3.8097598800000001</v>
          </cell>
          <cell r="K571">
            <v>4.8097598799999997</v>
          </cell>
          <cell r="L571">
            <v>4.1250644165170602E-2</v>
          </cell>
          <cell r="M571">
            <v>4.8510105241651704</v>
          </cell>
          <cell r="N571">
            <v>0.02</v>
          </cell>
          <cell r="O571">
            <v>0</v>
          </cell>
          <cell r="P571">
            <v>1</v>
          </cell>
        </row>
        <row r="572">
          <cell r="A572">
            <v>910602</v>
          </cell>
          <cell r="B572">
            <v>1</v>
          </cell>
          <cell r="C572">
            <v>0</v>
          </cell>
          <cell r="D572">
            <v>5</v>
          </cell>
          <cell r="E572" t="str">
            <v>NON-HS</v>
          </cell>
          <cell r="F572" t="str">
            <v>Palmdale</v>
          </cell>
          <cell r="G572">
            <v>0</v>
          </cell>
          <cell r="H572">
            <v>0</v>
          </cell>
          <cell r="I572">
            <v>1</v>
          </cell>
          <cell r="J572">
            <v>0</v>
          </cell>
          <cell r="K572">
            <v>1</v>
          </cell>
          <cell r="L572">
            <v>0</v>
          </cell>
          <cell r="M572">
            <v>1</v>
          </cell>
          <cell r="N572">
            <v>0.02</v>
          </cell>
          <cell r="O572">
            <v>0</v>
          </cell>
          <cell r="P572">
            <v>1</v>
          </cell>
        </row>
        <row r="573">
          <cell r="A573">
            <v>910707</v>
          </cell>
          <cell r="B573">
            <v>1</v>
          </cell>
          <cell r="C573">
            <v>0</v>
          </cell>
          <cell r="D573">
            <v>5</v>
          </cell>
          <cell r="E573" t="str">
            <v>NON-HS</v>
          </cell>
          <cell r="F573" t="str">
            <v>Palmdale</v>
          </cell>
          <cell r="G573">
            <v>0</v>
          </cell>
          <cell r="H573">
            <v>0</v>
          </cell>
          <cell r="I573">
            <v>10.305</v>
          </cell>
          <cell r="J573">
            <v>9.8396785799999993</v>
          </cell>
          <cell r="K573">
            <v>9.8396785799999993</v>
          </cell>
          <cell r="L573">
            <v>0.46531572761220802</v>
          </cell>
          <cell r="M573">
            <v>10.304994307612199</v>
          </cell>
          <cell r="N573">
            <v>0.02</v>
          </cell>
          <cell r="O573">
            <v>0</v>
          </cell>
          <cell r="P573">
            <v>1</v>
          </cell>
        </row>
        <row r="574">
          <cell r="A574">
            <v>900805</v>
          </cell>
          <cell r="B574">
            <v>1</v>
          </cell>
          <cell r="C574">
            <v>0</v>
          </cell>
          <cell r="D574">
            <v>5</v>
          </cell>
          <cell r="E574" t="str">
            <v>NON-HS</v>
          </cell>
          <cell r="F574" t="str">
            <v>Lancaster</v>
          </cell>
          <cell r="G574">
            <v>0</v>
          </cell>
          <cell r="H574">
            <v>0</v>
          </cell>
          <cell r="I574">
            <v>1.9259999999999999</v>
          </cell>
          <cell r="J574">
            <v>1.90487994</v>
          </cell>
          <cell r="K574">
            <v>1.90487994</v>
          </cell>
          <cell r="L574">
            <v>2.0625322082585301E-2</v>
          </cell>
          <cell r="M574">
            <v>1.9255052620825901</v>
          </cell>
          <cell r="N574">
            <v>0.02</v>
          </cell>
          <cell r="O574">
            <v>0</v>
          </cell>
          <cell r="P574">
            <v>1</v>
          </cell>
        </row>
        <row r="575">
          <cell r="A575">
            <v>910001</v>
          </cell>
          <cell r="B575">
            <v>1</v>
          </cell>
          <cell r="C575">
            <v>0</v>
          </cell>
          <cell r="D575">
            <v>5</v>
          </cell>
          <cell r="E575" t="str">
            <v>NON-HS</v>
          </cell>
          <cell r="F575" t="str">
            <v>Unincorporated Antelope Valley</v>
          </cell>
          <cell r="G575">
            <v>0</v>
          </cell>
          <cell r="H575">
            <v>0</v>
          </cell>
          <cell r="I575">
            <v>1</v>
          </cell>
          <cell r="J575">
            <v>0</v>
          </cell>
          <cell r="K575">
            <v>1</v>
          </cell>
          <cell r="L575">
            <v>0</v>
          </cell>
          <cell r="M575">
            <v>1</v>
          </cell>
          <cell r="N575">
            <v>0.02</v>
          </cell>
          <cell r="O575">
            <v>0</v>
          </cell>
          <cell r="P575">
            <v>1</v>
          </cell>
        </row>
        <row r="576">
          <cell r="A576">
            <v>901004</v>
          </cell>
          <cell r="B576">
            <v>1</v>
          </cell>
          <cell r="C576">
            <v>0</v>
          </cell>
          <cell r="D576">
            <v>5</v>
          </cell>
          <cell r="E576" t="str">
            <v>NON-HS</v>
          </cell>
          <cell r="F576" t="str">
            <v>Lancaster</v>
          </cell>
          <cell r="G576">
            <v>0</v>
          </cell>
          <cell r="H576">
            <v>0</v>
          </cell>
          <cell r="I576">
            <v>5.2140000000000004</v>
          </cell>
          <cell r="J576">
            <v>5.0957154100000004</v>
          </cell>
          <cell r="K576">
            <v>5.0957154100000004</v>
          </cell>
          <cell r="L576">
            <v>0.11796937380610401</v>
          </cell>
          <cell r="M576">
            <v>5.2136847838060998</v>
          </cell>
          <cell r="N576">
            <v>0.02</v>
          </cell>
          <cell r="O576">
            <v>0</v>
          </cell>
          <cell r="P576">
            <v>1</v>
          </cell>
        </row>
        <row r="577">
          <cell r="A577">
            <v>910813</v>
          </cell>
          <cell r="B577">
            <v>1</v>
          </cell>
          <cell r="C577">
            <v>0</v>
          </cell>
          <cell r="D577">
            <v>5</v>
          </cell>
          <cell r="E577" t="str">
            <v>NON-HS</v>
          </cell>
          <cell r="F577" t="str">
            <v>Unincorporated Antelope Valley</v>
          </cell>
          <cell r="G577">
            <v>0</v>
          </cell>
          <cell r="H577">
            <v>0</v>
          </cell>
          <cell r="I577">
            <v>6.2850000000000001</v>
          </cell>
          <cell r="J577">
            <v>5.9510989800000003</v>
          </cell>
          <cell r="K577">
            <v>5.9510989800000003</v>
          </cell>
          <cell r="L577">
            <v>0.33351780414721699</v>
          </cell>
          <cell r="M577">
            <v>6.2846167841472198</v>
          </cell>
          <cell r="N577">
            <v>0.02</v>
          </cell>
          <cell r="O577">
            <v>0</v>
          </cell>
          <cell r="P577">
            <v>1</v>
          </cell>
        </row>
        <row r="578">
          <cell r="A578">
            <v>920013</v>
          </cell>
          <cell r="B578">
            <v>2</v>
          </cell>
          <cell r="C578">
            <v>0</v>
          </cell>
          <cell r="D578">
            <v>5</v>
          </cell>
          <cell r="E578" t="str">
            <v>NON-HS</v>
          </cell>
          <cell r="F578" t="str">
            <v>Santa Clarita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2.2140221402214E-2</v>
          </cell>
          <cell r="O578">
            <v>0</v>
          </cell>
          <cell r="P578">
            <v>0.30627306273062699</v>
          </cell>
        </row>
        <row r="579">
          <cell r="A579">
            <v>310400</v>
          </cell>
          <cell r="B579">
            <v>2</v>
          </cell>
          <cell r="C579">
            <v>0</v>
          </cell>
          <cell r="D579">
            <v>5</v>
          </cell>
          <cell r="E579" t="str">
            <v>NON-HS</v>
          </cell>
          <cell r="F579" t="str">
            <v>Burbank</v>
          </cell>
          <cell r="G579">
            <v>0</v>
          </cell>
          <cell r="H579">
            <v>0</v>
          </cell>
          <cell r="I579">
            <v>7.42</v>
          </cell>
          <cell r="J579">
            <v>7.0609083400000001</v>
          </cell>
          <cell r="K579">
            <v>7.0609083400000001</v>
          </cell>
          <cell r="L579">
            <v>0.35823543989228002</v>
          </cell>
          <cell r="M579">
            <v>7.4191437798922797</v>
          </cell>
          <cell r="N579">
            <v>2.2140221402214E-2</v>
          </cell>
          <cell r="O579">
            <v>0</v>
          </cell>
          <cell r="P579">
            <v>0.30627306273062699</v>
          </cell>
        </row>
        <row r="580">
          <cell r="A580">
            <v>920200</v>
          </cell>
          <cell r="B580">
            <v>2</v>
          </cell>
          <cell r="C580">
            <v>0</v>
          </cell>
          <cell r="D580">
            <v>5</v>
          </cell>
          <cell r="E580" t="str">
            <v>NON-HS</v>
          </cell>
          <cell r="F580" t="str">
            <v>Agua Dulce</v>
          </cell>
          <cell r="G580">
            <v>0</v>
          </cell>
          <cell r="H580">
            <v>0</v>
          </cell>
          <cell r="I580">
            <v>2.0950000000000002</v>
          </cell>
          <cell r="J580">
            <v>1.9836996600000001</v>
          </cell>
          <cell r="K580">
            <v>1.9836996600000001</v>
          </cell>
          <cell r="L580">
            <v>0.11117260138240601</v>
          </cell>
          <cell r="M580">
            <v>2.09487226138241</v>
          </cell>
          <cell r="N580">
            <v>2.2140221402214E-2</v>
          </cell>
          <cell r="O580">
            <v>0</v>
          </cell>
          <cell r="P580">
            <v>0.30627306273062699</v>
          </cell>
        </row>
        <row r="581">
          <cell r="A581">
            <v>310201</v>
          </cell>
          <cell r="B581">
            <v>2</v>
          </cell>
          <cell r="C581">
            <v>0</v>
          </cell>
          <cell r="D581">
            <v>5</v>
          </cell>
          <cell r="E581" t="str">
            <v>NON-HS</v>
          </cell>
          <cell r="F581" t="str">
            <v>Burbank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2.2140221402214E-2</v>
          </cell>
          <cell r="O581">
            <v>0</v>
          </cell>
          <cell r="P581">
            <v>0.30627306273062699</v>
          </cell>
        </row>
        <row r="582">
          <cell r="A582">
            <v>920029</v>
          </cell>
          <cell r="B582">
            <v>2</v>
          </cell>
          <cell r="C582">
            <v>0</v>
          </cell>
          <cell r="D582">
            <v>5</v>
          </cell>
          <cell r="E582" t="str">
            <v>NON-HS</v>
          </cell>
          <cell r="F582" t="str">
            <v>Santa Clarita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2.2140221402214E-2</v>
          </cell>
          <cell r="O582">
            <v>0</v>
          </cell>
          <cell r="P582">
            <v>0.30627306273062699</v>
          </cell>
        </row>
        <row r="583">
          <cell r="A583">
            <v>910810</v>
          </cell>
          <cell r="B583">
            <v>2</v>
          </cell>
          <cell r="C583">
            <v>0</v>
          </cell>
          <cell r="D583">
            <v>5</v>
          </cell>
          <cell r="E583" t="str">
            <v>NON-HS</v>
          </cell>
          <cell r="F583" t="str">
            <v>Canyon Country</v>
          </cell>
          <cell r="G583">
            <v>0</v>
          </cell>
          <cell r="H583">
            <v>0</v>
          </cell>
          <cell r="I583">
            <v>4.7720000000000002</v>
          </cell>
          <cell r="J583">
            <v>4.31758971</v>
          </cell>
          <cell r="K583">
            <v>4.31758971</v>
          </cell>
          <cell r="L583">
            <v>0.45435601842010798</v>
          </cell>
          <cell r="M583">
            <v>4.7719457284201097</v>
          </cell>
          <cell r="N583">
            <v>2.2140221402214E-2</v>
          </cell>
          <cell r="O583">
            <v>0</v>
          </cell>
          <cell r="P583">
            <v>0.30627306273062699</v>
          </cell>
        </row>
        <row r="584">
          <cell r="A584">
            <v>920331</v>
          </cell>
          <cell r="B584">
            <v>2</v>
          </cell>
          <cell r="C584">
            <v>0</v>
          </cell>
          <cell r="D584">
            <v>5</v>
          </cell>
          <cell r="E584" t="str">
            <v>NON-HS</v>
          </cell>
          <cell r="F584" t="str">
            <v>Santa Clarita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2.2140221402214E-2</v>
          </cell>
          <cell r="O584">
            <v>0</v>
          </cell>
          <cell r="P584">
            <v>0.30627306273062699</v>
          </cell>
        </row>
        <row r="585">
          <cell r="A585">
            <v>920119</v>
          </cell>
          <cell r="B585">
            <v>2</v>
          </cell>
          <cell r="C585">
            <v>0</v>
          </cell>
          <cell r="D585">
            <v>5</v>
          </cell>
          <cell r="E585" t="str">
            <v>NON-HS</v>
          </cell>
          <cell r="F585" t="str">
            <v>Agua Dulce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2.2140221402214E-2</v>
          </cell>
          <cell r="O585">
            <v>0</v>
          </cell>
          <cell r="P585">
            <v>0.30627306273062699</v>
          </cell>
        </row>
        <row r="586">
          <cell r="A586">
            <v>800332</v>
          </cell>
          <cell r="B586">
            <v>2</v>
          </cell>
          <cell r="C586">
            <v>0</v>
          </cell>
          <cell r="D586">
            <v>3</v>
          </cell>
          <cell r="E586" t="str">
            <v>NON-HS</v>
          </cell>
          <cell r="F586" t="str">
            <v>Agoura Hills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2.2140221402214E-2</v>
          </cell>
          <cell r="O586">
            <v>0</v>
          </cell>
          <cell r="P586">
            <v>0.30627306273062699</v>
          </cell>
        </row>
        <row r="587">
          <cell r="A587">
            <v>920033</v>
          </cell>
          <cell r="B587">
            <v>2</v>
          </cell>
          <cell r="C587">
            <v>0</v>
          </cell>
          <cell r="D587">
            <v>5</v>
          </cell>
          <cell r="E587" t="str">
            <v>NON-HS</v>
          </cell>
          <cell r="F587" t="str">
            <v>Canyon Country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2.2140221402214E-2</v>
          </cell>
          <cell r="O587">
            <v>0</v>
          </cell>
          <cell r="P587">
            <v>0.30627306273062699</v>
          </cell>
        </row>
        <row r="588">
          <cell r="A588">
            <v>920334</v>
          </cell>
          <cell r="B588">
            <v>2</v>
          </cell>
          <cell r="C588">
            <v>0</v>
          </cell>
          <cell r="D588">
            <v>5</v>
          </cell>
          <cell r="E588" t="str">
            <v>NON-HS</v>
          </cell>
          <cell r="F588" t="str">
            <v>Santa Clarita</v>
          </cell>
          <cell r="G588">
            <v>1</v>
          </cell>
          <cell r="H588">
            <v>1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2.2140221402214E-2</v>
          </cell>
          <cell r="O588">
            <v>45.1666666666667</v>
          </cell>
          <cell r="P588">
            <v>0.30627306273062699</v>
          </cell>
        </row>
        <row r="589">
          <cell r="A589">
            <v>920108</v>
          </cell>
          <cell r="B589">
            <v>2</v>
          </cell>
          <cell r="C589">
            <v>0</v>
          </cell>
          <cell r="D589">
            <v>5</v>
          </cell>
          <cell r="E589" t="str">
            <v>NON-HS</v>
          </cell>
          <cell r="F589" t="str">
            <v>Santa Clarita</v>
          </cell>
          <cell r="G589">
            <v>0</v>
          </cell>
          <cell r="H589">
            <v>0</v>
          </cell>
          <cell r="I589">
            <v>3.6859999999999999</v>
          </cell>
          <cell r="J589">
            <v>3.4228962300000001</v>
          </cell>
          <cell r="K589">
            <v>3.4228962300000001</v>
          </cell>
          <cell r="L589">
            <v>0.26262460752244199</v>
          </cell>
          <cell r="M589">
            <v>3.6855208375224402</v>
          </cell>
          <cell r="N589">
            <v>2.2140221402214E-2</v>
          </cell>
          <cell r="O589">
            <v>0</v>
          </cell>
          <cell r="P589">
            <v>0.30627306273062699</v>
          </cell>
        </row>
        <row r="590">
          <cell r="A590">
            <v>920020</v>
          </cell>
          <cell r="B590">
            <v>2</v>
          </cell>
          <cell r="C590">
            <v>0</v>
          </cell>
          <cell r="D590">
            <v>5</v>
          </cell>
          <cell r="E590" t="str">
            <v>NON-HS</v>
          </cell>
          <cell r="F590" t="str">
            <v>Santa Clarita</v>
          </cell>
          <cell r="G590">
            <v>0</v>
          </cell>
          <cell r="H590">
            <v>0</v>
          </cell>
          <cell r="I590">
            <v>3.0950000000000002</v>
          </cell>
          <cell r="J590">
            <v>1.9836996600000001</v>
          </cell>
          <cell r="K590">
            <v>2.9836996600000001</v>
          </cell>
          <cell r="L590">
            <v>0.11117260138240601</v>
          </cell>
          <cell r="M590">
            <v>3.09487226138241</v>
          </cell>
          <cell r="N590">
            <v>2.2140221402214E-2</v>
          </cell>
          <cell r="O590">
            <v>0</v>
          </cell>
          <cell r="P590">
            <v>0.30627306273062699</v>
          </cell>
        </row>
        <row r="591">
          <cell r="A591">
            <v>460502</v>
          </cell>
          <cell r="B591">
            <v>2</v>
          </cell>
          <cell r="C591">
            <v>0</v>
          </cell>
          <cell r="D591">
            <v>5</v>
          </cell>
          <cell r="E591" t="str">
            <v>NON-HS</v>
          </cell>
          <cell r="F591" t="str">
            <v>La Cañada Flintridge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2.2140221402214E-2</v>
          </cell>
          <cell r="O591">
            <v>0</v>
          </cell>
          <cell r="P591">
            <v>0.30627306273062699</v>
          </cell>
        </row>
        <row r="592">
          <cell r="A592">
            <v>460700</v>
          </cell>
          <cell r="B592">
            <v>2</v>
          </cell>
          <cell r="C592">
            <v>0</v>
          </cell>
          <cell r="D592">
            <v>5</v>
          </cell>
          <cell r="E592" t="str">
            <v>NON-HS</v>
          </cell>
          <cell r="F592" t="str">
            <v>La Cañada Flintridge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2.2140221402214E-2</v>
          </cell>
          <cell r="O592">
            <v>0</v>
          </cell>
          <cell r="P592">
            <v>0.30627306273062699</v>
          </cell>
        </row>
        <row r="593">
          <cell r="A593">
            <v>920329</v>
          </cell>
          <cell r="B593">
            <v>2</v>
          </cell>
          <cell r="C593">
            <v>0</v>
          </cell>
          <cell r="D593">
            <v>5</v>
          </cell>
          <cell r="E593" t="str">
            <v>NON-HS</v>
          </cell>
          <cell r="F593" t="str">
            <v>Santa Clarita</v>
          </cell>
          <cell r="G593">
            <v>0</v>
          </cell>
          <cell r="H593">
            <v>0</v>
          </cell>
          <cell r="I593">
            <v>2.8079999999999998</v>
          </cell>
          <cell r="J593">
            <v>1.73313217</v>
          </cell>
          <cell r="K593">
            <v>2.7331321700000002</v>
          </cell>
          <cell r="L593">
            <v>7.4985510287253102E-2</v>
          </cell>
          <cell r="M593">
            <v>2.8081176802872498</v>
          </cell>
          <cell r="N593">
            <v>2.2140221402214E-2</v>
          </cell>
          <cell r="O593">
            <v>0</v>
          </cell>
          <cell r="P593">
            <v>0.30627306273062699</v>
          </cell>
        </row>
        <row r="594">
          <cell r="A594">
            <v>320000</v>
          </cell>
          <cell r="B594">
            <v>2</v>
          </cell>
          <cell r="C594">
            <v>0</v>
          </cell>
          <cell r="D594">
            <v>3</v>
          </cell>
          <cell r="E594" t="str">
            <v>NON-HS</v>
          </cell>
          <cell r="F594" t="str">
            <v>Universal City</v>
          </cell>
          <cell r="G594">
            <v>0</v>
          </cell>
          <cell r="H594">
            <v>0</v>
          </cell>
          <cell r="I594">
            <v>4.851</v>
          </cell>
          <cell r="J594">
            <v>3.8097598800000001</v>
          </cell>
          <cell r="K594">
            <v>4.8097598799999997</v>
          </cell>
          <cell r="L594">
            <v>4.1250644165170602E-2</v>
          </cell>
          <cell r="M594">
            <v>4.8510105241651704</v>
          </cell>
          <cell r="N594">
            <v>2.2140221402214E-2</v>
          </cell>
          <cell r="O594">
            <v>0</v>
          </cell>
          <cell r="P594">
            <v>0.30627306273062699</v>
          </cell>
        </row>
        <row r="595">
          <cell r="A595">
            <v>800330</v>
          </cell>
          <cell r="B595">
            <v>2</v>
          </cell>
          <cell r="C595">
            <v>0</v>
          </cell>
          <cell r="D595">
            <v>3</v>
          </cell>
          <cell r="E595" t="str">
            <v>NON-HS</v>
          </cell>
          <cell r="F595" t="str">
            <v>Malibu Lake</v>
          </cell>
          <cell r="G595">
            <v>0</v>
          </cell>
          <cell r="H595">
            <v>0</v>
          </cell>
          <cell r="I595">
            <v>6.3630000000000004</v>
          </cell>
          <cell r="J595">
            <v>5.75678628</v>
          </cell>
          <cell r="K595">
            <v>5.75678628</v>
          </cell>
          <cell r="L595">
            <v>0.60580802456014404</v>
          </cell>
          <cell r="M595">
            <v>6.3625943045601403</v>
          </cell>
          <cell r="N595">
            <v>2.2140221402214E-2</v>
          </cell>
          <cell r="O595">
            <v>0</v>
          </cell>
          <cell r="P595">
            <v>0.30627306273062699</v>
          </cell>
        </row>
        <row r="596">
          <cell r="A596">
            <v>920028</v>
          </cell>
          <cell r="B596">
            <v>2</v>
          </cell>
          <cell r="C596">
            <v>0</v>
          </cell>
          <cell r="D596">
            <v>5</v>
          </cell>
          <cell r="E596" t="str">
            <v>NON-HS</v>
          </cell>
          <cell r="F596" t="str">
            <v>Santa Clarita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2.2140221402214E-2</v>
          </cell>
          <cell r="O596">
            <v>0</v>
          </cell>
          <cell r="P596">
            <v>0.30627306273062699</v>
          </cell>
        </row>
        <row r="597">
          <cell r="A597">
            <v>311801</v>
          </cell>
          <cell r="B597">
            <v>2</v>
          </cell>
          <cell r="C597">
            <v>0</v>
          </cell>
          <cell r="D597">
            <v>5</v>
          </cell>
          <cell r="E597" t="str">
            <v>NON-HS</v>
          </cell>
          <cell r="F597" t="str">
            <v>Burbank</v>
          </cell>
          <cell r="G597">
            <v>1</v>
          </cell>
          <cell r="H597">
            <v>1</v>
          </cell>
          <cell r="I597">
            <v>4.1900000000000004</v>
          </cell>
          <cell r="J597">
            <v>3.9673993200000002</v>
          </cell>
          <cell r="K597">
            <v>3.9673993200000002</v>
          </cell>
          <cell r="L597">
            <v>0.22234520276481101</v>
          </cell>
          <cell r="M597">
            <v>4.1897445227648102</v>
          </cell>
          <cell r="N597">
            <v>2.2140221402214E-2</v>
          </cell>
          <cell r="O597">
            <v>45.1666666666667</v>
          </cell>
          <cell r="P597">
            <v>0.30627306273062699</v>
          </cell>
        </row>
        <row r="598">
          <cell r="A598">
            <v>920116</v>
          </cell>
          <cell r="B598">
            <v>2</v>
          </cell>
          <cell r="C598">
            <v>0</v>
          </cell>
          <cell r="D598">
            <v>5</v>
          </cell>
          <cell r="E598" t="str">
            <v>NON-HS</v>
          </cell>
          <cell r="F598" t="str">
            <v>Agua Dulce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2.2140221402214E-2</v>
          </cell>
          <cell r="O598">
            <v>0</v>
          </cell>
          <cell r="P598">
            <v>0.30627306273062699</v>
          </cell>
        </row>
        <row r="599">
          <cell r="A599">
            <v>300100</v>
          </cell>
          <cell r="B599">
            <v>2</v>
          </cell>
          <cell r="C599">
            <v>0</v>
          </cell>
          <cell r="D599">
            <v>5</v>
          </cell>
          <cell r="E599" t="str">
            <v>NON-HS</v>
          </cell>
          <cell r="F599" t="str">
            <v>La Crescenta-Montrose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2.2140221402214E-2</v>
          </cell>
          <cell r="O599">
            <v>0</v>
          </cell>
          <cell r="P599">
            <v>0.30627306273062699</v>
          </cell>
        </row>
        <row r="600">
          <cell r="A600">
            <v>920017</v>
          </cell>
          <cell r="B600">
            <v>2</v>
          </cell>
          <cell r="C600">
            <v>0</v>
          </cell>
          <cell r="D600">
            <v>5</v>
          </cell>
          <cell r="E600" t="str">
            <v>NON-HS</v>
          </cell>
          <cell r="F600" t="str">
            <v>Santa Clarita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2.2140221402214E-2</v>
          </cell>
          <cell r="O600">
            <v>0</v>
          </cell>
          <cell r="P600">
            <v>0.30627306273062699</v>
          </cell>
        </row>
        <row r="601">
          <cell r="A601">
            <v>800329</v>
          </cell>
          <cell r="B601">
            <v>2</v>
          </cell>
          <cell r="C601">
            <v>0</v>
          </cell>
          <cell r="D601">
            <v>3</v>
          </cell>
          <cell r="E601" t="str">
            <v>NON-HS</v>
          </cell>
          <cell r="F601" t="str">
            <v>Malibu Lake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2.2140221402214E-2</v>
          </cell>
          <cell r="O601">
            <v>0</v>
          </cell>
          <cell r="P601">
            <v>0.30627306273062699</v>
          </cell>
        </row>
        <row r="602">
          <cell r="A602">
            <v>920045</v>
          </cell>
          <cell r="B602">
            <v>2</v>
          </cell>
          <cell r="C602">
            <v>0</v>
          </cell>
          <cell r="D602">
            <v>5</v>
          </cell>
          <cell r="E602" t="str">
            <v>NON-HS</v>
          </cell>
          <cell r="F602" t="str">
            <v>Santa Clarita</v>
          </cell>
          <cell r="G602">
            <v>0</v>
          </cell>
          <cell r="H602">
            <v>0</v>
          </cell>
          <cell r="I602">
            <v>6.2850000000000001</v>
          </cell>
          <cell r="J602">
            <v>5.9510989800000003</v>
          </cell>
          <cell r="K602">
            <v>5.9510989800000003</v>
          </cell>
          <cell r="L602">
            <v>0.33351780414721699</v>
          </cell>
          <cell r="M602">
            <v>6.2846167841472198</v>
          </cell>
          <cell r="N602">
            <v>2.2140221402214E-2</v>
          </cell>
          <cell r="O602">
            <v>0</v>
          </cell>
          <cell r="P602">
            <v>0.30627306273062699</v>
          </cell>
        </row>
        <row r="603">
          <cell r="A603">
            <v>300501</v>
          </cell>
          <cell r="B603">
            <v>2</v>
          </cell>
          <cell r="C603">
            <v>0</v>
          </cell>
          <cell r="D603">
            <v>5</v>
          </cell>
          <cell r="E603" t="str">
            <v>NON-HS</v>
          </cell>
          <cell r="F603" t="str">
            <v>La Crescenta-Montrose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2.2140221402214E-2</v>
          </cell>
          <cell r="O603">
            <v>0</v>
          </cell>
          <cell r="P603">
            <v>0.30627306273062699</v>
          </cell>
        </row>
        <row r="604">
          <cell r="A604">
            <v>920039</v>
          </cell>
          <cell r="B604">
            <v>2</v>
          </cell>
          <cell r="C604">
            <v>0</v>
          </cell>
          <cell r="D604">
            <v>5</v>
          </cell>
          <cell r="E604" t="str">
            <v>NON-HS</v>
          </cell>
          <cell r="F604" t="str">
            <v>Santa Clarita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2.2140221402214E-2</v>
          </cell>
          <cell r="O604">
            <v>0</v>
          </cell>
          <cell r="P604">
            <v>0.30627306273062699</v>
          </cell>
        </row>
        <row r="605">
          <cell r="A605">
            <v>920111</v>
          </cell>
          <cell r="B605">
            <v>2</v>
          </cell>
          <cell r="C605">
            <v>0</v>
          </cell>
          <cell r="D605">
            <v>5</v>
          </cell>
          <cell r="E605" t="str">
            <v>NON-HS</v>
          </cell>
          <cell r="F605" t="str">
            <v>Santa Clarita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2.2140221402214E-2</v>
          </cell>
          <cell r="O605">
            <v>0</v>
          </cell>
          <cell r="P605">
            <v>0.30627306273062699</v>
          </cell>
        </row>
        <row r="606">
          <cell r="A606">
            <v>311200</v>
          </cell>
          <cell r="B606">
            <v>2</v>
          </cell>
          <cell r="C606">
            <v>0</v>
          </cell>
          <cell r="D606">
            <v>5</v>
          </cell>
          <cell r="E606" t="str">
            <v>NON-HS</v>
          </cell>
          <cell r="F606" t="str">
            <v>Burbank</v>
          </cell>
          <cell r="G606">
            <v>0</v>
          </cell>
          <cell r="H606">
            <v>0</v>
          </cell>
          <cell r="I606">
            <v>5.19</v>
          </cell>
          <cell r="J606">
            <v>3.9673993200000002</v>
          </cell>
          <cell r="K606">
            <v>4.9673993200000002</v>
          </cell>
          <cell r="L606">
            <v>0.22234520276481101</v>
          </cell>
          <cell r="M606">
            <v>5.1897445227648102</v>
          </cell>
          <cell r="N606">
            <v>2.2140221402214E-2</v>
          </cell>
          <cell r="O606">
            <v>0</v>
          </cell>
          <cell r="P606">
            <v>0.30627306273062699</v>
          </cell>
        </row>
        <row r="607">
          <cell r="A607">
            <v>800328</v>
          </cell>
          <cell r="B607">
            <v>2</v>
          </cell>
          <cell r="C607">
            <v>0</v>
          </cell>
          <cell r="D607">
            <v>3</v>
          </cell>
          <cell r="E607" t="str">
            <v>NON-HS</v>
          </cell>
          <cell r="F607" t="str">
            <v>Agoura Hills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2.2140221402214E-2</v>
          </cell>
          <cell r="O607">
            <v>0</v>
          </cell>
          <cell r="P607">
            <v>0.30627306273062699</v>
          </cell>
        </row>
        <row r="608">
          <cell r="A608">
            <v>920112</v>
          </cell>
          <cell r="B608">
            <v>2</v>
          </cell>
          <cell r="C608">
            <v>0</v>
          </cell>
          <cell r="D608">
            <v>5</v>
          </cell>
          <cell r="E608" t="str">
            <v>NON-HS</v>
          </cell>
          <cell r="F608" t="str">
            <v>Santa Clarita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2.2140221402214E-2</v>
          </cell>
          <cell r="O608">
            <v>0</v>
          </cell>
          <cell r="P608">
            <v>0.30627306273062699</v>
          </cell>
        </row>
        <row r="609">
          <cell r="A609">
            <v>920110</v>
          </cell>
          <cell r="B609">
            <v>2</v>
          </cell>
          <cell r="C609">
            <v>0</v>
          </cell>
          <cell r="D609">
            <v>5</v>
          </cell>
          <cell r="E609" t="str">
            <v>NON-HS</v>
          </cell>
          <cell r="F609" t="str">
            <v>Santa Clarita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2.2140221402214E-2</v>
          </cell>
          <cell r="O609">
            <v>0</v>
          </cell>
          <cell r="P609">
            <v>0.30627306273062699</v>
          </cell>
        </row>
        <row r="610">
          <cell r="A610">
            <v>920326</v>
          </cell>
          <cell r="B610">
            <v>2</v>
          </cell>
          <cell r="C610">
            <v>0</v>
          </cell>
          <cell r="D610">
            <v>5</v>
          </cell>
          <cell r="E610" t="str">
            <v>NON-HS</v>
          </cell>
          <cell r="F610" t="str">
            <v>Stevenson Ranch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2.2140221402214E-2</v>
          </cell>
          <cell r="O610">
            <v>0</v>
          </cell>
          <cell r="P610">
            <v>0.30627306273062699</v>
          </cell>
        </row>
        <row r="611">
          <cell r="A611">
            <v>920032</v>
          </cell>
          <cell r="B611">
            <v>2</v>
          </cell>
          <cell r="C611">
            <v>0</v>
          </cell>
          <cell r="D611">
            <v>5</v>
          </cell>
          <cell r="E611" t="str">
            <v>NON-HS</v>
          </cell>
          <cell r="F611" t="str">
            <v>Santa Clarita</v>
          </cell>
          <cell r="G611">
            <v>0</v>
          </cell>
          <cell r="H611">
            <v>0</v>
          </cell>
          <cell r="I611">
            <v>10.888</v>
          </cell>
          <cell r="J611">
            <v>10.189868969999999</v>
          </cell>
          <cell r="K611">
            <v>10.189868969999999</v>
          </cell>
          <cell r="L611">
            <v>0.69732654326750498</v>
          </cell>
          <cell r="M611">
            <v>10.8871955132675</v>
          </cell>
          <cell r="N611">
            <v>2.2140221402214E-2</v>
          </cell>
          <cell r="O611">
            <v>0</v>
          </cell>
          <cell r="P611">
            <v>0.30627306273062699</v>
          </cell>
        </row>
        <row r="612">
          <cell r="A612">
            <v>460600</v>
          </cell>
          <cell r="B612">
            <v>2</v>
          </cell>
          <cell r="C612">
            <v>0</v>
          </cell>
          <cell r="D612">
            <v>5</v>
          </cell>
          <cell r="E612" t="str">
            <v>NON-HS</v>
          </cell>
          <cell r="F612" t="str">
            <v>La Cañada Flintridge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2.2140221402214E-2</v>
          </cell>
          <cell r="O612">
            <v>0</v>
          </cell>
          <cell r="P612">
            <v>0.30627306273062699</v>
          </cell>
        </row>
        <row r="613">
          <cell r="A613">
            <v>920011</v>
          </cell>
          <cell r="B613">
            <v>2</v>
          </cell>
          <cell r="C613">
            <v>0</v>
          </cell>
          <cell r="D613">
            <v>5</v>
          </cell>
          <cell r="E613" t="str">
            <v>NON-HS</v>
          </cell>
          <cell r="F613" t="str">
            <v>Agua Dulce</v>
          </cell>
          <cell r="G613">
            <v>0</v>
          </cell>
          <cell r="H613">
            <v>0</v>
          </cell>
          <cell r="I613">
            <v>1.9259999999999999</v>
          </cell>
          <cell r="J613">
            <v>1.90487994</v>
          </cell>
          <cell r="K613">
            <v>1.90487994</v>
          </cell>
          <cell r="L613">
            <v>2.0625322082585301E-2</v>
          </cell>
          <cell r="M613">
            <v>1.9255052620825901</v>
          </cell>
          <cell r="N613">
            <v>2.2140221402214E-2</v>
          </cell>
          <cell r="O613">
            <v>0</v>
          </cell>
          <cell r="P613">
            <v>0.30627306273062699</v>
          </cell>
        </row>
        <row r="614">
          <cell r="A614">
            <v>800326</v>
          </cell>
          <cell r="B614">
            <v>2</v>
          </cell>
          <cell r="C614">
            <v>0</v>
          </cell>
          <cell r="D614">
            <v>3</v>
          </cell>
          <cell r="E614" t="str">
            <v>NON-HS</v>
          </cell>
          <cell r="F614" t="str">
            <v>Westlake Village</v>
          </cell>
          <cell r="G614">
            <v>0</v>
          </cell>
          <cell r="H614">
            <v>0</v>
          </cell>
          <cell r="I614">
            <v>3.5910000000000002</v>
          </cell>
          <cell r="J614">
            <v>1.43919657</v>
          </cell>
          <cell r="K614">
            <v>3.43919657</v>
          </cell>
          <cell r="L614">
            <v>0.15145200614003601</v>
          </cell>
          <cell r="M614">
            <v>3.59064857614004</v>
          </cell>
          <cell r="N614">
            <v>2.2140221402214E-2</v>
          </cell>
          <cell r="O614">
            <v>0</v>
          </cell>
          <cell r="P614">
            <v>0.30627306273062699</v>
          </cell>
        </row>
        <row r="615">
          <cell r="A615">
            <v>920114</v>
          </cell>
          <cell r="B615">
            <v>2</v>
          </cell>
          <cell r="C615">
            <v>0</v>
          </cell>
          <cell r="D615">
            <v>5</v>
          </cell>
          <cell r="E615" t="str">
            <v>NON-HS</v>
          </cell>
          <cell r="F615" t="str">
            <v>Santa Clarita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2.2140221402214E-2</v>
          </cell>
          <cell r="O615">
            <v>0</v>
          </cell>
          <cell r="P615">
            <v>0.30627306273062699</v>
          </cell>
        </row>
        <row r="616">
          <cell r="A616">
            <v>320100</v>
          </cell>
          <cell r="B616">
            <v>2</v>
          </cell>
          <cell r="C616">
            <v>0</v>
          </cell>
          <cell r="D616">
            <v>3</v>
          </cell>
          <cell r="E616" t="str">
            <v>NON-HS</v>
          </cell>
          <cell r="F616" t="str">
            <v>San Fernando</v>
          </cell>
          <cell r="G616">
            <v>0</v>
          </cell>
          <cell r="H616">
            <v>0</v>
          </cell>
          <cell r="I616">
            <v>5.19</v>
          </cell>
          <cell r="J616">
            <v>3.9673993200000002</v>
          </cell>
          <cell r="K616">
            <v>4.9673993200000002</v>
          </cell>
          <cell r="L616">
            <v>0.22234520276481101</v>
          </cell>
          <cell r="M616">
            <v>5.1897445227648102</v>
          </cell>
          <cell r="N616">
            <v>2.2140221402214E-2</v>
          </cell>
          <cell r="O616">
            <v>0</v>
          </cell>
          <cell r="P616">
            <v>0.30627306273062699</v>
          </cell>
        </row>
        <row r="617">
          <cell r="A617">
            <v>920038</v>
          </cell>
          <cell r="B617">
            <v>2</v>
          </cell>
          <cell r="C617">
            <v>0</v>
          </cell>
          <cell r="D617">
            <v>5</v>
          </cell>
          <cell r="E617" t="str">
            <v>NON-HS</v>
          </cell>
          <cell r="F617" t="str">
            <v>Santa Clarita</v>
          </cell>
          <cell r="G617">
            <v>0</v>
          </cell>
          <cell r="H617">
            <v>0</v>
          </cell>
          <cell r="I617">
            <v>1.591</v>
          </cell>
          <cell r="J617">
            <v>1.43919657</v>
          </cell>
          <cell r="K617">
            <v>1.43919657</v>
          </cell>
          <cell r="L617">
            <v>0.15145200614003601</v>
          </cell>
          <cell r="M617">
            <v>1.59064857614004</v>
          </cell>
          <cell r="N617">
            <v>2.2140221402214E-2</v>
          </cell>
          <cell r="O617">
            <v>0</v>
          </cell>
          <cell r="P617">
            <v>0.30627306273062699</v>
          </cell>
        </row>
        <row r="618">
          <cell r="A618">
            <v>310300</v>
          </cell>
          <cell r="B618">
            <v>2</v>
          </cell>
          <cell r="C618">
            <v>0</v>
          </cell>
          <cell r="D618">
            <v>5</v>
          </cell>
          <cell r="E618" t="str">
            <v>NON-HS</v>
          </cell>
          <cell r="F618" t="str">
            <v>Burbank</v>
          </cell>
          <cell r="G618">
            <v>0</v>
          </cell>
          <cell r="H618">
            <v>0</v>
          </cell>
          <cell r="I618">
            <v>1</v>
          </cell>
          <cell r="J618">
            <v>0</v>
          </cell>
          <cell r="K618">
            <v>1</v>
          </cell>
          <cell r="L618">
            <v>0</v>
          </cell>
          <cell r="M618">
            <v>1</v>
          </cell>
          <cell r="N618">
            <v>2.2140221402214E-2</v>
          </cell>
          <cell r="O618">
            <v>0</v>
          </cell>
          <cell r="P618">
            <v>0.30627306273062699</v>
          </cell>
        </row>
        <row r="619">
          <cell r="A619">
            <v>910807</v>
          </cell>
          <cell r="B619">
            <v>2</v>
          </cell>
          <cell r="C619">
            <v>0</v>
          </cell>
          <cell r="D619">
            <v>5</v>
          </cell>
          <cell r="E619" t="str">
            <v>NON-HS</v>
          </cell>
          <cell r="F619" t="str">
            <v>Santa Clarita</v>
          </cell>
          <cell r="G619">
            <v>0</v>
          </cell>
          <cell r="H619">
            <v>0</v>
          </cell>
          <cell r="I619">
            <v>3.399</v>
          </cell>
          <cell r="J619">
            <v>3.1723287400000002</v>
          </cell>
          <cell r="K619">
            <v>3.1723287400000002</v>
          </cell>
          <cell r="L619">
            <v>0.22643751642728899</v>
          </cell>
          <cell r="M619">
            <v>3.3987662564272898</v>
          </cell>
          <cell r="N619">
            <v>2.2140221402214E-2</v>
          </cell>
          <cell r="O619">
            <v>0</v>
          </cell>
          <cell r="P619">
            <v>0.30627306273062699</v>
          </cell>
        </row>
        <row r="620">
          <cell r="A620">
            <v>920322</v>
          </cell>
          <cell r="B620">
            <v>2</v>
          </cell>
          <cell r="C620">
            <v>0</v>
          </cell>
          <cell r="D620">
            <v>5</v>
          </cell>
          <cell r="E620" t="str">
            <v>NON-HS</v>
          </cell>
          <cell r="F620" t="str">
            <v>Santa Clarita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2.2140221402214E-2</v>
          </cell>
          <cell r="O620">
            <v>0</v>
          </cell>
          <cell r="P620">
            <v>0.30627306273062699</v>
          </cell>
        </row>
        <row r="621">
          <cell r="A621">
            <v>920118</v>
          </cell>
          <cell r="B621">
            <v>2</v>
          </cell>
          <cell r="C621">
            <v>0</v>
          </cell>
          <cell r="D621">
            <v>5</v>
          </cell>
          <cell r="E621" t="str">
            <v>NON-HS</v>
          </cell>
          <cell r="F621" t="str">
            <v>Agua Dulce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2.2140221402214E-2</v>
          </cell>
          <cell r="O621">
            <v>0</v>
          </cell>
          <cell r="P621">
            <v>0.30627306273062699</v>
          </cell>
        </row>
        <row r="622">
          <cell r="A622">
            <v>920015</v>
          </cell>
          <cell r="B622">
            <v>2</v>
          </cell>
          <cell r="C622">
            <v>0</v>
          </cell>
          <cell r="D622">
            <v>5</v>
          </cell>
          <cell r="E622" t="str">
            <v>NON-HS</v>
          </cell>
          <cell r="F622" t="str">
            <v>Santa Clarita</v>
          </cell>
          <cell r="G622">
            <v>0</v>
          </cell>
          <cell r="H622">
            <v>0</v>
          </cell>
          <cell r="I622">
            <v>7.2569999999999997</v>
          </cell>
          <cell r="J622">
            <v>7.1723431199999998</v>
          </cell>
          <cell r="K622">
            <v>7.1723431199999998</v>
          </cell>
          <cell r="L622">
            <v>8.4234507684021506E-2</v>
          </cell>
          <cell r="M622">
            <v>7.2565776276840204</v>
          </cell>
          <cell r="N622">
            <v>2.2140221402214E-2</v>
          </cell>
          <cell r="O622">
            <v>0</v>
          </cell>
          <cell r="P622">
            <v>0.30627306273062699</v>
          </cell>
        </row>
        <row r="623">
          <cell r="A623">
            <v>310601</v>
          </cell>
          <cell r="B623">
            <v>2</v>
          </cell>
          <cell r="C623">
            <v>0</v>
          </cell>
          <cell r="D623">
            <v>5</v>
          </cell>
          <cell r="E623" t="str">
            <v>NON-HS</v>
          </cell>
          <cell r="F623" t="str">
            <v>Burbank</v>
          </cell>
          <cell r="G623">
            <v>0</v>
          </cell>
          <cell r="H623">
            <v>0</v>
          </cell>
          <cell r="I623">
            <v>5.734</v>
          </cell>
          <cell r="J623">
            <v>3.63801211</v>
          </cell>
          <cell r="K623">
            <v>5.63801211</v>
          </cell>
          <cell r="L623">
            <v>9.5610832369838403E-2</v>
          </cell>
          <cell r="M623">
            <v>5.7336229423698404</v>
          </cell>
          <cell r="N623">
            <v>2.2140221402214E-2</v>
          </cell>
          <cell r="O623">
            <v>0</v>
          </cell>
          <cell r="P623">
            <v>0.30627306273062699</v>
          </cell>
        </row>
        <row r="624">
          <cell r="A624">
            <v>920044</v>
          </cell>
          <cell r="B624">
            <v>2</v>
          </cell>
          <cell r="C624">
            <v>0</v>
          </cell>
          <cell r="D624">
            <v>5</v>
          </cell>
          <cell r="E624" t="str">
            <v>NON-HS</v>
          </cell>
          <cell r="F624" t="str">
            <v>Santa Clarita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2.2140221402214E-2</v>
          </cell>
          <cell r="O624">
            <v>0</v>
          </cell>
          <cell r="P624">
            <v>0.30627306273062699</v>
          </cell>
        </row>
        <row r="625">
          <cell r="A625">
            <v>920328</v>
          </cell>
          <cell r="B625">
            <v>2</v>
          </cell>
          <cell r="C625">
            <v>0</v>
          </cell>
          <cell r="D625">
            <v>5</v>
          </cell>
          <cell r="E625" t="str">
            <v>NON-HS</v>
          </cell>
          <cell r="F625" t="str">
            <v>Santa Clarita</v>
          </cell>
          <cell r="G625">
            <v>0</v>
          </cell>
          <cell r="H625">
            <v>0</v>
          </cell>
          <cell r="I625">
            <v>2.0950000000000002</v>
          </cell>
          <cell r="J625">
            <v>1.9836996600000001</v>
          </cell>
          <cell r="K625">
            <v>1.9836996600000001</v>
          </cell>
          <cell r="L625">
            <v>0.11117260138240601</v>
          </cell>
          <cell r="M625">
            <v>2.09487226138241</v>
          </cell>
          <cell r="N625">
            <v>2.2140221402214E-2</v>
          </cell>
          <cell r="O625">
            <v>0</v>
          </cell>
          <cell r="P625">
            <v>0.30627306273062699</v>
          </cell>
        </row>
        <row r="626">
          <cell r="A626">
            <v>920338</v>
          </cell>
          <cell r="B626">
            <v>2</v>
          </cell>
          <cell r="C626">
            <v>0</v>
          </cell>
          <cell r="D626">
            <v>5</v>
          </cell>
          <cell r="E626" t="str">
            <v>NON-HS</v>
          </cell>
          <cell r="F626" t="str">
            <v>Stevenson Ranch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2.2140221402214E-2</v>
          </cell>
          <cell r="O626">
            <v>0</v>
          </cell>
          <cell r="P626">
            <v>0.30627306273062699</v>
          </cell>
        </row>
        <row r="627">
          <cell r="A627">
            <v>920339</v>
          </cell>
          <cell r="B627">
            <v>2</v>
          </cell>
          <cell r="C627">
            <v>0</v>
          </cell>
          <cell r="D627">
            <v>5</v>
          </cell>
          <cell r="E627" t="str">
            <v>NON-HS</v>
          </cell>
          <cell r="F627" t="str">
            <v>Stevenson Ranch</v>
          </cell>
          <cell r="G627">
            <v>0</v>
          </cell>
          <cell r="H627">
            <v>0</v>
          </cell>
          <cell r="I627">
            <v>1.591</v>
          </cell>
          <cell r="J627">
            <v>1.43919657</v>
          </cell>
          <cell r="K627">
            <v>1.43919657</v>
          </cell>
          <cell r="L627">
            <v>0.15145200614003601</v>
          </cell>
          <cell r="M627">
            <v>1.59064857614004</v>
          </cell>
          <cell r="N627">
            <v>2.2140221402214E-2</v>
          </cell>
          <cell r="O627">
            <v>0</v>
          </cell>
          <cell r="P627">
            <v>0.30627306273062699</v>
          </cell>
        </row>
        <row r="628">
          <cell r="A628">
            <v>800204</v>
          </cell>
          <cell r="B628">
            <v>2</v>
          </cell>
          <cell r="C628">
            <v>0</v>
          </cell>
          <cell r="D628">
            <v>3</v>
          </cell>
          <cell r="E628" t="str">
            <v>NON-HS</v>
          </cell>
          <cell r="F628" t="str">
            <v>Calabasas and Hidden Hills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2.2140221402214E-2</v>
          </cell>
          <cell r="O628">
            <v>0</v>
          </cell>
          <cell r="P628">
            <v>0.30627306273062699</v>
          </cell>
        </row>
        <row r="629">
          <cell r="A629">
            <v>311300</v>
          </cell>
          <cell r="B629">
            <v>2</v>
          </cell>
          <cell r="C629">
            <v>0</v>
          </cell>
          <cell r="D629">
            <v>5</v>
          </cell>
          <cell r="E629" t="str">
            <v>NON-HS</v>
          </cell>
          <cell r="F629" t="str">
            <v>Burbank</v>
          </cell>
          <cell r="G629">
            <v>0</v>
          </cell>
          <cell r="H629">
            <v>0</v>
          </cell>
          <cell r="I629">
            <v>4.0949999999999998</v>
          </cell>
          <cell r="J629">
            <v>1.9836996600000001</v>
          </cell>
          <cell r="K629">
            <v>3.9836996600000001</v>
          </cell>
          <cell r="L629">
            <v>0.11117260138240601</v>
          </cell>
          <cell r="M629">
            <v>4.0948722613824096</v>
          </cell>
          <cell r="N629">
            <v>2.2140221402214E-2</v>
          </cell>
          <cell r="O629">
            <v>0</v>
          </cell>
          <cell r="P629">
            <v>0.30627306273062699</v>
          </cell>
        </row>
        <row r="630">
          <cell r="A630">
            <v>800101</v>
          </cell>
          <cell r="B630">
            <v>2</v>
          </cell>
          <cell r="C630">
            <v>0</v>
          </cell>
          <cell r="D630">
            <v>3</v>
          </cell>
          <cell r="E630" t="str">
            <v>NON-HS</v>
          </cell>
          <cell r="F630" t="str">
            <v>Calabasas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2.2140221402214E-2</v>
          </cell>
          <cell r="O630">
            <v>0</v>
          </cell>
          <cell r="P630">
            <v>0.30627306273062699</v>
          </cell>
        </row>
        <row r="631">
          <cell r="A631">
            <v>910808</v>
          </cell>
          <cell r="B631">
            <v>2</v>
          </cell>
          <cell r="C631">
            <v>0</v>
          </cell>
          <cell r="D631">
            <v>5</v>
          </cell>
          <cell r="E631" t="str">
            <v>NON-HS</v>
          </cell>
          <cell r="F631" t="str">
            <v>Canyon Country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2.2140221402214E-2</v>
          </cell>
          <cell r="O631">
            <v>0</v>
          </cell>
          <cell r="P631">
            <v>0.30627306273062699</v>
          </cell>
        </row>
        <row r="632">
          <cell r="A632">
            <v>920018</v>
          </cell>
          <cell r="B632">
            <v>2</v>
          </cell>
          <cell r="C632">
            <v>0</v>
          </cell>
          <cell r="D632">
            <v>5</v>
          </cell>
          <cell r="E632" t="str">
            <v>NON-HS</v>
          </cell>
          <cell r="F632" t="str">
            <v>Santa Clarita</v>
          </cell>
          <cell r="G632">
            <v>0</v>
          </cell>
          <cell r="H632">
            <v>0</v>
          </cell>
          <cell r="I632">
            <v>1.591</v>
          </cell>
          <cell r="J632">
            <v>1.43919657</v>
          </cell>
          <cell r="K632">
            <v>1.43919657</v>
          </cell>
          <cell r="L632">
            <v>0.15145200614003601</v>
          </cell>
          <cell r="M632">
            <v>1.59064857614004</v>
          </cell>
          <cell r="N632">
            <v>2.2140221402214E-2</v>
          </cell>
          <cell r="O632">
            <v>0</v>
          </cell>
          <cell r="P632">
            <v>0.30627306273062699</v>
          </cell>
        </row>
        <row r="633">
          <cell r="A633">
            <v>311500</v>
          </cell>
          <cell r="B633">
            <v>2</v>
          </cell>
          <cell r="C633">
            <v>0</v>
          </cell>
          <cell r="D633">
            <v>5</v>
          </cell>
          <cell r="E633" t="str">
            <v>NON-HS</v>
          </cell>
          <cell r="F633" t="str">
            <v>Burbank</v>
          </cell>
          <cell r="G633">
            <v>0</v>
          </cell>
          <cell r="H633">
            <v>0</v>
          </cell>
          <cell r="I633">
            <v>4.399</v>
          </cell>
          <cell r="J633">
            <v>3.1723287400000002</v>
          </cell>
          <cell r="K633">
            <v>4.1723287400000002</v>
          </cell>
          <cell r="L633">
            <v>0.22643751642728899</v>
          </cell>
          <cell r="M633">
            <v>4.3987662564272902</v>
          </cell>
          <cell r="N633">
            <v>2.2140221402214E-2</v>
          </cell>
          <cell r="O633">
            <v>0</v>
          </cell>
          <cell r="P633">
            <v>0.30627306273062699</v>
          </cell>
        </row>
        <row r="634">
          <cell r="A634">
            <v>920026</v>
          </cell>
          <cell r="B634">
            <v>2</v>
          </cell>
          <cell r="C634">
            <v>0</v>
          </cell>
          <cell r="D634">
            <v>5</v>
          </cell>
          <cell r="E634" t="str">
            <v>NON-HS</v>
          </cell>
          <cell r="F634" t="str">
            <v>Canyon Country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2.2140221402214E-2</v>
          </cell>
          <cell r="O634">
            <v>0</v>
          </cell>
          <cell r="P634">
            <v>0.30627306273062699</v>
          </cell>
        </row>
        <row r="635">
          <cell r="A635">
            <v>920330</v>
          </cell>
          <cell r="B635">
            <v>2</v>
          </cell>
          <cell r="C635">
            <v>0</v>
          </cell>
          <cell r="D635">
            <v>5</v>
          </cell>
          <cell r="E635" t="str">
            <v>NON-HS</v>
          </cell>
          <cell r="F635" t="str">
            <v>Santa Clarita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2.2140221402214E-2</v>
          </cell>
          <cell r="O635">
            <v>0</v>
          </cell>
          <cell r="P635">
            <v>0.30627306273062699</v>
          </cell>
        </row>
        <row r="636">
          <cell r="A636">
            <v>800324</v>
          </cell>
          <cell r="B636">
            <v>2</v>
          </cell>
          <cell r="C636">
            <v>0</v>
          </cell>
          <cell r="D636">
            <v>3</v>
          </cell>
          <cell r="E636" t="str">
            <v>NON-HS</v>
          </cell>
          <cell r="F636" t="str">
            <v>Agoura Hills</v>
          </cell>
          <cell r="G636">
            <v>0</v>
          </cell>
          <cell r="H636">
            <v>0</v>
          </cell>
          <cell r="I636">
            <v>4.181</v>
          </cell>
          <cell r="J636">
            <v>2.87839314</v>
          </cell>
          <cell r="K636">
            <v>3.87839314</v>
          </cell>
          <cell r="L636">
            <v>0.30290401228007202</v>
          </cell>
          <cell r="M636">
            <v>4.1812971522800702</v>
          </cell>
          <cell r="N636">
            <v>2.2140221402214E-2</v>
          </cell>
          <cell r="O636">
            <v>0</v>
          </cell>
          <cell r="P636">
            <v>0.30627306273062699</v>
          </cell>
        </row>
        <row r="637">
          <cell r="A637">
            <v>800327</v>
          </cell>
          <cell r="B637">
            <v>2</v>
          </cell>
          <cell r="C637">
            <v>0</v>
          </cell>
          <cell r="D637">
            <v>3</v>
          </cell>
          <cell r="E637" t="str">
            <v>NON-HS</v>
          </cell>
          <cell r="F637" t="str">
            <v>Agoura Hills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2.2140221402214E-2</v>
          </cell>
          <cell r="O637">
            <v>0</v>
          </cell>
          <cell r="P637">
            <v>0.30627306273062699</v>
          </cell>
        </row>
        <row r="638">
          <cell r="A638">
            <v>920313</v>
          </cell>
          <cell r="B638">
            <v>2</v>
          </cell>
          <cell r="C638">
            <v>0</v>
          </cell>
          <cell r="D638">
            <v>5</v>
          </cell>
          <cell r="E638" t="str">
            <v>NON-HS</v>
          </cell>
          <cell r="F638" t="str">
            <v>Santa Clarita</v>
          </cell>
          <cell r="G638">
            <v>0</v>
          </cell>
          <cell r="H638">
            <v>0</v>
          </cell>
          <cell r="I638">
            <v>3.6859999999999999</v>
          </cell>
          <cell r="J638">
            <v>3.4228962300000001</v>
          </cell>
          <cell r="K638">
            <v>3.4228962300000001</v>
          </cell>
          <cell r="L638">
            <v>0.26262460752244199</v>
          </cell>
          <cell r="M638">
            <v>3.6855208375224402</v>
          </cell>
          <cell r="N638">
            <v>2.2140221402214E-2</v>
          </cell>
          <cell r="O638">
            <v>0</v>
          </cell>
          <cell r="P638">
            <v>0.30627306273062699</v>
          </cell>
        </row>
        <row r="639">
          <cell r="A639">
            <v>920303</v>
          </cell>
          <cell r="B639">
            <v>2</v>
          </cell>
          <cell r="C639">
            <v>0</v>
          </cell>
          <cell r="D639">
            <v>5</v>
          </cell>
          <cell r="E639" t="str">
            <v>NON-HS</v>
          </cell>
          <cell r="F639" t="str">
            <v>Santa Susana Mountains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2.2140221402214E-2</v>
          </cell>
          <cell r="O639">
            <v>0</v>
          </cell>
          <cell r="P639">
            <v>0.30627306273062699</v>
          </cell>
        </row>
        <row r="640">
          <cell r="A640">
            <v>320201</v>
          </cell>
          <cell r="B640">
            <v>2</v>
          </cell>
          <cell r="C640">
            <v>0</v>
          </cell>
          <cell r="D640">
            <v>3</v>
          </cell>
          <cell r="E640" t="str">
            <v>NON-HS</v>
          </cell>
          <cell r="F640" t="str">
            <v>San Fernando</v>
          </cell>
          <cell r="G640">
            <v>0</v>
          </cell>
          <cell r="H640">
            <v>0</v>
          </cell>
          <cell r="I640">
            <v>9.1790000000000003</v>
          </cell>
          <cell r="J640">
            <v>8.5789246299999995</v>
          </cell>
          <cell r="K640">
            <v>8.5789246299999995</v>
          </cell>
          <cell r="L640">
            <v>0.60023472533213695</v>
          </cell>
          <cell r="M640">
            <v>9.1791593553321391</v>
          </cell>
          <cell r="N640">
            <v>2.2140221402214E-2</v>
          </cell>
          <cell r="O640">
            <v>0</v>
          </cell>
          <cell r="P640">
            <v>0.30627306273062699</v>
          </cell>
        </row>
        <row r="641">
          <cell r="A641">
            <v>800325</v>
          </cell>
          <cell r="B641">
            <v>2</v>
          </cell>
          <cell r="C641">
            <v>0</v>
          </cell>
          <cell r="D641">
            <v>3</v>
          </cell>
          <cell r="E641" t="str">
            <v>NON-HS</v>
          </cell>
          <cell r="F641" t="str">
            <v>Westlake Village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2.2140221402214E-2</v>
          </cell>
          <cell r="O641">
            <v>0</v>
          </cell>
          <cell r="P641">
            <v>0.30627306273062699</v>
          </cell>
        </row>
        <row r="642">
          <cell r="A642">
            <v>800203</v>
          </cell>
          <cell r="B642">
            <v>2</v>
          </cell>
          <cell r="C642">
            <v>0</v>
          </cell>
          <cell r="D642">
            <v>3</v>
          </cell>
          <cell r="E642" t="str">
            <v>NON-HS</v>
          </cell>
          <cell r="F642" t="str">
            <v>Calabasas and Hidden Hills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2.2140221402214E-2</v>
          </cell>
          <cell r="O642">
            <v>0</v>
          </cell>
          <cell r="P642">
            <v>0.30627306273062699</v>
          </cell>
        </row>
        <row r="643">
          <cell r="A643">
            <v>920041</v>
          </cell>
          <cell r="B643">
            <v>2</v>
          </cell>
          <cell r="C643">
            <v>0</v>
          </cell>
          <cell r="D643">
            <v>5</v>
          </cell>
          <cell r="E643" t="str">
            <v>NON-HS</v>
          </cell>
          <cell r="F643" t="str">
            <v>Santa Clarita</v>
          </cell>
          <cell r="G643">
            <v>0</v>
          </cell>
          <cell r="H643">
            <v>0</v>
          </cell>
          <cell r="I643">
            <v>2.0950000000000002</v>
          </cell>
          <cell r="J643">
            <v>1.9836996600000001</v>
          </cell>
          <cell r="K643">
            <v>1.9836996600000001</v>
          </cell>
          <cell r="L643">
            <v>0.11117260138240601</v>
          </cell>
          <cell r="M643">
            <v>2.09487226138241</v>
          </cell>
          <cell r="N643">
            <v>2.2140221402214E-2</v>
          </cell>
          <cell r="O643">
            <v>0</v>
          </cell>
          <cell r="P643">
            <v>0.30627306273062699</v>
          </cell>
        </row>
        <row r="644">
          <cell r="A644">
            <v>311100</v>
          </cell>
          <cell r="B644">
            <v>2</v>
          </cell>
          <cell r="C644">
            <v>0</v>
          </cell>
          <cell r="D644">
            <v>5</v>
          </cell>
          <cell r="E644" t="str">
            <v>NON-HS</v>
          </cell>
          <cell r="F644" t="str">
            <v>Burbank</v>
          </cell>
          <cell r="G644">
            <v>0</v>
          </cell>
          <cell r="H644">
            <v>0</v>
          </cell>
          <cell r="I644">
            <v>7.0839999999999996</v>
          </cell>
          <cell r="J644">
            <v>6.5952249700000003</v>
          </cell>
          <cell r="K644">
            <v>6.5952249700000003</v>
          </cell>
          <cell r="L644">
            <v>0.48906212394973098</v>
          </cell>
          <cell r="M644">
            <v>7.0842870939497304</v>
          </cell>
          <cell r="N644">
            <v>2.2140221402214E-2</v>
          </cell>
          <cell r="O644">
            <v>0</v>
          </cell>
          <cell r="P644">
            <v>0.30627306273062699</v>
          </cell>
        </row>
        <row r="645">
          <cell r="A645">
            <v>300502</v>
          </cell>
          <cell r="B645">
            <v>2</v>
          </cell>
          <cell r="C645">
            <v>0</v>
          </cell>
          <cell r="D645">
            <v>5</v>
          </cell>
          <cell r="E645" t="str">
            <v>NON-HS</v>
          </cell>
          <cell r="F645" t="str">
            <v>La Crescenta-Montrose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2.2140221402214E-2</v>
          </cell>
          <cell r="O645">
            <v>0</v>
          </cell>
          <cell r="P645">
            <v>0.30627306273062699</v>
          </cell>
        </row>
        <row r="646">
          <cell r="A646">
            <v>920016</v>
          </cell>
          <cell r="B646">
            <v>2</v>
          </cell>
          <cell r="C646">
            <v>0</v>
          </cell>
          <cell r="D646">
            <v>5</v>
          </cell>
          <cell r="E646" t="str">
            <v>NON-HS</v>
          </cell>
          <cell r="F646" t="str">
            <v>Santa Clarita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2.2140221402214E-2</v>
          </cell>
          <cell r="O646">
            <v>0</v>
          </cell>
          <cell r="P646">
            <v>0.30627306273062699</v>
          </cell>
        </row>
        <row r="647">
          <cell r="A647">
            <v>920030</v>
          </cell>
          <cell r="B647">
            <v>2</v>
          </cell>
          <cell r="C647">
            <v>0</v>
          </cell>
          <cell r="D647">
            <v>5</v>
          </cell>
          <cell r="E647" t="str">
            <v>NON-HS</v>
          </cell>
          <cell r="F647" t="str">
            <v>Santa Clarita</v>
          </cell>
          <cell r="G647">
            <v>0</v>
          </cell>
          <cell r="H647">
            <v>0</v>
          </cell>
          <cell r="I647">
            <v>6.2759999999999998</v>
          </cell>
          <cell r="J647">
            <v>4.8620928000000001</v>
          </cell>
          <cell r="K647">
            <v>5.8620928000000001</v>
          </cell>
          <cell r="L647">
            <v>0.414076613662478</v>
          </cell>
          <cell r="M647">
            <v>6.2761694136624797</v>
          </cell>
          <cell r="N647">
            <v>2.2140221402214E-2</v>
          </cell>
          <cell r="O647">
            <v>0</v>
          </cell>
          <cell r="P647">
            <v>0.30627306273062699</v>
          </cell>
        </row>
        <row r="648">
          <cell r="A648">
            <v>310202</v>
          </cell>
          <cell r="B648">
            <v>2</v>
          </cell>
          <cell r="C648">
            <v>0</v>
          </cell>
          <cell r="D648">
            <v>5</v>
          </cell>
          <cell r="E648" t="str">
            <v>NON-HS</v>
          </cell>
          <cell r="F648" t="str">
            <v>Burbank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2.2140221402214E-2</v>
          </cell>
          <cell r="O648">
            <v>0</v>
          </cell>
          <cell r="P648">
            <v>0.30627306273062699</v>
          </cell>
        </row>
        <row r="649">
          <cell r="A649">
            <v>310100</v>
          </cell>
          <cell r="B649">
            <v>2</v>
          </cell>
          <cell r="C649">
            <v>0</v>
          </cell>
          <cell r="D649">
            <v>5</v>
          </cell>
          <cell r="E649" t="str">
            <v>NON-HS</v>
          </cell>
          <cell r="F649" t="str">
            <v>Burbank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2.2140221402214E-2</v>
          </cell>
          <cell r="O649">
            <v>0</v>
          </cell>
          <cell r="P649">
            <v>0.30627306273062699</v>
          </cell>
        </row>
        <row r="650">
          <cell r="A650">
            <v>920107</v>
          </cell>
          <cell r="B650">
            <v>2</v>
          </cell>
          <cell r="C650">
            <v>0</v>
          </cell>
          <cell r="D650">
            <v>5</v>
          </cell>
          <cell r="E650" t="str">
            <v>NON-HS</v>
          </cell>
          <cell r="F650" t="str">
            <v>Santa Clarita</v>
          </cell>
          <cell r="G650">
            <v>0</v>
          </cell>
          <cell r="H650">
            <v>0</v>
          </cell>
          <cell r="I650">
            <v>5.4939999999999998</v>
          </cell>
          <cell r="J650">
            <v>5.1560284000000003</v>
          </cell>
          <cell r="K650">
            <v>5.1560284000000003</v>
          </cell>
          <cell r="L650">
            <v>0.33761011780969502</v>
          </cell>
          <cell r="M650">
            <v>5.4936385178096998</v>
          </cell>
          <cell r="N650">
            <v>2.2140221402214E-2</v>
          </cell>
          <cell r="O650">
            <v>0</v>
          </cell>
          <cell r="P650">
            <v>0.30627306273062699</v>
          </cell>
        </row>
        <row r="651">
          <cell r="A651">
            <v>300200</v>
          </cell>
          <cell r="B651">
            <v>2</v>
          </cell>
          <cell r="C651">
            <v>0</v>
          </cell>
          <cell r="D651">
            <v>5</v>
          </cell>
          <cell r="E651" t="str">
            <v>NON-HS</v>
          </cell>
          <cell r="F651" t="str">
            <v>La Crescenta-Montrose</v>
          </cell>
          <cell r="G651">
            <v>0</v>
          </cell>
          <cell r="H651">
            <v>0</v>
          </cell>
          <cell r="I651">
            <v>2.0950000000000002</v>
          </cell>
          <cell r="J651">
            <v>1.9836996600000001</v>
          </cell>
          <cell r="K651">
            <v>1.9836996600000001</v>
          </cell>
          <cell r="L651">
            <v>0.11117260138240601</v>
          </cell>
          <cell r="M651">
            <v>2.09487226138241</v>
          </cell>
          <cell r="N651">
            <v>2.2140221402214E-2</v>
          </cell>
          <cell r="O651">
            <v>0</v>
          </cell>
          <cell r="P651">
            <v>0.30627306273062699</v>
          </cell>
        </row>
        <row r="652">
          <cell r="A652">
            <v>311600</v>
          </cell>
          <cell r="B652">
            <v>2</v>
          </cell>
          <cell r="C652">
            <v>0</v>
          </cell>
          <cell r="D652">
            <v>5</v>
          </cell>
          <cell r="E652" t="str">
            <v>NON-HS</v>
          </cell>
          <cell r="F652" t="str">
            <v>Burbank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2.2140221402214E-2</v>
          </cell>
          <cell r="O652">
            <v>0</v>
          </cell>
          <cell r="P652">
            <v>0.30627306273062699</v>
          </cell>
        </row>
        <row r="653">
          <cell r="A653">
            <v>920043</v>
          </cell>
          <cell r="B653">
            <v>2</v>
          </cell>
          <cell r="C653">
            <v>0</v>
          </cell>
          <cell r="D653">
            <v>5</v>
          </cell>
          <cell r="E653" t="str">
            <v>NON-HS</v>
          </cell>
          <cell r="F653" t="str">
            <v>Santa Clarita</v>
          </cell>
          <cell r="G653">
            <v>0</v>
          </cell>
          <cell r="H653">
            <v>0</v>
          </cell>
          <cell r="I653">
            <v>4.9889999999999999</v>
          </cell>
          <cell r="J653">
            <v>4.6115253100000002</v>
          </cell>
          <cell r="K653">
            <v>4.6115253100000002</v>
          </cell>
          <cell r="L653">
            <v>0.377889522567325</v>
          </cell>
          <cell r="M653">
            <v>4.9894148325673298</v>
          </cell>
          <cell r="N653">
            <v>2.2140221402214E-2</v>
          </cell>
          <cell r="O653">
            <v>0</v>
          </cell>
          <cell r="P653">
            <v>0.30627306273062699</v>
          </cell>
        </row>
        <row r="654">
          <cell r="A654">
            <v>920109</v>
          </cell>
          <cell r="B654">
            <v>2</v>
          </cell>
          <cell r="C654">
            <v>0</v>
          </cell>
          <cell r="D654">
            <v>5</v>
          </cell>
          <cell r="E654" t="str">
            <v>NON-HS</v>
          </cell>
          <cell r="F654" t="str">
            <v>Santa Clarita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2.2140221402214E-2</v>
          </cell>
          <cell r="O654">
            <v>0</v>
          </cell>
          <cell r="P654">
            <v>0.30627306273062699</v>
          </cell>
        </row>
        <row r="655">
          <cell r="A655">
            <v>920034</v>
          </cell>
          <cell r="B655">
            <v>2</v>
          </cell>
          <cell r="C655">
            <v>0</v>
          </cell>
          <cell r="D655">
            <v>5</v>
          </cell>
          <cell r="E655" t="str">
            <v>NON-HS</v>
          </cell>
          <cell r="F655" t="str">
            <v>Santa Clarita</v>
          </cell>
          <cell r="G655">
            <v>0</v>
          </cell>
          <cell r="H655">
            <v>0</v>
          </cell>
          <cell r="I655">
            <v>1.591</v>
          </cell>
          <cell r="J655">
            <v>1.43919657</v>
          </cell>
          <cell r="K655">
            <v>1.43919657</v>
          </cell>
          <cell r="L655">
            <v>0.15145200614003601</v>
          </cell>
          <cell r="M655">
            <v>1.59064857614004</v>
          </cell>
          <cell r="N655">
            <v>2.2140221402214E-2</v>
          </cell>
          <cell r="O655">
            <v>0</v>
          </cell>
          <cell r="P655">
            <v>0.30627306273062699</v>
          </cell>
        </row>
        <row r="656">
          <cell r="A656">
            <v>980001</v>
          </cell>
          <cell r="B656">
            <v>2</v>
          </cell>
          <cell r="C656">
            <v>0</v>
          </cell>
          <cell r="D656">
            <v>5</v>
          </cell>
          <cell r="E656" t="str">
            <v>NON-HS</v>
          </cell>
          <cell r="F656" t="str">
            <v>Burbank</v>
          </cell>
          <cell r="G656">
            <v>0</v>
          </cell>
          <cell r="H656">
            <v>0</v>
          </cell>
          <cell r="I656">
            <v>1.591</v>
          </cell>
          <cell r="J656">
            <v>1.43919657</v>
          </cell>
          <cell r="K656">
            <v>1.43919657</v>
          </cell>
          <cell r="L656">
            <v>0.15145200614003601</v>
          </cell>
          <cell r="M656">
            <v>1.59064857614004</v>
          </cell>
          <cell r="N656">
            <v>2.2140221402214E-2</v>
          </cell>
          <cell r="O656">
            <v>0</v>
          </cell>
          <cell r="P656">
            <v>0.30627306273062699</v>
          </cell>
        </row>
        <row r="657">
          <cell r="A657">
            <v>920106</v>
          </cell>
          <cell r="B657">
            <v>2</v>
          </cell>
          <cell r="C657">
            <v>0</v>
          </cell>
          <cell r="D657">
            <v>5</v>
          </cell>
          <cell r="E657" t="str">
            <v>NON-HS</v>
          </cell>
          <cell r="F657" t="str">
            <v>Agua Dulce</v>
          </cell>
          <cell r="G657">
            <v>0</v>
          </cell>
          <cell r="H657">
            <v>0</v>
          </cell>
          <cell r="I657">
            <v>5.6120000000000001</v>
          </cell>
          <cell r="J657">
            <v>5.3277761699999999</v>
          </cell>
          <cell r="K657">
            <v>5.3277761699999999</v>
          </cell>
          <cell r="L657">
            <v>0.28324992960502698</v>
          </cell>
          <cell r="M657">
            <v>5.6110260996050298</v>
          </cell>
          <cell r="N657">
            <v>2.2140221402214E-2</v>
          </cell>
          <cell r="O657">
            <v>0</v>
          </cell>
          <cell r="P657">
            <v>0.30627306273062699</v>
          </cell>
        </row>
        <row r="658">
          <cell r="A658">
            <v>920332</v>
          </cell>
          <cell r="B658">
            <v>2</v>
          </cell>
          <cell r="C658">
            <v>0</v>
          </cell>
          <cell r="D658">
            <v>5</v>
          </cell>
          <cell r="E658" t="str">
            <v>NON-HS</v>
          </cell>
          <cell r="F658" t="str">
            <v>Santa Clarita</v>
          </cell>
          <cell r="G658">
            <v>0</v>
          </cell>
          <cell r="H658">
            <v>0</v>
          </cell>
          <cell r="I658">
            <v>2.0950000000000002</v>
          </cell>
          <cell r="J658">
            <v>1.9836996600000001</v>
          </cell>
          <cell r="K658">
            <v>1.9836996600000001</v>
          </cell>
          <cell r="L658">
            <v>0.11117260138240601</v>
          </cell>
          <cell r="M658">
            <v>2.09487226138241</v>
          </cell>
          <cell r="N658">
            <v>2.2140221402214E-2</v>
          </cell>
          <cell r="O658">
            <v>0</v>
          </cell>
          <cell r="P658">
            <v>0.30627306273062699</v>
          </cell>
        </row>
        <row r="659">
          <cell r="A659">
            <v>920312</v>
          </cell>
          <cell r="B659">
            <v>2</v>
          </cell>
          <cell r="C659">
            <v>0</v>
          </cell>
          <cell r="D659">
            <v>5</v>
          </cell>
          <cell r="E659" t="str">
            <v>NON-HS</v>
          </cell>
          <cell r="F659" t="str">
            <v>Santa Clarita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2.2140221402214E-2</v>
          </cell>
          <cell r="O659">
            <v>0</v>
          </cell>
          <cell r="P659">
            <v>0.30627306273062699</v>
          </cell>
        </row>
        <row r="660">
          <cell r="A660">
            <v>460501</v>
          </cell>
          <cell r="B660">
            <v>2</v>
          </cell>
          <cell r="C660">
            <v>0</v>
          </cell>
          <cell r="D660">
            <v>5</v>
          </cell>
          <cell r="E660" t="str">
            <v>NON-HS</v>
          </cell>
          <cell r="F660" t="str">
            <v>La Cañada Flintridge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2.2140221402214E-2</v>
          </cell>
          <cell r="O660">
            <v>0</v>
          </cell>
          <cell r="P660">
            <v>0.30627306273062699</v>
          </cell>
        </row>
        <row r="661">
          <cell r="A661">
            <v>401901</v>
          </cell>
          <cell r="B661">
            <v>3</v>
          </cell>
          <cell r="C661">
            <v>0</v>
          </cell>
          <cell r="D661">
            <v>1</v>
          </cell>
          <cell r="E661" t="str">
            <v>NON-HS</v>
          </cell>
          <cell r="F661" t="str">
            <v>Claremont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3.09278350515464E-2</v>
          </cell>
          <cell r="O661">
            <v>0</v>
          </cell>
          <cell r="P661">
            <v>1</v>
          </cell>
        </row>
        <row r="662">
          <cell r="A662">
            <v>481711</v>
          </cell>
          <cell r="B662">
            <v>3</v>
          </cell>
          <cell r="C662">
            <v>0</v>
          </cell>
          <cell r="D662">
            <v>1</v>
          </cell>
          <cell r="E662" t="str">
            <v>NON-HS</v>
          </cell>
          <cell r="F662" t="str">
            <v>Monterey Park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3.09278350515464E-2</v>
          </cell>
          <cell r="O662">
            <v>0</v>
          </cell>
          <cell r="P662">
            <v>1</v>
          </cell>
        </row>
        <row r="663">
          <cell r="A663">
            <v>408624</v>
          </cell>
          <cell r="B663">
            <v>3</v>
          </cell>
          <cell r="C663">
            <v>0</v>
          </cell>
          <cell r="D663">
            <v>4</v>
          </cell>
          <cell r="E663" t="str">
            <v>NON-HS</v>
          </cell>
          <cell r="F663" t="str">
            <v>Hacienda Heights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3.09278350515464E-2</v>
          </cell>
          <cell r="O663">
            <v>0</v>
          </cell>
          <cell r="P663">
            <v>1</v>
          </cell>
        </row>
        <row r="664">
          <cell r="A664">
            <v>408139</v>
          </cell>
          <cell r="B664">
            <v>3</v>
          </cell>
          <cell r="C664">
            <v>0</v>
          </cell>
          <cell r="D664">
            <v>1</v>
          </cell>
          <cell r="E664" t="str">
            <v>NON-HS</v>
          </cell>
          <cell r="F664" t="str">
            <v>South San Jose Hills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3.09278350515464E-2</v>
          </cell>
          <cell r="O664">
            <v>0</v>
          </cell>
          <cell r="P664">
            <v>1</v>
          </cell>
        </row>
        <row r="665">
          <cell r="A665">
            <v>408303</v>
          </cell>
          <cell r="B665">
            <v>3</v>
          </cell>
          <cell r="C665">
            <v>0</v>
          </cell>
          <cell r="D665">
            <v>1</v>
          </cell>
          <cell r="E665" t="str">
            <v>NON-HS</v>
          </cell>
          <cell r="F665" t="str">
            <v>Avocado Heights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3.09278350515464E-2</v>
          </cell>
          <cell r="O665">
            <v>0</v>
          </cell>
          <cell r="P665">
            <v>1</v>
          </cell>
        </row>
        <row r="666">
          <cell r="A666">
            <v>408135</v>
          </cell>
          <cell r="B666">
            <v>3</v>
          </cell>
          <cell r="C666">
            <v>0</v>
          </cell>
          <cell r="D666">
            <v>1</v>
          </cell>
          <cell r="E666" t="str">
            <v>NON-HS</v>
          </cell>
          <cell r="F666" t="str">
            <v>West Covina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3.09278350515464E-2</v>
          </cell>
          <cell r="O666">
            <v>0</v>
          </cell>
          <cell r="P666">
            <v>1</v>
          </cell>
        </row>
        <row r="667">
          <cell r="A667">
            <v>408003</v>
          </cell>
          <cell r="B667">
            <v>3</v>
          </cell>
          <cell r="C667">
            <v>0</v>
          </cell>
          <cell r="D667">
            <v>1</v>
          </cell>
          <cell r="E667" t="str">
            <v>NON-HS</v>
          </cell>
          <cell r="F667" t="str">
            <v>West Covina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3.09278350515464E-2</v>
          </cell>
          <cell r="O667">
            <v>0</v>
          </cell>
          <cell r="P667">
            <v>1</v>
          </cell>
        </row>
        <row r="668">
          <cell r="A668">
            <v>406601</v>
          </cell>
          <cell r="B668">
            <v>3</v>
          </cell>
          <cell r="C668">
            <v>0</v>
          </cell>
          <cell r="D668">
            <v>1</v>
          </cell>
          <cell r="E668" t="str">
            <v>NON-HS</v>
          </cell>
          <cell r="F668" t="str">
            <v>West Covina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3.09278350515464E-2</v>
          </cell>
          <cell r="O668">
            <v>0</v>
          </cell>
          <cell r="P668">
            <v>1</v>
          </cell>
        </row>
        <row r="669">
          <cell r="A669">
            <v>404903</v>
          </cell>
          <cell r="B669">
            <v>3</v>
          </cell>
          <cell r="C669">
            <v>0</v>
          </cell>
          <cell r="D669">
            <v>1</v>
          </cell>
          <cell r="E669" t="str">
            <v>NON-HS</v>
          </cell>
          <cell r="F669" t="str">
            <v>Baldwin Park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3.09278350515464E-2</v>
          </cell>
          <cell r="O669">
            <v>0</v>
          </cell>
          <cell r="P669">
            <v>1</v>
          </cell>
        </row>
        <row r="670">
          <cell r="A670">
            <v>404902</v>
          </cell>
          <cell r="B670">
            <v>3</v>
          </cell>
          <cell r="C670">
            <v>0</v>
          </cell>
          <cell r="D670">
            <v>1</v>
          </cell>
          <cell r="E670" t="str">
            <v>NON-HS</v>
          </cell>
          <cell r="F670" t="str">
            <v>Baldwin Park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3.09278350515464E-2</v>
          </cell>
          <cell r="O670">
            <v>0</v>
          </cell>
          <cell r="P670">
            <v>1</v>
          </cell>
        </row>
        <row r="671">
          <cell r="A671">
            <v>406402</v>
          </cell>
          <cell r="B671">
            <v>3</v>
          </cell>
          <cell r="C671">
            <v>0</v>
          </cell>
          <cell r="D671">
            <v>1</v>
          </cell>
          <cell r="E671" t="str">
            <v>NON-HS</v>
          </cell>
          <cell r="F671" t="str">
            <v>West Covina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3.09278350515464E-2</v>
          </cell>
          <cell r="O671">
            <v>0</v>
          </cell>
          <cell r="P671">
            <v>1</v>
          </cell>
        </row>
        <row r="672">
          <cell r="A672">
            <v>400304</v>
          </cell>
          <cell r="B672">
            <v>3</v>
          </cell>
          <cell r="C672">
            <v>0</v>
          </cell>
          <cell r="D672">
            <v>5</v>
          </cell>
          <cell r="E672" t="str">
            <v>NON-HS</v>
          </cell>
          <cell r="F672" t="str">
            <v>San Dimas</v>
          </cell>
          <cell r="G672">
            <v>0</v>
          </cell>
          <cell r="H672">
            <v>0</v>
          </cell>
          <cell r="I672">
            <v>1</v>
          </cell>
          <cell r="J672">
            <v>0</v>
          </cell>
          <cell r="K672">
            <v>1</v>
          </cell>
          <cell r="L672">
            <v>0</v>
          </cell>
          <cell r="M672">
            <v>1</v>
          </cell>
          <cell r="N672">
            <v>3.09278350515464E-2</v>
          </cell>
          <cell r="O672">
            <v>0</v>
          </cell>
          <cell r="P672">
            <v>1</v>
          </cell>
        </row>
        <row r="673">
          <cell r="A673">
            <v>401312</v>
          </cell>
          <cell r="B673">
            <v>3</v>
          </cell>
          <cell r="C673">
            <v>0</v>
          </cell>
          <cell r="D673">
            <v>5</v>
          </cell>
          <cell r="E673" t="str">
            <v>NON-HS</v>
          </cell>
          <cell r="F673" t="str">
            <v>San Dimas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3.09278350515464E-2</v>
          </cell>
          <cell r="O673">
            <v>0</v>
          </cell>
          <cell r="P673">
            <v>1</v>
          </cell>
        </row>
        <row r="674">
          <cell r="A674">
            <v>400402</v>
          </cell>
          <cell r="B674">
            <v>3</v>
          </cell>
          <cell r="C674">
            <v>0</v>
          </cell>
          <cell r="D674">
            <v>5</v>
          </cell>
          <cell r="E674" t="str">
            <v>NON-HS</v>
          </cell>
          <cell r="F674" t="str">
            <v>Glendora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3.09278350515464E-2</v>
          </cell>
          <cell r="O674">
            <v>0</v>
          </cell>
          <cell r="P674">
            <v>1</v>
          </cell>
        </row>
        <row r="675">
          <cell r="A675">
            <v>403901</v>
          </cell>
          <cell r="B675">
            <v>3</v>
          </cell>
          <cell r="C675">
            <v>0</v>
          </cell>
          <cell r="D675">
            <v>5</v>
          </cell>
          <cell r="E675" t="str">
            <v>NON-HS</v>
          </cell>
          <cell r="F675" t="str">
            <v>Glendora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3.09278350515464E-2</v>
          </cell>
          <cell r="O675">
            <v>0</v>
          </cell>
          <cell r="P675">
            <v>1</v>
          </cell>
        </row>
        <row r="676">
          <cell r="A676">
            <v>400403</v>
          </cell>
          <cell r="B676">
            <v>3</v>
          </cell>
          <cell r="C676">
            <v>0</v>
          </cell>
          <cell r="D676">
            <v>5</v>
          </cell>
          <cell r="E676" t="str">
            <v>NON-HS</v>
          </cell>
          <cell r="F676" t="str">
            <v>San Dimas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3.09278350515464E-2</v>
          </cell>
          <cell r="O676">
            <v>0</v>
          </cell>
          <cell r="P676">
            <v>1</v>
          </cell>
        </row>
        <row r="677">
          <cell r="A677">
            <v>401001</v>
          </cell>
          <cell r="B677">
            <v>3</v>
          </cell>
          <cell r="C677">
            <v>0</v>
          </cell>
          <cell r="D677">
            <v>5</v>
          </cell>
          <cell r="E677" t="str">
            <v>NON-HS</v>
          </cell>
          <cell r="F677" t="str">
            <v>Glendora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3.09278350515464E-2</v>
          </cell>
          <cell r="O677">
            <v>0</v>
          </cell>
          <cell r="P677">
            <v>1</v>
          </cell>
        </row>
        <row r="678">
          <cell r="A678">
            <v>404901</v>
          </cell>
          <cell r="B678">
            <v>3</v>
          </cell>
          <cell r="C678">
            <v>0</v>
          </cell>
          <cell r="D678">
            <v>1</v>
          </cell>
          <cell r="E678" t="str">
            <v>NON-HS</v>
          </cell>
          <cell r="F678" t="str">
            <v>Baldwin Park</v>
          </cell>
          <cell r="G678">
            <v>1</v>
          </cell>
          <cell r="H678">
            <v>1</v>
          </cell>
          <cell r="I678">
            <v>3.0950000000000002</v>
          </cell>
          <cell r="J678">
            <v>1.9836996600000001</v>
          </cell>
          <cell r="K678">
            <v>2.9836996600000001</v>
          </cell>
          <cell r="L678">
            <v>0.11117260138240601</v>
          </cell>
          <cell r="M678">
            <v>3.09487226138241</v>
          </cell>
          <cell r="N678">
            <v>3.09278350515464E-2</v>
          </cell>
          <cell r="O678">
            <v>32.3333333333333</v>
          </cell>
          <cell r="P678">
            <v>1</v>
          </cell>
        </row>
        <row r="679">
          <cell r="A679">
            <v>408138</v>
          </cell>
          <cell r="B679">
            <v>3</v>
          </cell>
          <cell r="C679">
            <v>0</v>
          </cell>
          <cell r="D679">
            <v>1</v>
          </cell>
          <cell r="E679" t="str">
            <v>NON-HS</v>
          </cell>
          <cell r="F679" t="str">
            <v>South San Jose Hills</v>
          </cell>
          <cell r="G679">
            <v>0</v>
          </cell>
          <cell r="H679">
            <v>0</v>
          </cell>
          <cell r="I679">
            <v>3.903</v>
          </cell>
          <cell r="J679">
            <v>3.7168318299999998</v>
          </cell>
          <cell r="K679">
            <v>3.7168318299999998</v>
          </cell>
          <cell r="L679">
            <v>0.18615811166965901</v>
          </cell>
          <cell r="M679">
            <v>3.9029899416696598</v>
          </cell>
          <cell r="N679">
            <v>3.09278350515464E-2</v>
          </cell>
          <cell r="O679">
            <v>0</v>
          </cell>
          <cell r="P679">
            <v>1</v>
          </cell>
        </row>
        <row r="680">
          <cell r="A680">
            <v>401002</v>
          </cell>
          <cell r="B680">
            <v>3</v>
          </cell>
          <cell r="C680">
            <v>0</v>
          </cell>
          <cell r="D680">
            <v>5</v>
          </cell>
          <cell r="E680" t="str">
            <v>NON-HS</v>
          </cell>
          <cell r="F680" t="str">
            <v>Glendora</v>
          </cell>
          <cell r="G680">
            <v>0</v>
          </cell>
          <cell r="H680">
            <v>0</v>
          </cell>
          <cell r="I680">
            <v>1</v>
          </cell>
          <cell r="J680">
            <v>0</v>
          </cell>
          <cell r="K680">
            <v>1</v>
          </cell>
          <cell r="L680">
            <v>0</v>
          </cell>
          <cell r="M680">
            <v>1</v>
          </cell>
          <cell r="N680">
            <v>3.09278350515464E-2</v>
          </cell>
          <cell r="O680">
            <v>0</v>
          </cell>
          <cell r="P680">
            <v>1</v>
          </cell>
        </row>
        <row r="681">
          <cell r="A681">
            <v>401203</v>
          </cell>
          <cell r="B681">
            <v>3</v>
          </cell>
          <cell r="C681">
            <v>0</v>
          </cell>
          <cell r="D681">
            <v>5</v>
          </cell>
          <cell r="E681" t="str">
            <v>NON-HS</v>
          </cell>
          <cell r="F681" t="str">
            <v>Glendora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3.09278350515464E-2</v>
          </cell>
          <cell r="O681">
            <v>0</v>
          </cell>
          <cell r="P681">
            <v>1</v>
          </cell>
        </row>
        <row r="682">
          <cell r="A682">
            <v>408005</v>
          </cell>
          <cell r="B682">
            <v>3</v>
          </cell>
          <cell r="C682">
            <v>0</v>
          </cell>
          <cell r="D682">
            <v>1</v>
          </cell>
          <cell r="E682" t="str">
            <v>NON-HS</v>
          </cell>
          <cell r="F682" t="str">
            <v>West Covina</v>
          </cell>
          <cell r="G682">
            <v>0</v>
          </cell>
          <cell r="H682">
            <v>0</v>
          </cell>
          <cell r="I682">
            <v>3.6859999999999999</v>
          </cell>
          <cell r="J682">
            <v>3.4228962300000001</v>
          </cell>
          <cell r="K682">
            <v>3.4228962300000001</v>
          </cell>
          <cell r="L682">
            <v>0.26262460752244199</v>
          </cell>
          <cell r="M682">
            <v>3.6855208375224402</v>
          </cell>
          <cell r="N682">
            <v>3.09278350515464E-2</v>
          </cell>
          <cell r="O682">
            <v>0</v>
          </cell>
          <cell r="P682">
            <v>1</v>
          </cell>
        </row>
        <row r="683">
          <cell r="A683">
            <v>401201</v>
          </cell>
          <cell r="B683">
            <v>3</v>
          </cell>
          <cell r="C683">
            <v>0</v>
          </cell>
          <cell r="D683">
            <v>5</v>
          </cell>
          <cell r="E683" t="str">
            <v>NON-HS</v>
          </cell>
          <cell r="F683" t="str">
            <v>Glendora</v>
          </cell>
          <cell r="G683">
            <v>0</v>
          </cell>
          <cell r="H683">
            <v>0</v>
          </cell>
          <cell r="I683">
            <v>1</v>
          </cell>
          <cell r="J683">
            <v>0</v>
          </cell>
          <cell r="K683">
            <v>1</v>
          </cell>
          <cell r="L683">
            <v>0</v>
          </cell>
          <cell r="M683">
            <v>1</v>
          </cell>
          <cell r="N683">
            <v>3.09278350515464E-2</v>
          </cell>
          <cell r="O683">
            <v>0</v>
          </cell>
          <cell r="P683">
            <v>1</v>
          </cell>
        </row>
        <row r="684">
          <cell r="A684">
            <v>403321</v>
          </cell>
          <cell r="B684">
            <v>3</v>
          </cell>
          <cell r="C684">
            <v>0</v>
          </cell>
          <cell r="D684">
            <v>4</v>
          </cell>
          <cell r="E684" t="str">
            <v>NON-HS</v>
          </cell>
          <cell r="F684" t="str">
            <v>Diamond Bar</v>
          </cell>
          <cell r="G684">
            <v>0</v>
          </cell>
          <cell r="H684">
            <v>0</v>
          </cell>
          <cell r="I684">
            <v>2</v>
          </cell>
          <cell r="J684">
            <v>0</v>
          </cell>
          <cell r="K684">
            <v>2</v>
          </cell>
          <cell r="L684">
            <v>0</v>
          </cell>
          <cell r="M684">
            <v>2</v>
          </cell>
          <cell r="N684">
            <v>3.09278350515464E-2</v>
          </cell>
          <cell r="O684">
            <v>0</v>
          </cell>
          <cell r="P684">
            <v>1</v>
          </cell>
        </row>
        <row r="685">
          <cell r="A685">
            <v>402405</v>
          </cell>
          <cell r="B685">
            <v>3</v>
          </cell>
          <cell r="C685">
            <v>0</v>
          </cell>
          <cell r="D685">
            <v>1</v>
          </cell>
          <cell r="E685" t="str">
            <v>NON-HS</v>
          </cell>
          <cell r="F685" t="str">
            <v>Pomona</v>
          </cell>
          <cell r="G685">
            <v>0</v>
          </cell>
          <cell r="H685">
            <v>0</v>
          </cell>
          <cell r="I685">
            <v>1.9259999999999999</v>
          </cell>
          <cell r="J685">
            <v>1.90487994</v>
          </cell>
          <cell r="K685">
            <v>1.90487994</v>
          </cell>
          <cell r="L685">
            <v>2.0625322082585301E-2</v>
          </cell>
          <cell r="M685">
            <v>1.9255052620825901</v>
          </cell>
          <cell r="N685">
            <v>3.09278350515464E-2</v>
          </cell>
          <cell r="O685">
            <v>0</v>
          </cell>
          <cell r="P685">
            <v>1</v>
          </cell>
        </row>
        <row r="686">
          <cell r="A686">
            <v>401603</v>
          </cell>
          <cell r="B686">
            <v>3</v>
          </cell>
          <cell r="C686">
            <v>0</v>
          </cell>
          <cell r="D686">
            <v>5</v>
          </cell>
          <cell r="E686" t="str">
            <v>NON-HS</v>
          </cell>
          <cell r="F686" t="str">
            <v>La Verne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3.09278350515464E-2</v>
          </cell>
          <cell r="O686">
            <v>0</v>
          </cell>
          <cell r="P686">
            <v>1</v>
          </cell>
        </row>
        <row r="687">
          <cell r="A687">
            <v>482202</v>
          </cell>
          <cell r="B687">
            <v>3</v>
          </cell>
          <cell r="C687">
            <v>0</v>
          </cell>
          <cell r="D687">
            <v>1</v>
          </cell>
          <cell r="E687" t="str">
            <v>NON-HS</v>
          </cell>
          <cell r="F687" t="str">
            <v>Monterey Park</v>
          </cell>
          <cell r="G687">
            <v>0</v>
          </cell>
          <cell r="H687">
            <v>0</v>
          </cell>
          <cell r="I687">
            <v>1</v>
          </cell>
          <cell r="J687">
            <v>0</v>
          </cell>
          <cell r="K687">
            <v>1</v>
          </cell>
          <cell r="L687">
            <v>0</v>
          </cell>
          <cell r="M687">
            <v>1</v>
          </cell>
          <cell r="N687">
            <v>3.09278350515464E-2</v>
          </cell>
          <cell r="O687">
            <v>0</v>
          </cell>
          <cell r="P687">
            <v>1</v>
          </cell>
        </row>
        <row r="688">
          <cell r="A688">
            <v>482304</v>
          </cell>
          <cell r="B688">
            <v>3</v>
          </cell>
          <cell r="C688">
            <v>0</v>
          </cell>
          <cell r="D688">
            <v>1</v>
          </cell>
          <cell r="E688" t="str">
            <v>NON-HS</v>
          </cell>
          <cell r="F688" t="str">
            <v>Rosemead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3.09278350515464E-2</v>
          </cell>
          <cell r="O688">
            <v>0</v>
          </cell>
          <cell r="P688">
            <v>1</v>
          </cell>
        </row>
        <row r="689">
          <cell r="A689">
            <v>408629</v>
          </cell>
          <cell r="B689">
            <v>3</v>
          </cell>
          <cell r="C689">
            <v>0</v>
          </cell>
          <cell r="D689">
            <v>4</v>
          </cell>
          <cell r="E689" t="str">
            <v>NON-HS</v>
          </cell>
          <cell r="F689" t="str">
            <v>Hacienda Heights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3.09278350515464E-2</v>
          </cell>
          <cell r="O689">
            <v>0</v>
          </cell>
          <cell r="P689">
            <v>1</v>
          </cell>
        </row>
        <row r="690">
          <cell r="A690">
            <v>401303</v>
          </cell>
          <cell r="B690">
            <v>3</v>
          </cell>
          <cell r="C690">
            <v>0</v>
          </cell>
          <cell r="D690">
            <v>5</v>
          </cell>
          <cell r="E690" t="str">
            <v>NON-HS</v>
          </cell>
          <cell r="F690" t="str">
            <v>San Dimas</v>
          </cell>
          <cell r="G690">
            <v>0</v>
          </cell>
          <cell r="H690">
            <v>0</v>
          </cell>
          <cell r="I690">
            <v>2.0950000000000002</v>
          </cell>
          <cell r="J690">
            <v>1.9836996600000001</v>
          </cell>
          <cell r="K690">
            <v>1.9836996600000001</v>
          </cell>
          <cell r="L690">
            <v>0.11117260138240601</v>
          </cell>
          <cell r="M690">
            <v>2.09487226138241</v>
          </cell>
          <cell r="N690">
            <v>3.09278350515464E-2</v>
          </cell>
          <cell r="O690">
            <v>0</v>
          </cell>
          <cell r="P690">
            <v>1</v>
          </cell>
        </row>
        <row r="691">
          <cell r="A691">
            <v>480201</v>
          </cell>
          <cell r="B691">
            <v>3</v>
          </cell>
          <cell r="C691">
            <v>0</v>
          </cell>
          <cell r="D691">
            <v>5</v>
          </cell>
          <cell r="E691" t="str">
            <v>NON-HS</v>
          </cell>
          <cell r="F691" t="str">
            <v>San Gabriel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3.09278350515464E-2</v>
          </cell>
          <cell r="O691">
            <v>0</v>
          </cell>
          <cell r="P691">
            <v>1</v>
          </cell>
        </row>
        <row r="692">
          <cell r="A692">
            <v>401703</v>
          </cell>
          <cell r="B692">
            <v>3</v>
          </cell>
          <cell r="C692">
            <v>0</v>
          </cell>
          <cell r="D692">
            <v>1</v>
          </cell>
          <cell r="E692" t="str">
            <v>NON-HS</v>
          </cell>
          <cell r="F692" t="str">
            <v>Pomona</v>
          </cell>
          <cell r="G692">
            <v>0</v>
          </cell>
          <cell r="H692">
            <v>0</v>
          </cell>
          <cell r="I692">
            <v>5.6859999999999999</v>
          </cell>
          <cell r="J692">
            <v>3.4228962300000001</v>
          </cell>
          <cell r="K692">
            <v>5.4228962300000001</v>
          </cell>
          <cell r="L692">
            <v>0.26262460752244199</v>
          </cell>
          <cell r="M692">
            <v>5.6855208375224402</v>
          </cell>
          <cell r="N692">
            <v>3.09278350515464E-2</v>
          </cell>
          <cell r="O692">
            <v>0</v>
          </cell>
          <cell r="P692">
            <v>1</v>
          </cell>
        </row>
        <row r="693">
          <cell r="A693">
            <v>408141</v>
          </cell>
          <cell r="B693">
            <v>3</v>
          </cell>
          <cell r="C693">
            <v>0</v>
          </cell>
          <cell r="D693">
            <v>1</v>
          </cell>
          <cell r="E693" t="str">
            <v>NON-HS</v>
          </cell>
          <cell r="F693" t="str">
            <v>South San Jose Hills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3.09278350515464E-2</v>
          </cell>
          <cell r="O693">
            <v>0</v>
          </cell>
          <cell r="P693">
            <v>1</v>
          </cell>
        </row>
        <row r="694">
          <cell r="A694">
            <v>403305</v>
          </cell>
          <cell r="B694">
            <v>3</v>
          </cell>
          <cell r="C694">
            <v>0</v>
          </cell>
          <cell r="D694">
            <v>4</v>
          </cell>
          <cell r="E694" t="str">
            <v>NON-HS</v>
          </cell>
          <cell r="F694" t="str">
            <v>Diamond Bar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3.09278350515464E-2</v>
          </cell>
          <cell r="O694">
            <v>0</v>
          </cell>
          <cell r="P694">
            <v>1</v>
          </cell>
        </row>
        <row r="695">
          <cell r="A695">
            <v>402101</v>
          </cell>
          <cell r="B695">
            <v>3</v>
          </cell>
          <cell r="C695">
            <v>0</v>
          </cell>
          <cell r="D695">
            <v>1</v>
          </cell>
          <cell r="E695" t="str">
            <v>NON-HS</v>
          </cell>
          <cell r="F695" t="str">
            <v>Pomona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3.09278350515464E-2</v>
          </cell>
          <cell r="O695">
            <v>0</v>
          </cell>
          <cell r="P695">
            <v>1</v>
          </cell>
        </row>
        <row r="696">
          <cell r="A696">
            <v>401101</v>
          </cell>
          <cell r="B696">
            <v>3</v>
          </cell>
          <cell r="C696">
            <v>0</v>
          </cell>
          <cell r="D696">
            <v>5</v>
          </cell>
          <cell r="E696" t="str">
            <v>NON-HS</v>
          </cell>
          <cell r="F696" t="str">
            <v>Glendora</v>
          </cell>
          <cell r="G696">
            <v>0</v>
          </cell>
          <cell r="H696">
            <v>0</v>
          </cell>
          <cell r="I696">
            <v>1.9259999999999999</v>
          </cell>
          <cell r="J696">
            <v>1.90487994</v>
          </cell>
          <cell r="K696">
            <v>1.90487994</v>
          </cell>
          <cell r="L696">
            <v>2.0625322082585301E-2</v>
          </cell>
          <cell r="M696">
            <v>1.9255052620825901</v>
          </cell>
          <cell r="N696">
            <v>3.09278350515464E-2</v>
          </cell>
          <cell r="O696">
            <v>0</v>
          </cell>
          <cell r="P696">
            <v>1</v>
          </cell>
        </row>
        <row r="697">
          <cell r="A697">
            <v>400501</v>
          </cell>
          <cell r="B697">
            <v>3</v>
          </cell>
          <cell r="C697">
            <v>0</v>
          </cell>
          <cell r="D697">
            <v>5</v>
          </cell>
          <cell r="E697" t="str">
            <v>NON-HS</v>
          </cell>
          <cell r="F697" t="str">
            <v>Glendora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3.09278350515464E-2</v>
          </cell>
          <cell r="O697">
            <v>0</v>
          </cell>
          <cell r="P697">
            <v>1</v>
          </cell>
        </row>
        <row r="698">
          <cell r="A698">
            <v>403303</v>
          </cell>
          <cell r="B698">
            <v>3</v>
          </cell>
          <cell r="C698">
            <v>0</v>
          </cell>
          <cell r="D698">
            <v>4</v>
          </cell>
          <cell r="E698" t="str">
            <v>NON-HS</v>
          </cell>
          <cell r="F698" t="str">
            <v>Industry</v>
          </cell>
          <cell r="G698">
            <v>0</v>
          </cell>
          <cell r="H698">
            <v>0</v>
          </cell>
          <cell r="I698">
            <v>1.9259999999999999</v>
          </cell>
          <cell r="J698">
            <v>1.90487994</v>
          </cell>
          <cell r="K698">
            <v>1.90487994</v>
          </cell>
          <cell r="L698">
            <v>2.0625322082585301E-2</v>
          </cell>
          <cell r="M698">
            <v>1.9255052620825901</v>
          </cell>
          <cell r="N698">
            <v>3.09278350515464E-2</v>
          </cell>
          <cell r="O698">
            <v>0</v>
          </cell>
          <cell r="P698">
            <v>1</v>
          </cell>
        </row>
        <row r="699">
          <cell r="A699">
            <v>403404</v>
          </cell>
          <cell r="B699">
            <v>3</v>
          </cell>
          <cell r="C699">
            <v>0</v>
          </cell>
          <cell r="D699">
            <v>1</v>
          </cell>
          <cell r="E699" t="str">
            <v>NON-HS</v>
          </cell>
          <cell r="F699" t="str">
            <v>Walnut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3.09278350515464E-2</v>
          </cell>
          <cell r="O699">
            <v>0</v>
          </cell>
          <cell r="P699">
            <v>1</v>
          </cell>
        </row>
        <row r="700">
          <cell r="A700">
            <v>403320</v>
          </cell>
          <cell r="B700">
            <v>3</v>
          </cell>
          <cell r="C700">
            <v>0</v>
          </cell>
          <cell r="D700">
            <v>4</v>
          </cell>
          <cell r="E700" t="str">
            <v>NON-HS</v>
          </cell>
          <cell r="F700" t="str">
            <v>Diamond Bar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3.09278350515464E-2</v>
          </cell>
          <cell r="O700">
            <v>0</v>
          </cell>
          <cell r="P700">
            <v>1</v>
          </cell>
        </row>
        <row r="701">
          <cell r="A701">
            <v>403200</v>
          </cell>
          <cell r="B701">
            <v>3</v>
          </cell>
          <cell r="C701">
            <v>0</v>
          </cell>
          <cell r="D701">
            <v>1</v>
          </cell>
          <cell r="E701" t="str">
            <v>NON-HS</v>
          </cell>
          <cell r="F701" t="str">
            <v>Pomona</v>
          </cell>
          <cell r="G701">
            <v>0</v>
          </cell>
          <cell r="H701">
            <v>0</v>
          </cell>
          <cell r="I701">
            <v>3.0950000000000002</v>
          </cell>
          <cell r="J701">
            <v>1.9836996600000001</v>
          </cell>
          <cell r="K701">
            <v>2.9836996600000001</v>
          </cell>
          <cell r="L701">
            <v>0.11117260138240601</v>
          </cell>
          <cell r="M701">
            <v>3.09487226138241</v>
          </cell>
          <cell r="N701">
            <v>3.09278350515464E-2</v>
          </cell>
          <cell r="O701">
            <v>0</v>
          </cell>
          <cell r="P701">
            <v>1</v>
          </cell>
        </row>
        <row r="702">
          <cell r="A702">
            <v>402705</v>
          </cell>
          <cell r="B702">
            <v>3</v>
          </cell>
          <cell r="C702">
            <v>0</v>
          </cell>
          <cell r="D702">
            <v>1</v>
          </cell>
          <cell r="E702" t="str">
            <v>NON-HS</v>
          </cell>
          <cell r="F702" t="str">
            <v>Pomona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3.09278350515464E-2</v>
          </cell>
          <cell r="O702">
            <v>0</v>
          </cell>
          <cell r="P702">
            <v>1</v>
          </cell>
        </row>
        <row r="703">
          <cell r="A703">
            <v>402803</v>
          </cell>
          <cell r="B703">
            <v>3</v>
          </cell>
          <cell r="C703">
            <v>0</v>
          </cell>
          <cell r="D703">
            <v>1</v>
          </cell>
          <cell r="E703" t="str">
            <v>NON-HS</v>
          </cell>
          <cell r="F703" t="str">
            <v>Pomona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3.09278350515464E-2</v>
          </cell>
          <cell r="O703">
            <v>0</v>
          </cell>
          <cell r="P703">
            <v>1</v>
          </cell>
        </row>
        <row r="704">
          <cell r="A704">
            <v>408134</v>
          </cell>
          <cell r="B704">
            <v>3</v>
          </cell>
          <cell r="C704">
            <v>0</v>
          </cell>
          <cell r="D704">
            <v>1</v>
          </cell>
          <cell r="E704" t="str">
            <v>NON-HS</v>
          </cell>
          <cell r="F704" t="str">
            <v>West Covina</v>
          </cell>
          <cell r="G704">
            <v>0</v>
          </cell>
          <cell r="H704">
            <v>0</v>
          </cell>
          <cell r="I704">
            <v>1</v>
          </cell>
          <cell r="J704">
            <v>0</v>
          </cell>
          <cell r="K704">
            <v>1</v>
          </cell>
          <cell r="L704">
            <v>0</v>
          </cell>
          <cell r="M704">
            <v>1</v>
          </cell>
          <cell r="N704">
            <v>3.09278350515464E-2</v>
          </cell>
          <cell r="O704">
            <v>0</v>
          </cell>
          <cell r="P704">
            <v>1</v>
          </cell>
        </row>
        <row r="705">
          <cell r="A705">
            <v>405701</v>
          </cell>
          <cell r="B705">
            <v>3</v>
          </cell>
          <cell r="C705">
            <v>0</v>
          </cell>
          <cell r="D705">
            <v>5</v>
          </cell>
          <cell r="E705" t="str">
            <v>NON-HS</v>
          </cell>
          <cell r="F705" t="str">
            <v>Covina</v>
          </cell>
          <cell r="G705">
            <v>0</v>
          </cell>
          <cell r="H705">
            <v>0</v>
          </cell>
          <cell r="I705">
            <v>2.8079999999999998</v>
          </cell>
          <cell r="J705">
            <v>1.73313217</v>
          </cell>
          <cell r="K705">
            <v>2.7331321700000002</v>
          </cell>
          <cell r="L705">
            <v>7.4985510287253102E-2</v>
          </cell>
          <cell r="M705">
            <v>2.8081176802872498</v>
          </cell>
          <cell r="N705">
            <v>3.09278350515464E-2</v>
          </cell>
          <cell r="O705">
            <v>0</v>
          </cell>
          <cell r="P705">
            <v>1</v>
          </cell>
        </row>
        <row r="706">
          <cell r="A706">
            <v>434003</v>
          </cell>
          <cell r="B706">
            <v>3</v>
          </cell>
          <cell r="C706">
            <v>0</v>
          </cell>
          <cell r="D706">
            <v>1</v>
          </cell>
          <cell r="E706" t="str">
            <v>NON-HS</v>
          </cell>
          <cell r="F706" t="str">
            <v>El Monte</v>
          </cell>
          <cell r="G706">
            <v>0</v>
          </cell>
          <cell r="H706">
            <v>0</v>
          </cell>
          <cell r="I706">
            <v>2.5910000000000002</v>
          </cell>
          <cell r="J706">
            <v>1.43919657</v>
          </cell>
          <cell r="K706">
            <v>2.43919657</v>
          </cell>
          <cell r="L706">
            <v>0.15145200614003601</v>
          </cell>
          <cell r="M706">
            <v>2.59064857614004</v>
          </cell>
          <cell r="N706">
            <v>3.09278350515464E-2</v>
          </cell>
          <cell r="O706">
            <v>0</v>
          </cell>
          <cell r="P706">
            <v>1</v>
          </cell>
        </row>
        <row r="707">
          <cell r="A707">
            <v>406102</v>
          </cell>
          <cell r="B707">
            <v>3</v>
          </cell>
          <cell r="C707">
            <v>0</v>
          </cell>
          <cell r="D707">
            <v>5</v>
          </cell>
          <cell r="E707" t="str">
            <v>NON-HS</v>
          </cell>
          <cell r="F707" t="str">
            <v>Covina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3.09278350515464E-2</v>
          </cell>
          <cell r="O707">
            <v>0</v>
          </cell>
          <cell r="P707">
            <v>1</v>
          </cell>
        </row>
        <row r="708">
          <cell r="A708">
            <v>403325</v>
          </cell>
          <cell r="B708">
            <v>3</v>
          </cell>
          <cell r="C708">
            <v>0</v>
          </cell>
          <cell r="D708">
            <v>4</v>
          </cell>
          <cell r="E708" t="str">
            <v>NON-HS</v>
          </cell>
          <cell r="F708" t="str">
            <v>Diamond Bar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3.09278350515464E-2</v>
          </cell>
          <cell r="O708">
            <v>0</v>
          </cell>
          <cell r="P708">
            <v>1</v>
          </cell>
        </row>
        <row r="709">
          <cell r="A709">
            <v>403702</v>
          </cell>
          <cell r="B709">
            <v>3</v>
          </cell>
          <cell r="C709">
            <v>0</v>
          </cell>
          <cell r="D709">
            <v>5</v>
          </cell>
          <cell r="E709" t="str">
            <v>NON-HS</v>
          </cell>
          <cell r="F709" t="str">
            <v>Covina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3.09278350515464E-2</v>
          </cell>
          <cell r="O709">
            <v>0</v>
          </cell>
          <cell r="P709">
            <v>1</v>
          </cell>
        </row>
        <row r="710">
          <cell r="A710">
            <v>407301</v>
          </cell>
          <cell r="B710">
            <v>3</v>
          </cell>
          <cell r="C710">
            <v>0</v>
          </cell>
          <cell r="D710">
            <v>1</v>
          </cell>
          <cell r="E710" t="str">
            <v>NON-HS</v>
          </cell>
          <cell r="F710" t="str">
            <v>West Puente Valley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3.09278350515464E-2</v>
          </cell>
          <cell r="O710">
            <v>0</v>
          </cell>
          <cell r="P710">
            <v>1</v>
          </cell>
        </row>
        <row r="711">
          <cell r="A711">
            <v>407400</v>
          </cell>
          <cell r="B711">
            <v>3</v>
          </cell>
          <cell r="C711">
            <v>0</v>
          </cell>
          <cell r="D711">
            <v>1</v>
          </cell>
          <cell r="E711" t="str">
            <v>NON-HS</v>
          </cell>
          <cell r="F711" t="str">
            <v>West Covina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3.09278350515464E-2</v>
          </cell>
          <cell r="O711">
            <v>0</v>
          </cell>
          <cell r="P711">
            <v>1</v>
          </cell>
        </row>
        <row r="712">
          <cell r="A712">
            <v>403319</v>
          </cell>
          <cell r="B712">
            <v>3</v>
          </cell>
          <cell r="C712">
            <v>0</v>
          </cell>
          <cell r="D712">
            <v>4</v>
          </cell>
          <cell r="E712" t="str">
            <v>NON-HS</v>
          </cell>
          <cell r="F712" t="str">
            <v>Diamond Bar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3.09278350515464E-2</v>
          </cell>
          <cell r="O712">
            <v>0</v>
          </cell>
          <cell r="P712">
            <v>1</v>
          </cell>
        </row>
        <row r="713">
          <cell r="A713">
            <v>481001</v>
          </cell>
          <cell r="B713">
            <v>3</v>
          </cell>
          <cell r="C713">
            <v>0</v>
          </cell>
          <cell r="D713">
            <v>5</v>
          </cell>
          <cell r="E713" t="str">
            <v>NON-HS</v>
          </cell>
          <cell r="F713" t="str">
            <v>Alhambra</v>
          </cell>
          <cell r="G713">
            <v>0</v>
          </cell>
          <cell r="H713">
            <v>0</v>
          </cell>
          <cell r="I713">
            <v>4.851</v>
          </cell>
          <cell r="J713">
            <v>3.8097598800000001</v>
          </cell>
          <cell r="K713">
            <v>4.8097598799999997</v>
          </cell>
          <cell r="L713">
            <v>4.1250644165170602E-2</v>
          </cell>
          <cell r="M713">
            <v>4.8510105241651704</v>
          </cell>
          <cell r="N713">
            <v>3.09278350515464E-2</v>
          </cell>
          <cell r="O713">
            <v>0</v>
          </cell>
          <cell r="P713">
            <v>1</v>
          </cell>
        </row>
        <row r="714">
          <cell r="A714">
            <v>481300</v>
          </cell>
          <cell r="B714">
            <v>3</v>
          </cell>
          <cell r="C714">
            <v>0</v>
          </cell>
          <cell r="D714">
            <v>1</v>
          </cell>
          <cell r="E714" t="str">
            <v>NON-HS</v>
          </cell>
          <cell r="F714" t="str">
            <v>Rosemead</v>
          </cell>
          <cell r="G714">
            <v>0</v>
          </cell>
          <cell r="H714">
            <v>0</v>
          </cell>
          <cell r="I714">
            <v>1.591</v>
          </cell>
          <cell r="J714">
            <v>1.43919657</v>
          </cell>
          <cell r="K714">
            <v>1.43919657</v>
          </cell>
          <cell r="L714">
            <v>0.15145200614003601</v>
          </cell>
          <cell r="M714">
            <v>1.59064857614004</v>
          </cell>
          <cell r="N714">
            <v>3.09278350515464E-2</v>
          </cell>
          <cell r="O714">
            <v>0</v>
          </cell>
          <cell r="P714">
            <v>1</v>
          </cell>
        </row>
        <row r="715">
          <cell r="A715">
            <v>408004</v>
          </cell>
          <cell r="B715">
            <v>3</v>
          </cell>
          <cell r="C715">
            <v>0</v>
          </cell>
          <cell r="D715">
            <v>1</v>
          </cell>
          <cell r="E715" t="str">
            <v>NON-HS</v>
          </cell>
          <cell r="F715" t="str">
            <v>West Covina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3.09278350515464E-2</v>
          </cell>
          <cell r="O715">
            <v>0</v>
          </cell>
          <cell r="P715">
            <v>1</v>
          </cell>
        </row>
        <row r="716">
          <cell r="A716">
            <v>403402</v>
          </cell>
          <cell r="B716">
            <v>3</v>
          </cell>
          <cell r="C716">
            <v>0</v>
          </cell>
          <cell r="D716">
            <v>1</v>
          </cell>
          <cell r="E716" t="str">
            <v>NON-HS</v>
          </cell>
          <cell r="F716" t="str">
            <v>Walnut</v>
          </cell>
          <cell r="G716">
            <v>1</v>
          </cell>
          <cell r="H716">
            <v>1</v>
          </cell>
          <cell r="I716">
            <v>1</v>
          </cell>
          <cell r="J716">
            <v>0</v>
          </cell>
          <cell r="K716">
            <v>1</v>
          </cell>
          <cell r="L716">
            <v>0</v>
          </cell>
          <cell r="M716">
            <v>1</v>
          </cell>
          <cell r="N716">
            <v>3.09278350515464E-2</v>
          </cell>
          <cell r="O716">
            <v>32.3333333333333</v>
          </cell>
          <cell r="P716">
            <v>1</v>
          </cell>
        </row>
        <row r="717">
          <cell r="A717">
            <v>403322</v>
          </cell>
          <cell r="B717">
            <v>3</v>
          </cell>
          <cell r="C717">
            <v>0</v>
          </cell>
          <cell r="D717">
            <v>4</v>
          </cell>
          <cell r="E717" t="str">
            <v>NON-HS</v>
          </cell>
          <cell r="F717" t="str">
            <v>Diamond Bar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3.09278350515464E-2</v>
          </cell>
          <cell r="O717">
            <v>0</v>
          </cell>
          <cell r="P717">
            <v>1</v>
          </cell>
        </row>
        <row r="718">
          <cell r="A718">
            <v>403403</v>
          </cell>
          <cell r="B718">
            <v>3</v>
          </cell>
          <cell r="C718">
            <v>0</v>
          </cell>
          <cell r="D718">
            <v>1</v>
          </cell>
          <cell r="E718" t="str">
            <v>NON-HS</v>
          </cell>
          <cell r="F718" t="str">
            <v>Walnut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3.09278350515464E-2</v>
          </cell>
          <cell r="O718">
            <v>0</v>
          </cell>
          <cell r="P718">
            <v>1</v>
          </cell>
        </row>
        <row r="719">
          <cell r="A719">
            <v>405400</v>
          </cell>
          <cell r="B719">
            <v>3</v>
          </cell>
          <cell r="C719">
            <v>0</v>
          </cell>
          <cell r="D719">
            <v>1</v>
          </cell>
          <cell r="E719" t="str">
            <v>NON-HS</v>
          </cell>
          <cell r="F719" t="str">
            <v>Vincent</v>
          </cell>
          <cell r="G719">
            <v>0</v>
          </cell>
          <cell r="H719">
            <v>0</v>
          </cell>
          <cell r="I719">
            <v>4.0949999999999998</v>
          </cell>
          <cell r="J719">
            <v>1.9836996600000001</v>
          </cell>
          <cell r="K719">
            <v>3.9836996600000001</v>
          </cell>
          <cell r="L719">
            <v>0.11117260138240601</v>
          </cell>
          <cell r="M719">
            <v>4.0948722613824096</v>
          </cell>
          <cell r="N719">
            <v>3.09278350515464E-2</v>
          </cell>
          <cell r="O719">
            <v>0</v>
          </cell>
          <cell r="P719">
            <v>1</v>
          </cell>
        </row>
        <row r="720">
          <cell r="A720">
            <v>482101</v>
          </cell>
          <cell r="B720">
            <v>3</v>
          </cell>
          <cell r="C720">
            <v>0</v>
          </cell>
          <cell r="D720">
            <v>1</v>
          </cell>
          <cell r="E720" t="str">
            <v>NON-HS</v>
          </cell>
          <cell r="F720" t="str">
            <v>Monterey Park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3.09278350515464E-2</v>
          </cell>
          <cell r="O720">
            <v>0</v>
          </cell>
          <cell r="P720">
            <v>1</v>
          </cell>
        </row>
        <row r="721">
          <cell r="A721">
            <v>480101</v>
          </cell>
          <cell r="B721">
            <v>3</v>
          </cell>
          <cell r="C721">
            <v>0</v>
          </cell>
          <cell r="D721">
            <v>5</v>
          </cell>
          <cell r="E721" t="str">
            <v>NON-HS</v>
          </cell>
          <cell r="F721" t="str">
            <v>Temple City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3.09278350515464E-2</v>
          </cell>
          <cell r="O721">
            <v>0</v>
          </cell>
          <cell r="P721">
            <v>1</v>
          </cell>
        </row>
        <row r="722">
          <cell r="A722">
            <v>482102</v>
          </cell>
          <cell r="B722">
            <v>3</v>
          </cell>
          <cell r="C722">
            <v>0</v>
          </cell>
          <cell r="D722">
            <v>1</v>
          </cell>
          <cell r="E722" t="str">
            <v>NON-HS</v>
          </cell>
          <cell r="F722" t="str">
            <v>Monterey Park</v>
          </cell>
          <cell r="G722">
            <v>0</v>
          </cell>
          <cell r="H722">
            <v>0</v>
          </cell>
          <cell r="I722">
            <v>3.8079999999999998</v>
          </cell>
          <cell r="J722">
            <v>1.73313217</v>
          </cell>
          <cell r="K722">
            <v>3.7331321700000002</v>
          </cell>
          <cell r="L722">
            <v>7.4985510287253102E-2</v>
          </cell>
          <cell r="M722">
            <v>3.8081176802872498</v>
          </cell>
          <cell r="N722">
            <v>3.09278350515464E-2</v>
          </cell>
          <cell r="O722">
            <v>0</v>
          </cell>
          <cell r="P722">
            <v>1</v>
          </cell>
        </row>
        <row r="723">
          <cell r="A723">
            <v>480702</v>
          </cell>
          <cell r="B723">
            <v>3</v>
          </cell>
          <cell r="C723">
            <v>0</v>
          </cell>
          <cell r="D723">
            <v>5</v>
          </cell>
          <cell r="E723" t="str">
            <v>NON-HS</v>
          </cell>
          <cell r="F723" t="str">
            <v>South Pasadena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3.09278350515464E-2</v>
          </cell>
          <cell r="O723">
            <v>0</v>
          </cell>
          <cell r="P723">
            <v>1</v>
          </cell>
        </row>
        <row r="724">
          <cell r="A724">
            <v>403500</v>
          </cell>
          <cell r="B724">
            <v>3</v>
          </cell>
          <cell r="C724">
            <v>0</v>
          </cell>
          <cell r="D724">
            <v>5</v>
          </cell>
          <cell r="E724" t="str">
            <v>NON-HS</v>
          </cell>
          <cell r="F724" t="str">
            <v>Covina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3.09278350515464E-2</v>
          </cell>
          <cell r="O724">
            <v>0</v>
          </cell>
          <cell r="P724">
            <v>1</v>
          </cell>
        </row>
        <row r="725">
          <cell r="A725">
            <v>408503</v>
          </cell>
          <cell r="B725">
            <v>3</v>
          </cell>
          <cell r="C725">
            <v>0</v>
          </cell>
          <cell r="D725">
            <v>4</v>
          </cell>
          <cell r="E725" t="str">
            <v>NON-HS</v>
          </cell>
          <cell r="F725" t="str">
            <v>Hacienda Heights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3.09278350515464E-2</v>
          </cell>
          <cell r="O725">
            <v>0</v>
          </cell>
          <cell r="P725">
            <v>1</v>
          </cell>
        </row>
        <row r="726">
          <cell r="A726">
            <v>407702</v>
          </cell>
          <cell r="B726">
            <v>3</v>
          </cell>
          <cell r="C726">
            <v>0</v>
          </cell>
          <cell r="D726">
            <v>1</v>
          </cell>
          <cell r="E726" t="str">
            <v>NON-HS</v>
          </cell>
          <cell r="F726" t="str">
            <v>La Puente</v>
          </cell>
          <cell r="G726">
            <v>1</v>
          </cell>
          <cell r="H726">
            <v>1</v>
          </cell>
          <cell r="I726">
            <v>1</v>
          </cell>
          <cell r="J726">
            <v>0</v>
          </cell>
          <cell r="K726">
            <v>1</v>
          </cell>
          <cell r="L726">
            <v>0</v>
          </cell>
          <cell r="M726">
            <v>1</v>
          </cell>
          <cell r="N726">
            <v>3.09278350515464E-2</v>
          </cell>
          <cell r="O726">
            <v>32.3333333333333</v>
          </cell>
          <cell r="P726">
            <v>1</v>
          </cell>
        </row>
        <row r="727">
          <cell r="A727">
            <v>408706</v>
          </cell>
          <cell r="B727">
            <v>3</v>
          </cell>
          <cell r="C727">
            <v>0</v>
          </cell>
          <cell r="D727">
            <v>4</v>
          </cell>
          <cell r="E727" t="str">
            <v>NON-HS</v>
          </cell>
          <cell r="F727" t="str">
            <v>Rowland Heights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3.09278350515464E-2</v>
          </cell>
          <cell r="O727">
            <v>0</v>
          </cell>
          <cell r="P727">
            <v>1</v>
          </cell>
        </row>
        <row r="728">
          <cell r="A728">
            <v>430501</v>
          </cell>
          <cell r="B728">
            <v>3</v>
          </cell>
          <cell r="C728">
            <v>0</v>
          </cell>
          <cell r="D728">
            <v>5</v>
          </cell>
          <cell r="E728" t="str">
            <v>NON-HS</v>
          </cell>
          <cell r="F728" t="str">
            <v>Sierra Madre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3.09278350515464E-2</v>
          </cell>
          <cell r="O728">
            <v>0</v>
          </cell>
          <cell r="P728">
            <v>1</v>
          </cell>
        </row>
        <row r="729">
          <cell r="A729">
            <v>430302</v>
          </cell>
          <cell r="B729">
            <v>3</v>
          </cell>
          <cell r="C729">
            <v>0</v>
          </cell>
          <cell r="D729">
            <v>5</v>
          </cell>
          <cell r="E729" t="str">
            <v>NON-HS</v>
          </cell>
          <cell r="F729" t="str">
            <v>Monrovia</v>
          </cell>
          <cell r="G729">
            <v>0</v>
          </cell>
          <cell r="H729">
            <v>0</v>
          </cell>
          <cell r="I729">
            <v>1</v>
          </cell>
          <cell r="J729">
            <v>0</v>
          </cell>
          <cell r="K729">
            <v>1</v>
          </cell>
          <cell r="L729">
            <v>0</v>
          </cell>
          <cell r="M729">
            <v>1</v>
          </cell>
          <cell r="N729">
            <v>3.09278350515464E-2</v>
          </cell>
          <cell r="O729">
            <v>0</v>
          </cell>
          <cell r="P729">
            <v>1</v>
          </cell>
        </row>
        <row r="730">
          <cell r="A730">
            <v>431002</v>
          </cell>
          <cell r="B730">
            <v>3</v>
          </cell>
          <cell r="C730">
            <v>0</v>
          </cell>
          <cell r="D730">
            <v>5</v>
          </cell>
          <cell r="E730" t="str">
            <v>NON-HS</v>
          </cell>
          <cell r="F730" t="str">
            <v>Monrovia</v>
          </cell>
          <cell r="G730">
            <v>0</v>
          </cell>
          <cell r="H730">
            <v>0</v>
          </cell>
          <cell r="I730">
            <v>3.5910000000000002</v>
          </cell>
          <cell r="J730">
            <v>1.43919657</v>
          </cell>
          <cell r="K730">
            <v>3.43919657</v>
          </cell>
          <cell r="L730">
            <v>0.15145200614003601</v>
          </cell>
          <cell r="M730">
            <v>3.59064857614004</v>
          </cell>
          <cell r="N730">
            <v>3.09278350515464E-2</v>
          </cell>
          <cell r="O730">
            <v>0</v>
          </cell>
          <cell r="P730">
            <v>1</v>
          </cell>
        </row>
        <row r="731">
          <cell r="A731">
            <v>408133</v>
          </cell>
          <cell r="B731">
            <v>3</v>
          </cell>
          <cell r="C731">
            <v>0</v>
          </cell>
          <cell r="D731">
            <v>1</v>
          </cell>
          <cell r="E731" t="str">
            <v>NON-HS</v>
          </cell>
          <cell r="F731" t="str">
            <v>West Covina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3.09278350515464E-2</v>
          </cell>
          <cell r="O731">
            <v>0</v>
          </cell>
          <cell r="P731">
            <v>1</v>
          </cell>
        </row>
        <row r="732">
          <cell r="A732">
            <v>430724</v>
          </cell>
          <cell r="B732">
            <v>3</v>
          </cell>
          <cell r="C732">
            <v>0</v>
          </cell>
          <cell r="D732">
            <v>5</v>
          </cell>
          <cell r="E732" t="str">
            <v>NON-HS</v>
          </cell>
          <cell r="F732" t="str">
            <v>Arcadia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3.09278350515464E-2</v>
          </cell>
          <cell r="O732">
            <v>0</v>
          </cell>
          <cell r="P732">
            <v>1</v>
          </cell>
        </row>
        <row r="733">
          <cell r="A733">
            <v>431300</v>
          </cell>
          <cell r="B733">
            <v>3</v>
          </cell>
          <cell r="C733">
            <v>0</v>
          </cell>
          <cell r="D733">
            <v>5</v>
          </cell>
          <cell r="E733" t="str">
            <v>NON-HS</v>
          </cell>
          <cell r="F733" t="str">
            <v>Mayflower Village</v>
          </cell>
          <cell r="G733">
            <v>0</v>
          </cell>
          <cell r="H733">
            <v>0</v>
          </cell>
          <cell r="I733">
            <v>1.591</v>
          </cell>
          <cell r="J733">
            <v>1.43919657</v>
          </cell>
          <cell r="K733">
            <v>1.43919657</v>
          </cell>
          <cell r="L733">
            <v>0.15145200614003601</v>
          </cell>
          <cell r="M733">
            <v>1.59064857614004</v>
          </cell>
          <cell r="N733">
            <v>3.09278350515464E-2</v>
          </cell>
          <cell r="O733">
            <v>0</v>
          </cell>
          <cell r="P733">
            <v>1</v>
          </cell>
        </row>
        <row r="734">
          <cell r="A734">
            <v>431600</v>
          </cell>
          <cell r="B734">
            <v>3</v>
          </cell>
          <cell r="C734">
            <v>0</v>
          </cell>
          <cell r="D734">
            <v>5</v>
          </cell>
          <cell r="E734" t="str">
            <v>NON-HS</v>
          </cell>
          <cell r="F734" t="str">
            <v>Arcadia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3.09278350515464E-2</v>
          </cell>
          <cell r="O734">
            <v>0</v>
          </cell>
          <cell r="P734">
            <v>1</v>
          </cell>
        </row>
        <row r="735">
          <cell r="A735">
            <v>431501</v>
          </cell>
          <cell r="B735">
            <v>3</v>
          </cell>
          <cell r="C735">
            <v>0</v>
          </cell>
          <cell r="D735">
            <v>5</v>
          </cell>
          <cell r="E735" t="str">
            <v>NON-HS</v>
          </cell>
          <cell r="F735" t="str">
            <v>North El Monte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3.09278350515464E-2</v>
          </cell>
          <cell r="O735">
            <v>0</v>
          </cell>
          <cell r="P735">
            <v>1</v>
          </cell>
        </row>
        <row r="736">
          <cell r="A736">
            <v>430600</v>
          </cell>
          <cell r="B736">
            <v>3</v>
          </cell>
          <cell r="C736">
            <v>0</v>
          </cell>
          <cell r="D736">
            <v>5</v>
          </cell>
          <cell r="E736" t="str">
            <v>NON-HS</v>
          </cell>
          <cell r="F736" t="str">
            <v>Arcadia</v>
          </cell>
          <cell r="G736">
            <v>0</v>
          </cell>
          <cell r="H736">
            <v>0</v>
          </cell>
          <cell r="I736">
            <v>1.9259999999999999</v>
          </cell>
          <cell r="J736">
            <v>1.90487994</v>
          </cell>
          <cell r="K736">
            <v>1.90487994</v>
          </cell>
          <cell r="L736">
            <v>2.0625322082585301E-2</v>
          </cell>
          <cell r="M736">
            <v>1.9255052620825901</v>
          </cell>
          <cell r="N736">
            <v>3.09278350515464E-2</v>
          </cell>
          <cell r="O736">
            <v>0</v>
          </cell>
          <cell r="P736">
            <v>1</v>
          </cell>
        </row>
        <row r="737">
          <cell r="A737">
            <v>432202</v>
          </cell>
          <cell r="B737">
            <v>3</v>
          </cell>
          <cell r="C737">
            <v>0</v>
          </cell>
          <cell r="D737">
            <v>1</v>
          </cell>
          <cell r="E737" t="str">
            <v>NON-HS</v>
          </cell>
          <cell r="F737" t="str">
            <v>Rosemead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3.09278350515464E-2</v>
          </cell>
          <cell r="O737">
            <v>0</v>
          </cell>
          <cell r="P737">
            <v>1</v>
          </cell>
        </row>
        <row r="738">
          <cell r="A738">
            <v>430902</v>
          </cell>
          <cell r="B738">
            <v>3</v>
          </cell>
          <cell r="C738">
            <v>0</v>
          </cell>
          <cell r="D738">
            <v>5</v>
          </cell>
          <cell r="E738" t="str">
            <v>NON-HS</v>
          </cell>
          <cell r="F738" t="str">
            <v>Monrovia</v>
          </cell>
          <cell r="G738">
            <v>0</v>
          </cell>
          <cell r="H738">
            <v>0</v>
          </cell>
          <cell r="I738">
            <v>2</v>
          </cell>
          <cell r="J738">
            <v>0</v>
          </cell>
          <cell r="K738">
            <v>2</v>
          </cell>
          <cell r="L738">
            <v>0</v>
          </cell>
          <cell r="M738">
            <v>2</v>
          </cell>
          <cell r="N738">
            <v>3.09278350515464E-2</v>
          </cell>
          <cell r="O738">
            <v>0</v>
          </cell>
          <cell r="P738">
            <v>1</v>
          </cell>
        </row>
        <row r="739">
          <cell r="A739">
            <v>431800</v>
          </cell>
          <cell r="B739">
            <v>3</v>
          </cell>
          <cell r="C739">
            <v>0</v>
          </cell>
          <cell r="D739">
            <v>5</v>
          </cell>
          <cell r="E739" t="str">
            <v>NON-HS</v>
          </cell>
          <cell r="F739" t="str">
            <v>Temple City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3.09278350515464E-2</v>
          </cell>
          <cell r="O739">
            <v>0</v>
          </cell>
          <cell r="P739">
            <v>1</v>
          </cell>
        </row>
        <row r="740">
          <cell r="A740">
            <v>463102</v>
          </cell>
          <cell r="B740">
            <v>3</v>
          </cell>
          <cell r="C740">
            <v>0</v>
          </cell>
          <cell r="D740">
            <v>5</v>
          </cell>
          <cell r="E740" t="str">
            <v>NON-HS</v>
          </cell>
          <cell r="F740" t="str">
            <v>East Pasadena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3.09278350515464E-2</v>
          </cell>
          <cell r="O740">
            <v>0</v>
          </cell>
          <cell r="P740">
            <v>1</v>
          </cell>
        </row>
        <row r="741">
          <cell r="A741">
            <v>481500</v>
          </cell>
          <cell r="B741">
            <v>3</v>
          </cell>
          <cell r="C741">
            <v>0</v>
          </cell>
          <cell r="D741">
            <v>5</v>
          </cell>
          <cell r="E741" t="str">
            <v>NON-HS</v>
          </cell>
          <cell r="F741" t="str">
            <v>Alhambra</v>
          </cell>
          <cell r="G741">
            <v>0</v>
          </cell>
          <cell r="H741">
            <v>0</v>
          </cell>
          <cell r="I741">
            <v>2</v>
          </cell>
          <cell r="J741">
            <v>0</v>
          </cell>
          <cell r="K741">
            <v>2</v>
          </cell>
          <cell r="L741">
            <v>0</v>
          </cell>
          <cell r="M741">
            <v>2</v>
          </cell>
          <cell r="N741">
            <v>3.09278350515464E-2</v>
          </cell>
          <cell r="O741">
            <v>0</v>
          </cell>
          <cell r="P741">
            <v>1</v>
          </cell>
        </row>
        <row r="742">
          <cell r="A742">
            <v>431200</v>
          </cell>
          <cell r="B742">
            <v>3</v>
          </cell>
          <cell r="C742">
            <v>0</v>
          </cell>
          <cell r="D742">
            <v>5</v>
          </cell>
          <cell r="E742" t="str">
            <v>NON-HS</v>
          </cell>
          <cell r="F742" t="str">
            <v>Monrovia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3.09278350515464E-2</v>
          </cell>
          <cell r="O742">
            <v>0</v>
          </cell>
          <cell r="P742">
            <v>1</v>
          </cell>
        </row>
        <row r="743">
          <cell r="A743">
            <v>433902</v>
          </cell>
          <cell r="B743">
            <v>3</v>
          </cell>
          <cell r="C743">
            <v>0</v>
          </cell>
          <cell r="D743">
            <v>1</v>
          </cell>
          <cell r="E743" t="str">
            <v>NON-HS</v>
          </cell>
          <cell r="F743" t="str">
            <v>El Monte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3.09278350515464E-2</v>
          </cell>
          <cell r="O743">
            <v>0</v>
          </cell>
          <cell r="P743">
            <v>1</v>
          </cell>
        </row>
        <row r="744">
          <cell r="A744">
            <v>433801</v>
          </cell>
          <cell r="B744">
            <v>3</v>
          </cell>
          <cell r="C744">
            <v>0</v>
          </cell>
          <cell r="D744">
            <v>1</v>
          </cell>
          <cell r="E744" t="str">
            <v>NON-HS</v>
          </cell>
          <cell r="F744" t="str">
            <v>South El Monte</v>
          </cell>
          <cell r="G744">
            <v>0</v>
          </cell>
          <cell r="H744">
            <v>0</v>
          </cell>
          <cell r="I744">
            <v>2</v>
          </cell>
          <cell r="J744">
            <v>0</v>
          </cell>
          <cell r="K744">
            <v>2</v>
          </cell>
          <cell r="L744">
            <v>0</v>
          </cell>
          <cell r="M744">
            <v>2</v>
          </cell>
          <cell r="N744">
            <v>3.09278350515464E-2</v>
          </cell>
          <cell r="O744">
            <v>0</v>
          </cell>
          <cell r="P744">
            <v>1</v>
          </cell>
        </row>
        <row r="745">
          <cell r="A745">
            <v>430723</v>
          </cell>
          <cell r="B745">
            <v>3</v>
          </cell>
          <cell r="C745">
            <v>0</v>
          </cell>
          <cell r="D745">
            <v>5</v>
          </cell>
          <cell r="E745" t="str">
            <v>NON-HS</v>
          </cell>
          <cell r="F745" t="str">
            <v>Arcadia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3.09278350515464E-2</v>
          </cell>
          <cell r="O745">
            <v>0</v>
          </cell>
          <cell r="P745">
            <v>1</v>
          </cell>
        </row>
        <row r="746">
          <cell r="A746">
            <v>432402</v>
          </cell>
          <cell r="B746">
            <v>3</v>
          </cell>
          <cell r="C746">
            <v>0</v>
          </cell>
          <cell r="D746">
            <v>1</v>
          </cell>
          <cell r="E746" t="str">
            <v>NON-HS</v>
          </cell>
          <cell r="F746" t="str">
            <v>El Monte</v>
          </cell>
          <cell r="G746">
            <v>0</v>
          </cell>
          <cell r="H746">
            <v>0</v>
          </cell>
          <cell r="I746">
            <v>2</v>
          </cell>
          <cell r="J746">
            <v>0</v>
          </cell>
          <cell r="K746">
            <v>2</v>
          </cell>
          <cell r="L746">
            <v>0</v>
          </cell>
          <cell r="M746">
            <v>2</v>
          </cell>
          <cell r="N746">
            <v>3.09278350515464E-2</v>
          </cell>
          <cell r="O746">
            <v>0</v>
          </cell>
          <cell r="P746">
            <v>1</v>
          </cell>
        </row>
        <row r="747">
          <cell r="A747">
            <v>430200</v>
          </cell>
          <cell r="B747">
            <v>3</v>
          </cell>
          <cell r="C747">
            <v>0</v>
          </cell>
          <cell r="D747">
            <v>5</v>
          </cell>
          <cell r="E747" t="str">
            <v>NON-HS</v>
          </cell>
          <cell r="F747" t="str">
            <v>Bradbury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3.09278350515464E-2</v>
          </cell>
          <cell r="O747">
            <v>0</v>
          </cell>
          <cell r="P747">
            <v>1</v>
          </cell>
        </row>
        <row r="748">
          <cell r="A748">
            <v>433305</v>
          </cell>
          <cell r="B748">
            <v>3</v>
          </cell>
          <cell r="C748">
            <v>0</v>
          </cell>
          <cell r="D748">
            <v>1</v>
          </cell>
          <cell r="E748" t="str">
            <v>NON-HS</v>
          </cell>
          <cell r="F748" t="str">
            <v>El Monte</v>
          </cell>
          <cell r="G748">
            <v>0</v>
          </cell>
          <cell r="H748">
            <v>0</v>
          </cell>
          <cell r="I748">
            <v>5.399</v>
          </cell>
          <cell r="J748">
            <v>3.1723287400000002</v>
          </cell>
          <cell r="K748">
            <v>5.1723287400000002</v>
          </cell>
          <cell r="L748">
            <v>0.22643751642728899</v>
          </cell>
          <cell r="M748">
            <v>5.3987662564272902</v>
          </cell>
          <cell r="N748">
            <v>3.09278350515464E-2</v>
          </cell>
          <cell r="O748">
            <v>0</v>
          </cell>
          <cell r="P748">
            <v>1</v>
          </cell>
        </row>
        <row r="749">
          <cell r="A749">
            <v>432902</v>
          </cell>
          <cell r="B749">
            <v>3</v>
          </cell>
          <cell r="C749">
            <v>0</v>
          </cell>
          <cell r="D749">
            <v>1</v>
          </cell>
          <cell r="E749" t="str">
            <v>NON-HS</v>
          </cell>
          <cell r="F749" t="str">
            <v>Rosemead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3.09278350515464E-2</v>
          </cell>
          <cell r="O749">
            <v>0</v>
          </cell>
          <cell r="P749">
            <v>1</v>
          </cell>
        </row>
        <row r="750">
          <cell r="A750">
            <v>430701</v>
          </cell>
          <cell r="B750">
            <v>3</v>
          </cell>
          <cell r="C750">
            <v>0</v>
          </cell>
          <cell r="D750">
            <v>5</v>
          </cell>
          <cell r="E750" t="str">
            <v>NON-HS</v>
          </cell>
          <cell r="F750" t="str">
            <v>Arcadia</v>
          </cell>
          <cell r="G750">
            <v>0</v>
          </cell>
          <cell r="H750">
            <v>0</v>
          </cell>
          <cell r="I750">
            <v>3.5169999999999999</v>
          </cell>
          <cell r="J750">
            <v>3.3440765099999998</v>
          </cell>
          <cell r="K750">
            <v>3.3440765099999998</v>
          </cell>
          <cell r="L750">
            <v>0.17207732822262101</v>
          </cell>
          <cell r="M750">
            <v>3.5161538382226198</v>
          </cell>
          <cell r="N750">
            <v>3.09278350515464E-2</v>
          </cell>
          <cell r="O750">
            <v>0</v>
          </cell>
          <cell r="P750">
            <v>1</v>
          </cell>
        </row>
        <row r="751">
          <cell r="A751">
            <v>407001</v>
          </cell>
          <cell r="B751">
            <v>3</v>
          </cell>
          <cell r="C751">
            <v>0</v>
          </cell>
          <cell r="D751">
            <v>1</v>
          </cell>
          <cell r="E751" t="str">
            <v>NON-HS</v>
          </cell>
          <cell r="F751" t="str">
            <v>West Puente Valley</v>
          </cell>
          <cell r="G751">
            <v>0</v>
          </cell>
          <cell r="H751">
            <v>0</v>
          </cell>
          <cell r="I751">
            <v>2.0950000000000002</v>
          </cell>
          <cell r="J751">
            <v>1.9836996600000001</v>
          </cell>
          <cell r="K751">
            <v>1.9836996600000001</v>
          </cell>
          <cell r="L751">
            <v>0.11117260138240601</v>
          </cell>
          <cell r="M751">
            <v>2.09487226138241</v>
          </cell>
          <cell r="N751">
            <v>3.09278350515464E-2</v>
          </cell>
          <cell r="O751">
            <v>0</v>
          </cell>
          <cell r="P751">
            <v>1</v>
          </cell>
        </row>
        <row r="752">
          <cell r="A752">
            <v>430102</v>
          </cell>
          <cell r="B752">
            <v>3</v>
          </cell>
          <cell r="C752">
            <v>0</v>
          </cell>
          <cell r="D752">
            <v>5</v>
          </cell>
          <cell r="E752" t="str">
            <v>NON-HS</v>
          </cell>
          <cell r="F752" t="str">
            <v>Duarte</v>
          </cell>
          <cell r="G752">
            <v>0</v>
          </cell>
          <cell r="H752">
            <v>0</v>
          </cell>
          <cell r="I752">
            <v>1</v>
          </cell>
          <cell r="J752">
            <v>0</v>
          </cell>
          <cell r="K752">
            <v>1</v>
          </cell>
          <cell r="L752">
            <v>0</v>
          </cell>
          <cell r="M752">
            <v>1</v>
          </cell>
          <cell r="N752">
            <v>3.09278350515464E-2</v>
          </cell>
          <cell r="O752">
            <v>0</v>
          </cell>
          <cell r="P752">
            <v>1</v>
          </cell>
        </row>
        <row r="753">
          <cell r="A753">
            <v>432500</v>
          </cell>
          <cell r="B753">
            <v>3</v>
          </cell>
          <cell r="C753">
            <v>0</v>
          </cell>
          <cell r="D753">
            <v>1</v>
          </cell>
          <cell r="E753" t="str">
            <v>NON-HS</v>
          </cell>
          <cell r="F753" t="str">
            <v>El Monte</v>
          </cell>
          <cell r="G753">
            <v>0</v>
          </cell>
          <cell r="H753">
            <v>0</v>
          </cell>
          <cell r="I753">
            <v>5.6859999999999999</v>
          </cell>
          <cell r="J753">
            <v>3.4228962300000001</v>
          </cell>
          <cell r="K753">
            <v>5.4228962300000001</v>
          </cell>
          <cell r="L753">
            <v>0.26262460752244199</v>
          </cell>
          <cell r="M753">
            <v>5.6855208375224402</v>
          </cell>
          <cell r="N753">
            <v>3.09278350515464E-2</v>
          </cell>
          <cell r="O753">
            <v>0</v>
          </cell>
          <cell r="P753">
            <v>1</v>
          </cell>
        </row>
        <row r="754">
          <cell r="A754">
            <v>433503</v>
          </cell>
          <cell r="B754">
            <v>3</v>
          </cell>
          <cell r="C754">
            <v>0</v>
          </cell>
          <cell r="D754">
            <v>1</v>
          </cell>
          <cell r="E754" t="str">
            <v>NON-HS</v>
          </cell>
          <cell r="F754" t="str">
            <v>South El Monte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3.09278350515464E-2</v>
          </cell>
          <cell r="O754">
            <v>0</v>
          </cell>
          <cell r="P754">
            <v>1</v>
          </cell>
        </row>
        <row r="755">
          <cell r="A755">
            <v>430003</v>
          </cell>
          <cell r="B755">
            <v>3</v>
          </cell>
          <cell r="C755">
            <v>0</v>
          </cell>
          <cell r="D755">
            <v>5</v>
          </cell>
          <cell r="E755" t="str">
            <v>NON-HS</v>
          </cell>
          <cell r="F755" t="str">
            <v>Duarte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3.09278350515464E-2</v>
          </cell>
          <cell r="O755">
            <v>0</v>
          </cell>
          <cell r="P755">
            <v>1</v>
          </cell>
        </row>
        <row r="756">
          <cell r="A756">
            <v>408505</v>
          </cell>
          <cell r="B756">
            <v>3</v>
          </cell>
          <cell r="C756">
            <v>0</v>
          </cell>
          <cell r="D756">
            <v>4</v>
          </cell>
          <cell r="E756" t="str">
            <v>NON-HS</v>
          </cell>
          <cell r="F756" t="str">
            <v>Hacienda Heights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3.09278350515464E-2</v>
          </cell>
          <cell r="O756">
            <v>0</v>
          </cell>
          <cell r="P756">
            <v>1</v>
          </cell>
        </row>
        <row r="757">
          <cell r="A757">
            <v>433304</v>
          </cell>
          <cell r="B757">
            <v>3</v>
          </cell>
          <cell r="C757">
            <v>0</v>
          </cell>
          <cell r="D757">
            <v>1</v>
          </cell>
          <cell r="E757" t="str">
            <v>NON-HS</v>
          </cell>
          <cell r="F757" t="str">
            <v>El Monte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3.09278350515464E-2</v>
          </cell>
          <cell r="O757">
            <v>0</v>
          </cell>
          <cell r="P757">
            <v>1</v>
          </cell>
        </row>
        <row r="758">
          <cell r="A758">
            <v>407601</v>
          </cell>
          <cell r="B758">
            <v>3</v>
          </cell>
          <cell r="C758">
            <v>0</v>
          </cell>
          <cell r="D758">
            <v>1</v>
          </cell>
          <cell r="E758" t="str">
            <v>NON-HS</v>
          </cell>
          <cell r="F758" t="str">
            <v>La Puente</v>
          </cell>
          <cell r="G758">
            <v>0</v>
          </cell>
          <cell r="H758">
            <v>0</v>
          </cell>
          <cell r="I758">
            <v>1</v>
          </cell>
          <cell r="J758">
            <v>0</v>
          </cell>
          <cell r="K758">
            <v>1</v>
          </cell>
          <cell r="L758">
            <v>0</v>
          </cell>
          <cell r="M758">
            <v>1</v>
          </cell>
          <cell r="N758">
            <v>3.09278350515464E-2</v>
          </cell>
          <cell r="O758">
            <v>0</v>
          </cell>
          <cell r="P758">
            <v>1</v>
          </cell>
        </row>
        <row r="759">
          <cell r="A759">
            <v>408722</v>
          </cell>
          <cell r="B759">
            <v>3</v>
          </cell>
          <cell r="C759">
            <v>0</v>
          </cell>
          <cell r="D759">
            <v>4</v>
          </cell>
          <cell r="E759" t="str">
            <v>NON-HS</v>
          </cell>
          <cell r="F759" t="str">
            <v>Rowland Heights</v>
          </cell>
          <cell r="G759">
            <v>0</v>
          </cell>
          <cell r="H759">
            <v>0</v>
          </cell>
          <cell r="I759">
            <v>2.0950000000000002</v>
          </cell>
          <cell r="J759">
            <v>1.9836996600000001</v>
          </cell>
          <cell r="K759">
            <v>1.9836996600000001</v>
          </cell>
          <cell r="L759">
            <v>0.11117260138240601</v>
          </cell>
          <cell r="M759">
            <v>2.09487226138241</v>
          </cell>
          <cell r="N759">
            <v>3.09278350515464E-2</v>
          </cell>
          <cell r="O759">
            <v>0</v>
          </cell>
          <cell r="P759">
            <v>1</v>
          </cell>
        </row>
        <row r="760">
          <cell r="A760">
            <v>433306</v>
          </cell>
          <cell r="B760">
            <v>3</v>
          </cell>
          <cell r="C760">
            <v>0</v>
          </cell>
          <cell r="D760">
            <v>1</v>
          </cell>
          <cell r="E760" t="str">
            <v>NON-HS</v>
          </cell>
          <cell r="F760" t="str">
            <v>El Monte</v>
          </cell>
          <cell r="G760">
            <v>0</v>
          </cell>
          <cell r="H760">
            <v>0</v>
          </cell>
          <cell r="I760">
            <v>2</v>
          </cell>
          <cell r="J760">
            <v>0</v>
          </cell>
          <cell r="K760">
            <v>2</v>
          </cell>
          <cell r="L760">
            <v>0</v>
          </cell>
          <cell r="M760">
            <v>2</v>
          </cell>
          <cell r="N760">
            <v>3.09278350515464E-2</v>
          </cell>
          <cell r="O760">
            <v>0</v>
          </cell>
          <cell r="P760">
            <v>1</v>
          </cell>
        </row>
        <row r="761">
          <cell r="A761">
            <v>433402</v>
          </cell>
          <cell r="B761">
            <v>3</v>
          </cell>
          <cell r="C761">
            <v>0</v>
          </cell>
          <cell r="D761">
            <v>1</v>
          </cell>
          <cell r="E761" t="str">
            <v>NON-HS</v>
          </cell>
          <cell r="F761" t="str">
            <v>El Monte</v>
          </cell>
          <cell r="G761">
            <v>0</v>
          </cell>
          <cell r="H761">
            <v>0</v>
          </cell>
          <cell r="I761">
            <v>2.0950000000000002</v>
          </cell>
          <cell r="J761">
            <v>1.9836996600000001</v>
          </cell>
          <cell r="K761">
            <v>1.9836996600000001</v>
          </cell>
          <cell r="L761">
            <v>0.11117260138240601</v>
          </cell>
          <cell r="M761">
            <v>2.09487226138241</v>
          </cell>
          <cell r="N761">
            <v>3.09278350515464E-2</v>
          </cell>
          <cell r="O761">
            <v>0</v>
          </cell>
          <cell r="P761">
            <v>1</v>
          </cell>
        </row>
        <row r="762">
          <cell r="A762">
            <v>408628</v>
          </cell>
          <cell r="B762">
            <v>3</v>
          </cell>
          <cell r="C762">
            <v>0</v>
          </cell>
          <cell r="D762">
            <v>4</v>
          </cell>
          <cell r="E762" t="str">
            <v>NON-HS</v>
          </cell>
          <cell r="F762" t="str">
            <v>Hacienda Heights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3.09278350515464E-2</v>
          </cell>
          <cell r="O762">
            <v>0</v>
          </cell>
          <cell r="P762">
            <v>1</v>
          </cell>
        </row>
        <row r="763">
          <cell r="A763">
            <v>481902</v>
          </cell>
          <cell r="B763">
            <v>3</v>
          </cell>
          <cell r="C763">
            <v>0</v>
          </cell>
          <cell r="D763">
            <v>5</v>
          </cell>
          <cell r="E763" t="str">
            <v>NON-HS</v>
          </cell>
          <cell r="F763" t="str">
            <v>Alhambra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3.09278350515464E-2</v>
          </cell>
          <cell r="O763">
            <v>0</v>
          </cell>
          <cell r="P763">
            <v>1</v>
          </cell>
        </row>
        <row r="764">
          <cell r="A764">
            <v>433504</v>
          </cell>
          <cell r="B764">
            <v>3</v>
          </cell>
          <cell r="C764">
            <v>0</v>
          </cell>
          <cell r="D764">
            <v>1</v>
          </cell>
          <cell r="E764" t="str">
            <v>NON-HS</v>
          </cell>
          <cell r="F764" t="str">
            <v>South El Monte</v>
          </cell>
          <cell r="G764">
            <v>0</v>
          </cell>
          <cell r="H764">
            <v>0</v>
          </cell>
          <cell r="I764">
            <v>4.9029999999999996</v>
          </cell>
          <cell r="J764">
            <v>3.7168318299999998</v>
          </cell>
          <cell r="K764">
            <v>4.7168318300000003</v>
          </cell>
          <cell r="L764">
            <v>0.18615811166965901</v>
          </cell>
          <cell r="M764">
            <v>4.9029899416696603</v>
          </cell>
          <cell r="N764">
            <v>3.09278350515464E-2</v>
          </cell>
          <cell r="O764">
            <v>0</v>
          </cell>
          <cell r="P764">
            <v>1</v>
          </cell>
        </row>
        <row r="765">
          <cell r="A765">
            <v>406411</v>
          </cell>
          <cell r="B765">
            <v>3</v>
          </cell>
          <cell r="C765">
            <v>0</v>
          </cell>
          <cell r="D765">
            <v>1</v>
          </cell>
          <cell r="E765" t="str">
            <v>NON-HS</v>
          </cell>
          <cell r="F765" t="str">
            <v>West Covina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3.09278350515464E-2</v>
          </cell>
          <cell r="O765">
            <v>0</v>
          </cell>
          <cell r="P765">
            <v>1</v>
          </cell>
        </row>
        <row r="766">
          <cell r="A766">
            <v>403317</v>
          </cell>
          <cell r="B766">
            <v>3</v>
          </cell>
          <cell r="C766">
            <v>0</v>
          </cell>
          <cell r="D766">
            <v>1</v>
          </cell>
          <cell r="E766" t="str">
            <v>NON-HS</v>
          </cell>
          <cell r="F766" t="str">
            <v>Pomona</v>
          </cell>
          <cell r="G766">
            <v>0</v>
          </cell>
          <cell r="H766">
            <v>0</v>
          </cell>
          <cell r="I766">
            <v>4.5110000000000001</v>
          </cell>
          <cell r="J766">
            <v>3.4144237899999998</v>
          </cell>
          <cell r="K766">
            <v>4.4144237899999998</v>
          </cell>
          <cell r="L766">
            <v>9.6477442046678602E-2</v>
          </cell>
          <cell r="M766">
            <v>4.5109012320466801</v>
          </cell>
          <cell r="N766">
            <v>3.09278350515464E-2</v>
          </cell>
          <cell r="O766">
            <v>0</v>
          </cell>
          <cell r="P766">
            <v>1</v>
          </cell>
        </row>
        <row r="767">
          <cell r="A767">
            <v>433901</v>
          </cell>
          <cell r="B767">
            <v>3</v>
          </cell>
          <cell r="C767">
            <v>0</v>
          </cell>
          <cell r="D767">
            <v>1</v>
          </cell>
          <cell r="E767" t="str">
            <v>NON-HS</v>
          </cell>
          <cell r="F767" t="str">
            <v>El Monte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3.09278350515464E-2</v>
          </cell>
          <cell r="O767">
            <v>0</v>
          </cell>
          <cell r="P767">
            <v>1</v>
          </cell>
        </row>
        <row r="768">
          <cell r="A768">
            <v>408137</v>
          </cell>
          <cell r="B768">
            <v>3</v>
          </cell>
          <cell r="C768">
            <v>0</v>
          </cell>
          <cell r="D768">
            <v>1</v>
          </cell>
          <cell r="E768" t="str">
            <v>NON-HS</v>
          </cell>
          <cell r="F768" t="str">
            <v>West Covina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3.09278350515464E-2</v>
          </cell>
          <cell r="O768">
            <v>0</v>
          </cell>
          <cell r="P768">
            <v>1</v>
          </cell>
        </row>
        <row r="769">
          <cell r="A769">
            <v>463300</v>
          </cell>
          <cell r="B769">
            <v>3</v>
          </cell>
          <cell r="C769">
            <v>0</v>
          </cell>
          <cell r="D769">
            <v>5</v>
          </cell>
          <cell r="E769" t="str">
            <v>NON-HS</v>
          </cell>
          <cell r="F769" t="str">
            <v>San Pasqual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3.09278350515464E-2</v>
          </cell>
          <cell r="O769">
            <v>0</v>
          </cell>
          <cell r="P769">
            <v>1</v>
          </cell>
        </row>
        <row r="770">
          <cell r="A770">
            <v>403703</v>
          </cell>
          <cell r="B770">
            <v>3</v>
          </cell>
          <cell r="C770">
            <v>0</v>
          </cell>
          <cell r="D770">
            <v>5</v>
          </cell>
          <cell r="E770" t="str">
            <v>NON-HS</v>
          </cell>
          <cell r="F770" t="str">
            <v>San Dimas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3.09278350515464E-2</v>
          </cell>
          <cell r="O770">
            <v>0</v>
          </cell>
          <cell r="P770">
            <v>1</v>
          </cell>
        </row>
        <row r="771">
          <cell r="A771">
            <v>407701</v>
          </cell>
          <cell r="B771">
            <v>3</v>
          </cell>
          <cell r="C771">
            <v>0</v>
          </cell>
          <cell r="D771">
            <v>1</v>
          </cell>
          <cell r="E771" t="str">
            <v>NON-HS</v>
          </cell>
          <cell r="F771" t="str">
            <v>La Puente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3.09278350515464E-2</v>
          </cell>
          <cell r="O771">
            <v>0</v>
          </cell>
          <cell r="P771">
            <v>1</v>
          </cell>
        </row>
        <row r="772">
          <cell r="A772">
            <v>480500</v>
          </cell>
          <cell r="B772">
            <v>3</v>
          </cell>
          <cell r="C772">
            <v>0</v>
          </cell>
          <cell r="D772">
            <v>5</v>
          </cell>
          <cell r="E772" t="str">
            <v>NON-HS</v>
          </cell>
          <cell r="F772" t="str">
            <v>South Pasadena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3.09278350515464E-2</v>
          </cell>
          <cell r="O772">
            <v>0</v>
          </cell>
          <cell r="P772">
            <v>1</v>
          </cell>
        </row>
        <row r="773">
          <cell r="A773">
            <v>400206</v>
          </cell>
          <cell r="B773">
            <v>3</v>
          </cell>
          <cell r="C773">
            <v>0</v>
          </cell>
          <cell r="D773">
            <v>1</v>
          </cell>
          <cell r="E773" t="str">
            <v>NON-HS</v>
          </cell>
          <cell r="F773" t="str">
            <v>Claremont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3.09278350515464E-2</v>
          </cell>
          <cell r="O773">
            <v>0</v>
          </cell>
          <cell r="P773">
            <v>1</v>
          </cell>
        </row>
        <row r="774">
          <cell r="A774">
            <v>480704</v>
          </cell>
          <cell r="B774">
            <v>3</v>
          </cell>
          <cell r="C774">
            <v>0</v>
          </cell>
          <cell r="D774">
            <v>5</v>
          </cell>
          <cell r="E774" t="str">
            <v>NON-HS</v>
          </cell>
          <cell r="F774" t="str">
            <v>South Pasadena</v>
          </cell>
          <cell r="G774">
            <v>0</v>
          </cell>
          <cell r="H774">
            <v>0</v>
          </cell>
          <cell r="I774">
            <v>1</v>
          </cell>
          <cell r="J774">
            <v>0</v>
          </cell>
          <cell r="K774">
            <v>1</v>
          </cell>
          <cell r="L774">
            <v>0</v>
          </cell>
          <cell r="M774">
            <v>1</v>
          </cell>
          <cell r="N774">
            <v>3.09278350515464E-2</v>
          </cell>
          <cell r="O774">
            <v>0</v>
          </cell>
          <cell r="P774">
            <v>1</v>
          </cell>
        </row>
        <row r="775">
          <cell r="A775">
            <v>402904</v>
          </cell>
          <cell r="B775">
            <v>3</v>
          </cell>
          <cell r="C775">
            <v>0</v>
          </cell>
          <cell r="D775">
            <v>1</v>
          </cell>
          <cell r="E775" t="str">
            <v>NON-HS</v>
          </cell>
          <cell r="F775" t="str">
            <v>Pomona</v>
          </cell>
          <cell r="G775">
            <v>0</v>
          </cell>
          <cell r="H775">
            <v>0</v>
          </cell>
          <cell r="I775">
            <v>1.9259999999999999</v>
          </cell>
          <cell r="J775">
            <v>1.90487994</v>
          </cell>
          <cell r="K775">
            <v>1.90487994</v>
          </cell>
          <cell r="L775">
            <v>2.0625322082585301E-2</v>
          </cell>
          <cell r="M775">
            <v>1.9255052620825901</v>
          </cell>
          <cell r="N775">
            <v>3.09278350515464E-2</v>
          </cell>
          <cell r="O775">
            <v>0</v>
          </cell>
          <cell r="P775">
            <v>1</v>
          </cell>
        </row>
        <row r="776">
          <cell r="A776">
            <v>403407</v>
          </cell>
          <cell r="B776">
            <v>3</v>
          </cell>
          <cell r="C776">
            <v>0</v>
          </cell>
          <cell r="D776">
            <v>1</v>
          </cell>
          <cell r="E776" t="str">
            <v>NON-HS</v>
          </cell>
          <cell r="F776" t="str">
            <v>Walnut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3.09278350515464E-2</v>
          </cell>
          <cell r="O776">
            <v>0</v>
          </cell>
          <cell r="P776">
            <v>1</v>
          </cell>
        </row>
        <row r="777">
          <cell r="A777">
            <v>407502</v>
          </cell>
          <cell r="B777">
            <v>3</v>
          </cell>
          <cell r="C777">
            <v>0</v>
          </cell>
          <cell r="D777">
            <v>1</v>
          </cell>
          <cell r="E777" t="str">
            <v>NON-HS</v>
          </cell>
          <cell r="F777" t="str">
            <v>Valinda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3.09278350515464E-2</v>
          </cell>
          <cell r="O777">
            <v>0</v>
          </cell>
          <cell r="P777">
            <v>1</v>
          </cell>
        </row>
        <row r="778">
          <cell r="A778">
            <v>403722</v>
          </cell>
          <cell r="B778">
            <v>3</v>
          </cell>
          <cell r="C778">
            <v>0</v>
          </cell>
          <cell r="D778">
            <v>5</v>
          </cell>
          <cell r="E778" t="str">
            <v>NON-HS</v>
          </cell>
          <cell r="F778" t="str">
            <v>Covina</v>
          </cell>
          <cell r="G778">
            <v>0</v>
          </cell>
          <cell r="H778">
            <v>0</v>
          </cell>
          <cell r="I778">
            <v>1.9259999999999999</v>
          </cell>
          <cell r="J778">
            <v>1.90487994</v>
          </cell>
          <cell r="K778">
            <v>1.90487994</v>
          </cell>
          <cell r="L778">
            <v>2.0625322082585301E-2</v>
          </cell>
          <cell r="M778">
            <v>1.9255052620825901</v>
          </cell>
          <cell r="N778">
            <v>3.09278350515464E-2</v>
          </cell>
          <cell r="O778">
            <v>0</v>
          </cell>
          <cell r="P778">
            <v>1</v>
          </cell>
        </row>
        <row r="779">
          <cell r="A779">
            <v>464200</v>
          </cell>
          <cell r="B779">
            <v>3</v>
          </cell>
          <cell r="C779">
            <v>0</v>
          </cell>
          <cell r="D779">
            <v>5</v>
          </cell>
          <cell r="E779" t="str">
            <v>NON-HS</v>
          </cell>
          <cell r="F779" t="str">
            <v>San Marino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3.09278350515464E-2</v>
          </cell>
          <cell r="O779">
            <v>0</v>
          </cell>
          <cell r="P779">
            <v>1</v>
          </cell>
        </row>
        <row r="780">
          <cell r="A780">
            <v>406800</v>
          </cell>
          <cell r="B780">
            <v>3</v>
          </cell>
          <cell r="C780">
            <v>0</v>
          </cell>
          <cell r="D780">
            <v>1</v>
          </cell>
          <cell r="E780" t="str">
            <v>NON-HS</v>
          </cell>
          <cell r="F780" t="str">
            <v>West Covina</v>
          </cell>
          <cell r="G780">
            <v>1</v>
          </cell>
          <cell r="H780">
            <v>1</v>
          </cell>
          <cell r="I780">
            <v>2.0950000000000002</v>
          </cell>
          <cell r="J780">
            <v>1.9836996600000001</v>
          </cell>
          <cell r="K780">
            <v>1.9836996600000001</v>
          </cell>
          <cell r="L780">
            <v>0.11117260138240601</v>
          </cell>
          <cell r="M780">
            <v>2.09487226138241</v>
          </cell>
          <cell r="N780">
            <v>3.09278350515464E-2</v>
          </cell>
          <cell r="O780">
            <v>32.3333333333333</v>
          </cell>
          <cell r="P780">
            <v>1</v>
          </cell>
        </row>
        <row r="781">
          <cell r="A781">
            <v>403902</v>
          </cell>
          <cell r="B781">
            <v>3</v>
          </cell>
          <cell r="C781">
            <v>0</v>
          </cell>
          <cell r="D781">
            <v>5</v>
          </cell>
          <cell r="E781" t="str">
            <v>NON-HS</v>
          </cell>
          <cell r="F781" t="str">
            <v>Glendora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3.09278350515464E-2</v>
          </cell>
          <cell r="O781">
            <v>0</v>
          </cell>
          <cell r="P781">
            <v>1</v>
          </cell>
        </row>
        <row r="782">
          <cell r="A782">
            <v>402403</v>
          </cell>
          <cell r="B782">
            <v>3</v>
          </cell>
          <cell r="C782">
            <v>0</v>
          </cell>
          <cell r="D782">
            <v>1</v>
          </cell>
          <cell r="E782" t="str">
            <v>NON-HS</v>
          </cell>
          <cell r="F782" t="str">
            <v>Pomona</v>
          </cell>
          <cell r="G782">
            <v>0</v>
          </cell>
          <cell r="H782">
            <v>0</v>
          </cell>
          <cell r="I782">
            <v>1.8080000000000001</v>
          </cell>
          <cell r="J782">
            <v>1.73313217</v>
          </cell>
          <cell r="K782">
            <v>1.73313217</v>
          </cell>
          <cell r="L782">
            <v>7.4985510287253102E-2</v>
          </cell>
          <cell r="M782">
            <v>1.8081176802872501</v>
          </cell>
          <cell r="N782">
            <v>3.09278350515464E-2</v>
          </cell>
          <cell r="O782">
            <v>0</v>
          </cell>
          <cell r="P782">
            <v>1</v>
          </cell>
        </row>
        <row r="783">
          <cell r="A783">
            <v>480703</v>
          </cell>
          <cell r="B783">
            <v>3</v>
          </cell>
          <cell r="C783">
            <v>0</v>
          </cell>
          <cell r="D783">
            <v>5</v>
          </cell>
          <cell r="E783" t="str">
            <v>NON-HS</v>
          </cell>
          <cell r="F783" t="str">
            <v>South Pasadena</v>
          </cell>
          <cell r="G783">
            <v>0</v>
          </cell>
          <cell r="H783">
            <v>0</v>
          </cell>
          <cell r="I783">
            <v>1</v>
          </cell>
          <cell r="J783">
            <v>0</v>
          </cell>
          <cell r="K783">
            <v>1</v>
          </cell>
          <cell r="L783">
            <v>0</v>
          </cell>
          <cell r="M783">
            <v>1</v>
          </cell>
          <cell r="N783">
            <v>3.09278350515464E-2</v>
          </cell>
          <cell r="O783">
            <v>0</v>
          </cell>
          <cell r="P783">
            <v>1</v>
          </cell>
        </row>
        <row r="784">
          <cell r="A784">
            <v>480012</v>
          </cell>
          <cell r="B784">
            <v>3</v>
          </cell>
          <cell r="C784">
            <v>0</v>
          </cell>
          <cell r="D784">
            <v>5</v>
          </cell>
          <cell r="E784" t="str">
            <v>NON-HS</v>
          </cell>
          <cell r="F784" t="str">
            <v>East San Gabriel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3.09278350515464E-2</v>
          </cell>
          <cell r="O784">
            <v>0</v>
          </cell>
          <cell r="P784">
            <v>1</v>
          </cell>
        </row>
        <row r="785">
          <cell r="A785">
            <v>480102</v>
          </cell>
          <cell r="B785">
            <v>3</v>
          </cell>
          <cell r="C785">
            <v>0</v>
          </cell>
          <cell r="D785">
            <v>5</v>
          </cell>
          <cell r="E785" t="str">
            <v>NON-HS</v>
          </cell>
          <cell r="F785" t="str">
            <v>East San Gabriel</v>
          </cell>
          <cell r="G785">
            <v>0</v>
          </cell>
          <cell r="H785">
            <v>0</v>
          </cell>
          <cell r="I785">
            <v>1</v>
          </cell>
          <cell r="J785">
            <v>0</v>
          </cell>
          <cell r="K785">
            <v>1</v>
          </cell>
          <cell r="L785">
            <v>0</v>
          </cell>
          <cell r="M785">
            <v>1</v>
          </cell>
          <cell r="N785">
            <v>3.09278350515464E-2</v>
          </cell>
          <cell r="O785">
            <v>0</v>
          </cell>
          <cell r="P785">
            <v>1</v>
          </cell>
        </row>
        <row r="786">
          <cell r="A786">
            <v>430802</v>
          </cell>
          <cell r="B786">
            <v>3</v>
          </cell>
          <cell r="C786">
            <v>0</v>
          </cell>
          <cell r="D786">
            <v>5</v>
          </cell>
          <cell r="E786" t="str">
            <v>NON-HS</v>
          </cell>
          <cell r="F786" t="str">
            <v>Arcadia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3.09278350515464E-2</v>
          </cell>
          <cell r="O786">
            <v>0</v>
          </cell>
          <cell r="P786">
            <v>1</v>
          </cell>
        </row>
        <row r="787">
          <cell r="A787">
            <v>480400</v>
          </cell>
          <cell r="B787">
            <v>3</v>
          </cell>
          <cell r="C787">
            <v>0</v>
          </cell>
          <cell r="D787">
            <v>5</v>
          </cell>
          <cell r="E787" t="str">
            <v>NON-HS</v>
          </cell>
          <cell r="F787" t="str">
            <v>Alhambra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3.09278350515464E-2</v>
          </cell>
          <cell r="O787">
            <v>0</v>
          </cell>
          <cell r="P787">
            <v>1</v>
          </cell>
        </row>
        <row r="788">
          <cell r="A788">
            <v>406412</v>
          </cell>
          <cell r="B788">
            <v>3</v>
          </cell>
          <cell r="C788">
            <v>0</v>
          </cell>
          <cell r="D788">
            <v>1</v>
          </cell>
          <cell r="E788" t="str">
            <v>NON-HS</v>
          </cell>
          <cell r="F788" t="str">
            <v>West Covina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3.09278350515464E-2</v>
          </cell>
          <cell r="O788">
            <v>0</v>
          </cell>
          <cell r="P788">
            <v>1</v>
          </cell>
        </row>
        <row r="789">
          <cell r="A789">
            <v>408625</v>
          </cell>
          <cell r="B789">
            <v>3</v>
          </cell>
          <cell r="C789">
            <v>0</v>
          </cell>
          <cell r="D789">
            <v>4</v>
          </cell>
          <cell r="E789" t="str">
            <v>NON-HS</v>
          </cell>
          <cell r="F789" t="str">
            <v>Hacienda Heights</v>
          </cell>
          <cell r="G789">
            <v>0</v>
          </cell>
          <cell r="H789">
            <v>0</v>
          </cell>
          <cell r="I789">
            <v>1</v>
          </cell>
          <cell r="J789">
            <v>0</v>
          </cell>
          <cell r="K789">
            <v>1</v>
          </cell>
          <cell r="L789">
            <v>0</v>
          </cell>
          <cell r="M789">
            <v>1</v>
          </cell>
          <cell r="N789">
            <v>3.09278350515464E-2</v>
          </cell>
          <cell r="O789">
            <v>0</v>
          </cell>
          <cell r="P789">
            <v>1</v>
          </cell>
        </row>
        <row r="790">
          <cell r="A790">
            <v>464100</v>
          </cell>
          <cell r="B790">
            <v>3</v>
          </cell>
          <cell r="C790">
            <v>0</v>
          </cell>
          <cell r="D790">
            <v>5</v>
          </cell>
          <cell r="E790" t="str">
            <v>NON-HS</v>
          </cell>
          <cell r="F790" t="str">
            <v>San Marino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3.09278350515464E-2</v>
          </cell>
          <cell r="O790">
            <v>0</v>
          </cell>
          <cell r="P790">
            <v>1</v>
          </cell>
        </row>
        <row r="791">
          <cell r="A791">
            <v>481713</v>
          </cell>
          <cell r="B791">
            <v>3</v>
          </cell>
          <cell r="C791">
            <v>0</v>
          </cell>
          <cell r="D791">
            <v>1</v>
          </cell>
          <cell r="E791" t="str">
            <v>NON-HS</v>
          </cell>
          <cell r="F791" t="str">
            <v>Monterey Park</v>
          </cell>
          <cell r="G791">
            <v>0</v>
          </cell>
          <cell r="H791">
            <v>0</v>
          </cell>
          <cell r="I791">
            <v>2.0950000000000002</v>
          </cell>
          <cell r="J791">
            <v>1.9836996600000001</v>
          </cell>
          <cell r="K791">
            <v>1.9836996600000001</v>
          </cell>
          <cell r="L791">
            <v>0.11117260138240601</v>
          </cell>
          <cell r="M791">
            <v>2.09487226138241</v>
          </cell>
          <cell r="N791">
            <v>3.09278350515464E-2</v>
          </cell>
          <cell r="O791">
            <v>0</v>
          </cell>
          <cell r="P791">
            <v>1</v>
          </cell>
        </row>
        <row r="792">
          <cell r="A792">
            <v>480902</v>
          </cell>
          <cell r="B792">
            <v>3</v>
          </cell>
          <cell r="C792">
            <v>0</v>
          </cell>
          <cell r="D792">
            <v>5</v>
          </cell>
          <cell r="E792" t="str">
            <v>NON-HS</v>
          </cell>
          <cell r="F792" t="str">
            <v>Alhambra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3.09278350515464E-2</v>
          </cell>
          <cell r="O792">
            <v>0</v>
          </cell>
          <cell r="P792">
            <v>1</v>
          </cell>
        </row>
        <row r="793">
          <cell r="A793">
            <v>481604</v>
          </cell>
          <cell r="B793">
            <v>3</v>
          </cell>
          <cell r="C793">
            <v>0</v>
          </cell>
          <cell r="D793">
            <v>5</v>
          </cell>
          <cell r="E793" t="str">
            <v>NON-HS</v>
          </cell>
          <cell r="F793" t="str">
            <v>Alhambra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3.09278350515464E-2</v>
          </cell>
          <cell r="O793">
            <v>0</v>
          </cell>
          <cell r="P793">
            <v>1</v>
          </cell>
        </row>
        <row r="794">
          <cell r="A794">
            <v>482301</v>
          </cell>
          <cell r="B794">
            <v>3</v>
          </cell>
          <cell r="C794">
            <v>0</v>
          </cell>
          <cell r="D794">
            <v>5</v>
          </cell>
          <cell r="E794" t="str">
            <v>NON-HS</v>
          </cell>
          <cell r="F794" t="str">
            <v>San Gabriel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3.09278350515464E-2</v>
          </cell>
          <cell r="O794">
            <v>0</v>
          </cell>
          <cell r="P794">
            <v>1</v>
          </cell>
        </row>
        <row r="795">
          <cell r="A795">
            <v>482800</v>
          </cell>
          <cell r="B795">
            <v>3</v>
          </cell>
          <cell r="C795">
            <v>0</v>
          </cell>
          <cell r="D795">
            <v>1</v>
          </cell>
          <cell r="E795" t="str">
            <v>NON-HS</v>
          </cell>
          <cell r="F795" t="str">
            <v>Monterey Park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3.09278350515464E-2</v>
          </cell>
          <cell r="O795">
            <v>0</v>
          </cell>
          <cell r="P795">
            <v>1</v>
          </cell>
        </row>
        <row r="796">
          <cell r="A796">
            <v>403324</v>
          </cell>
          <cell r="B796">
            <v>3</v>
          </cell>
          <cell r="C796">
            <v>0</v>
          </cell>
          <cell r="D796">
            <v>4</v>
          </cell>
          <cell r="E796" t="str">
            <v>NON-HS</v>
          </cell>
          <cell r="F796" t="str">
            <v>Diamond Bar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3.09278350515464E-2</v>
          </cell>
          <cell r="O796">
            <v>0</v>
          </cell>
          <cell r="P796">
            <v>1</v>
          </cell>
        </row>
        <row r="797">
          <cell r="A797">
            <v>481605</v>
          </cell>
          <cell r="B797">
            <v>3</v>
          </cell>
          <cell r="C797">
            <v>0</v>
          </cell>
          <cell r="D797">
            <v>5</v>
          </cell>
          <cell r="E797" t="str">
            <v>NON-HS</v>
          </cell>
          <cell r="F797" t="str">
            <v>Alhambra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3.09278350515464E-2</v>
          </cell>
          <cell r="O797">
            <v>0</v>
          </cell>
          <cell r="P797">
            <v>1</v>
          </cell>
        </row>
        <row r="798">
          <cell r="A798">
            <v>402703</v>
          </cell>
          <cell r="B798">
            <v>3</v>
          </cell>
          <cell r="C798">
            <v>0</v>
          </cell>
          <cell r="D798">
            <v>1</v>
          </cell>
          <cell r="E798" t="str">
            <v>NON-HS</v>
          </cell>
          <cell r="F798" t="str">
            <v>Pomona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3.09278350515464E-2</v>
          </cell>
          <cell r="O798">
            <v>0</v>
          </cell>
          <cell r="P798">
            <v>1</v>
          </cell>
        </row>
        <row r="799">
          <cell r="A799">
            <v>481603</v>
          </cell>
          <cell r="B799">
            <v>3</v>
          </cell>
          <cell r="C799">
            <v>0</v>
          </cell>
          <cell r="D799">
            <v>5</v>
          </cell>
          <cell r="E799" t="str">
            <v>NON-HS</v>
          </cell>
          <cell r="F799" t="str">
            <v>Alhambra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3.09278350515464E-2</v>
          </cell>
          <cell r="O799">
            <v>0</v>
          </cell>
          <cell r="P799">
            <v>1</v>
          </cell>
        </row>
        <row r="800">
          <cell r="A800">
            <v>400207</v>
          </cell>
          <cell r="B800">
            <v>3</v>
          </cell>
          <cell r="C800">
            <v>0</v>
          </cell>
          <cell r="D800">
            <v>5</v>
          </cell>
          <cell r="E800" t="str">
            <v>NON-HS</v>
          </cell>
          <cell r="F800" t="str">
            <v>La Verne</v>
          </cell>
          <cell r="G800">
            <v>0</v>
          </cell>
          <cell r="H800">
            <v>0</v>
          </cell>
          <cell r="I800">
            <v>1</v>
          </cell>
          <cell r="J800">
            <v>0</v>
          </cell>
          <cell r="K800">
            <v>1</v>
          </cell>
          <cell r="L800">
            <v>0</v>
          </cell>
          <cell r="M800">
            <v>1</v>
          </cell>
          <cell r="N800">
            <v>3.09278350515464E-2</v>
          </cell>
          <cell r="O800">
            <v>0</v>
          </cell>
          <cell r="P800">
            <v>1</v>
          </cell>
        </row>
        <row r="801">
          <cell r="A801">
            <v>403408</v>
          </cell>
          <cell r="B801">
            <v>3</v>
          </cell>
          <cell r="C801">
            <v>0</v>
          </cell>
          <cell r="D801">
            <v>1</v>
          </cell>
          <cell r="E801" t="str">
            <v>NON-HS</v>
          </cell>
          <cell r="F801" t="str">
            <v>Walnut</v>
          </cell>
          <cell r="G801">
            <v>0</v>
          </cell>
          <cell r="H801">
            <v>0</v>
          </cell>
          <cell r="I801">
            <v>1</v>
          </cell>
          <cell r="J801">
            <v>0</v>
          </cell>
          <cell r="K801">
            <v>1</v>
          </cell>
          <cell r="L801">
            <v>0</v>
          </cell>
          <cell r="M801">
            <v>1</v>
          </cell>
          <cell r="N801">
            <v>3.09278350515464E-2</v>
          </cell>
          <cell r="O801">
            <v>0</v>
          </cell>
          <cell r="P801">
            <v>1</v>
          </cell>
        </row>
        <row r="802">
          <cell r="A802">
            <v>403304</v>
          </cell>
          <cell r="B802">
            <v>3</v>
          </cell>
          <cell r="C802">
            <v>0</v>
          </cell>
          <cell r="D802">
            <v>4</v>
          </cell>
          <cell r="E802" t="str">
            <v>NON-HS</v>
          </cell>
          <cell r="F802" t="str">
            <v>Diamond Bar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3.09278350515464E-2</v>
          </cell>
          <cell r="O802">
            <v>0</v>
          </cell>
          <cell r="P802">
            <v>1</v>
          </cell>
        </row>
        <row r="803">
          <cell r="A803">
            <v>430803</v>
          </cell>
          <cell r="B803">
            <v>3</v>
          </cell>
          <cell r="C803">
            <v>0</v>
          </cell>
          <cell r="D803">
            <v>5</v>
          </cell>
          <cell r="E803" t="str">
            <v>NON-HS</v>
          </cell>
          <cell r="F803" t="str">
            <v>Arcadia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3.09278350515464E-2</v>
          </cell>
          <cell r="O803">
            <v>0</v>
          </cell>
          <cell r="P803">
            <v>1</v>
          </cell>
        </row>
        <row r="804">
          <cell r="A804">
            <v>432602</v>
          </cell>
          <cell r="B804">
            <v>3</v>
          </cell>
          <cell r="C804">
            <v>0</v>
          </cell>
          <cell r="D804">
            <v>1</v>
          </cell>
          <cell r="E804" t="str">
            <v>NON-HS</v>
          </cell>
          <cell r="F804" t="str">
            <v>El Monte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3.09278350515464E-2</v>
          </cell>
          <cell r="O804">
            <v>0</v>
          </cell>
          <cell r="P804">
            <v>1</v>
          </cell>
        </row>
        <row r="805">
          <cell r="A805">
            <v>400302</v>
          </cell>
          <cell r="B805">
            <v>3</v>
          </cell>
          <cell r="C805">
            <v>0</v>
          </cell>
          <cell r="D805">
            <v>5</v>
          </cell>
          <cell r="E805" t="str">
            <v>NON-HS</v>
          </cell>
          <cell r="F805" t="str">
            <v>La Verne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3.09278350515464E-2</v>
          </cell>
          <cell r="O805">
            <v>0</v>
          </cell>
          <cell r="P805">
            <v>1</v>
          </cell>
        </row>
        <row r="806">
          <cell r="A806">
            <v>402804</v>
          </cell>
          <cell r="B806">
            <v>3</v>
          </cell>
          <cell r="C806">
            <v>0</v>
          </cell>
          <cell r="D806">
            <v>1</v>
          </cell>
          <cell r="E806" t="str">
            <v>NON-HS</v>
          </cell>
          <cell r="F806" t="str">
            <v>Pomona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3.09278350515464E-2</v>
          </cell>
          <cell r="O806">
            <v>0</v>
          </cell>
          <cell r="P806">
            <v>1</v>
          </cell>
        </row>
        <row r="807">
          <cell r="A807">
            <v>480002</v>
          </cell>
          <cell r="B807">
            <v>3</v>
          </cell>
          <cell r="C807">
            <v>0</v>
          </cell>
          <cell r="D807">
            <v>5</v>
          </cell>
          <cell r="E807" t="str">
            <v>NON-HS</v>
          </cell>
          <cell r="F807" t="str">
            <v>East San Gabriel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3.09278350515464E-2</v>
          </cell>
          <cell r="O807">
            <v>0</v>
          </cell>
          <cell r="P807">
            <v>1</v>
          </cell>
        </row>
        <row r="808">
          <cell r="A808">
            <v>431700</v>
          </cell>
          <cell r="B808">
            <v>3</v>
          </cell>
          <cell r="C808">
            <v>0</v>
          </cell>
          <cell r="D808">
            <v>5</v>
          </cell>
          <cell r="E808" t="str">
            <v>NON-HS</v>
          </cell>
          <cell r="F808" t="str">
            <v>Arcadia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3.09278350515464E-2</v>
          </cell>
          <cell r="O808">
            <v>0</v>
          </cell>
          <cell r="P808">
            <v>1</v>
          </cell>
        </row>
        <row r="809">
          <cell r="A809">
            <v>481103</v>
          </cell>
          <cell r="B809">
            <v>3</v>
          </cell>
          <cell r="C809">
            <v>0</v>
          </cell>
          <cell r="D809">
            <v>5</v>
          </cell>
          <cell r="E809" t="str">
            <v>NON-HS</v>
          </cell>
          <cell r="F809" t="str">
            <v>San Gabriel</v>
          </cell>
          <cell r="G809">
            <v>0</v>
          </cell>
          <cell r="H809">
            <v>0</v>
          </cell>
          <cell r="I809">
            <v>1</v>
          </cell>
          <cell r="J809">
            <v>0</v>
          </cell>
          <cell r="K809">
            <v>1</v>
          </cell>
          <cell r="L809">
            <v>0</v>
          </cell>
          <cell r="M809">
            <v>1</v>
          </cell>
          <cell r="N809">
            <v>3.09278350515464E-2</v>
          </cell>
          <cell r="O809">
            <v>0</v>
          </cell>
          <cell r="P809">
            <v>1</v>
          </cell>
        </row>
        <row r="810">
          <cell r="A810">
            <v>408627</v>
          </cell>
          <cell r="B810">
            <v>3</v>
          </cell>
          <cell r="C810">
            <v>0</v>
          </cell>
          <cell r="D810">
            <v>4</v>
          </cell>
          <cell r="E810" t="str">
            <v>NON-HS</v>
          </cell>
          <cell r="F810" t="str">
            <v>Rowland Heights</v>
          </cell>
          <cell r="G810">
            <v>0</v>
          </cell>
          <cell r="H810">
            <v>0</v>
          </cell>
          <cell r="I810">
            <v>1.7030000000000001</v>
          </cell>
          <cell r="J810">
            <v>1.6812916200000001</v>
          </cell>
          <cell r="K810">
            <v>1.6812916200000001</v>
          </cell>
          <cell r="L810">
            <v>2.14919317594255E-2</v>
          </cell>
          <cell r="M810">
            <v>1.7027835517594301</v>
          </cell>
          <cell r="N810">
            <v>3.09278350515464E-2</v>
          </cell>
          <cell r="O810">
            <v>0</v>
          </cell>
          <cell r="P810">
            <v>1</v>
          </cell>
        </row>
        <row r="811">
          <cell r="A811">
            <v>408631</v>
          </cell>
          <cell r="B811">
            <v>3</v>
          </cell>
          <cell r="C811">
            <v>0</v>
          </cell>
          <cell r="D811">
            <v>4</v>
          </cell>
          <cell r="E811" t="str">
            <v>NON-HS</v>
          </cell>
          <cell r="F811" t="str">
            <v>Hacienda Heights</v>
          </cell>
          <cell r="G811">
            <v>0</v>
          </cell>
          <cell r="H811">
            <v>0</v>
          </cell>
          <cell r="I811">
            <v>5.0209999999999999</v>
          </cell>
          <cell r="J811">
            <v>3.8885795999999999</v>
          </cell>
          <cell r="K811">
            <v>4.8885795999999999</v>
          </cell>
          <cell r="L811">
            <v>0.131797923464991</v>
          </cell>
          <cell r="M811">
            <v>5.0203775234649903</v>
          </cell>
          <cell r="N811">
            <v>3.09278350515464E-2</v>
          </cell>
          <cell r="O811">
            <v>0</v>
          </cell>
          <cell r="P811">
            <v>1</v>
          </cell>
        </row>
        <row r="812">
          <cell r="A812">
            <v>406701</v>
          </cell>
          <cell r="B812">
            <v>3</v>
          </cell>
          <cell r="C812">
            <v>0</v>
          </cell>
          <cell r="D812">
            <v>1</v>
          </cell>
          <cell r="E812" t="str">
            <v>NON-HS</v>
          </cell>
          <cell r="F812" t="str">
            <v>West Covina</v>
          </cell>
          <cell r="G812">
            <v>0</v>
          </cell>
          <cell r="H812">
            <v>0</v>
          </cell>
          <cell r="I812">
            <v>1.9259999999999999</v>
          </cell>
          <cell r="J812">
            <v>1.90487994</v>
          </cell>
          <cell r="K812">
            <v>1.90487994</v>
          </cell>
          <cell r="L812">
            <v>2.0625322082585301E-2</v>
          </cell>
          <cell r="M812">
            <v>1.9255052620825901</v>
          </cell>
          <cell r="N812">
            <v>3.09278350515464E-2</v>
          </cell>
          <cell r="O812">
            <v>0</v>
          </cell>
          <cell r="P812">
            <v>1</v>
          </cell>
        </row>
        <row r="813">
          <cell r="A813">
            <v>408211</v>
          </cell>
          <cell r="B813">
            <v>3</v>
          </cell>
          <cell r="C813">
            <v>0</v>
          </cell>
          <cell r="D813">
            <v>1</v>
          </cell>
          <cell r="E813" t="str">
            <v>NON-HS</v>
          </cell>
          <cell r="F813" t="str">
            <v>Industry</v>
          </cell>
          <cell r="G813">
            <v>0</v>
          </cell>
          <cell r="H813">
            <v>0</v>
          </cell>
          <cell r="I813">
            <v>3.9260000000000002</v>
          </cell>
          <cell r="J813">
            <v>1.90487994</v>
          </cell>
          <cell r="K813">
            <v>3.9048799399999998</v>
          </cell>
          <cell r="L813">
            <v>2.0625322082585301E-2</v>
          </cell>
          <cell r="M813">
            <v>3.9255052620825901</v>
          </cell>
          <cell r="N813">
            <v>3.09278350515464E-2</v>
          </cell>
          <cell r="O813">
            <v>0</v>
          </cell>
          <cell r="P813">
            <v>1</v>
          </cell>
        </row>
        <row r="814">
          <cell r="A814">
            <v>401602</v>
          </cell>
          <cell r="B814">
            <v>3</v>
          </cell>
          <cell r="C814">
            <v>0</v>
          </cell>
          <cell r="D814">
            <v>5</v>
          </cell>
          <cell r="E814" t="str">
            <v>NON-HS</v>
          </cell>
          <cell r="F814" t="str">
            <v>La Verne</v>
          </cell>
          <cell r="G814">
            <v>0</v>
          </cell>
          <cell r="H814">
            <v>0</v>
          </cell>
          <cell r="I814">
            <v>1.591</v>
          </cell>
          <cell r="J814">
            <v>1.43919657</v>
          </cell>
          <cell r="K814">
            <v>1.43919657</v>
          </cell>
          <cell r="L814">
            <v>0.15145200614003601</v>
          </cell>
          <cell r="M814">
            <v>1.59064857614004</v>
          </cell>
          <cell r="N814">
            <v>3.09278350515464E-2</v>
          </cell>
          <cell r="O814">
            <v>0</v>
          </cell>
          <cell r="P814">
            <v>1</v>
          </cell>
        </row>
        <row r="815">
          <cell r="A815">
            <v>482201</v>
          </cell>
          <cell r="B815">
            <v>3</v>
          </cell>
          <cell r="C815">
            <v>0</v>
          </cell>
          <cell r="D815">
            <v>1</v>
          </cell>
          <cell r="E815" t="str">
            <v>NON-HS</v>
          </cell>
          <cell r="F815" t="str">
            <v>Monterey Park</v>
          </cell>
          <cell r="G815">
            <v>0</v>
          </cell>
          <cell r="H815">
            <v>0</v>
          </cell>
          <cell r="I815">
            <v>1.591</v>
          </cell>
          <cell r="J815">
            <v>1.43919657</v>
          </cell>
          <cell r="K815">
            <v>1.43919657</v>
          </cell>
          <cell r="L815">
            <v>0.15145200614003601</v>
          </cell>
          <cell r="M815">
            <v>1.59064857614004</v>
          </cell>
          <cell r="N815">
            <v>3.09278350515464E-2</v>
          </cell>
          <cell r="O815">
            <v>0</v>
          </cell>
          <cell r="P815">
            <v>1</v>
          </cell>
        </row>
        <row r="816">
          <cell r="A816">
            <v>400900</v>
          </cell>
          <cell r="B816">
            <v>3</v>
          </cell>
          <cell r="C816">
            <v>0</v>
          </cell>
          <cell r="D816">
            <v>5</v>
          </cell>
          <cell r="E816" t="str">
            <v>NON-HS</v>
          </cell>
          <cell r="F816" t="str">
            <v>Glendora</v>
          </cell>
          <cell r="G816">
            <v>0</v>
          </cell>
          <cell r="H816">
            <v>0</v>
          </cell>
          <cell r="I816">
            <v>1</v>
          </cell>
          <cell r="J816">
            <v>0</v>
          </cell>
          <cell r="K816">
            <v>1</v>
          </cell>
          <cell r="L816">
            <v>0</v>
          </cell>
          <cell r="M816">
            <v>1</v>
          </cell>
          <cell r="N816">
            <v>3.09278350515464E-2</v>
          </cell>
          <cell r="O816">
            <v>0</v>
          </cell>
          <cell r="P816">
            <v>1</v>
          </cell>
        </row>
        <row r="817">
          <cell r="A817">
            <v>403312</v>
          </cell>
          <cell r="B817">
            <v>3</v>
          </cell>
          <cell r="C817">
            <v>0</v>
          </cell>
          <cell r="D817">
            <v>1</v>
          </cell>
          <cell r="E817" t="str">
            <v>NON-HS</v>
          </cell>
          <cell r="F817" t="str">
            <v>Industry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3.09278350515464E-2</v>
          </cell>
          <cell r="O817">
            <v>0</v>
          </cell>
          <cell r="P817">
            <v>1</v>
          </cell>
        </row>
        <row r="818">
          <cell r="A818">
            <v>403401</v>
          </cell>
          <cell r="B818">
            <v>3</v>
          </cell>
          <cell r="C818">
            <v>0</v>
          </cell>
          <cell r="D818">
            <v>1</v>
          </cell>
          <cell r="E818" t="str">
            <v>NON-HS</v>
          </cell>
          <cell r="F818" t="str">
            <v>Walnut</v>
          </cell>
          <cell r="G818">
            <v>0</v>
          </cell>
          <cell r="H818">
            <v>0</v>
          </cell>
          <cell r="I818">
            <v>2.0950000000000002</v>
          </cell>
          <cell r="J818">
            <v>1.9836996600000001</v>
          </cell>
          <cell r="K818">
            <v>1.9836996600000001</v>
          </cell>
          <cell r="L818">
            <v>0.11117260138240601</v>
          </cell>
          <cell r="M818">
            <v>2.09487226138241</v>
          </cell>
          <cell r="N818">
            <v>3.09278350515464E-2</v>
          </cell>
          <cell r="O818">
            <v>0</v>
          </cell>
          <cell r="P818">
            <v>1</v>
          </cell>
        </row>
        <row r="819">
          <cell r="A819">
            <v>405301</v>
          </cell>
          <cell r="B819">
            <v>3</v>
          </cell>
          <cell r="C819">
            <v>0</v>
          </cell>
          <cell r="D819">
            <v>1</v>
          </cell>
          <cell r="E819" t="str">
            <v>NON-HS</v>
          </cell>
          <cell r="F819" t="str">
            <v>West Covina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3.09278350515464E-2</v>
          </cell>
          <cell r="O819">
            <v>0</v>
          </cell>
          <cell r="P819">
            <v>1</v>
          </cell>
        </row>
        <row r="820">
          <cell r="A820">
            <v>403316</v>
          </cell>
          <cell r="B820">
            <v>3</v>
          </cell>
          <cell r="C820">
            <v>0</v>
          </cell>
          <cell r="D820">
            <v>4</v>
          </cell>
          <cell r="E820" t="str">
            <v>NON-HS</v>
          </cell>
          <cell r="F820" t="str">
            <v>Diamond Bar</v>
          </cell>
          <cell r="G820">
            <v>0</v>
          </cell>
          <cell r="H820">
            <v>0</v>
          </cell>
          <cell r="I820">
            <v>2.0950000000000002</v>
          </cell>
          <cell r="J820">
            <v>1.9836996600000001</v>
          </cell>
          <cell r="K820">
            <v>1.9836996600000001</v>
          </cell>
          <cell r="L820">
            <v>0.11117260138240601</v>
          </cell>
          <cell r="M820">
            <v>2.09487226138241</v>
          </cell>
          <cell r="N820">
            <v>3.09278350515464E-2</v>
          </cell>
          <cell r="O820">
            <v>0</v>
          </cell>
          <cell r="P820">
            <v>1</v>
          </cell>
        </row>
        <row r="821">
          <cell r="A821">
            <v>430400</v>
          </cell>
          <cell r="B821">
            <v>3</v>
          </cell>
          <cell r="C821">
            <v>0</v>
          </cell>
          <cell r="D821">
            <v>5</v>
          </cell>
          <cell r="E821" t="str">
            <v>NON-HS</v>
          </cell>
          <cell r="F821" t="str">
            <v>Arcadia</v>
          </cell>
          <cell r="G821">
            <v>0</v>
          </cell>
          <cell r="H821">
            <v>0</v>
          </cell>
          <cell r="I821">
            <v>1</v>
          </cell>
          <cell r="J821">
            <v>0</v>
          </cell>
          <cell r="K821">
            <v>1</v>
          </cell>
          <cell r="L821">
            <v>0</v>
          </cell>
          <cell r="M821">
            <v>1</v>
          </cell>
          <cell r="N821">
            <v>3.09278350515464E-2</v>
          </cell>
          <cell r="O821">
            <v>0</v>
          </cell>
          <cell r="P821">
            <v>1</v>
          </cell>
        </row>
        <row r="822">
          <cell r="A822">
            <v>402404</v>
          </cell>
          <cell r="B822">
            <v>3</v>
          </cell>
          <cell r="C822">
            <v>0</v>
          </cell>
          <cell r="D822">
            <v>5</v>
          </cell>
          <cell r="E822" t="str">
            <v>NON-HS</v>
          </cell>
          <cell r="F822" t="str">
            <v>Pomona</v>
          </cell>
          <cell r="G822">
            <v>0</v>
          </cell>
          <cell r="H822">
            <v>0</v>
          </cell>
          <cell r="I822">
            <v>4.181</v>
          </cell>
          <cell r="J822">
            <v>2.87839314</v>
          </cell>
          <cell r="K822">
            <v>3.87839314</v>
          </cell>
          <cell r="L822">
            <v>0.30290401228007202</v>
          </cell>
          <cell r="M822">
            <v>4.1812971522800702</v>
          </cell>
          <cell r="N822">
            <v>3.09278350515464E-2</v>
          </cell>
          <cell r="O822">
            <v>0</v>
          </cell>
          <cell r="P822">
            <v>1</v>
          </cell>
        </row>
        <row r="823">
          <cell r="A823">
            <v>400404</v>
          </cell>
          <cell r="B823">
            <v>3</v>
          </cell>
          <cell r="C823">
            <v>0</v>
          </cell>
          <cell r="D823">
            <v>5</v>
          </cell>
          <cell r="E823" t="str">
            <v>NON-HS</v>
          </cell>
          <cell r="F823" t="str">
            <v>Glendora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3.09278350515464E-2</v>
          </cell>
          <cell r="O823">
            <v>0</v>
          </cell>
          <cell r="P823">
            <v>1</v>
          </cell>
        </row>
        <row r="824">
          <cell r="A824">
            <v>481401</v>
          </cell>
          <cell r="B824">
            <v>3</v>
          </cell>
          <cell r="C824">
            <v>0</v>
          </cell>
          <cell r="D824">
            <v>5</v>
          </cell>
          <cell r="E824" t="str">
            <v>NON-HS</v>
          </cell>
          <cell r="F824" t="str">
            <v>San Gabriel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3.09278350515464E-2</v>
          </cell>
          <cell r="O824">
            <v>0</v>
          </cell>
          <cell r="P824">
            <v>1</v>
          </cell>
        </row>
        <row r="825">
          <cell r="A825">
            <v>402301</v>
          </cell>
          <cell r="B825">
            <v>3</v>
          </cell>
          <cell r="C825">
            <v>0</v>
          </cell>
          <cell r="D825">
            <v>1</v>
          </cell>
          <cell r="E825" t="str">
            <v>NON-HS</v>
          </cell>
          <cell r="F825" t="str">
            <v>Pomona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3.09278350515464E-2</v>
          </cell>
          <cell r="O825">
            <v>0</v>
          </cell>
          <cell r="P825">
            <v>1</v>
          </cell>
        </row>
        <row r="826">
          <cell r="A826">
            <v>403406</v>
          </cell>
          <cell r="B826">
            <v>3</v>
          </cell>
          <cell r="C826">
            <v>0</v>
          </cell>
          <cell r="D826">
            <v>1</v>
          </cell>
          <cell r="E826" t="str">
            <v>NON-HS</v>
          </cell>
          <cell r="F826" t="str">
            <v>Walnut</v>
          </cell>
          <cell r="G826">
            <v>1</v>
          </cell>
          <cell r="H826">
            <v>1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3.09278350515464E-2</v>
          </cell>
          <cell r="O826">
            <v>32.3333333333333</v>
          </cell>
          <cell r="P826">
            <v>1</v>
          </cell>
        </row>
        <row r="827">
          <cell r="A827">
            <v>402001</v>
          </cell>
          <cell r="B827">
            <v>3</v>
          </cell>
          <cell r="C827">
            <v>0</v>
          </cell>
          <cell r="D827">
            <v>1</v>
          </cell>
          <cell r="E827" t="str">
            <v>NON-HS</v>
          </cell>
          <cell r="F827" t="str">
            <v>Claremont</v>
          </cell>
          <cell r="G827">
            <v>0</v>
          </cell>
          <cell r="H827">
            <v>0</v>
          </cell>
          <cell r="I827">
            <v>1.9259999999999999</v>
          </cell>
          <cell r="J827">
            <v>1.90487994</v>
          </cell>
          <cell r="K827">
            <v>1.90487994</v>
          </cell>
          <cell r="L827">
            <v>2.0625322082585301E-2</v>
          </cell>
          <cell r="M827">
            <v>1.9255052620825901</v>
          </cell>
          <cell r="N827">
            <v>3.09278350515464E-2</v>
          </cell>
          <cell r="O827">
            <v>0</v>
          </cell>
          <cell r="P827">
            <v>1</v>
          </cell>
        </row>
        <row r="828">
          <cell r="A828">
            <v>405101</v>
          </cell>
          <cell r="B828">
            <v>3</v>
          </cell>
          <cell r="C828">
            <v>0</v>
          </cell>
          <cell r="D828">
            <v>1</v>
          </cell>
          <cell r="E828" t="str">
            <v>NON-HS</v>
          </cell>
          <cell r="F828" t="str">
            <v>Baldwin Park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3.09278350515464E-2</v>
          </cell>
          <cell r="O828">
            <v>0</v>
          </cell>
          <cell r="P828">
            <v>1</v>
          </cell>
        </row>
        <row r="829">
          <cell r="A829">
            <v>430301</v>
          </cell>
          <cell r="B829">
            <v>3</v>
          </cell>
          <cell r="C829">
            <v>0</v>
          </cell>
          <cell r="D829">
            <v>5</v>
          </cell>
          <cell r="E829" t="str">
            <v>NON-HS</v>
          </cell>
          <cell r="F829" t="str">
            <v>Monrovia</v>
          </cell>
          <cell r="G829">
            <v>0</v>
          </cell>
          <cell r="H829">
            <v>0</v>
          </cell>
          <cell r="I829">
            <v>4.0949999999999998</v>
          </cell>
          <cell r="J829">
            <v>1.9836996600000001</v>
          </cell>
          <cell r="K829">
            <v>3.9836996600000001</v>
          </cell>
          <cell r="L829">
            <v>0.11117260138240601</v>
          </cell>
          <cell r="M829">
            <v>4.0948722613824096</v>
          </cell>
          <cell r="N829">
            <v>3.09278350515464E-2</v>
          </cell>
          <cell r="O829">
            <v>0</v>
          </cell>
          <cell r="P829">
            <v>1</v>
          </cell>
        </row>
        <row r="830">
          <cell r="A830">
            <v>408724</v>
          </cell>
          <cell r="B830">
            <v>3</v>
          </cell>
          <cell r="C830">
            <v>0</v>
          </cell>
          <cell r="D830">
            <v>4</v>
          </cell>
          <cell r="E830" t="str">
            <v>NON-HS</v>
          </cell>
          <cell r="F830" t="str">
            <v>Rowland Heights</v>
          </cell>
          <cell r="G830">
            <v>0</v>
          </cell>
          <cell r="H830">
            <v>0</v>
          </cell>
          <cell r="I830">
            <v>3.399</v>
          </cell>
          <cell r="J830">
            <v>3.1723287400000002</v>
          </cell>
          <cell r="K830">
            <v>3.1723287400000002</v>
          </cell>
          <cell r="L830">
            <v>0.22643751642728899</v>
          </cell>
          <cell r="M830">
            <v>3.3987662564272898</v>
          </cell>
          <cell r="N830">
            <v>3.09278350515464E-2</v>
          </cell>
          <cell r="O830">
            <v>0</v>
          </cell>
          <cell r="P830">
            <v>1</v>
          </cell>
        </row>
        <row r="831">
          <cell r="A831">
            <v>408630</v>
          </cell>
          <cell r="B831">
            <v>3</v>
          </cell>
          <cell r="C831">
            <v>0</v>
          </cell>
          <cell r="D831">
            <v>4</v>
          </cell>
          <cell r="E831" t="str">
            <v>NON-HS</v>
          </cell>
          <cell r="F831" t="str">
            <v>Hacienda Heights</v>
          </cell>
          <cell r="G831">
            <v>0</v>
          </cell>
          <cell r="H831">
            <v>0</v>
          </cell>
          <cell r="I831">
            <v>2</v>
          </cell>
          <cell r="J831">
            <v>0</v>
          </cell>
          <cell r="K831">
            <v>2</v>
          </cell>
          <cell r="L831">
            <v>0</v>
          </cell>
          <cell r="M831">
            <v>2</v>
          </cell>
          <cell r="N831">
            <v>3.09278350515464E-2</v>
          </cell>
          <cell r="O831">
            <v>0</v>
          </cell>
          <cell r="P831">
            <v>1</v>
          </cell>
        </row>
        <row r="832">
          <cell r="A832">
            <v>480901</v>
          </cell>
          <cell r="B832">
            <v>3</v>
          </cell>
          <cell r="C832">
            <v>0</v>
          </cell>
          <cell r="D832">
            <v>5</v>
          </cell>
          <cell r="E832" t="str">
            <v>NON-HS</v>
          </cell>
          <cell r="F832" t="str">
            <v>Alhambra</v>
          </cell>
          <cell r="G832">
            <v>0</v>
          </cell>
          <cell r="H832">
            <v>0</v>
          </cell>
          <cell r="I832">
            <v>3.399</v>
          </cell>
          <cell r="J832">
            <v>3.1723287400000002</v>
          </cell>
          <cell r="K832">
            <v>3.1723287400000002</v>
          </cell>
          <cell r="L832">
            <v>0.22643751642728899</v>
          </cell>
          <cell r="M832">
            <v>3.3987662564272898</v>
          </cell>
          <cell r="N832">
            <v>3.09278350515464E-2</v>
          </cell>
          <cell r="O832">
            <v>0</v>
          </cell>
          <cell r="P832">
            <v>1</v>
          </cell>
        </row>
        <row r="833">
          <cell r="A833">
            <v>432101</v>
          </cell>
          <cell r="B833">
            <v>3</v>
          </cell>
          <cell r="C833">
            <v>0</v>
          </cell>
          <cell r="D833">
            <v>5</v>
          </cell>
          <cell r="E833" t="str">
            <v>NON-HS</v>
          </cell>
          <cell r="F833" t="str">
            <v>Temple City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3.09278350515464E-2</v>
          </cell>
          <cell r="O833">
            <v>0</v>
          </cell>
          <cell r="P833">
            <v>1</v>
          </cell>
        </row>
        <row r="834">
          <cell r="A834">
            <v>403405</v>
          </cell>
          <cell r="B834">
            <v>3</v>
          </cell>
          <cell r="C834">
            <v>0</v>
          </cell>
          <cell r="D834">
            <v>1</v>
          </cell>
          <cell r="E834" t="str">
            <v>NON-HS</v>
          </cell>
          <cell r="F834" t="str">
            <v>Walnut</v>
          </cell>
          <cell r="G834">
            <v>0</v>
          </cell>
          <cell r="H834">
            <v>0</v>
          </cell>
          <cell r="I834">
            <v>2.0950000000000002</v>
          </cell>
          <cell r="J834">
            <v>1.9836996600000001</v>
          </cell>
          <cell r="K834">
            <v>1.9836996600000001</v>
          </cell>
          <cell r="L834">
            <v>0.11117260138240601</v>
          </cell>
          <cell r="M834">
            <v>2.09487226138241</v>
          </cell>
          <cell r="N834">
            <v>3.09278350515464E-2</v>
          </cell>
          <cell r="O834">
            <v>0</v>
          </cell>
          <cell r="P834">
            <v>1</v>
          </cell>
        </row>
        <row r="835">
          <cell r="A835">
            <v>400204</v>
          </cell>
          <cell r="B835">
            <v>3</v>
          </cell>
          <cell r="C835">
            <v>0</v>
          </cell>
          <cell r="D835">
            <v>5</v>
          </cell>
          <cell r="E835" t="str">
            <v>NON-HS</v>
          </cell>
          <cell r="F835" t="str">
            <v>La Verne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3.09278350515464E-2</v>
          </cell>
          <cell r="O835">
            <v>0</v>
          </cell>
          <cell r="P835">
            <v>1</v>
          </cell>
        </row>
        <row r="836">
          <cell r="A836">
            <v>482001</v>
          </cell>
          <cell r="B836">
            <v>3</v>
          </cell>
          <cell r="C836">
            <v>0</v>
          </cell>
          <cell r="D836">
            <v>1</v>
          </cell>
          <cell r="E836" t="str">
            <v>NON-HS</v>
          </cell>
          <cell r="F836" t="str">
            <v>Monterey Park</v>
          </cell>
          <cell r="G836">
            <v>1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3.09278350515464E-2</v>
          </cell>
          <cell r="O836">
            <v>32.3333333333333</v>
          </cell>
          <cell r="P836">
            <v>1</v>
          </cell>
        </row>
        <row r="837">
          <cell r="A837">
            <v>482702</v>
          </cell>
          <cell r="B837">
            <v>3</v>
          </cell>
          <cell r="C837">
            <v>0</v>
          </cell>
          <cell r="D837">
            <v>1</v>
          </cell>
          <cell r="E837" t="str">
            <v>NON-HS</v>
          </cell>
          <cell r="F837" t="str">
            <v>Monterey Park</v>
          </cell>
          <cell r="G837">
            <v>0</v>
          </cell>
          <cell r="H837">
            <v>0</v>
          </cell>
          <cell r="I837">
            <v>1</v>
          </cell>
          <cell r="J837">
            <v>0</v>
          </cell>
          <cell r="K837">
            <v>1</v>
          </cell>
          <cell r="L837">
            <v>0</v>
          </cell>
          <cell r="M837">
            <v>1</v>
          </cell>
          <cell r="N837">
            <v>3.09278350515464E-2</v>
          </cell>
          <cell r="O837">
            <v>0</v>
          </cell>
          <cell r="P837">
            <v>1</v>
          </cell>
        </row>
        <row r="838">
          <cell r="A838">
            <v>408705</v>
          </cell>
          <cell r="B838">
            <v>3</v>
          </cell>
          <cell r="C838">
            <v>0</v>
          </cell>
          <cell r="D838">
            <v>4</v>
          </cell>
          <cell r="E838" t="str">
            <v>NON-HS</v>
          </cell>
          <cell r="F838" t="str">
            <v>Rowland Heights</v>
          </cell>
          <cell r="G838">
            <v>0</v>
          </cell>
          <cell r="H838">
            <v>0</v>
          </cell>
          <cell r="I838">
            <v>3.9260000000000002</v>
          </cell>
          <cell r="J838">
            <v>1.90487994</v>
          </cell>
          <cell r="K838">
            <v>3.9048799399999998</v>
          </cell>
          <cell r="L838">
            <v>2.0625322082585301E-2</v>
          </cell>
          <cell r="M838">
            <v>3.9255052620825901</v>
          </cell>
          <cell r="N838">
            <v>3.09278350515464E-2</v>
          </cell>
          <cell r="O838">
            <v>0</v>
          </cell>
          <cell r="P838">
            <v>1</v>
          </cell>
        </row>
        <row r="839">
          <cell r="A839">
            <v>404503</v>
          </cell>
          <cell r="B839">
            <v>3</v>
          </cell>
          <cell r="C839">
            <v>0</v>
          </cell>
          <cell r="D839">
            <v>1</v>
          </cell>
          <cell r="E839" t="str">
            <v>NON-HS</v>
          </cell>
          <cell r="F839" t="str">
            <v>Azusa</v>
          </cell>
          <cell r="G839">
            <v>0</v>
          </cell>
          <cell r="H839">
            <v>0</v>
          </cell>
          <cell r="I839">
            <v>2.9260000000000002</v>
          </cell>
          <cell r="J839">
            <v>1.90487994</v>
          </cell>
          <cell r="K839">
            <v>2.9048799399999998</v>
          </cell>
          <cell r="L839">
            <v>2.0625322082585301E-2</v>
          </cell>
          <cell r="M839">
            <v>2.9255052620825901</v>
          </cell>
          <cell r="N839">
            <v>3.09278350515464E-2</v>
          </cell>
          <cell r="O839">
            <v>0</v>
          </cell>
          <cell r="P839">
            <v>1</v>
          </cell>
        </row>
        <row r="840">
          <cell r="A840">
            <v>408623</v>
          </cell>
          <cell r="B840">
            <v>3</v>
          </cell>
          <cell r="C840">
            <v>0</v>
          </cell>
          <cell r="D840">
            <v>4</v>
          </cell>
          <cell r="E840" t="str">
            <v>NON-HS</v>
          </cell>
          <cell r="F840" t="str">
            <v>Hacienda Heights</v>
          </cell>
          <cell r="G840">
            <v>0</v>
          </cell>
          <cell r="H840">
            <v>0</v>
          </cell>
          <cell r="I840">
            <v>1</v>
          </cell>
          <cell r="J840">
            <v>0</v>
          </cell>
          <cell r="K840">
            <v>1</v>
          </cell>
          <cell r="L840">
            <v>0</v>
          </cell>
          <cell r="M840">
            <v>1</v>
          </cell>
          <cell r="N840">
            <v>3.09278350515464E-2</v>
          </cell>
          <cell r="O840">
            <v>0</v>
          </cell>
          <cell r="P840">
            <v>1</v>
          </cell>
        </row>
        <row r="841">
          <cell r="A841">
            <v>481606</v>
          </cell>
          <cell r="B841">
            <v>3</v>
          </cell>
          <cell r="C841">
            <v>0</v>
          </cell>
          <cell r="D841">
            <v>5</v>
          </cell>
          <cell r="E841" t="str">
            <v>NON-HS</v>
          </cell>
          <cell r="F841" t="str">
            <v>Alhambra</v>
          </cell>
          <cell r="G841">
            <v>0</v>
          </cell>
          <cell r="H841">
            <v>0</v>
          </cell>
          <cell r="I841">
            <v>3.181</v>
          </cell>
          <cell r="J841">
            <v>2.87839314</v>
          </cell>
          <cell r="K841">
            <v>2.87839314</v>
          </cell>
          <cell r="L841">
            <v>0.30290401228007202</v>
          </cell>
          <cell r="M841">
            <v>3.1812971522800702</v>
          </cell>
          <cell r="N841">
            <v>3.09278350515464E-2</v>
          </cell>
          <cell r="O841">
            <v>0</v>
          </cell>
          <cell r="P841">
            <v>1</v>
          </cell>
        </row>
        <row r="842">
          <cell r="A842">
            <v>481714</v>
          </cell>
          <cell r="B842">
            <v>3</v>
          </cell>
          <cell r="C842">
            <v>0</v>
          </cell>
          <cell r="D842">
            <v>1</v>
          </cell>
          <cell r="E842" t="str">
            <v>NON-HS</v>
          </cell>
          <cell r="F842" t="str">
            <v>Monterey Park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3.09278350515464E-2</v>
          </cell>
          <cell r="O842">
            <v>0</v>
          </cell>
          <cell r="P842">
            <v>1</v>
          </cell>
        </row>
        <row r="843">
          <cell r="A843">
            <v>480303</v>
          </cell>
          <cell r="B843">
            <v>3</v>
          </cell>
          <cell r="C843">
            <v>0</v>
          </cell>
          <cell r="D843">
            <v>5</v>
          </cell>
          <cell r="E843" t="str">
            <v>NON-HS</v>
          </cell>
          <cell r="F843" t="str">
            <v>Alhambra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3.09278350515464E-2</v>
          </cell>
          <cell r="O843">
            <v>0</v>
          </cell>
          <cell r="P843">
            <v>1</v>
          </cell>
        </row>
        <row r="844">
          <cell r="A844">
            <v>481002</v>
          </cell>
          <cell r="B844">
            <v>3</v>
          </cell>
          <cell r="C844">
            <v>0</v>
          </cell>
          <cell r="D844">
            <v>5</v>
          </cell>
          <cell r="E844" t="str">
            <v>NON-HS</v>
          </cell>
          <cell r="F844" t="str">
            <v>Alhambra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3.09278350515464E-2</v>
          </cell>
          <cell r="O844">
            <v>0</v>
          </cell>
          <cell r="P844">
            <v>1</v>
          </cell>
        </row>
        <row r="845">
          <cell r="A845">
            <v>430502</v>
          </cell>
          <cell r="B845">
            <v>3</v>
          </cell>
          <cell r="C845">
            <v>0</v>
          </cell>
          <cell r="D845">
            <v>5</v>
          </cell>
          <cell r="E845" t="str">
            <v>NON-HS</v>
          </cell>
          <cell r="F845" t="str">
            <v>Sierra Madre</v>
          </cell>
          <cell r="G845">
            <v>0</v>
          </cell>
          <cell r="H845">
            <v>0</v>
          </cell>
          <cell r="I845">
            <v>1</v>
          </cell>
          <cell r="J845">
            <v>0</v>
          </cell>
          <cell r="K845">
            <v>1</v>
          </cell>
          <cell r="L845">
            <v>0</v>
          </cell>
          <cell r="M845">
            <v>1</v>
          </cell>
          <cell r="N845">
            <v>3.09278350515464E-2</v>
          </cell>
          <cell r="O845">
            <v>0</v>
          </cell>
          <cell r="P845">
            <v>1</v>
          </cell>
        </row>
        <row r="846">
          <cell r="A846">
            <v>403323</v>
          </cell>
          <cell r="B846">
            <v>3</v>
          </cell>
          <cell r="C846">
            <v>0</v>
          </cell>
          <cell r="D846">
            <v>4</v>
          </cell>
          <cell r="E846" t="str">
            <v>NON-HS</v>
          </cell>
          <cell r="F846" t="str">
            <v>Diamond Bar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3.09278350515464E-2</v>
          </cell>
          <cell r="O846">
            <v>0</v>
          </cell>
          <cell r="P846">
            <v>1</v>
          </cell>
        </row>
        <row r="847">
          <cell r="A847">
            <v>404000</v>
          </cell>
          <cell r="B847">
            <v>3</v>
          </cell>
          <cell r="C847">
            <v>0</v>
          </cell>
          <cell r="D847">
            <v>1</v>
          </cell>
          <cell r="E847" t="str">
            <v>NON-HS</v>
          </cell>
          <cell r="F847" t="str">
            <v>Citrus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3.09278350515464E-2</v>
          </cell>
          <cell r="O847">
            <v>0</v>
          </cell>
          <cell r="P847">
            <v>1</v>
          </cell>
        </row>
        <row r="848">
          <cell r="A848">
            <v>460000</v>
          </cell>
          <cell r="B848">
            <v>3</v>
          </cell>
          <cell r="C848">
            <v>0</v>
          </cell>
          <cell r="D848">
            <v>5</v>
          </cell>
          <cell r="E848" t="str">
            <v>NON-HS</v>
          </cell>
          <cell r="F848" t="str">
            <v>Kinneloa Mesa</v>
          </cell>
          <cell r="G848">
            <v>0</v>
          </cell>
          <cell r="H848">
            <v>0</v>
          </cell>
          <cell r="I848">
            <v>1</v>
          </cell>
          <cell r="J848">
            <v>0</v>
          </cell>
          <cell r="K848">
            <v>1</v>
          </cell>
          <cell r="L848">
            <v>0</v>
          </cell>
          <cell r="M848">
            <v>1</v>
          </cell>
          <cell r="N848">
            <v>3.09278350515464E-2</v>
          </cell>
          <cell r="O848">
            <v>0</v>
          </cell>
          <cell r="P848">
            <v>1</v>
          </cell>
        </row>
        <row r="849">
          <cell r="A849">
            <v>481800</v>
          </cell>
          <cell r="B849">
            <v>3</v>
          </cell>
          <cell r="C849">
            <v>0</v>
          </cell>
          <cell r="D849">
            <v>5</v>
          </cell>
          <cell r="E849" t="str">
            <v>NON-HS</v>
          </cell>
          <cell r="F849" t="str">
            <v>Alhambra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3.09278350515464E-2</v>
          </cell>
          <cell r="O849">
            <v>0</v>
          </cell>
          <cell r="P849">
            <v>1</v>
          </cell>
        </row>
        <row r="850">
          <cell r="A850">
            <v>400205</v>
          </cell>
          <cell r="B850">
            <v>3</v>
          </cell>
          <cell r="C850">
            <v>0</v>
          </cell>
          <cell r="D850">
            <v>1</v>
          </cell>
          <cell r="E850" t="str">
            <v>NON-HS</v>
          </cell>
          <cell r="F850" t="str">
            <v>Claremont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3.09278350515464E-2</v>
          </cell>
          <cell r="O850">
            <v>0</v>
          </cell>
          <cell r="P850">
            <v>1</v>
          </cell>
        </row>
        <row r="851">
          <cell r="A851">
            <v>480202</v>
          </cell>
          <cell r="B851">
            <v>3</v>
          </cell>
          <cell r="C851">
            <v>0</v>
          </cell>
          <cell r="D851">
            <v>5</v>
          </cell>
          <cell r="E851" t="str">
            <v>NON-HS</v>
          </cell>
          <cell r="F851" t="str">
            <v>San Gabriel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3.09278350515464E-2</v>
          </cell>
          <cell r="O851">
            <v>0</v>
          </cell>
          <cell r="P851">
            <v>1</v>
          </cell>
        </row>
        <row r="852">
          <cell r="A852">
            <v>408136</v>
          </cell>
          <cell r="B852">
            <v>3</v>
          </cell>
          <cell r="C852">
            <v>0</v>
          </cell>
          <cell r="D852">
            <v>1</v>
          </cell>
          <cell r="E852" t="str">
            <v>NON-HS</v>
          </cell>
          <cell r="F852" t="str">
            <v>West Covina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3.09278350515464E-2</v>
          </cell>
          <cell r="O852">
            <v>0</v>
          </cell>
          <cell r="P852">
            <v>1</v>
          </cell>
        </row>
        <row r="853">
          <cell r="A853">
            <v>480903</v>
          </cell>
          <cell r="B853">
            <v>3</v>
          </cell>
          <cell r="C853">
            <v>0</v>
          </cell>
          <cell r="D853">
            <v>5</v>
          </cell>
          <cell r="E853" t="str">
            <v>NON-HS</v>
          </cell>
          <cell r="F853" t="str">
            <v>Alhambra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3.09278350515464E-2</v>
          </cell>
          <cell r="O853">
            <v>0</v>
          </cell>
          <cell r="P853">
            <v>1</v>
          </cell>
        </row>
        <row r="854">
          <cell r="A854">
            <v>480804</v>
          </cell>
          <cell r="B854">
            <v>3</v>
          </cell>
          <cell r="C854">
            <v>0</v>
          </cell>
          <cell r="D854">
            <v>5</v>
          </cell>
          <cell r="E854" t="str">
            <v>NON-HS</v>
          </cell>
          <cell r="F854" t="str">
            <v>Alhambra</v>
          </cell>
          <cell r="G854">
            <v>0</v>
          </cell>
          <cell r="H854">
            <v>0</v>
          </cell>
          <cell r="I854">
            <v>3.181</v>
          </cell>
          <cell r="J854">
            <v>2.87839314</v>
          </cell>
          <cell r="K854">
            <v>2.87839314</v>
          </cell>
          <cell r="L854">
            <v>0.30290401228007202</v>
          </cell>
          <cell r="M854">
            <v>3.1812971522800702</v>
          </cell>
          <cell r="N854">
            <v>3.09278350515464E-2</v>
          </cell>
          <cell r="O854">
            <v>0</v>
          </cell>
          <cell r="P854">
            <v>1</v>
          </cell>
        </row>
        <row r="855">
          <cell r="A855">
            <v>530700</v>
          </cell>
          <cell r="B855">
            <v>4</v>
          </cell>
          <cell r="C855">
            <v>0</v>
          </cell>
          <cell r="D855">
            <v>1</v>
          </cell>
          <cell r="E855" t="str">
            <v>NON-HS</v>
          </cell>
          <cell r="F855" t="str">
            <v>East Los Angeles</v>
          </cell>
          <cell r="G855">
            <v>1</v>
          </cell>
          <cell r="H855">
            <v>1</v>
          </cell>
          <cell r="I855">
            <v>16.681000000000001</v>
          </cell>
          <cell r="J855">
            <v>14.82395921</v>
          </cell>
          <cell r="K855">
            <v>15.82395921</v>
          </cell>
          <cell r="L855">
            <v>0.85728603362657096</v>
          </cell>
          <cell r="M855">
            <v>16.681245243626599</v>
          </cell>
          <cell r="N855">
            <v>2.6315789473684199E-2</v>
          </cell>
          <cell r="O855">
            <v>38</v>
          </cell>
          <cell r="P855">
            <v>6.5789473684210497E-3</v>
          </cell>
        </row>
        <row r="856">
          <cell r="A856">
            <v>702700</v>
          </cell>
          <cell r="B856">
            <v>5</v>
          </cell>
          <cell r="C856">
            <v>0</v>
          </cell>
          <cell r="D856">
            <v>2</v>
          </cell>
          <cell r="E856" t="str">
            <v>NON-HS</v>
          </cell>
          <cell r="F856" t="str">
            <v>Culver City</v>
          </cell>
          <cell r="G856">
            <v>0</v>
          </cell>
          <cell r="H856">
            <v>0</v>
          </cell>
          <cell r="I856">
            <v>5.181</v>
          </cell>
          <cell r="J856">
            <v>2.87839314</v>
          </cell>
          <cell r="K856">
            <v>4.87839314</v>
          </cell>
          <cell r="L856">
            <v>0.30290401228007202</v>
          </cell>
          <cell r="M856">
            <v>5.1812971522800702</v>
          </cell>
          <cell r="N856">
            <v>3.2258064516128997E-2</v>
          </cell>
          <cell r="O856">
            <v>0</v>
          </cell>
          <cell r="P856">
            <v>0.247311827956989</v>
          </cell>
        </row>
        <row r="857">
          <cell r="A857">
            <v>701302</v>
          </cell>
          <cell r="B857">
            <v>5</v>
          </cell>
          <cell r="C857">
            <v>0</v>
          </cell>
          <cell r="D857">
            <v>3</v>
          </cell>
          <cell r="E857" t="str">
            <v>NON-HS</v>
          </cell>
          <cell r="F857" t="str">
            <v>Santa Monica</v>
          </cell>
          <cell r="G857">
            <v>0</v>
          </cell>
          <cell r="H857">
            <v>0</v>
          </cell>
          <cell r="I857">
            <v>3</v>
          </cell>
          <cell r="J857">
            <v>0</v>
          </cell>
          <cell r="K857">
            <v>3</v>
          </cell>
          <cell r="L857">
            <v>0</v>
          </cell>
          <cell r="M857">
            <v>3</v>
          </cell>
          <cell r="N857">
            <v>3.2258064516128997E-2</v>
          </cell>
          <cell r="O857">
            <v>0</v>
          </cell>
          <cell r="P857">
            <v>0.247311827956989</v>
          </cell>
        </row>
        <row r="858">
          <cell r="A858">
            <v>700902</v>
          </cell>
          <cell r="B858">
            <v>5</v>
          </cell>
          <cell r="C858">
            <v>0</v>
          </cell>
          <cell r="D858">
            <v>3</v>
          </cell>
          <cell r="E858" t="str">
            <v>NON-HS</v>
          </cell>
          <cell r="F858" t="str">
            <v>Beverly Hills</v>
          </cell>
          <cell r="G858">
            <v>0</v>
          </cell>
          <cell r="H858">
            <v>0</v>
          </cell>
          <cell r="I858">
            <v>2</v>
          </cell>
          <cell r="J858">
            <v>0</v>
          </cell>
          <cell r="K858">
            <v>2</v>
          </cell>
          <cell r="L858">
            <v>0</v>
          </cell>
          <cell r="M858">
            <v>2</v>
          </cell>
          <cell r="N858">
            <v>3.2258064516128997E-2</v>
          </cell>
          <cell r="O858">
            <v>0</v>
          </cell>
          <cell r="P858">
            <v>0.247311827956989</v>
          </cell>
        </row>
        <row r="859">
          <cell r="A859">
            <v>700802</v>
          </cell>
          <cell r="B859">
            <v>5</v>
          </cell>
          <cell r="C859">
            <v>0</v>
          </cell>
          <cell r="D859">
            <v>3</v>
          </cell>
          <cell r="E859" t="str">
            <v>NON-HS</v>
          </cell>
          <cell r="F859" t="str">
            <v>Beverly Hills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3.2258064516128997E-2</v>
          </cell>
          <cell r="O859">
            <v>0</v>
          </cell>
          <cell r="P859">
            <v>0.247311827956989</v>
          </cell>
        </row>
        <row r="860">
          <cell r="A860">
            <v>701202</v>
          </cell>
          <cell r="B860">
            <v>5</v>
          </cell>
          <cell r="C860">
            <v>0</v>
          </cell>
          <cell r="D860">
            <v>3</v>
          </cell>
          <cell r="E860" t="str">
            <v>NON-HS</v>
          </cell>
          <cell r="F860" t="str">
            <v>Santa Monica</v>
          </cell>
          <cell r="G860">
            <v>0</v>
          </cell>
          <cell r="H860">
            <v>0</v>
          </cell>
          <cell r="I860">
            <v>3.6160000000000001</v>
          </cell>
          <cell r="J860">
            <v>3.4662643399999999</v>
          </cell>
          <cell r="K860">
            <v>3.4662643399999999</v>
          </cell>
          <cell r="L860">
            <v>0.14997102057450601</v>
          </cell>
          <cell r="M860">
            <v>3.6162353605745099</v>
          </cell>
          <cell r="N860">
            <v>3.2258064516128997E-2</v>
          </cell>
          <cell r="O860">
            <v>0</v>
          </cell>
          <cell r="P860">
            <v>0.247311827956989</v>
          </cell>
        </row>
        <row r="861">
          <cell r="A861">
            <v>700600</v>
          </cell>
          <cell r="B861">
            <v>5</v>
          </cell>
          <cell r="C861">
            <v>0</v>
          </cell>
          <cell r="D861">
            <v>3</v>
          </cell>
          <cell r="E861" t="str">
            <v>NON-HS</v>
          </cell>
          <cell r="F861" t="str">
            <v>Beverly Hills</v>
          </cell>
          <cell r="G861">
            <v>0</v>
          </cell>
          <cell r="H861">
            <v>0</v>
          </cell>
          <cell r="I861">
            <v>11.368</v>
          </cell>
          <cell r="J861">
            <v>7.1538363900000004</v>
          </cell>
          <cell r="K861">
            <v>11.15383639</v>
          </cell>
          <cell r="L861">
            <v>0.213327972387792</v>
          </cell>
          <cell r="M861">
            <v>11.3671643623878</v>
          </cell>
          <cell r="N861">
            <v>3.2258064516128997E-2</v>
          </cell>
          <cell r="O861">
            <v>0</v>
          </cell>
          <cell r="P861">
            <v>0.247311827956989</v>
          </cell>
        </row>
        <row r="862">
          <cell r="A862">
            <v>700801</v>
          </cell>
          <cell r="B862">
            <v>5</v>
          </cell>
          <cell r="C862">
            <v>0</v>
          </cell>
          <cell r="D862">
            <v>3</v>
          </cell>
          <cell r="E862" t="str">
            <v>NON-HS</v>
          </cell>
          <cell r="F862" t="str">
            <v>Beverly Hills</v>
          </cell>
          <cell r="G862">
            <v>0</v>
          </cell>
          <cell r="H862">
            <v>0</v>
          </cell>
          <cell r="I862">
            <v>6</v>
          </cell>
          <cell r="J862">
            <v>0</v>
          </cell>
          <cell r="K862">
            <v>6</v>
          </cell>
          <cell r="L862">
            <v>0</v>
          </cell>
          <cell r="M862">
            <v>6</v>
          </cell>
          <cell r="N862">
            <v>3.2258064516128997E-2</v>
          </cell>
          <cell r="O862">
            <v>0</v>
          </cell>
          <cell r="P862">
            <v>0.247311827956989</v>
          </cell>
        </row>
        <row r="863">
          <cell r="A863">
            <v>701000</v>
          </cell>
          <cell r="B863">
            <v>5</v>
          </cell>
          <cell r="C863">
            <v>0</v>
          </cell>
          <cell r="D863">
            <v>3</v>
          </cell>
          <cell r="E863" t="str">
            <v>NON-HS</v>
          </cell>
          <cell r="F863" t="str">
            <v>Beverly Hills</v>
          </cell>
          <cell r="G863">
            <v>0</v>
          </cell>
          <cell r="H863">
            <v>0</v>
          </cell>
          <cell r="I863">
            <v>5.0949999999999998</v>
          </cell>
          <cell r="J863">
            <v>1.9836996600000001</v>
          </cell>
          <cell r="K863">
            <v>4.9836996600000001</v>
          </cell>
          <cell r="L863">
            <v>0.11117260138240601</v>
          </cell>
          <cell r="M863">
            <v>5.0948722613824096</v>
          </cell>
          <cell r="N863">
            <v>3.2258064516128997E-2</v>
          </cell>
          <cell r="O863">
            <v>0</v>
          </cell>
          <cell r="P863">
            <v>0.247311827956989</v>
          </cell>
        </row>
        <row r="864">
          <cell r="A864">
            <v>700700</v>
          </cell>
          <cell r="B864">
            <v>5</v>
          </cell>
          <cell r="C864">
            <v>0</v>
          </cell>
          <cell r="D864">
            <v>3</v>
          </cell>
          <cell r="E864" t="str">
            <v>NON-HS</v>
          </cell>
          <cell r="F864" t="str">
            <v>Beverly Hills</v>
          </cell>
          <cell r="G864">
            <v>0</v>
          </cell>
          <cell r="H864">
            <v>0</v>
          </cell>
          <cell r="I864">
            <v>6</v>
          </cell>
          <cell r="J864">
            <v>0</v>
          </cell>
          <cell r="K864">
            <v>6</v>
          </cell>
          <cell r="L864">
            <v>0</v>
          </cell>
          <cell r="M864">
            <v>6</v>
          </cell>
          <cell r="N864">
            <v>3.2258064516128997E-2</v>
          </cell>
          <cell r="O864">
            <v>0</v>
          </cell>
          <cell r="P864">
            <v>0.247311827956989</v>
          </cell>
        </row>
        <row r="865">
          <cell r="A865">
            <v>701201</v>
          </cell>
          <cell r="B865">
            <v>5</v>
          </cell>
          <cell r="C865">
            <v>0</v>
          </cell>
          <cell r="D865">
            <v>3</v>
          </cell>
          <cell r="E865" t="str">
            <v>NON-HS</v>
          </cell>
          <cell r="F865" t="str">
            <v>Santa Monica</v>
          </cell>
          <cell r="G865">
            <v>1</v>
          </cell>
          <cell r="H865">
            <v>1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3.2258064516128997E-2</v>
          </cell>
          <cell r="O865">
            <v>31</v>
          </cell>
          <cell r="P865">
            <v>0.247311827956989</v>
          </cell>
        </row>
        <row r="866">
          <cell r="A866">
            <v>701701</v>
          </cell>
          <cell r="B866">
            <v>5</v>
          </cell>
          <cell r="C866">
            <v>0</v>
          </cell>
          <cell r="D866">
            <v>3</v>
          </cell>
          <cell r="E866" t="str">
            <v>NON-HS</v>
          </cell>
          <cell r="F866" t="str">
            <v>Santa Monica</v>
          </cell>
          <cell r="G866">
            <v>0</v>
          </cell>
          <cell r="H866">
            <v>0</v>
          </cell>
          <cell r="I866">
            <v>8.5909999999999993</v>
          </cell>
          <cell r="J866">
            <v>1.43919657</v>
          </cell>
          <cell r="K866">
            <v>8.43919657</v>
          </cell>
          <cell r="L866">
            <v>0.15145200614003601</v>
          </cell>
          <cell r="M866">
            <v>8.5906485761400404</v>
          </cell>
          <cell r="N866">
            <v>3.2258064516128997E-2</v>
          </cell>
          <cell r="O866">
            <v>0</v>
          </cell>
          <cell r="P866">
            <v>0.247311827956989</v>
          </cell>
        </row>
        <row r="867">
          <cell r="A867">
            <v>702201</v>
          </cell>
          <cell r="B867">
            <v>5</v>
          </cell>
          <cell r="C867">
            <v>0</v>
          </cell>
          <cell r="D867">
            <v>3</v>
          </cell>
          <cell r="E867" t="str">
            <v>NON-HS</v>
          </cell>
          <cell r="F867" t="str">
            <v>Santa Monica</v>
          </cell>
          <cell r="G867">
            <v>0</v>
          </cell>
          <cell r="H867">
            <v>0</v>
          </cell>
          <cell r="I867">
            <v>8.8079999999999998</v>
          </cell>
          <cell r="J867">
            <v>1.73313217</v>
          </cell>
          <cell r="K867">
            <v>8.7331321699999993</v>
          </cell>
          <cell r="L867">
            <v>7.4985510287253102E-2</v>
          </cell>
          <cell r="M867">
            <v>8.8081176802872498</v>
          </cell>
          <cell r="N867">
            <v>3.2258064516128997E-2</v>
          </cell>
          <cell r="O867">
            <v>0</v>
          </cell>
          <cell r="P867">
            <v>0.247311827956989</v>
          </cell>
        </row>
        <row r="868">
          <cell r="A868">
            <v>702202</v>
          </cell>
          <cell r="B868">
            <v>5</v>
          </cell>
          <cell r="C868">
            <v>0</v>
          </cell>
          <cell r="D868">
            <v>3</v>
          </cell>
          <cell r="E868" t="str">
            <v>NON-HS</v>
          </cell>
          <cell r="F868" t="str">
            <v>Santa Monica</v>
          </cell>
          <cell r="G868">
            <v>0</v>
          </cell>
          <cell r="H868">
            <v>0</v>
          </cell>
          <cell r="I868">
            <v>8.1809999999999992</v>
          </cell>
          <cell r="J868">
            <v>2.87839314</v>
          </cell>
          <cell r="K868">
            <v>7.87839314</v>
          </cell>
          <cell r="L868">
            <v>0.30290401228007202</v>
          </cell>
          <cell r="M868">
            <v>8.1812971522800702</v>
          </cell>
          <cell r="N868">
            <v>3.2258064516128997E-2</v>
          </cell>
          <cell r="O868">
            <v>0</v>
          </cell>
          <cell r="P868">
            <v>0.247311827956989</v>
          </cell>
        </row>
        <row r="869">
          <cell r="A869">
            <v>702400</v>
          </cell>
          <cell r="B869">
            <v>5</v>
          </cell>
          <cell r="C869">
            <v>0</v>
          </cell>
          <cell r="D869">
            <v>2</v>
          </cell>
          <cell r="E869" t="str">
            <v>NON-HS</v>
          </cell>
          <cell r="F869" t="str">
            <v>Culver City</v>
          </cell>
          <cell r="G869">
            <v>0</v>
          </cell>
          <cell r="H869">
            <v>0</v>
          </cell>
          <cell r="I869">
            <v>17.89</v>
          </cell>
          <cell r="J869">
            <v>11.349222429999999</v>
          </cell>
          <cell r="K869">
            <v>17.349222430000001</v>
          </cell>
          <cell r="L869">
            <v>0.54116784757630199</v>
          </cell>
          <cell r="M869">
            <v>17.890390277576302</v>
          </cell>
          <cell r="N869">
            <v>3.2258064516128997E-2</v>
          </cell>
          <cell r="O869">
            <v>0</v>
          </cell>
          <cell r="P869">
            <v>0.247311827956989</v>
          </cell>
        </row>
        <row r="870">
          <cell r="A870">
            <v>702501</v>
          </cell>
          <cell r="B870">
            <v>5</v>
          </cell>
          <cell r="C870">
            <v>0</v>
          </cell>
          <cell r="D870">
            <v>2</v>
          </cell>
          <cell r="E870" t="str">
            <v>NON-HS</v>
          </cell>
          <cell r="F870" t="str">
            <v>Culver City</v>
          </cell>
          <cell r="G870">
            <v>0</v>
          </cell>
          <cell r="H870">
            <v>0</v>
          </cell>
          <cell r="I870">
            <v>4</v>
          </cell>
          <cell r="J870">
            <v>0</v>
          </cell>
          <cell r="K870">
            <v>4</v>
          </cell>
          <cell r="L870">
            <v>0</v>
          </cell>
          <cell r="M870">
            <v>4</v>
          </cell>
          <cell r="N870">
            <v>3.2258064516128997E-2</v>
          </cell>
          <cell r="O870">
            <v>0</v>
          </cell>
          <cell r="P870">
            <v>0.247311827956989</v>
          </cell>
        </row>
        <row r="871">
          <cell r="A871">
            <v>702502</v>
          </cell>
          <cell r="B871">
            <v>5</v>
          </cell>
          <cell r="C871">
            <v>0</v>
          </cell>
          <cell r="D871">
            <v>2</v>
          </cell>
          <cell r="E871" t="str">
            <v>NON-HS</v>
          </cell>
          <cell r="F871" t="str">
            <v>Culver City</v>
          </cell>
          <cell r="G871">
            <v>0</v>
          </cell>
          <cell r="H871">
            <v>0</v>
          </cell>
          <cell r="I871">
            <v>3.181</v>
          </cell>
          <cell r="J871">
            <v>2.87839314</v>
          </cell>
          <cell r="K871">
            <v>2.87839314</v>
          </cell>
          <cell r="L871">
            <v>0.30290401228007202</v>
          </cell>
          <cell r="M871">
            <v>3.1812971522800702</v>
          </cell>
          <cell r="N871">
            <v>3.2258064516128997E-2</v>
          </cell>
          <cell r="O871">
            <v>0</v>
          </cell>
          <cell r="P871">
            <v>0.247311827956989</v>
          </cell>
        </row>
        <row r="872">
          <cell r="A872">
            <v>702802</v>
          </cell>
          <cell r="B872">
            <v>5</v>
          </cell>
          <cell r="C872">
            <v>0</v>
          </cell>
          <cell r="D872">
            <v>2</v>
          </cell>
          <cell r="E872" t="str">
            <v>NON-HS</v>
          </cell>
          <cell r="F872" t="str">
            <v>Culver City</v>
          </cell>
          <cell r="G872">
            <v>0</v>
          </cell>
          <cell r="H872">
            <v>0</v>
          </cell>
          <cell r="I872">
            <v>11.19</v>
          </cell>
          <cell r="J872">
            <v>3.9673993200000002</v>
          </cell>
          <cell r="K872">
            <v>10.96739932</v>
          </cell>
          <cell r="L872">
            <v>0.22234520276481101</v>
          </cell>
          <cell r="M872">
            <v>11.1897445227648</v>
          </cell>
          <cell r="N872">
            <v>3.2258064516128997E-2</v>
          </cell>
          <cell r="O872">
            <v>0</v>
          </cell>
          <cell r="P872">
            <v>0.247311827956989</v>
          </cell>
        </row>
        <row r="873">
          <cell r="A873">
            <v>703002</v>
          </cell>
          <cell r="B873">
            <v>5</v>
          </cell>
          <cell r="C873">
            <v>0</v>
          </cell>
          <cell r="D873">
            <v>2</v>
          </cell>
          <cell r="E873" t="str">
            <v>NON-HS</v>
          </cell>
          <cell r="F873" t="str">
            <v>Ladera Heights</v>
          </cell>
          <cell r="G873">
            <v>0</v>
          </cell>
          <cell r="H873">
            <v>0</v>
          </cell>
          <cell r="I873">
            <v>17.994</v>
          </cell>
          <cell r="J873">
            <v>15.8616437</v>
          </cell>
          <cell r="K873">
            <v>16.861643699999998</v>
          </cell>
          <cell r="L873">
            <v>1.13218758213645</v>
          </cell>
          <cell r="M873">
            <v>17.993831282136401</v>
          </cell>
          <cell r="N873">
            <v>3.2258064516128997E-2</v>
          </cell>
          <cell r="O873">
            <v>0</v>
          </cell>
          <cell r="P873">
            <v>0.247311827956989</v>
          </cell>
        </row>
        <row r="874">
          <cell r="A874">
            <v>800504</v>
          </cell>
          <cell r="B874">
            <v>5</v>
          </cell>
          <cell r="C874">
            <v>0</v>
          </cell>
          <cell r="D874">
            <v>3</v>
          </cell>
          <cell r="E874" t="str">
            <v>NON-HS</v>
          </cell>
          <cell r="F874" t="str">
            <v>Malibu</v>
          </cell>
          <cell r="G874">
            <v>0</v>
          </cell>
          <cell r="H874">
            <v>0</v>
          </cell>
          <cell r="I874">
            <v>5.734</v>
          </cell>
          <cell r="J874">
            <v>3.63801211</v>
          </cell>
          <cell r="K874">
            <v>5.63801211</v>
          </cell>
          <cell r="L874">
            <v>9.5610832369838403E-2</v>
          </cell>
          <cell r="M874">
            <v>5.7336229423698404</v>
          </cell>
          <cell r="N874">
            <v>3.2258064516128997E-2</v>
          </cell>
          <cell r="O874">
            <v>0</v>
          </cell>
          <cell r="P874">
            <v>0.247311827956989</v>
          </cell>
        </row>
        <row r="875">
          <cell r="A875">
            <v>800406</v>
          </cell>
          <cell r="B875">
            <v>5</v>
          </cell>
          <cell r="C875">
            <v>0</v>
          </cell>
          <cell r="D875">
            <v>3</v>
          </cell>
          <cell r="E875" t="str">
            <v>NON-HS</v>
          </cell>
          <cell r="F875" t="str">
            <v>Malibu</v>
          </cell>
          <cell r="G875">
            <v>0</v>
          </cell>
          <cell r="H875">
            <v>0</v>
          </cell>
          <cell r="I875">
            <v>9.4749999999999996</v>
          </cell>
          <cell r="J875">
            <v>5.9988813299999997</v>
          </cell>
          <cell r="K875">
            <v>8.9988813299999997</v>
          </cell>
          <cell r="L875">
            <v>0.47584795017953302</v>
          </cell>
          <cell r="M875">
            <v>9.4747292801795293</v>
          </cell>
          <cell r="N875">
            <v>3.2258064516128997E-2</v>
          </cell>
          <cell r="O875">
            <v>0</v>
          </cell>
          <cell r="P875">
            <v>0.247311827956989</v>
          </cell>
        </row>
        <row r="876">
          <cell r="A876">
            <v>702801</v>
          </cell>
          <cell r="B876">
            <v>5</v>
          </cell>
          <cell r="C876">
            <v>0</v>
          </cell>
          <cell r="D876">
            <v>2</v>
          </cell>
          <cell r="E876" t="str">
            <v>NON-HS</v>
          </cell>
          <cell r="F876" t="str">
            <v>Culver City</v>
          </cell>
          <cell r="G876">
            <v>0</v>
          </cell>
          <cell r="H876">
            <v>0</v>
          </cell>
          <cell r="I876">
            <v>11.867000000000001</v>
          </cell>
          <cell r="J876">
            <v>6.3012893700000001</v>
          </cell>
          <cell r="K876">
            <v>11.301289369999999</v>
          </cell>
          <cell r="L876">
            <v>0.56552861980251301</v>
          </cell>
          <cell r="M876">
            <v>11.866817989802501</v>
          </cell>
          <cell r="N876">
            <v>3.2258064516128997E-2</v>
          </cell>
          <cell r="O876">
            <v>0</v>
          </cell>
          <cell r="P876">
            <v>0.247311827956989</v>
          </cell>
        </row>
        <row r="877">
          <cell r="A877">
            <v>701601</v>
          </cell>
          <cell r="B877">
            <v>5</v>
          </cell>
          <cell r="C877">
            <v>0</v>
          </cell>
          <cell r="D877">
            <v>3</v>
          </cell>
          <cell r="E877" t="str">
            <v>NON-HS</v>
          </cell>
          <cell r="F877" t="str">
            <v>Santa Monica</v>
          </cell>
          <cell r="G877">
            <v>0</v>
          </cell>
          <cell r="H877">
            <v>0</v>
          </cell>
          <cell r="I877">
            <v>7</v>
          </cell>
          <cell r="J877">
            <v>0</v>
          </cell>
          <cell r="K877">
            <v>7</v>
          </cell>
          <cell r="L877">
            <v>0</v>
          </cell>
          <cell r="M877">
            <v>7</v>
          </cell>
          <cell r="N877">
            <v>3.2258064516128997E-2</v>
          </cell>
          <cell r="O877">
            <v>0</v>
          </cell>
          <cell r="P877">
            <v>0.247311827956989</v>
          </cell>
        </row>
        <row r="878">
          <cell r="A878">
            <v>700901</v>
          </cell>
          <cell r="B878">
            <v>5</v>
          </cell>
          <cell r="C878">
            <v>0</v>
          </cell>
          <cell r="D878">
            <v>3</v>
          </cell>
          <cell r="E878" t="str">
            <v>NON-HS</v>
          </cell>
          <cell r="F878" t="str">
            <v>Beverly Hills</v>
          </cell>
          <cell r="G878">
            <v>0</v>
          </cell>
          <cell r="H878">
            <v>0</v>
          </cell>
          <cell r="I878">
            <v>1</v>
          </cell>
          <cell r="J878">
            <v>0</v>
          </cell>
          <cell r="K878">
            <v>1</v>
          </cell>
          <cell r="L878">
            <v>0</v>
          </cell>
          <cell r="M878">
            <v>1</v>
          </cell>
          <cell r="N878">
            <v>3.2258064516128997E-2</v>
          </cell>
          <cell r="O878">
            <v>0</v>
          </cell>
          <cell r="P878">
            <v>0.247311827956989</v>
          </cell>
        </row>
        <row r="879">
          <cell r="A879">
            <v>553901</v>
          </cell>
          <cell r="B879">
            <v>6</v>
          </cell>
          <cell r="C879">
            <v>0</v>
          </cell>
          <cell r="D879">
            <v>4</v>
          </cell>
          <cell r="E879" t="str">
            <v>NON-HS</v>
          </cell>
          <cell r="F879" t="str">
            <v>Paramount</v>
          </cell>
          <cell r="G879">
            <v>0</v>
          </cell>
          <cell r="H879">
            <v>0</v>
          </cell>
          <cell r="I879">
            <v>1</v>
          </cell>
          <cell r="J879">
            <v>0</v>
          </cell>
          <cell r="K879">
            <v>1</v>
          </cell>
          <cell r="L879">
            <v>0</v>
          </cell>
          <cell r="M879">
            <v>1</v>
          </cell>
          <cell r="N879">
            <v>2.34375E-2</v>
          </cell>
          <cell r="O879">
            <v>0</v>
          </cell>
          <cell r="P879">
            <v>0.375</v>
          </cell>
        </row>
        <row r="880">
          <cell r="A880">
            <v>542800</v>
          </cell>
          <cell r="B880">
            <v>6</v>
          </cell>
          <cell r="C880">
            <v>0</v>
          </cell>
          <cell r="D880">
            <v>2</v>
          </cell>
          <cell r="E880" t="str">
            <v>NON-HS</v>
          </cell>
          <cell r="F880" t="str">
            <v>Compton</v>
          </cell>
          <cell r="G880">
            <v>0</v>
          </cell>
          <cell r="H880">
            <v>0</v>
          </cell>
          <cell r="I880">
            <v>1.8080000000000001</v>
          </cell>
          <cell r="J880">
            <v>1.73313217</v>
          </cell>
          <cell r="K880">
            <v>1.73313217</v>
          </cell>
          <cell r="L880">
            <v>7.4985510287253102E-2</v>
          </cell>
          <cell r="M880">
            <v>1.8081176802872501</v>
          </cell>
          <cell r="N880">
            <v>2.34375E-2</v>
          </cell>
          <cell r="O880">
            <v>0</v>
          </cell>
          <cell r="P880">
            <v>0.375</v>
          </cell>
        </row>
        <row r="881">
          <cell r="A881">
            <v>532900</v>
          </cell>
          <cell r="B881">
            <v>6</v>
          </cell>
          <cell r="C881">
            <v>0</v>
          </cell>
          <cell r="D881">
            <v>2</v>
          </cell>
          <cell r="E881" t="str">
            <v>NON-HS</v>
          </cell>
          <cell r="F881" t="str">
            <v>Florence-Graham</v>
          </cell>
          <cell r="G881">
            <v>0</v>
          </cell>
          <cell r="H881">
            <v>0</v>
          </cell>
          <cell r="I881">
            <v>3.399</v>
          </cell>
          <cell r="J881">
            <v>3.1723287400000002</v>
          </cell>
          <cell r="K881">
            <v>3.1723287400000002</v>
          </cell>
          <cell r="L881">
            <v>0.22643751642728899</v>
          </cell>
          <cell r="M881">
            <v>3.3987662564272898</v>
          </cell>
          <cell r="N881">
            <v>2.34375E-2</v>
          </cell>
          <cell r="O881">
            <v>0</v>
          </cell>
          <cell r="P881">
            <v>0.375</v>
          </cell>
        </row>
        <row r="882">
          <cell r="A882">
            <v>553802</v>
          </cell>
          <cell r="B882">
            <v>6</v>
          </cell>
          <cell r="C882">
            <v>0</v>
          </cell>
          <cell r="D882">
            <v>4</v>
          </cell>
          <cell r="E882" t="str">
            <v>NON-HS</v>
          </cell>
          <cell r="F882" t="str">
            <v>Paramount</v>
          </cell>
          <cell r="G882">
            <v>0</v>
          </cell>
          <cell r="H882">
            <v>0</v>
          </cell>
          <cell r="I882">
            <v>24.785</v>
          </cell>
          <cell r="J882">
            <v>16.656714279999999</v>
          </cell>
          <cell r="K882">
            <v>23.656714279999999</v>
          </cell>
          <cell r="L882">
            <v>1.12809526847397</v>
          </cell>
          <cell r="M882">
            <v>24.784809548474001</v>
          </cell>
          <cell r="N882">
            <v>2.34375E-2</v>
          </cell>
          <cell r="O882">
            <v>0</v>
          </cell>
          <cell r="P882">
            <v>0.375</v>
          </cell>
        </row>
        <row r="883">
          <cell r="A883">
            <v>535002</v>
          </cell>
          <cell r="B883">
            <v>6</v>
          </cell>
          <cell r="C883">
            <v>0</v>
          </cell>
          <cell r="D883">
            <v>2</v>
          </cell>
          <cell r="E883" t="str">
            <v>NON-HS</v>
          </cell>
          <cell r="F883" t="str">
            <v>Florence-Graham</v>
          </cell>
          <cell r="G883">
            <v>0</v>
          </cell>
          <cell r="H883">
            <v>0</v>
          </cell>
          <cell r="I883">
            <v>19.242999999999999</v>
          </cell>
          <cell r="J883">
            <v>15.43263359</v>
          </cell>
          <cell r="K883">
            <v>18.432633589999998</v>
          </cell>
          <cell r="L883">
            <v>0.80962948718132899</v>
          </cell>
          <cell r="M883">
            <v>19.242263077181299</v>
          </cell>
          <cell r="N883">
            <v>2.34375E-2</v>
          </cell>
          <cell r="O883">
            <v>0</v>
          </cell>
          <cell r="P883">
            <v>0.375</v>
          </cell>
        </row>
        <row r="884">
          <cell r="A884">
            <v>535102</v>
          </cell>
          <cell r="B884">
            <v>6</v>
          </cell>
          <cell r="C884">
            <v>0</v>
          </cell>
          <cell r="D884">
            <v>2</v>
          </cell>
          <cell r="E884" t="str">
            <v>NON-HS</v>
          </cell>
          <cell r="F884" t="str">
            <v>Florence-Graham</v>
          </cell>
          <cell r="G884">
            <v>0</v>
          </cell>
          <cell r="H884">
            <v>0</v>
          </cell>
          <cell r="I884">
            <v>9.2759999999999998</v>
          </cell>
          <cell r="J884">
            <v>4.8620928000000001</v>
          </cell>
          <cell r="K884">
            <v>8.8620927999999992</v>
          </cell>
          <cell r="L884">
            <v>0.414076613662478</v>
          </cell>
          <cell r="M884">
            <v>9.2761694136624797</v>
          </cell>
          <cell r="N884">
            <v>2.34375E-2</v>
          </cell>
          <cell r="O884">
            <v>0</v>
          </cell>
          <cell r="P884">
            <v>0.375</v>
          </cell>
        </row>
        <row r="885">
          <cell r="A885">
            <v>542502</v>
          </cell>
          <cell r="B885">
            <v>6</v>
          </cell>
          <cell r="C885">
            <v>0</v>
          </cell>
          <cell r="D885">
            <v>2</v>
          </cell>
          <cell r="E885" t="str">
            <v>NON-HS</v>
          </cell>
          <cell r="F885" t="str">
            <v>Compton</v>
          </cell>
          <cell r="G885">
            <v>0</v>
          </cell>
          <cell r="H885">
            <v>0</v>
          </cell>
          <cell r="I885">
            <v>15.135999999999999</v>
          </cell>
          <cell r="J885">
            <v>10.649360509999999</v>
          </cell>
          <cell r="K885">
            <v>14.649360509999999</v>
          </cell>
          <cell r="L885">
            <v>0.48610015281867203</v>
          </cell>
          <cell r="M885">
            <v>15.1354606628187</v>
          </cell>
          <cell r="N885">
            <v>2.34375E-2</v>
          </cell>
          <cell r="O885">
            <v>0</v>
          </cell>
          <cell r="P885">
            <v>0.375</v>
          </cell>
        </row>
        <row r="886">
          <cell r="A886">
            <v>540000</v>
          </cell>
          <cell r="B886">
            <v>6</v>
          </cell>
          <cell r="C886">
            <v>0</v>
          </cell>
          <cell r="D886">
            <v>2</v>
          </cell>
          <cell r="E886" t="str">
            <v>NON-HS</v>
          </cell>
          <cell r="F886" t="str">
            <v>Lynwood</v>
          </cell>
          <cell r="G886">
            <v>0</v>
          </cell>
          <cell r="H886">
            <v>0</v>
          </cell>
          <cell r="I886">
            <v>19.577999999999999</v>
          </cell>
          <cell r="J886">
            <v>17.31193339</v>
          </cell>
          <cell r="K886">
            <v>19.31193339</v>
          </cell>
          <cell r="L886">
            <v>0.26667967676840199</v>
          </cell>
          <cell r="M886">
            <v>19.578613066768401</v>
          </cell>
          <cell r="N886">
            <v>2.34375E-2</v>
          </cell>
          <cell r="O886">
            <v>0</v>
          </cell>
          <cell r="P886">
            <v>0.375</v>
          </cell>
        </row>
        <row r="887">
          <cell r="A887">
            <v>540201</v>
          </cell>
          <cell r="B887">
            <v>6</v>
          </cell>
          <cell r="C887">
            <v>0</v>
          </cell>
          <cell r="D887">
            <v>2</v>
          </cell>
          <cell r="E887" t="str">
            <v>NON-HS</v>
          </cell>
          <cell r="F887" t="str">
            <v>Lynwood</v>
          </cell>
          <cell r="G887">
            <v>0</v>
          </cell>
          <cell r="H887">
            <v>0</v>
          </cell>
          <cell r="I887">
            <v>1</v>
          </cell>
          <cell r="J887">
            <v>0</v>
          </cell>
          <cell r="K887">
            <v>1</v>
          </cell>
          <cell r="L887">
            <v>0</v>
          </cell>
          <cell r="M887">
            <v>1</v>
          </cell>
          <cell r="N887">
            <v>2.34375E-2</v>
          </cell>
          <cell r="O887">
            <v>0</v>
          </cell>
          <cell r="P887">
            <v>0.375</v>
          </cell>
        </row>
        <row r="888">
          <cell r="A888">
            <v>540203</v>
          </cell>
          <cell r="B888">
            <v>6</v>
          </cell>
          <cell r="C888">
            <v>0</v>
          </cell>
          <cell r="D888">
            <v>2</v>
          </cell>
          <cell r="E888" t="str">
            <v>NON-HS</v>
          </cell>
          <cell r="F888" t="str">
            <v>Lynwood</v>
          </cell>
          <cell r="G888">
            <v>0</v>
          </cell>
          <cell r="H888">
            <v>0</v>
          </cell>
          <cell r="I888">
            <v>10.368</v>
          </cell>
          <cell r="J888">
            <v>7.1538363900000004</v>
          </cell>
          <cell r="K888">
            <v>10.15383639</v>
          </cell>
          <cell r="L888">
            <v>0.213327972387792</v>
          </cell>
          <cell r="M888">
            <v>10.3671643623878</v>
          </cell>
          <cell r="N888">
            <v>2.34375E-2</v>
          </cell>
          <cell r="O888">
            <v>0</v>
          </cell>
          <cell r="P888">
            <v>0.375</v>
          </cell>
        </row>
        <row r="889">
          <cell r="A889">
            <v>540502</v>
          </cell>
          <cell r="B889">
            <v>6</v>
          </cell>
          <cell r="C889">
            <v>0</v>
          </cell>
          <cell r="D889">
            <v>2</v>
          </cell>
          <cell r="E889" t="str">
            <v>NON-HS</v>
          </cell>
          <cell r="F889" t="str">
            <v>Lynwood</v>
          </cell>
          <cell r="G889">
            <v>0</v>
          </cell>
          <cell r="H889">
            <v>0</v>
          </cell>
          <cell r="I889">
            <v>5.7110000000000003</v>
          </cell>
          <cell r="J889">
            <v>5.4499639999999996</v>
          </cell>
          <cell r="K889">
            <v>5.4499639999999996</v>
          </cell>
          <cell r="L889">
            <v>0.26114362195691199</v>
          </cell>
          <cell r="M889">
            <v>5.7111076219569101</v>
          </cell>
          <cell r="N889">
            <v>2.34375E-2</v>
          </cell>
          <cell r="O889">
            <v>0</v>
          </cell>
          <cell r="P889">
            <v>0.375</v>
          </cell>
        </row>
        <row r="890">
          <cell r="A890">
            <v>540901</v>
          </cell>
          <cell r="B890">
            <v>6</v>
          </cell>
          <cell r="C890">
            <v>0</v>
          </cell>
          <cell r="D890">
            <v>2</v>
          </cell>
          <cell r="E890" t="str">
            <v>NON-HS</v>
          </cell>
          <cell r="F890" t="str">
            <v>Willowbrook</v>
          </cell>
          <cell r="G890">
            <v>0</v>
          </cell>
          <cell r="H890">
            <v>0</v>
          </cell>
          <cell r="I890">
            <v>19.706</v>
          </cell>
          <cell r="J890">
            <v>16.85102698</v>
          </cell>
          <cell r="K890">
            <v>18.85102698</v>
          </cell>
          <cell r="L890">
            <v>0.85580504806104096</v>
          </cell>
          <cell r="M890">
            <v>19.706832028061001</v>
          </cell>
          <cell r="N890">
            <v>2.34375E-2</v>
          </cell>
          <cell r="O890">
            <v>0</v>
          </cell>
          <cell r="P890">
            <v>0.375</v>
          </cell>
        </row>
        <row r="891">
          <cell r="A891">
            <v>541400</v>
          </cell>
          <cell r="B891">
            <v>6</v>
          </cell>
          <cell r="C891">
            <v>0</v>
          </cell>
          <cell r="D891">
            <v>2</v>
          </cell>
          <cell r="E891" t="str">
            <v>NON-HS</v>
          </cell>
          <cell r="F891" t="str">
            <v>Willowbrook</v>
          </cell>
          <cell r="G891">
            <v>0</v>
          </cell>
          <cell r="H891">
            <v>0</v>
          </cell>
          <cell r="I891">
            <v>2</v>
          </cell>
          <cell r="J891">
            <v>0</v>
          </cell>
          <cell r="K891">
            <v>2</v>
          </cell>
          <cell r="L891">
            <v>0</v>
          </cell>
          <cell r="M891">
            <v>2</v>
          </cell>
          <cell r="N891">
            <v>2.34375E-2</v>
          </cell>
          <cell r="O891">
            <v>0</v>
          </cell>
          <cell r="P891">
            <v>0.375</v>
          </cell>
        </row>
        <row r="892">
          <cell r="A892">
            <v>541603</v>
          </cell>
          <cell r="B892">
            <v>6</v>
          </cell>
          <cell r="C892">
            <v>0</v>
          </cell>
          <cell r="D892">
            <v>2</v>
          </cell>
          <cell r="E892" t="str">
            <v>NON-HS</v>
          </cell>
          <cell r="F892" t="str">
            <v>Compton</v>
          </cell>
          <cell r="G892">
            <v>0</v>
          </cell>
          <cell r="H892">
            <v>0</v>
          </cell>
          <cell r="I892">
            <v>8.7769999999999992</v>
          </cell>
          <cell r="J892">
            <v>5.7146398200000004</v>
          </cell>
          <cell r="K892">
            <v>8.7146398200000004</v>
          </cell>
          <cell r="L892">
            <v>6.18759662477558E-2</v>
          </cell>
          <cell r="M892">
            <v>8.7765157862477494</v>
          </cell>
          <cell r="N892">
            <v>2.34375E-2</v>
          </cell>
          <cell r="O892">
            <v>0</v>
          </cell>
          <cell r="P892">
            <v>0.375</v>
          </cell>
        </row>
        <row r="893">
          <cell r="A893">
            <v>541604</v>
          </cell>
          <cell r="B893">
            <v>6</v>
          </cell>
          <cell r="C893">
            <v>0</v>
          </cell>
          <cell r="D893">
            <v>2</v>
          </cell>
          <cell r="E893" t="str">
            <v>NON-HS</v>
          </cell>
          <cell r="F893" t="str">
            <v>Compton</v>
          </cell>
          <cell r="G893">
            <v>0</v>
          </cell>
          <cell r="H893">
            <v>0</v>
          </cell>
          <cell r="I893">
            <v>11.48</v>
          </cell>
          <cell r="J893">
            <v>7.39593144</v>
          </cell>
          <cell r="K893">
            <v>11.39593144</v>
          </cell>
          <cell r="L893">
            <v>8.3367898007181293E-2</v>
          </cell>
          <cell r="M893">
            <v>11.4792993380072</v>
          </cell>
          <cell r="N893">
            <v>2.34375E-2</v>
          </cell>
          <cell r="O893">
            <v>0</v>
          </cell>
          <cell r="P893">
            <v>0.375</v>
          </cell>
        </row>
        <row r="894">
          <cell r="A894">
            <v>541606</v>
          </cell>
          <cell r="B894">
            <v>6</v>
          </cell>
          <cell r="C894">
            <v>0</v>
          </cell>
          <cell r="D894">
            <v>2</v>
          </cell>
          <cell r="E894" t="str">
            <v>NON-HS</v>
          </cell>
          <cell r="F894" t="str">
            <v>Compton</v>
          </cell>
          <cell r="G894">
            <v>1</v>
          </cell>
          <cell r="H894">
            <v>1</v>
          </cell>
          <cell r="I894">
            <v>13.958</v>
          </cell>
          <cell r="J894">
            <v>8.5930329600000004</v>
          </cell>
          <cell r="K894">
            <v>13.59303296</v>
          </cell>
          <cell r="L894">
            <v>0.36477997852782801</v>
          </cell>
          <cell r="M894">
            <v>13.9578129385278</v>
          </cell>
          <cell r="N894">
            <v>2.34375E-2</v>
          </cell>
          <cell r="O894">
            <v>42.6666666666667</v>
          </cell>
          <cell r="P894">
            <v>0.375</v>
          </cell>
        </row>
        <row r="895">
          <cell r="A895">
            <v>542000</v>
          </cell>
          <cell r="B895">
            <v>6</v>
          </cell>
          <cell r="C895">
            <v>0</v>
          </cell>
          <cell r="D895">
            <v>2</v>
          </cell>
          <cell r="E895" t="str">
            <v>NON-HS</v>
          </cell>
          <cell r="F895" t="str">
            <v>Compton</v>
          </cell>
          <cell r="G895">
            <v>0</v>
          </cell>
          <cell r="H895">
            <v>0</v>
          </cell>
          <cell r="I895">
            <v>16.891999999999999</v>
          </cell>
          <cell r="J895">
            <v>8.3283571399999996</v>
          </cell>
          <cell r="K895">
            <v>16.328357140000001</v>
          </cell>
          <cell r="L895">
            <v>0.56404763423698401</v>
          </cell>
          <cell r="M895">
            <v>16.892404774237001</v>
          </cell>
          <cell r="N895">
            <v>2.34375E-2</v>
          </cell>
          <cell r="O895">
            <v>0</v>
          </cell>
          <cell r="P895">
            <v>0.375</v>
          </cell>
        </row>
        <row r="896">
          <cell r="A896">
            <v>542104</v>
          </cell>
          <cell r="B896">
            <v>6</v>
          </cell>
          <cell r="C896">
            <v>0</v>
          </cell>
          <cell r="D896">
            <v>2</v>
          </cell>
          <cell r="E896" t="str">
            <v>NON-HS</v>
          </cell>
          <cell r="F896" t="str">
            <v>Unincorporated Compton</v>
          </cell>
          <cell r="G896">
            <v>0</v>
          </cell>
          <cell r="H896">
            <v>0</v>
          </cell>
          <cell r="I896">
            <v>2.0950000000000002</v>
          </cell>
          <cell r="J896">
            <v>1.9836996600000001</v>
          </cell>
          <cell r="K896">
            <v>1.9836996600000001</v>
          </cell>
          <cell r="L896">
            <v>0.11117260138240601</v>
          </cell>
          <cell r="M896">
            <v>2.09487226138241</v>
          </cell>
          <cell r="N896">
            <v>2.34375E-2</v>
          </cell>
          <cell r="O896">
            <v>0</v>
          </cell>
          <cell r="P896">
            <v>0.375</v>
          </cell>
        </row>
        <row r="897">
          <cell r="A897">
            <v>542105</v>
          </cell>
          <cell r="B897">
            <v>6</v>
          </cell>
          <cell r="C897">
            <v>0</v>
          </cell>
          <cell r="D897">
            <v>2</v>
          </cell>
          <cell r="E897" t="str">
            <v>NON-HS</v>
          </cell>
          <cell r="F897" t="str">
            <v>Compton</v>
          </cell>
          <cell r="G897">
            <v>0</v>
          </cell>
          <cell r="H897">
            <v>0</v>
          </cell>
          <cell r="I897">
            <v>1.8080000000000001</v>
          </cell>
          <cell r="J897">
            <v>1.73313217</v>
          </cell>
          <cell r="K897">
            <v>1.73313217</v>
          </cell>
          <cell r="L897">
            <v>7.4985510287253102E-2</v>
          </cell>
          <cell r="M897">
            <v>1.8081176802872501</v>
          </cell>
          <cell r="N897">
            <v>2.34375E-2</v>
          </cell>
          <cell r="O897">
            <v>0</v>
          </cell>
          <cell r="P897">
            <v>0.375</v>
          </cell>
        </row>
        <row r="898">
          <cell r="A898">
            <v>542401</v>
          </cell>
          <cell r="B898">
            <v>6</v>
          </cell>
          <cell r="C898">
            <v>0</v>
          </cell>
          <cell r="D898">
            <v>2</v>
          </cell>
          <cell r="E898" t="str">
            <v>NON-HS</v>
          </cell>
          <cell r="F898" t="str">
            <v>Compton</v>
          </cell>
          <cell r="G898">
            <v>0</v>
          </cell>
          <cell r="H898">
            <v>0</v>
          </cell>
          <cell r="I898">
            <v>10.474</v>
          </cell>
          <cell r="J898">
            <v>9.9184982999999995</v>
          </cell>
          <cell r="K898">
            <v>9.9184982999999995</v>
          </cell>
          <cell r="L898">
            <v>0.55586300691202895</v>
          </cell>
          <cell r="M898">
            <v>10.474361306912</v>
          </cell>
          <cell r="N898">
            <v>2.34375E-2</v>
          </cell>
          <cell r="O898">
            <v>0</v>
          </cell>
          <cell r="P898">
            <v>0.375</v>
          </cell>
        </row>
        <row r="899">
          <cell r="A899">
            <v>542402</v>
          </cell>
          <cell r="B899">
            <v>6</v>
          </cell>
          <cell r="C899">
            <v>0</v>
          </cell>
          <cell r="D899">
            <v>2</v>
          </cell>
          <cell r="E899" t="str">
            <v>NON-HS</v>
          </cell>
          <cell r="F899" t="str">
            <v>Compton</v>
          </cell>
          <cell r="G899">
            <v>0</v>
          </cell>
          <cell r="H899">
            <v>0</v>
          </cell>
          <cell r="I899">
            <v>16.481000000000002</v>
          </cell>
          <cell r="J899">
            <v>15.468085200000001</v>
          </cell>
          <cell r="K899">
            <v>15.468085200000001</v>
          </cell>
          <cell r="L899">
            <v>1.0128303534290799</v>
          </cell>
          <cell r="M899">
            <v>16.480915553429099</v>
          </cell>
          <cell r="N899">
            <v>2.34375E-2</v>
          </cell>
          <cell r="O899">
            <v>0</v>
          </cell>
          <cell r="P899">
            <v>0.375</v>
          </cell>
        </row>
        <row r="900">
          <cell r="A900">
            <v>542501</v>
          </cell>
          <cell r="B900">
            <v>6</v>
          </cell>
          <cell r="C900">
            <v>0</v>
          </cell>
          <cell r="D900">
            <v>2</v>
          </cell>
          <cell r="E900" t="str">
            <v>NON-HS</v>
          </cell>
          <cell r="F900" t="str">
            <v>Compton</v>
          </cell>
          <cell r="G900">
            <v>0</v>
          </cell>
          <cell r="H900">
            <v>0</v>
          </cell>
          <cell r="I900">
            <v>1.591</v>
          </cell>
          <cell r="J900">
            <v>1.43919657</v>
          </cell>
          <cell r="K900">
            <v>1.43919657</v>
          </cell>
          <cell r="L900">
            <v>0.15145200614003601</v>
          </cell>
          <cell r="M900">
            <v>1.59064857614004</v>
          </cell>
          <cell r="N900">
            <v>2.34375E-2</v>
          </cell>
          <cell r="O900">
            <v>0</v>
          </cell>
          <cell r="P900">
            <v>0.375</v>
          </cell>
        </row>
        <row r="901">
          <cell r="A901">
            <v>542700</v>
          </cell>
          <cell r="B901">
            <v>6</v>
          </cell>
          <cell r="C901">
            <v>0</v>
          </cell>
          <cell r="D901">
            <v>2</v>
          </cell>
          <cell r="E901" t="str">
            <v>NON-HS</v>
          </cell>
          <cell r="F901" t="str">
            <v>Compton</v>
          </cell>
          <cell r="G901">
            <v>0</v>
          </cell>
          <cell r="H901">
            <v>0</v>
          </cell>
          <cell r="I901">
            <v>4.734</v>
          </cell>
          <cell r="J901">
            <v>3.63801211</v>
          </cell>
          <cell r="K901">
            <v>4.63801211</v>
          </cell>
          <cell r="L901">
            <v>9.5610832369838403E-2</v>
          </cell>
          <cell r="M901">
            <v>4.7336229423698404</v>
          </cell>
          <cell r="N901">
            <v>2.34375E-2</v>
          </cell>
          <cell r="O901">
            <v>0</v>
          </cell>
          <cell r="P901">
            <v>0.375</v>
          </cell>
        </row>
        <row r="902">
          <cell r="A902">
            <v>542900</v>
          </cell>
          <cell r="B902">
            <v>6</v>
          </cell>
          <cell r="C902">
            <v>0</v>
          </cell>
          <cell r="D902">
            <v>2</v>
          </cell>
          <cell r="E902" t="str">
            <v>NON-HS</v>
          </cell>
          <cell r="F902" t="str">
            <v>Compton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2.34375E-2</v>
          </cell>
          <cell r="O902">
            <v>0</v>
          </cell>
          <cell r="P902">
            <v>0.375</v>
          </cell>
        </row>
        <row r="903">
          <cell r="A903">
            <v>543000</v>
          </cell>
          <cell r="B903">
            <v>6</v>
          </cell>
          <cell r="C903">
            <v>0</v>
          </cell>
          <cell r="D903">
            <v>2</v>
          </cell>
          <cell r="E903" t="str">
            <v>NON-HS</v>
          </cell>
          <cell r="F903" t="str">
            <v>Compton</v>
          </cell>
          <cell r="G903">
            <v>0</v>
          </cell>
          <cell r="H903">
            <v>0</v>
          </cell>
          <cell r="I903">
            <v>21.664000000000001</v>
          </cell>
          <cell r="J903">
            <v>13.88589762</v>
          </cell>
          <cell r="K903">
            <v>20.885897620000001</v>
          </cell>
          <cell r="L903">
            <v>0.77820820967684001</v>
          </cell>
          <cell r="M903">
            <v>21.664105829676799</v>
          </cell>
          <cell r="N903">
            <v>2.34375E-2</v>
          </cell>
          <cell r="O903">
            <v>0</v>
          </cell>
          <cell r="P903">
            <v>0.375</v>
          </cell>
        </row>
        <row r="904">
          <cell r="A904">
            <v>543202</v>
          </cell>
          <cell r="B904">
            <v>6</v>
          </cell>
          <cell r="C904">
            <v>0</v>
          </cell>
          <cell r="D904">
            <v>2</v>
          </cell>
          <cell r="E904" t="str">
            <v>NON-HS</v>
          </cell>
          <cell r="F904" t="str">
            <v>Compton</v>
          </cell>
          <cell r="G904">
            <v>0</v>
          </cell>
          <cell r="H904">
            <v>0</v>
          </cell>
          <cell r="I904">
            <v>14.151</v>
          </cell>
          <cell r="J904">
            <v>12.25238835</v>
          </cell>
          <cell r="K904">
            <v>13.25238835</v>
          </cell>
          <cell r="L904">
            <v>0.899046423949731</v>
          </cell>
          <cell r="M904">
            <v>14.151434773949701</v>
          </cell>
          <cell r="N904">
            <v>2.34375E-2</v>
          </cell>
          <cell r="O904">
            <v>0</v>
          </cell>
          <cell r="P904">
            <v>0.375</v>
          </cell>
        </row>
        <row r="905">
          <cell r="A905">
            <v>542103</v>
          </cell>
          <cell r="B905">
            <v>6</v>
          </cell>
          <cell r="C905">
            <v>0</v>
          </cell>
          <cell r="D905">
            <v>2</v>
          </cell>
          <cell r="E905" t="str">
            <v>NON-HS</v>
          </cell>
          <cell r="F905" t="str">
            <v>Unincorporated Compton</v>
          </cell>
          <cell r="G905">
            <v>0</v>
          </cell>
          <cell r="H905">
            <v>0</v>
          </cell>
          <cell r="I905">
            <v>2</v>
          </cell>
          <cell r="J905">
            <v>0</v>
          </cell>
          <cell r="K905">
            <v>2</v>
          </cell>
          <cell r="L905">
            <v>0</v>
          </cell>
          <cell r="M905">
            <v>2</v>
          </cell>
          <cell r="N905">
            <v>2.34375E-2</v>
          </cell>
          <cell r="O905">
            <v>0</v>
          </cell>
          <cell r="P905">
            <v>0.375</v>
          </cell>
        </row>
        <row r="906">
          <cell r="A906">
            <v>553602</v>
          </cell>
          <cell r="B906">
            <v>6</v>
          </cell>
          <cell r="C906">
            <v>0</v>
          </cell>
          <cell r="D906">
            <v>4</v>
          </cell>
          <cell r="E906" t="str">
            <v>NON-HS</v>
          </cell>
          <cell r="F906" t="str">
            <v>Paramount</v>
          </cell>
          <cell r="G906">
            <v>0</v>
          </cell>
          <cell r="H906">
            <v>0</v>
          </cell>
          <cell r="I906">
            <v>9.5850000000000009</v>
          </cell>
          <cell r="J906">
            <v>7.4477719899999997</v>
          </cell>
          <cell r="K906">
            <v>9.4477719899999997</v>
          </cell>
          <cell r="L906">
            <v>0.13686147653500899</v>
          </cell>
          <cell r="M906">
            <v>9.5846334665350099</v>
          </cell>
          <cell r="N906">
            <v>2.34375E-2</v>
          </cell>
          <cell r="O906">
            <v>0</v>
          </cell>
          <cell r="P906">
            <v>0.375</v>
          </cell>
        </row>
        <row r="907">
          <cell r="A907">
            <v>541801</v>
          </cell>
          <cell r="B907">
            <v>6</v>
          </cell>
          <cell r="C907">
            <v>0</v>
          </cell>
          <cell r="D907">
            <v>2</v>
          </cell>
          <cell r="E907" t="str">
            <v>NON-HS</v>
          </cell>
          <cell r="F907" t="str">
            <v>Lynwood</v>
          </cell>
          <cell r="G907">
            <v>0</v>
          </cell>
          <cell r="H907">
            <v>0</v>
          </cell>
          <cell r="I907">
            <v>3.6859999999999999</v>
          </cell>
          <cell r="J907">
            <v>3.4228962300000001</v>
          </cell>
          <cell r="K907">
            <v>3.4228962300000001</v>
          </cell>
          <cell r="L907">
            <v>0.26262460752244199</v>
          </cell>
          <cell r="M907">
            <v>3.6855208375224402</v>
          </cell>
          <cell r="N907">
            <v>2.34375E-2</v>
          </cell>
          <cell r="O907">
            <v>0</v>
          </cell>
          <cell r="P907">
            <v>0.375</v>
          </cell>
        </row>
        <row r="908">
          <cell r="A908">
            <v>553502</v>
          </cell>
          <cell r="B908">
            <v>6</v>
          </cell>
          <cell r="C908">
            <v>0</v>
          </cell>
          <cell r="D908">
            <v>4</v>
          </cell>
          <cell r="E908" t="str">
            <v>NON-HS</v>
          </cell>
          <cell r="F908" t="str">
            <v>Paramount</v>
          </cell>
          <cell r="G908">
            <v>0</v>
          </cell>
          <cell r="H908">
            <v>0</v>
          </cell>
          <cell r="I908">
            <v>1</v>
          </cell>
          <cell r="J908">
            <v>0</v>
          </cell>
          <cell r="K908">
            <v>1</v>
          </cell>
          <cell r="L908">
            <v>0</v>
          </cell>
          <cell r="M908">
            <v>1</v>
          </cell>
          <cell r="N908">
            <v>2.34375E-2</v>
          </cell>
          <cell r="O908">
            <v>0</v>
          </cell>
          <cell r="P908">
            <v>0.375</v>
          </cell>
        </row>
        <row r="909">
          <cell r="A909">
            <v>553503</v>
          </cell>
          <cell r="B909">
            <v>6</v>
          </cell>
          <cell r="C909">
            <v>0</v>
          </cell>
          <cell r="D909">
            <v>4</v>
          </cell>
          <cell r="E909" t="str">
            <v>NON-HS</v>
          </cell>
          <cell r="F909" t="str">
            <v>Paramount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2.34375E-2</v>
          </cell>
          <cell r="O909">
            <v>0</v>
          </cell>
          <cell r="P909">
            <v>0.375</v>
          </cell>
        </row>
        <row r="910">
          <cell r="A910">
            <v>553504</v>
          </cell>
          <cell r="B910">
            <v>6</v>
          </cell>
          <cell r="C910">
            <v>0</v>
          </cell>
          <cell r="D910">
            <v>4</v>
          </cell>
          <cell r="E910" t="str">
            <v>NON-HS</v>
          </cell>
          <cell r="F910" t="str">
            <v>Paramount</v>
          </cell>
          <cell r="G910">
            <v>0</v>
          </cell>
          <cell r="H910">
            <v>0</v>
          </cell>
          <cell r="I910">
            <v>2.0950000000000002</v>
          </cell>
          <cell r="J910">
            <v>1.9836996600000001</v>
          </cell>
          <cell r="K910">
            <v>1.9836996600000001</v>
          </cell>
          <cell r="L910">
            <v>0.11117260138240601</v>
          </cell>
          <cell r="M910">
            <v>2.09487226138241</v>
          </cell>
          <cell r="N910">
            <v>2.34375E-2</v>
          </cell>
          <cell r="O910">
            <v>0</v>
          </cell>
          <cell r="P910">
            <v>0.375</v>
          </cell>
        </row>
        <row r="911">
          <cell r="A911">
            <v>553701</v>
          </cell>
          <cell r="B911">
            <v>6</v>
          </cell>
          <cell r="C911">
            <v>0</v>
          </cell>
          <cell r="D911">
            <v>4</v>
          </cell>
          <cell r="E911" t="str">
            <v>NON-HS</v>
          </cell>
          <cell r="F911" t="str">
            <v>Paramount</v>
          </cell>
          <cell r="G911">
            <v>0</v>
          </cell>
          <cell r="H911">
            <v>0</v>
          </cell>
          <cell r="I911">
            <v>16.178999999999998</v>
          </cell>
          <cell r="J911">
            <v>13.879002870000001</v>
          </cell>
          <cell r="K911">
            <v>15.879002870000001</v>
          </cell>
          <cell r="L911">
            <v>0.299295699425494</v>
          </cell>
          <cell r="M911">
            <v>16.1782985694255</v>
          </cell>
          <cell r="N911">
            <v>2.34375E-2</v>
          </cell>
          <cell r="O911">
            <v>0</v>
          </cell>
          <cell r="P911">
            <v>0.375</v>
          </cell>
        </row>
        <row r="912">
          <cell r="A912">
            <v>553702</v>
          </cell>
          <cell r="B912">
            <v>6</v>
          </cell>
          <cell r="C912">
            <v>0</v>
          </cell>
          <cell r="D912">
            <v>4</v>
          </cell>
          <cell r="E912" t="str">
            <v>NON-HS</v>
          </cell>
          <cell r="F912" t="str">
            <v>Paramount</v>
          </cell>
          <cell r="G912">
            <v>0</v>
          </cell>
          <cell r="H912">
            <v>0</v>
          </cell>
          <cell r="I912">
            <v>15.34</v>
          </cell>
          <cell r="J912">
            <v>11.97640354</v>
          </cell>
          <cell r="K912">
            <v>14.97640354</v>
          </cell>
          <cell r="L912">
            <v>0.36441783642728898</v>
          </cell>
          <cell r="M912">
            <v>15.3408213764273</v>
          </cell>
          <cell r="N912">
            <v>2.34375E-2</v>
          </cell>
          <cell r="O912">
            <v>0</v>
          </cell>
          <cell r="P912">
            <v>0.375</v>
          </cell>
        </row>
        <row r="913">
          <cell r="A913">
            <v>553801</v>
          </cell>
          <cell r="B913">
            <v>6</v>
          </cell>
          <cell r="C913">
            <v>0</v>
          </cell>
          <cell r="D913">
            <v>4</v>
          </cell>
          <cell r="E913" t="str">
            <v>NON-HS</v>
          </cell>
          <cell r="F913" t="str">
            <v>Paramount</v>
          </cell>
          <cell r="G913">
            <v>0</v>
          </cell>
          <cell r="H913">
            <v>0</v>
          </cell>
          <cell r="I913">
            <v>18.690000000000001</v>
          </cell>
          <cell r="J913">
            <v>14.67301462</v>
          </cell>
          <cell r="K913">
            <v>17.67301462</v>
          </cell>
          <cell r="L913">
            <v>1.0169226670915601</v>
          </cell>
          <cell r="M913">
            <v>18.689937287091599</v>
          </cell>
          <cell r="N913">
            <v>2.34375E-2</v>
          </cell>
          <cell r="O913">
            <v>0</v>
          </cell>
          <cell r="P913">
            <v>0.375</v>
          </cell>
        </row>
        <row r="914">
          <cell r="A914">
            <v>553902</v>
          </cell>
          <cell r="B914">
            <v>6</v>
          </cell>
          <cell r="C914">
            <v>0</v>
          </cell>
          <cell r="D914">
            <v>4</v>
          </cell>
          <cell r="E914" t="str">
            <v>NON-HS</v>
          </cell>
          <cell r="F914" t="str">
            <v>Paramount</v>
          </cell>
          <cell r="G914">
            <v>0</v>
          </cell>
          <cell r="H914">
            <v>0</v>
          </cell>
          <cell r="I914">
            <v>7.9260000000000002</v>
          </cell>
          <cell r="J914">
            <v>1.90487994</v>
          </cell>
          <cell r="K914">
            <v>7.9048799399999998</v>
          </cell>
          <cell r="L914">
            <v>2.0625322082585301E-2</v>
          </cell>
          <cell r="M914">
            <v>7.9255052620825897</v>
          </cell>
          <cell r="N914">
            <v>2.34375E-2</v>
          </cell>
          <cell r="O914">
            <v>0</v>
          </cell>
          <cell r="P914">
            <v>0.375</v>
          </cell>
        </row>
        <row r="915">
          <cell r="A915">
            <v>540102</v>
          </cell>
          <cell r="B915">
            <v>6</v>
          </cell>
          <cell r="C915">
            <v>0</v>
          </cell>
          <cell r="D915">
            <v>2</v>
          </cell>
          <cell r="E915" t="str">
            <v>NON-HS</v>
          </cell>
          <cell r="F915" t="str">
            <v>Lynwood</v>
          </cell>
          <cell r="G915">
            <v>0</v>
          </cell>
          <cell r="H915">
            <v>0</v>
          </cell>
          <cell r="I915">
            <v>7.851</v>
          </cell>
          <cell r="J915">
            <v>3.8097598800000001</v>
          </cell>
          <cell r="K915">
            <v>7.8097598799999997</v>
          </cell>
          <cell r="L915">
            <v>4.1250644165170602E-2</v>
          </cell>
          <cell r="M915">
            <v>7.8510105241651704</v>
          </cell>
          <cell r="N915">
            <v>2.34375E-2</v>
          </cell>
          <cell r="O915">
            <v>0</v>
          </cell>
          <cell r="P915">
            <v>0.375</v>
          </cell>
        </row>
        <row r="916">
          <cell r="A916">
            <v>703200</v>
          </cell>
          <cell r="B916">
            <v>6</v>
          </cell>
          <cell r="C916">
            <v>0</v>
          </cell>
          <cell r="D916">
            <v>2</v>
          </cell>
          <cell r="E916" t="str">
            <v>NON-HS</v>
          </cell>
          <cell r="F916" t="str">
            <v>View Park-Windsor Hills</v>
          </cell>
          <cell r="G916">
            <v>0</v>
          </cell>
          <cell r="H916">
            <v>0</v>
          </cell>
          <cell r="I916">
            <v>8.3249999999999993</v>
          </cell>
          <cell r="J916">
            <v>5.07720868</v>
          </cell>
          <cell r="K916">
            <v>8.07720868</v>
          </cell>
          <cell r="L916">
            <v>0.24706283850987401</v>
          </cell>
          <cell r="M916">
            <v>8.3242715185098692</v>
          </cell>
          <cell r="N916">
            <v>2.34375E-2</v>
          </cell>
          <cell r="O916">
            <v>0</v>
          </cell>
          <cell r="P916">
            <v>0.375</v>
          </cell>
        </row>
        <row r="917">
          <cell r="A917">
            <v>532800</v>
          </cell>
          <cell r="B917">
            <v>6</v>
          </cell>
          <cell r="C917">
            <v>0</v>
          </cell>
          <cell r="D917">
            <v>2</v>
          </cell>
          <cell r="E917" t="str">
            <v>NON-HS</v>
          </cell>
          <cell r="F917" t="str">
            <v>Florence-Graham</v>
          </cell>
          <cell r="G917">
            <v>0</v>
          </cell>
          <cell r="H917">
            <v>0</v>
          </cell>
          <cell r="I917">
            <v>37.503</v>
          </cell>
          <cell r="J917">
            <v>27.656265179999998</v>
          </cell>
          <cell r="K917">
            <v>35.656265179999998</v>
          </cell>
          <cell r="L917">
            <v>1.8462062369479399</v>
          </cell>
          <cell r="M917">
            <v>37.502471416947898</v>
          </cell>
          <cell r="N917">
            <v>2.34375E-2</v>
          </cell>
          <cell r="O917">
            <v>0</v>
          </cell>
          <cell r="P917">
            <v>0.375</v>
          </cell>
        </row>
        <row r="918">
          <cell r="A918">
            <v>553601</v>
          </cell>
          <cell r="B918">
            <v>6</v>
          </cell>
          <cell r="C918">
            <v>0</v>
          </cell>
          <cell r="D918">
            <v>4</v>
          </cell>
          <cell r="E918" t="str">
            <v>NON-HS</v>
          </cell>
          <cell r="F918" t="str">
            <v>Paramount</v>
          </cell>
          <cell r="G918">
            <v>0</v>
          </cell>
          <cell r="H918">
            <v>0</v>
          </cell>
          <cell r="I918">
            <v>13.952999999999999</v>
          </cell>
          <cell r="J918">
            <v>8.6633802400000004</v>
          </cell>
          <cell r="K918">
            <v>13.66338024</v>
          </cell>
          <cell r="L918">
            <v>0.28918009235188502</v>
          </cell>
          <cell r="M918">
            <v>13.952560332351901</v>
          </cell>
          <cell r="N918">
            <v>2.34375E-2</v>
          </cell>
          <cell r="O918">
            <v>0</v>
          </cell>
          <cell r="P918">
            <v>0.375</v>
          </cell>
        </row>
        <row r="919">
          <cell r="A919">
            <v>542106</v>
          </cell>
          <cell r="B919">
            <v>6</v>
          </cell>
          <cell r="C919">
            <v>0</v>
          </cell>
          <cell r="D919">
            <v>2</v>
          </cell>
          <cell r="E919" t="str">
            <v>NON-HS</v>
          </cell>
          <cell r="F919" t="str">
            <v>Compton</v>
          </cell>
          <cell r="G919">
            <v>0</v>
          </cell>
          <cell r="H919">
            <v>0</v>
          </cell>
          <cell r="I919">
            <v>10.97</v>
          </cell>
          <cell r="J919">
            <v>9.3739952100000004</v>
          </cell>
          <cell r="K919">
            <v>10.37399521</v>
          </cell>
          <cell r="L919">
            <v>0.59614241166965898</v>
          </cell>
          <cell r="M919">
            <v>10.9701376216697</v>
          </cell>
          <cell r="N919">
            <v>2.34375E-2</v>
          </cell>
          <cell r="O919">
            <v>0</v>
          </cell>
          <cell r="P919">
            <v>0.375</v>
          </cell>
        </row>
        <row r="920">
          <cell r="A920">
            <v>540101</v>
          </cell>
          <cell r="B920">
            <v>6</v>
          </cell>
          <cell r="C920">
            <v>0</v>
          </cell>
          <cell r="D920">
            <v>2</v>
          </cell>
          <cell r="E920" t="str">
            <v>NON-HS</v>
          </cell>
          <cell r="F920" t="str">
            <v>Lynwood</v>
          </cell>
          <cell r="G920">
            <v>0</v>
          </cell>
          <cell r="H920">
            <v>0</v>
          </cell>
          <cell r="I920">
            <v>11.637</v>
          </cell>
          <cell r="J920">
            <v>7.3548439400000003</v>
          </cell>
          <cell r="K920">
            <v>11.35484394</v>
          </cell>
          <cell r="L920">
            <v>0.28176894403949698</v>
          </cell>
          <cell r="M920">
            <v>11.636612884039501</v>
          </cell>
          <cell r="N920">
            <v>2.34375E-2</v>
          </cell>
          <cell r="O920">
            <v>0</v>
          </cell>
          <cell r="P920">
            <v>0.375</v>
          </cell>
        </row>
        <row r="921">
          <cell r="A921">
            <v>541802</v>
          </cell>
          <cell r="B921">
            <v>6</v>
          </cell>
          <cell r="C921">
            <v>0</v>
          </cell>
          <cell r="D921">
            <v>2</v>
          </cell>
          <cell r="E921" t="str">
            <v>NON-HS</v>
          </cell>
          <cell r="F921" t="str">
            <v>Lynwood</v>
          </cell>
          <cell r="G921">
            <v>0</v>
          </cell>
          <cell r="H921">
            <v>0</v>
          </cell>
          <cell r="I921">
            <v>2.0950000000000002</v>
          </cell>
          <cell r="J921">
            <v>1.9836996600000001</v>
          </cell>
          <cell r="K921">
            <v>1.9836996600000001</v>
          </cell>
          <cell r="L921">
            <v>0.11117260138240601</v>
          </cell>
          <cell r="M921">
            <v>2.09487226138241</v>
          </cell>
          <cell r="N921">
            <v>2.34375E-2</v>
          </cell>
          <cell r="O921">
            <v>0</v>
          </cell>
          <cell r="P921">
            <v>0.375</v>
          </cell>
        </row>
        <row r="922">
          <cell r="A922">
            <v>703100</v>
          </cell>
          <cell r="B922">
            <v>6</v>
          </cell>
          <cell r="C922">
            <v>0</v>
          </cell>
          <cell r="D922">
            <v>2</v>
          </cell>
          <cell r="E922" t="str">
            <v>NON-HS</v>
          </cell>
          <cell r="F922" t="str">
            <v>View Park-Windsor Hills</v>
          </cell>
          <cell r="G922">
            <v>0</v>
          </cell>
          <cell r="H922">
            <v>0</v>
          </cell>
          <cell r="I922">
            <v>9.5440000000000005</v>
          </cell>
          <cell r="J922">
            <v>8.6351794200000001</v>
          </cell>
          <cell r="K922">
            <v>8.6351794200000001</v>
          </cell>
          <cell r="L922">
            <v>0.90871203684021595</v>
          </cell>
          <cell r="M922">
            <v>9.5438914568402193</v>
          </cell>
          <cell r="N922">
            <v>2.34375E-2</v>
          </cell>
          <cell r="O922">
            <v>0</v>
          </cell>
          <cell r="P922">
            <v>0.375</v>
          </cell>
        </row>
        <row r="923">
          <cell r="A923">
            <v>543100</v>
          </cell>
          <cell r="B923">
            <v>6</v>
          </cell>
          <cell r="C923">
            <v>0</v>
          </cell>
          <cell r="D923">
            <v>2</v>
          </cell>
          <cell r="E923" t="str">
            <v>NON-HS</v>
          </cell>
          <cell r="F923" t="str">
            <v>Compton</v>
          </cell>
          <cell r="G923">
            <v>0</v>
          </cell>
          <cell r="H923">
            <v>0</v>
          </cell>
          <cell r="I923">
            <v>3</v>
          </cell>
          <cell r="J923">
            <v>0</v>
          </cell>
          <cell r="K923">
            <v>3</v>
          </cell>
          <cell r="L923">
            <v>0</v>
          </cell>
          <cell r="M923">
            <v>3</v>
          </cell>
          <cell r="N923">
            <v>2.34375E-2</v>
          </cell>
          <cell r="O923">
            <v>0</v>
          </cell>
          <cell r="P923">
            <v>0.375</v>
          </cell>
        </row>
        <row r="924">
          <cell r="A924">
            <v>541500</v>
          </cell>
          <cell r="B924">
            <v>6</v>
          </cell>
          <cell r="C924">
            <v>0</v>
          </cell>
          <cell r="D924">
            <v>2</v>
          </cell>
          <cell r="E924" t="str">
            <v>NON-HS</v>
          </cell>
          <cell r="F924" t="str">
            <v>Willowbrook</v>
          </cell>
          <cell r="G924">
            <v>0</v>
          </cell>
          <cell r="H924">
            <v>0</v>
          </cell>
          <cell r="I924">
            <v>15.038</v>
          </cell>
          <cell r="J924">
            <v>13.79120782</v>
          </cell>
          <cell r="K924">
            <v>13.79120782</v>
          </cell>
          <cell r="L924">
            <v>1.2463221546499099</v>
          </cell>
          <cell r="M924">
            <v>15.0375299746499</v>
          </cell>
          <cell r="N924">
            <v>2.34375E-2</v>
          </cell>
          <cell r="O924">
            <v>0</v>
          </cell>
          <cell r="P924">
            <v>0.375</v>
          </cell>
        </row>
        <row r="925">
          <cell r="A925">
            <v>540501</v>
          </cell>
          <cell r="B925">
            <v>6</v>
          </cell>
          <cell r="C925">
            <v>0</v>
          </cell>
          <cell r="D925">
            <v>2</v>
          </cell>
          <cell r="E925" t="str">
            <v>NON-HS</v>
          </cell>
          <cell r="F925" t="str">
            <v>Lynwood</v>
          </cell>
          <cell r="G925">
            <v>0</v>
          </cell>
          <cell r="H925">
            <v>0</v>
          </cell>
          <cell r="I925">
            <v>12.702</v>
          </cell>
          <cell r="J925">
            <v>7.6195197600000002</v>
          </cell>
          <cell r="K925">
            <v>12.619519759999999</v>
          </cell>
          <cell r="L925">
            <v>8.2501288330341094E-2</v>
          </cell>
          <cell r="M925">
            <v>12.7020210483303</v>
          </cell>
          <cell r="N925">
            <v>2.34375E-2</v>
          </cell>
          <cell r="O925">
            <v>0</v>
          </cell>
          <cell r="P925">
            <v>0.375</v>
          </cell>
        </row>
        <row r="926">
          <cell r="A926">
            <v>543201</v>
          </cell>
          <cell r="B926">
            <v>6</v>
          </cell>
          <cell r="C926">
            <v>0</v>
          </cell>
          <cell r="D926">
            <v>2</v>
          </cell>
          <cell r="E926" t="str">
            <v>NON-HS</v>
          </cell>
          <cell r="F926" t="str">
            <v>Compton</v>
          </cell>
          <cell r="G926">
            <v>0</v>
          </cell>
          <cell r="H926">
            <v>0</v>
          </cell>
          <cell r="I926">
            <v>18.815999999999999</v>
          </cell>
          <cell r="J926">
            <v>13.25410237</v>
          </cell>
          <cell r="K926">
            <v>18.254102369999998</v>
          </cell>
          <cell r="L926">
            <v>0.56179316965888704</v>
          </cell>
          <cell r="M926">
            <v>18.8158955396589</v>
          </cell>
          <cell r="N926">
            <v>2.34375E-2</v>
          </cell>
          <cell r="O926">
            <v>0</v>
          </cell>
          <cell r="P926">
            <v>0.375</v>
          </cell>
        </row>
        <row r="927">
          <cell r="A927">
            <v>482522</v>
          </cell>
          <cell r="B927">
            <v>7</v>
          </cell>
          <cell r="C927">
            <v>0</v>
          </cell>
          <cell r="D927">
            <v>1</v>
          </cell>
          <cell r="E927" t="str">
            <v>NON-HS</v>
          </cell>
          <cell r="F927" t="str">
            <v>Montebello</v>
          </cell>
          <cell r="G927">
            <v>1</v>
          </cell>
          <cell r="H927">
            <v>1</v>
          </cell>
          <cell r="I927">
            <v>9.6140000000000008</v>
          </cell>
          <cell r="J927">
            <v>9.1667958299999999</v>
          </cell>
          <cell r="K927">
            <v>9.1667958299999999</v>
          </cell>
          <cell r="L927">
            <v>0.447301733626571</v>
          </cell>
          <cell r="M927">
            <v>9.6140975636265704</v>
          </cell>
          <cell r="N927">
            <v>4.5454545454545497E-2</v>
          </cell>
          <cell r="O927">
            <v>22</v>
          </cell>
          <cell r="P927">
            <v>1</v>
          </cell>
        </row>
        <row r="928">
          <cell r="A928">
            <v>500100</v>
          </cell>
          <cell r="B928">
            <v>7</v>
          </cell>
          <cell r="C928">
            <v>0</v>
          </cell>
          <cell r="D928">
            <v>4</v>
          </cell>
          <cell r="E928" t="str">
            <v>NON-HS</v>
          </cell>
          <cell r="F928" t="str">
            <v>La Habra Heights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4.5454545454545497E-2</v>
          </cell>
          <cell r="O928">
            <v>0</v>
          </cell>
          <cell r="P928">
            <v>1</v>
          </cell>
        </row>
        <row r="929">
          <cell r="A929">
            <v>500201</v>
          </cell>
          <cell r="B929">
            <v>7</v>
          </cell>
          <cell r="C929">
            <v>0</v>
          </cell>
          <cell r="D929">
            <v>4</v>
          </cell>
          <cell r="E929" t="str">
            <v>NON-HS</v>
          </cell>
          <cell r="F929" t="str">
            <v>La Habra Heights</v>
          </cell>
          <cell r="G929">
            <v>0</v>
          </cell>
          <cell r="H929">
            <v>0</v>
          </cell>
          <cell r="I929">
            <v>2</v>
          </cell>
          <cell r="J929">
            <v>0</v>
          </cell>
          <cell r="K929">
            <v>2</v>
          </cell>
          <cell r="L929">
            <v>0</v>
          </cell>
          <cell r="M929">
            <v>2</v>
          </cell>
          <cell r="N929">
            <v>4.5454545454545497E-2</v>
          </cell>
          <cell r="O929">
            <v>0</v>
          </cell>
          <cell r="P929">
            <v>1</v>
          </cell>
        </row>
        <row r="930">
          <cell r="A930">
            <v>500800</v>
          </cell>
          <cell r="B930">
            <v>7</v>
          </cell>
          <cell r="C930">
            <v>0</v>
          </cell>
          <cell r="D930">
            <v>1</v>
          </cell>
          <cell r="E930" t="str">
            <v>NON-HS</v>
          </cell>
          <cell r="F930" t="str">
            <v>Pico Rivera</v>
          </cell>
          <cell r="G930">
            <v>0</v>
          </cell>
          <cell r="H930">
            <v>0</v>
          </cell>
          <cell r="I930">
            <v>3.5910000000000002</v>
          </cell>
          <cell r="J930">
            <v>1.43919657</v>
          </cell>
          <cell r="K930">
            <v>3.43919657</v>
          </cell>
          <cell r="L930">
            <v>0.15145200614003601</v>
          </cell>
          <cell r="M930">
            <v>3.59064857614004</v>
          </cell>
          <cell r="N930">
            <v>4.5454545454545497E-2</v>
          </cell>
          <cell r="O930">
            <v>0</v>
          </cell>
          <cell r="P930">
            <v>1</v>
          </cell>
        </row>
        <row r="931">
          <cell r="A931">
            <v>501001</v>
          </cell>
          <cell r="B931">
            <v>7</v>
          </cell>
          <cell r="C931">
            <v>0</v>
          </cell>
          <cell r="D931">
            <v>4</v>
          </cell>
          <cell r="E931" t="str">
            <v>NON-HS</v>
          </cell>
          <cell r="F931" t="str">
            <v>West Whittier</v>
          </cell>
          <cell r="G931">
            <v>1</v>
          </cell>
          <cell r="H931">
            <v>1</v>
          </cell>
          <cell r="I931">
            <v>2.9260000000000002</v>
          </cell>
          <cell r="J931">
            <v>1.90487994</v>
          </cell>
          <cell r="K931">
            <v>2.9048799399999998</v>
          </cell>
          <cell r="L931">
            <v>2.0625322082585301E-2</v>
          </cell>
          <cell r="M931">
            <v>2.9255052620825901</v>
          </cell>
          <cell r="N931">
            <v>4.5454545454545497E-2</v>
          </cell>
          <cell r="O931">
            <v>22</v>
          </cell>
          <cell r="P931">
            <v>1</v>
          </cell>
        </row>
        <row r="932">
          <cell r="A932">
            <v>501200</v>
          </cell>
          <cell r="B932">
            <v>7</v>
          </cell>
          <cell r="C932">
            <v>0</v>
          </cell>
          <cell r="D932">
            <v>4</v>
          </cell>
          <cell r="E932" t="str">
            <v>NON-HS</v>
          </cell>
          <cell r="F932" t="str">
            <v>Whittier</v>
          </cell>
          <cell r="G932">
            <v>0</v>
          </cell>
          <cell r="H932">
            <v>0</v>
          </cell>
          <cell r="I932">
            <v>2</v>
          </cell>
          <cell r="J932">
            <v>0</v>
          </cell>
          <cell r="K932">
            <v>2</v>
          </cell>
          <cell r="L932">
            <v>0</v>
          </cell>
          <cell r="M932">
            <v>2</v>
          </cell>
          <cell r="N932">
            <v>4.5454545454545497E-2</v>
          </cell>
          <cell r="O932">
            <v>0</v>
          </cell>
          <cell r="P932">
            <v>1</v>
          </cell>
        </row>
        <row r="933">
          <cell r="A933">
            <v>501501</v>
          </cell>
          <cell r="B933">
            <v>7</v>
          </cell>
          <cell r="C933">
            <v>0</v>
          </cell>
          <cell r="D933">
            <v>4</v>
          </cell>
          <cell r="E933" t="str">
            <v>NON-HS</v>
          </cell>
          <cell r="F933" t="str">
            <v>Unincorporated Whittier</v>
          </cell>
          <cell r="G933">
            <v>0</v>
          </cell>
          <cell r="H933">
            <v>0</v>
          </cell>
          <cell r="I933">
            <v>1</v>
          </cell>
          <cell r="J933">
            <v>0</v>
          </cell>
          <cell r="K933">
            <v>1</v>
          </cell>
          <cell r="L933">
            <v>0</v>
          </cell>
          <cell r="M933">
            <v>1</v>
          </cell>
          <cell r="N933">
            <v>4.5454545454545497E-2</v>
          </cell>
          <cell r="O933">
            <v>0</v>
          </cell>
          <cell r="P933">
            <v>1</v>
          </cell>
        </row>
        <row r="934">
          <cell r="A934">
            <v>501503</v>
          </cell>
          <cell r="B934">
            <v>7</v>
          </cell>
          <cell r="C934">
            <v>0</v>
          </cell>
          <cell r="D934">
            <v>4</v>
          </cell>
          <cell r="E934" t="str">
            <v>NON-HS</v>
          </cell>
          <cell r="F934" t="str">
            <v>Whittier</v>
          </cell>
          <cell r="G934">
            <v>0</v>
          </cell>
          <cell r="H934">
            <v>0</v>
          </cell>
          <cell r="I934">
            <v>6.19</v>
          </cell>
          <cell r="J934">
            <v>3.9673993200000002</v>
          </cell>
          <cell r="K934">
            <v>5.9673993200000002</v>
          </cell>
          <cell r="L934">
            <v>0.22234520276481101</v>
          </cell>
          <cell r="M934">
            <v>6.1897445227648102</v>
          </cell>
          <cell r="N934">
            <v>4.5454545454545497E-2</v>
          </cell>
          <cell r="O934">
            <v>0</v>
          </cell>
          <cell r="P934">
            <v>1</v>
          </cell>
        </row>
        <row r="935">
          <cell r="A935">
            <v>501600</v>
          </cell>
          <cell r="B935">
            <v>7</v>
          </cell>
          <cell r="C935">
            <v>0</v>
          </cell>
          <cell r="D935">
            <v>4</v>
          </cell>
          <cell r="E935" t="str">
            <v>NON-HS</v>
          </cell>
          <cell r="F935" t="str">
            <v>Whittier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4.5454545454545497E-2</v>
          </cell>
          <cell r="O935">
            <v>0</v>
          </cell>
          <cell r="P935">
            <v>1</v>
          </cell>
        </row>
        <row r="936">
          <cell r="A936">
            <v>501802</v>
          </cell>
          <cell r="B936">
            <v>7</v>
          </cell>
          <cell r="C936">
            <v>0</v>
          </cell>
          <cell r="D936">
            <v>4</v>
          </cell>
          <cell r="E936" t="str">
            <v>NON-HS</v>
          </cell>
          <cell r="F936" t="str">
            <v>Whittier</v>
          </cell>
          <cell r="G936">
            <v>0</v>
          </cell>
          <cell r="H936">
            <v>0</v>
          </cell>
          <cell r="I936">
            <v>1.8080000000000001</v>
          </cell>
          <cell r="J936">
            <v>1.73313217</v>
          </cell>
          <cell r="K936">
            <v>1.73313217</v>
          </cell>
          <cell r="L936">
            <v>7.4985510287253102E-2</v>
          </cell>
          <cell r="M936">
            <v>1.8081176802872501</v>
          </cell>
          <cell r="N936">
            <v>4.5454545454545497E-2</v>
          </cell>
          <cell r="O936">
            <v>0</v>
          </cell>
          <cell r="P936">
            <v>1</v>
          </cell>
        </row>
        <row r="937">
          <cell r="A937">
            <v>502005</v>
          </cell>
          <cell r="B937">
            <v>7</v>
          </cell>
          <cell r="C937">
            <v>0</v>
          </cell>
          <cell r="D937">
            <v>4</v>
          </cell>
          <cell r="E937" t="str">
            <v>NON-HS</v>
          </cell>
          <cell r="F937" t="str">
            <v>South Whittier</v>
          </cell>
          <cell r="G937">
            <v>0</v>
          </cell>
          <cell r="H937">
            <v>0</v>
          </cell>
          <cell r="I937">
            <v>5.9459999999999997</v>
          </cell>
          <cell r="J937">
            <v>5.7934595399999997</v>
          </cell>
          <cell r="K937">
            <v>5.7934595399999997</v>
          </cell>
          <cell r="L937">
            <v>0.152423245547576</v>
          </cell>
          <cell r="M937">
            <v>5.94588278554758</v>
          </cell>
          <cell r="N937">
            <v>4.5454545454545497E-2</v>
          </cell>
          <cell r="O937">
            <v>0</v>
          </cell>
          <cell r="P937">
            <v>1</v>
          </cell>
        </row>
        <row r="938">
          <cell r="A938">
            <v>571101</v>
          </cell>
          <cell r="B938">
            <v>7</v>
          </cell>
          <cell r="C938">
            <v>0</v>
          </cell>
          <cell r="D938">
            <v>4</v>
          </cell>
          <cell r="E938" t="str">
            <v>NON-HS</v>
          </cell>
          <cell r="F938" t="str">
            <v>Lakewood</v>
          </cell>
          <cell r="G938">
            <v>0</v>
          </cell>
          <cell r="H938">
            <v>0</v>
          </cell>
          <cell r="I938">
            <v>1</v>
          </cell>
          <cell r="J938">
            <v>0</v>
          </cell>
          <cell r="K938">
            <v>1</v>
          </cell>
          <cell r="L938">
            <v>0</v>
          </cell>
          <cell r="M938">
            <v>1</v>
          </cell>
          <cell r="N938">
            <v>4.5454545454545497E-2</v>
          </cell>
          <cell r="O938">
            <v>0</v>
          </cell>
          <cell r="P938">
            <v>1</v>
          </cell>
        </row>
        <row r="939">
          <cell r="A939">
            <v>502402</v>
          </cell>
          <cell r="B939">
            <v>7</v>
          </cell>
          <cell r="C939">
            <v>0</v>
          </cell>
          <cell r="D939">
            <v>1</v>
          </cell>
          <cell r="E939" t="str">
            <v>NON-HS</v>
          </cell>
          <cell r="F939" t="str">
            <v>Pico Rivera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4.5454545454545497E-2</v>
          </cell>
          <cell r="O939">
            <v>0</v>
          </cell>
          <cell r="P939">
            <v>1</v>
          </cell>
        </row>
        <row r="940">
          <cell r="A940">
            <v>502801</v>
          </cell>
          <cell r="B940">
            <v>7</v>
          </cell>
          <cell r="C940">
            <v>0</v>
          </cell>
          <cell r="D940">
            <v>4</v>
          </cell>
          <cell r="E940" t="str">
            <v>NON-HS</v>
          </cell>
          <cell r="F940" t="str">
            <v>Santa Fe Springs</v>
          </cell>
          <cell r="G940">
            <v>0</v>
          </cell>
          <cell r="H940">
            <v>0</v>
          </cell>
          <cell r="I940">
            <v>2.0950000000000002</v>
          </cell>
          <cell r="J940">
            <v>1.9836996600000001</v>
          </cell>
          <cell r="K940">
            <v>1.9836996600000001</v>
          </cell>
          <cell r="L940">
            <v>0.11117260138240601</v>
          </cell>
          <cell r="M940">
            <v>2.09487226138241</v>
          </cell>
          <cell r="N940">
            <v>4.5454545454545497E-2</v>
          </cell>
          <cell r="O940">
            <v>0</v>
          </cell>
          <cell r="P940">
            <v>1</v>
          </cell>
        </row>
        <row r="941">
          <cell r="A941">
            <v>502902</v>
          </cell>
          <cell r="B941">
            <v>7</v>
          </cell>
          <cell r="C941">
            <v>0</v>
          </cell>
          <cell r="D941">
            <v>4</v>
          </cell>
          <cell r="E941" t="str">
            <v>NON-HS</v>
          </cell>
          <cell r="F941" t="str">
            <v>Santa Fe Springs</v>
          </cell>
          <cell r="G941">
            <v>0</v>
          </cell>
          <cell r="H941">
            <v>0</v>
          </cell>
          <cell r="I941">
            <v>7.2850000000000001</v>
          </cell>
          <cell r="J941">
            <v>5.9510989800000003</v>
          </cell>
          <cell r="K941">
            <v>6.9510989800000003</v>
          </cell>
          <cell r="L941">
            <v>0.33351780414721699</v>
          </cell>
          <cell r="M941">
            <v>7.2846167841472198</v>
          </cell>
          <cell r="N941">
            <v>4.5454545454545497E-2</v>
          </cell>
          <cell r="O941">
            <v>0</v>
          </cell>
          <cell r="P941">
            <v>1</v>
          </cell>
        </row>
        <row r="942">
          <cell r="A942">
            <v>503103</v>
          </cell>
          <cell r="B942">
            <v>7</v>
          </cell>
          <cell r="C942">
            <v>0</v>
          </cell>
          <cell r="D942">
            <v>4</v>
          </cell>
          <cell r="E942" t="str">
            <v>NON-HS</v>
          </cell>
          <cell r="F942" t="str">
            <v>South Whittier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4.5454545454545497E-2</v>
          </cell>
          <cell r="O942">
            <v>0</v>
          </cell>
          <cell r="P942">
            <v>1</v>
          </cell>
        </row>
        <row r="943">
          <cell r="A943">
            <v>503201</v>
          </cell>
          <cell r="B943">
            <v>7</v>
          </cell>
          <cell r="C943">
            <v>0</v>
          </cell>
          <cell r="D943">
            <v>4</v>
          </cell>
          <cell r="E943" t="str">
            <v>NON-HS</v>
          </cell>
          <cell r="F943" t="str">
            <v>South Whittier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4.5454545454545497E-2</v>
          </cell>
          <cell r="O943">
            <v>0</v>
          </cell>
          <cell r="P943">
            <v>1</v>
          </cell>
        </row>
        <row r="944">
          <cell r="A944">
            <v>503202</v>
          </cell>
          <cell r="B944">
            <v>7</v>
          </cell>
          <cell r="C944">
            <v>0</v>
          </cell>
          <cell r="D944">
            <v>4</v>
          </cell>
          <cell r="E944" t="str">
            <v>NON-HS</v>
          </cell>
          <cell r="F944" t="str">
            <v>South Whittier</v>
          </cell>
          <cell r="G944">
            <v>0</v>
          </cell>
          <cell r="H944">
            <v>0</v>
          </cell>
          <cell r="I944">
            <v>1</v>
          </cell>
          <cell r="J944">
            <v>0</v>
          </cell>
          <cell r="K944">
            <v>1</v>
          </cell>
          <cell r="L944">
            <v>0</v>
          </cell>
          <cell r="M944">
            <v>1</v>
          </cell>
          <cell r="N944">
            <v>4.5454545454545497E-2</v>
          </cell>
          <cell r="O944">
            <v>0</v>
          </cell>
          <cell r="P944">
            <v>1</v>
          </cell>
        </row>
        <row r="945">
          <cell r="A945">
            <v>554522</v>
          </cell>
          <cell r="B945">
            <v>7</v>
          </cell>
          <cell r="C945">
            <v>0</v>
          </cell>
          <cell r="D945">
            <v>4</v>
          </cell>
          <cell r="E945" t="str">
            <v>NON-HS</v>
          </cell>
          <cell r="F945" t="str">
            <v>Cerritos</v>
          </cell>
          <cell r="G945">
            <v>0</v>
          </cell>
          <cell r="H945">
            <v>0</v>
          </cell>
          <cell r="I945">
            <v>1.7030000000000001</v>
          </cell>
          <cell r="J945">
            <v>1.6812916200000001</v>
          </cell>
          <cell r="K945">
            <v>1.6812916200000001</v>
          </cell>
          <cell r="L945">
            <v>2.14919317594255E-2</v>
          </cell>
          <cell r="M945">
            <v>1.7027835517594301</v>
          </cell>
          <cell r="N945">
            <v>4.5454545454545497E-2</v>
          </cell>
          <cell r="O945">
            <v>0</v>
          </cell>
          <cell r="P945">
            <v>1</v>
          </cell>
        </row>
        <row r="946">
          <cell r="A946">
            <v>503402</v>
          </cell>
          <cell r="B946">
            <v>7</v>
          </cell>
          <cell r="C946">
            <v>0</v>
          </cell>
          <cell r="D946">
            <v>4</v>
          </cell>
          <cell r="E946" t="str">
            <v>NON-HS</v>
          </cell>
          <cell r="F946" t="str">
            <v>Whittier</v>
          </cell>
          <cell r="G946">
            <v>0</v>
          </cell>
          <cell r="H946">
            <v>0</v>
          </cell>
          <cell r="I946">
            <v>6.6859999999999999</v>
          </cell>
          <cell r="J946">
            <v>3.4228962300000001</v>
          </cell>
          <cell r="K946">
            <v>6.4228962300000001</v>
          </cell>
          <cell r="L946">
            <v>0.26262460752244199</v>
          </cell>
          <cell r="M946">
            <v>6.6855208375224402</v>
          </cell>
          <cell r="N946">
            <v>4.5454545454545497E-2</v>
          </cell>
          <cell r="O946">
            <v>0</v>
          </cell>
          <cell r="P946">
            <v>1</v>
          </cell>
        </row>
        <row r="947">
          <cell r="A947">
            <v>503502</v>
          </cell>
          <cell r="B947">
            <v>7</v>
          </cell>
          <cell r="C947">
            <v>0</v>
          </cell>
          <cell r="D947">
            <v>4</v>
          </cell>
          <cell r="E947" t="str">
            <v>NON-HS</v>
          </cell>
          <cell r="F947" t="str">
            <v>South Whittier</v>
          </cell>
          <cell r="G947">
            <v>0</v>
          </cell>
          <cell r="H947">
            <v>0</v>
          </cell>
          <cell r="I947">
            <v>5.181</v>
          </cell>
          <cell r="J947">
            <v>2.87839314</v>
          </cell>
          <cell r="K947">
            <v>4.87839314</v>
          </cell>
          <cell r="L947">
            <v>0.30290401228007202</v>
          </cell>
          <cell r="M947">
            <v>5.1812971522800702</v>
          </cell>
          <cell r="N947">
            <v>4.5454545454545497E-2</v>
          </cell>
          <cell r="O947">
            <v>0</v>
          </cell>
          <cell r="P947">
            <v>1</v>
          </cell>
        </row>
        <row r="948">
          <cell r="A948">
            <v>554515</v>
          </cell>
          <cell r="B948">
            <v>7</v>
          </cell>
          <cell r="C948">
            <v>0</v>
          </cell>
          <cell r="D948">
            <v>4</v>
          </cell>
          <cell r="E948" t="str">
            <v>NON-HS</v>
          </cell>
          <cell r="F948" t="str">
            <v>Cerritos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4.5454545454545497E-2</v>
          </cell>
          <cell r="O948">
            <v>0</v>
          </cell>
          <cell r="P948">
            <v>1</v>
          </cell>
        </row>
        <row r="949">
          <cell r="A949">
            <v>503703</v>
          </cell>
          <cell r="B949">
            <v>7</v>
          </cell>
          <cell r="C949">
            <v>0</v>
          </cell>
          <cell r="D949">
            <v>4</v>
          </cell>
          <cell r="E949" t="str">
            <v>NON-HS</v>
          </cell>
          <cell r="F949" t="str">
            <v>La Mirada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4.5454545454545497E-2</v>
          </cell>
          <cell r="O949">
            <v>0</v>
          </cell>
          <cell r="P949">
            <v>1</v>
          </cell>
        </row>
        <row r="950">
          <cell r="A950">
            <v>554511</v>
          </cell>
          <cell r="B950">
            <v>7</v>
          </cell>
          <cell r="C950">
            <v>0</v>
          </cell>
          <cell r="D950">
            <v>4</v>
          </cell>
          <cell r="E950" t="str">
            <v>NON-HS</v>
          </cell>
          <cell r="F950" t="str">
            <v>Cerritos</v>
          </cell>
          <cell r="G950">
            <v>0</v>
          </cell>
          <cell r="H950">
            <v>0</v>
          </cell>
          <cell r="I950">
            <v>3.903</v>
          </cell>
          <cell r="J950">
            <v>3.7168318299999998</v>
          </cell>
          <cell r="K950">
            <v>3.7168318299999998</v>
          </cell>
          <cell r="L950">
            <v>0.18615811166965901</v>
          </cell>
          <cell r="M950">
            <v>3.9029899416696598</v>
          </cell>
          <cell r="N950">
            <v>4.5454545454545497E-2</v>
          </cell>
          <cell r="O950">
            <v>0</v>
          </cell>
          <cell r="P950">
            <v>1</v>
          </cell>
        </row>
        <row r="951">
          <cell r="A951">
            <v>503902</v>
          </cell>
          <cell r="B951">
            <v>7</v>
          </cell>
          <cell r="C951">
            <v>0</v>
          </cell>
          <cell r="D951">
            <v>4</v>
          </cell>
          <cell r="E951" t="str">
            <v>NON-HS</v>
          </cell>
          <cell r="F951" t="str">
            <v>La Mirada</v>
          </cell>
          <cell r="G951">
            <v>0</v>
          </cell>
          <cell r="H951">
            <v>0</v>
          </cell>
          <cell r="I951">
            <v>8.2110000000000003</v>
          </cell>
          <cell r="J951">
            <v>7.8559789200000001</v>
          </cell>
          <cell r="K951">
            <v>7.8559789200000001</v>
          </cell>
          <cell r="L951">
            <v>0.35414312622980199</v>
          </cell>
          <cell r="M951">
            <v>8.2101220462298006</v>
          </cell>
          <cell r="N951">
            <v>4.5454545454545497E-2</v>
          </cell>
          <cell r="O951">
            <v>0</v>
          </cell>
          <cell r="P951">
            <v>1</v>
          </cell>
        </row>
        <row r="952">
          <cell r="A952">
            <v>504002</v>
          </cell>
          <cell r="B952">
            <v>7</v>
          </cell>
          <cell r="C952">
            <v>0</v>
          </cell>
          <cell r="D952">
            <v>4</v>
          </cell>
          <cell r="E952" t="str">
            <v>NON-HS</v>
          </cell>
          <cell r="F952" t="str">
            <v>La Mirada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4.5454545454545497E-2</v>
          </cell>
          <cell r="O952">
            <v>0</v>
          </cell>
          <cell r="P952">
            <v>1</v>
          </cell>
        </row>
        <row r="953">
          <cell r="A953">
            <v>530003</v>
          </cell>
          <cell r="B953">
            <v>7</v>
          </cell>
          <cell r="C953">
            <v>0</v>
          </cell>
          <cell r="D953">
            <v>1</v>
          </cell>
          <cell r="E953" t="str">
            <v>NON-HS</v>
          </cell>
          <cell r="F953" t="str">
            <v>Montebello</v>
          </cell>
          <cell r="G953">
            <v>0</v>
          </cell>
          <cell r="H953">
            <v>0</v>
          </cell>
          <cell r="I953">
            <v>2.0950000000000002</v>
          </cell>
          <cell r="J953">
            <v>1.9836996600000001</v>
          </cell>
          <cell r="K953">
            <v>1.9836996600000001</v>
          </cell>
          <cell r="L953">
            <v>0.11117260138240601</v>
          </cell>
          <cell r="M953">
            <v>2.09487226138241</v>
          </cell>
          <cell r="N953">
            <v>4.5454545454545497E-2</v>
          </cell>
          <cell r="O953">
            <v>0</v>
          </cell>
          <cell r="P953">
            <v>1</v>
          </cell>
        </row>
        <row r="954">
          <cell r="A954">
            <v>530500</v>
          </cell>
          <cell r="B954">
            <v>7</v>
          </cell>
          <cell r="C954">
            <v>0</v>
          </cell>
          <cell r="D954">
            <v>1</v>
          </cell>
          <cell r="E954" t="str">
            <v>NON-HS</v>
          </cell>
          <cell r="F954" t="str">
            <v>East Los Angeles</v>
          </cell>
          <cell r="G954">
            <v>0</v>
          </cell>
          <cell r="H954">
            <v>0</v>
          </cell>
          <cell r="I954">
            <v>3.6859999999999999</v>
          </cell>
          <cell r="J954">
            <v>3.4228962300000001</v>
          </cell>
          <cell r="K954">
            <v>3.4228962300000001</v>
          </cell>
          <cell r="L954">
            <v>0.26262460752244199</v>
          </cell>
          <cell r="M954">
            <v>3.6855208375224402</v>
          </cell>
          <cell r="N954">
            <v>4.5454545454545497E-2</v>
          </cell>
          <cell r="O954">
            <v>0</v>
          </cell>
          <cell r="P954">
            <v>1</v>
          </cell>
        </row>
        <row r="955">
          <cell r="A955">
            <v>530601</v>
          </cell>
          <cell r="B955">
            <v>7</v>
          </cell>
          <cell r="C955">
            <v>0</v>
          </cell>
          <cell r="D955">
            <v>1</v>
          </cell>
          <cell r="E955" t="str">
            <v>NON-HS</v>
          </cell>
          <cell r="F955" t="str">
            <v>East Los Angeles</v>
          </cell>
          <cell r="G955">
            <v>0</v>
          </cell>
          <cell r="H955">
            <v>0</v>
          </cell>
          <cell r="I955">
            <v>2.5910000000000002</v>
          </cell>
          <cell r="J955">
            <v>1.43919657</v>
          </cell>
          <cell r="K955">
            <v>2.43919657</v>
          </cell>
          <cell r="L955">
            <v>0.15145200614003601</v>
          </cell>
          <cell r="M955">
            <v>2.59064857614004</v>
          </cell>
          <cell r="N955">
            <v>4.5454545454545497E-2</v>
          </cell>
          <cell r="O955">
            <v>0</v>
          </cell>
          <cell r="P955">
            <v>1</v>
          </cell>
        </row>
        <row r="956">
          <cell r="A956">
            <v>530801</v>
          </cell>
          <cell r="B956">
            <v>7</v>
          </cell>
          <cell r="C956">
            <v>0</v>
          </cell>
          <cell r="D956">
            <v>1</v>
          </cell>
          <cell r="E956" t="str">
            <v>NON-HS</v>
          </cell>
          <cell r="F956" t="str">
            <v>East Los Angeles</v>
          </cell>
          <cell r="G956">
            <v>0</v>
          </cell>
          <cell r="H956">
            <v>0</v>
          </cell>
          <cell r="I956">
            <v>3.734</v>
          </cell>
          <cell r="J956">
            <v>3.63801211</v>
          </cell>
          <cell r="K956">
            <v>3.63801211</v>
          </cell>
          <cell r="L956">
            <v>9.5610832369838403E-2</v>
          </cell>
          <cell r="M956">
            <v>3.7336229423698399</v>
          </cell>
          <cell r="N956">
            <v>4.5454545454545497E-2</v>
          </cell>
          <cell r="O956">
            <v>0</v>
          </cell>
          <cell r="P956">
            <v>1</v>
          </cell>
        </row>
        <row r="957">
          <cell r="A957">
            <v>554002</v>
          </cell>
          <cell r="B957">
            <v>7</v>
          </cell>
          <cell r="C957">
            <v>0</v>
          </cell>
          <cell r="D957">
            <v>4</v>
          </cell>
          <cell r="E957" t="str">
            <v>NON-HS</v>
          </cell>
          <cell r="F957" t="str">
            <v>Bellflower</v>
          </cell>
          <cell r="G957">
            <v>0</v>
          </cell>
          <cell r="H957">
            <v>0</v>
          </cell>
          <cell r="I957">
            <v>4.0209999999999999</v>
          </cell>
          <cell r="J957">
            <v>3.8885795999999999</v>
          </cell>
          <cell r="K957">
            <v>3.8885795999999999</v>
          </cell>
          <cell r="L957">
            <v>0.131797923464991</v>
          </cell>
          <cell r="M957">
            <v>4.0203775234649903</v>
          </cell>
          <cell r="N957">
            <v>4.5454545454545497E-2</v>
          </cell>
          <cell r="O957">
            <v>0</v>
          </cell>
          <cell r="P957">
            <v>1</v>
          </cell>
        </row>
        <row r="958">
          <cell r="A958">
            <v>530802</v>
          </cell>
          <cell r="B958">
            <v>7</v>
          </cell>
          <cell r="C958">
            <v>0</v>
          </cell>
          <cell r="D958">
            <v>1</v>
          </cell>
          <cell r="E958" t="str">
            <v>NON-HS</v>
          </cell>
          <cell r="F958" t="str">
            <v>East Los Angeles</v>
          </cell>
          <cell r="G958">
            <v>0</v>
          </cell>
          <cell r="H958">
            <v>0</v>
          </cell>
          <cell r="I958">
            <v>3.903</v>
          </cell>
          <cell r="J958">
            <v>3.7168318299999998</v>
          </cell>
          <cell r="K958">
            <v>3.7168318299999998</v>
          </cell>
          <cell r="L958">
            <v>0.18615811166965901</v>
          </cell>
          <cell r="M958">
            <v>3.9029899416696598</v>
          </cell>
          <cell r="N958">
            <v>4.5454545454545497E-2</v>
          </cell>
          <cell r="O958">
            <v>0</v>
          </cell>
          <cell r="P958">
            <v>1</v>
          </cell>
        </row>
        <row r="959">
          <cell r="A959">
            <v>530901</v>
          </cell>
          <cell r="B959">
            <v>7</v>
          </cell>
          <cell r="C959">
            <v>0</v>
          </cell>
          <cell r="D959">
            <v>1</v>
          </cell>
          <cell r="E959" t="str">
            <v>NON-HS</v>
          </cell>
          <cell r="F959" t="str">
            <v>East Los Angeles</v>
          </cell>
          <cell r="G959">
            <v>0</v>
          </cell>
          <cell r="H959">
            <v>0</v>
          </cell>
          <cell r="I959">
            <v>3.8079999999999998</v>
          </cell>
          <cell r="J959">
            <v>1.73313217</v>
          </cell>
          <cell r="K959">
            <v>3.7331321700000002</v>
          </cell>
          <cell r="L959">
            <v>7.4985510287253102E-2</v>
          </cell>
          <cell r="M959">
            <v>3.8081176802872498</v>
          </cell>
          <cell r="N959">
            <v>4.5454545454545497E-2</v>
          </cell>
          <cell r="O959">
            <v>0</v>
          </cell>
          <cell r="P959">
            <v>1</v>
          </cell>
        </row>
        <row r="960">
          <cell r="A960">
            <v>531101</v>
          </cell>
          <cell r="B960">
            <v>7</v>
          </cell>
          <cell r="C960">
            <v>0</v>
          </cell>
          <cell r="D960">
            <v>1</v>
          </cell>
          <cell r="E960" t="str">
            <v>NON-HS</v>
          </cell>
          <cell r="F960" t="str">
            <v>East Los Angeles</v>
          </cell>
          <cell r="G960">
            <v>0</v>
          </cell>
          <cell r="H960">
            <v>0</v>
          </cell>
          <cell r="I960">
            <v>5.6859999999999999</v>
          </cell>
          <cell r="J960">
            <v>3.4228962300000001</v>
          </cell>
          <cell r="K960">
            <v>5.4228962300000001</v>
          </cell>
          <cell r="L960">
            <v>0.26262460752244199</v>
          </cell>
          <cell r="M960">
            <v>5.6855208375224402</v>
          </cell>
          <cell r="N960">
            <v>4.5454545454545497E-2</v>
          </cell>
          <cell r="O960">
            <v>0</v>
          </cell>
          <cell r="P960">
            <v>1</v>
          </cell>
        </row>
        <row r="961">
          <cell r="A961">
            <v>531301</v>
          </cell>
          <cell r="B961">
            <v>7</v>
          </cell>
          <cell r="C961">
            <v>0</v>
          </cell>
          <cell r="D961">
            <v>1</v>
          </cell>
          <cell r="E961" t="str">
            <v>NON-HS</v>
          </cell>
          <cell r="F961" t="str">
            <v>East Los Angeles</v>
          </cell>
          <cell r="G961">
            <v>0</v>
          </cell>
          <cell r="H961">
            <v>0</v>
          </cell>
          <cell r="I961">
            <v>2</v>
          </cell>
          <cell r="J961">
            <v>0</v>
          </cell>
          <cell r="K961">
            <v>2</v>
          </cell>
          <cell r="L961">
            <v>0</v>
          </cell>
          <cell r="M961">
            <v>2</v>
          </cell>
          <cell r="N961">
            <v>4.5454545454545497E-2</v>
          </cell>
          <cell r="O961">
            <v>0</v>
          </cell>
          <cell r="P961">
            <v>1</v>
          </cell>
        </row>
        <row r="962">
          <cell r="A962">
            <v>553200</v>
          </cell>
          <cell r="B962">
            <v>7</v>
          </cell>
          <cell r="C962">
            <v>0</v>
          </cell>
          <cell r="D962">
            <v>4</v>
          </cell>
          <cell r="E962" t="str">
            <v>NON-HS</v>
          </cell>
          <cell r="F962" t="str">
            <v>Bellflower</v>
          </cell>
          <cell r="G962">
            <v>0</v>
          </cell>
          <cell r="H962">
            <v>0</v>
          </cell>
          <cell r="I962">
            <v>3.851</v>
          </cell>
          <cell r="J962">
            <v>3.8097598800000001</v>
          </cell>
          <cell r="K962">
            <v>3.8097598800000001</v>
          </cell>
          <cell r="L962">
            <v>4.1250644165170602E-2</v>
          </cell>
          <cell r="M962">
            <v>3.85101052416517</v>
          </cell>
          <cell r="N962">
            <v>4.5454545454545497E-2</v>
          </cell>
          <cell r="O962">
            <v>0</v>
          </cell>
          <cell r="P962">
            <v>1</v>
          </cell>
        </row>
        <row r="963">
          <cell r="A963">
            <v>531604</v>
          </cell>
          <cell r="B963">
            <v>7</v>
          </cell>
          <cell r="C963">
            <v>0</v>
          </cell>
          <cell r="D963">
            <v>1</v>
          </cell>
          <cell r="E963" t="str">
            <v>NON-HS</v>
          </cell>
          <cell r="F963" t="str">
            <v>East Los Angeles</v>
          </cell>
          <cell r="G963">
            <v>0</v>
          </cell>
          <cell r="H963">
            <v>0</v>
          </cell>
          <cell r="I963">
            <v>8.1069999999999993</v>
          </cell>
          <cell r="J963">
            <v>4.7832730799999998</v>
          </cell>
          <cell r="K963">
            <v>7.7832730799999998</v>
          </cell>
          <cell r="L963">
            <v>0.32352933436265702</v>
          </cell>
          <cell r="M963">
            <v>8.1068024143626598</v>
          </cell>
          <cell r="N963">
            <v>4.5454545454545497E-2</v>
          </cell>
          <cell r="O963">
            <v>0</v>
          </cell>
          <cell r="P963">
            <v>1</v>
          </cell>
        </row>
        <row r="964">
          <cell r="A964">
            <v>552002</v>
          </cell>
          <cell r="B964">
            <v>7</v>
          </cell>
          <cell r="C964">
            <v>0</v>
          </cell>
          <cell r="D964">
            <v>4</v>
          </cell>
          <cell r="E964" t="str">
            <v>NON-HS</v>
          </cell>
          <cell r="F964" t="str">
            <v>Norwalk</v>
          </cell>
          <cell r="G964">
            <v>0</v>
          </cell>
          <cell r="H964">
            <v>0</v>
          </cell>
          <cell r="I964">
            <v>10.496</v>
          </cell>
          <cell r="J964">
            <v>9.8874609299999996</v>
          </cell>
          <cell r="K964">
            <v>9.8874609299999996</v>
          </cell>
          <cell r="L964">
            <v>0.60764587364452405</v>
          </cell>
          <cell r="M964">
            <v>10.4951068036445</v>
          </cell>
          <cell r="N964">
            <v>4.5454545454545497E-2</v>
          </cell>
          <cell r="O964">
            <v>0</v>
          </cell>
          <cell r="P964">
            <v>1</v>
          </cell>
        </row>
        <row r="965">
          <cell r="A965">
            <v>533104</v>
          </cell>
          <cell r="B965">
            <v>7</v>
          </cell>
          <cell r="C965">
            <v>0</v>
          </cell>
          <cell r="D965">
            <v>1</v>
          </cell>
          <cell r="E965" t="str">
            <v>NON-HS</v>
          </cell>
          <cell r="F965" t="str">
            <v>Huntington Park</v>
          </cell>
          <cell r="G965">
            <v>1</v>
          </cell>
          <cell r="H965">
            <v>1</v>
          </cell>
          <cell r="I965">
            <v>2</v>
          </cell>
          <cell r="J965">
            <v>0</v>
          </cell>
          <cell r="K965">
            <v>2</v>
          </cell>
          <cell r="L965">
            <v>0</v>
          </cell>
          <cell r="M965">
            <v>2</v>
          </cell>
          <cell r="N965">
            <v>4.5454545454545497E-2</v>
          </cell>
          <cell r="O965">
            <v>22</v>
          </cell>
          <cell r="P965">
            <v>1</v>
          </cell>
        </row>
        <row r="966">
          <cell r="A966">
            <v>533107</v>
          </cell>
          <cell r="B966">
            <v>7</v>
          </cell>
          <cell r="C966">
            <v>0</v>
          </cell>
          <cell r="D966">
            <v>1</v>
          </cell>
          <cell r="E966" t="str">
            <v>NON-HS</v>
          </cell>
          <cell r="F966" t="str">
            <v>Huntington Park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4.5454545454545497E-2</v>
          </cell>
          <cell r="O966">
            <v>0</v>
          </cell>
          <cell r="P966">
            <v>1</v>
          </cell>
        </row>
        <row r="967">
          <cell r="A967">
            <v>533202</v>
          </cell>
          <cell r="B967">
            <v>7</v>
          </cell>
          <cell r="C967">
            <v>0</v>
          </cell>
          <cell r="D967">
            <v>1</v>
          </cell>
          <cell r="E967" t="str">
            <v>NON-HS</v>
          </cell>
          <cell r="F967" t="str">
            <v>Huntington Park</v>
          </cell>
          <cell r="G967">
            <v>0</v>
          </cell>
          <cell r="H967">
            <v>0</v>
          </cell>
          <cell r="I967">
            <v>10.702</v>
          </cell>
          <cell r="J967">
            <v>7.6195197600000002</v>
          </cell>
          <cell r="K967">
            <v>10.619519759999999</v>
          </cell>
          <cell r="L967">
            <v>8.2501288330341094E-2</v>
          </cell>
          <cell r="M967">
            <v>10.7020210483303</v>
          </cell>
          <cell r="N967">
            <v>4.5454545454545497E-2</v>
          </cell>
          <cell r="O967">
            <v>0</v>
          </cell>
          <cell r="P967">
            <v>1</v>
          </cell>
        </row>
        <row r="968">
          <cell r="A968">
            <v>533401</v>
          </cell>
          <cell r="B968">
            <v>7</v>
          </cell>
          <cell r="C968">
            <v>0</v>
          </cell>
          <cell r="D968">
            <v>1</v>
          </cell>
          <cell r="E968" t="str">
            <v>NON-HS</v>
          </cell>
          <cell r="F968" t="str">
            <v>Maywood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4.5454545454545497E-2</v>
          </cell>
          <cell r="O968">
            <v>0</v>
          </cell>
          <cell r="P968">
            <v>1</v>
          </cell>
        </row>
        <row r="969">
          <cell r="A969">
            <v>551202</v>
          </cell>
          <cell r="B969">
            <v>7</v>
          </cell>
          <cell r="C969">
            <v>0</v>
          </cell>
          <cell r="D969">
            <v>4</v>
          </cell>
          <cell r="E969" t="str">
            <v>NON-HS</v>
          </cell>
          <cell r="F969" t="str">
            <v>Downey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4.5454545454545497E-2</v>
          </cell>
          <cell r="O969">
            <v>0</v>
          </cell>
          <cell r="P969">
            <v>1</v>
          </cell>
        </row>
        <row r="970">
          <cell r="A970">
            <v>533502</v>
          </cell>
          <cell r="B970">
            <v>7</v>
          </cell>
          <cell r="C970">
            <v>0</v>
          </cell>
          <cell r="D970">
            <v>1</v>
          </cell>
          <cell r="E970" t="str">
            <v>NON-HS</v>
          </cell>
          <cell r="F970" t="str">
            <v>Huntington Park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4.5454545454545497E-2</v>
          </cell>
          <cell r="O970">
            <v>0</v>
          </cell>
          <cell r="P970">
            <v>1</v>
          </cell>
        </row>
        <row r="971">
          <cell r="A971">
            <v>533503</v>
          </cell>
          <cell r="B971">
            <v>7</v>
          </cell>
          <cell r="C971">
            <v>0</v>
          </cell>
          <cell r="D971">
            <v>1</v>
          </cell>
          <cell r="E971" t="str">
            <v>NON-HS</v>
          </cell>
          <cell r="F971" t="str">
            <v>Huntington Park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4.5454545454545497E-2</v>
          </cell>
          <cell r="O971">
            <v>0</v>
          </cell>
          <cell r="P971">
            <v>1</v>
          </cell>
        </row>
        <row r="972">
          <cell r="A972">
            <v>533601</v>
          </cell>
          <cell r="B972">
            <v>7</v>
          </cell>
          <cell r="C972">
            <v>0</v>
          </cell>
          <cell r="D972">
            <v>1</v>
          </cell>
          <cell r="E972" t="str">
            <v>NON-HS</v>
          </cell>
          <cell r="F972" t="str">
            <v>Bell</v>
          </cell>
          <cell r="G972">
            <v>0</v>
          </cell>
          <cell r="H972">
            <v>0</v>
          </cell>
          <cell r="I972">
            <v>7.1079999999999997</v>
          </cell>
          <cell r="J972">
            <v>5.0438748599999998</v>
          </cell>
          <cell r="K972">
            <v>7.0438748599999998</v>
          </cell>
          <cell r="L972">
            <v>6.4475795278276501E-2</v>
          </cell>
          <cell r="M972">
            <v>7.1083506552782803</v>
          </cell>
          <cell r="N972">
            <v>4.5454545454545497E-2</v>
          </cell>
          <cell r="O972">
            <v>0</v>
          </cell>
          <cell r="P972">
            <v>1</v>
          </cell>
        </row>
        <row r="973">
          <cell r="A973">
            <v>533603</v>
          </cell>
          <cell r="B973">
            <v>7</v>
          </cell>
          <cell r="C973">
            <v>0</v>
          </cell>
          <cell r="D973">
            <v>1</v>
          </cell>
          <cell r="E973" t="str">
            <v>NON-HS</v>
          </cell>
          <cell r="F973" t="str">
            <v>Bell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4.5454545454545497E-2</v>
          </cell>
          <cell r="O973">
            <v>0</v>
          </cell>
          <cell r="P973">
            <v>1</v>
          </cell>
        </row>
        <row r="974">
          <cell r="A974">
            <v>550901</v>
          </cell>
          <cell r="B974">
            <v>7</v>
          </cell>
          <cell r="C974">
            <v>0</v>
          </cell>
          <cell r="D974">
            <v>4</v>
          </cell>
          <cell r="E974" t="str">
            <v>NON-HS</v>
          </cell>
          <cell r="F974" t="str">
            <v>Downey</v>
          </cell>
          <cell r="G974">
            <v>0</v>
          </cell>
          <cell r="H974">
            <v>0</v>
          </cell>
          <cell r="I974">
            <v>1</v>
          </cell>
          <cell r="J974">
            <v>0</v>
          </cell>
          <cell r="K974">
            <v>1</v>
          </cell>
          <cell r="L974">
            <v>0</v>
          </cell>
          <cell r="M974">
            <v>1</v>
          </cell>
          <cell r="N974">
            <v>4.5454545454545497E-2</v>
          </cell>
          <cell r="O974">
            <v>0</v>
          </cell>
          <cell r="P974">
            <v>1</v>
          </cell>
        </row>
        <row r="975">
          <cell r="A975">
            <v>533803</v>
          </cell>
          <cell r="B975">
            <v>7</v>
          </cell>
          <cell r="C975">
            <v>0</v>
          </cell>
          <cell r="D975">
            <v>1</v>
          </cell>
          <cell r="E975" t="str">
            <v>NON-HS</v>
          </cell>
          <cell r="F975" t="str">
            <v>Bell</v>
          </cell>
          <cell r="G975">
            <v>0</v>
          </cell>
          <cell r="H975">
            <v>0</v>
          </cell>
          <cell r="I975">
            <v>7.7770000000000001</v>
          </cell>
          <cell r="J975">
            <v>5.7146398200000004</v>
          </cell>
          <cell r="K975">
            <v>7.7146398200000004</v>
          </cell>
          <cell r="L975">
            <v>6.18759662477558E-2</v>
          </cell>
          <cell r="M975">
            <v>7.7765157862477601</v>
          </cell>
          <cell r="N975">
            <v>4.5454545454545497E-2</v>
          </cell>
          <cell r="O975">
            <v>0</v>
          </cell>
          <cell r="P975">
            <v>1</v>
          </cell>
        </row>
        <row r="976">
          <cell r="A976">
            <v>533805</v>
          </cell>
          <cell r="B976">
            <v>7</v>
          </cell>
          <cell r="C976">
            <v>0</v>
          </cell>
          <cell r="D976">
            <v>1</v>
          </cell>
          <cell r="E976" t="str">
            <v>NON-HS</v>
          </cell>
          <cell r="F976" t="str">
            <v>Bell</v>
          </cell>
          <cell r="G976">
            <v>0</v>
          </cell>
          <cell r="H976">
            <v>0</v>
          </cell>
          <cell r="I976">
            <v>2.8079999999999998</v>
          </cell>
          <cell r="J976">
            <v>1.73313217</v>
          </cell>
          <cell r="K976">
            <v>2.7331321700000002</v>
          </cell>
          <cell r="L976">
            <v>7.4985510287253102E-2</v>
          </cell>
          <cell r="M976">
            <v>2.8081176802872498</v>
          </cell>
          <cell r="N976">
            <v>4.5454545454545497E-2</v>
          </cell>
          <cell r="O976">
            <v>0</v>
          </cell>
          <cell r="P976">
            <v>1</v>
          </cell>
        </row>
        <row r="977">
          <cell r="A977">
            <v>533902</v>
          </cell>
          <cell r="B977">
            <v>7</v>
          </cell>
          <cell r="C977">
            <v>0</v>
          </cell>
          <cell r="D977">
            <v>1</v>
          </cell>
          <cell r="E977" t="str">
            <v>NON-HS</v>
          </cell>
          <cell r="F977" t="str">
            <v>Bell Gardens</v>
          </cell>
          <cell r="G977">
            <v>0</v>
          </cell>
          <cell r="H977">
            <v>0</v>
          </cell>
          <cell r="I977">
            <v>5.9029999999999996</v>
          </cell>
          <cell r="J977">
            <v>3.7168318299999998</v>
          </cell>
          <cell r="K977">
            <v>5.7168318300000003</v>
          </cell>
          <cell r="L977">
            <v>0.18615811166965901</v>
          </cell>
          <cell r="M977">
            <v>5.9029899416696603</v>
          </cell>
          <cell r="N977">
            <v>4.5454545454545497E-2</v>
          </cell>
          <cell r="O977">
            <v>0</v>
          </cell>
          <cell r="P977">
            <v>1</v>
          </cell>
        </row>
        <row r="978">
          <cell r="A978">
            <v>550000</v>
          </cell>
          <cell r="B978">
            <v>7</v>
          </cell>
          <cell r="C978">
            <v>0</v>
          </cell>
          <cell r="D978">
            <v>4</v>
          </cell>
          <cell r="E978" t="str">
            <v>NON-HS</v>
          </cell>
          <cell r="F978" t="str">
            <v>Norwalk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4.5454545454545497E-2</v>
          </cell>
          <cell r="O978">
            <v>0</v>
          </cell>
          <cell r="P978">
            <v>1</v>
          </cell>
        </row>
        <row r="979">
          <cell r="A979">
            <v>534002</v>
          </cell>
          <cell r="B979">
            <v>7</v>
          </cell>
          <cell r="C979">
            <v>0</v>
          </cell>
          <cell r="D979">
            <v>1</v>
          </cell>
          <cell r="E979" t="str">
            <v>NON-HS</v>
          </cell>
          <cell r="F979" t="str">
            <v>Bell Gardens</v>
          </cell>
          <cell r="G979">
            <v>0</v>
          </cell>
          <cell r="H979">
            <v>0</v>
          </cell>
          <cell r="I979">
            <v>9.3019999999999996</v>
          </cell>
          <cell r="J979">
            <v>6.8891605699999996</v>
          </cell>
          <cell r="K979">
            <v>8.8891605699999996</v>
          </cell>
          <cell r="L979">
            <v>0.412595628096948</v>
          </cell>
          <cell r="M979">
            <v>9.3017561980969496</v>
          </cell>
          <cell r="N979">
            <v>4.5454545454545497E-2</v>
          </cell>
          <cell r="O979">
            <v>0</v>
          </cell>
          <cell r="P979">
            <v>1</v>
          </cell>
        </row>
        <row r="980">
          <cell r="A980">
            <v>534102</v>
          </cell>
          <cell r="B980">
            <v>7</v>
          </cell>
          <cell r="C980">
            <v>0</v>
          </cell>
          <cell r="D980">
            <v>1</v>
          </cell>
          <cell r="E980" t="str">
            <v>NON-HS</v>
          </cell>
          <cell r="F980" t="str">
            <v>Bell Gardens</v>
          </cell>
          <cell r="G980">
            <v>0</v>
          </cell>
          <cell r="H980">
            <v>0</v>
          </cell>
          <cell r="I980">
            <v>9.5370000000000008</v>
          </cell>
          <cell r="J980">
            <v>7.2326561099999997</v>
          </cell>
          <cell r="K980">
            <v>9.2326561100000006</v>
          </cell>
          <cell r="L980">
            <v>0.30387525168761198</v>
          </cell>
          <cell r="M980">
            <v>9.5365313616876097</v>
          </cell>
          <cell r="N980">
            <v>4.5454545454545497E-2</v>
          </cell>
          <cell r="O980">
            <v>0</v>
          </cell>
          <cell r="P980">
            <v>1</v>
          </cell>
        </row>
        <row r="981">
          <cell r="A981">
            <v>534202</v>
          </cell>
          <cell r="B981">
            <v>7</v>
          </cell>
          <cell r="C981">
            <v>0</v>
          </cell>
          <cell r="D981">
            <v>1</v>
          </cell>
          <cell r="E981" t="str">
            <v>NON-HS</v>
          </cell>
          <cell r="F981" t="str">
            <v>Bell Gardens</v>
          </cell>
          <cell r="G981">
            <v>0</v>
          </cell>
          <cell r="H981">
            <v>0</v>
          </cell>
          <cell r="I981">
            <v>6.6859999999999999</v>
          </cell>
          <cell r="J981">
            <v>3.4228962300000001</v>
          </cell>
          <cell r="K981">
            <v>6.4228962300000001</v>
          </cell>
          <cell r="L981">
            <v>0.26262460752244199</v>
          </cell>
          <cell r="M981">
            <v>6.6855208375224402</v>
          </cell>
          <cell r="N981">
            <v>4.5454545454545497E-2</v>
          </cell>
          <cell r="O981">
            <v>0</v>
          </cell>
          <cell r="P981">
            <v>1</v>
          </cell>
        </row>
        <row r="982">
          <cell r="A982">
            <v>535702</v>
          </cell>
          <cell r="B982">
            <v>7</v>
          </cell>
          <cell r="C982">
            <v>0</v>
          </cell>
          <cell r="D982">
            <v>1</v>
          </cell>
          <cell r="E982" t="str">
            <v>NON-HS</v>
          </cell>
          <cell r="F982" t="str">
            <v>South Gate</v>
          </cell>
          <cell r="G982">
            <v>0</v>
          </cell>
          <cell r="H982">
            <v>0</v>
          </cell>
          <cell r="I982">
            <v>9.1159999999999997</v>
          </cell>
          <cell r="J982">
            <v>5.87227926</v>
          </cell>
          <cell r="K982">
            <v>8.8722792599999991</v>
          </cell>
          <cell r="L982">
            <v>0.24297052484739701</v>
          </cell>
          <cell r="M982">
            <v>9.1152497848473999</v>
          </cell>
          <cell r="N982">
            <v>4.5454545454545497E-2</v>
          </cell>
          <cell r="O982">
            <v>0</v>
          </cell>
          <cell r="P982">
            <v>1</v>
          </cell>
        </row>
        <row r="983">
          <cell r="A983">
            <v>535605</v>
          </cell>
          <cell r="B983">
            <v>7</v>
          </cell>
          <cell r="C983">
            <v>0</v>
          </cell>
          <cell r="D983">
            <v>1</v>
          </cell>
          <cell r="E983" t="str">
            <v>NON-HS</v>
          </cell>
          <cell r="F983" t="str">
            <v>South Gate</v>
          </cell>
          <cell r="G983">
            <v>0</v>
          </cell>
          <cell r="H983">
            <v>0</v>
          </cell>
          <cell r="I983">
            <v>3</v>
          </cell>
          <cell r="J983">
            <v>0</v>
          </cell>
          <cell r="K983">
            <v>3</v>
          </cell>
          <cell r="L983">
            <v>0</v>
          </cell>
          <cell r="M983">
            <v>3</v>
          </cell>
          <cell r="N983">
            <v>4.5454545454545497E-2</v>
          </cell>
          <cell r="O983">
            <v>0</v>
          </cell>
          <cell r="P983">
            <v>1</v>
          </cell>
        </row>
        <row r="984">
          <cell r="A984">
            <v>534301</v>
          </cell>
          <cell r="B984">
            <v>7</v>
          </cell>
          <cell r="C984">
            <v>0</v>
          </cell>
          <cell r="D984">
            <v>1</v>
          </cell>
          <cell r="E984" t="str">
            <v>NON-HS</v>
          </cell>
          <cell r="F984" t="str">
            <v>Cudahy</v>
          </cell>
          <cell r="G984">
            <v>0</v>
          </cell>
          <cell r="H984">
            <v>0</v>
          </cell>
          <cell r="I984">
            <v>2</v>
          </cell>
          <cell r="J984">
            <v>0</v>
          </cell>
          <cell r="K984">
            <v>2</v>
          </cell>
          <cell r="L984">
            <v>0</v>
          </cell>
          <cell r="M984">
            <v>2</v>
          </cell>
          <cell r="N984">
            <v>4.5454545454545497E-2</v>
          </cell>
          <cell r="O984">
            <v>0</v>
          </cell>
          <cell r="P984">
            <v>1</v>
          </cell>
        </row>
        <row r="985">
          <cell r="A985">
            <v>534404</v>
          </cell>
          <cell r="B985">
            <v>7</v>
          </cell>
          <cell r="C985">
            <v>0</v>
          </cell>
          <cell r="D985">
            <v>1</v>
          </cell>
          <cell r="E985" t="str">
            <v>NON-HS</v>
          </cell>
          <cell r="F985" t="str">
            <v>Cudahy</v>
          </cell>
          <cell r="G985">
            <v>1</v>
          </cell>
          <cell r="H985">
            <v>1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4.5454545454545497E-2</v>
          </cell>
          <cell r="O985">
            <v>22</v>
          </cell>
          <cell r="P985">
            <v>1</v>
          </cell>
        </row>
        <row r="986">
          <cell r="A986">
            <v>534700</v>
          </cell>
          <cell r="B986">
            <v>7</v>
          </cell>
          <cell r="C986">
            <v>0</v>
          </cell>
          <cell r="D986">
            <v>1</v>
          </cell>
          <cell r="E986" t="str">
            <v>NON-HS</v>
          </cell>
          <cell r="F986" t="str">
            <v>South Gate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4.5454545454545497E-2</v>
          </cell>
          <cell r="O986">
            <v>0</v>
          </cell>
          <cell r="P986">
            <v>1</v>
          </cell>
        </row>
        <row r="987">
          <cell r="A987">
            <v>534802</v>
          </cell>
          <cell r="B987">
            <v>7</v>
          </cell>
          <cell r="C987">
            <v>0</v>
          </cell>
          <cell r="D987">
            <v>1</v>
          </cell>
          <cell r="E987" t="str">
            <v>NON-HS</v>
          </cell>
          <cell r="F987" t="str">
            <v>Walnut Park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4.5454545454545497E-2</v>
          </cell>
          <cell r="O987">
            <v>0</v>
          </cell>
          <cell r="P987">
            <v>1</v>
          </cell>
        </row>
        <row r="988">
          <cell r="A988">
            <v>534803</v>
          </cell>
          <cell r="B988">
            <v>7</v>
          </cell>
          <cell r="C988">
            <v>0</v>
          </cell>
          <cell r="D988">
            <v>1</v>
          </cell>
          <cell r="E988" t="str">
            <v>NON-HS</v>
          </cell>
          <cell r="F988" t="str">
            <v>Walnut Park</v>
          </cell>
          <cell r="G988">
            <v>0</v>
          </cell>
          <cell r="H988">
            <v>0</v>
          </cell>
          <cell r="I988">
            <v>3.9260000000000002</v>
          </cell>
          <cell r="J988">
            <v>1.90487994</v>
          </cell>
          <cell r="K988">
            <v>3.9048799399999998</v>
          </cell>
          <cell r="L988">
            <v>2.0625322082585301E-2</v>
          </cell>
          <cell r="M988">
            <v>3.9255052620825901</v>
          </cell>
          <cell r="N988">
            <v>4.5454545454545497E-2</v>
          </cell>
          <cell r="O988">
            <v>0</v>
          </cell>
          <cell r="P988">
            <v>1</v>
          </cell>
        </row>
        <row r="989">
          <cell r="A989">
            <v>534804</v>
          </cell>
          <cell r="B989">
            <v>7</v>
          </cell>
          <cell r="C989">
            <v>0</v>
          </cell>
          <cell r="D989">
            <v>1</v>
          </cell>
          <cell r="E989" t="str">
            <v>NON-HS</v>
          </cell>
          <cell r="F989" t="str">
            <v>South Gate</v>
          </cell>
          <cell r="G989">
            <v>0</v>
          </cell>
          <cell r="H989">
            <v>0</v>
          </cell>
          <cell r="I989">
            <v>1</v>
          </cell>
          <cell r="J989">
            <v>0</v>
          </cell>
          <cell r="K989">
            <v>1</v>
          </cell>
          <cell r="L989">
            <v>0</v>
          </cell>
          <cell r="M989">
            <v>1</v>
          </cell>
          <cell r="N989">
            <v>4.5454545454545497E-2</v>
          </cell>
          <cell r="O989">
            <v>0</v>
          </cell>
          <cell r="P989">
            <v>1</v>
          </cell>
        </row>
        <row r="990">
          <cell r="A990">
            <v>534001</v>
          </cell>
          <cell r="B990">
            <v>7</v>
          </cell>
          <cell r="C990">
            <v>0</v>
          </cell>
          <cell r="D990">
            <v>1</v>
          </cell>
          <cell r="E990" t="str">
            <v>NON-HS</v>
          </cell>
          <cell r="F990" t="str">
            <v>Bell Gardens</v>
          </cell>
          <cell r="G990">
            <v>0</v>
          </cell>
          <cell r="H990">
            <v>0</v>
          </cell>
          <cell r="I990">
            <v>5.0949999999999998</v>
          </cell>
          <cell r="J990">
            <v>1.9836996600000001</v>
          </cell>
          <cell r="K990">
            <v>4.9836996600000001</v>
          </cell>
          <cell r="L990">
            <v>0.11117260138240601</v>
          </cell>
          <cell r="M990">
            <v>5.0948722613824096</v>
          </cell>
          <cell r="N990">
            <v>4.5454545454545497E-2</v>
          </cell>
          <cell r="O990">
            <v>0</v>
          </cell>
          <cell r="P990">
            <v>1</v>
          </cell>
        </row>
        <row r="991">
          <cell r="A991">
            <v>533804</v>
          </cell>
          <cell r="B991">
            <v>7</v>
          </cell>
          <cell r="C991">
            <v>0</v>
          </cell>
          <cell r="D991">
            <v>1</v>
          </cell>
          <cell r="E991" t="str">
            <v>NON-HS</v>
          </cell>
          <cell r="F991" t="str">
            <v>Bell</v>
          </cell>
          <cell r="G991">
            <v>0</v>
          </cell>
          <cell r="H991">
            <v>0</v>
          </cell>
          <cell r="I991">
            <v>3.8079999999999998</v>
          </cell>
          <cell r="J991">
            <v>1.73313217</v>
          </cell>
          <cell r="K991">
            <v>3.7331321700000002</v>
          </cell>
          <cell r="L991">
            <v>7.4985510287253102E-2</v>
          </cell>
          <cell r="M991">
            <v>3.8081176802872498</v>
          </cell>
          <cell r="N991">
            <v>4.5454545454545497E-2</v>
          </cell>
          <cell r="O991">
            <v>0</v>
          </cell>
          <cell r="P991">
            <v>1</v>
          </cell>
        </row>
        <row r="992">
          <cell r="A992">
            <v>533901</v>
          </cell>
          <cell r="B992">
            <v>7</v>
          </cell>
          <cell r="C992">
            <v>0</v>
          </cell>
          <cell r="D992">
            <v>1</v>
          </cell>
          <cell r="E992" t="str">
            <v>NON-HS</v>
          </cell>
          <cell r="F992" t="str">
            <v>Bell Gardens</v>
          </cell>
          <cell r="G992">
            <v>0</v>
          </cell>
          <cell r="H992">
            <v>0</v>
          </cell>
          <cell r="I992">
            <v>6.9980000000000002</v>
          </cell>
          <cell r="J992">
            <v>5.7005314900000004</v>
          </cell>
          <cell r="K992">
            <v>6.7005314900000004</v>
          </cell>
          <cell r="L992">
            <v>0.29733071305206499</v>
          </cell>
          <cell r="M992">
            <v>6.9978622030520699</v>
          </cell>
          <cell r="N992">
            <v>4.5454545454545497E-2</v>
          </cell>
          <cell r="O992">
            <v>0</v>
          </cell>
          <cell r="P992">
            <v>1</v>
          </cell>
        </row>
        <row r="993">
          <cell r="A993">
            <v>533702</v>
          </cell>
          <cell r="B993">
            <v>7</v>
          </cell>
          <cell r="C993">
            <v>0</v>
          </cell>
          <cell r="D993">
            <v>1</v>
          </cell>
          <cell r="E993" t="str">
            <v>NON-HS</v>
          </cell>
          <cell r="F993" t="str">
            <v>Maywood</v>
          </cell>
          <cell r="G993">
            <v>0</v>
          </cell>
          <cell r="H993">
            <v>0</v>
          </cell>
          <cell r="I993">
            <v>1</v>
          </cell>
          <cell r="J993">
            <v>0</v>
          </cell>
          <cell r="K993">
            <v>1</v>
          </cell>
          <cell r="L993">
            <v>0</v>
          </cell>
          <cell r="M993">
            <v>1</v>
          </cell>
          <cell r="N993">
            <v>4.5454545454545497E-2</v>
          </cell>
          <cell r="O993">
            <v>0</v>
          </cell>
          <cell r="P993">
            <v>1</v>
          </cell>
        </row>
        <row r="994">
          <cell r="A994">
            <v>535503</v>
          </cell>
          <cell r="B994">
            <v>7</v>
          </cell>
          <cell r="C994">
            <v>0</v>
          </cell>
          <cell r="D994">
            <v>1</v>
          </cell>
          <cell r="E994" t="str">
            <v>NON-HS</v>
          </cell>
          <cell r="F994" t="str">
            <v>South Gate</v>
          </cell>
          <cell r="G994">
            <v>0</v>
          </cell>
          <cell r="H994">
            <v>0</v>
          </cell>
          <cell r="I994">
            <v>5.6159999999999997</v>
          </cell>
          <cell r="J994">
            <v>3.4662643399999999</v>
          </cell>
          <cell r="K994">
            <v>5.4662643400000004</v>
          </cell>
          <cell r="L994">
            <v>0.14997102057450601</v>
          </cell>
          <cell r="M994">
            <v>5.6162353605745103</v>
          </cell>
          <cell r="N994">
            <v>4.5454545454545497E-2</v>
          </cell>
          <cell r="O994">
            <v>0</v>
          </cell>
          <cell r="P994">
            <v>1</v>
          </cell>
        </row>
        <row r="995">
          <cell r="A995">
            <v>535603</v>
          </cell>
          <cell r="B995">
            <v>7</v>
          </cell>
          <cell r="C995">
            <v>0</v>
          </cell>
          <cell r="D995">
            <v>1</v>
          </cell>
          <cell r="E995" t="str">
            <v>NON-HS</v>
          </cell>
          <cell r="F995" t="str">
            <v>South Gate</v>
          </cell>
          <cell r="G995">
            <v>0</v>
          </cell>
          <cell r="H995">
            <v>0</v>
          </cell>
          <cell r="I995">
            <v>1.9259999999999999</v>
          </cell>
          <cell r="J995">
            <v>1.90487994</v>
          </cell>
          <cell r="K995">
            <v>1.90487994</v>
          </cell>
          <cell r="L995">
            <v>2.0625322082585301E-2</v>
          </cell>
          <cell r="M995">
            <v>1.9255052620825901</v>
          </cell>
          <cell r="N995">
            <v>4.5454545454545497E-2</v>
          </cell>
          <cell r="O995">
            <v>0</v>
          </cell>
          <cell r="P995">
            <v>1</v>
          </cell>
        </row>
        <row r="996">
          <cell r="A996">
            <v>533402</v>
          </cell>
          <cell r="B996">
            <v>7</v>
          </cell>
          <cell r="C996">
            <v>0</v>
          </cell>
          <cell r="D996">
            <v>1</v>
          </cell>
          <cell r="E996" t="str">
            <v>NON-HS</v>
          </cell>
          <cell r="F996" t="str">
            <v>Maywood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4.5454545454545497E-2</v>
          </cell>
          <cell r="O996">
            <v>0</v>
          </cell>
          <cell r="P996">
            <v>1</v>
          </cell>
        </row>
        <row r="997">
          <cell r="A997">
            <v>535604</v>
          </cell>
          <cell r="B997">
            <v>7</v>
          </cell>
          <cell r="C997">
            <v>0</v>
          </cell>
          <cell r="D997">
            <v>1</v>
          </cell>
          <cell r="E997" t="str">
            <v>NON-HS</v>
          </cell>
          <cell r="F997" t="str">
            <v>South Gate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4.5454545454545497E-2</v>
          </cell>
          <cell r="O997">
            <v>0</v>
          </cell>
          <cell r="P997">
            <v>1</v>
          </cell>
        </row>
        <row r="998">
          <cell r="A998">
            <v>533201</v>
          </cell>
          <cell r="B998">
            <v>7</v>
          </cell>
          <cell r="C998">
            <v>0</v>
          </cell>
          <cell r="D998">
            <v>1</v>
          </cell>
          <cell r="E998" t="str">
            <v>NON-HS</v>
          </cell>
          <cell r="F998" t="str">
            <v>Huntington Park</v>
          </cell>
          <cell r="G998">
            <v>0</v>
          </cell>
          <cell r="H998">
            <v>0</v>
          </cell>
          <cell r="I998">
            <v>9.6989999999999998</v>
          </cell>
          <cell r="J998">
            <v>6.4830714299999999</v>
          </cell>
          <cell r="K998">
            <v>9.4830714300000007</v>
          </cell>
          <cell r="L998">
            <v>0.215927801418312</v>
          </cell>
          <cell r="M998">
            <v>9.6989992314183109</v>
          </cell>
          <cell r="N998">
            <v>4.5454545454545497E-2</v>
          </cell>
          <cell r="O998">
            <v>0</v>
          </cell>
          <cell r="P998">
            <v>1</v>
          </cell>
        </row>
        <row r="999">
          <cell r="A999">
            <v>535607</v>
          </cell>
          <cell r="B999">
            <v>7</v>
          </cell>
          <cell r="C999">
            <v>0</v>
          </cell>
          <cell r="D999">
            <v>1</v>
          </cell>
          <cell r="E999" t="str">
            <v>NON-HS</v>
          </cell>
          <cell r="F999" t="str">
            <v>South Gate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4.5454545454545497E-2</v>
          </cell>
          <cell r="O999">
            <v>0</v>
          </cell>
          <cell r="P999">
            <v>1</v>
          </cell>
        </row>
        <row r="1000">
          <cell r="A1000">
            <v>535701</v>
          </cell>
          <cell r="B1000">
            <v>7</v>
          </cell>
          <cell r="C1000">
            <v>0</v>
          </cell>
          <cell r="D1000">
            <v>1</v>
          </cell>
          <cell r="E1000" t="str">
            <v>NON-HS</v>
          </cell>
          <cell r="F1000" t="str">
            <v>South Gate</v>
          </cell>
          <cell r="G1000">
            <v>0</v>
          </cell>
          <cell r="H1000">
            <v>0</v>
          </cell>
          <cell r="I1000">
            <v>2.8079999999999998</v>
          </cell>
          <cell r="J1000">
            <v>1.73313217</v>
          </cell>
          <cell r="K1000">
            <v>2.7331321700000002</v>
          </cell>
          <cell r="L1000">
            <v>7.4985510287253102E-2</v>
          </cell>
          <cell r="M1000">
            <v>2.8081176802872498</v>
          </cell>
          <cell r="N1000">
            <v>4.5454545454545497E-2</v>
          </cell>
          <cell r="O1000">
            <v>0</v>
          </cell>
          <cell r="P1000">
            <v>1</v>
          </cell>
        </row>
        <row r="1001">
          <cell r="A1001">
            <v>533105</v>
          </cell>
          <cell r="B1001">
            <v>7</v>
          </cell>
          <cell r="C1001">
            <v>0</v>
          </cell>
          <cell r="D1001">
            <v>1</v>
          </cell>
          <cell r="E1001" t="str">
            <v>NON-HS</v>
          </cell>
          <cell r="F1001" t="str">
            <v>Huntington Park</v>
          </cell>
          <cell r="G1001">
            <v>0</v>
          </cell>
          <cell r="H1001">
            <v>0</v>
          </cell>
          <cell r="I1001">
            <v>1.9259999999999999</v>
          </cell>
          <cell r="J1001">
            <v>1.90487994</v>
          </cell>
          <cell r="K1001">
            <v>1.90487994</v>
          </cell>
          <cell r="L1001">
            <v>2.0625322082585301E-2</v>
          </cell>
          <cell r="M1001">
            <v>1.9255052620825901</v>
          </cell>
          <cell r="N1001">
            <v>4.5454545454545497E-2</v>
          </cell>
          <cell r="O1001">
            <v>0</v>
          </cell>
          <cell r="P1001">
            <v>1</v>
          </cell>
        </row>
        <row r="1002">
          <cell r="A1002">
            <v>535802</v>
          </cell>
          <cell r="B1002">
            <v>7</v>
          </cell>
          <cell r="C1002">
            <v>0</v>
          </cell>
          <cell r="D1002">
            <v>1</v>
          </cell>
          <cell r="E1002" t="str">
            <v>NON-HS</v>
          </cell>
          <cell r="F1002" t="str">
            <v>South Gate</v>
          </cell>
          <cell r="G1002">
            <v>0</v>
          </cell>
          <cell r="H1002">
            <v>0</v>
          </cell>
          <cell r="I1002">
            <v>3.0950000000000002</v>
          </cell>
          <cell r="J1002">
            <v>1.9836996600000001</v>
          </cell>
          <cell r="K1002">
            <v>2.9836996600000001</v>
          </cell>
          <cell r="L1002">
            <v>0.11117260138240601</v>
          </cell>
          <cell r="M1002">
            <v>3.09487226138241</v>
          </cell>
          <cell r="N1002">
            <v>4.5454545454545497E-2</v>
          </cell>
          <cell r="O1002">
            <v>0</v>
          </cell>
          <cell r="P1002">
            <v>1</v>
          </cell>
        </row>
        <row r="1003">
          <cell r="A1003">
            <v>532606</v>
          </cell>
          <cell r="B1003">
            <v>7</v>
          </cell>
          <cell r="C1003">
            <v>0</v>
          </cell>
          <cell r="D1003">
            <v>1</v>
          </cell>
          <cell r="E1003" t="str">
            <v>NON-HS</v>
          </cell>
          <cell r="F1003" t="str">
            <v>Huntington Park</v>
          </cell>
          <cell r="G1003">
            <v>0</v>
          </cell>
          <cell r="H1003">
            <v>0</v>
          </cell>
          <cell r="I1003">
            <v>2.8079999999999998</v>
          </cell>
          <cell r="J1003">
            <v>1.73313217</v>
          </cell>
          <cell r="K1003">
            <v>2.7331321700000002</v>
          </cell>
          <cell r="L1003">
            <v>7.4985510287253102E-2</v>
          </cell>
          <cell r="M1003">
            <v>2.8081176802872498</v>
          </cell>
          <cell r="N1003">
            <v>4.5454545454545497E-2</v>
          </cell>
          <cell r="O1003">
            <v>0</v>
          </cell>
          <cell r="P1003">
            <v>1</v>
          </cell>
        </row>
        <row r="1004">
          <cell r="A1004">
            <v>535804</v>
          </cell>
          <cell r="B1004">
            <v>7</v>
          </cell>
          <cell r="C1004">
            <v>0</v>
          </cell>
          <cell r="D1004">
            <v>1</v>
          </cell>
          <cell r="E1004" t="str">
            <v>NON-HS</v>
          </cell>
          <cell r="F1004" t="str">
            <v>South Gate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4.5454545454545497E-2</v>
          </cell>
          <cell r="O1004">
            <v>0</v>
          </cell>
          <cell r="P1004">
            <v>1</v>
          </cell>
        </row>
        <row r="1005">
          <cell r="A1005">
            <v>535901</v>
          </cell>
          <cell r="B1005">
            <v>7</v>
          </cell>
          <cell r="C1005">
            <v>0</v>
          </cell>
          <cell r="D1005">
            <v>1</v>
          </cell>
          <cell r="E1005" t="str">
            <v>NON-HS</v>
          </cell>
          <cell r="F1005" t="str">
            <v>South Gate</v>
          </cell>
          <cell r="G1005">
            <v>0</v>
          </cell>
          <cell r="H1005">
            <v>0</v>
          </cell>
          <cell r="I1005">
            <v>6.6120000000000001</v>
          </cell>
          <cell r="J1005">
            <v>5.3277761699999999</v>
          </cell>
          <cell r="K1005">
            <v>6.3277761699999999</v>
          </cell>
          <cell r="L1005">
            <v>0.28324992960502698</v>
          </cell>
          <cell r="M1005">
            <v>6.6110260996050298</v>
          </cell>
          <cell r="N1005">
            <v>4.5454545454545497E-2</v>
          </cell>
          <cell r="O1005">
            <v>0</v>
          </cell>
          <cell r="P1005">
            <v>1</v>
          </cell>
        </row>
        <row r="1006">
          <cell r="A1006">
            <v>531302</v>
          </cell>
          <cell r="B1006">
            <v>7</v>
          </cell>
          <cell r="C1006">
            <v>0</v>
          </cell>
          <cell r="D1006">
            <v>1</v>
          </cell>
          <cell r="E1006" t="str">
            <v>NON-HS</v>
          </cell>
          <cell r="F1006" t="str">
            <v>East Los Angeles</v>
          </cell>
          <cell r="G1006">
            <v>0</v>
          </cell>
          <cell r="H1006">
            <v>0</v>
          </cell>
          <cell r="I1006">
            <v>9.9009999999999998</v>
          </cell>
          <cell r="J1006">
            <v>9.4173633199999998</v>
          </cell>
          <cell r="K1006">
            <v>9.4173633199999998</v>
          </cell>
          <cell r="L1006">
            <v>0.483488824721723</v>
          </cell>
          <cell r="M1006">
            <v>9.9008521447217195</v>
          </cell>
          <cell r="N1006">
            <v>4.5454545454545497E-2</v>
          </cell>
          <cell r="O1006">
            <v>0</v>
          </cell>
          <cell r="P1006">
            <v>1</v>
          </cell>
        </row>
        <row r="1007">
          <cell r="A1007">
            <v>535902</v>
          </cell>
          <cell r="B1007">
            <v>7</v>
          </cell>
          <cell r="C1007">
            <v>0</v>
          </cell>
          <cell r="D1007">
            <v>1</v>
          </cell>
          <cell r="E1007" t="str">
            <v>NON-HS</v>
          </cell>
          <cell r="F1007" t="str">
            <v>South Gate</v>
          </cell>
          <cell r="G1007">
            <v>0</v>
          </cell>
          <cell r="H1007">
            <v>0</v>
          </cell>
          <cell r="I1007">
            <v>1</v>
          </cell>
          <cell r="J1007">
            <v>0</v>
          </cell>
          <cell r="K1007">
            <v>1</v>
          </cell>
          <cell r="L1007">
            <v>0</v>
          </cell>
          <cell r="M1007">
            <v>1</v>
          </cell>
          <cell r="N1007">
            <v>4.5454545454545497E-2</v>
          </cell>
          <cell r="O1007">
            <v>0</v>
          </cell>
          <cell r="P1007">
            <v>1</v>
          </cell>
        </row>
        <row r="1008">
          <cell r="A1008">
            <v>536000</v>
          </cell>
          <cell r="B1008">
            <v>7</v>
          </cell>
          <cell r="C1008">
            <v>0</v>
          </cell>
          <cell r="D1008">
            <v>1</v>
          </cell>
          <cell r="E1008" t="str">
            <v>NON-HS</v>
          </cell>
          <cell r="F1008" t="str">
            <v>South Gate</v>
          </cell>
          <cell r="G1008">
            <v>0</v>
          </cell>
          <cell r="H1008">
            <v>0</v>
          </cell>
          <cell r="I1008">
            <v>1.9259999999999999</v>
          </cell>
          <cell r="J1008">
            <v>1.90487994</v>
          </cell>
          <cell r="K1008">
            <v>1.90487994</v>
          </cell>
          <cell r="L1008">
            <v>2.0625322082585301E-2</v>
          </cell>
          <cell r="M1008">
            <v>1.9255052620825901</v>
          </cell>
          <cell r="N1008">
            <v>4.5454545454545497E-2</v>
          </cell>
          <cell r="O1008">
            <v>0</v>
          </cell>
          <cell r="P1008">
            <v>1</v>
          </cell>
        </row>
        <row r="1009">
          <cell r="A1009">
            <v>531201</v>
          </cell>
          <cell r="B1009">
            <v>7</v>
          </cell>
          <cell r="C1009">
            <v>0</v>
          </cell>
          <cell r="D1009">
            <v>1</v>
          </cell>
          <cell r="E1009" t="str">
            <v>NON-HS</v>
          </cell>
          <cell r="F1009" t="str">
            <v>East Los Angeles</v>
          </cell>
          <cell r="G1009">
            <v>0</v>
          </cell>
          <cell r="H1009">
            <v>0</v>
          </cell>
          <cell r="I1009">
            <v>2.0950000000000002</v>
          </cell>
          <cell r="J1009">
            <v>1.9836996600000001</v>
          </cell>
          <cell r="K1009">
            <v>1.9836996600000001</v>
          </cell>
          <cell r="L1009">
            <v>0.11117260138240601</v>
          </cell>
          <cell r="M1009">
            <v>2.09487226138241</v>
          </cell>
          <cell r="N1009">
            <v>4.5454545454545497E-2</v>
          </cell>
          <cell r="O1009">
            <v>0</v>
          </cell>
          <cell r="P1009">
            <v>1</v>
          </cell>
        </row>
        <row r="1010">
          <cell r="A1010">
            <v>550201</v>
          </cell>
          <cell r="B1010">
            <v>7</v>
          </cell>
          <cell r="C1010">
            <v>0</v>
          </cell>
          <cell r="D1010">
            <v>4</v>
          </cell>
          <cell r="E1010" t="str">
            <v>NON-HS</v>
          </cell>
          <cell r="F1010" t="str">
            <v>Norwalk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4.5454545454545497E-2</v>
          </cell>
          <cell r="O1010">
            <v>0</v>
          </cell>
          <cell r="P1010">
            <v>1</v>
          </cell>
        </row>
        <row r="1011">
          <cell r="A1011">
            <v>550601</v>
          </cell>
          <cell r="B1011">
            <v>7</v>
          </cell>
          <cell r="C1011">
            <v>0</v>
          </cell>
          <cell r="D1011">
            <v>4</v>
          </cell>
          <cell r="E1011" t="str">
            <v>NON-HS</v>
          </cell>
          <cell r="F1011" t="str">
            <v>Downey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4.5454545454545497E-2</v>
          </cell>
          <cell r="O1011">
            <v>0</v>
          </cell>
          <cell r="P1011">
            <v>1</v>
          </cell>
        </row>
        <row r="1012">
          <cell r="A1012">
            <v>550800</v>
          </cell>
          <cell r="B1012">
            <v>7</v>
          </cell>
          <cell r="C1012">
            <v>0</v>
          </cell>
          <cell r="D1012">
            <v>4</v>
          </cell>
          <cell r="E1012" t="str">
            <v>NON-HS</v>
          </cell>
          <cell r="F1012" t="str">
            <v>Downey</v>
          </cell>
          <cell r="G1012">
            <v>0</v>
          </cell>
          <cell r="H1012">
            <v>0</v>
          </cell>
          <cell r="I1012">
            <v>1.591</v>
          </cell>
          <cell r="J1012">
            <v>1.43919657</v>
          </cell>
          <cell r="K1012">
            <v>1.43919657</v>
          </cell>
          <cell r="L1012">
            <v>0.15145200614003601</v>
          </cell>
          <cell r="M1012">
            <v>1.59064857614004</v>
          </cell>
          <cell r="N1012">
            <v>4.5454545454545497E-2</v>
          </cell>
          <cell r="O1012">
            <v>0</v>
          </cell>
          <cell r="P1012">
            <v>1</v>
          </cell>
        </row>
        <row r="1013">
          <cell r="A1013">
            <v>530602</v>
          </cell>
          <cell r="B1013">
            <v>7</v>
          </cell>
          <cell r="C1013">
            <v>0</v>
          </cell>
          <cell r="D1013">
            <v>1</v>
          </cell>
          <cell r="E1013" t="str">
            <v>NON-HS</v>
          </cell>
          <cell r="F1013" t="str">
            <v>East Los Angeles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4.5454545454545497E-2</v>
          </cell>
          <cell r="O1013">
            <v>0</v>
          </cell>
          <cell r="P1013">
            <v>1</v>
          </cell>
        </row>
        <row r="1014">
          <cell r="A1014">
            <v>550902</v>
          </cell>
          <cell r="B1014">
            <v>7</v>
          </cell>
          <cell r="C1014">
            <v>0</v>
          </cell>
          <cell r="D1014">
            <v>4</v>
          </cell>
          <cell r="E1014" t="str">
            <v>NON-HS</v>
          </cell>
          <cell r="F1014" t="str">
            <v>Downey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4.5454545454545497E-2</v>
          </cell>
          <cell r="O1014">
            <v>0</v>
          </cell>
          <cell r="P1014">
            <v>1</v>
          </cell>
        </row>
        <row r="1015">
          <cell r="A1015">
            <v>530302</v>
          </cell>
          <cell r="B1015">
            <v>7</v>
          </cell>
          <cell r="C1015">
            <v>0</v>
          </cell>
          <cell r="D1015">
            <v>1</v>
          </cell>
          <cell r="E1015" t="str">
            <v>NON-HS</v>
          </cell>
          <cell r="F1015" t="str">
            <v>East Los Angeles</v>
          </cell>
          <cell r="G1015">
            <v>0</v>
          </cell>
          <cell r="H1015">
            <v>0</v>
          </cell>
          <cell r="I1015">
            <v>7.4939999999999998</v>
          </cell>
          <cell r="J1015">
            <v>5.1560284000000003</v>
          </cell>
          <cell r="K1015">
            <v>7.1560284000000003</v>
          </cell>
          <cell r="L1015">
            <v>0.33761011780969502</v>
          </cell>
          <cell r="M1015">
            <v>7.4936385178096998</v>
          </cell>
          <cell r="N1015">
            <v>4.5454545454545497E-2</v>
          </cell>
          <cell r="O1015">
            <v>0</v>
          </cell>
          <cell r="P1015">
            <v>1</v>
          </cell>
        </row>
        <row r="1016">
          <cell r="A1016">
            <v>504101</v>
          </cell>
          <cell r="B1016">
            <v>7</v>
          </cell>
          <cell r="C1016">
            <v>0</v>
          </cell>
          <cell r="D1016">
            <v>4</v>
          </cell>
          <cell r="E1016" t="str">
            <v>NON-HS</v>
          </cell>
          <cell r="F1016" t="str">
            <v>La Mirada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4.5454545454545497E-2</v>
          </cell>
          <cell r="O1016">
            <v>0</v>
          </cell>
          <cell r="P1016">
            <v>1</v>
          </cell>
        </row>
        <row r="1017">
          <cell r="A1017">
            <v>551201</v>
          </cell>
          <cell r="B1017">
            <v>7</v>
          </cell>
          <cell r="C1017">
            <v>0</v>
          </cell>
          <cell r="D1017">
            <v>4</v>
          </cell>
          <cell r="E1017" t="str">
            <v>NON-HS</v>
          </cell>
          <cell r="F1017" t="str">
            <v>Downey</v>
          </cell>
          <cell r="G1017">
            <v>0</v>
          </cell>
          <cell r="H1017">
            <v>0</v>
          </cell>
          <cell r="I1017">
            <v>4.0949999999999998</v>
          </cell>
          <cell r="J1017">
            <v>1.9836996600000001</v>
          </cell>
          <cell r="K1017">
            <v>3.9836996600000001</v>
          </cell>
          <cell r="L1017">
            <v>0.11117260138240601</v>
          </cell>
          <cell r="M1017">
            <v>4.0948722613824096</v>
          </cell>
          <cell r="N1017">
            <v>4.5454545454545497E-2</v>
          </cell>
          <cell r="O1017">
            <v>0</v>
          </cell>
          <cell r="P1017">
            <v>1</v>
          </cell>
        </row>
        <row r="1018">
          <cell r="A1018">
            <v>504001</v>
          </cell>
          <cell r="B1018">
            <v>7</v>
          </cell>
          <cell r="C1018">
            <v>0</v>
          </cell>
          <cell r="D1018">
            <v>4</v>
          </cell>
          <cell r="E1018" t="str">
            <v>NON-HS</v>
          </cell>
          <cell r="F1018" t="str">
            <v>La Mirada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4.5454545454545497E-2</v>
          </cell>
          <cell r="O1018">
            <v>0</v>
          </cell>
          <cell r="P1018">
            <v>1</v>
          </cell>
        </row>
        <row r="1019">
          <cell r="A1019">
            <v>551401</v>
          </cell>
          <cell r="B1019">
            <v>7</v>
          </cell>
          <cell r="C1019">
            <v>0</v>
          </cell>
          <cell r="D1019">
            <v>4</v>
          </cell>
          <cell r="E1019" t="str">
            <v>NON-HS</v>
          </cell>
          <cell r="F1019" t="str">
            <v>Downey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4.5454545454545497E-2</v>
          </cell>
          <cell r="O1019">
            <v>0</v>
          </cell>
          <cell r="P1019">
            <v>1</v>
          </cell>
        </row>
        <row r="1020">
          <cell r="A1020">
            <v>551402</v>
          </cell>
          <cell r="B1020">
            <v>7</v>
          </cell>
          <cell r="C1020">
            <v>0</v>
          </cell>
          <cell r="D1020">
            <v>4</v>
          </cell>
          <cell r="E1020" t="str">
            <v>NON-HS</v>
          </cell>
          <cell r="F1020" t="str">
            <v>Downey</v>
          </cell>
          <cell r="G1020">
            <v>0</v>
          </cell>
          <cell r="H1020">
            <v>0</v>
          </cell>
          <cell r="I1020">
            <v>4.0949999999999998</v>
          </cell>
          <cell r="J1020">
            <v>1.9836996600000001</v>
          </cell>
          <cell r="K1020">
            <v>3.9836996600000001</v>
          </cell>
          <cell r="L1020">
            <v>0.11117260138240601</v>
          </cell>
          <cell r="M1020">
            <v>4.0948722613824096</v>
          </cell>
          <cell r="N1020">
            <v>4.5454545454545497E-2</v>
          </cell>
          <cell r="O1020">
            <v>0</v>
          </cell>
          <cell r="P1020">
            <v>1</v>
          </cell>
        </row>
        <row r="1021">
          <cell r="A1021">
            <v>503901</v>
          </cell>
          <cell r="B1021">
            <v>7</v>
          </cell>
          <cell r="C1021">
            <v>0</v>
          </cell>
          <cell r="D1021">
            <v>4</v>
          </cell>
          <cell r="E1021" t="str">
            <v>NON-HS</v>
          </cell>
          <cell r="F1021" t="str">
            <v>La Mirada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4.5454545454545497E-2</v>
          </cell>
          <cell r="O1021">
            <v>0</v>
          </cell>
          <cell r="P1021">
            <v>1</v>
          </cell>
        </row>
        <row r="1022">
          <cell r="A1022">
            <v>551501</v>
          </cell>
          <cell r="B1022">
            <v>7</v>
          </cell>
          <cell r="C1022">
            <v>0</v>
          </cell>
          <cell r="D1022">
            <v>4</v>
          </cell>
          <cell r="E1022" t="str">
            <v>NON-HS</v>
          </cell>
          <cell r="F1022" t="str">
            <v>Downey</v>
          </cell>
          <cell r="G1022">
            <v>0</v>
          </cell>
          <cell r="H1022">
            <v>0</v>
          </cell>
          <cell r="I1022">
            <v>1</v>
          </cell>
          <cell r="J1022">
            <v>0</v>
          </cell>
          <cell r="K1022">
            <v>1</v>
          </cell>
          <cell r="L1022">
            <v>0</v>
          </cell>
          <cell r="M1022">
            <v>1</v>
          </cell>
          <cell r="N1022">
            <v>4.5454545454545497E-2</v>
          </cell>
          <cell r="O1022">
            <v>0</v>
          </cell>
          <cell r="P1022">
            <v>1</v>
          </cell>
        </row>
        <row r="1023">
          <cell r="A1023">
            <v>551502</v>
          </cell>
          <cell r="B1023">
            <v>7</v>
          </cell>
          <cell r="C1023">
            <v>0</v>
          </cell>
          <cell r="D1023">
            <v>4</v>
          </cell>
          <cell r="E1023" t="str">
            <v>NON-HS</v>
          </cell>
          <cell r="F1023" t="str">
            <v>Downey</v>
          </cell>
          <cell r="G1023">
            <v>0</v>
          </cell>
          <cell r="H1023">
            <v>0</v>
          </cell>
          <cell r="I1023">
            <v>2</v>
          </cell>
          <cell r="J1023">
            <v>0</v>
          </cell>
          <cell r="K1023">
            <v>2</v>
          </cell>
          <cell r="L1023">
            <v>0</v>
          </cell>
          <cell r="M1023">
            <v>2</v>
          </cell>
          <cell r="N1023">
            <v>4.5454545454545497E-2</v>
          </cell>
          <cell r="O1023">
            <v>0</v>
          </cell>
          <cell r="P1023">
            <v>1</v>
          </cell>
        </row>
        <row r="1024">
          <cell r="A1024">
            <v>503601</v>
          </cell>
          <cell r="B1024">
            <v>7</v>
          </cell>
          <cell r="C1024">
            <v>0</v>
          </cell>
          <cell r="D1024">
            <v>4</v>
          </cell>
          <cell r="E1024" t="str">
            <v>NON-HS</v>
          </cell>
          <cell r="F1024" t="str">
            <v>La Mirada</v>
          </cell>
          <cell r="G1024">
            <v>0</v>
          </cell>
          <cell r="H1024">
            <v>0</v>
          </cell>
          <cell r="I1024">
            <v>4.0949999999999998</v>
          </cell>
          <cell r="J1024">
            <v>1.9836996600000001</v>
          </cell>
          <cell r="K1024">
            <v>3.9836996600000001</v>
          </cell>
          <cell r="L1024">
            <v>0.11117260138240601</v>
          </cell>
          <cell r="M1024">
            <v>4.0948722613824096</v>
          </cell>
          <cell r="N1024">
            <v>4.5454545454545497E-2</v>
          </cell>
          <cell r="O1024">
            <v>0</v>
          </cell>
          <cell r="P1024">
            <v>1</v>
          </cell>
        </row>
        <row r="1025">
          <cell r="A1025">
            <v>552001</v>
          </cell>
          <cell r="B1025">
            <v>7</v>
          </cell>
          <cell r="C1025">
            <v>0</v>
          </cell>
          <cell r="D1025">
            <v>4</v>
          </cell>
          <cell r="E1025" t="str">
            <v>NON-HS</v>
          </cell>
          <cell r="F1025" t="str">
            <v>Norwalk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4.5454545454545497E-2</v>
          </cell>
          <cell r="O1025">
            <v>0</v>
          </cell>
          <cell r="P1025">
            <v>1</v>
          </cell>
        </row>
        <row r="1026">
          <cell r="A1026">
            <v>552301</v>
          </cell>
          <cell r="B1026">
            <v>7</v>
          </cell>
          <cell r="C1026">
            <v>0</v>
          </cell>
          <cell r="D1026">
            <v>4</v>
          </cell>
          <cell r="E1026" t="str">
            <v>NON-HS</v>
          </cell>
          <cell r="F1026" t="str">
            <v>Norwalk</v>
          </cell>
          <cell r="G1026">
            <v>0</v>
          </cell>
          <cell r="H1026">
            <v>0</v>
          </cell>
          <cell r="I1026">
            <v>4.7720000000000002</v>
          </cell>
          <cell r="J1026">
            <v>4.31758971</v>
          </cell>
          <cell r="K1026">
            <v>4.31758971</v>
          </cell>
          <cell r="L1026">
            <v>0.45435601842010798</v>
          </cell>
          <cell r="M1026">
            <v>4.7719457284201097</v>
          </cell>
          <cell r="N1026">
            <v>4.5454545454545497E-2</v>
          </cell>
          <cell r="O1026">
            <v>0</v>
          </cell>
          <cell r="P1026">
            <v>1</v>
          </cell>
        </row>
        <row r="1027">
          <cell r="A1027">
            <v>552700</v>
          </cell>
          <cell r="B1027">
            <v>7</v>
          </cell>
          <cell r="C1027">
            <v>0</v>
          </cell>
          <cell r="D1027">
            <v>4</v>
          </cell>
          <cell r="E1027" t="str">
            <v>NON-HS</v>
          </cell>
          <cell r="F1027" t="str">
            <v>Norwalk</v>
          </cell>
          <cell r="G1027">
            <v>0</v>
          </cell>
          <cell r="H1027">
            <v>0</v>
          </cell>
          <cell r="I1027">
            <v>9.5869999999999997</v>
          </cell>
          <cell r="J1027">
            <v>6.2409763800000002</v>
          </cell>
          <cell r="K1027">
            <v>9.2409763799999993</v>
          </cell>
          <cell r="L1027">
            <v>0.34588787579892299</v>
          </cell>
          <cell r="M1027">
            <v>9.5868642557989201</v>
          </cell>
          <cell r="N1027">
            <v>4.5454545454545497E-2</v>
          </cell>
          <cell r="O1027">
            <v>0</v>
          </cell>
          <cell r="P1027">
            <v>1</v>
          </cell>
        </row>
        <row r="1028">
          <cell r="A1028">
            <v>552800</v>
          </cell>
          <cell r="B1028">
            <v>7</v>
          </cell>
          <cell r="C1028">
            <v>0</v>
          </cell>
          <cell r="D1028">
            <v>4</v>
          </cell>
          <cell r="E1028" t="str">
            <v>NON-HS</v>
          </cell>
          <cell r="F1028" t="str">
            <v>Norwalk</v>
          </cell>
          <cell r="G1028">
            <v>0</v>
          </cell>
          <cell r="H1028">
            <v>0</v>
          </cell>
          <cell r="I1028">
            <v>3.5169999999999999</v>
          </cell>
          <cell r="J1028">
            <v>3.3440765099999998</v>
          </cell>
          <cell r="K1028">
            <v>3.3440765099999998</v>
          </cell>
          <cell r="L1028">
            <v>0.17207732822262101</v>
          </cell>
          <cell r="M1028">
            <v>3.5161538382226198</v>
          </cell>
          <cell r="N1028">
            <v>4.5454545454545497E-2</v>
          </cell>
          <cell r="O1028">
            <v>0</v>
          </cell>
          <cell r="P1028">
            <v>1</v>
          </cell>
        </row>
        <row r="1029">
          <cell r="A1029">
            <v>553300</v>
          </cell>
          <cell r="B1029">
            <v>7</v>
          </cell>
          <cell r="C1029">
            <v>0</v>
          </cell>
          <cell r="D1029">
            <v>4</v>
          </cell>
          <cell r="E1029" t="str">
            <v>NON-HS</v>
          </cell>
          <cell r="F1029" t="str">
            <v>Bellflower</v>
          </cell>
          <cell r="G1029">
            <v>0</v>
          </cell>
          <cell r="H1029">
            <v>0</v>
          </cell>
          <cell r="I1029">
            <v>3.5910000000000002</v>
          </cell>
          <cell r="J1029">
            <v>1.43919657</v>
          </cell>
          <cell r="K1029">
            <v>3.43919657</v>
          </cell>
          <cell r="L1029">
            <v>0.15145200614003601</v>
          </cell>
          <cell r="M1029">
            <v>3.59064857614004</v>
          </cell>
          <cell r="N1029">
            <v>4.5454545454545497E-2</v>
          </cell>
          <cell r="O1029">
            <v>0</v>
          </cell>
          <cell r="P1029">
            <v>1</v>
          </cell>
        </row>
        <row r="1030">
          <cell r="A1030">
            <v>503106</v>
          </cell>
          <cell r="B1030">
            <v>7</v>
          </cell>
          <cell r="C1030">
            <v>0</v>
          </cell>
          <cell r="D1030">
            <v>4</v>
          </cell>
          <cell r="E1030" t="str">
            <v>NON-HS</v>
          </cell>
          <cell r="F1030" t="str">
            <v>South Whittier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4.5454545454545497E-2</v>
          </cell>
          <cell r="O1030">
            <v>0</v>
          </cell>
          <cell r="P1030">
            <v>1</v>
          </cell>
        </row>
        <row r="1031">
          <cell r="A1031">
            <v>553400</v>
          </cell>
          <cell r="B1031">
            <v>7</v>
          </cell>
          <cell r="C1031">
            <v>0</v>
          </cell>
          <cell r="D1031">
            <v>4</v>
          </cell>
          <cell r="E1031" t="str">
            <v>NON-HS</v>
          </cell>
          <cell r="F1031" t="str">
            <v>Downey</v>
          </cell>
          <cell r="G1031">
            <v>0</v>
          </cell>
          <cell r="H1031">
            <v>0</v>
          </cell>
          <cell r="I1031">
            <v>10.723000000000001</v>
          </cell>
          <cell r="J1031">
            <v>8.2495374199999993</v>
          </cell>
          <cell r="K1031">
            <v>10.249537419999999</v>
          </cell>
          <cell r="L1031">
            <v>0.47350035493716303</v>
          </cell>
          <cell r="M1031">
            <v>10.7230377749372</v>
          </cell>
          <cell r="N1031">
            <v>4.5454545454545497E-2</v>
          </cell>
          <cell r="O1031">
            <v>0</v>
          </cell>
          <cell r="P1031">
            <v>1</v>
          </cell>
        </row>
        <row r="1032">
          <cell r="A1032">
            <v>502901</v>
          </cell>
          <cell r="B1032">
            <v>7</v>
          </cell>
          <cell r="C1032">
            <v>0</v>
          </cell>
          <cell r="D1032">
            <v>4</v>
          </cell>
          <cell r="E1032" t="str">
            <v>NON-HS</v>
          </cell>
          <cell r="F1032" t="str">
            <v>South Whittier</v>
          </cell>
          <cell r="G1032">
            <v>0</v>
          </cell>
          <cell r="H1032">
            <v>0</v>
          </cell>
          <cell r="I1032">
            <v>3.9260000000000002</v>
          </cell>
          <cell r="J1032">
            <v>1.90487994</v>
          </cell>
          <cell r="K1032">
            <v>3.9048799399999998</v>
          </cell>
          <cell r="L1032">
            <v>2.0625322082585301E-2</v>
          </cell>
          <cell r="M1032">
            <v>3.9255052620825901</v>
          </cell>
          <cell r="N1032">
            <v>4.5454545454545497E-2</v>
          </cell>
          <cell r="O1032">
            <v>0</v>
          </cell>
          <cell r="P1032">
            <v>1</v>
          </cell>
        </row>
        <row r="1033">
          <cell r="A1033">
            <v>502602</v>
          </cell>
          <cell r="B1033">
            <v>7</v>
          </cell>
          <cell r="C1033">
            <v>0</v>
          </cell>
          <cell r="D1033">
            <v>1</v>
          </cell>
          <cell r="E1033" t="str">
            <v>NON-HS</v>
          </cell>
          <cell r="F1033" t="str">
            <v>Pico Rivera</v>
          </cell>
          <cell r="G1033">
            <v>0</v>
          </cell>
          <cell r="H1033">
            <v>0</v>
          </cell>
          <cell r="I1033">
            <v>9.0839999999999996</v>
          </cell>
          <cell r="J1033">
            <v>6.5952249700000003</v>
          </cell>
          <cell r="K1033">
            <v>8.5952249700000003</v>
          </cell>
          <cell r="L1033">
            <v>0.48906212394973098</v>
          </cell>
          <cell r="M1033">
            <v>9.0842870939497296</v>
          </cell>
          <cell r="N1033">
            <v>4.5454545454545497E-2</v>
          </cell>
          <cell r="O1033">
            <v>0</v>
          </cell>
          <cell r="P1033">
            <v>1</v>
          </cell>
        </row>
        <row r="1034">
          <cell r="A1034">
            <v>554101</v>
          </cell>
          <cell r="B1034">
            <v>7</v>
          </cell>
          <cell r="C1034">
            <v>0</v>
          </cell>
          <cell r="D1034">
            <v>4</v>
          </cell>
          <cell r="E1034" t="str">
            <v>NON-HS</v>
          </cell>
          <cell r="F1034" t="str">
            <v>Bellflower</v>
          </cell>
          <cell r="G1034">
            <v>0</v>
          </cell>
          <cell r="H1034">
            <v>0</v>
          </cell>
          <cell r="I1034">
            <v>4.0209999999999999</v>
          </cell>
          <cell r="J1034">
            <v>3.8885795999999999</v>
          </cell>
          <cell r="K1034">
            <v>3.8885795999999999</v>
          </cell>
          <cell r="L1034">
            <v>0.131797923464991</v>
          </cell>
          <cell r="M1034">
            <v>4.0203775234649903</v>
          </cell>
          <cell r="N1034">
            <v>4.5454545454545497E-2</v>
          </cell>
          <cell r="O1034">
            <v>0</v>
          </cell>
          <cell r="P1034">
            <v>1</v>
          </cell>
        </row>
        <row r="1035">
          <cell r="A1035">
            <v>502401</v>
          </cell>
          <cell r="B1035">
            <v>7</v>
          </cell>
          <cell r="C1035">
            <v>0</v>
          </cell>
          <cell r="D1035">
            <v>1</v>
          </cell>
          <cell r="E1035" t="str">
            <v>NON-HS</v>
          </cell>
          <cell r="F1035" t="str">
            <v>Pico Rivera</v>
          </cell>
          <cell r="G1035">
            <v>0</v>
          </cell>
          <cell r="H1035">
            <v>0</v>
          </cell>
          <cell r="I1035">
            <v>1</v>
          </cell>
          <cell r="J1035">
            <v>0</v>
          </cell>
          <cell r="K1035">
            <v>1</v>
          </cell>
          <cell r="L1035">
            <v>0</v>
          </cell>
          <cell r="M1035">
            <v>1</v>
          </cell>
          <cell r="N1035">
            <v>4.5454545454545497E-2</v>
          </cell>
          <cell r="O1035">
            <v>0</v>
          </cell>
          <cell r="P1035">
            <v>1</v>
          </cell>
        </row>
        <row r="1036">
          <cell r="A1036">
            <v>502003</v>
          </cell>
          <cell r="B1036">
            <v>7</v>
          </cell>
          <cell r="C1036">
            <v>0</v>
          </cell>
          <cell r="D1036">
            <v>4</v>
          </cell>
          <cell r="E1036" t="str">
            <v>NON-HS</v>
          </cell>
          <cell r="F1036" t="str">
            <v>Whittier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4.5454545454545497E-2</v>
          </cell>
          <cell r="O1036">
            <v>0</v>
          </cell>
          <cell r="P1036">
            <v>1</v>
          </cell>
        </row>
        <row r="1037">
          <cell r="A1037">
            <v>554104</v>
          </cell>
          <cell r="B1037">
            <v>7</v>
          </cell>
          <cell r="C1037">
            <v>0</v>
          </cell>
          <cell r="D1037">
            <v>4</v>
          </cell>
          <cell r="E1037" t="str">
            <v>NON-HS</v>
          </cell>
          <cell r="F1037" t="str">
            <v>Bellflower</v>
          </cell>
          <cell r="G1037">
            <v>0</v>
          </cell>
          <cell r="H1037">
            <v>0</v>
          </cell>
          <cell r="I1037">
            <v>8.84</v>
          </cell>
          <cell r="J1037">
            <v>8.4212851900000008</v>
          </cell>
          <cell r="K1037">
            <v>8.4212851900000008</v>
          </cell>
          <cell r="L1037">
            <v>0.41914016673249599</v>
          </cell>
          <cell r="M1037">
            <v>8.8404253567324904</v>
          </cell>
          <cell r="N1037">
            <v>4.5454545454545497E-2</v>
          </cell>
          <cell r="O1037">
            <v>0</v>
          </cell>
          <cell r="P1037">
            <v>1</v>
          </cell>
        </row>
        <row r="1038">
          <cell r="A1038">
            <v>554105</v>
          </cell>
          <cell r="B1038">
            <v>7</v>
          </cell>
          <cell r="C1038">
            <v>0</v>
          </cell>
          <cell r="D1038">
            <v>4</v>
          </cell>
          <cell r="E1038" t="str">
            <v>NON-HS</v>
          </cell>
          <cell r="F1038" t="str">
            <v>Bellflower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4.5454545454545497E-2</v>
          </cell>
          <cell r="O1038">
            <v>0</v>
          </cell>
          <cell r="P1038">
            <v>1</v>
          </cell>
        </row>
        <row r="1039">
          <cell r="A1039">
            <v>501700</v>
          </cell>
          <cell r="B1039">
            <v>7</v>
          </cell>
          <cell r="C1039">
            <v>0</v>
          </cell>
          <cell r="D1039">
            <v>4</v>
          </cell>
          <cell r="E1039" t="str">
            <v>NON-HS</v>
          </cell>
          <cell r="F1039" t="str">
            <v>Whittier</v>
          </cell>
          <cell r="G1039">
            <v>0</v>
          </cell>
          <cell r="H1039">
            <v>0</v>
          </cell>
          <cell r="I1039">
            <v>3.9260000000000002</v>
          </cell>
          <cell r="J1039">
            <v>1.90487994</v>
          </cell>
          <cell r="K1039">
            <v>3.9048799399999998</v>
          </cell>
          <cell r="L1039">
            <v>2.0625322082585301E-2</v>
          </cell>
          <cell r="M1039">
            <v>3.9255052620825901</v>
          </cell>
          <cell r="N1039">
            <v>4.5454545454545497E-2</v>
          </cell>
          <cell r="O1039">
            <v>0</v>
          </cell>
          <cell r="P1039">
            <v>1</v>
          </cell>
        </row>
        <row r="1040">
          <cell r="A1040">
            <v>554201</v>
          </cell>
          <cell r="B1040">
            <v>7</v>
          </cell>
          <cell r="C1040">
            <v>0</v>
          </cell>
          <cell r="D1040">
            <v>4</v>
          </cell>
          <cell r="E1040" t="str">
            <v>NON-HS</v>
          </cell>
          <cell r="F1040" t="str">
            <v>Bellflower</v>
          </cell>
          <cell r="G1040">
            <v>0</v>
          </cell>
          <cell r="H1040">
            <v>0</v>
          </cell>
          <cell r="I1040">
            <v>3</v>
          </cell>
          <cell r="J1040">
            <v>0</v>
          </cell>
          <cell r="K1040">
            <v>3</v>
          </cell>
          <cell r="L1040">
            <v>0</v>
          </cell>
          <cell r="M1040">
            <v>3</v>
          </cell>
          <cell r="N1040">
            <v>4.5454545454545497E-2</v>
          </cell>
          <cell r="O1040">
            <v>0</v>
          </cell>
          <cell r="P1040">
            <v>1</v>
          </cell>
        </row>
        <row r="1041">
          <cell r="A1041">
            <v>554203</v>
          </cell>
          <cell r="B1041">
            <v>7</v>
          </cell>
          <cell r="C1041">
            <v>0</v>
          </cell>
          <cell r="D1041">
            <v>4</v>
          </cell>
          <cell r="E1041" t="str">
            <v>NON-HS</v>
          </cell>
          <cell r="F1041" t="str">
            <v>Bellflower</v>
          </cell>
          <cell r="G1041">
            <v>0</v>
          </cell>
          <cell r="H1041">
            <v>0</v>
          </cell>
          <cell r="I1041">
            <v>5.6589999999999998</v>
          </cell>
          <cell r="J1041">
            <v>5.5428920499999998</v>
          </cell>
          <cell r="K1041">
            <v>5.5428920499999998</v>
          </cell>
          <cell r="L1041">
            <v>0.116236154452424</v>
          </cell>
          <cell r="M1041">
            <v>5.6591282044524203</v>
          </cell>
          <cell r="N1041">
            <v>4.5454545454545497E-2</v>
          </cell>
          <cell r="O1041">
            <v>0</v>
          </cell>
          <cell r="P1041">
            <v>1</v>
          </cell>
        </row>
        <row r="1042">
          <cell r="A1042">
            <v>554512</v>
          </cell>
          <cell r="B1042">
            <v>7</v>
          </cell>
          <cell r="C1042">
            <v>0</v>
          </cell>
          <cell r="D1042">
            <v>4</v>
          </cell>
          <cell r="E1042" t="str">
            <v>NON-HS</v>
          </cell>
          <cell r="F1042" t="str">
            <v>Cerritos</v>
          </cell>
          <cell r="G1042">
            <v>0</v>
          </cell>
          <cell r="H1042">
            <v>0</v>
          </cell>
          <cell r="I1042">
            <v>7.9889999999999999</v>
          </cell>
          <cell r="J1042">
            <v>4.6115253100000002</v>
          </cell>
          <cell r="K1042">
            <v>7.6115253100000002</v>
          </cell>
          <cell r="L1042">
            <v>0.377889522567325</v>
          </cell>
          <cell r="M1042">
            <v>7.9894148325673298</v>
          </cell>
          <cell r="N1042">
            <v>4.5454545454545497E-2</v>
          </cell>
          <cell r="O1042">
            <v>0</v>
          </cell>
          <cell r="P1042">
            <v>1</v>
          </cell>
        </row>
        <row r="1043">
          <cell r="A1043">
            <v>554513</v>
          </cell>
          <cell r="B1043">
            <v>7</v>
          </cell>
          <cell r="C1043">
            <v>0</v>
          </cell>
          <cell r="D1043">
            <v>4</v>
          </cell>
          <cell r="E1043" t="str">
            <v>NON-HS</v>
          </cell>
          <cell r="F1043" t="str">
            <v>Cerritos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4.5454545454545497E-2</v>
          </cell>
          <cell r="O1043">
            <v>0</v>
          </cell>
          <cell r="P1043">
            <v>1</v>
          </cell>
        </row>
        <row r="1044">
          <cell r="A1044">
            <v>554514</v>
          </cell>
          <cell r="B1044">
            <v>7</v>
          </cell>
          <cell r="C1044">
            <v>0</v>
          </cell>
          <cell r="D1044">
            <v>4</v>
          </cell>
          <cell r="E1044" t="str">
            <v>NON-HS</v>
          </cell>
          <cell r="F1044" t="str">
            <v>Cerritos</v>
          </cell>
          <cell r="G1044">
            <v>1</v>
          </cell>
          <cell r="H1044">
            <v>1</v>
          </cell>
          <cell r="I1044">
            <v>4.181</v>
          </cell>
          <cell r="J1044">
            <v>2.87839314</v>
          </cell>
          <cell r="K1044">
            <v>3.87839314</v>
          </cell>
          <cell r="L1044">
            <v>0.30290401228007202</v>
          </cell>
          <cell r="M1044">
            <v>4.1812971522800702</v>
          </cell>
          <cell r="N1044">
            <v>4.5454545454545497E-2</v>
          </cell>
          <cell r="O1044">
            <v>22</v>
          </cell>
          <cell r="P1044">
            <v>1</v>
          </cell>
        </row>
        <row r="1045">
          <cell r="A1045">
            <v>500500</v>
          </cell>
          <cell r="B1045">
            <v>7</v>
          </cell>
          <cell r="C1045">
            <v>0</v>
          </cell>
          <cell r="D1045">
            <v>1</v>
          </cell>
          <cell r="E1045" t="str">
            <v>NON-HS</v>
          </cell>
          <cell r="F1045" t="str">
            <v>Pico Rivera</v>
          </cell>
          <cell r="G1045">
            <v>0</v>
          </cell>
          <cell r="H1045">
            <v>0</v>
          </cell>
          <cell r="I1045">
            <v>1</v>
          </cell>
          <cell r="J1045">
            <v>0</v>
          </cell>
          <cell r="K1045">
            <v>1</v>
          </cell>
          <cell r="L1045">
            <v>0</v>
          </cell>
          <cell r="M1045">
            <v>1</v>
          </cell>
          <cell r="N1045">
            <v>4.5454545454545497E-2</v>
          </cell>
          <cell r="O1045">
            <v>0</v>
          </cell>
          <cell r="P1045">
            <v>1</v>
          </cell>
        </row>
        <row r="1046">
          <cell r="A1046">
            <v>554516</v>
          </cell>
          <cell r="B1046">
            <v>7</v>
          </cell>
          <cell r="C1046">
            <v>0</v>
          </cell>
          <cell r="D1046">
            <v>4</v>
          </cell>
          <cell r="E1046" t="str">
            <v>NON-HS</v>
          </cell>
          <cell r="F1046" t="str">
            <v>Cerritos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4.5454545454545497E-2</v>
          </cell>
          <cell r="O1046">
            <v>0</v>
          </cell>
          <cell r="P1046">
            <v>1</v>
          </cell>
        </row>
        <row r="1047">
          <cell r="A1047">
            <v>500404</v>
          </cell>
          <cell r="B1047">
            <v>7</v>
          </cell>
          <cell r="C1047">
            <v>0</v>
          </cell>
          <cell r="D1047">
            <v>1</v>
          </cell>
          <cell r="E1047" t="str">
            <v>NON-HS</v>
          </cell>
          <cell r="F1047" t="str">
            <v>Pico Rivera</v>
          </cell>
          <cell r="G1047">
            <v>0</v>
          </cell>
          <cell r="H1047">
            <v>0</v>
          </cell>
          <cell r="I1047">
            <v>2.0950000000000002</v>
          </cell>
          <cell r="J1047">
            <v>1.9836996600000001</v>
          </cell>
          <cell r="K1047">
            <v>1.9836996600000001</v>
          </cell>
          <cell r="L1047">
            <v>0.11117260138240601</v>
          </cell>
          <cell r="M1047">
            <v>2.09487226138241</v>
          </cell>
          <cell r="N1047">
            <v>4.5454545454545497E-2</v>
          </cell>
          <cell r="O1047">
            <v>0</v>
          </cell>
          <cell r="P1047">
            <v>1</v>
          </cell>
        </row>
        <row r="1048">
          <cell r="A1048">
            <v>554517</v>
          </cell>
          <cell r="B1048">
            <v>7</v>
          </cell>
          <cell r="C1048">
            <v>0</v>
          </cell>
          <cell r="D1048">
            <v>4</v>
          </cell>
          <cell r="E1048" t="str">
            <v>NON-HS</v>
          </cell>
          <cell r="F1048" t="str">
            <v>Cerritos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4.5454545454545497E-2</v>
          </cell>
          <cell r="O1048">
            <v>0</v>
          </cell>
          <cell r="P1048">
            <v>1</v>
          </cell>
        </row>
        <row r="1049">
          <cell r="A1049">
            <v>554600</v>
          </cell>
          <cell r="B1049">
            <v>7</v>
          </cell>
          <cell r="C1049">
            <v>0</v>
          </cell>
          <cell r="D1049">
            <v>4</v>
          </cell>
          <cell r="E1049" t="str">
            <v>NON-HS</v>
          </cell>
          <cell r="F1049" t="str">
            <v>Norwalk</v>
          </cell>
          <cell r="G1049">
            <v>0</v>
          </cell>
          <cell r="H1049">
            <v>0</v>
          </cell>
          <cell r="I1049">
            <v>3</v>
          </cell>
          <cell r="J1049">
            <v>0</v>
          </cell>
          <cell r="K1049">
            <v>3</v>
          </cell>
          <cell r="L1049">
            <v>0</v>
          </cell>
          <cell r="M1049">
            <v>3</v>
          </cell>
          <cell r="N1049">
            <v>4.5454545454545497E-2</v>
          </cell>
          <cell r="O1049">
            <v>0</v>
          </cell>
          <cell r="P1049">
            <v>1</v>
          </cell>
        </row>
        <row r="1050">
          <cell r="A1050">
            <v>554802</v>
          </cell>
          <cell r="B1050">
            <v>7</v>
          </cell>
          <cell r="C1050">
            <v>0</v>
          </cell>
          <cell r="D1050">
            <v>4</v>
          </cell>
          <cell r="E1050" t="str">
            <v>NON-HS</v>
          </cell>
          <cell r="F1050" t="str">
            <v>Artesia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4.5454545454545497E-2</v>
          </cell>
          <cell r="O1050">
            <v>0</v>
          </cell>
          <cell r="P1050">
            <v>1</v>
          </cell>
        </row>
        <row r="1051">
          <cell r="A1051">
            <v>570001</v>
          </cell>
          <cell r="B1051">
            <v>7</v>
          </cell>
          <cell r="C1051">
            <v>0</v>
          </cell>
          <cell r="D1051">
            <v>4</v>
          </cell>
          <cell r="E1051" t="str">
            <v>NON-HS</v>
          </cell>
          <cell r="F1051" t="str">
            <v>Lakewood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4.5454545454545497E-2</v>
          </cell>
          <cell r="O1051">
            <v>0</v>
          </cell>
          <cell r="P1051">
            <v>1</v>
          </cell>
        </row>
        <row r="1052">
          <cell r="A1052">
            <v>570002</v>
          </cell>
          <cell r="B1052">
            <v>7</v>
          </cell>
          <cell r="C1052">
            <v>0</v>
          </cell>
          <cell r="D1052">
            <v>4</v>
          </cell>
          <cell r="E1052" t="str">
            <v>NON-HS</v>
          </cell>
          <cell r="F1052" t="str">
            <v>Lakewood</v>
          </cell>
          <cell r="G1052">
            <v>0</v>
          </cell>
          <cell r="H1052">
            <v>0</v>
          </cell>
          <cell r="I1052">
            <v>1.8080000000000001</v>
          </cell>
          <cell r="J1052">
            <v>1.73313217</v>
          </cell>
          <cell r="K1052">
            <v>1.73313217</v>
          </cell>
          <cell r="L1052">
            <v>7.4985510287253102E-2</v>
          </cell>
          <cell r="M1052">
            <v>1.8081176802872501</v>
          </cell>
          <cell r="N1052">
            <v>4.5454545454545497E-2</v>
          </cell>
          <cell r="O1052">
            <v>0</v>
          </cell>
          <cell r="P1052">
            <v>1</v>
          </cell>
        </row>
        <row r="1053">
          <cell r="A1053">
            <v>570003</v>
          </cell>
          <cell r="B1053">
            <v>7</v>
          </cell>
          <cell r="C1053">
            <v>0</v>
          </cell>
          <cell r="D1053">
            <v>4</v>
          </cell>
          <cell r="E1053" t="str">
            <v>NON-HS</v>
          </cell>
          <cell r="F1053" t="str">
            <v>Lakewood</v>
          </cell>
          <cell r="G1053">
            <v>0</v>
          </cell>
          <cell r="H1053">
            <v>0</v>
          </cell>
          <cell r="I1053">
            <v>5.2759999999999998</v>
          </cell>
          <cell r="J1053">
            <v>4.8620928000000001</v>
          </cell>
          <cell r="K1053">
            <v>4.8620928000000001</v>
          </cell>
          <cell r="L1053">
            <v>0.414076613662478</v>
          </cell>
          <cell r="M1053">
            <v>5.2761694136624797</v>
          </cell>
          <cell r="N1053">
            <v>4.5454545454545497E-2</v>
          </cell>
          <cell r="O1053">
            <v>0</v>
          </cell>
          <cell r="P1053">
            <v>1</v>
          </cell>
        </row>
        <row r="1054">
          <cell r="A1054">
            <v>570901</v>
          </cell>
          <cell r="B1054">
            <v>7</v>
          </cell>
          <cell r="C1054">
            <v>0</v>
          </cell>
          <cell r="D1054">
            <v>4</v>
          </cell>
          <cell r="E1054" t="str">
            <v>NON-HS</v>
          </cell>
          <cell r="F1054" t="str">
            <v>Lakewood</v>
          </cell>
          <cell r="G1054">
            <v>0</v>
          </cell>
          <cell r="H1054">
            <v>0</v>
          </cell>
          <cell r="I1054">
            <v>5.734</v>
          </cell>
          <cell r="J1054">
            <v>3.63801211</v>
          </cell>
          <cell r="K1054">
            <v>5.63801211</v>
          </cell>
          <cell r="L1054">
            <v>9.5610832369838403E-2</v>
          </cell>
          <cell r="M1054">
            <v>5.7336229423698404</v>
          </cell>
          <cell r="N1054">
            <v>4.5454545454545497E-2</v>
          </cell>
          <cell r="O1054">
            <v>0</v>
          </cell>
          <cell r="P1054">
            <v>1</v>
          </cell>
        </row>
        <row r="1055">
          <cell r="A1055">
            <v>570902</v>
          </cell>
          <cell r="B1055">
            <v>7</v>
          </cell>
          <cell r="C1055">
            <v>0</v>
          </cell>
          <cell r="D1055">
            <v>4</v>
          </cell>
          <cell r="E1055" t="str">
            <v>NON-HS</v>
          </cell>
          <cell r="F1055" t="str">
            <v>Lakewood</v>
          </cell>
          <cell r="G1055">
            <v>1</v>
          </cell>
          <cell r="H1055">
            <v>1</v>
          </cell>
          <cell r="I1055">
            <v>7.9889999999999999</v>
          </cell>
          <cell r="J1055">
            <v>4.6115253100000002</v>
          </cell>
          <cell r="K1055">
            <v>7.6115253100000002</v>
          </cell>
          <cell r="L1055">
            <v>0.377889522567325</v>
          </cell>
          <cell r="M1055">
            <v>7.9894148325673298</v>
          </cell>
          <cell r="N1055">
            <v>4.5454545454545497E-2</v>
          </cell>
          <cell r="O1055">
            <v>22</v>
          </cell>
          <cell r="P1055">
            <v>1</v>
          </cell>
        </row>
        <row r="1056">
          <cell r="A1056">
            <v>571300</v>
          </cell>
          <cell r="B1056">
            <v>7</v>
          </cell>
          <cell r="C1056">
            <v>0</v>
          </cell>
          <cell r="D1056">
            <v>4</v>
          </cell>
          <cell r="E1056" t="str">
            <v>NON-HS</v>
          </cell>
          <cell r="F1056" t="str">
            <v>Lakewood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4.5454545454545497E-2</v>
          </cell>
          <cell r="O1056">
            <v>0</v>
          </cell>
          <cell r="P1056">
            <v>1</v>
          </cell>
        </row>
        <row r="1057">
          <cell r="A1057">
            <v>573401</v>
          </cell>
          <cell r="B1057">
            <v>7</v>
          </cell>
          <cell r="C1057">
            <v>0</v>
          </cell>
          <cell r="D1057">
            <v>4</v>
          </cell>
          <cell r="E1057" t="str">
            <v>NON-HS</v>
          </cell>
          <cell r="F1057" t="str">
            <v>Signal Hill</v>
          </cell>
          <cell r="G1057">
            <v>0</v>
          </cell>
          <cell r="H1057">
            <v>0</v>
          </cell>
          <cell r="I1057">
            <v>8.9410000000000007</v>
          </cell>
          <cell r="J1057">
            <v>8.5434730200000004</v>
          </cell>
          <cell r="K1057">
            <v>8.5434730200000004</v>
          </cell>
          <cell r="L1057">
            <v>0.39703385908438099</v>
          </cell>
          <cell r="M1057">
            <v>8.9405068790843796</v>
          </cell>
          <cell r="N1057">
            <v>4.5454545454545497E-2</v>
          </cell>
          <cell r="O1057">
            <v>0</v>
          </cell>
          <cell r="P1057">
            <v>1</v>
          </cell>
        </row>
        <row r="1058">
          <cell r="A1058">
            <v>573402</v>
          </cell>
          <cell r="B1058">
            <v>7</v>
          </cell>
          <cell r="C1058">
            <v>0</v>
          </cell>
          <cell r="D1058">
            <v>4</v>
          </cell>
          <cell r="E1058" t="str">
            <v>NON-HS</v>
          </cell>
          <cell r="F1058" t="str">
            <v>Signal Hill</v>
          </cell>
          <cell r="G1058">
            <v>0</v>
          </cell>
          <cell r="H1058">
            <v>0</v>
          </cell>
          <cell r="I1058">
            <v>7.19</v>
          </cell>
          <cell r="J1058">
            <v>3.9673993200000002</v>
          </cell>
          <cell r="K1058">
            <v>6.9673993200000002</v>
          </cell>
          <cell r="L1058">
            <v>0.22234520276481101</v>
          </cell>
          <cell r="M1058">
            <v>7.1897445227648102</v>
          </cell>
          <cell r="N1058">
            <v>4.5454545454545497E-2</v>
          </cell>
          <cell r="O1058">
            <v>0</v>
          </cell>
          <cell r="P1058">
            <v>1</v>
          </cell>
        </row>
        <row r="1059">
          <cell r="A1059">
            <v>980025</v>
          </cell>
          <cell r="B1059">
            <v>8</v>
          </cell>
          <cell r="C1059">
            <v>0</v>
          </cell>
          <cell r="D1059">
            <v>2</v>
          </cell>
          <cell r="E1059" t="str">
            <v>NON-HS</v>
          </cell>
          <cell r="F1059" t="str">
            <v>Carson</v>
          </cell>
          <cell r="G1059">
            <v>0</v>
          </cell>
          <cell r="H1059">
            <v>0</v>
          </cell>
          <cell r="I1059">
            <v>7.5890000000000004</v>
          </cell>
          <cell r="J1059">
            <v>7.1397280600000004</v>
          </cell>
          <cell r="K1059">
            <v>7.1397280600000004</v>
          </cell>
          <cell r="L1059">
            <v>0.448782719192101</v>
          </cell>
          <cell r="M1059">
            <v>7.5885107791920996</v>
          </cell>
          <cell r="N1059">
            <v>3.3333333333333298E-2</v>
          </cell>
          <cell r="O1059">
            <v>0</v>
          </cell>
          <cell r="P1059">
            <v>0.82499999999999996</v>
          </cell>
        </row>
        <row r="1060">
          <cell r="A1060">
            <v>600703</v>
          </cell>
          <cell r="B1060">
            <v>8</v>
          </cell>
          <cell r="C1060">
            <v>0</v>
          </cell>
          <cell r="D1060">
            <v>2</v>
          </cell>
          <cell r="E1060" t="str">
            <v>NON-HS</v>
          </cell>
          <cell r="F1060" t="str">
            <v>Inglewood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3.3333333333333298E-2</v>
          </cell>
          <cell r="O1060">
            <v>0</v>
          </cell>
          <cell r="P1060">
            <v>0.82499999999999996</v>
          </cell>
        </row>
        <row r="1061">
          <cell r="A1061">
            <v>603900</v>
          </cell>
          <cell r="B1061">
            <v>8</v>
          </cell>
          <cell r="C1061">
            <v>0</v>
          </cell>
          <cell r="D1061">
            <v>2</v>
          </cell>
          <cell r="E1061" t="str">
            <v>NON-HS</v>
          </cell>
          <cell r="F1061" t="str">
            <v>Lawndale</v>
          </cell>
          <cell r="G1061">
            <v>0</v>
          </cell>
          <cell r="H1061">
            <v>0</v>
          </cell>
          <cell r="I1061">
            <v>9.2850000000000001</v>
          </cell>
          <cell r="J1061">
            <v>5.9510989800000003</v>
          </cell>
          <cell r="K1061">
            <v>8.9510989799999994</v>
          </cell>
          <cell r="L1061">
            <v>0.33351780414721699</v>
          </cell>
          <cell r="M1061">
            <v>9.2846167841472198</v>
          </cell>
          <cell r="N1061">
            <v>3.3333333333333298E-2</v>
          </cell>
          <cell r="O1061">
            <v>0</v>
          </cell>
          <cell r="P1061">
            <v>0.82499999999999996</v>
          </cell>
        </row>
        <row r="1062">
          <cell r="A1062">
            <v>602509</v>
          </cell>
          <cell r="B1062">
            <v>8</v>
          </cell>
          <cell r="C1062">
            <v>0</v>
          </cell>
          <cell r="D1062">
            <v>2</v>
          </cell>
          <cell r="E1062" t="str">
            <v>NON-HS</v>
          </cell>
          <cell r="F1062" t="str">
            <v>Hawthorne</v>
          </cell>
          <cell r="G1062">
            <v>0</v>
          </cell>
          <cell r="H1062">
            <v>0</v>
          </cell>
          <cell r="I1062">
            <v>3.0950000000000002</v>
          </cell>
          <cell r="J1062">
            <v>1.9836996600000001</v>
          </cell>
          <cell r="K1062">
            <v>2.9836996600000001</v>
          </cell>
          <cell r="L1062">
            <v>0.11117260138240601</v>
          </cell>
          <cell r="M1062">
            <v>3.09487226138241</v>
          </cell>
          <cell r="N1062">
            <v>3.3333333333333298E-2</v>
          </cell>
          <cell r="O1062">
            <v>0</v>
          </cell>
          <cell r="P1062">
            <v>0.82499999999999996</v>
          </cell>
        </row>
        <row r="1063">
          <cell r="A1063">
            <v>603200</v>
          </cell>
          <cell r="B1063">
            <v>8</v>
          </cell>
          <cell r="C1063">
            <v>0</v>
          </cell>
          <cell r="D1063">
            <v>2</v>
          </cell>
          <cell r="E1063" t="str">
            <v>NON-HS</v>
          </cell>
          <cell r="F1063" t="str">
            <v>Gardena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3.3333333333333298E-2</v>
          </cell>
          <cell r="O1063">
            <v>0</v>
          </cell>
          <cell r="P1063">
            <v>0.82499999999999996</v>
          </cell>
        </row>
        <row r="1064">
          <cell r="A1064">
            <v>620201</v>
          </cell>
          <cell r="B1064">
            <v>8</v>
          </cell>
          <cell r="C1064">
            <v>0</v>
          </cell>
          <cell r="D1064">
            <v>4</v>
          </cell>
          <cell r="E1064" t="str">
            <v>NON-HS</v>
          </cell>
          <cell r="F1064" t="str">
            <v>Manhattan Beach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3.3333333333333298E-2</v>
          </cell>
          <cell r="O1064">
            <v>0</v>
          </cell>
          <cell r="P1064">
            <v>0.82499999999999996</v>
          </cell>
        </row>
        <row r="1065">
          <cell r="A1065">
            <v>980005</v>
          </cell>
          <cell r="B1065">
            <v>8</v>
          </cell>
          <cell r="C1065">
            <v>0</v>
          </cell>
          <cell r="D1065">
            <v>4</v>
          </cell>
          <cell r="E1065" t="str">
            <v>NON-HS</v>
          </cell>
          <cell r="F1065" t="str">
            <v>Torrance</v>
          </cell>
          <cell r="G1065">
            <v>0</v>
          </cell>
          <cell r="H1065">
            <v>0</v>
          </cell>
          <cell r="I1065">
            <v>9.1080000000000005</v>
          </cell>
          <cell r="J1065">
            <v>5.0438748599999998</v>
          </cell>
          <cell r="K1065">
            <v>9.0438748600000007</v>
          </cell>
          <cell r="L1065">
            <v>6.4475795278276501E-2</v>
          </cell>
          <cell r="M1065">
            <v>9.1083506552782794</v>
          </cell>
          <cell r="N1065">
            <v>3.3333333333333298E-2</v>
          </cell>
          <cell r="O1065">
            <v>0</v>
          </cell>
          <cell r="P1065">
            <v>0.82499999999999996</v>
          </cell>
        </row>
        <row r="1066">
          <cell r="A1066">
            <v>670407</v>
          </cell>
          <cell r="B1066">
            <v>8</v>
          </cell>
          <cell r="C1066">
            <v>0</v>
          </cell>
          <cell r="D1066">
            <v>4</v>
          </cell>
          <cell r="E1066" t="str">
            <v>NON-HS</v>
          </cell>
          <cell r="F1066" t="str">
            <v>Rancho Palos Verdes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3.3333333333333298E-2</v>
          </cell>
          <cell r="O1066">
            <v>0</v>
          </cell>
          <cell r="P1066">
            <v>0.82499999999999996</v>
          </cell>
        </row>
        <row r="1067">
          <cell r="A1067">
            <v>980030</v>
          </cell>
          <cell r="B1067">
            <v>8</v>
          </cell>
          <cell r="C1067">
            <v>0</v>
          </cell>
          <cell r="D1067">
            <v>4</v>
          </cell>
          <cell r="E1067" t="str">
            <v>NON-HS</v>
          </cell>
          <cell r="F1067" t="str">
            <v>El Segundo</v>
          </cell>
          <cell r="G1067">
            <v>0</v>
          </cell>
          <cell r="H1067">
            <v>0</v>
          </cell>
          <cell r="I1067">
            <v>1.7030000000000001</v>
          </cell>
          <cell r="J1067">
            <v>1.6812916200000001</v>
          </cell>
          <cell r="K1067">
            <v>1.6812916200000001</v>
          </cell>
          <cell r="L1067">
            <v>2.14919317594255E-2</v>
          </cell>
          <cell r="M1067">
            <v>1.7027835517594301</v>
          </cell>
          <cell r="N1067">
            <v>3.3333333333333298E-2</v>
          </cell>
          <cell r="O1067">
            <v>0</v>
          </cell>
          <cell r="P1067">
            <v>0.82499999999999996</v>
          </cell>
        </row>
        <row r="1068">
          <cell r="A1068">
            <v>543304</v>
          </cell>
          <cell r="B1068">
            <v>8</v>
          </cell>
          <cell r="C1068">
            <v>0</v>
          </cell>
          <cell r="D1068">
            <v>2</v>
          </cell>
          <cell r="E1068" t="str">
            <v>NON-HS</v>
          </cell>
          <cell r="F1068" t="str">
            <v>Carson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3.3333333333333298E-2</v>
          </cell>
          <cell r="O1068">
            <v>0</v>
          </cell>
          <cell r="P1068">
            <v>0.82499999999999996</v>
          </cell>
        </row>
        <row r="1069">
          <cell r="A1069">
            <v>670328</v>
          </cell>
          <cell r="B1069">
            <v>8</v>
          </cell>
          <cell r="C1069">
            <v>0</v>
          </cell>
          <cell r="D1069">
            <v>4</v>
          </cell>
          <cell r="E1069" t="str">
            <v>NON-HS</v>
          </cell>
          <cell r="F1069" t="str">
            <v>Palos Verdes Estates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3.3333333333333298E-2</v>
          </cell>
          <cell r="O1069">
            <v>0</v>
          </cell>
          <cell r="P1069">
            <v>0.82499999999999996</v>
          </cell>
        </row>
        <row r="1070">
          <cell r="A1070">
            <v>603801</v>
          </cell>
          <cell r="B1070">
            <v>8</v>
          </cell>
          <cell r="C1070">
            <v>0</v>
          </cell>
          <cell r="D1070">
            <v>2</v>
          </cell>
          <cell r="E1070" t="str">
            <v>NON-HS</v>
          </cell>
          <cell r="F1070" t="str">
            <v>Lawndale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3.3333333333333298E-2</v>
          </cell>
          <cell r="O1070">
            <v>0</v>
          </cell>
          <cell r="P1070">
            <v>0.82499999999999996</v>
          </cell>
        </row>
        <row r="1071">
          <cell r="A1071">
            <v>543321</v>
          </cell>
          <cell r="B1071">
            <v>8</v>
          </cell>
          <cell r="C1071">
            <v>0</v>
          </cell>
          <cell r="D1071">
            <v>2</v>
          </cell>
          <cell r="E1071" t="str">
            <v>NON-HS</v>
          </cell>
          <cell r="F1071" t="str">
            <v>Carson</v>
          </cell>
          <cell r="G1071">
            <v>0</v>
          </cell>
          <cell r="H1071">
            <v>0</v>
          </cell>
          <cell r="I1071">
            <v>10.474</v>
          </cell>
          <cell r="J1071">
            <v>9.9184982999999995</v>
          </cell>
          <cell r="K1071">
            <v>9.9184982999999995</v>
          </cell>
          <cell r="L1071">
            <v>0.55586300691202895</v>
          </cell>
          <cell r="M1071">
            <v>10.474361306912</v>
          </cell>
          <cell r="N1071">
            <v>3.3333333333333298E-2</v>
          </cell>
          <cell r="O1071">
            <v>0</v>
          </cell>
          <cell r="P1071">
            <v>0.82499999999999996</v>
          </cell>
        </row>
        <row r="1072">
          <cell r="A1072">
            <v>603500</v>
          </cell>
          <cell r="B1072">
            <v>8</v>
          </cell>
          <cell r="C1072">
            <v>0</v>
          </cell>
          <cell r="D1072">
            <v>2</v>
          </cell>
          <cell r="E1072" t="str">
            <v>NON-HS</v>
          </cell>
          <cell r="F1072" t="str">
            <v>Gardena</v>
          </cell>
          <cell r="G1072">
            <v>1</v>
          </cell>
          <cell r="H1072">
            <v>1</v>
          </cell>
          <cell r="I1072">
            <v>2</v>
          </cell>
          <cell r="J1072">
            <v>0</v>
          </cell>
          <cell r="K1072">
            <v>2</v>
          </cell>
          <cell r="L1072">
            <v>0</v>
          </cell>
          <cell r="M1072">
            <v>2</v>
          </cell>
          <cell r="N1072">
            <v>3.3333333333333298E-2</v>
          </cell>
          <cell r="O1072">
            <v>30</v>
          </cell>
          <cell r="P1072">
            <v>0.82499999999999996</v>
          </cell>
        </row>
        <row r="1073">
          <cell r="A1073">
            <v>543701</v>
          </cell>
          <cell r="B1073">
            <v>8</v>
          </cell>
          <cell r="C1073">
            <v>0</v>
          </cell>
          <cell r="D1073">
            <v>2</v>
          </cell>
          <cell r="E1073" t="str">
            <v>NON-HS</v>
          </cell>
          <cell r="F1073" t="str">
            <v>Carson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3.3333333333333298E-2</v>
          </cell>
          <cell r="O1073">
            <v>0</v>
          </cell>
          <cell r="P1073">
            <v>0.82499999999999996</v>
          </cell>
        </row>
        <row r="1074">
          <cell r="A1074">
            <v>543802</v>
          </cell>
          <cell r="B1074">
            <v>8</v>
          </cell>
          <cell r="C1074">
            <v>0</v>
          </cell>
          <cell r="D1074">
            <v>2</v>
          </cell>
          <cell r="E1074" t="str">
            <v>NON-HS</v>
          </cell>
          <cell r="F1074" t="str">
            <v>Carson</v>
          </cell>
          <cell r="G1074">
            <v>0</v>
          </cell>
          <cell r="H1074">
            <v>0</v>
          </cell>
          <cell r="I1074">
            <v>2</v>
          </cell>
          <cell r="J1074">
            <v>0</v>
          </cell>
          <cell r="K1074">
            <v>2</v>
          </cell>
          <cell r="L1074">
            <v>0</v>
          </cell>
          <cell r="M1074">
            <v>2</v>
          </cell>
          <cell r="N1074">
            <v>3.3333333333333298E-2</v>
          </cell>
          <cell r="O1074">
            <v>0</v>
          </cell>
          <cell r="P1074">
            <v>0.82499999999999996</v>
          </cell>
        </row>
        <row r="1075">
          <cell r="A1075">
            <v>544002</v>
          </cell>
          <cell r="B1075">
            <v>8</v>
          </cell>
          <cell r="C1075">
            <v>0</v>
          </cell>
          <cell r="D1075">
            <v>4</v>
          </cell>
          <cell r="E1075" t="str">
            <v>NON-HS</v>
          </cell>
          <cell r="F1075" t="str">
            <v>Carson</v>
          </cell>
          <cell r="G1075">
            <v>0</v>
          </cell>
          <cell r="H1075">
            <v>0</v>
          </cell>
          <cell r="I1075">
            <v>1</v>
          </cell>
          <cell r="J1075">
            <v>0</v>
          </cell>
          <cell r="K1075">
            <v>1</v>
          </cell>
          <cell r="L1075">
            <v>0</v>
          </cell>
          <cell r="M1075">
            <v>1</v>
          </cell>
          <cell r="N1075">
            <v>3.3333333333333298E-2</v>
          </cell>
          <cell r="O1075">
            <v>0</v>
          </cell>
          <cell r="P1075">
            <v>0.82499999999999996</v>
          </cell>
        </row>
        <row r="1076">
          <cell r="A1076">
            <v>599100</v>
          </cell>
          <cell r="B1076">
            <v>8</v>
          </cell>
          <cell r="C1076">
            <v>0</v>
          </cell>
          <cell r="D1076">
            <v>4</v>
          </cell>
          <cell r="E1076" t="str">
            <v>NON-HS</v>
          </cell>
          <cell r="F1076" t="str">
            <v>Unincorporated Catalina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3.3333333333333298E-2</v>
          </cell>
          <cell r="O1076">
            <v>0</v>
          </cell>
          <cell r="P1076">
            <v>0.82499999999999996</v>
          </cell>
        </row>
        <row r="1077">
          <cell r="A1077">
            <v>600302</v>
          </cell>
          <cell r="B1077">
            <v>8</v>
          </cell>
          <cell r="C1077">
            <v>0</v>
          </cell>
          <cell r="D1077">
            <v>2</v>
          </cell>
          <cell r="E1077" t="str">
            <v>NON-HS</v>
          </cell>
          <cell r="F1077" t="str">
            <v>Westmont / West Athens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3.3333333333333298E-2</v>
          </cell>
          <cell r="O1077">
            <v>0</v>
          </cell>
          <cell r="P1077">
            <v>0.82499999999999996</v>
          </cell>
        </row>
        <row r="1078">
          <cell r="A1078">
            <v>600501</v>
          </cell>
          <cell r="B1078">
            <v>8</v>
          </cell>
          <cell r="C1078">
            <v>0</v>
          </cell>
          <cell r="D1078">
            <v>2</v>
          </cell>
          <cell r="E1078" t="str">
            <v>NON-HS</v>
          </cell>
          <cell r="F1078" t="str">
            <v>Inglewood</v>
          </cell>
          <cell r="G1078">
            <v>0</v>
          </cell>
          <cell r="H1078">
            <v>0</v>
          </cell>
          <cell r="I1078">
            <v>1</v>
          </cell>
          <cell r="J1078">
            <v>0</v>
          </cell>
          <cell r="K1078">
            <v>1</v>
          </cell>
          <cell r="L1078">
            <v>0</v>
          </cell>
          <cell r="M1078">
            <v>1</v>
          </cell>
          <cell r="N1078">
            <v>3.3333333333333298E-2</v>
          </cell>
          <cell r="O1078">
            <v>0</v>
          </cell>
          <cell r="P1078">
            <v>0.82499999999999996</v>
          </cell>
        </row>
        <row r="1079">
          <cell r="A1079">
            <v>600303</v>
          </cell>
          <cell r="B1079">
            <v>8</v>
          </cell>
          <cell r="C1079">
            <v>0</v>
          </cell>
          <cell r="D1079">
            <v>2</v>
          </cell>
          <cell r="E1079" t="str">
            <v>NON-HS</v>
          </cell>
          <cell r="F1079" t="str">
            <v>Westmont / West Athens</v>
          </cell>
          <cell r="G1079">
            <v>1</v>
          </cell>
          <cell r="H1079">
            <v>1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3.3333333333333298E-2</v>
          </cell>
          <cell r="O1079">
            <v>30</v>
          </cell>
          <cell r="P1079">
            <v>0.82499999999999996</v>
          </cell>
        </row>
        <row r="1080">
          <cell r="A1080">
            <v>602801</v>
          </cell>
          <cell r="B1080">
            <v>8</v>
          </cell>
          <cell r="C1080">
            <v>0</v>
          </cell>
          <cell r="D1080">
            <v>2</v>
          </cell>
          <cell r="E1080" t="str">
            <v>NON-HS</v>
          </cell>
          <cell r="F1080" t="str">
            <v>Westmont / West Athens</v>
          </cell>
          <cell r="G1080">
            <v>0</v>
          </cell>
          <cell r="H1080">
            <v>0</v>
          </cell>
          <cell r="I1080">
            <v>6.0949999999999998</v>
          </cell>
          <cell r="J1080">
            <v>1.9836996600000001</v>
          </cell>
          <cell r="K1080">
            <v>5.9836996600000001</v>
          </cell>
          <cell r="L1080">
            <v>0.11117260138240601</v>
          </cell>
          <cell r="M1080">
            <v>6.0948722613824096</v>
          </cell>
          <cell r="N1080">
            <v>3.3333333333333298E-2</v>
          </cell>
          <cell r="O1080">
            <v>0</v>
          </cell>
          <cell r="P1080">
            <v>0.82499999999999996</v>
          </cell>
        </row>
        <row r="1081">
          <cell r="A1081">
            <v>602506</v>
          </cell>
          <cell r="B1081">
            <v>8</v>
          </cell>
          <cell r="C1081">
            <v>0</v>
          </cell>
          <cell r="D1081">
            <v>2</v>
          </cell>
          <cell r="E1081" t="str">
            <v>NON-HS</v>
          </cell>
          <cell r="F1081" t="str">
            <v>Hawthorne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3.3333333333333298E-2</v>
          </cell>
          <cell r="O1081">
            <v>0</v>
          </cell>
          <cell r="P1081">
            <v>0.82499999999999996</v>
          </cell>
        </row>
        <row r="1082">
          <cell r="A1082">
            <v>600911</v>
          </cell>
          <cell r="B1082">
            <v>8</v>
          </cell>
          <cell r="C1082">
            <v>0</v>
          </cell>
          <cell r="D1082">
            <v>2</v>
          </cell>
          <cell r="E1082" t="str">
            <v>NON-HS</v>
          </cell>
          <cell r="F1082" t="str">
            <v>Inglewood</v>
          </cell>
          <cell r="G1082">
            <v>0</v>
          </cell>
          <cell r="H1082">
            <v>0</v>
          </cell>
          <cell r="I1082">
            <v>1.8080000000000001</v>
          </cell>
          <cell r="J1082">
            <v>1.73313217</v>
          </cell>
          <cell r="K1082">
            <v>1.73313217</v>
          </cell>
          <cell r="L1082">
            <v>7.4985510287253102E-2</v>
          </cell>
          <cell r="M1082">
            <v>1.8081176802872501</v>
          </cell>
          <cell r="N1082">
            <v>3.3333333333333298E-2</v>
          </cell>
          <cell r="O1082">
            <v>0</v>
          </cell>
          <cell r="P1082">
            <v>0.82499999999999996</v>
          </cell>
        </row>
        <row r="1083">
          <cell r="A1083">
            <v>600912</v>
          </cell>
          <cell r="B1083">
            <v>8</v>
          </cell>
          <cell r="C1083">
            <v>0</v>
          </cell>
          <cell r="D1083">
            <v>2</v>
          </cell>
          <cell r="E1083" t="str">
            <v>NON-HS</v>
          </cell>
          <cell r="F1083" t="str">
            <v>Inglewood</v>
          </cell>
          <cell r="G1083">
            <v>0</v>
          </cell>
          <cell r="H1083">
            <v>0</v>
          </cell>
          <cell r="I1083">
            <v>8.1709999999999994</v>
          </cell>
          <cell r="J1083">
            <v>7.4899184500000002</v>
          </cell>
          <cell r="K1083">
            <v>7.4899184500000002</v>
          </cell>
          <cell r="L1083">
            <v>0.68079353484739702</v>
          </cell>
          <cell r="M1083">
            <v>8.1707119848474008</v>
          </cell>
          <cell r="N1083">
            <v>3.3333333333333298E-2</v>
          </cell>
          <cell r="O1083">
            <v>0</v>
          </cell>
          <cell r="P1083">
            <v>0.82499999999999996</v>
          </cell>
        </row>
        <row r="1084">
          <cell r="A1084">
            <v>601301</v>
          </cell>
          <cell r="B1084">
            <v>8</v>
          </cell>
          <cell r="C1084">
            <v>0</v>
          </cell>
          <cell r="D1084">
            <v>2</v>
          </cell>
          <cell r="E1084" t="str">
            <v>NON-HS</v>
          </cell>
          <cell r="F1084" t="str">
            <v>Inglewood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3.3333333333333298E-2</v>
          </cell>
          <cell r="O1084">
            <v>0</v>
          </cell>
          <cell r="P1084">
            <v>0.82499999999999996</v>
          </cell>
        </row>
        <row r="1085">
          <cell r="A1085">
            <v>601303</v>
          </cell>
          <cell r="B1085">
            <v>8</v>
          </cell>
          <cell r="C1085">
            <v>0</v>
          </cell>
          <cell r="D1085">
            <v>2</v>
          </cell>
          <cell r="E1085" t="str">
            <v>NON-HS</v>
          </cell>
          <cell r="F1085" t="str">
            <v>Inglewood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3.3333333333333298E-2</v>
          </cell>
          <cell r="O1085">
            <v>0</v>
          </cell>
          <cell r="P1085">
            <v>0.82499999999999996</v>
          </cell>
        </row>
        <row r="1086">
          <cell r="A1086">
            <v>543905</v>
          </cell>
          <cell r="B1086">
            <v>8</v>
          </cell>
          <cell r="C1086">
            <v>0</v>
          </cell>
          <cell r="D1086">
            <v>2</v>
          </cell>
          <cell r="E1086" t="str">
            <v>NON-HS</v>
          </cell>
          <cell r="F1086" t="str">
            <v>Carson</v>
          </cell>
          <cell r="G1086">
            <v>0</v>
          </cell>
          <cell r="H1086">
            <v>0</v>
          </cell>
          <cell r="I1086">
            <v>9.8490000000000002</v>
          </cell>
          <cell r="J1086">
            <v>9.5102913699999991</v>
          </cell>
          <cell r="K1086">
            <v>9.5102913699999991</v>
          </cell>
          <cell r="L1086">
            <v>0.33858135721723498</v>
          </cell>
          <cell r="M1086">
            <v>9.8488727272172394</v>
          </cell>
          <cell r="N1086">
            <v>3.3333333333333298E-2</v>
          </cell>
          <cell r="O1086">
            <v>0</v>
          </cell>
          <cell r="P1086">
            <v>0.82499999999999996</v>
          </cell>
        </row>
        <row r="1087">
          <cell r="A1087">
            <v>543601</v>
          </cell>
          <cell r="B1087">
            <v>8</v>
          </cell>
          <cell r="C1087">
            <v>0</v>
          </cell>
          <cell r="D1087">
            <v>2</v>
          </cell>
          <cell r="E1087" t="str">
            <v>NON-HS</v>
          </cell>
          <cell r="F1087" t="str">
            <v>Carson</v>
          </cell>
          <cell r="G1087">
            <v>0</v>
          </cell>
          <cell r="H1087">
            <v>0</v>
          </cell>
          <cell r="I1087">
            <v>9.8059999999999992</v>
          </cell>
          <cell r="J1087">
            <v>7.4336636599999997</v>
          </cell>
          <cell r="K1087">
            <v>9.4336636600000006</v>
          </cell>
          <cell r="L1087">
            <v>0.37231622333931802</v>
          </cell>
          <cell r="M1087">
            <v>9.8059798833393206</v>
          </cell>
          <cell r="N1087">
            <v>3.3333333333333298E-2</v>
          </cell>
          <cell r="O1087">
            <v>0</v>
          </cell>
          <cell r="P1087">
            <v>0.82499999999999996</v>
          </cell>
        </row>
        <row r="1088">
          <cell r="A1088">
            <v>601402</v>
          </cell>
          <cell r="B1088">
            <v>8</v>
          </cell>
          <cell r="C1088">
            <v>0</v>
          </cell>
          <cell r="D1088">
            <v>2</v>
          </cell>
          <cell r="E1088" t="str">
            <v>NON-HS</v>
          </cell>
          <cell r="F1088" t="str">
            <v>Inglewood</v>
          </cell>
          <cell r="G1088">
            <v>1</v>
          </cell>
          <cell r="H1088">
            <v>1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3.3333333333333298E-2</v>
          </cell>
          <cell r="O1088">
            <v>30</v>
          </cell>
          <cell r="P1088">
            <v>0.82499999999999996</v>
          </cell>
        </row>
        <row r="1089">
          <cell r="A1089">
            <v>602002</v>
          </cell>
          <cell r="B1089">
            <v>8</v>
          </cell>
          <cell r="C1089">
            <v>0</v>
          </cell>
          <cell r="D1089">
            <v>2</v>
          </cell>
          <cell r="E1089" t="str">
            <v>NON-HS</v>
          </cell>
          <cell r="F1089" t="str">
            <v>Hawthorne</v>
          </cell>
          <cell r="G1089">
            <v>0</v>
          </cell>
          <cell r="H1089">
            <v>0</v>
          </cell>
          <cell r="I1089">
            <v>2.0950000000000002</v>
          </cell>
          <cell r="J1089">
            <v>1.9836996600000001</v>
          </cell>
          <cell r="K1089">
            <v>1.9836996600000001</v>
          </cell>
          <cell r="L1089">
            <v>0.11117260138240601</v>
          </cell>
          <cell r="M1089">
            <v>2.09487226138241</v>
          </cell>
          <cell r="N1089">
            <v>3.3333333333333298E-2</v>
          </cell>
          <cell r="O1089">
            <v>0</v>
          </cell>
          <cell r="P1089">
            <v>0.82499999999999996</v>
          </cell>
        </row>
        <row r="1090">
          <cell r="A1090">
            <v>602106</v>
          </cell>
          <cell r="B1090">
            <v>8</v>
          </cell>
          <cell r="C1090">
            <v>0</v>
          </cell>
          <cell r="D1090">
            <v>2</v>
          </cell>
          <cell r="E1090" t="str">
            <v>NON-HS</v>
          </cell>
          <cell r="F1090" t="str">
            <v>Hawthorne</v>
          </cell>
          <cell r="G1090">
            <v>0</v>
          </cell>
          <cell r="H1090">
            <v>0</v>
          </cell>
          <cell r="I1090">
            <v>4</v>
          </cell>
          <cell r="J1090">
            <v>0</v>
          </cell>
          <cell r="K1090">
            <v>4</v>
          </cell>
          <cell r="L1090">
            <v>0</v>
          </cell>
          <cell r="M1090">
            <v>4</v>
          </cell>
          <cell r="N1090">
            <v>3.3333333333333298E-2</v>
          </cell>
          <cell r="O1090">
            <v>0</v>
          </cell>
          <cell r="P1090">
            <v>0.82499999999999996</v>
          </cell>
        </row>
        <row r="1091">
          <cell r="A1091">
            <v>651201</v>
          </cell>
          <cell r="B1091">
            <v>8</v>
          </cell>
          <cell r="C1091">
            <v>0</v>
          </cell>
          <cell r="D1091">
            <v>4</v>
          </cell>
          <cell r="E1091" t="str">
            <v>NON-HS</v>
          </cell>
          <cell r="F1091" t="str">
            <v>Torrance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3.3333333333333298E-2</v>
          </cell>
          <cell r="O1091">
            <v>0</v>
          </cell>
          <cell r="P1091">
            <v>0.82499999999999996</v>
          </cell>
        </row>
        <row r="1092">
          <cell r="A1092">
            <v>602302</v>
          </cell>
          <cell r="B1092">
            <v>8</v>
          </cell>
          <cell r="C1092">
            <v>0</v>
          </cell>
          <cell r="D1092">
            <v>2</v>
          </cell>
          <cell r="E1092" t="str">
            <v>NON-HS</v>
          </cell>
          <cell r="F1092" t="str">
            <v>Hawthorne</v>
          </cell>
          <cell r="G1092">
            <v>0</v>
          </cell>
          <cell r="H1092">
            <v>0</v>
          </cell>
          <cell r="I1092">
            <v>1.9259999999999999</v>
          </cell>
          <cell r="J1092">
            <v>1.90487994</v>
          </cell>
          <cell r="K1092">
            <v>1.90487994</v>
          </cell>
          <cell r="L1092">
            <v>2.0625322082585301E-2</v>
          </cell>
          <cell r="M1092">
            <v>1.9255052620825901</v>
          </cell>
          <cell r="N1092">
            <v>3.3333333333333298E-2</v>
          </cell>
          <cell r="O1092">
            <v>0</v>
          </cell>
          <cell r="P1092">
            <v>0.82499999999999996</v>
          </cell>
        </row>
        <row r="1093">
          <cell r="A1093">
            <v>602403</v>
          </cell>
          <cell r="B1093">
            <v>8</v>
          </cell>
          <cell r="C1093">
            <v>0</v>
          </cell>
          <cell r="D1093">
            <v>2</v>
          </cell>
          <cell r="E1093" t="str">
            <v>NON-HS</v>
          </cell>
          <cell r="F1093" t="str">
            <v>Hawthorne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3.3333333333333298E-2</v>
          </cell>
          <cell r="O1093">
            <v>0</v>
          </cell>
          <cell r="P1093">
            <v>0.82499999999999996</v>
          </cell>
        </row>
        <row r="1094">
          <cell r="A1094">
            <v>602504</v>
          </cell>
          <cell r="B1094">
            <v>8</v>
          </cell>
          <cell r="C1094">
            <v>0</v>
          </cell>
          <cell r="D1094">
            <v>2</v>
          </cell>
          <cell r="E1094" t="str">
            <v>NON-HS</v>
          </cell>
          <cell r="F1094" t="str">
            <v>Hawthorne</v>
          </cell>
          <cell r="G1094">
            <v>0</v>
          </cell>
          <cell r="H1094">
            <v>0</v>
          </cell>
          <cell r="I1094">
            <v>4.1900000000000004</v>
          </cell>
          <cell r="J1094">
            <v>3.9673993200000002</v>
          </cell>
          <cell r="K1094">
            <v>3.9673993200000002</v>
          </cell>
          <cell r="L1094">
            <v>0.22234520276481101</v>
          </cell>
          <cell r="M1094">
            <v>4.1897445227648102</v>
          </cell>
          <cell r="N1094">
            <v>3.3333333333333298E-2</v>
          </cell>
          <cell r="O1094">
            <v>0</v>
          </cell>
          <cell r="P1094">
            <v>0.82499999999999996</v>
          </cell>
        </row>
        <row r="1095">
          <cell r="A1095">
            <v>602507</v>
          </cell>
          <cell r="B1095">
            <v>8</v>
          </cell>
          <cell r="C1095">
            <v>0</v>
          </cell>
          <cell r="D1095">
            <v>2</v>
          </cell>
          <cell r="E1095" t="str">
            <v>NON-HS</v>
          </cell>
          <cell r="F1095" t="str">
            <v>Hawthorne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3.3333333333333298E-2</v>
          </cell>
          <cell r="O1095">
            <v>0</v>
          </cell>
          <cell r="P1095">
            <v>0.82499999999999996</v>
          </cell>
        </row>
        <row r="1096">
          <cell r="A1096">
            <v>602003</v>
          </cell>
          <cell r="B1096">
            <v>8</v>
          </cell>
          <cell r="C1096">
            <v>0</v>
          </cell>
          <cell r="D1096">
            <v>2</v>
          </cell>
          <cell r="E1096" t="str">
            <v>NON-HS</v>
          </cell>
          <cell r="F1096" t="str">
            <v>Inglewood</v>
          </cell>
          <cell r="G1096">
            <v>0</v>
          </cell>
          <cell r="H1096">
            <v>0</v>
          </cell>
          <cell r="I1096">
            <v>1.9259999999999999</v>
          </cell>
          <cell r="J1096">
            <v>1.90487994</v>
          </cell>
          <cell r="K1096">
            <v>1.90487994</v>
          </cell>
          <cell r="L1096">
            <v>2.0625322082585301E-2</v>
          </cell>
          <cell r="M1096">
            <v>1.9255052620825901</v>
          </cell>
          <cell r="N1096">
            <v>3.3333333333333298E-2</v>
          </cell>
          <cell r="O1096">
            <v>0</v>
          </cell>
          <cell r="P1096">
            <v>0.82499999999999996</v>
          </cell>
        </row>
        <row r="1097">
          <cell r="A1097">
            <v>602508</v>
          </cell>
          <cell r="B1097">
            <v>8</v>
          </cell>
          <cell r="C1097">
            <v>0</v>
          </cell>
          <cell r="D1097">
            <v>2</v>
          </cell>
          <cell r="E1097" t="str">
            <v>NON-HS</v>
          </cell>
          <cell r="F1097" t="str">
            <v>Hawthorne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3.3333333333333298E-2</v>
          </cell>
          <cell r="O1097">
            <v>0</v>
          </cell>
          <cell r="P1097">
            <v>0.82499999999999996</v>
          </cell>
        </row>
        <row r="1098">
          <cell r="A1098">
            <v>650605</v>
          </cell>
          <cell r="B1098">
            <v>8</v>
          </cell>
          <cell r="C1098">
            <v>0</v>
          </cell>
          <cell r="D1098">
            <v>4</v>
          </cell>
          <cell r="E1098" t="str">
            <v>NON-HS</v>
          </cell>
          <cell r="F1098" t="str">
            <v>Torrance</v>
          </cell>
          <cell r="G1098">
            <v>0</v>
          </cell>
          <cell r="H1098">
            <v>0</v>
          </cell>
          <cell r="I1098">
            <v>1.8080000000000001</v>
          </cell>
          <cell r="J1098">
            <v>1.73313217</v>
          </cell>
          <cell r="K1098">
            <v>1.73313217</v>
          </cell>
          <cell r="L1098">
            <v>7.4985510287253102E-2</v>
          </cell>
          <cell r="M1098">
            <v>1.8081176802872501</v>
          </cell>
          <cell r="N1098">
            <v>3.3333333333333298E-2</v>
          </cell>
          <cell r="O1098">
            <v>0</v>
          </cell>
          <cell r="P1098">
            <v>0.82499999999999996</v>
          </cell>
        </row>
        <row r="1099">
          <cell r="A1099">
            <v>603001</v>
          </cell>
          <cell r="B1099">
            <v>8</v>
          </cell>
          <cell r="C1099">
            <v>0</v>
          </cell>
          <cell r="D1099">
            <v>2</v>
          </cell>
          <cell r="E1099" t="str">
            <v>NON-HS</v>
          </cell>
          <cell r="F1099" t="str">
            <v>Gardena</v>
          </cell>
          <cell r="G1099">
            <v>0</v>
          </cell>
          <cell r="H1099">
            <v>0</v>
          </cell>
          <cell r="I1099">
            <v>3.9260000000000002</v>
          </cell>
          <cell r="J1099">
            <v>1.90487994</v>
          </cell>
          <cell r="K1099">
            <v>3.9048799399999998</v>
          </cell>
          <cell r="L1099">
            <v>2.0625322082585301E-2</v>
          </cell>
          <cell r="M1099">
            <v>3.9255052620825901</v>
          </cell>
          <cell r="N1099">
            <v>3.3333333333333298E-2</v>
          </cell>
          <cell r="O1099">
            <v>0</v>
          </cell>
          <cell r="P1099">
            <v>0.82499999999999996</v>
          </cell>
        </row>
        <row r="1100">
          <cell r="A1100">
            <v>602802</v>
          </cell>
          <cell r="B1100">
            <v>8</v>
          </cell>
          <cell r="C1100">
            <v>0</v>
          </cell>
          <cell r="D1100">
            <v>2</v>
          </cell>
          <cell r="E1100" t="str">
            <v>NON-HS</v>
          </cell>
          <cell r="F1100" t="str">
            <v>Westmont / West Athens</v>
          </cell>
          <cell r="G1100">
            <v>0</v>
          </cell>
          <cell r="H1100">
            <v>0</v>
          </cell>
          <cell r="I1100">
            <v>1</v>
          </cell>
          <cell r="J1100">
            <v>0</v>
          </cell>
          <cell r="K1100">
            <v>1</v>
          </cell>
          <cell r="L1100">
            <v>0</v>
          </cell>
          <cell r="M1100">
            <v>1</v>
          </cell>
          <cell r="N1100">
            <v>3.3333333333333298E-2</v>
          </cell>
          <cell r="O1100">
            <v>0</v>
          </cell>
          <cell r="P1100">
            <v>0.82499999999999996</v>
          </cell>
        </row>
        <row r="1101">
          <cell r="A1101">
            <v>602900</v>
          </cell>
          <cell r="B1101">
            <v>8</v>
          </cell>
          <cell r="C1101">
            <v>0</v>
          </cell>
          <cell r="D1101">
            <v>2</v>
          </cell>
          <cell r="E1101" t="str">
            <v>NON-HS</v>
          </cell>
          <cell r="F1101" t="str">
            <v>Gardena</v>
          </cell>
          <cell r="G1101">
            <v>0</v>
          </cell>
          <cell r="H1101">
            <v>0</v>
          </cell>
          <cell r="I1101">
            <v>10.093</v>
          </cell>
          <cell r="J1101">
            <v>7.6842311499999996</v>
          </cell>
          <cell r="K1101">
            <v>9.6842311500000005</v>
          </cell>
          <cell r="L1101">
            <v>0.40850331443447002</v>
          </cell>
          <cell r="M1101">
            <v>10.0927344644345</v>
          </cell>
          <cell r="N1101">
            <v>3.3333333333333298E-2</v>
          </cell>
          <cell r="O1101">
            <v>0</v>
          </cell>
          <cell r="P1101">
            <v>0.82499999999999996</v>
          </cell>
        </row>
        <row r="1102">
          <cell r="A1102">
            <v>603004</v>
          </cell>
          <cell r="B1102">
            <v>8</v>
          </cell>
          <cell r="C1102">
            <v>0</v>
          </cell>
          <cell r="D1102">
            <v>2</v>
          </cell>
          <cell r="E1102" t="str">
            <v>NON-HS</v>
          </cell>
          <cell r="F1102" t="str">
            <v>Gardena</v>
          </cell>
          <cell r="G1102">
            <v>0</v>
          </cell>
          <cell r="H1102">
            <v>0</v>
          </cell>
          <cell r="I1102">
            <v>4</v>
          </cell>
          <cell r="J1102">
            <v>0</v>
          </cell>
          <cell r="K1102">
            <v>4</v>
          </cell>
          <cell r="L1102">
            <v>0</v>
          </cell>
          <cell r="M1102">
            <v>4</v>
          </cell>
          <cell r="N1102">
            <v>3.3333333333333298E-2</v>
          </cell>
          <cell r="O1102">
            <v>0</v>
          </cell>
          <cell r="P1102">
            <v>0.82499999999999996</v>
          </cell>
        </row>
        <row r="1103">
          <cell r="A1103">
            <v>603005</v>
          </cell>
          <cell r="B1103">
            <v>8</v>
          </cell>
          <cell r="C1103">
            <v>0</v>
          </cell>
          <cell r="D1103">
            <v>2</v>
          </cell>
          <cell r="E1103" t="str">
            <v>NON-HS</v>
          </cell>
          <cell r="F1103" t="str">
            <v>Gardena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3.3333333333333298E-2</v>
          </cell>
          <cell r="O1103">
            <v>0</v>
          </cell>
          <cell r="P1103">
            <v>0.82499999999999996</v>
          </cell>
        </row>
        <row r="1104">
          <cell r="A1104">
            <v>603102</v>
          </cell>
          <cell r="B1104">
            <v>8</v>
          </cell>
          <cell r="C1104">
            <v>0</v>
          </cell>
          <cell r="D1104">
            <v>2</v>
          </cell>
          <cell r="E1104" t="str">
            <v>NON-HS</v>
          </cell>
          <cell r="F1104" t="str">
            <v>Gardena</v>
          </cell>
          <cell r="G1104">
            <v>0</v>
          </cell>
          <cell r="H1104">
            <v>0</v>
          </cell>
          <cell r="I1104">
            <v>2</v>
          </cell>
          <cell r="J1104">
            <v>0</v>
          </cell>
          <cell r="K1104">
            <v>2</v>
          </cell>
          <cell r="L1104">
            <v>0</v>
          </cell>
          <cell r="M1104">
            <v>2</v>
          </cell>
          <cell r="N1104">
            <v>3.3333333333333298E-2</v>
          </cell>
          <cell r="O1104">
            <v>0</v>
          </cell>
          <cell r="P1104">
            <v>0.82499999999999996</v>
          </cell>
        </row>
        <row r="1105">
          <cell r="A1105">
            <v>603302</v>
          </cell>
          <cell r="B1105">
            <v>8</v>
          </cell>
          <cell r="C1105">
            <v>0</v>
          </cell>
          <cell r="D1105">
            <v>2</v>
          </cell>
          <cell r="E1105" t="str">
            <v>NON-HS</v>
          </cell>
          <cell r="F1105" t="str">
            <v>Gardena</v>
          </cell>
          <cell r="G1105">
            <v>0</v>
          </cell>
          <cell r="H1105">
            <v>0</v>
          </cell>
          <cell r="I1105">
            <v>8.3789999999999996</v>
          </cell>
          <cell r="J1105">
            <v>7.9347986400000003</v>
          </cell>
          <cell r="K1105">
            <v>7.9347986400000003</v>
          </cell>
          <cell r="L1105">
            <v>0.44469040552962302</v>
          </cell>
          <cell r="M1105">
            <v>8.3794890455296205</v>
          </cell>
          <cell r="N1105">
            <v>3.3333333333333298E-2</v>
          </cell>
          <cell r="O1105">
            <v>0</v>
          </cell>
          <cell r="P1105">
            <v>0.82499999999999996</v>
          </cell>
        </row>
        <row r="1106">
          <cell r="A1106">
            <v>670702</v>
          </cell>
          <cell r="B1106">
            <v>8</v>
          </cell>
          <cell r="C1106">
            <v>0</v>
          </cell>
          <cell r="D1106">
            <v>4</v>
          </cell>
          <cell r="E1106" t="str">
            <v>NON-HS</v>
          </cell>
          <cell r="F1106" t="str">
            <v>Rancho Palos Verdes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3.3333333333333298E-2</v>
          </cell>
          <cell r="O1106">
            <v>0</v>
          </cell>
          <cell r="P1106">
            <v>0.82499999999999996</v>
          </cell>
        </row>
        <row r="1107">
          <cell r="A1107">
            <v>603400</v>
          </cell>
          <cell r="B1107">
            <v>8</v>
          </cell>
          <cell r="C1107">
            <v>0</v>
          </cell>
          <cell r="D1107">
            <v>2</v>
          </cell>
          <cell r="E1107" t="str">
            <v>NON-HS</v>
          </cell>
          <cell r="F1107" t="str">
            <v>Gardena</v>
          </cell>
          <cell r="G1107">
            <v>0</v>
          </cell>
          <cell r="H1107">
            <v>0</v>
          </cell>
          <cell r="I1107">
            <v>2.0950000000000002</v>
          </cell>
          <cell r="J1107">
            <v>1.9836996600000001</v>
          </cell>
          <cell r="K1107">
            <v>1.9836996600000001</v>
          </cell>
          <cell r="L1107">
            <v>0.11117260138240601</v>
          </cell>
          <cell r="M1107">
            <v>2.09487226138241</v>
          </cell>
          <cell r="N1107">
            <v>3.3333333333333298E-2</v>
          </cell>
          <cell r="O1107">
            <v>0</v>
          </cell>
          <cell r="P1107">
            <v>0.82499999999999996</v>
          </cell>
        </row>
        <row r="1108">
          <cell r="A1108">
            <v>603702</v>
          </cell>
          <cell r="B1108">
            <v>8</v>
          </cell>
          <cell r="C1108">
            <v>0</v>
          </cell>
          <cell r="D1108">
            <v>2</v>
          </cell>
          <cell r="E1108" t="str">
            <v>NON-HS</v>
          </cell>
          <cell r="F1108" t="str">
            <v>Alondra Park</v>
          </cell>
          <cell r="G1108">
            <v>0</v>
          </cell>
          <cell r="H1108">
            <v>0</v>
          </cell>
          <cell r="I1108">
            <v>10.904999999999999</v>
          </cell>
          <cell r="J1108">
            <v>8.4482643599999996</v>
          </cell>
          <cell r="K1108">
            <v>10.44826436</v>
          </cell>
          <cell r="L1108">
            <v>0.45619386750448798</v>
          </cell>
          <cell r="M1108">
            <v>10.904458227504501</v>
          </cell>
          <cell r="N1108">
            <v>3.3333333333333298E-2</v>
          </cell>
          <cell r="O1108">
            <v>0</v>
          </cell>
          <cell r="P1108">
            <v>0.82499999999999996</v>
          </cell>
        </row>
        <row r="1109">
          <cell r="A1109">
            <v>603703</v>
          </cell>
          <cell r="B1109">
            <v>8</v>
          </cell>
          <cell r="C1109">
            <v>0</v>
          </cell>
          <cell r="D1109">
            <v>2</v>
          </cell>
          <cell r="E1109" t="str">
            <v>NON-HS</v>
          </cell>
          <cell r="F1109" t="str">
            <v>Hawthorne</v>
          </cell>
          <cell r="G1109">
            <v>0</v>
          </cell>
          <cell r="H1109">
            <v>0</v>
          </cell>
          <cell r="I1109">
            <v>3.0950000000000002</v>
          </cell>
          <cell r="J1109">
            <v>1.9836996600000001</v>
          </cell>
          <cell r="K1109">
            <v>2.9836996600000001</v>
          </cell>
          <cell r="L1109">
            <v>0.11117260138240601</v>
          </cell>
          <cell r="M1109">
            <v>3.09487226138241</v>
          </cell>
          <cell r="N1109">
            <v>3.3333333333333298E-2</v>
          </cell>
          <cell r="O1109">
            <v>0</v>
          </cell>
          <cell r="P1109">
            <v>0.82499999999999996</v>
          </cell>
        </row>
        <row r="1110">
          <cell r="A1110">
            <v>603704</v>
          </cell>
          <cell r="B1110">
            <v>8</v>
          </cell>
          <cell r="C1110">
            <v>0</v>
          </cell>
          <cell r="D1110">
            <v>2</v>
          </cell>
          <cell r="E1110" t="str">
            <v>NON-HS</v>
          </cell>
          <cell r="F1110" t="str">
            <v>Alondra Park</v>
          </cell>
          <cell r="G1110">
            <v>0</v>
          </cell>
          <cell r="H1110">
            <v>0</v>
          </cell>
          <cell r="I1110">
            <v>4</v>
          </cell>
          <cell r="J1110">
            <v>0</v>
          </cell>
          <cell r="K1110">
            <v>4</v>
          </cell>
          <cell r="L1110">
            <v>0</v>
          </cell>
          <cell r="M1110">
            <v>4</v>
          </cell>
          <cell r="N1110">
            <v>3.3333333333333298E-2</v>
          </cell>
          <cell r="O1110">
            <v>0</v>
          </cell>
          <cell r="P1110">
            <v>0.82499999999999996</v>
          </cell>
        </row>
        <row r="1111">
          <cell r="A1111">
            <v>604002</v>
          </cell>
          <cell r="B1111">
            <v>8</v>
          </cell>
          <cell r="C1111">
            <v>0</v>
          </cell>
          <cell r="D1111">
            <v>2</v>
          </cell>
          <cell r="E1111" t="str">
            <v>NON-HS</v>
          </cell>
          <cell r="F1111" t="str">
            <v>Lawndale</v>
          </cell>
          <cell r="G1111">
            <v>0</v>
          </cell>
          <cell r="H1111">
            <v>0</v>
          </cell>
          <cell r="I1111">
            <v>4.0949999999999998</v>
          </cell>
          <cell r="J1111">
            <v>1.9836996600000001</v>
          </cell>
          <cell r="K1111">
            <v>3.9836996600000001</v>
          </cell>
          <cell r="L1111">
            <v>0.11117260138240601</v>
          </cell>
          <cell r="M1111">
            <v>4.0948722613824096</v>
          </cell>
          <cell r="N1111">
            <v>3.3333333333333298E-2</v>
          </cell>
          <cell r="O1111">
            <v>0</v>
          </cell>
          <cell r="P1111">
            <v>0.82499999999999996</v>
          </cell>
        </row>
        <row r="1112">
          <cell r="A1112">
            <v>620001</v>
          </cell>
          <cell r="B1112">
            <v>8</v>
          </cell>
          <cell r="C1112">
            <v>0</v>
          </cell>
          <cell r="D1112">
            <v>4</v>
          </cell>
          <cell r="E1112" t="str">
            <v>NON-HS</v>
          </cell>
          <cell r="F1112" t="str">
            <v>El Segundo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3.3333333333333298E-2</v>
          </cell>
          <cell r="O1112">
            <v>0</v>
          </cell>
          <cell r="P1112">
            <v>0.82499999999999996</v>
          </cell>
        </row>
        <row r="1113">
          <cell r="A1113">
            <v>620101</v>
          </cell>
          <cell r="B1113">
            <v>8</v>
          </cell>
          <cell r="C1113">
            <v>0</v>
          </cell>
          <cell r="D1113">
            <v>4</v>
          </cell>
          <cell r="E1113" t="str">
            <v>NON-HS</v>
          </cell>
          <cell r="F1113" t="str">
            <v>El Segundo</v>
          </cell>
          <cell r="G1113">
            <v>0</v>
          </cell>
          <cell r="H1113">
            <v>0</v>
          </cell>
          <cell r="I1113">
            <v>1.8080000000000001</v>
          </cell>
          <cell r="J1113">
            <v>1.73313217</v>
          </cell>
          <cell r="K1113">
            <v>1.73313217</v>
          </cell>
          <cell r="L1113">
            <v>7.4985510287253102E-2</v>
          </cell>
          <cell r="M1113">
            <v>1.8081176802872501</v>
          </cell>
          <cell r="N1113">
            <v>3.3333333333333298E-2</v>
          </cell>
          <cell r="O1113">
            <v>0</v>
          </cell>
          <cell r="P1113">
            <v>0.82499999999999996</v>
          </cell>
        </row>
        <row r="1114">
          <cell r="A1114">
            <v>620301</v>
          </cell>
          <cell r="B1114">
            <v>8</v>
          </cell>
          <cell r="C1114">
            <v>0</v>
          </cell>
          <cell r="D1114">
            <v>4</v>
          </cell>
          <cell r="E1114" t="str">
            <v>NON-HS</v>
          </cell>
          <cell r="F1114" t="str">
            <v>Manhattan Beach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3.3333333333333298E-2</v>
          </cell>
          <cell r="O1114">
            <v>0</v>
          </cell>
          <cell r="P1114">
            <v>0.82499999999999996</v>
          </cell>
        </row>
        <row r="1115">
          <cell r="A1115">
            <v>620102</v>
          </cell>
          <cell r="B1115">
            <v>8</v>
          </cell>
          <cell r="C1115">
            <v>0</v>
          </cell>
          <cell r="D1115">
            <v>4</v>
          </cell>
          <cell r="E1115" t="str">
            <v>NON-HS</v>
          </cell>
          <cell r="F1115" t="str">
            <v>El Segundo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3.3333333333333298E-2</v>
          </cell>
          <cell r="O1115">
            <v>0</v>
          </cell>
          <cell r="P1115">
            <v>0.82499999999999996</v>
          </cell>
        </row>
        <row r="1116">
          <cell r="A1116">
            <v>620400</v>
          </cell>
          <cell r="B1116">
            <v>8</v>
          </cell>
          <cell r="C1116">
            <v>0</v>
          </cell>
          <cell r="D1116">
            <v>4</v>
          </cell>
          <cell r="E1116" t="str">
            <v>NON-HS</v>
          </cell>
          <cell r="F1116" t="str">
            <v>Manhattan Beach</v>
          </cell>
          <cell r="G1116">
            <v>0</v>
          </cell>
          <cell r="H1116">
            <v>0</v>
          </cell>
          <cell r="I1116">
            <v>5.3250000000000002</v>
          </cell>
          <cell r="J1116">
            <v>5.07720868</v>
          </cell>
          <cell r="K1116">
            <v>5.07720868</v>
          </cell>
          <cell r="L1116">
            <v>0.24706283850987401</v>
          </cell>
          <cell r="M1116">
            <v>5.3242715185098701</v>
          </cell>
          <cell r="N1116">
            <v>3.3333333333333298E-2</v>
          </cell>
          <cell r="O1116">
            <v>0</v>
          </cell>
          <cell r="P1116">
            <v>0.82499999999999996</v>
          </cell>
        </row>
        <row r="1117">
          <cell r="A1117">
            <v>620522</v>
          </cell>
          <cell r="B1117">
            <v>8</v>
          </cell>
          <cell r="C1117">
            <v>0</v>
          </cell>
          <cell r="D1117">
            <v>4</v>
          </cell>
          <cell r="E1117" t="str">
            <v>NON-HS</v>
          </cell>
          <cell r="F1117" t="str">
            <v>Redondo Beach</v>
          </cell>
          <cell r="G1117">
            <v>0</v>
          </cell>
          <cell r="H1117">
            <v>0</v>
          </cell>
          <cell r="I1117">
            <v>8.19</v>
          </cell>
          <cell r="J1117">
            <v>3.9673993200000002</v>
          </cell>
          <cell r="K1117">
            <v>7.9673993200000002</v>
          </cell>
          <cell r="L1117">
            <v>0.22234520276481101</v>
          </cell>
          <cell r="M1117">
            <v>8.1897445227648102</v>
          </cell>
          <cell r="N1117">
            <v>3.3333333333333298E-2</v>
          </cell>
          <cell r="O1117">
            <v>0</v>
          </cell>
          <cell r="P1117">
            <v>0.82499999999999996</v>
          </cell>
        </row>
        <row r="1118">
          <cell r="A1118">
            <v>620901</v>
          </cell>
          <cell r="B1118">
            <v>8</v>
          </cell>
          <cell r="C1118">
            <v>0</v>
          </cell>
          <cell r="D1118">
            <v>4</v>
          </cell>
          <cell r="E1118" t="str">
            <v>NON-HS</v>
          </cell>
          <cell r="F1118" t="str">
            <v>Manhattan Beach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3.3333333333333298E-2</v>
          </cell>
          <cell r="O1118">
            <v>0</v>
          </cell>
          <cell r="P1118">
            <v>0.82499999999999996</v>
          </cell>
        </row>
        <row r="1119">
          <cell r="A1119">
            <v>620904</v>
          </cell>
          <cell r="B1119">
            <v>8</v>
          </cell>
          <cell r="C1119">
            <v>0</v>
          </cell>
          <cell r="D1119">
            <v>4</v>
          </cell>
          <cell r="E1119" t="str">
            <v>NON-HS</v>
          </cell>
          <cell r="F1119" t="str">
            <v>Manhattan Beach</v>
          </cell>
          <cell r="G1119">
            <v>1</v>
          </cell>
          <cell r="H1119">
            <v>1</v>
          </cell>
          <cell r="I1119">
            <v>1</v>
          </cell>
          <cell r="J1119">
            <v>0</v>
          </cell>
          <cell r="K1119">
            <v>1</v>
          </cell>
          <cell r="L1119">
            <v>0</v>
          </cell>
          <cell r="M1119">
            <v>1</v>
          </cell>
          <cell r="N1119">
            <v>3.3333333333333298E-2</v>
          </cell>
          <cell r="O1119">
            <v>30</v>
          </cell>
          <cell r="P1119">
            <v>0.82499999999999996</v>
          </cell>
        </row>
        <row r="1120">
          <cell r="A1120">
            <v>621001</v>
          </cell>
          <cell r="B1120">
            <v>8</v>
          </cell>
          <cell r="C1120">
            <v>0</v>
          </cell>
          <cell r="D1120">
            <v>4</v>
          </cell>
          <cell r="E1120" t="str">
            <v>NON-HS</v>
          </cell>
          <cell r="F1120" t="str">
            <v>Hermosa Beach</v>
          </cell>
          <cell r="G1120">
            <v>0</v>
          </cell>
          <cell r="H1120">
            <v>0</v>
          </cell>
          <cell r="I1120">
            <v>1</v>
          </cell>
          <cell r="J1120">
            <v>0</v>
          </cell>
          <cell r="K1120">
            <v>1</v>
          </cell>
          <cell r="L1120">
            <v>0</v>
          </cell>
          <cell r="M1120">
            <v>1</v>
          </cell>
          <cell r="N1120">
            <v>3.3333333333333298E-2</v>
          </cell>
          <cell r="O1120">
            <v>0</v>
          </cell>
          <cell r="P1120">
            <v>0.82499999999999996</v>
          </cell>
        </row>
        <row r="1121">
          <cell r="A1121">
            <v>650001</v>
          </cell>
          <cell r="B1121">
            <v>8</v>
          </cell>
          <cell r="C1121">
            <v>0</v>
          </cell>
          <cell r="D1121">
            <v>4</v>
          </cell>
          <cell r="E1121" t="str">
            <v>NON-HS</v>
          </cell>
          <cell r="F1121" t="str">
            <v>Torrance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3.3333333333333298E-2</v>
          </cell>
          <cell r="O1121">
            <v>0</v>
          </cell>
          <cell r="P1121">
            <v>0.82499999999999996</v>
          </cell>
        </row>
        <row r="1122">
          <cell r="A1122">
            <v>621102</v>
          </cell>
          <cell r="B1122">
            <v>8</v>
          </cell>
          <cell r="C1122">
            <v>0</v>
          </cell>
          <cell r="D1122">
            <v>4</v>
          </cell>
          <cell r="E1122" t="str">
            <v>NON-HS</v>
          </cell>
          <cell r="F1122" t="str">
            <v>Hermosa Beach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3.3333333333333298E-2</v>
          </cell>
          <cell r="O1122">
            <v>0</v>
          </cell>
          <cell r="P1122">
            <v>0.82499999999999996</v>
          </cell>
        </row>
        <row r="1123">
          <cell r="A1123">
            <v>620701</v>
          </cell>
          <cell r="B1123">
            <v>8</v>
          </cell>
          <cell r="C1123">
            <v>0</v>
          </cell>
          <cell r="D1123">
            <v>4</v>
          </cell>
          <cell r="E1123" t="str">
            <v>NON-HS</v>
          </cell>
          <cell r="F1123" t="str">
            <v>Redondo Beach</v>
          </cell>
          <cell r="G1123">
            <v>0</v>
          </cell>
          <cell r="H1123">
            <v>0</v>
          </cell>
          <cell r="I1123">
            <v>9.9979999999999993</v>
          </cell>
          <cell r="J1123">
            <v>5.7005314900000004</v>
          </cell>
          <cell r="K1123">
            <v>9.7005314899999995</v>
          </cell>
          <cell r="L1123">
            <v>0.29733071305206499</v>
          </cell>
          <cell r="M1123">
            <v>9.9978622030520601</v>
          </cell>
          <cell r="N1123">
            <v>3.3333333333333298E-2</v>
          </cell>
          <cell r="O1123">
            <v>0</v>
          </cell>
          <cell r="P1123">
            <v>0.82499999999999996</v>
          </cell>
        </row>
        <row r="1124">
          <cell r="A1124">
            <v>620303</v>
          </cell>
          <cell r="B1124">
            <v>8</v>
          </cell>
          <cell r="C1124">
            <v>0</v>
          </cell>
          <cell r="D1124">
            <v>4</v>
          </cell>
          <cell r="E1124" t="str">
            <v>NON-HS</v>
          </cell>
          <cell r="F1124" t="str">
            <v>Manhattan Beach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3.3333333333333298E-2</v>
          </cell>
          <cell r="O1124">
            <v>0</v>
          </cell>
          <cell r="P1124">
            <v>0.82499999999999996</v>
          </cell>
        </row>
        <row r="1125">
          <cell r="A1125">
            <v>650003</v>
          </cell>
          <cell r="B1125">
            <v>8</v>
          </cell>
          <cell r="C1125">
            <v>0</v>
          </cell>
          <cell r="D1125">
            <v>4</v>
          </cell>
          <cell r="E1125" t="str">
            <v>NON-HS</v>
          </cell>
          <cell r="F1125" t="str">
            <v>Torrance</v>
          </cell>
          <cell r="G1125">
            <v>0</v>
          </cell>
          <cell r="H1125">
            <v>0</v>
          </cell>
          <cell r="I1125">
            <v>2</v>
          </cell>
          <cell r="J1125">
            <v>0</v>
          </cell>
          <cell r="K1125">
            <v>2</v>
          </cell>
          <cell r="L1125">
            <v>0</v>
          </cell>
          <cell r="M1125">
            <v>2</v>
          </cell>
          <cell r="N1125">
            <v>3.3333333333333298E-2</v>
          </cell>
          <cell r="O1125">
            <v>0</v>
          </cell>
          <cell r="P1125">
            <v>0.82499999999999996</v>
          </cell>
        </row>
        <row r="1126">
          <cell r="A1126">
            <v>650101</v>
          </cell>
          <cell r="B1126">
            <v>8</v>
          </cell>
          <cell r="C1126">
            <v>0</v>
          </cell>
          <cell r="D1126">
            <v>4</v>
          </cell>
          <cell r="E1126" t="str">
            <v>NON-HS</v>
          </cell>
          <cell r="F1126" t="str">
            <v>Torrance</v>
          </cell>
          <cell r="G1126">
            <v>0</v>
          </cell>
          <cell r="H1126">
            <v>0</v>
          </cell>
          <cell r="I1126">
            <v>7.42</v>
          </cell>
          <cell r="J1126">
            <v>7.0609083400000001</v>
          </cell>
          <cell r="K1126">
            <v>7.0609083400000001</v>
          </cell>
          <cell r="L1126">
            <v>0.35823543989228002</v>
          </cell>
          <cell r="M1126">
            <v>7.4191437798922797</v>
          </cell>
          <cell r="N1126">
            <v>3.3333333333333298E-2</v>
          </cell>
          <cell r="O1126">
            <v>0</v>
          </cell>
          <cell r="P1126">
            <v>0.82499999999999996</v>
          </cell>
        </row>
        <row r="1127">
          <cell r="A1127">
            <v>650102</v>
          </cell>
          <cell r="B1127">
            <v>8</v>
          </cell>
          <cell r="C1127">
            <v>0</v>
          </cell>
          <cell r="D1127">
            <v>4</v>
          </cell>
          <cell r="E1127" t="str">
            <v>NON-HS</v>
          </cell>
          <cell r="F1127" t="str">
            <v>Torrance</v>
          </cell>
          <cell r="G1127">
            <v>0</v>
          </cell>
          <cell r="H1127">
            <v>0</v>
          </cell>
          <cell r="I1127">
            <v>4.4059999999999997</v>
          </cell>
          <cell r="J1127">
            <v>3.3625832400000002</v>
          </cell>
          <cell r="K1127">
            <v>4.3625832400000002</v>
          </cell>
          <cell r="L1127">
            <v>4.2983863518851001E-2</v>
          </cell>
          <cell r="M1127">
            <v>4.4055671035188499</v>
          </cell>
          <cell r="N1127">
            <v>3.3333333333333298E-2</v>
          </cell>
          <cell r="O1127">
            <v>0</v>
          </cell>
          <cell r="P1127">
            <v>0.82499999999999996</v>
          </cell>
        </row>
        <row r="1128">
          <cell r="A1128">
            <v>650501</v>
          </cell>
          <cell r="B1128">
            <v>8</v>
          </cell>
          <cell r="C1128">
            <v>0</v>
          </cell>
          <cell r="D1128">
            <v>4</v>
          </cell>
          <cell r="E1128" t="str">
            <v>NON-HS</v>
          </cell>
          <cell r="F1128" t="str">
            <v>Torrance</v>
          </cell>
          <cell r="G1128">
            <v>0</v>
          </cell>
          <cell r="H1128">
            <v>0</v>
          </cell>
          <cell r="I1128">
            <v>1</v>
          </cell>
          <cell r="J1128">
            <v>0</v>
          </cell>
          <cell r="K1128">
            <v>1</v>
          </cell>
          <cell r="L1128">
            <v>0</v>
          </cell>
          <cell r="M1128">
            <v>1</v>
          </cell>
          <cell r="N1128">
            <v>3.3333333333333298E-2</v>
          </cell>
          <cell r="O1128">
            <v>0</v>
          </cell>
          <cell r="P1128">
            <v>0.82499999999999996</v>
          </cell>
        </row>
        <row r="1129">
          <cell r="A1129">
            <v>650702</v>
          </cell>
          <cell r="B1129">
            <v>8</v>
          </cell>
          <cell r="C1129">
            <v>0</v>
          </cell>
          <cell r="D1129">
            <v>4</v>
          </cell>
          <cell r="E1129" t="str">
            <v>NON-HS</v>
          </cell>
          <cell r="F1129" t="str">
            <v>Torrance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3.3333333333333298E-2</v>
          </cell>
          <cell r="O1129">
            <v>0</v>
          </cell>
          <cell r="P1129">
            <v>0.82499999999999996</v>
          </cell>
        </row>
        <row r="1130">
          <cell r="A1130">
            <v>650800</v>
          </cell>
          <cell r="B1130">
            <v>8</v>
          </cell>
          <cell r="C1130">
            <v>0</v>
          </cell>
          <cell r="D1130">
            <v>4</v>
          </cell>
          <cell r="E1130" t="str">
            <v>NON-HS</v>
          </cell>
          <cell r="F1130" t="str">
            <v>Torrance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3.3333333333333298E-2</v>
          </cell>
          <cell r="O1130">
            <v>0</v>
          </cell>
          <cell r="P1130">
            <v>0.82499999999999996</v>
          </cell>
        </row>
        <row r="1131">
          <cell r="A1131">
            <v>651001</v>
          </cell>
          <cell r="B1131">
            <v>8</v>
          </cell>
          <cell r="C1131">
            <v>0</v>
          </cell>
          <cell r="D1131">
            <v>4</v>
          </cell>
          <cell r="E1131" t="str">
            <v>NON-HS</v>
          </cell>
          <cell r="F1131" t="str">
            <v>Torrance</v>
          </cell>
          <cell r="G1131">
            <v>0</v>
          </cell>
          <cell r="H1131">
            <v>0</v>
          </cell>
          <cell r="I1131">
            <v>1</v>
          </cell>
          <cell r="J1131">
            <v>0</v>
          </cell>
          <cell r="K1131">
            <v>1</v>
          </cell>
          <cell r="L1131">
            <v>0</v>
          </cell>
          <cell r="M1131">
            <v>1</v>
          </cell>
          <cell r="N1131">
            <v>3.3333333333333298E-2</v>
          </cell>
          <cell r="O1131">
            <v>0</v>
          </cell>
          <cell r="P1131">
            <v>0.82499999999999996</v>
          </cell>
        </row>
        <row r="1132">
          <cell r="A1132">
            <v>650602</v>
          </cell>
          <cell r="B1132">
            <v>8</v>
          </cell>
          <cell r="C1132">
            <v>0</v>
          </cell>
          <cell r="D1132">
            <v>4</v>
          </cell>
          <cell r="E1132" t="str">
            <v>NON-HS</v>
          </cell>
          <cell r="F1132" t="str">
            <v>Torrance</v>
          </cell>
          <cell r="G1132">
            <v>0</v>
          </cell>
          <cell r="H1132">
            <v>0</v>
          </cell>
          <cell r="I1132">
            <v>12.179</v>
          </cell>
          <cell r="J1132">
            <v>8.5789246299999995</v>
          </cell>
          <cell r="K1132">
            <v>11.578924629999999</v>
          </cell>
          <cell r="L1132">
            <v>0.60023472533213695</v>
          </cell>
          <cell r="M1132">
            <v>12.1791593553321</v>
          </cell>
          <cell r="N1132">
            <v>3.3333333333333298E-2</v>
          </cell>
          <cell r="O1132">
            <v>0</v>
          </cell>
          <cell r="P1132">
            <v>0.82499999999999996</v>
          </cell>
        </row>
        <row r="1133">
          <cell r="A1133">
            <v>650004</v>
          </cell>
          <cell r="B1133">
            <v>8</v>
          </cell>
          <cell r="C1133">
            <v>0</v>
          </cell>
          <cell r="D1133">
            <v>4</v>
          </cell>
          <cell r="E1133" t="str">
            <v>NON-HS</v>
          </cell>
          <cell r="F1133" t="str">
            <v>Torrance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3.3333333333333298E-2</v>
          </cell>
          <cell r="O1133">
            <v>0</v>
          </cell>
          <cell r="P1133">
            <v>0.82499999999999996</v>
          </cell>
        </row>
        <row r="1134">
          <cell r="A1134">
            <v>651002</v>
          </cell>
          <cell r="B1134">
            <v>8</v>
          </cell>
          <cell r="C1134">
            <v>0</v>
          </cell>
          <cell r="D1134">
            <v>4</v>
          </cell>
          <cell r="E1134" t="str">
            <v>NON-HS</v>
          </cell>
          <cell r="F1134" t="str">
            <v>Torrance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3.3333333333333298E-2</v>
          </cell>
          <cell r="O1134">
            <v>0</v>
          </cell>
          <cell r="P1134">
            <v>0.82499999999999996</v>
          </cell>
        </row>
        <row r="1135">
          <cell r="A1135">
            <v>651221</v>
          </cell>
          <cell r="B1135">
            <v>8</v>
          </cell>
          <cell r="C1135">
            <v>0</v>
          </cell>
          <cell r="D1135">
            <v>4</v>
          </cell>
          <cell r="E1135" t="str">
            <v>NON-HS</v>
          </cell>
          <cell r="F1135" t="str">
            <v>Torrance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3.3333333333333298E-2</v>
          </cell>
          <cell r="O1135">
            <v>0</v>
          </cell>
          <cell r="P1135">
            <v>0.82499999999999996</v>
          </cell>
        </row>
        <row r="1136">
          <cell r="A1136">
            <v>651222</v>
          </cell>
          <cell r="B1136">
            <v>8</v>
          </cell>
          <cell r="C1136">
            <v>0</v>
          </cell>
          <cell r="D1136">
            <v>4</v>
          </cell>
          <cell r="E1136" t="str">
            <v>NON-HS</v>
          </cell>
          <cell r="F1136" t="str">
            <v>Torrance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3.3333333333333298E-2</v>
          </cell>
          <cell r="O1136">
            <v>0</v>
          </cell>
          <cell r="P1136">
            <v>0.82499999999999996</v>
          </cell>
        </row>
        <row r="1137">
          <cell r="A1137">
            <v>651302</v>
          </cell>
          <cell r="B1137">
            <v>8</v>
          </cell>
          <cell r="C1137">
            <v>0</v>
          </cell>
          <cell r="D1137">
            <v>4</v>
          </cell>
          <cell r="E1137" t="str">
            <v>NON-HS</v>
          </cell>
          <cell r="F1137" t="str">
            <v>Torrance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3.3333333333333298E-2</v>
          </cell>
          <cell r="O1137">
            <v>0</v>
          </cell>
          <cell r="P1137">
            <v>0.82499999999999996</v>
          </cell>
        </row>
        <row r="1138">
          <cell r="A1138">
            <v>651401</v>
          </cell>
          <cell r="B1138">
            <v>8</v>
          </cell>
          <cell r="C1138">
            <v>0</v>
          </cell>
          <cell r="D1138">
            <v>4</v>
          </cell>
          <cell r="E1138" t="str">
            <v>NON-HS</v>
          </cell>
          <cell r="F1138" t="str">
            <v>Torrance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3.3333333333333298E-2</v>
          </cell>
          <cell r="O1138">
            <v>0</v>
          </cell>
          <cell r="P1138">
            <v>0.82499999999999996</v>
          </cell>
        </row>
        <row r="1139">
          <cell r="A1139">
            <v>670001</v>
          </cell>
          <cell r="B1139">
            <v>8</v>
          </cell>
          <cell r="C1139">
            <v>0</v>
          </cell>
          <cell r="D1139">
            <v>4</v>
          </cell>
          <cell r="E1139" t="str">
            <v>NON-HS</v>
          </cell>
          <cell r="F1139" t="str">
            <v>Lomita</v>
          </cell>
          <cell r="G1139">
            <v>0</v>
          </cell>
          <cell r="H1139">
            <v>0</v>
          </cell>
          <cell r="I1139">
            <v>3.0950000000000002</v>
          </cell>
          <cell r="J1139">
            <v>1.9836996600000001</v>
          </cell>
          <cell r="K1139">
            <v>2.9836996600000001</v>
          </cell>
          <cell r="L1139">
            <v>0.11117260138240601</v>
          </cell>
          <cell r="M1139">
            <v>3.09487226138241</v>
          </cell>
          <cell r="N1139">
            <v>3.3333333333333298E-2</v>
          </cell>
          <cell r="O1139">
            <v>0</v>
          </cell>
          <cell r="P1139">
            <v>0.82499999999999996</v>
          </cell>
        </row>
        <row r="1140">
          <cell r="A1140">
            <v>670002</v>
          </cell>
          <cell r="B1140">
            <v>8</v>
          </cell>
          <cell r="C1140">
            <v>0</v>
          </cell>
          <cell r="D1140">
            <v>4</v>
          </cell>
          <cell r="E1140" t="str">
            <v>NON-HS</v>
          </cell>
          <cell r="F1140" t="str">
            <v>Lomita</v>
          </cell>
          <cell r="G1140">
            <v>0</v>
          </cell>
          <cell r="H1140">
            <v>0</v>
          </cell>
          <cell r="I1140">
            <v>10.901</v>
          </cell>
          <cell r="J1140">
            <v>9.4173633199999998</v>
          </cell>
          <cell r="K1140">
            <v>10.41736332</v>
          </cell>
          <cell r="L1140">
            <v>0.483488824721723</v>
          </cell>
          <cell r="M1140">
            <v>10.9008521447217</v>
          </cell>
          <cell r="N1140">
            <v>3.3333333333333298E-2</v>
          </cell>
          <cell r="O1140">
            <v>0</v>
          </cell>
          <cell r="P1140">
            <v>0.82499999999999996</v>
          </cell>
        </row>
        <row r="1141">
          <cell r="A1141">
            <v>670003</v>
          </cell>
          <cell r="B1141">
            <v>8</v>
          </cell>
          <cell r="C1141">
            <v>0</v>
          </cell>
          <cell r="D1141">
            <v>4</v>
          </cell>
          <cell r="E1141" t="str">
            <v>NON-HS</v>
          </cell>
          <cell r="F1141" t="str">
            <v>Lomita</v>
          </cell>
          <cell r="G1141">
            <v>0</v>
          </cell>
          <cell r="H1141">
            <v>0</v>
          </cell>
          <cell r="I1141">
            <v>2.5910000000000002</v>
          </cell>
          <cell r="J1141">
            <v>1.43919657</v>
          </cell>
          <cell r="K1141">
            <v>2.43919657</v>
          </cell>
          <cell r="L1141">
            <v>0.15145200614003601</v>
          </cell>
          <cell r="M1141">
            <v>2.59064857614004</v>
          </cell>
          <cell r="N1141">
            <v>3.3333333333333298E-2</v>
          </cell>
          <cell r="O1141">
            <v>0</v>
          </cell>
          <cell r="P1141">
            <v>0.82499999999999996</v>
          </cell>
        </row>
        <row r="1142">
          <cell r="A1142">
            <v>670100</v>
          </cell>
          <cell r="B1142">
            <v>8</v>
          </cell>
          <cell r="C1142">
            <v>0</v>
          </cell>
          <cell r="D1142">
            <v>4</v>
          </cell>
          <cell r="E1142" t="str">
            <v>NON-HS</v>
          </cell>
          <cell r="F1142" t="str">
            <v>Lomita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3.3333333333333298E-2</v>
          </cell>
          <cell r="O1142">
            <v>0</v>
          </cell>
          <cell r="P1142">
            <v>0.82499999999999996</v>
          </cell>
        </row>
        <row r="1143">
          <cell r="A1143">
            <v>543702</v>
          </cell>
          <cell r="B1143">
            <v>8</v>
          </cell>
          <cell r="C1143">
            <v>0</v>
          </cell>
          <cell r="D1143">
            <v>2</v>
          </cell>
          <cell r="E1143" t="str">
            <v>NON-HS</v>
          </cell>
          <cell r="F1143" t="str">
            <v>Carson</v>
          </cell>
          <cell r="G1143">
            <v>0</v>
          </cell>
          <cell r="H1143">
            <v>0</v>
          </cell>
          <cell r="I1143">
            <v>4.851</v>
          </cell>
          <cell r="J1143">
            <v>3.8097598800000001</v>
          </cell>
          <cell r="K1143">
            <v>4.8097598799999997</v>
          </cell>
          <cell r="L1143">
            <v>4.1250644165170602E-2</v>
          </cell>
          <cell r="M1143">
            <v>4.8510105241651704</v>
          </cell>
          <cell r="N1143">
            <v>3.3333333333333298E-2</v>
          </cell>
          <cell r="O1143">
            <v>0</v>
          </cell>
          <cell r="P1143">
            <v>0.82499999999999996</v>
          </cell>
        </row>
        <row r="1144">
          <cell r="A1144">
            <v>670201</v>
          </cell>
          <cell r="B1144">
            <v>8</v>
          </cell>
          <cell r="C1144">
            <v>0</v>
          </cell>
          <cell r="D1144">
            <v>4</v>
          </cell>
          <cell r="E1144" t="str">
            <v>NON-HS</v>
          </cell>
          <cell r="F1144" t="str">
            <v>Rolling Hills Estates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3.3333333333333298E-2</v>
          </cell>
          <cell r="O1144">
            <v>0</v>
          </cell>
          <cell r="P1144">
            <v>0.82499999999999996</v>
          </cell>
        </row>
        <row r="1145">
          <cell r="A1145">
            <v>670202</v>
          </cell>
          <cell r="B1145">
            <v>8</v>
          </cell>
          <cell r="C1145">
            <v>0</v>
          </cell>
          <cell r="D1145">
            <v>4</v>
          </cell>
          <cell r="E1145" t="str">
            <v>NON-HS</v>
          </cell>
          <cell r="F1145" t="str">
            <v>Rolling Hills Estates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3.3333333333333298E-2</v>
          </cell>
          <cell r="O1145">
            <v>0</v>
          </cell>
          <cell r="P1145">
            <v>0.82499999999999996</v>
          </cell>
        </row>
        <row r="1146">
          <cell r="A1146">
            <v>670324</v>
          </cell>
          <cell r="B1146">
            <v>8</v>
          </cell>
          <cell r="C1146">
            <v>0</v>
          </cell>
          <cell r="D1146">
            <v>4</v>
          </cell>
          <cell r="E1146" t="str">
            <v>NON-HS</v>
          </cell>
          <cell r="F1146" t="str">
            <v>Palos Verdes Estates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3.3333333333333298E-2</v>
          </cell>
          <cell r="O1146">
            <v>0</v>
          </cell>
          <cell r="P1146">
            <v>0.82499999999999996</v>
          </cell>
        </row>
        <row r="1147">
          <cell r="A1147">
            <v>670326</v>
          </cell>
          <cell r="B1147">
            <v>8</v>
          </cell>
          <cell r="C1147">
            <v>0</v>
          </cell>
          <cell r="D1147">
            <v>4</v>
          </cell>
          <cell r="E1147" t="str">
            <v>NON-HS</v>
          </cell>
          <cell r="F1147" t="str">
            <v>Palos Verdes Estates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3.3333333333333298E-2</v>
          </cell>
          <cell r="O1147">
            <v>0</v>
          </cell>
          <cell r="P1147">
            <v>0.82499999999999996</v>
          </cell>
        </row>
        <row r="1148">
          <cell r="A1148">
            <v>670403</v>
          </cell>
          <cell r="B1148">
            <v>8</v>
          </cell>
          <cell r="C1148">
            <v>0</v>
          </cell>
          <cell r="D1148">
            <v>4</v>
          </cell>
          <cell r="E1148" t="str">
            <v>NON-HS</v>
          </cell>
          <cell r="F1148" t="str">
            <v>Rolling Hills Estates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3.3333333333333298E-2</v>
          </cell>
          <cell r="O1148">
            <v>0</v>
          </cell>
          <cell r="P1148">
            <v>0.82499999999999996</v>
          </cell>
        </row>
        <row r="1149">
          <cell r="A1149">
            <v>670405</v>
          </cell>
          <cell r="B1149">
            <v>8</v>
          </cell>
          <cell r="C1149">
            <v>0</v>
          </cell>
          <cell r="D1149">
            <v>4</v>
          </cell>
          <cell r="E1149" t="str">
            <v>NON-HS</v>
          </cell>
          <cell r="F1149" t="str">
            <v>Rancho Palos Verdes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3.3333333333333298E-2</v>
          </cell>
          <cell r="O1149">
            <v>0</v>
          </cell>
          <cell r="P1149">
            <v>0.82499999999999996</v>
          </cell>
        </row>
        <row r="1150">
          <cell r="A1150">
            <v>670406</v>
          </cell>
          <cell r="B1150">
            <v>8</v>
          </cell>
          <cell r="C1150">
            <v>0</v>
          </cell>
          <cell r="D1150">
            <v>4</v>
          </cell>
          <cell r="E1150" t="str">
            <v>NON-HS</v>
          </cell>
          <cell r="F1150" t="str">
            <v>Rolling Hills Estates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3.3333333333333298E-2</v>
          </cell>
          <cell r="O1150">
            <v>0</v>
          </cell>
          <cell r="P1150">
            <v>0.82499999999999996</v>
          </cell>
        </row>
        <row r="1151">
          <cell r="A1151">
            <v>670411</v>
          </cell>
          <cell r="B1151">
            <v>8</v>
          </cell>
          <cell r="C1151">
            <v>0</v>
          </cell>
          <cell r="D1151">
            <v>4</v>
          </cell>
          <cell r="E1151" t="str">
            <v>NON-HS</v>
          </cell>
          <cell r="F1151" t="str">
            <v>Rancho Palos Verdes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3.3333333333333298E-2</v>
          </cell>
          <cell r="O1151">
            <v>0</v>
          </cell>
          <cell r="P1151">
            <v>0.82499999999999996</v>
          </cell>
        </row>
        <row r="1152">
          <cell r="A1152">
            <v>670413</v>
          </cell>
          <cell r="B1152">
            <v>8</v>
          </cell>
          <cell r="C1152">
            <v>0</v>
          </cell>
          <cell r="D1152">
            <v>4</v>
          </cell>
          <cell r="E1152" t="str">
            <v>NON-HS</v>
          </cell>
          <cell r="F1152" t="str">
            <v>Rancho Palos Verdes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3.3333333333333298E-2</v>
          </cell>
          <cell r="O1152">
            <v>0</v>
          </cell>
          <cell r="P1152">
            <v>0.82499999999999996</v>
          </cell>
        </row>
        <row r="1153">
          <cell r="A1153">
            <v>670500</v>
          </cell>
          <cell r="B1153">
            <v>8</v>
          </cell>
          <cell r="C1153">
            <v>0</v>
          </cell>
          <cell r="D1153">
            <v>4</v>
          </cell>
          <cell r="E1153" t="str">
            <v>NON-HS</v>
          </cell>
          <cell r="F1153" t="str">
            <v>Rolling Hills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3.3333333333333298E-2</v>
          </cell>
          <cell r="O1153">
            <v>0</v>
          </cell>
          <cell r="P1153">
            <v>0.82499999999999996</v>
          </cell>
        </row>
        <row r="1154">
          <cell r="A1154">
            <v>601302</v>
          </cell>
          <cell r="B1154">
            <v>8</v>
          </cell>
          <cell r="C1154">
            <v>0</v>
          </cell>
          <cell r="D1154">
            <v>2</v>
          </cell>
          <cell r="E1154" t="str">
            <v>NON-HS</v>
          </cell>
          <cell r="F1154" t="str">
            <v>Inglewood</v>
          </cell>
          <cell r="G1154">
            <v>0</v>
          </cell>
          <cell r="H1154">
            <v>0</v>
          </cell>
          <cell r="I1154">
            <v>8.7539999999999996</v>
          </cell>
          <cell r="J1154">
            <v>7.5265917099999999</v>
          </cell>
          <cell r="K1154">
            <v>8.5265917099999999</v>
          </cell>
          <cell r="L1154">
            <v>0.227408755834829</v>
          </cell>
          <cell r="M1154">
            <v>8.7540004658348298</v>
          </cell>
          <cell r="N1154">
            <v>3.3333333333333298E-2</v>
          </cell>
          <cell r="O1154">
            <v>0</v>
          </cell>
          <cell r="P1154">
            <v>0.82499999999999996</v>
          </cell>
        </row>
        <row r="1155">
          <cell r="A1155">
            <v>670602</v>
          </cell>
          <cell r="B1155">
            <v>8</v>
          </cell>
          <cell r="C1155">
            <v>0</v>
          </cell>
          <cell r="D1155">
            <v>4</v>
          </cell>
          <cell r="E1155" t="str">
            <v>NON-HS</v>
          </cell>
          <cell r="F1155" t="str">
            <v>Rancho Palos Verdes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3.3333333333333298E-2</v>
          </cell>
          <cell r="O1155">
            <v>0</v>
          </cell>
          <cell r="P1155">
            <v>0.82499999999999996</v>
          </cell>
        </row>
        <row r="1156">
          <cell r="A1156">
            <v>543306</v>
          </cell>
          <cell r="B1156">
            <v>8</v>
          </cell>
          <cell r="C1156">
            <v>0</v>
          </cell>
          <cell r="D1156">
            <v>2</v>
          </cell>
          <cell r="E1156" t="str">
            <v>NON-HS</v>
          </cell>
          <cell r="F1156" t="str">
            <v>Carson</v>
          </cell>
          <cell r="G1156">
            <v>0</v>
          </cell>
          <cell r="H1156">
            <v>0</v>
          </cell>
          <cell r="I1156">
            <v>10.474</v>
          </cell>
          <cell r="J1156">
            <v>9.9184982999999995</v>
          </cell>
          <cell r="K1156">
            <v>9.9184982999999995</v>
          </cell>
          <cell r="L1156">
            <v>0.55586300691202895</v>
          </cell>
          <cell r="M1156">
            <v>10.474361306912</v>
          </cell>
          <cell r="N1156">
            <v>3.3333333333333298E-2</v>
          </cell>
          <cell r="O1156">
            <v>0</v>
          </cell>
          <cell r="P1156">
            <v>0.82499999999999996</v>
          </cell>
        </row>
        <row r="1157">
          <cell r="A1157">
            <v>670701</v>
          </cell>
          <cell r="B1157">
            <v>8</v>
          </cell>
          <cell r="C1157">
            <v>0</v>
          </cell>
          <cell r="D1157">
            <v>4</v>
          </cell>
          <cell r="E1157" t="str">
            <v>NON-HS</v>
          </cell>
          <cell r="F1157" t="str">
            <v>Rancho Palos Verdes</v>
          </cell>
          <cell r="G1157">
            <v>0</v>
          </cell>
          <cell r="H1157">
            <v>0</v>
          </cell>
          <cell r="I1157">
            <v>2.0950000000000002</v>
          </cell>
          <cell r="J1157">
            <v>1.9836996600000001</v>
          </cell>
          <cell r="K1157">
            <v>1.9836996600000001</v>
          </cell>
          <cell r="L1157">
            <v>0.11117260138240601</v>
          </cell>
          <cell r="M1157">
            <v>2.09487226138241</v>
          </cell>
          <cell r="N1157">
            <v>3.3333333333333298E-2</v>
          </cell>
          <cell r="O1157">
            <v>0</v>
          </cell>
          <cell r="P1157">
            <v>0.82499999999999996</v>
          </cell>
        </row>
        <row r="1158">
          <cell r="A1158">
            <v>209520</v>
          </cell>
          <cell r="B1158">
            <v>4</v>
          </cell>
          <cell r="C1158">
            <v>1</v>
          </cell>
          <cell r="D1158">
            <v>1</v>
          </cell>
          <cell r="E1158" t="str">
            <v>CVCTE</v>
          </cell>
          <cell r="F1158" t="str">
            <v>Westlake</v>
          </cell>
          <cell r="G1158">
            <v>0</v>
          </cell>
          <cell r="H1158">
            <v>1</v>
          </cell>
          <cell r="I1158">
            <v>44.442999999999998</v>
          </cell>
          <cell r="J1158">
            <v>34.098967739999999</v>
          </cell>
          <cell r="K1158">
            <v>43.098967739999999</v>
          </cell>
          <cell r="L1158">
            <v>1.3436179534649899</v>
          </cell>
          <cell r="M1158">
            <v>44.442585693464999</v>
          </cell>
          <cell r="N1158">
            <v>0.164383561643836</v>
          </cell>
          <cell r="O1158">
            <v>0</v>
          </cell>
          <cell r="P1158">
            <v>0.34246575342465801</v>
          </cell>
          <cell r="Q1158">
            <v>1</v>
          </cell>
          <cell r="R1158">
            <v>0.30434782608695699</v>
          </cell>
          <cell r="S1158">
            <v>3.28571428571429</v>
          </cell>
        </row>
        <row r="1159">
          <cell r="A1159">
            <v>207101</v>
          </cell>
          <cell r="B1159">
            <v>4</v>
          </cell>
          <cell r="C1159">
            <v>1</v>
          </cell>
          <cell r="D1159">
            <v>1</v>
          </cell>
          <cell r="E1159" t="str">
            <v>CVCTE</v>
          </cell>
          <cell r="F1159" t="str">
            <v>Chinatown</v>
          </cell>
          <cell r="G1159">
            <v>0</v>
          </cell>
          <cell r="H1159">
            <v>0</v>
          </cell>
          <cell r="I1159">
            <v>64.641999999999996</v>
          </cell>
          <cell r="J1159">
            <v>25.9568069</v>
          </cell>
          <cell r="K1159">
            <v>63.956806899999997</v>
          </cell>
          <cell r="L1159">
            <v>0.68495323382405704</v>
          </cell>
          <cell r="M1159">
            <v>64.641760133824107</v>
          </cell>
          <cell r="N1159">
            <v>0.164383561643836</v>
          </cell>
          <cell r="O1159">
            <v>0</v>
          </cell>
          <cell r="P1159">
            <v>0.34246575342465801</v>
          </cell>
          <cell r="Q1159">
            <v>1</v>
          </cell>
          <cell r="R1159">
            <v>0.30434782608695699</v>
          </cell>
          <cell r="S1159">
            <v>0</v>
          </cell>
        </row>
        <row r="1160">
          <cell r="A1160">
            <v>206010</v>
          </cell>
          <cell r="B1160">
            <v>4</v>
          </cell>
          <cell r="C1160">
            <v>1</v>
          </cell>
          <cell r="D1160">
            <v>1</v>
          </cell>
          <cell r="E1160" t="str">
            <v>CVCTE</v>
          </cell>
          <cell r="F1160" t="str">
            <v>Chinatown</v>
          </cell>
          <cell r="G1160">
            <v>0</v>
          </cell>
          <cell r="H1160">
            <v>0</v>
          </cell>
          <cell r="I1160">
            <v>20.391999999999999</v>
          </cell>
          <cell r="J1160">
            <v>19.61286818</v>
          </cell>
          <cell r="K1160">
            <v>19.61286818</v>
          </cell>
          <cell r="L1160">
            <v>0.77921345570915601</v>
          </cell>
          <cell r="M1160">
            <v>20.3920816357092</v>
          </cell>
          <cell r="N1160">
            <v>0.164383561643836</v>
          </cell>
          <cell r="O1160">
            <v>0</v>
          </cell>
          <cell r="P1160">
            <v>0.34246575342465801</v>
          </cell>
          <cell r="Q1160">
            <v>1</v>
          </cell>
          <cell r="R1160">
            <v>0.30434782608695699</v>
          </cell>
          <cell r="S1160">
            <v>0</v>
          </cell>
        </row>
        <row r="1161">
          <cell r="A1161">
            <v>212204</v>
          </cell>
          <cell r="B1161">
            <v>4</v>
          </cell>
          <cell r="C1161">
            <v>1</v>
          </cell>
          <cell r="D1161">
            <v>2</v>
          </cell>
          <cell r="E1161" t="str">
            <v>CVCTE</v>
          </cell>
          <cell r="F1161" t="str">
            <v>Westlake</v>
          </cell>
          <cell r="G1161">
            <v>0</v>
          </cell>
          <cell r="H1161">
            <v>0</v>
          </cell>
          <cell r="I1161">
            <v>65.236999999999995</v>
          </cell>
          <cell r="J1161">
            <v>49.256528369999998</v>
          </cell>
          <cell r="K1161">
            <v>64.256528369999998</v>
          </cell>
          <cell r="L1161">
            <v>0.98038838660682204</v>
          </cell>
          <cell r="M1161">
            <v>65.236916756606803</v>
          </cell>
          <cell r="N1161">
            <v>0.164383561643836</v>
          </cell>
          <cell r="O1161">
            <v>0</v>
          </cell>
          <cell r="P1161">
            <v>0.34246575342465801</v>
          </cell>
          <cell r="Q1161">
            <v>1</v>
          </cell>
          <cell r="R1161">
            <v>0.30434782608695699</v>
          </cell>
          <cell r="S1161">
            <v>0</v>
          </cell>
        </row>
        <row r="1162">
          <cell r="A1162">
            <v>208000</v>
          </cell>
          <cell r="B1162">
            <v>4</v>
          </cell>
          <cell r="C1162">
            <v>1</v>
          </cell>
          <cell r="D1162">
            <v>1</v>
          </cell>
          <cell r="E1162" t="str">
            <v>CVCTE</v>
          </cell>
          <cell r="F1162" t="str">
            <v>Echo Park</v>
          </cell>
          <cell r="G1162">
            <v>0</v>
          </cell>
          <cell r="H1162">
            <v>0</v>
          </cell>
          <cell r="I1162">
            <v>27.792000000000002</v>
          </cell>
          <cell r="J1162">
            <v>22.4076488</v>
          </cell>
          <cell r="K1162">
            <v>27.4076488</v>
          </cell>
          <cell r="L1162">
            <v>0.38464905057450599</v>
          </cell>
          <cell r="M1162">
            <v>27.792297850574499</v>
          </cell>
          <cell r="N1162">
            <v>0.164383561643836</v>
          </cell>
          <cell r="O1162">
            <v>0</v>
          </cell>
          <cell r="P1162">
            <v>0.34246575342465801</v>
          </cell>
          <cell r="Q1162">
            <v>1</v>
          </cell>
          <cell r="R1162">
            <v>0.30434782608695699</v>
          </cell>
          <cell r="S1162">
            <v>0</v>
          </cell>
        </row>
        <row r="1163">
          <cell r="A1163">
            <v>210010</v>
          </cell>
          <cell r="B1163">
            <v>4</v>
          </cell>
          <cell r="C1163">
            <v>1</v>
          </cell>
          <cell r="D1163">
            <v>1</v>
          </cell>
          <cell r="E1163" t="str">
            <v>CVCTE</v>
          </cell>
          <cell r="F1163" t="str">
            <v>Pico Union</v>
          </cell>
          <cell r="G1163">
            <v>0</v>
          </cell>
          <cell r="H1163">
            <v>0</v>
          </cell>
          <cell r="I1163">
            <v>35.427</v>
          </cell>
          <cell r="J1163">
            <v>23.881956779999999</v>
          </cell>
          <cell r="K1163">
            <v>34.881956780000003</v>
          </cell>
          <cell r="L1163">
            <v>0.54410407335727096</v>
          </cell>
          <cell r="M1163">
            <v>35.426060853357299</v>
          </cell>
          <cell r="N1163">
            <v>0.164383561643836</v>
          </cell>
          <cell r="O1163">
            <v>0</v>
          </cell>
          <cell r="P1163">
            <v>0.34246575342465801</v>
          </cell>
          <cell r="Q1163">
            <v>1</v>
          </cell>
          <cell r="R1163">
            <v>0.30434782608695699</v>
          </cell>
          <cell r="S1163">
            <v>0</v>
          </cell>
        </row>
        <row r="1164">
          <cell r="A1164">
            <v>209401</v>
          </cell>
          <cell r="B1164">
            <v>4</v>
          </cell>
          <cell r="C1164">
            <v>1</v>
          </cell>
          <cell r="D1164">
            <v>1</v>
          </cell>
          <cell r="E1164" t="str">
            <v>CVCTE</v>
          </cell>
          <cell r="F1164" t="str">
            <v>Westlake</v>
          </cell>
          <cell r="G1164">
            <v>0</v>
          </cell>
          <cell r="H1164">
            <v>0</v>
          </cell>
          <cell r="I1164">
            <v>47.156999999999996</v>
          </cell>
          <cell r="J1164">
            <v>35.239111549999997</v>
          </cell>
          <cell r="K1164">
            <v>46.239111549999997</v>
          </cell>
          <cell r="L1164">
            <v>0.91803991861759404</v>
          </cell>
          <cell r="M1164">
            <v>47.157151468617599</v>
          </cell>
          <cell r="N1164">
            <v>0.164383561643836</v>
          </cell>
          <cell r="O1164">
            <v>0</v>
          </cell>
          <cell r="P1164">
            <v>0.34246575342465801</v>
          </cell>
          <cell r="Q1164">
            <v>1</v>
          </cell>
          <cell r="R1164">
            <v>0.30434782608695699</v>
          </cell>
          <cell r="S1164">
            <v>0</v>
          </cell>
        </row>
        <row r="1165">
          <cell r="A1165">
            <v>197500</v>
          </cell>
          <cell r="B1165">
            <v>4</v>
          </cell>
          <cell r="C1165">
            <v>1</v>
          </cell>
          <cell r="D1165">
            <v>1</v>
          </cell>
          <cell r="E1165" t="str">
            <v>CVCTE</v>
          </cell>
          <cell r="F1165" t="str">
            <v>Echo Park</v>
          </cell>
          <cell r="G1165">
            <v>0</v>
          </cell>
          <cell r="H1165">
            <v>0</v>
          </cell>
          <cell r="I1165">
            <v>79.625</v>
          </cell>
          <cell r="J1165">
            <v>65.622830680000007</v>
          </cell>
          <cell r="K1165">
            <v>76.622830680000007</v>
          </cell>
          <cell r="L1165">
            <v>3.0025895816696599</v>
          </cell>
          <cell r="M1165">
            <v>79.625420261669703</v>
          </cell>
          <cell r="N1165">
            <v>0.164383561643836</v>
          </cell>
          <cell r="O1165">
            <v>0</v>
          </cell>
          <cell r="P1165">
            <v>0.34246575342465801</v>
          </cell>
          <cell r="Q1165">
            <v>1</v>
          </cell>
          <cell r="R1165">
            <v>0.30434782608695699</v>
          </cell>
          <cell r="S1165">
            <v>0</v>
          </cell>
        </row>
        <row r="1166">
          <cell r="A1166">
            <v>185310</v>
          </cell>
          <cell r="B1166">
            <v>4</v>
          </cell>
          <cell r="C1166">
            <v>1</v>
          </cell>
          <cell r="D1166">
            <v>1</v>
          </cell>
          <cell r="E1166" t="str">
            <v>CVCTE</v>
          </cell>
          <cell r="F1166" t="str">
            <v>Cypress Park</v>
          </cell>
          <cell r="G1166">
            <v>0</v>
          </cell>
          <cell r="H1166">
            <v>1</v>
          </cell>
          <cell r="I1166">
            <v>5.4240000000000004</v>
          </cell>
          <cell r="J1166">
            <v>5.1993965099999997</v>
          </cell>
          <cell r="K1166">
            <v>5.1993965099999997</v>
          </cell>
          <cell r="L1166">
            <v>0.22495653086175901</v>
          </cell>
          <cell r="M1166">
            <v>5.4243530408617602</v>
          </cell>
          <cell r="N1166">
            <v>0.164383561643836</v>
          </cell>
          <cell r="O1166">
            <v>0</v>
          </cell>
          <cell r="P1166">
            <v>0.34246575342465801</v>
          </cell>
          <cell r="Q1166">
            <v>1</v>
          </cell>
          <cell r="R1166">
            <v>0.30434782608695699</v>
          </cell>
          <cell r="S1166">
            <v>3.28571428571429</v>
          </cell>
        </row>
        <row r="1167">
          <cell r="A1167">
            <v>221220</v>
          </cell>
          <cell r="B1167">
            <v>4</v>
          </cell>
          <cell r="C1167">
            <v>1</v>
          </cell>
          <cell r="D1167">
            <v>2</v>
          </cell>
          <cell r="E1167" t="str">
            <v>CVCTE</v>
          </cell>
          <cell r="F1167" t="str">
            <v>Pico Union</v>
          </cell>
          <cell r="G1167">
            <v>0</v>
          </cell>
          <cell r="H1167">
            <v>0</v>
          </cell>
          <cell r="I1167">
            <v>45.878999999999998</v>
          </cell>
          <cell r="J1167">
            <v>35.899107749999999</v>
          </cell>
          <cell r="K1167">
            <v>43.899107749999999</v>
          </cell>
          <cell r="L1167">
            <v>1.97897539982047</v>
          </cell>
          <cell r="M1167">
            <v>45.878083149820498</v>
          </cell>
          <cell r="N1167">
            <v>0.164383561643836</v>
          </cell>
          <cell r="O1167">
            <v>0</v>
          </cell>
          <cell r="P1167">
            <v>0.34246575342465801</v>
          </cell>
          <cell r="Q1167">
            <v>1</v>
          </cell>
          <cell r="R1167">
            <v>0.30434782608695699</v>
          </cell>
          <cell r="S1167">
            <v>0</v>
          </cell>
        </row>
        <row r="1168">
          <cell r="A1168">
            <v>199201</v>
          </cell>
          <cell r="B1168">
            <v>4</v>
          </cell>
          <cell r="C1168">
            <v>1</v>
          </cell>
          <cell r="D1168">
            <v>1</v>
          </cell>
          <cell r="E1168" t="str">
            <v>CVCTE</v>
          </cell>
          <cell r="F1168" t="str">
            <v>Lincoln Heights</v>
          </cell>
          <cell r="G1168">
            <v>0</v>
          </cell>
          <cell r="H1168">
            <v>1</v>
          </cell>
          <cell r="I1168">
            <v>35.259</v>
          </cell>
          <cell r="J1168">
            <v>26.802659200000001</v>
          </cell>
          <cell r="K1168">
            <v>33.802659200000001</v>
          </cell>
          <cell r="L1168">
            <v>1.45607378001795</v>
          </cell>
          <cell r="M1168">
            <v>35.258732980018003</v>
          </cell>
          <cell r="N1168">
            <v>0.164383561643836</v>
          </cell>
          <cell r="O1168">
            <v>0</v>
          </cell>
          <cell r="P1168">
            <v>0.34246575342465801</v>
          </cell>
          <cell r="Q1168">
            <v>1</v>
          </cell>
          <cell r="R1168">
            <v>0.30434782608695699</v>
          </cell>
          <cell r="S1168">
            <v>3.28571428571429</v>
          </cell>
        </row>
        <row r="1169">
          <cell r="A1169">
            <v>186403</v>
          </cell>
          <cell r="B1169">
            <v>4</v>
          </cell>
          <cell r="C1169">
            <v>1</v>
          </cell>
          <cell r="D1169">
            <v>1</v>
          </cell>
          <cell r="E1169" t="str">
            <v>CVCTE</v>
          </cell>
          <cell r="F1169" t="str">
            <v>Glassell Park</v>
          </cell>
          <cell r="G1169">
            <v>1</v>
          </cell>
          <cell r="H1169">
            <v>1</v>
          </cell>
          <cell r="I1169">
            <v>37.692</v>
          </cell>
          <cell r="J1169">
            <v>36.122177209999997</v>
          </cell>
          <cell r="K1169">
            <v>36.122177209999997</v>
          </cell>
          <cell r="L1169">
            <v>1.5691548535906601</v>
          </cell>
          <cell r="M1169">
            <v>37.6913320635907</v>
          </cell>
          <cell r="N1169">
            <v>0.164383561643836</v>
          </cell>
          <cell r="O1169">
            <v>6.0833333333333304</v>
          </cell>
          <cell r="P1169">
            <v>0.34246575342465801</v>
          </cell>
          <cell r="Q1169">
            <v>1</v>
          </cell>
        </row>
        <row r="1170">
          <cell r="A1170">
            <v>197600</v>
          </cell>
          <cell r="B1170">
            <v>4</v>
          </cell>
          <cell r="C1170">
            <v>1</v>
          </cell>
          <cell r="D1170">
            <v>1</v>
          </cell>
          <cell r="E1170" t="str">
            <v>CVCTE</v>
          </cell>
          <cell r="F1170" t="str">
            <v>Echo Park</v>
          </cell>
          <cell r="G1170">
            <v>0</v>
          </cell>
          <cell r="H1170">
            <v>1</v>
          </cell>
          <cell r="I1170">
            <v>30.227</v>
          </cell>
          <cell r="J1170">
            <v>19.226004530000001</v>
          </cell>
          <cell r="K1170">
            <v>29.226004530000001</v>
          </cell>
          <cell r="L1170">
            <v>1.0005874190664299</v>
          </cell>
          <cell r="M1170">
            <v>30.2265919490664</v>
          </cell>
          <cell r="N1170">
            <v>0.164383561643836</v>
          </cell>
          <cell r="O1170">
            <v>0</v>
          </cell>
          <cell r="P1170">
            <v>0.34246575342465801</v>
          </cell>
          <cell r="Q1170">
            <v>1</v>
          </cell>
          <cell r="R1170">
            <v>0.30434782608695699</v>
          </cell>
          <cell r="S1170">
            <v>3.28571428571429</v>
          </cell>
        </row>
        <row r="1171">
          <cell r="A1171">
            <v>185203</v>
          </cell>
          <cell r="B1171">
            <v>4</v>
          </cell>
          <cell r="C1171">
            <v>1</v>
          </cell>
          <cell r="D1171">
            <v>1</v>
          </cell>
          <cell r="E1171" t="str">
            <v>CVCTE</v>
          </cell>
          <cell r="F1171" t="str">
            <v>Cypress Park</v>
          </cell>
          <cell r="G1171">
            <v>1</v>
          </cell>
          <cell r="H1171">
            <v>1</v>
          </cell>
          <cell r="I1171">
            <v>22.173999999999999</v>
          </cell>
          <cell r="J1171">
            <v>19.979987609999998</v>
          </cell>
          <cell r="K1171">
            <v>20.979987609999998</v>
          </cell>
          <cell r="L1171">
            <v>1.1948961514362699</v>
          </cell>
          <cell r="M1171">
            <v>22.174883761436298</v>
          </cell>
          <cell r="N1171">
            <v>0.164383561643836</v>
          </cell>
          <cell r="O1171">
            <v>6.0833333333333304</v>
          </cell>
          <cell r="P1171">
            <v>0.34246575342465801</v>
          </cell>
          <cell r="Q1171">
            <v>1</v>
          </cell>
        </row>
        <row r="1172">
          <cell r="A1172">
            <v>199120</v>
          </cell>
          <cell r="B1172">
            <v>4</v>
          </cell>
          <cell r="C1172">
            <v>1</v>
          </cell>
          <cell r="D1172">
            <v>1</v>
          </cell>
          <cell r="E1172" t="str">
            <v>CVCTE</v>
          </cell>
          <cell r="F1172" t="str">
            <v>Lincoln Heights</v>
          </cell>
          <cell r="G1172">
            <v>0</v>
          </cell>
          <cell r="H1172">
            <v>0</v>
          </cell>
          <cell r="I1172">
            <v>23.745000000000001</v>
          </cell>
          <cell r="J1172">
            <v>20.789166519999998</v>
          </cell>
          <cell r="K1172">
            <v>22.789166519999998</v>
          </cell>
          <cell r="L1172">
            <v>0.95534909096947895</v>
          </cell>
          <cell r="M1172">
            <v>23.744515610969501</v>
          </cell>
          <cell r="N1172">
            <v>0.164383561643836</v>
          </cell>
          <cell r="O1172">
            <v>0</v>
          </cell>
          <cell r="P1172">
            <v>0.34246575342465801</v>
          </cell>
          <cell r="Q1172">
            <v>1</v>
          </cell>
          <cell r="R1172">
            <v>0.30434782608695699</v>
          </cell>
          <cell r="S1172">
            <v>0</v>
          </cell>
        </row>
        <row r="1173">
          <cell r="A1173">
            <v>199000</v>
          </cell>
          <cell r="B1173">
            <v>4</v>
          </cell>
          <cell r="C1173">
            <v>1</v>
          </cell>
          <cell r="D1173">
            <v>1</v>
          </cell>
          <cell r="E1173" t="str">
            <v>CVCTE</v>
          </cell>
          <cell r="F1173" t="str">
            <v>Lincoln Heights</v>
          </cell>
          <cell r="G1173">
            <v>0</v>
          </cell>
          <cell r="H1173">
            <v>0</v>
          </cell>
          <cell r="I1173">
            <v>101.76300000000001</v>
          </cell>
          <cell r="J1173">
            <v>82.580748209999996</v>
          </cell>
          <cell r="K1173">
            <v>99.580748209999996</v>
          </cell>
          <cell r="L1173">
            <v>2.1811607179712702</v>
          </cell>
          <cell r="M1173">
            <v>101.76190892797101</v>
          </cell>
          <cell r="N1173">
            <v>0.164383561643836</v>
          </cell>
          <cell r="O1173">
            <v>0</v>
          </cell>
          <cell r="P1173">
            <v>0.34246575342465801</v>
          </cell>
          <cell r="Q1173">
            <v>1</v>
          </cell>
          <cell r="R1173">
            <v>0.30434782608695699</v>
          </cell>
          <cell r="S1173">
            <v>0</v>
          </cell>
        </row>
        <row r="1174">
          <cell r="A1174">
            <v>199800</v>
          </cell>
          <cell r="B1174">
            <v>4</v>
          </cell>
          <cell r="C1174">
            <v>1</v>
          </cell>
          <cell r="D1174">
            <v>1</v>
          </cell>
          <cell r="E1174" t="str">
            <v>CVCTE</v>
          </cell>
          <cell r="F1174" t="str">
            <v>Lincoln Heights</v>
          </cell>
          <cell r="G1174">
            <v>0</v>
          </cell>
          <cell r="H1174">
            <v>0</v>
          </cell>
          <cell r="I1174">
            <v>8.5960000000000001</v>
          </cell>
          <cell r="J1174">
            <v>7.3299825600000004</v>
          </cell>
          <cell r="K1174">
            <v>8.3299825599999995</v>
          </cell>
          <cell r="L1174">
            <v>0.26532906628366199</v>
          </cell>
          <cell r="M1174">
            <v>8.5953116262836602</v>
          </cell>
          <cell r="N1174">
            <v>0.164383561643836</v>
          </cell>
          <cell r="O1174">
            <v>0</v>
          </cell>
          <cell r="P1174">
            <v>0.34246575342465801</v>
          </cell>
          <cell r="Q1174">
            <v>1</v>
          </cell>
          <cell r="R1174">
            <v>0.30434782608695699</v>
          </cell>
          <cell r="S1174">
            <v>0</v>
          </cell>
        </row>
        <row r="1175">
          <cell r="A1175">
            <v>209200</v>
          </cell>
          <cell r="B1175">
            <v>4</v>
          </cell>
          <cell r="C1175">
            <v>1</v>
          </cell>
          <cell r="D1175">
            <v>1</v>
          </cell>
          <cell r="E1175" t="str">
            <v>CVCTE</v>
          </cell>
          <cell r="F1175" t="str">
            <v>Downtown Los Angeles</v>
          </cell>
          <cell r="G1175">
            <v>0</v>
          </cell>
          <cell r="H1175">
            <v>1</v>
          </cell>
          <cell r="I1175">
            <v>31.245000000000001</v>
          </cell>
          <cell r="J1175">
            <v>26.900665920000002</v>
          </cell>
          <cell r="K1175">
            <v>30.900665920000002</v>
          </cell>
          <cell r="L1175">
            <v>0.34387090815080801</v>
          </cell>
          <cell r="M1175">
            <v>31.2445368281508</v>
          </cell>
          <cell r="N1175">
            <v>0.164383561643836</v>
          </cell>
          <cell r="O1175">
            <v>0</v>
          </cell>
          <cell r="P1175">
            <v>0.34246575342465801</v>
          </cell>
          <cell r="Q1175">
            <v>1</v>
          </cell>
          <cell r="R1175">
            <v>0.30434782608695699</v>
          </cell>
          <cell r="S1175">
            <v>3.28571428571429</v>
          </cell>
        </row>
        <row r="1176">
          <cell r="A1176">
            <v>185320</v>
          </cell>
          <cell r="B1176">
            <v>4</v>
          </cell>
          <cell r="C1176">
            <v>1</v>
          </cell>
          <cell r="D1176">
            <v>1</v>
          </cell>
          <cell r="E1176" t="str">
            <v>CVCTE</v>
          </cell>
          <cell r="F1176" t="str">
            <v>Cypress Park</v>
          </cell>
          <cell r="G1176">
            <v>0</v>
          </cell>
          <cell r="H1176">
            <v>0</v>
          </cell>
          <cell r="I1176">
            <v>12.327</v>
          </cell>
          <cell r="J1176">
            <v>8.91622834</v>
          </cell>
          <cell r="K1176">
            <v>11.91622834</v>
          </cell>
          <cell r="L1176">
            <v>0.411114642531418</v>
          </cell>
          <cell r="M1176">
            <v>12.3273429825314</v>
          </cell>
          <cell r="N1176">
            <v>0.164383561643836</v>
          </cell>
          <cell r="O1176">
            <v>0</v>
          </cell>
          <cell r="P1176">
            <v>0.34246575342465801</v>
          </cell>
          <cell r="Q1176">
            <v>1</v>
          </cell>
          <cell r="R1176">
            <v>0.30434782608695699</v>
          </cell>
          <cell r="S1176">
            <v>0</v>
          </cell>
        </row>
        <row r="1177">
          <cell r="A1177">
            <v>183610</v>
          </cell>
          <cell r="B1177">
            <v>4</v>
          </cell>
          <cell r="C1177">
            <v>1</v>
          </cell>
          <cell r="D1177">
            <v>1</v>
          </cell>
          <cell r="E1177" t="str">
            <v>CVCTE</v>
          </cell>
          <cell r="F1177" t="str">
            <v>Highland Park</v>
          </cell>
          <cell r="G1177">
            <v>0</v>
          </cell>
          <cell r="H1177">
            <v>0</v>
          </cell>
          <cell r="I1177">
            <v>23.222999999999999</v>
          </cell>
          <cell r="J1177">
            <v>20.195103490000001</v>
          </cell>
          <cell r="K1177">
            <v>22.195103490000001</v>
          </cell>
          <cell r="L1177">
            <v>1.02788237628366</v>
          </cell>
          <cell r="M1177">
            <v>23.2229858662837</v>
          </cell>
          <cell r="N1177">
            <v>0.164383561643836</v>
          </cell>
          <cell r="O1177">
            <v>0</v>
          </cell>
          <cell r="P1177">
            <v>0.34246575342465801</v>
          </cell>
          <cell r="Q1177">
            <v>1</v>
          </cell>
          <cell r="R1177">
            <v>0.30434782608695699</v>
          </cell>
          <cell r="S1177">
            <v>0</v>
          </cell>
        </row>
        <row r="1178">
          <cell r="A1178">
            <v>207102</v>
          </cell>
          <cell r="B1178">
            <v>4</v>
          </cell>
          <cell r="C1178">
            <v>1</v>
          </cell>
          <cell r="D1178">
            <v>1</v>
          </cell>
          <cell r="E1178" t="str">
            <v>CVCTE</v>
          </cell>
          <cell r="F1178" t="str">
            <v>Chinatown</v>
          </cell>
          <cell r="G1178">
            <v>0</v>
          </cell>
          <cell r="H1178">
            <v>0</v>
          </cell>
          <cell r="I1178">
            <v>189.20099999999999</v>
          </cell>
          <cell r="J1178">
            <v>139.52968758</v>
          </cell>
          <cell r="K1178">
            <v>187.52968758</v>
          </cell>
          <cell r="L1178">
            <v>1.67186431868941</v>
          </cell>
          <cell r="M1178">
            <v>189.20155189868899</v>
          </cell>
          <cell r="N1178">
            <v>0.164383561643836</v>
          </cell>
          <cell r="O1178">
            <v>0</v>
          </cell>
          <cell r="P1178">
            <v>0.34246575342465801</v>
          </cell>
          <cell r="Q1178">
            <v>1</v>
          </cell>
          <cell r="R1178">
            <v>0.30434782608695699</v>
          </cell>
          <cell r="S1178">
            <v>0</v>
          </cell>
        </row>
        <row r="1179">
          <cell r="A1179">
            <v>209300</v>
          </cell>
          <cell r="B1179">
            <v>4</v>
          </cell>
          <cell r="C1179">
            <v>1</v>
          </cell>
          <cell r="D1179">
            <v>1</v>
          </cell>
          <cell r="E1179" t="str">
            <v>CVCTE</v>
          </cell>
          <cell r="F1179" t="str">
            <v>Westlake</v>
          </cell>
          <cell r="G1179">
            <v>0</v>
          </cell>
          <cell r="H1179">
            <v>1</v>
          </cell>
          <cell r="I1179">
            <v>50.595999999999997</v>
          </cell>
          <cell r="J1179">
            <v>42.633086740000003</v>
          </cell>
          <cell r="K1179">
            <v>49.633086740000003</v>
          </cell>
          <cell r="L1179">
            <v>0.96223575626570901</v>
          </cell>
          <cell r="M1179">
            <v>50.595322496265702</v>
          </cell>
          <cell r="N1179">
            <v>0.164383561643836</v>
          </cell>
          <cell r="O1179">
            <v>0</v>
          </cell>
          <cell r="P1179">
            <v>0.34246575342465801</v>
          </cell>
          <cell r="Q1179">
            <v>1</v>
          </cell>
          <cell r="R1179">
            <v>0.30434782608695699</v>
          </cell>
          <cell r="S1179">
            <v>3.28571428571429</v>
          </cell>
        </row>
        <row r="1180">
          <cell r="A1180">
            <v>199900</v>
          </cell>
          <cell r="B1180">
            <v>4</v>
          </cell>
          <cell r="C1180">
            <v>1</v>
          </cell>
          <cell r="D1180">
            <v>1</v>
          </cell>
          <cell r="E1180" t="str">
            <v>CVCTE</v>
          </cell>
          <cell r="F1180" t="str">
            <v>Lincoln Heights</v>
          </cell>
          <cell r="G1180">
            <v>0</v>
          </cell>
          <cell r="H1180">
            <v>0</v>
          </cell>
          <cell r="I1180">
            <v>14.569000000000001</v>
          </cell>
          <cell r="J1180">
            <v>11.902197960000001</v>
          </cell>
          <cell r="K1180">
            <v>13.902197960000001</v>
          </cell>
          <cell r="L1180">
            <v>0.66703560829443398</v>
          </cell>
          <cell r="M1180">
            <v>14.569233568294401</v>
          </cell>
          <cell r="N1180">
            <v>0.164383561643836</v>
          </cell>
          <cell r="O1180">
            <v>0</v>
          </cell>
          <cell r="P1180">
            <v>0.34246575342465801</v>
          </cell>
          <cell r="Q1180">
            <v>1</v>
          </cell>
          <cell r="R1180">
            <v>0.30434782608695699</v>
          </cell>
          <cell r="S1180">
            <v>0</v>
          </cell>
        </row>
        <row r="1181">
          <cell r="A1181">
            <v>186202</v>
          </cell>
          <cell r="B1181">
            <v>4</v>
          </cell>
          <cell r="C1181">
            <v>1</v>
          </cell>
          <cell r="D1181">
            <v>1</v>
          </cell>
          <cell r="E1181" t="str">
            <v>CVCTE</v>
          </cell>
          <cell r="F1181" t="str">
            <v>Eagle Rock</v>
          </cell>
          <cell r="G1181">
            <v>0</v>
          </cell>
          <cell r="H1181">
            <v>1</v>
          </cell>
          <cell r="I1181">
            <v>24.207999999999998</v>
          </cell>
          <cell r="J1181">
            <v>22.521077040000002</v>
          </cell>
          <cell r="K1181">
            <v>22.521077040000002</v>
          </cell>
          <cell r="L1181">
            <v>1.6869202465170601</v>
          </cell>
          <cell r="M1181">
            <v>24.207997286517099</v>
          </cell>
          <cell r="N1181">
            <v>0.164383561643836</v>
          </cell>
          <cell r="O1181">
            <v>0</v>
          </cell>
          <cell r="P1181">
            <v>0.34246575342465801</v>
          </cell>
          <cell r="Q1181">
            <v>1</v>
          </cell>
          <cell r="R1181">
            <v>0.30434782608695699</v>
          </cell>
          <cell r="S1181">
            <v>3.28571428571429</v>
          </cell>
        </row>
        <row r="1182">
          <cell r="A1182">
            <v>185100</v>
          </cell>
          <cell r="B1182">
            <v>4</v>
          </cell>
          <cell r="C1182">
            <v>1</v>
          </cell>
          <cell r="D1182">
            <v>1</v>
          </cell>
          <cell r="E1182" t="str">
            <v>CVCTE</v>
          </cell>
          <cell r="F1182" t="str">
            <v>Eagle Rock</v>
          </cell>
          <cell r="G1182">
            <v>0</v>
          </cell>
          <cell r="H1182">
            <v>0</v>
          </cell>
          <cell r="I1182">
            <v>38.823</v>
          </cell>
          <cell r="J1182">
            <v>35.457388340000001</v>
          </cell>
          <cell r="K1182">
            <v>37.457388340000001</v>
          </cell>
          <cell r="L1182">
            <v>1.36535061994614</v>
          </cell>
          <cell r="M1182">
            <v>38.822738959946101</v>
          </cell>
          <cell r="N1182">
            <v>0.164383561643836</v>
          </cell>
          <cell r="O1182">
            <v>0</v>
          </cell>
          <cell r="P1182">
            <v>0.34246575342465801</v>
          </cell>
          <cell r="Q1182">
            <v>1</v>
          </cell>
          <cell r="R1182">
            <v>0.30434782608695699</v>
          </cell>
          <cell r="S1182">
            <v>0</v>
          </cell>
        </row>
        <row r="1183">
          <cell r="A1183">
            <v>208801</v>
          </cell>
          <cell r="B1183">
            <v>4</v>
          </cell>
          <cell r="C1183">
            <v>1</v>
          </cell>
          <cell r="D1183">
            <v>1</v>
          </cell>
          <cell r="E1183" t="str">
            <v>FAMILY</v>
          </cell>
          <cell r="F1183" t="str">
            <v>Westlake</v>
          </cell>
          <cell r="G1183">
            <v>1</v>
          </cell>
          <cell r="H1183">
            <v>1</v>
          </cell>
          <cell r="I1183">
            <v>255.416</v>
          </cell>
          <cell r="J1183">
            <v>182.88699588</v>
          </cell>
          <cell r="K1183">
            <v>252.88699588</v>
          </cell>
          <cell r="L1183">
            <v>11.5289680352065</v>
          </cell>
          <cell r="M1183">
            <v>264.41596391520602</v>
          </cell>
          <cell r="N1183">
            <v>1</v>
          </cell>
          <cell r="O1183">
            <v>1</v>
          </cell>
        </row>
        <row r="1184">
          <cell r="A1184">
            <v>209510</v>
          </cell>
          <cell r="B1184">
            <v>4</v>
          </cell>
          <cell r="C1184">
            <v>1</v>
          </cell>
          <cell r="D1184">
            <v>1</v>
          </cell>
          <cell r="E1184" t="str">
            <v>FAMILY</v>
          </cell>
          <cell r="F1184" t="str">
            <v>Westlake</v>
          </cell>
          <cell r="G1184">
            <v>1</v>
          </cell>
          <cell r="H1184">
            <v>1</v>
          </cell>
          <cell r="I1184">
            <v>26.742999999999999</v>
          </cell>
          <cell r="J1184">
            <v>19.890414839999998</v>
          </cell>
          <cell r="K1184">
            <v>25.890414839999998</v>
          </cell>
          <cell r="L1184">
            <v>7.8524542475762997</v>
          </cell>
          <cell r="M1184">
            <v>33.742869087576302</v>
          </cell>
          <cell r="N1184">
            <v>1</v>
          </cell>
          <cell r="O1184">
            <v>1</v>
          </cell>
        </row>
        <row r="1185">
          <cell r="A1185">
            <v>209402</v>
          </cell>
          <cell r="B1185">
            <v>4</v>
          </cell>
          <cell r="C1185">
            <v>1</v>
          </cell>
          <cell r="D1185">
            <v>1</v>
          </cell>
          <cell r="E1185" t="str">
            <v>FAMILY</v>
          </cell>
          <cell r="F1185" t="str">
            <v>Westlake</v>
          </cell>
          <cell r="G1185">
            <v>1</v>
          </cell>
          <cell r="H1185">
            <v>1</v>
          </cell>
          <cell r="I1185">
            <v>21.22</v>
          </cell>
          <cell r="J1185">
            <v>5.0253681300000004</v>
          </cell>
          <cell r="K1185">
            <v>21.02536813</v>
          </cell>
          <cell r="L1185">
            <v>4.1935692599820502</v>
          </cell>
          <cell r="M1185">
            <v>25.218937389981999</v>
          </cell>
          <cell r="N1185">
            <v>1</v>
          </cell>
          <cell r="O1185">
            <v>1</v>
          </cell>
        </row>
        <row r="1186">
          <cell r="A1186">
            <v>213320</v>
          </cell>
          <cell r="B1186">
            <v>4</v>
          </cell>
          <cell r="C1186">
            <v>1</v>
          </cell>
          <cell r="D1186">
            <v>2</v>
          </cell>
          <cell r="E1186" t="str">
            <v>INDIV</v>
          </cell>
          <cell r="F1186" t="str">
            <v>Pico Union</v>
          </cell>
          <cell r="G1186">
            <v>0</v>
          </cell>
          <cell r="H1186">
            <v>0</v>
          </cell>
          <cell r="I1186">
            <v>19.959</v>
          </cell>
          <cell r="J1186">
            <v>14.79186288</v>
          </cell>
          <cell r="K1186">
            <v>19.79186288</v>
          </cell>
          <cell r="L1186">
            <v>0.166735796014363</v>
          </cell>
          <cell r="M1186">
            <v>19.9585986760144</v>
          </cell>
          <cell r="N1186">
            <v>8.5106382978723402E-2</v>
          </cell>
          <cell r="O1186">
            <v>0</v>
          </cell>
          <cell r="P1186">
            <v>0.19148936170212799</v>
          </cell>
          <cell r="Q1186">
            <v>0.9</v>
          </cell>
        </row>
        <row r="1187">
          <cell r="A1187">
            <v>199400</v>
          </cell>
          <cell r="B1187">
            <v>4</v>
          </cell>
          <cell r="C1187">
            <v>1</v>
          </cell>
          <cell r="D1187">
            <v>1</v>
          </cell>
          <cell r="E1187" t="str">
            <v>INDIV</v>
          </cell>
          <cell r="F1187" t="str">
            <v>Eagle Rock</v>
          </cell>
          <cell r="G1187">
            <v>0</v>
          </cell>
          <cell r="H1187">
            <v>0</v>
          </cell>
          <cell r="I1187">
            <v>17.227</v>
          </cell>
          <cell r="J1187">
            <v>16.546338330000001</v>
          </cell>
          <cell r="K1187">
            <v>16.546338330000001</v>
          </cell>
          <cell r="L1187">
            <v>0.68037691935368005</v>
          </cell>
          <cell r="M1187">
            <v>17.226715249353699</v>
          </cell>
          <cell r="N1187">
            <v>8.5106382978723402E-2</v>
          </cell>
          <cell r="O1187">
            <v>0</v>
          </cell>
          <cell r="P1187">
            <v>0.19148936170212799</v>
          </cell>
          <cell r="Q1187">
            <v>0.9</v>
          </cell>
        </row>
        <row r="1188">
          <cell r="A1188">
            <v>213402</v>
          </cell>
          <cell r="B1188">
            <v>4</v>
          </cell>
          <cell r="C1188">
            <v>1</v>
          </cell>
          <cell r="D1188">
            <v>2</v>
          </cell>
          <cell r="E1188" t="str">
            <v>INDIV</v>
          </cell>
          <cell r="F1188" t="str">
            <v>Pico Union</v>
          </cell>
          <cell r="G1188">
            <v>0</v>
          </cell>
          <cell r="H1188">
            <v>0</v>
          </cell>
          <cell r="I1188">
            <v>4.851</v>
          </cell>
          <cell r="J1188">
            <v>3.8097598800000001</v>
          </cell>
          <cell r="K1188">
            <v>4.8097598799999997</v>
          </cell>
          <cell r="L1188">
            <v>4.1250644165170602E-2</v>
          </cell>
          <cell r="M1188">
            <v>4.8510105241651704</v>
          </cell>
          <cell r="N1188">
            <v>8.5106382978723402E-2</v>
          </cell>
          <cell r="O1188">
            <v>0</v>
          </cell>
          <cell r="P1188">
            <v>0.19148936170212799</v>
          </cell>
          <cell r="Q1188">
            <v>0.9</v>
          </cell>
        </row>
        <row r="1189">
          <cell r="A1189">
            <v>209102</v>
          </cell>
          <cell r="B1189">
            <v>4</v>
          </cell>
          <cell r="C1189">
            <v>1</v>
          </cell>
          <cell r="D1189">
            <v>1</v>
          </cell>
          <cell r="E1189" t="str">
            <v>INDIV</v>
          </cell>
          <cell r="F1189" t="str">
            <v>Westlake</v>
          </cell>
          <cell r="G1189">
            <v>0</v>
          </cell>
          <cell r="H1189">
            <v>0</v>
          </cell>
          <cell r="I1189">
            <v>29.152999999999999</v>
          </cell>
          <cell r="J1189">
            <v>10.698920449999999</v>
          </cell>
          <cell r="K1189">
            <v>28.698920449999999</v>
          </cell>
          <cell r="L1189">
            <v>0.45384627226211899</v>
          </cell>
          <cell r="M1189">
            <v>29.152766722262101</v>
          </cell>
          <cell r="N1189">
            <v>8.5106382978723402E-2</v>
          </cell>
          <cell r="O1189">
            <v>0</v>
          </cell>
          <cell r="P1189">
            <v>0.19148936170212799</v>
          </cell>
          <cell r="Q1189">
            <v>0.9</v>
          </cell>
        </row>
        <row r="1190">
          <cell r="A1190">
            <v>183810</v>
          </cell>
          <cell r="B1190">
            <v>4</v>
          </cell>
          <cell r="C1190">
            <v>1</v>
          </cell>
          <cell r="D1190">
            <v>1</v>
          </cell>
          <cell r="E1190" t="str">
            <v>INDIV</v>
          </cell>
          <cell r="F1190" t="str">
            <v>Highland Park</v>
          </cell>
          <cell r="G1190">
            <v>1</v>
          </cell>
          <cell r="H1190">
            <v>1</v>
          </cell>
          <cell r="I1190">
            <v>5.8079999999999998</v>
          </cell>
          <cell r="J1190">
            <v>1.73313217</v>
          </cell>
          <cell r="K1190">
            <v>5.7331321700000002</v>
          </cell>
          <cell r="L1190">
            <v>7.4985510287253102E-2</v>
          </cell>
          <cell r="M1190">
            <v>5.8081176802872498</v>
          </cell>
          <cell r="N1190">
            <v>8.5106382978723402E-2</v>
          </cell>
          <cell r="O1190">
            <v>11.75</v>
          </cell>
          <cell r="P1190">
            <v>0.19148936170212799</v>
          </cell>
          <cell r="Q1190">
            <v>0.9</v>
          </cell>
        </row>
        <row r="1191">
          <cell r="A1191">
            <v>208903</v>
          </cell>
          <cell r="B1191">
            <v>4</v>
          </cell>
          <cell r="C1191">
            <v>1</v>
          </cell>
          <cell r="D1191">
            <v>1</v>
          </cell>
          <cell r="E1191" t="str">
            <v>INDIV</v>
          </cell>
          <cell r="F1191" t="str">
            <v>Westlake</v>
          </cell>
          <cell r="G1191">
            <v>0</v>
          </cell>
          <cell r="H1191">
            <v>0</v>
          </cell>
          <cell r="I1191">
            <v>34.872</v>
          </cell>
          <cell r="J1191">
            <v>7.6983394799999996</v>
          </cell>
          <cell r="K1191">
            <v>34.698339480000001</v>
          </cell>
          <cell r="L1191">
            <v>0.17304856763016199</v>
          </cell>
          <cell r="M1191">
            <v>34.871388047630198</v>
          </cell>
          <cell r="N1191">
            <v>8.5106382978723402E-2</v>
          </cell>
          <cell r="O1191">
            <v>0</v>
          </cell>
          <cell r="P1191">
            <v>0.19148936170212799</v>
          </cell>
          <cell r="Q1191">
            <v>0.9</v>
          </cell>
        </row>
        <row r="1192">
          <cell r="A1192">
            <v>213310</v>
          </cell>
          <cell r="B1192">
            <v>4</v>
          </cell>
          <cell r="C1192">
            <v>1</v>
          </cell>
          <cell r="D1192">
            <v>2</v>
          </cell>
          <cell r="E1192" t="str">
            <v>INDIV</v>
          </cell>
          <cell r="F1192" t="str">
            <v>Pico Union</v>
          </cell>
          <cell r="G1192">
            <v>0</v>
          </cell>
          <cell r="H1192">
            <v>0</v>
          </cell>
          <cell r="I1192">
            <v>9.48</v>
          </cell>
          <cell r="J1192">
            <v>7.39593144</v>
          </cell>
          <cell r="K1192">
            <v>9.39593144</v>
          </cell>
          <cell r="L1192">
            <v>8.3367898007181293E-2</v>
          </cell>
          <cell r="M1192">
            <v>9.4792993380071806</v>
          </cell>
          <cell r="N1192">
            <v>8.5106382978723402E-2</v>
          </cell>
          <cell r="O1192">
            <v>0</v>
          </cell>
          <cell r="P1192">
            <v>0.19148936170212799</v>
          </cell>
          <cell r="Q1192">
            <v>0.9</v>
          </cell>
        </row>
        <row r="1193">
          <cell r="A1193">
            <v>186201</v>
          </cell>
          <cell r="B1193">
            <v>4</v>
          </cell>
          <cell r="C1193">
            <v>1</v>
          </cell>
          <cell r="D1193">
            <v>1</v>
          </cell>
          <cell r="E1193" t="str">
            <v>INDIV</v>
          </cell>
          <cell r="F1193" t="str">
            <v>Eagle Rock</v>
          </cell>
          <cell r="G1193">
            <v>0</v>
          </cell>
          <cell r="H1193">
            <v>0</v>
          </cell>
          <cell r="I1193">
            <v>8.734</v>
          </cell>
          <cell r="J1193">
            <v>3.63801211</v>
          </cell>
          <cell r="K1193">
            <v>8.63801211</v>
          </cell>
          <cell r="L1193">
            <v>9.5610832369838403E-2</v>
          </cell>
          <cell r="M1193">
            <v>8.7336229423698395</v>
          </cell>
          <cell r="N1193">
            <v>8.5106382978723402E-2</v>
          </cell>
          <cell r="O1193">
            <v>0</v>
          </cell>
          <cell r="P1193">
            <v>0.19148936170212799</v>
          </cell>
          <cell r="Q1193">
            <v>0.9</v>
          </cell>
        </row>
        <row r="1194">
          <cell r="A1194">
            <v>208720</v>
          </cell>
          <cell r="B1194">
            <v>4</v>
          </cell>
          <cell r="C1194">
            <v>1</v>
          </cell>
          <cell r="D1194">
            <v>2</v>
          </cell>
          <cell r="E1194" t="str">
            <v>INDIV</v>
          </cell>
          <cell r="F1194" t="str">
            <v>Westlake</v>
          </cell>
          <cell r="G1194">
            <v>0</v>
          </cell>
          <cell r="H1194">
            <v>0</v>
          </cell>
          <cell r="I1194">
            <v>25.314</v>
          </cell>
          <cell r="J1194">
            <v>9.6887339899999994</v>
          </cell>
          <cell r="K1194">
            <v>24.688733989999999</v>
          </cell>
          <cell r="L1194">
            <v>0.62495236107719898</v>
          </cell>
          <cell r="M1194">
            <v>25.313686351077202</v>
          </cell>
          <cell r="N1194">
            <v>8.5106382978723402E-2</v>
          </cell>
          <cell r="O1194">
            <v>0</v>
          </cell>
          <cell r="P1194">
            <v>0.19148936170212799</v>
          </cell>
          <cell r="Q1194">
            <v>0.9</v>
          </cell>
        </row>
        <row r="1195">
          <cell r="A1195">
            <v>224420</v>
          </cell>
          <cell r="B1195">
            <v>6</v>
          </cell>
          <cell r="C1195">
            <v>1</v>
          </cell>
          <cell r="D1195">
            <v>1</v>
          </cell>
          <cell r="E1195" t="str">
            <v>INDIV</v>
          </cell>
          <cell r="F1195" t="str">
            <v>University Park</v>
          </cell>
          <cell r="G1195">
            <v>0</v>
          </cell>
          <cell r="H1195">
            <v>0</v>
          </cell>
          <cell r="I1195">
            <v>41.860999999999997</v>
          </cell>
          <cell r="J1195">
            <v>21.18836091</v>
          </cell>
          <cell r="K1195">
            <v>41.18836091</v>
          </cell>
          <cell r="L1195">
            <v>0.67310440739676802</v>
          </cell>
          <cell r="M1195">
            <v>41.861465317396799</v>
          </cell>
          <cell r="N1195">
            <v>3.2258064516128997E-2</v>
          </cell>
          <cell r="O1195">
            <v>0</v>
          </cell>
          <cell r="P1195">
            <v>3.2258064516128997E-2</v>
          </cell>
          <cell r="Q1195">
            <v>0.1</v>
          </cell>
        </row>
        <row r="1196">
          <cell r="A1196">
            <v>221110</v>
          </cell>
          <cell r="B1196">
            <v>4</v>
          </cell>
          <cell r="C1196">
            <v>1</v>
          </cell>
          <cell r="D1196">
            <v>2</v>
          </cell>
          <cell r="E1196" t="str">
            <v>NON-HS</v>
          </cell>
          <cell r="F1196" t="str">
            <v>Pico Union</v>
          </cell>
          <cell r="G1196">
            <v>0</v>
          </cell>
          <cell r="H1196">
            <v>0</v>
          </cell>
          <cell r="I1196">
            <v>13.723000000000001</v>
          </cell>
          <cell r="J1196">
            <v>11.508099359999999</v>
          </cell>
          <cell r="K1196">
            <v>13.508099359999999</v>
          </cell>
          <cell r="L1196">
            <v>0.21429921179533201</v>
          </cell>
          <cell r="M1196">
            <v>13.722398571795299</v>
          </cell>
          <cell r="N1196">
            <v>2.6315789473684199E-2</v>
          </cell>
          <cell r="O1196">
            <v>0</v>
          </cell>
          <cell r="P1196">
            <v>0.197368421052632</v>
          </cell>
          <cell r="Q1196">
            <v>0.9375</v>
          </cell>
          <cell r="R1196">
            <v>0.1</v>
          </cell>
          <cell r="S1196">
            <v>0</v>
          </cell>
        </row>
        <row r="1197">
          <cell r="A1197">
            <v>183820</v>
          </cell>
          <cell r="B1197">
            <v>4</v>
          </cell>
          <cell r="C1197">
            <v>1</v>
          </cell>
          <cell r="D1197">
            <v>1</v>
          </cell>
          <cell r="E1197" t="str">
            <v>NON-HS</v>
          </cell>
          <cell r="F1197" t="str">
            <v>Highland Park</v>
          </cell>
          <cell r="G1197">
            <v>0</v>
          </cell>
          <cell r="H1197">
            <v>0</v>
          </cell>
          <cell r="I1197">
            <v>14.156000000000001</v>
          </cell>
          <cell r="J1197">
            <v>13.649438460000001</v>
          </cell>
          <cell r="K1197">
            <v>13.649438460000001</v>
          </cell>
          <cell r="L1197">
            <v>0.50656637177737895</v>
          </cell>
          <cell r="M1197">
            <v>14.1560048317774</v>
          </cell>
          <cell r="N1197">
            <v>2.6315789473684199E-2</v>
          </cell>
          <cell r="O1197">
            <v>0</v>
          </cell>
          <cell r="P1197">
            <v>0.197368421052632</v>
          </cell>
          <cell r="Q1197">
            <v>0.9375</v>
          </cell>
          <cell r="R1197">
            <v>0.1</v>
          </cell>
          <cell r="S1197">
            <v>0</v>
          </cell>
        </row>
        <row r="1198">
          <cell r="A1198">
            <v>209104</v>
          </cell>
          <cell r="B1198">
            <v>4</v>
          </cell>
          <cell r="C1198">
            <v>1</v>
          </cell>
          <cell r="D1198">
            <v>1</v>
          </cell>
          <cell r="E1198" t="str">
            <v>NON-HS</v>
          </cell>
          <cell r="F1198" t="str">
            <v>Westlake</v>
          </cell>
          <cell r="G1198">
            <v>0</v>
          </cell>
          <cell r="H1198">
            <v>0</v>
          </cell>
          <cell r="I1198">
            <v>1.8080000000000001</v>
          </cell>
          <cell r="J1198">
            <v>1.73313217</v>
          </cell>
          <cell r="K1198">
            <v>1.73313217</v>
          </cell>
          <cell r="L1198">
            <v>7.4985510287253102E-2</v>
          </cell>
          <cell r="M1198">
            <v>1.8081176802872501</v>
          </cell>
          <cell r="N1198">
            <v>2.6315789473684199E-2</v>
          </cell>
          <cell r="O1198">
            <v>0</v>
          </cell>
          <cell r="P1198">
            <v>0.197368421052632</v>
          </cell>
          <cell r="Q1198">
            <v>0.9375</v>
          </cell>
          <cell r="R1198">
            <v>0.1</v>
          </cell>
          <cell r="S1198">
            <v>0</v>
          </cell>
        </row>
        <row r="1199">
          <cell r="A1199">
            <v>207103</v>
          </cell>
          <cell r="B1199">
            <v>4</v>
          </cell>
          <cell r="C1199">
            <v>1</v>
          </cell>
          <cell r="D1199">
            <v>1</v>
          </cell>
          <cell r="E1199" t="str">
            <v>NON-HS</v>
          </cell>
          <cell r="F1199" t="str">
            <v>Chinatown</v>
          </cell>
          <cell r="G1199">
            <v>0</v>
          </cell>
          <cell r="H1199">
            <v>0</v>
          </cell>
          <cell r="I1199">
            <v>10.749000000000001</v>
          </cell>
          <cell r="J1199">
            <v>10.27660519</v>
          </cell>
          <cell r="K1199">
            <v>10.27660519</v>
          </cell>
          <cell r="L1199">
            <v>0.47201936937163402</v>
          </cell>
          <cell r="M1199">
            <v>10.748624559371599</v>
          </cell>
          <cell r="N1199">
            <v>2.6315789473684199E-2</v>
          </cell>
          <cell r="O1199">
            <v>0</v>
          </cell>
          <cell r="P1199">
            <v>0.197368421052632</v>
          </cell>
          <cell r="Q1199">
            <v>0.9375</v>
          </cell>
          <cell r="R1199">
            <v>0.1</v>
          </cell>
          <cell r="S1199">
            <v>0</v>
          </cell>
        </row>
        <row r="1200">
          <cell r="A1200">
            <v>208710</v>
          </cell>
          <cell r="B1200">
            <v>4</v>
          </cell>
          <cell r="C1200">
            <v>1</v>
          </cell>
          <cell r="D1200">
            <v>2</v>
          </cell>
          <cell r="E1200" t="str">
            <v>NON-HS</v>
          </cell>
          <cell r="F1200" t="str">
            <v>Rampart Village</v>
          </cell>
          <cell r="G1200">
            <v>0</v>
          </cell>
          <cell r="H1200">
            <v>0</v>
          </cell>
          <cell r="I1200">
            <v>9.3620000000000001</v>
          </cell>
          <cell r="J1200">
            <v>7.2241836700000004</v>
          </cell>
          <cell r="K1200">
            <v>9.2241836700000004</v>
          </cell>
          <cell r="L1200">
            <v>0.13772808621184901</v>
          </cell>
          <cell r="M1200">
            <v>9.3619117562118497</v>
          </cell>
          <cell r="N1200">
            <v>2.6315789473684199E-2</v>
          </cell>
          <cell r="O1200">
            <v>0</v>
          </cell>
          <cell r="P1200">
            <v>0.197368421052632</v>
          </cell>
          <cell r="Q1200">
            <v>0.9375</v>
          </cell>
          <cell r="R1200">
            <v>0.1</v>
          </cell>
          <cell r="S1200">
            <v>0</v>
          </cell>
        </row>
        <row r="1201">
          <cell r="A1201">
            <v>208904</v>
          </cell>
          <cell r="B1201">
            <v>4</v>
          </cell>
          <cell r="C1201">
            <v>1</v>
          </cell>
          <cell r="D1201">
            <v>1</v>
          </cell>
          <cell r="E1201" t="str">
            <v>NON-HS</v>
          </cell>
          <cell r="F1201" t="str">
            <v>Westlake</v>
          </cell>
          <cell r="G1201">
            <v>0</v>
          </cell>
          <cell r="H1201">
            <v>0</v>
          </cell>
          <cell r="I1201">
            <v>6</v>
          </cell>
          <cell r="J1201">
            <v>0</v>
          </cell>
          <cell r="K1201">
            <v>6</v>
          </cell>
          <cell r="L1201">
            <v>0</v>
          </cell>
          <cell r="M1201">
            <v>6</v>
          </cell>
          <cell r="N1201">
            <v>2.6315789473684199E-2</v>
          </cell>
          <cell r="O1201">
            <v>0</v>
          </cell>
          <cell r="P1201">
            <v>0.197368421052632</v>
          </cell>
          <cell r="Q1201">
            <v>0.9375</v>
          </cell>
          <cell r="R1201">
            <v>0.1</v>
          </cell>
          <cell r="S1201">
            <v>0</v>
          </cell>
        </row>
        <row r="1202">
          <cell r="A1202">
            <v>209103</v>
          </cell>
          <cell r="B1202">
            <v>4</v>
          </cell>
          <cell r="C1202">
            <v>1</v>
          </cell>
          <cell r="D1202">
            <v>1</v>
          </cell>
          <cell r="E1202" t="str">
            <v>NON-HS</v>
          </cell>
          <cell r="F1202" t="str">
            <v>Westlake</v>
          </cell>
          <cell r="G1202">
            <v>0</v>
          </cell>
          <cell r="H1202">
            <v>0</v>
          </cell>
          <cell r="I1202">
            <v>1</v>
          </cell>
          <cell r="J1202">
            <v>0</v>
          </cell>
          <cell r="K1202">
            <v>1</v>
          </cell>
          <cell r="L1202">
            <v>0</v>
          </cell>
          <cell r="M1202">
            <v>1</v>
          </cell>
          <cell r="N1202">
            <v>2.6315789473684199E-2</v>
          </cell>
          <cell r="O1202">
            <v>0</v>
          </cell>
          <cell r="P1202">
            <v>0.197368421052632</v>
          </cell>
          <cell r="Q1202">
            <v>0.9375</v>
          </cell>
          <cell r="R1202">
            <v>0.1</v>
          </cell>
          <cell r="S1202">
            <v>0</v>
          </cell>
        </row>
        <row r="1203">
          <cell r="A1203">
            <v>209403</v>
          </cell>
          <cell r="B1203">
            <v>4</v>
          </cell>
          <cell r="C1203">
            <v>1</v>
          </cell>
          <cell r="D1203">
            <v>1</v>
          </cell>
          <cell r="E1203" t="str">
            <v>NON-HS</v>
          </cell>
          <cell r="F1203" t="str">
            <v>Westlake</v>
          </cell>
          <cell r="G1203">
            <v>0</v>
          </cell>
          <cell r="H1203">
            <v>1</v>
          </cell>
          <cell r="I1203">
            <v>16.382999999999999</v>
          </cell>
          <cell r="J1203">
            <v>11.11276327</v>
          </cell>
          <cell r="K1203">
            <v>16.112763269999999</v>
          </cell>
          <cell r="L1203">
            <v>0.26952600967683998</v>
          </cell>
          <cell r="M1203">
            <v>16.382289279676801</v>
          </cell>
          <cell r="N1203">
            <v>2.6315789473684199E-2</v>
          </cell>
          <cell r="O1203">
            <v>0</v>
          </cell>
          <cell r="P1203">
            <v>0.197368421052632</v>
          </cell>
          <cell r="Q1203">
            <v>0.9375</v>
          </cell>
          <cell r="R1203">
            <v>0.1</v>
          </cell>
          <cell r="S1203">
            <v>10</v>
          </cell>
        </row>
        <row r="1204">
          <cell r="A1204">
            <v>209810</v>
          </cell>
          <cell r="B1204">
            <v>4</v>
          </cell>
          <cell r="C1204">
            <v>1</v>
          </cell>
          <cell r="D1204">
            <v>1</v>
          </cell>
          <cell r="E1204" t="str">
            <v>NON-HS</v>
          </cell>
          <cell r="F1204" t="str">
            <v>Pico Union</v>
          </cell>
          <cell r="G1204">
            <v>0</v>
          </cell>
          <cell r="H1204">
            <v>0</v>
          </cell>
          <cell r="I1204">
            <v>4.851</v>
          </cell>
          <cell r="J1204">
            <v>3.8097598800000001</v>
          </cell>
          <cell r="K1204">
            <v>4.8097598799999997</v>
          </cell>
          <cell r="L1204">
            <v>4.1250644165170602E-2</v>
          </cell>
          <cell r="M1204">
            <v>4.8510105241651704</v>
          </cell>
          <cell r="N1204">
            <v>2.6315789473684199E-2</v>
          </cell>
          <cell r="O1204">
            <v>0</v>
          </cell>
          <cell r="P1204">
            <v>0.197368421052632</v>
          </cell>
          <cell r="Q1204">
            <v>0.9375</v>
          </cell>
          <cell r="R1204">
            <v>0.1</v>
          </cell>
          <cell r="S1204">
            <v>0</v>
          </cell>
        </row>
        <row r="1205">
          <cell r="A1205">
            <v>209820</v>
          </cell>
          <cell r="B1205">
            <v>4</v>
          </cell>
          <cell r="C1205">
            <v>1</v>
          </cell>
          <cell r="D1205">
            <v>1</v>
          </cell>
          <cell r="E1205" t="str">
            <v>NON-HS</v>
          </cell>
          <cell r="F1205" t="str">
            <v>Pico Union</v>
          </cell>
          <cell r="G1205">
            <v>0</v>
          </cell>
          <cell r="H1205">
            <v>0</v>
          </cell>
          <cell r="I1205">
            <v>1.9259999999999999</v>
          </cell>
          <cell r="J1205">
            <v>1.90487994</v>
          </cell>
          <cell r="K1205">
            <v>1.90487994</v>
          </cell>
          <cell r="L1205">
            <v>2.0625322082585301E-2</v>
          </cell>
          <cell r="M1205">
            <v>1.9255052620825901</v>
          </cell>
          <cell r="N1205">
            <v>2.6315789473684199E-2</v>
          </cell>
          <cell r="O1205">
            <v>0</v>
          </cell>
          <cell r="P1205">
            <v>0.197368421052632</v>
          </cell>
          <cell r="Q1205">
            <v>0.9375</v>
          </cell>
          <cell r="R1205">
            <v>0.1</v>
          </cell>
          <cell r="S1205">
            <v>0</v>
          </cell>
        </row>
        <row r="1206">
          <cell r="A1206">
            <v>212202</v>
          </cell>
          <cell r="B1206">
            <v>4</v>
          </cell>
          <cell r="C1206">
            <v>1</v>
          </cell>
          <cell r="D1206">
            <v>2</v>
          </cell>
          <cell r="E1206" t="str">
            <v>NON-HS</v>
          </cell>
          <cell r="F1206" t="str">
            <v>Westlake</v>
          </cell>
          <cell r="G1206">
            <v>0</v>
          </cell>
          <cell r="H1206">
            <v>0</v>
          </cell>
          <cell r="I1206">
            <v>2</v>
          </cell>
          <cell r="J1206">
            <v>0</v>
          </cell>
          <cell r="K1206">
            <v>2</v>
          </cell>
          <cell r="L1206">
            <v>0</v>
          </cell>
          <cell r="M1206">
            <v>2</v>
          </cell>
          <cell r="N1206">
            <v>2.6315789473684199E-2</v>
          </cell>
          <cell r="O1206">
            <v>0</v>
          </cell>
          <cell r="P1206">
            <v>0.197368421052632</v>
          </cell>
          <cell r="Q1206">
            <v>0.9375</v>
          </cell>
          <cell r="R1206">
            <v>0.1</v>
          </cell>
          <cell r="S1206">
            <v>0</v>
          </cell>
        </row>
        <row r="1207">
          <cell r="A1207">
            <v>213401</v>
          </cell>
          <cell r="B1207">
            <v>4</v>
          </cell>
          <cell r="C1207">
            <v>1</v>
          </cell>
          <cell r="D1207">
            <v>2</v>
          </cell>
          <cell r="E1207" t="str">
            <v>NON-HS</v>
          </cell>
          <cell r="F1207" t="str">
            <v>Westlake</v>
          </cell>
          <cell r="G1207">
            <v>0</v>
          </cell>
          <cell r="H1207">
            <v>0</v>
          </cell>
          <cell r="I1207">
            <v>6.7720000000000002</v>
          </cell>
          <cell r="J1207">
            <v>4.31758971</v>
          </cell>
          <cell r="K1207">
            <v>6.31758971</v>
          </cell>
          <cell r="L1207">
            <v>0.45435601842010798</v>
          </cell>
          <cell r="M1207">
            <v>6.7719457284201097</v>
          </cell>
          <cell r="N1207">
            <v>2.6315789473684199E-2</v>
          </cell>
          <cell r="O1207">
            <v>0</v>
          </cell>
          <cell r="P1207">
            <v>0.197368421052632</v>
          </cell>
          <cell r="Q1207">
            <v>0.9375</v>
          </cell>
          <cell r="R1207">
            <v>0.1</v>
          </cell>
          <cell r="S1207">
            <v>0</v>
          </cell>
        </row>
        <row r="1208">
          <cell r="A1208">
            <v>221120</v>
          </cell>
          <cell r="B1208">
            <v>4</v>
          </cell>
          <cell r="C1208">
            <v>1</v>
          </cell>
          <cell r="D1208">
            <v>2</v>
          </cell>
          <cell r="E1208" t="str">
            <v>NON-HS</v>
          </cell>
          <cell r="F1208" t="str">
            <v>Pico Union</v>
          </cell>
          <cell r="G1208">
            <v>0</v>
          </cell>
          <cell r="H1208">
            <v>0</v>
          </cell>
          <cell r="I1208">
            <v>6.3319999999999999</v>
          </cell>
          <cell r="J1208">
            <v>5.26746318</v>
          </cell>
          <cell r="K1208">
            <v>6.26746318</v>
          </cell>
          <cell r="L1208">
            <v>6.3609185601436302E-2</v>
          </cell>
          <cell r="M1208">
            <v>6.3310723656014396</v>
          </cell>
          <cell r="N1208">
            <v>2.6315789473684199E-2</v>
          </cell>
          <cell r="O1208">
            <v>0</v>
          </cell>
          <cell r="P1208">
            <v>0.197368421052632</v>
          </cell>
          <cell r="Q1208">
            <v>0.9375</v>
          </cell>
          <cell r="R1208">
            <v>0.1</v>
          </cell>
          <cell r="S1208">
            <v>0</v>
          </cell>
        </row>
        <row r="1209">
          <cell r="A1209">
            <v>224200</v>
          </cell>
          <cell r="B1209">
            <v>4</v>
          </cell>
          <cell r="C1209">
            <v>1</v>
          </cell>
          <cell r="D1209">
            <v>1</v>
          </cell>
          <cell r="E1209" t="str">
            <v>NON-HS</v>
          </cell>
          <cell r="F1209" t="str">
            <v>Pico Union</v>
          </cell>
          <cell r="G1209">
            <v>0</v>
          </cell>
          <cell r="H1209">
            <v>0</v>
          </cell>
          <cell r="I1209">
            <v>26.972000000000001</v>
          </cell>
          <cell r="J1209">
            <v>18.252491330000002</v>
          </cell>
          <cell r="K1209">
            <v>26.252491330000002</v>
          </cell>
          <cell r="L1209">
            <v>0.71830872886894104</v>
          </cell>
          <cell r="M1209">
            <v>26.9708000588689</v>
          </cell>
          <cell r="N1209">
            <v>2.6315789473684199E-2</v>
          </cell>
          <cell r="O1209">
            <v>0</v>
          </cell>
          <cell r="P1209">
            <v>0.197368421052632</v>
          </cell>
          <cell r="Q1209">
            <v>0.9375</v>
          </cell>
          <cell r="R1209">
            <v>0.1</v>
          </cell>
          <cell r="S1209">
            <v>0</v>
          </cell>
        </row>
        <row r="1210">
          <cell r="A1210">
            <v>224310</v>
          </cell>
          <cell r="B1210">
            <v>4</v>
          </cell>
          <cell r="C1210">
            <v>1</v>
          </cell>
          <cell r="D1210">
            <v>1</v>
          </cell>
          <cell r="E1210" t="str">
            <v>NON-HS</v>
          </cell>
          <cell r="F1210" t="str">
            <v>Pico Union</v>
          </cell>
          <cell r="G1210">
            <v>0</v>
          </cell>
          <cell r="H1210">
            <v>0</v>
          </cell>
          <cell r="I1210">
            <v>1.7030000000000001</v>
          </cell>
          <cell r="J1210">
            <v>1.6812916200000001</v>
          </cell>
          <cell r="K1210">
            <v>1.6812916200000001</v>
          </cell>
          <cell r="L1210">
            <v>2.14919317594255E-2</v>
          </cell>
          <cell r="M1210">
            <v>1.7027835517594301</v>
          </cell>
          <cell r="N1210">
            <v>2.6315789473684199E-2</v>
          </cell>
          <cell r="O1210">
            <v>0</v>
          </cell>
          <cell r="P1210">
            <v>0.197368421052632</v>
          </cell>
          <cell r="Q1210">
            <v>0.9375</v>
          </cell>
          <cell r="R1210">
            <v>0.1</v>
          </cell>
          <cell r="S1210">
            <v>0</v>
          </cell>
        </row>
        <row r="1211">
          <cell r="A1211">
            <v>224320</v>
          </cell>
          <cell r="B1211">
            <v>4</v>
          </cell>
          <cell r="C1211">
            <v>1</v>
          </cell>
          <cell r="D1211">
            <v>1</v>
          </cell>
          <cell r="E1211" t="str">
            <v>NON-HS</v>
          </cell>
          <cell r="F1211" t="str">
            <v>Pico Union</v>
          </cell>
          <cell r="G1211">
            <v>0</v>
          </cell>
          <cell r="H1211">
            <v>0</v>
          </cell>
          <cell r="I1211">
            <v>17.213000000000001</v>
          </cell>
          <cell r="J1211">
            <v>11.03394355</v>
          </cell>
          <cell r="K1211">
            <v>17.03394355</v>
          </cell>
          <cell r="L1211">
            <v>0.17897873037702</v>
          </cell>
          <cell r="M1211">
            <v>17.212922280377001</v>
          </cell>
          <cell r="N1211">
            <v>2.6315789473684199E-2</v>
          </cell>
          <cell r="O1211">
            <v>0</v>
          </cell>
          <cell r="P1211">
            <v>0.197368421052632</v>
          </cell>
          <cell r="Q1211">
            <v>0.9375</v>
          </cell>
          <cell r="R1211">
            <v>0.1</v>
          </cell>
          <cell r="S1211">
            <v>0</v>
          </cell>
        </row>
        <row r="1212">
          <cell r="A1212">
            <v>186404</v>
          </cell>
          <cell r="B1212">
            <v>4</v>
          </cell>
          <cell r="C1212">
            <v>1</v>
          </cell>
          <cell r="D1212">
            <v>1</v>
          </cell>
          <cell r="E1212" t="str">
            <v>NON-HS</v>
          </cell>
          <cell r="F1212" t="str">
            <v>Glassell Park</v>
          </cell>
          <cell r="G1212">
            <v>0</v>
          </cell>
          <cell r="H1212">
            <v>1</v>
          </cell>
          <cell r="I1212">
            <v>13.803000000000001</v>
          </cell>
          <cell r="J1212">
            <v>13.13419515</v>
          </cell>
          <cell r="K1212">
            <v>13.13419515</v>
          </cell>
          <cell r="L1212">
            <v>0.66964693639138195</v>
          </cell>
          <cell r="M1212">
            <v>13.8038420863914</v>
          </cell>
          <cell r="N1212">
            <v>2.6315789473684199E-2</v>
          </cell>
          <cell r="O1212">
            <v>0</v>
          </cell>
          <cell r="P1212">
            <v>0.197368421052632</v>
          </cell>
          <cell r="Q1212">
            <v>0.9375</v>
          </cell>
          <cell r="R1212">
            <v>0.1</v>
          </cell>
          <cell r="S1212">
            <v>10</v>
          </cell>
        </row>
        <row r="1213">
          <cell r="A1213">
            <v>183510</v>
          </cell>
          <cell r="B1213">
            <v>4</v>
          </cell>
          <cell r="C1213">
            <v>1</v>
          </cell>
          <cell r="D1213">
            <v>1</v>
          </cell>
          <cell r="E1213" t="str">
            <v>NON-HS</v>
          </cell>
          <cell r="F1213" t="str">
            <v>Highland Park</v>
          </cell>
          <cell r="G1213">
            <v>0</v>
          </cell>
          <cell r="H1213">
            <v>1</v>
          </cell>
          <cell r="I1213">
            <v>17.706</v>
          </cell>
          <cell r="J1213">
            <v>16.85102698</v>
          </cell>
          <cell r="K1213">
            <v>16.85102698</v>
          </cell>
          <cell r="L1213">
            <v>0.85580504806104096</v>
          </cell>
          <cell r="M1213">
            <v>17.706832028061001</v>
          </cell>
          <cell r="N1213">
            <v>2.6315789473684199E-2</v>
          </cell>
          <cell r="O1213">
            <v>0</v>
          </cell>
          <cell r="P1213">
            <v>0.197368421052632</v>
          </cell>
          <cell r="Q1213">
            <v>0.9375</v>
          </cell>
          <cell r="R1213">
            <v>0.1</v>
          </cell>
          <cell r="S1213">
            <v>10</v>
          </cell>
        </row>
        <row r="1214">
          <cell r="A1214">
            <v>183520</v>
          </cell>
          <cell r="B1214">
            <v>4</v>
          </cell>
          <cell r="C1214">
            <v>1</v>
          </cell>
          <cell r="D1214">
            <v>1</v>
          </cell>
          <cell r="E1214" t="str">
            <v>NON-HS</v>
          </cell>
          <cell r="F1214" t="str">
            <v>Highland Park</v>
          </cell>
          <cell r="G1214">
            <v>0</v>
          </cell>
          <cell r="H1214">
            <v>0</v>
          </cell>
          <cell r="I1214">
            <v>12.725</v>
          </cell>
          <cell r="J1214">
            <v>11.51357256</v>
          </cell>
          <cell r="K1214">
            <v>11.51357256</v>
          </cell>
          <cell r="L1214">
            <v>1.2116160491202901</v>
          </cell>
          <cell r="M1214">
            <v>12.7251886091203</v>
          </cell>
          <cell r="N1214">
            <v>2.6315789473684199E-2</v>
          </cell>
          <cell r="O1214">
            <v>0</v>
          </cell>
          <cell r="P1214">
            <v>0.197368421052632</v>
          </cell>
          <cell r="Q1214">
            <v>0.9375</v>
          </cell>
          <cell r="R1214">
            <v>0.1</v>
          </cell>
          <cell r="S1214">
            <v>0</v>
          </cell>
        </row>
        <row r="1215">
          <cell r="A1215">
            <v>185202</v>
          </cell>
          <cell r="B1215">
            <v>4</v>
          </cell>
          <cell r="C1215">
            <v>1</v>
          </cell>
          <cell r="D1215">
            <v>1</v>
          </cell>
          <cell r="E1215" t="str">
            <v>NON-HS</v>
          </cell>
          <cell r="F1215" t="str">
            <v>Eagle Rock</v>
          </cell>
          <cell r="G1215">
            <v>0</v>
          </cell>
          <cell r="H1215">
            <v>0</v>
          </cell>
          <cell r="I1215">
            <v>15.077</v>
          </cell>
          <cell r="J1215">
            <v>14.157268289999999</v>
          </cell>
          <cell r="K1215">
            <v>14.157268289999999</v>
          </cell>
          <cell r="L1215">
            <v>0.91967174603231605</v>
          </cell>
          <cell r="M1215">
            <v>15.076940036032299</v>
          </cell>
          <cell r="N1215">
            <v>2.6315789473684199E-2</v>
          </cell>
          <cell r="O1215">
            <v>0</v>
          </cell>
          <cell r="P1215">
            <v>0.197368421052632</v>
          </cell>
          <cell r="Q1215">
            <v>0.9375</v>
          </cell>
          <cell r="R1215">
            <v>0.1</v>
          </cell>
          <cell r="S1215">
            <v>0</v>
          </cell>
        </row>
        <row r="1216">
          <cell r="A1216">
            <v>185204</v>
          </cell>
          <cell r="B1216">
            <v>4</v>
          </cell>
          <cell r="C1216">
            <v>1</v>
          </cell>
          <cell r="D1216">
            <v>1</v>
          </cell>
          <cell r="E1216" t="str">
            <v>NON-HS</v>
          </cell>
          <cell r="F1216" t="str">
            <v>Cypress Park</v>
          </cell>
          <cell r="G1216">
            <v>0</v>
          </cell>
          <cell r="H1216">
            <v>0</v>
          </cell>
          <cell r="I1216">
            <v>19.149000000000001</v>
          </cell>
          <cell r="J1216">
            <v>17.95291984</v>
          </cell>
          <cell r="K1216">
            <v>17.95291984</v>
          </cell>
          <cell r="L1216">
            <v>1.1963771370017999</v>
          </cell>
          <cell r="M1216">
            <v>19.1492969770018</v>
          </cell>
          <cell r="N1216">
            <v>2.6315789473684199E-2</v>
          </cell>
          <cell r="O1216">
            <v>0</v>
          </cell>
          <cell r="P1216">
            <v>0.197368421052632</v>
          </cell>
          <cell r="Q1216">
            <v>0.9375</v>
          </cell>
          <cell r="R1216">
            <v>0.1</v>
          </cell>
          <cell r="S1216">
            <v>0</v>
          </cell>
        </row>
        <row r="1217">
          <cell r="A1217">
            <v>186203</v>
          </cell>
          <cell r="B1217">
            <v>4</v>
          </cell>
          <cell r="C1217">
            <v>1</v>
          </cell>
          <cell r="D1217">
            <v>1</v>
          </cell>
          <cell r="E1217" t="str">
            <v>NON-HS</v>
          </cell>
          <cell r="F1217" t="str">
            <v>Eagle Rock</v>
          </cell>
          <cell r="G1217">
            <v>0</v>
          </cell>
          <cell r="H1217">
            <v>0</v>
          </cell>
          <cell r="I1217">
            <v>16.585999999999999</v>
          </cell>
          <cell r="J1217">
            <v>12.840259550000001</v>
          </cell>
          <cell r="K1217">
            <v>15.840259550000001</v>
          </cell>
          <cell r="L1217">
            <v>0.74611343224416504</v>
          </cell>
          <cell r="M1217">
            <v>16.5863729822442</v>
          </cell>
          <cell r="N1217">
            <v>2.6315789473684199E-2</v>
          </cell>
          <cell r="O1217">
            <v>0</v>
          </cell>
          <cell r="P1217">
            <v>0.197368421052632</v>
          </cell>
          <cell r="Q1217">
            <v>0.9375</v>
          </cell>
          <cell r="R1217">
            <v>0.1</v>
          </cell>
          <cell r="S1217">
            <v>0</v>
          </cell>
        </row>
        <row r="1218">
          <cell r="A1218">
            <v>980010</v>
          </cell>
          <cell r="B1218">
            <v>4</v>
          </cell>
          <cell r="C1218">
            <v>1</v>
          </cell>
          <cell r="D1218">
            <v>1</v>
          </cell>
          <cell r="E1218" t="str">
            <v>NON-HS</v>
          </cell>
          <cell r="F1218" t="str">
            <v>Echo Park</v>
          </cell>
          <cell r="G1218">
            <v>0</v>
          </cell>
          <cell r="H1218">
            <v>0</v>
          </cell>
          <cell r="I1218">
            <v>1</v>
          </cell>
          <cell r="J1218">
            <v>0</v>
          </cell>
          <cell r="K1218">
            <v>1</v>
          </cell>
          <cell r="L1218">
            <v>0</v>
          </cell>
          <cell r="M1218">
            <v>1</v>
          </cell>
          <cell r="N1218">
            <v>2.6315789473684199E-2</v>
          </cell>
          <cell r="O1218">
            <v>0</v>
          </cell>
          <cell r="P1218">
            <v>0.197368421052632</v>
          </cell>
          <cell r="Q1218">
            <v>0.9375</v>
          </cell>
          <cell r="R1218">
            <v>0.1</v>
          </cell>
          <cell r="S1218">
            <v>0</v>
          </cell>
        </row>
        <row r="1219">
          <cell r="A1219">
            <v>199202</v>
          </cell>
          <cell r="B1219">
            <v>4</v>
          </cell>
          <cell r="C1219">
            <v>1</v>
          </cell>
          <cell r="D1219">
            <v>1</v>
          </cell>
          <cell r="E1219" t="str">
            <v>NON-HS</v>
          </cell>
          <cell r="F1219" t="str">
            <v>Lincoln Heights</v>
          </cell>
          <cell r="G1219">
            <v>0</v>
          </cell>
          <cell r="H1219">
            <v>0</v>
          </cell>
          <cell r="I1219">
            <v>1</v>
          </cell>
          <cell r="J1219">
            <v>0</v>
          </cell>
          <cell r="K1219">
            <v>1</v>
          </cell>
          <cell r="L1219">
            <v>0</v>
          </cell>
          <cell r="M1219">
            <v>1</v>
          </cell>
          <cell r="N1219">
            <v>2.6315789473684199E-2</v>
          </cell>
          <cell r="O1219">
            <v>0</v>
          </cell>
          <cell r="P1219">
            <v>0.197368421052632</v>
          </cell>
          <cell r="Q1219">
            <v>0.9375</v>
          </cell>
          <cell r="R1219">
            <v>0.1</v>
          </cell>
          <cell r="S1219">
            <v>0</v>
          </cell>
        </row>
        <row r="1220">
          <cell r="A1220">
            <v>197700</v>
          </cell>
          <cell r="B1220">
            <v>4</v>
          </cell>
          <cell r="C1220">
            <v>1</v>
          </cell>
          <cell r="D1220">
            <v>1</v>
          </cell>
          <cell r="E1220" t="str">
            <v>NON-HS</v>
          </cell>
          <cell r="F1220" t="str">
            <v>Chinatown</v>
          </cell>
          <cell r="G1220">
            <v>0</v>
          </cell>
          <cell r="H1220">
            <v>0</v>
          </cell>
          <cell r="I1220">
            <v>2</v>
          </cell>
          <cell r="J1220">
            <v>0</v>
          </cell>
          <cell r="K1220">
            <v>2</v>
          </cell>
          <cell r="L1220">
            <v>0</v>
          </cell>
          <cell r="M1220">
            <v>2</v>
          </cell>
          <cell r="N1220">
            <v>2.6315789473684199E-2</v>
          </cell>
          <cell r="O1220">
            <v>0</v>
          </cell>
          <cell r="P1220">
            <v>0.197368421052632</v>
          </cell>
          <cell r="Q1220">
            <v>0.9375</v>
          </cell>
          <cell r="R1220">
            <v>0.1</v>
          </cell>
          <cell r="S1220">
            <v>0</v>
          </cell>
        </row>
        <row r="1221">
          <cell r="A1221">
            <v>199300</v>
          </cell>
          <cell r="B1221">
            <v>4</v>
          </cell>
          <cell r="C1221">
            <v>1</v>
          </cell>
          <cell r="D1221">
            <v>1</v>
          </cell>
          <cell r="E1221" t="str">
            <v>NON-HS</v>
          </cell>
          <cell r="F1221" t="str">
            <v>Eagle Rock</v>
          </cell>
          <cell r="G1221">
            <v>0</v>
          </cell>
          <cell r="H1221">
            <v>0</v>
          </cell>
          <cell r="I1221">
            <v>8.2110000000000003</v>
          </cell>
          <cell r="J1221">
            <v>7.8559789200000001</v>
          </cell>
          <cell r="K1221">
            <v>7.8559789200000001</v>
          </cell>
          <cell r="L1221">
            <v>0.35414312622980199</v>
          </cell>
          <cell r="M1221">
            <v>8.2101220462298006</v>
          </cell>
          <cell r="N1221">
            <v>2.6315789473684199E-2</v>
          </cell>
          <cell r="O1221">
            <v>0</v>
          </cell>
          <cell r="P1221">
            <v>0.197368421052632</v>
          </cell>
          <cell r="Q1221">
            <v>0.9375</v>
          </cell>
          <cell r="R1221">
            <v>0.1</v>
          </cell>
          <cell r="S1221">
            <v>0</v>
          </cell>
        </row>
        <row r="1222">
          <cell r="A1222">
            <v>208902</v>
          </cell>
          <cell r="B1222">
            <v>4</v>
          </cell>
          <cell r="C1222">
            <v>1</v>
          </cell>
          <cell r="D1222">
            <v>1</v>
          </cell>
          <cell r="E1222" t="str">
            <v>NON-HS</v>
          </cell>
          <cell r="F1222" t="str">
            <v>Westlake</v>
          </cell>
          <cell r="G1222">
            <v>0</v>
          </cell>
          <cell r="H1222">
            <v>0</v>
          </cell>
          <cell r="I1222">
            <v>14.028</v>
          </cell>
          <cell r="J1222">
            <v>6.7585002999999997</v>
          </cell>
          <cell r="K1222">
            <v>13.7585003</v>
          </cell>
          <cell r="L1222">
            <v>0.26855477026930002</v>
          </cell>
          <cell r="M1222">
            <v>14.0270550702693</v>
          </cell>
          <cell r="N1222">
            <v>2.6315789473684199E-2</v>
          </cell>
          <cell r="O1222">
            <v>0</v>
          </cell>
          <cell r="P1222">
            <v>0.197368421052632</v>
          </cell>
          <cell r="Q1222">
            <v>0.9375</v>
          </cell>
          <cell r="R1222">
            <v>0.1</v>
          </cell>
          <cell r="S1222">
            <v>0</v>
          </cell>
        </row>
        <row r="1223">
          <cell r="A1223">
            <v>199700</v>
          </cell>
          <cell r="B1223">
            <v>4</v>
          </cell>
          <cell r="C1223">
            <v>1</v>
          </cell>
          <cell r="D1223">
            <v>1</v>
          </cell>
          <cell r="E1223" t="str">
            <v>NON-HS</v>
          </cell>
          <cell r="F1223" t="str">
            <v>Lincoln Heights</v>
          </cell>
          <cell r="G1223">
            <v>0</v>
          </cell>
          <cell r="H1223">
            <v>0</v>
          </cell>
          <cell r="I1223">
            <v>18.132999999999999</v>
          </cell>
          <cell r="J1223">
            <v>14.56263867</v>
          </cell>
          <cell r="K1223">
            <v>17.562638669999998</v>
          </cell>
          <cell r="L1223">
            <v>0.56920431797127502</v>
          </cell>
          <cell r="M1223">
            <v>18.1318429879713</v>
          </cell>
          <cell r="N1223">
            <v>2.6315789473684199E-2</v>
          </cell>
          <cell r="O1223">
            <v>0</v>
          </cell>
          <cell r="P1223">
            <v>0.197368421052632</v>
          </cell>
          <cell r="Q1223">
            <v>0.9375</v>
          </cell>
          <cell r="R1223">
            <v>0.1</v>
          </cell>
          <cell r="S1223">
            <v>0</v>
          </cell>
        </row>
        <row r="1224">
          <cell r="A1224">
            <v>186302</v>
          </cell>
          <cell r="B1224">
            <v>4</v>
          </cell>
          <cell r="C1224">
            <v>1</v>
          </cell>
          <cell r="D1224">
            <v>1</v>
          </cell>
          <cell r="E1224" t="str">
            <v>NON-HS</v>
          </cell>
          <cell r="F1224" t="str">
            <v>Glassell Park</v>
          </cell>
          <cell r="G1224">
            <v>0</v>
          </cell>
          <cell r="H1224">
            <v>0</v>
          </cell>
          <cell r="I1224">
            <v>16.759</v>
          </cell>
          <cell r="J1224">
            <v>15.869597280000001</v>
          </cell>
          <cell r="K1224">
            <v>15.869597280000001</v>
          </cell>
          <cell r="L1224">
            <v>0.88938081105924605</v>
          </cell>
          <cell r="M1224">
            <v>16.758978091059198</v>
          </cell>
          <cell r="N1224">
            <v>2.6315789473684199E-2</v>
          </cell>
          <cell r="O1224">
            <v>0</v>
          </cell>
          <cell r="P1224">
            <v>0.197368421052632</v>
          </cell>
          <cell r="Q1224">
            <v>0.9375</v>
          </cell>
          <cell r="R1224">
            <v>0.1</v>
          </cell>
          <cell r="S1224">
            <v>0</v>
          </cell>
        </row>
        <row r="1225">
          <cell r="A1225">
            <v>208802</v>
          </cell>
          <cell r="B1225">
            <v>4</v>
          </cell>
          <cell r="C1225">
            <v>1</v>
          </cell>
          <cell r="D1225">
            <v>1</v>
          </cell>
          <cell r="E1225" t="str">
            <v>NON-HS</v>
          </cell>
          <cell r="F1225" t="str">
            <v>Westlake</v>
          </cell>
          <cell r="G1225">
            <v>0</v>
          </cell>
          <cell r="H1225">
            <v>0</v>
          </cell>
          <cell r="I1225">
            <v>12.288</v>
          </cell>
          <cell r="J1225">
            <v>9.1290636099999993</v>
          </cell>
          <cell r="K1225">
            <v>12.129063609999999</v>
          </cell>
          <cell r="L1225">
            <v>0.15835340829443401</v>
          </cell>
          <cell r="M1225">
            <v>12.2874170182944</v>
          </cell>
          <cell r="N1225">
            <v>2.6315789473684199E-2</v>
          </cell>
          <cell r="O1225">
            <v>0</v>
          </cell>
          <cell r="P1225">
            <v>0.197368421052632</v>
          </cell>
          <cell r="Q1225">
            <v>0.9375</v>
          </cell>
          <cell r="R1225">
            <v>0.1</v>
          </cell>
          <cell r="S1225">
            <v>0</v>
          </cell>
        </row>
        <row r="1226">
          <cell r="A1226">
            <v>224410</v>
          </cell>
          <cell r="B1226">
            <v>6</v>
          </cell>
          <cell r="C1226">
            <v>1</v>
          </cell>
          <cell r="D1226">
            <v>1</v>
          </cell>
          <cell r="E1226" t="str">
            <v>NON-HS</v>
          </cell>
          <cell r="F1226" t="str">
            <v>University Park</v>
          </cell>
          <cell r="G1226">
            <v>0</v>
          </cell>
          <cell r="H1226">
            <v>0</v>
          </cell>
          <cell r="I1226">
            <v>21.719000000000001</v>
          </cell>
          <cell r="J1226">
            <v>16.970934199999999</v>
          </cell>
          <cell r="K1226">
            <v>20.970934199999999</v>
          </cell>
          <cell r="L1226">
            <v>0.74795128132854605</v>
          </cell>
          <cell r="M1226">
            <v>21.718885481328499</v>
          </cell>
          <cell r="N1226">
            <v>2.34375E-2</v>
          </cell>
          <cell r="O1226">
            <v>0</v>
          </cell>
          <cell r="P1226">
            <v>1.5625E-2</v>
          </cell>
          <cell r="Q1226">
            <v>6.25E-2</v>
          </cell>
        </row>
        <row r="1227">
          <cell r="A1227">
            <v>221602</v>
          </cell>
          <cell r="B1227">
            <v>6</v>
          </cell>
          <cell r="C1227">
            <v>1</v>
          </cell>
          <cell r="D1227">
            <v>2</v>
          </cell>
          <cell r="E1227" t="str">
            <v>NON-HS</v>
          </cell>
          <cell r="F1227" t="str">
            <v>Pico Union</v>
          </cell>
          <cell r="G1227">
            <v>0</v>
          </cell>
          <cell r="H1227">
            <v>0</v>
          </cell>
          <cell r="I1227">
            <v>25.87</v>
          </cell>
          <cell r="J1227">
            <v>24.957033289999998</v>
          </cell>
          <cell r="K1227">
            <v>24.957033289999998</v>
          </cell>
          <cell r="L1227">
            <v>0.91275609759425502</v>
          </cell>
          <cell r="M1227">
            <v>25.869789387594299</v>
          </cell>
          <cell r="N1227">
            <v>2.34375E-2</v>
          </cell>
          <cell r="O1227">
            <v>0</v>
          </cell>
          <cell r="P1227">
            <v>1.5625E-2</v>
          </cell>
          <cell r="Q1227">
            <v>6.25E-2</v>
          </cell>
        </row>
        <row r="1228">
          <cell r="A1228">
            <v>125320</v>
          </cell>
          <cell r="B1228">
            <v>2</v>
          </cell>
          <cell r="C1228">
            <v>2</v>
          </cell>
          <cell r="D1228">
            <v>3</v>
          </cell>
          <cell r="E1228" t="str">
            <v>CVCTE</v>
          </cell>
          <cell r="F1228" t="str">
            <v>North Hollywood</v>
          </cell>
          <cell r="G1228">
            <v>0</v>
          </cell>
          <cell r="H1228">
            <v>1</v>
          </cell>
          <cell r="I1228">
            <v>46.438000000000002</v>
          </cell>
          <cell r="J1228">
            <v>37.172748380000002</v>
          </cell>
          <cell r="K1228">
            <v>44.172748380000002</v>
          </cell>
          <cell r="L1228">
            <v>2.2651873005565499</v>
          </cell>
          <cell r="M1228">
            <v>46.437935680556599</v>
          </cell>
          <cell r="N1228">
            <v>0.17910447761194001</v>
          </cell>
          <cell r="O1228">
            <v>0</v>
          </cell>
          <cell r="P1228">
            <v>0.20895522388059701</v>
          </cell>
          <cell r="Q1228">
            <v>1</v>
          </cell>
          <cell r="R1228">
            <v>0.36363636363636398</v>
          </cell>
          <cell r="S1228">
            <v>2.75</v>
          </cell>
        </row>
        <row r="1229">
          <cell r="A1229">
            <v>123010</v>
          </cell>
          <cell r="B1229">
            <v>2</v>
          </cell>
          <cell r="C1229">
            <v>2</v>
          </cell>
          <cell r="D1229">
            <v>3</v>
          </cell>
          <cell r="E1229" t="str">
            <v>CVCTE</v>
          </cell>
          <cell r="F1229" t="str">
            <v>Sun Valley</v>
          </cell>
          <cell r="G1229">
            <v>0</v>
          </cell>
          <cell r="H1229">
            <v>0</v>
          </cell>
          <cell r="I1229">
            <v>26.966000000000001</v>
          </cell>
          <cell r="J1229">
            <v>20.775058189999999</v>
          </cell>
          <cell r="K1229">
            <v>25.775058189999999</v>
          </cell>
          <cell r="L1229">
            <v>1.19080383777379</v>
          </cell>
          <cell r="M1229">
            <v>26.965862027773799</v>
          </cell>
          <cell r="N1229">
            <v>0.17910447761194001</v>
          </cell>
          <cell r="O1229">
            <v>0</v>
          </cell>
          <cell r="P1229">
            <v>0.20895522388059701</v>
          </cell>
          <cell r="Q1229">
            <v>1</v>
          </cell>
          <cell r="R1229">
            <v>0.36363636363636398</v>
          </cell>
          <cell r="S1229">
            <v>0</v>
          </cell>
        </row>
        <row r="1230">
          <cell r="A1230">
            <v>125310</v>
          </cell>
          <cell r="B1230">
            <v>2</v>
          </cell>
          <cell r="C1230">
            <v>2</v>
          </cell>
          <cell r="D1230">
            <v>3</v>
          </cell>
          <cell r="E1230" t="str">
            <v>CVCTE</v>
          </cell>
          <cell r="F1230" t="str">
            <v>North Hollywood</v>
          </cell>
          <cell r="G1230">
            <v>1</v>
          </cell>
          <cell r="H1230">
            <v>1</v>
          </cell>
          <cell r="I1230">
            <v>32.241</v>
          </cell>
          <cell r="J1230">
            <v>30.672716229999999</v>
          </cell>
          <cell r="K1230">
            <v>30.672716229999999</v>
          </cell>
          <cell r="L1230">
            <v>1.5683427173069999</v>
          </cell>
          <cell r="M1230">
            <v>32.241058947307003</v>
          </cell>
          <cell r="N1230">
            <v>0.17910447761194001</v>
          </cell>
          <cell r="O1230">
            <v>5.5833333333333304</v>
          </cell>
          <cell r="P1230">
            <v>0.20895522388059701</v>
          </cell>
          <cell r="Q1230">
            <v>1</v>
          </cell>
        </row>
        <row r="1231">
          <cell r="A1231">
            <v>123303</v>
          </cell>
          <cell r="B1231">
            <v>2</v>
          </cell>
          <cell r="C1231">
            <v>2</v>
          </cell>
          <cell r="D1231">
            <v>3</v>
          </cell>
          <cell r="E1231" t="str">
            <v>CVCTE</v>
          </cell>
          <cell r="F1231" t="str">
            <v>North Hollywood</v>
          </cell>
          <cell r="G1231">
            <v>1</v>
          </cell>
          <cell r="H1231">
            <v>1</v>
          </cell>
          <cell r="I1231">
            <v>16.09</v>
          </cell>
          <cell r="J1231">
            <v>13.38476264</v>
          </cell>
          <cell r="K1231">
            <v>15.38476264</v>
          </cell>
          <cell r="L1231">
            <v>0.70583402748653501</v>
          </cell>
          <cell r="M1231">
            <v>16.090596667486501</v>
          </cell>
          <cell r="N1231">
            <v>0.17910447761194001</v>
          </cell>
          <cell r="O1231">
            <v>5.5833333333333304</v>
          </cell>
          <cell r="P1231">
            <v>0.20895522388059701</v>
          </cell>
          <cell r="Q1231">
            <v>1</v>
          </cell>
        </row>
        <row r="1232">
          <cell r="A1232">
            <v>123204</v>
          </cell>
          <cell r="B1232">
            <v>2</v>
          </cell>
          <cell r="C1232">
            <v>2</v>
          </cell>
          <cell r="D1232">
            <v>3</v>
          </cell>
          <cell r="E1232" t="str">
            <v>CVCTE</v>
          </cell>
          <cell r="F1232" t="str">
            <v>North Hollywood</v>
          </cell>
          <cell r="G1232">
            <v>0</v>
          </cell>
          <cell r="H1232">
            <v>1</v>
          </cell>
          <cell r="I1232">
            <v>16.565000000000001</v>
          </cell>
          <cell r="J1232">
            <v>12.52375902</v>
          </cell>
          <cell r="K1232">
            <v>15.52375902</v>
          </cell>
          <cell r="L1232">
            <v>1.0405099603052099</v>
          </cell>
          <cell r="M1232">
            <v>16.564268980305201</v>
          </cell>
          <cell r="N1232">
            <v>0.17910447761194001</v>
          </cell>
          <cell r="O1232">
            <v>0</v>
          </cell>
          <cell r="P1232">
            <v>0.20895522388059701</v>
          </cell>
          <cell r="Q1232">
            <v>1</v>
          </cell>
          <cell r="R1232">
            <v>0.36363636363636398</v>
          </cell>
          <cell r="S1232">
            <v>2.75</v>
          </cell>
        </row>
        <row r="1233">
          <cell r="A1233">
            <v>123205</v>
          </cell>
          <cell r="B1233">
            <v>2</v>
          </cell>
          <cell r="C1233">
            <v>2</v>
          </cell>
          <cell r="D1233">
            <v>3</v>
          </cell>
          <cell r="E1233" t="str">
            <v>CVCTE</v>
          </cell>
          <cell r="F1233" t="str">
            <v>North Hollywood</v>
          </cell>
          <cell r="G1233">
            <v>0</v>
          </cell>
          <cell r="H1233">
            <v>0</v>
          </cell>
          <cell r="I1233">
            <v>17.963999999999999</v>
          </cell>
          <cell r="J1233">
            <v>15.38257063</v>
          </cell>
          <cell r="K1233">
            <v>17.38257063</v>
          </cell>
          <cell r="L1233">
            <v>0.58155188206463204</v>
          </cell>
          <cell r="M1233">
            <v>17.964122512064598</v>
          </cell>
          <cell r="N1233">
            <v>0.17910447761194001</v>
          </cell>
          <cell r="O1233">
            <v>0</v>
          </cell>
          <cell r="P1233">
            <v>0.20895522388059701</v>
          </cell>
          <cell r="Q1233">
            <v>1</v>
          </cell>
          <cell r="R1233">
            <v>0.36363636363636398</v>
          </cell>
          <cell r="S1233">
            <v>0</v>
          </cell>
        </row>
        <row r="1234">
          <cell r="A1234">
            <v>122200</v>
          </cell>
          <cell r="B1234">
            <v>2</v>
          </cell>
          <cell r="C1234">
            <v>2</v>
          </cell>
          <cell r="D1234">
            <v>5</v>
          </cell>
          <cell r="E1234" t="str">
            <v>CVCTE</v>
          </cell>
          <cell r="F1234" t="str">
            <v>Sun Valley</v>
          </cell>
          <cell r="G1234">
            <v>1</v>
          </cell>
          <cell r="H1234">
            <v>1</v>
          </cell>
          <cell r="I1234">
            <v>23.61</v>
          </cell>
          <cell r="J1234">
            <v>19.679357159999999</v>
          </cell>
          <cell r="K1234">
            <v>22.679357159999999</v>
          </cell>
          <cell r="L1234">
            <v>0.93063145522441604</v>
          </cell>
          <cell r="M1234">
            <v>23.609988615224399</v>
          </cell>
          <cell r="N1234">
            <v>0.17910447761194001</v>
          </cell>
          <cell r="O1234">
            <v>5.5833333333333304</v>
          </cell>
          <cell r="P1234">
            <v>0.20895522388059701</v>
          </cell>
          <cell r="Q1234">
            <v>1</v>
          </cell>
        </row>
        <row r="1235">
          <cell r="A1235">
            <v>143400</v>
          </cell>
          <cell r="B1235">
            <v>2</v>
          </cell>
          <cell r="C1235">
            <v>2</v>
          </cell>
          <cell r="D1235">
            <v>3</v>
          </cell>
          <cell r="E1235" t="str">
            <v>CVCTE</v>
          </cell>
          <cell r="F1235" t="str">
            <v>Studio City</v>
          </cell>
          <cell r="G1235">
            <v>1</v>
          </cell>
          <cell r="H1235">
            <v>1</v>
          </cell>
          <cell r="I1235">
            <v>7.7770000000000001</v>
          </cell>
          <cell r="J1235">
            <v>5.7146398200000004</v>
          </cell>
          <cell r="K1235">
            <v>7.7146398200000004</v>
          </cell>
          <cell r="L1235">
            <v>6.18759662477558E-2</v>
          </cell>
          <cell r="M1235">
            <v>7.7765157862477601</v>
          </cell>
          <cell r="N1235">
            <v>0.17910447761194001</v>
          </cell>
          <cell r="O1235">
            <v>5.5833333333333304</v>
          </cell>
          <cell r="P1235">
            <v>0.20895522388059701</v>
          </cell>
          <cell r="Q1235">
            <v>1</v>
          </cell>
        </row>
        <row r="1236">
          <cell r="A1236">
            <v>122410</v>
          </cell>
          <cell r="B1236">
            <v>2</v>
          </cell>
          <cell r="C1236">
            <v>2</v>
          </cell>
          <cell r="D1236">
            <v>3</v>
          </cell>
          <cell r="E1236" t="str">
            <v>CVCTE</v>
          </cell>
          <cell r="F1236" t="str">
            <v>North Hollywood</v>
          </cell>
          <cell r="G1236">
            <v>0</v>
          </cell>
          <cell r="H1236">
            <v>0</v>
          </cell>
          <cell r="I1236">
            <v>13.654999999999999</v>
          </cell>
          <cell r="J1236">
            <v>12.79689144</v>
          </cell>
          <cell r="K1236">
            <v>12.79689144</v>
          </cell>
          <cell r="L1236">
            <v>0.85876701919209997</v>
          </cell>
          <cell r="M1236">
            <v>13.6556584591921</v>
          </cell>
          <cell r="N1236">
            <v>0.17910447761194001</v>
          </cell>
          <cell r="O1236">
            <v>0</v>
          </cell>
          <cell r="P1236">
            <v>0.20895522388059701</v>
          </cell>
          <cell r="Q1236">
            <v>1</v>
          </cell>
          <cell r="R1236">
            <v>0.36363636363636398</v>
          </cell>
          <cell r="S1236">
            <v>0</v>
          </cell>
        </row>
        <row r="1237">
          <cell r="A1237">
            <v>125200</v>
          </cell>
          <cell r="B1237">
            <v>2</v>
          </cell>
          <cell r="C1237">
            <v>2</v>
          </cell>
          <cell r="D1237">
            <v>3</v>
          </cell>
          <cell r="E1237" t="str">
            <v>CVCTE</v>
          </cell>
          <cell r="F1237" t="str">
            <v>Valley Village</v>
          </cell>
          <cell r="G1237">
            <v>1</v>
          </cell>
          <cell r="H1237">
            <v>1</v>
          </cell>
          <cell r="I1237">
            <v>89.037999999999997</v>
          </cell>
          <cell r="J1237">
            <v>62.303128370000003</v>
          </cell>
          <cell r="K1237">
            <v>86.303128369999996</v>
          </cell>
          <cell r="L1237">
            <v>2.7352430964093402</v>
          </cell>
          <cell r="M1237">
            <v>89.038371466409302</v>
          </cell>
          <cell r="N1237">
            <v>0.17910447761194001</v>
          </cell>
          <cell r="O1237">
            <v>5.5833333333333304</v>
          </cell>
          <cell r="P1237">
            <v>0.20895522388059701</v>
          </cell>
          <cell r="Q1237">
            <v>1</v>
          </cell>
        </row>
        <row r="1238">
          <cell r="A1238">
            <v>123520</v>
          </cell>
          <cell r="B1238">
            <v>2</v>
          </cell>
          <cell r="C1238">
            <v>2</v>
          </cell>
          <cell r="D1238">
            <v>3</v>
          </cell>
          <cell r="E1238" t="str">
            <v>CVCTE</v>
          </cell>
          <cell r="F1238" t="str">
            <v>Van Nuys</v>
          </cell>
          <cell r="G1238">
            <v>0</v>
          </cell>
          <cell r="H1238">
            <v>0</v>
          </cell>
          <cell r="I1238">
            <v>7.5890000000000004</v>
          </cell>
          <cell r="J1238">
            <v>7.1397280600000004</v>
          </cell>
          <cell r="K1238">
            <v>7.1397280600000004</v>
          </cell>
          <cell r="L1238">
            <v>0.448782719192101</v>
          </cell>
          <cell r="M1238">
            <v>7.5885107791920996</v>
          </cell>
          <cell r="N1238">
            <v>0.17910447761194001</v>
          </cell>
          <cell r="O1238">
            <v>0</v>
          </cell>
          <cell r="P1238">
            <v>0.20895522388059701</v>
          </cell>
          <cell r="Q1238">
            <v>1</v>
          </cell>
          <cell r="R1238">
            <v>0.36363636363636398</v>
          </cell>
          <cell r="S1238">
            <v>0</v>
          </cell>
        </row>
        <row r="1239">
          <cell r="A1239">
            <v>143602</v>
          </cell>
          <cell r="B1239">
            <v>2</v>
          </cell>
          <cell r="C1239">
            <v>2</v>
          </cell>
          <cell r="D1239">
            <v>3</v>
          </cell>
          <cell r="E1239" t="str">
            <v>CVCTE</v>
          </cell>
          <cell r="F1239" t="str">
            <v>Studio City</v>
          </cell>
          <cell r="G1239">
            <v>0</v>
          </cell>
          <cell r="H1239">
            <v>0</v>
          </cell>
          <cell r="I1239">
            <v>5.8079999999999998</v>
          </cell>
          <cell r="J1239">
            <v>1.73313217</v>
          </cell>
          <cell r="K1239">
            <v>5.7331321700000002</v>
          </cell>
          <cell r="L1239">
            <v>7.4985510287253102E-2</v>
          </cell>
          <cell r="M1239">
            <v>5.8081176802872498</v>
          </cell>
          <cell r="N1239">
            <v>0.17910447761194001</v>
          </cell>
          <cell r="O1239">
            <v>0</v>
          </cell>
          <cell r="P1239">
            <v>0.20895522388059701</v>
          </cell>
          <cell r="Q1239">
            <v>1</v>
          </cell>
          <cell r="R1239">
            <v>0.36363636363636398</v>
          </cell>
          <cell r="S1239">
            <v>0</v>
          </cell>
        </row>
        <row r="1240">
          <cell r="A1240">
            <v>123304</v>
          </cell>
          <cell r="B1240">
            <v>2</v>
          </cell>
          <cell r="C1240">
            <v>2</v>
          </cell>
          <cell r="D1240">
            <v>3</v>
          </cell>
          <cell r="E1240" t="str">
            <v>CVCTE</v>
          </cell>
          <cell r="F1240" t="str">
            <v>North Hollywood</v>
          </cell>
          <cell r="G1240">
            <v>0</v>
          </cell>
          <cell r="H1240">
            <v>0</v>
          </cell>
          <cell r="I1240">
            <v>41.369</v>
          </cell>
          <cell r="J1240">
            <v>35.197505319999998</v>
          </cell>
          <cell r="K1240">
            <v>39.197505319999998</v>
          </cell>
          <cell r="L1240">
            <v>2.1715394137702</v>
          </cell>
          <cell r="M1240">
            <v>41.369044733770203</v>
          </cell>
          <cell r="N1240">
            <v>0.17910447761194001</v>
          </cell>
          <cell r="O1240">
            <v>0</v>
          </cell>
          <cell r="P1240">
            <v>0.20895522388059701</v>
          </cell>
          <cell r="Q1240">
            <v>1</v>
          </cell>
          <cell r="R1240">
            <v>0.36363636363636398</v>
          </cell>
          <cell r="S1240">
            <v>0</v>
          </cell>
        </row>
        <row r="1241">
          <cell r="A1241">
            <v>123800</v>
          </cell>
          <cell r="B1241">
            <v>2</v>
          </cell>
          <cell r="C1241">
            <v>2</v>
          </cell>
          <cell r="D1241">
            <v>3</v>
          </cell>
          <cell r="E1241" t="str">
            <v>CVCTE</v>
          </cell>
          <cell r="F1241" t="str">
            <v>North Hollywood</v>
          </cell>
          <cell r="G1241">
            <v>0</v>
          </cell>
          <cell r="H1241">
            <v>0</v>
          </cell>
          <cell r="I1241">
            <v>47.375999999999998</v>
          </cell>
          <cell r="J1241">
            <v>38.884018410000003</v>
          </cell>
          <cell r="K1241">
            <v>45.884018410000003</v>
          </cell>
          <cell r="L1241">
            <v>1.49256326123878</v>
          </cell>
          <cell r="M1241">
            <v>47.376581671238803</v>
          </cell>
          <cell r="N1241">
            <v>0.17910447761194001</v>
          </cell>
          <cell r="O1241">
            <v>0</v>
          </cell>
          <cell r="P1241">
            <v>0.20895522388059701</v>
          </cell>
          <cell r="Q1241">
            <v>1</v>
          </cell>
          <cell r="R1241">
            <v>0.36363636363636398</v>
          </cell>
          <cell r="S1241">
            <v>0</v>
          </cell>
        </row>
        <row r="1242">
          <cell r="A1242">
            <v>123020</v>
          </cell>
          <cell r="B1242">
            <v>2</v>
          </cell>
          <cell r="C1242">
            <v>2</v>
          </cell>
          <cell r="D1242">
            <v>3</v>
          </cell>
          <cell r="E1242" t="str">
            <v>CVCTE</v>
          </cell>
          <cell r="F1242" t="str">
            <v>Sun Valley</v>
          </cell>
          <cell r="G1242">
            <v>0</v>
          </cell>
          <cell r="H1242">
            <v>0</v>
          </cell>
          <cell r="I1242">
            <v>26.085999999999999</v>
          </cell>
          <cell r="J1242">
            <v>24.785825620000001</v>
          </cell>
          <cell r="K1242">
            <v>24.785825620000001</v>
          </cell>
          <cell r="L1242">
            <v>1.3004954535906601</v>
          </cell>
          <cell r="M1242">
            <v>26.0863210735907</v>
          </cell>
          <cell r="N1242">
            <v>0.17910447761194001</v>
          </cell>
          <cell r="O1242">
            <v>0</v>
          </cell>
          <cell r="P1242">
            <v>0.20895522388059701</v>
          </cell>
          <cell r="Q1242">
            <v>1</v>
          </cell>
          <cell r="R1242">
            <v>0.36363636363636398</v>
          </cell>
          <cell r="S1242">
            <v>0</v>
          </cell>
        </row>
        <row r="1243">
          <cell r="A1243">
            <v>122000</v>
          </cell>
          <cell r="B1243">
            <v>2</v>
          </cell>
          <cell r="C1243">
            <v>2</v>
          </cell>
          <cell r="D1243">
            <v>3</v>
          </cell>
          <cell r="E1243" t="str">
            <v>CVCTE</v>
          </cell>
          <cell r="F1243" t="str">
            <v>North Hollywood</v>
          </cell>
          <cell r="G1243">
            <v>0</v>
          </cell>
          <cell r="H1243">
            <v>1</v>
          </cell>
          <cell r="I1243">
            <v>38.378999999999998</v>
          </cell>
          <cell r="J1243">
            <v>34.997556600000003</v>
          </cell>
          <cell r="K1243">
            <v>36.997556600000003</v>
          </cell>
          <cell r="L1243">
            <v>1.3813791607899499</v>
          </cell>
          <cell r="M1243">
            <v>38.378935760789901</v>
          </cell>
          <cell r="N1243">
            <v>0.17910447761194001</v>
          </cell>
          <cell r="O1243">
            <v>0</v>
          </cell>
          <cell r="P1243">
            <v>0.20895522388059701</v>
          </cell>
          <cell r="Q1243">
            <v>1</v>
          </cell>
          <cell r="R1243">
            <v>0.36363636363636398</v>
          </cell>
          <cell r="S1243">
            <v>2.75</v>
          </cell>
        </row>
        <row r="1244">
          <cell r="A1244">
            <v>123510</v>
          </cell>
          <cell r="B1244">
            <v>2</v>
          </cell>
          <cell r="C1244">
            <v>2</v>
          </cell>
          <cell r="D1244">
            <v>3</v>
          </cell>
          <cell r="E1244" t="str">
            <v>CVCTE</v>
          </cell>
          <cell r="F1244" t="str">
            <v>Van Nuys</v>
          </cell>
          <cell r="G1244">
            <v>0</v>
          </cell>
          <cell r="H1244">
            <v>0</v>
          </cell>
          <cell r="I1244">
            <v>16.574000000000002</v>
          </cell>
          <cell r="J1244">
            <v>15.317859240000001</v>
          </cell>
          <cell r="K1244">
            <v>16.317859240000001</v>
          </cell>
          <cell r="L1244">
            <v>0.255549855960503</v>
          </cell>
          <cell r="M1244">
            <v>16.5734090959605</v>
          </cell>
          <cell r="N1244">
            <v>0.17910447761194001</v>
          </cell>
          <cell r="O1244">
            <v>0</v>
          </cell>
          <cell r="P1244">
            <v>0.20895522388059701</v>
          </cell>
          <cell r="Q1244">
            <v>1</v>
          </cell>
          <cell r="R1244">
            <v>0.36363636363636398</v>
          </cell>
          <cell r="S1244">
            <v>0</v>
          </cell>
        </row>
        <row r="1245">
          <cell r="A1245">
            <v>123902</v>
          </cell>
          <cell r="B1245">
            <v>2</v>
          </cell>
          <cell r="C1245">
            <v>2</v>
          </cell>
          <cell r="D1245">
            <v>3</v>
          </cell>
          <cell r="E1245" t="str">
            <v>CVCTE</v>
          </cell>
          <cell r="F1245" t="str">
            <v>North Hollywood</v>
          </cell>
          <cell r="G1245">
            <v>0</v>
          </cell>
          <cell r="H1245">
            <v>0</v>
          </cell>
          <cell r="I1245">
            <v>30.658000000000001</v>
          </cell>
          <cell r="J1245">
            <v>27.619088900000001</v>
          </cell>
          <cell r="K1245">
            <v>28.619088900000001</v>
          </cell>
          <cell r="L1245">
            <v>2.03925953028725</v>
          </cell>
          <cell r="M1245">
            <v>30.658348430287301</v>
          </cell>
          <cell r="N1245">
            <v>0.17910447761194001</v>
          </cell>
          <cell r="O1245">
            <v>0</v>
          </cell>
          <cell r="P1245">
            <v>0.20895522388059701</v>
          </cell>
          <cell r="Q1245">
            <v>1</v>
          </cell>
          <cell r="R1245">
            <v>0.36363636363636398</v>
          </cell>
          <cell r="S1245">
            <v>0</v>
          </cell>
        </row>
        <row r="1246">
          <cell r="A1246">
            <v>123301</v>
          </cell>
          <cell r="B1246">
            <v>2</v>
          </cell>
          <cell r="C1246">
            <v>2</v>
          </cell>
          <cell r="D1246">
            <v>3</v>
          </cell>
          <cell r="E1246" t="str">
            <v>CVCTE</v>
          </cell>
          <cell r="F1246" t="str">
            <v>North Hollywood</v>
          </cell>
          <cell r="G1246">
            <v>1</v>
          </cell>
          <cell r="H1246">
            <v>1</v>
          </cell>
          <cell r="I1246">
            <v>49.442999999999998</v>
          </cell>
          <cell r="J1246">
            <v>46.090738469999998</v>
          </cell>
          <cell r="K1246">
            <v>47.090738469999998</v>
          </cell>
          <cell r="L1246">
            <v>2.3530954656193899</v>
          </cell>
          <cell r="M1246">
            <v>49.443833935619402</v>
          </cell>
          <cell r="N1246">
            <v>0.17910447761194001</v>
          </cell>
          <cell r="O1246">
            <v>5.5833333333333304</v>
          </cell>
          <cell r="P1246">
            <v>0.20895522388059701</v>
          </cell>
          <cell r="Q1246">
            <v>1</v>
          </cell>
        </row>
        <row r="1247">
          <cell r="A1247">
            <v>127103</v>
          </cell>
          <cell r="B1247">
            <v>2</v>
          </cell>
          <cell r="C1247">
            <v>2</v>
          </cell>
          <cell r="D1247">
            <v>3</v>
          </cell>
          <cell r="E1247" t="str">
            <v>CVCTE</v>
          </cell>
          <cell r="F1247" t="str">
            <v>Van Nuys</v>
          </cell>
          <cell r="G1247">
            <v>0</v>
          </cell>
          <cell r="H1247">
            <v>0</v>
          </cell>
          <cell r="I1247">
            <v>30.181000000000001</v>
          </cell>
          <cell r="J1247">
            <v>25.44741522</v>
          </cell>
          <cell r="K1247">
            <v>29.44741522</v>
          </cell>
          <cell r="L1247">
            <v>0.73323565522441703</v>
          </cell>
          <cell r="M1247">
            <v>30.180650875224401</v>
          </cell>
          <cell r="N1247">
            <v>0.17910447761194001</v>
          </cell>
          <cell r="O1247">
            <v>0</v>
          </cell>
          <cell r="P1247">
            <v>0.20895522388059701</v>
          </cell>
          <cell r="Q1247">
            <v>1</v>
          </cell>
          <cell r="R1247">
            <v>0.36363636363636398</v>
          </cell>
          <cell r="S1247">
            <v>0</v>
          </cell>
        </row>
        <row r="1248">
          <cell r="A1248">
            <v>123103</v>
          </cell>
          <cell r="B1248">
            <v>2</v>
          </cell>
          <cell r="C1248">
            <v>2</v>
          </cell>
          <cell r="D1248">
            <v>3</v>
          </cell>
          <cell r="E1248" t="str">
            <v>CVCTE</v>
          </cell>
          <cell r="F1248" t="str">
            <v>North Hollywood</v>
          </cell>
          <cell r="G1248">
            <v>0</v>
          </cell>
          <cell r="H1248">
            <v>0</v>
          </cell>
          <cell r="I1248">
            <v>41.735999999999997</v>
          </cell>
          <cell r="J1248">
            <v>30.793179389999999</v>
          </cell>
          <cell r="K1248">
            <v>39.793179389999999</v>
          </cell>
          <cell r="L1248">
            <v>1.94249056924596</v>
          </cell>
          <cell r="M1248">
            <v>41.735669959246003</v>
          </cell>
          <cell r="N1248">
            <v>0.17910447761194001</v>
          </cell>
          <cell r="O1248">
            <v>0</v>
          </cell>
          <cell r="P1248">
            <v>0.20895522388059701</v>
          </cell>
          <cell r="Q1248">
            <v>1</v>
          </cell>
          <cell r="R1248">
            <v>0.36363636363636398</v>
          </cell>
          <cell r="S1248">
            <v>0</v>
          </cell>
        </row>
        <row r="1249">
          <cell r="A1249">
            <v>124102</v>
          </cell>
          <cell r="B1249">
            <v>2</v>
          </cell>
          <cell r="C1249">
            <v>2</v>
          </cell>
          <cell r="D1249">
            <v>3</v>
          </cell>
          <cell r="E1249" t="str">
            <v>CVCTE</v>
          </cell>
          <cell r="F1249" t="str">
            <v>North Hollywood</v>
          </cell>
          <cell r="G1249">
            <v>0</v>
          </cell>
          <cell r="H1249">
            <v>1</v>
          </cell>
          <cell r="I1249">
            <v>8.484</v>
          </cell>
          <cell r="J1249">
            <v>7.0878875099999998</v>
          </cell>
          <cell r="K1249">
            <v>8.0878875099999998</v>
          </cell>
          <cell r="L1249">
            <v>0.39528914066427301</v>
          </cell>
          <cell r="M1249">
            <v>8.4831766506642694</v>
          </cell>
          <cell r="N1249">
            <v>0.17910447761194001</v>
          </cell>
          <cell r="O1249">
            <v>0</v>
          </cell>
          <cell r="P1249">
            <v>0.20895522388059701</v>
          </cell>
          <cell r="Q1249">
            <v>1</v>
          </cell>
          <cell r="R1249">
            <v>0.36363636363636398</v>
          </cell>
          <cell r="S1249">
            <v>2.75</v>
          </cell>
        </row>
        <row r="1250">
          <cell r="A1250">
            <v>125501</v>
          </cell>
          <cell r="B1250">
            <v>2</v>
          </cell>
          <cell r="C1250">
            <v>2</v>
          </cell>
          <cell r="D1250">
            <v>3</v>
          </cell>
          <cell r="E1250" t="str">
            <v>CVCTE</v>
          </cell>
          <cell r="F1250" t="str">
            <v>North Hollywood</v>
          </cell>
          <cell r="G1250">
            <v>0</v>
          </cell>
          <cell r="H1250">
            <v>1</v>
          </cell>
          <cell r="I1250">
            <v>19.535</v>
          </cell>
          <cell r="J1250">
            <v>12.9331876</v>
          </cell>
          <cell r="K1250">
            <v>18.9331876</v>
          </cell>
          <cell r="L1250">
            <v>0.60120596473967702</v>
          </cell>
          <cell r="M1250">
            <v>19.534393564739698</v>
          </cell>
          <cell r="N1250">
            <v>0.17910447761194001</v>
          </cell>
          <cell r="O1250">
            <v>0</v>
          </cell>
          <cell r="P1250">
            <v>0.20895522388059701</v>
          </cell>
          <cell r="Q1250">
            <v>1</v>
          </cell>
          <cell r="R1250">
            <v>0.36363636363636398</v>
          </cell>
          <cell r="S1250">
            <v>2.75</v>
          </cell>
        </row>
        <row r="1251">
          <cell r="A1251">
            <v>124400</v>
          </cell>
          <cell r="B1251">
            <v>2</v>
          </cell>
          <cell r="C1251">
            <v>2</v>
          </cell>
          <cell r="D1251">
            <v>3</v>
          </cell>
          <cell r="E1251" t="str">
            <v>CVCTE</v>
          </cell>
          <cell r="F1251" t="str">
            <v>Valley Village</v>
          </cell>
          <cell r="G1251">
            <v>0</v>
          </cell>
          <cell r="H1251">
            <v>0</v>
          </cell>
          <cell r="I1251">
            <v>15.073</v>
          </cell>
          <cell r="J1251">
            <v>14.465312219999999</v>
          </cell>
          <cell r="K1251">
            <v>14.465312219999999</v>
          </cell>
          <cell r="L1251">
            <v>0.60775050337522396</v>
          </cell>
          <cell r="M1251">
            <v>15.0730627233752</v>
          </cell>
          <cell r="N1251">
            <v>0.17910447761194001</v>
          </cell>
          <cell r="O1251">
            <v>0</v>
          </cell>
          <cell r="P1251">
            <v>0.20895522388059701</v>
          </cell>
          <cell r="Q1251">
            <v>1</v>
          </cell>
          <cell r="R1251">
            <v>0.36363636363636398</v>
          </cell>
          <cell r="S1251">
            <v>0</v>
          </cell>
        </row>
        <row r="1252">
          <cell r="A1252">
            <v>123206</v>
          </cell>
          <cell r="B1252">
            <v>2</v>
          </cell>
          <cell r="C1252">
            <v>2</v>
          </cell>
          <cell r="D1252">
            <v>3</v>
          </cell>
          <cell r="E1252" t="str">
            <v>CVCTE</v>
          </cell>
          <cell r="F1252" t="str">
            <v>North Hollywood</v>
          </cell>
          <cell r="G1252">
            <v>0</v>
          </cell>
          <cell r="H1252">
            <v>0</v>
          </cell>
          <cell r="I1252">
            <v>17.654</v>
          </cell>
          <cell r="J1252">
            <v>16.943955030000001</v>
          </cell>
          <cell r="K1252">
            <v>16.943955030000001</v>
          </cell>
          <cell r="L1252">
            <v>0.71089758055655305</v>
          </cell>
          <cell r="M1252">
            <v>17.6548526105565</v>
          </cell>
          <cell r="N1252">
            <v>0.17910447761194001</v>
          </cell>
          <cell r="O1252">
            <v>0</v>
          </cell>
          <cell r="P1252">
            <v>0.20895522388059701</v>
          </cell>
          <cell r="Q1252">
            <v>1</v>
          </cell>
          <cell r="R1252">
            <v>0.36363636363636398</v>
          </cell>
          <cell r="S1252">
            <v>0</v>
          </cell>
        </row>
        <row r="1253">
          <cell r="A1253">
            <v>143604</v>
          </cell>
          <cell r="B1253">
            <v>2</v>
          </cell>
          <cell r="C1253">
            <v>2</v>
          </cell>
          <cell r="D1253">
            <v>3</v>
          </cell>
          <cell r="E1253" t="str">
            <v>CVCTE</v>
          </cell>
          <cell r="F1253" t="str">
            <v>Studio City</v>
          </cell>
          <cell r="G1253">
            <v>0</v>
          </cell>
          <cell r="H1253">
            <v>1</v>
          </cell>
          <cell r="I1253">
            <v>22.706</v>
          </cell>
          <cell r="J1253">
            <v>18.86963815</v>
          </cell>
          <cell r="K1253">
            <v>21.86963815</v>
          </cell>
          <cell r="L1253">
            <v>0.83679934789946098</v>
          </cell>
          <cell r="M1253">
            <v>22.7064374978995</v>
          </cell>
          <cell r="N1253">
            <v>0.17910447761194001</v>
          </cell>
          <cell r="O1253">
            <v>0</v>
          </cell>
          <cell r="P1253">
            <v>0.20895522388059701</v>
          </cell>
          <cell r="Q1253">
            <v>1</v>
          </cell>
          <cell r="R1253">
            <v>0.36363636363636398</v>
          </cell>
          <cell r="S1253">
            <v>2.75</v>
          </cell>
        </row>
        <row r="1254">
          <cell r="A1254">
            <v>143603</v>
          </cell>
          <cell r="B1254">
            <v>2</v>
          </cell>
          <cell r="C1254">
            <v>2</v>
          </cell>
          <cell r="D1254">
            <v>3</v>
          </cell>
          <cell r="E1254" t="str">
            <v>CVCTE</v>
          </cell>
          <cell r="F1254" t="str">
            <v>Studio City</v>
          </cell>
          <cell r="G1254">
            <v>0</v>
          </cell>
          <cell r="H1254">
            <v>1</v>
          </cell>
          <cell r="I1254">
            <v>7.702</v>
          </cell>
          <cell r="J1254">
            <v>7.6195197600000002</v>
          </cell>
          <cell r="K1254">
            <v>7.6195197600000002</v>
          </cell>
          <cell r="L1254">
            <v>8.2501288330341094E-2</v>
          </cell>
          <cell r="M1254">
            <v>7.70202104833034</v>
          </cell>
          <cell r="N1254">
            <v>0.17910447761194001</v>
          </cell>
          <cell r="O1254">
            <v>0</v>
          </cell>
          <cell r="P1254">
            <v>0.20895522388059701</v>
          </cell>
          <cell r="Q1254">
            <v>1</v>
          </cell>
          <cell r="R1254">
            <v>0.36363636363636398</v>
          </cell>
          <cell r="S1254">
            <v>2.75</v>
          </cell>
        </row>
        <row r="1255">
          <cell r="A1255">
            <v>123601</v>
          </cell>
          <cell r="B1255">
            <v>2</v>
          </cell>
          <cell r="C1255">
            <v>2</v>
          </cell>
          <cell r="D1255">
            <v>3</v>
          </cell>
          <cell r="E1255" t="str">
            <v>CVCTE</v>
          </cell>
          <cell r="F1255" t="str">
            <v>Van Nuys</v>
          </cell>
          <cell r="G1255">
            <v>0</v>
          </cell>
          <cell r="H1255">
            <v>1</v>
          </cell>
          <cell r="I1255">
            <v>34.186999999999998</v>
          </cell>
          <cell r="J1255">
            <v>28.978390950000001</v>
          </cell>
          <cell r="K1255">
            <v>32.978390949999998</v>
          </cell>
          <cell r="L1255">
            <v>1.20920870190305</v>
          </cell>
          <cell r="M1255">
            <v>34.187599651903099</v>
          </cell>
          <cell r="N1255">
            <v>0.17910447761194001</v>
          </cell>
          <cell r="O1255">
            <v>0</v>
          </cell>
          <cell r="P1255">
            <v>0.20895522388059701</v>
          </cell>
          <cell r="Q1255">
            <v>1</v>
          </cell>
          <cell r="R1255">
            <v>0.36363636363636398</v>
          </cell>
          <cell r="S1255">
            <v>2.75</v>
          </cell>
        </row>
        <row r="1256">
          <cell r="A1256">
            <v>121600</v>
          </cell>
          <cell r="B1256">
            <v>2</v>
          </cell>
          <cell r="C1256">
            <v>2</v>
          </cell>
          <cell r="D1256">
            <v>3</v>
          </cell>
          <cell r="E1256" t="str">
            <v>FAMILY</v>
          </cell>
          <cell r="F1256" t="str">
            <v>North Hollywood</v>
          </cell>
          <cell r="G1256">
            <v>1</v>
          </cell>
          <cell r="H1256">
            <v>1</v>
          </cell>
          <cell r="I1256">
            <v>5</v>
          </cell>
          <cell r="J1256">
            <v>0</v>
          </cell>
          <cell r="K1256">
            <v>5</v>
          </cell>
          <cell r="L1256">
            <v>0</v>
          </cell>
          <cell r="M1256">
            <v>5</v>
          </cell>
          <cell r="N1256">
            <v>1</v>
          </cell>
          <cell r="O1256">
            <v>1</v>
          </cell>
        </row>
        <row r="1257">
          <cell r="A1257">
            <v>122420</v>
          </cell>
          <cell r="B1257">
            <v>2</v>
          </cell>
          <cell r="C1257">
            <v>2</v>
          </cell>
          <cell r="D1257">
            <v>3</v>
          </cell>
          <cell r="E1257" t="str">
            <v>INDIV</v>
          </cell>
          <cell r="F1257" t="str">
            <v>North Hollywood</v>
          </cell>
          <cell r="G1257">
            <v>0</v>
          </cell>
          <cell r="H1257">
            <v>0</v>
          </cell>
          <cell r="I1257">
            <v>17</v>
          </cell>
          <cell r="J1257">
            <v>0</v>
          </cell>
          <cell r="K1257">
            <v>17</v>
          </cell>
          <cell r="L1257">
            <v>0</v>
          </cell>
          <cell r="M1257">
            <v>17</v>
          </cell>
          <cell r="N1257">
            <v>4.8387096774193498E-2</v>
          </cell>
          <cell r="O1257">
            <v>0</v>
          </cell>
          <cell r="P1257">
            <v>0.17741935483870999</v>
          </cell>
          <cell r="Q1257">
            <v>1</v>
          </cell>
          <cell r="R1257">
            <v>0.18181818181818199</v>
          </cell>
          <cell r="S1257">
            <v>0</v>
          </cell>
        </row>
        <row r="1258">
          <cell r="A1258">
            <v>143901</v>
          </cell>
          <cell r="B1258">
            <v>2</v>
          </cell>
          <cell r="C1258">
            <v>2</v>
          </cell>
          <cell r="D1258">
            <v>3</v>
          </cell>
          <cell r="E1258" t="str">
            <v>INDIV</v>
          </cell>
          <cell r="F1258" t="str">
            <v>Studio City</v>
          </cell>
          <cell r="G1258">
            <v>0</v>
          </cell>
          <cell r="H1258">
            <v>0</v>
          </cell>
          <cell r="I1258">
            <v>7.6159999999999997</v>
          </cell>
          <cell r="J1258">
            <v>3.4662643399999999</v>
          </cell>
          <cell r="K1258">
            <v>7.4662643400000004</v>
          </cell>
          <cell r="L1258">
            <v>0.14997102057450601</v>
          </cell>
          <cell r="M1258">
            <v>7.6162353605745103</v>
          </cell>
          <cell r="N1258">
            <v>4.8387096774193498E-2</v>
          </cell>
          <cell r="O1258">
            <v>0</v>
          </cell>
          <cell r="P1258">
            <v>0.17741935483870999</v>
          </cell>
          <cell r="Q1258">
            <v>1</v>
          </cell>
          <cell r="R1258">
            <v>0.18181818181818199</v>
          </cell>
          <cell r="S1258">
            <v>0</v>
          </cell>
        </row>
        <row r="1259">
          <cell r="A1259">
            <v>125402</v>
          </cell>
          <cell r="B1259">
            <v>2</v>
          </cell>
          <cell r="C1259">
            <v>2</v>
          </cell>
          <cell r="D1259">
            <v>3</v>
          </cell>
          <cell r="E1259" t="str">
            <v>INDIV</v>
          </cell>
          <cell r="F1259" t="str">
            <v>North Hollywood</v>
          </cell>
          <cell r="G1259">
            <v>0</v>
          </cell>
          <cell r="H1259">
            <v>0</v>
          </cell>
          <cell r="I1259">
            <v>8.5540000000000003</v>
          </cell>
          <cell r="J1259">
            <v>5.4910515000000002</v>
          </cell>
          <cell r="K1259">
            <v>8.4910514999999993</v>
          </cell>
          <cell r="L1259">
            <v>6.2742575924596006E-2</v>
          </cell>
          <cell r="M1259">
            <v>8.5537940759245892</v>
          </cell>
          <cell r="N1259">
            <v>4.8387096774193498E-2</v>
          </cell>
          <cell r="O1259">
            <v>0</v>
          </cell>
          <cell r="P1259">
            <v>0.17741935483870999</v>
          </cell>
          <cell r="Q1259">
            <v>1</v>
          </cell>
          <cell r="R1259">
            <v>0.18181818181818199</v>
          </cell>
          <cell r="S1259">
            <v>0</v>
          </cell>
        </row>
        <row r="1260">
          <cell r="A1260">
            <v>123901</v>
          </cell>
          <cell r="B1260">
            <v>2</v>
          </cell>
          <cell r="C1260">
            <v>2</v>
          </cell>
          <cell r="D1260">
            <v>3</v>
          </cell>
          <cell r="E1260" t="str">
            <v>INDIV</v>
          </cell>
          <cell r="F1260" t="str">
            <v>North Hollywood</v>
          </cell>
          <cell r="G1260">
            <v>0</v>
          </cell>
          <cell r="H1260">
            <v>0</v>
          </cell>
          <cell r="I1260">
            <v>17.780999999999999</v>
          </cell>
          <cell r="J1260">
            <v>5.4065958900000002</v>
          </cell>
          <cell r="K1260">
            <v>17.406595889999998</v>
          </cell>
          <cell r="L1260">
            <v>0.37379720890484702</v>
          </cell>
          <cell r="M1260">
            <v>17.780393098904799</v>
          </cell>
          <cell r="N1260">
            <v>4.8387096774193498E-2</v>
          </cell>
          <cell r="O1260">
            <v>0</v>
          </cell>
          <cell r="P1260">
            <v>0.17741935483870999</v>
          </cell>
          <cell r="Q1260">
            <v>1</v>
          </cell>
          <cell r="R1260">
            <v>0.18181818181818199</v>
          </cell>
          <cell r="S1260">
            <v>0</v>
          </cell>
        </row>
        <row r="1261">
          <cell r="A1261">
            <v>125100</v>
          </cell>
          <cell r="B1261">
            <v>2</v>
          </cell>
          <cell r="C1261">
            <v>2</v>
          </cell>
          <cell r="D1261">
            <v>3</v>
          </cell>
          <cell r="E1261" t="str">
            <v>INDIV</v>
          </cell>
          <cell r="F1261" t="str">
            <v>Valley Village</v>
          </cell>
          <cell r="G1261">
            <v>0</v>
          </cell>
          <cell r="H1261">
            <v>0</v>
          </cell>
          <cell r="I1261">
            <v>4.9260000000000002</v>
          </cell>
          <cell r="J1261">
            <v>1.90487994</v>
          </cell>
          <cell r="K1261">
            <v>4.9048799399999998</v>
          </cell>
          <cell r="L1261">
            <v>2.0625322082585301E-2</v>
          </cell>
          <cell r="M1261">
            <v>4.9255052620825897</v>
          </cell>
          <cell r="N1261">
            <v>4.8387096774193498E-2</v>
          </cell>
          <cell r="O1261">
            <v>0</v>
          </cell>
          <cell r="P1261">
            <v>0.17741935483870999</v>
          </cell>
          <cell r="Q1261">
            <v>1</v>
          </cell>
          <cell r="R1261">
            <v>0.18181818181818199</v>
          </cell>
          <cell r="S1261">
            <v>0</v>
          </cell>
        </row>
        <row r="1262">
          <cell r="A1262">
            <v>123410</v>
          </cell>
          <cell r="B1262">
            <v>2</v>
          </cell>
          <cell r="C1262">
            <v>2</v>
          </cell>
          <cell r="D1262">
            <v>3</v>
          </cell>
          <cell r="E1262" t="str">
            <v>INDIV</v>
          </cell>
          <cell r="F1262" t="str">
            <v>North Hollywood</v>
          </cell>
          <cell r="G1262">
            <v>0</v>
          </cell>
          <cell r="H1262">
            <v>0</v>
          </cell>
          <cell r="I1262">
            <v>9.7810000000000006</v>
          </cell>
          <cell r="J1262">
            <v>5.4065958900000002</v>
          </cell>
          <cell r="K1262">
            <v>9.4065958900000002</v>
          </cell>
          <cell r="L1262">
            <v>0.37379720890484702</v>
          </cell>
          <cell r="M1262">
            <v>9.7803930989048506</v>
          </cell>
          <cell r="N1262">
            <v>4.8387096774193498E-2</v>
          </cell>
          <cell r="O1262">
            <v>0</v>
          </cell>
          <cell r="P1262">
            <v>0.17741935483870999</v>
          </cell>
          <cell r="Q1262">
            <v>1</v>
          </cell>
          <cell r="R1262">
            <v>0.18181818181818199</v>
          </cell>
          <cell r="S1262">
            <v>0</v>
          </cell>
        </row>
        <row r="1263">
          <cell r="A1263">
            <v>124104</v>
          </cell>
          <cell r="B1263">
            <v>2</v>
          </cell>
          <cell r="C1263">
            <v>2</v>
          </cell>
          <cell r="D1263">
            <v>3</v>
          </cell>
          <cell r="E1263" t="str">
            <v>INDIV</v>
          </cell>
          <cell r="F1263" t="str">
            <v>North Hollywood</v>
          </cell>
          <cell r="G1263">
            <v>0</v>
          </cell>
          <cell r="H1263">
            <v>0</v>
          </cell>
          <cell r="I1263">
            <v>13.978999999999999</v>
          </cell>
          <cell r="J1263">
            <v>9.2230506200000004</v>
          </cell>
          <cell r="K1263">
            <v>13.22305062</v>
          </cell>
          <cell r="L1263">
            <v>0.75577904513465</v>
          </cell>
          <cell r="M1263">
            <v>13.9788296651347</v>
          </cell>
          <cell r="N1263">
            <v>4.8387096774193498E-2</v>
          </cell>
          <cell r="O1263">
            <v>0</v>
          </cell>
          <cell r="P1263">
            <v>0.17741935483870999</v>
          </cell>
          <cell r="Q1263">
            <v>1</v>
          </cell>
          <cell r="R1263">
            <v>0.18181818181818199</v>
          </cell>
          <cell r="S1263">
            <v>0</v>
          </cell>
        </row>
        <row r="1264">
          <cell r="A1264">
            <v>127104</v>
          </cell>
          <cell r="B1264">
            <v>2</v>
          </cell>
          <cell r="C1264">
            <v>2</v>
          </cell>
          <cell r="D1264">
            <v>3</v>
          </cell>
          <cell r="E1264" t="str">
            <v>INDIV</v>
          </cell>
          <cell r="F1264" t="str">
            <v>Van Nuys</v>
          </cell>
          <cell r="G1264">
            <v>0</v>
          </cell>
          <cell r="H1264">
            <v>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4.8387096774193498E-2</v>
          </cell>
          <cell r="O1264">
            <v>0</v>
          </cell>
          <cell r="P1264">
            <v>0.17741935483870999</v>
          </cell>
          <cell r="Q1264">
            <v>1</v>
          </cell>
          <cell r="R1264">
            <v>0.18181818181818199</v>
          </cell>
          <cell r="S1264">
            <v>5.5</v>
          </cell>
        </row>
        <row r="1265">
          <cell r="A1265">
            <v>124105</v>
          </cell>
          <cell r="B1265">
            <v>2</v>
          </cell>
          <cell r="C1265">
            <v>2</v>
          </cell>
          <cell r="D1265">
            <v>3</v>
          </cell>
          <cell r="E1265" t="str">
            <v>INDIV</v>
          </cell>
          <cell r="F1265" t="str">
            <v>North Hollywood</v>
          </cell>
          <cell r="G1265">
            <v>0</v>
          </cell>
          <cell r="H1265">
            <v>1</v>
          </cell>
          <cell r="I1265">
            <v>6.0949999999999998</v>
          </cell>
          <cell r="J1265">
            <v>1.9836996600000001</v>
          </cell>
          <cell r="K1265">
            <v>5.9836996600000001</v>
          </cell>
          <cell r="L1265">
            <v>0.11117260138240601</v>
          </cell>
          <cell r="M1265">
            <v>6.0948722613824096</v>
          </cell>
          <cell r="N1265">
            <v>4.8387096774193498E-2</v>
          </cell>
          <cell r="O1265">
            <v>0</v>
          </cell>
          <cell r="P1265">
            <v>0.17741935483870999</v>
          </cell>
          <cell r="Q1265">
            <v>1</v>
          </cell>
          <cell r="R1265">
            <v>0.18181818181818199</v>
          </cell>
          <cell r="S1265">
            <v>5.5</v>
          </cell>
        </row>
        <row r="1266">
          <cell r="A1266">
            <v>125401</v>
          </cell>
          <cell r="B1266">
            <v>2</v>
          </cell>
          <cell r="C1266">
            <v>2</v>
          </cell>
          <cell r="D1266">
            <v>3</v>
          </cell>
          <cell r="E1266" t="str">
            <v>INDIV</v>
          </cell>
          <cell r="F1266" t="str">
            <v>North Hollywood</v>
          </cell>
          <cell r="G1266">
            <v>0</v>
          </cell>
          <cell r="H1266">
            <v>0</v>
          </cell>
          <cell r="I1266">
            <v>11.494</v>
          </cell>
          <cell r="J1266">
            <v>5.1560284000000003</v>
          </cell>
          <cell r="K1266">
            <v>11.1560284</v>
          </cell>
          <cell r="L1266">
            <v>0.33761011780969502</v>
          </cell>
          <cell r="M1266">
            <v>11.4936385178097</v>
          </cell>
          <cell r="N1266">
            <v>4.8387096774193498E-2</v>
          </cell>
          <cell r="O1266">
            <v>0</v>
          </cell>
          <cell r="P1266">
            <v>0.17741935483870999</v>
          </cell>
          <cell r="Q1266">
            <v>1</v>
          </cell>
          <cell r="R1266">
            <v>0.18181818181818199</v>
          </cell>
          <cell r="S1266">
            <v>0</v>
          </cell>
        </row>
        <row r="1267">
          <cell r="A1267">
            <v>128102</v>
          </cell>
          <cell r="B1267">
            <v>2</v>
          </cell>
          <cell r="C1267">
            <v>2</v>
          </cell>
          <cell r="D1267">
            <v>3</v>
          </cell>
          <cell r="E1267" t="str">
            <v>INDIV</v>
          </cell>
          <cell r="F1267" t="str">
            <v>Van Nuys</v>
          </cell>
          <cell r="G1267">
            <v>0</v>
          </cell>
          <cell r="H1267">
            <v>0</v>
          </cell>
          <cell r="I1267">
            <v>14.686</v>
          </cell>
          <cell r="J1267">
            <v>3.4228962300000001</v>
          </cell>
          <cell r="K1267">
            <v>14.422896229999999</v>
          </cell>
          <cell r="L1267">
            <v>0.26262460752244199</v>
          </cell>
          <cell r="M1267">
            <v>14.6855208375224</v>
          </cell>
          <cell r="N1267">
            <v>4.8387096774193498E-2</v>
          </cell>
          <cell r="O1267">
            <v>0</v>
          </cell>
          <cell r="P1267">
            <v>0.17741935483870999</v>
          </cell>
          <cell r="Q1267">
            <v>1</v>
          </cell>
          <cell r="R1267">
            <v>0.18181818181818199</v>
          </cell>
          <cell r="S1267">
            <v>0</v>
          </cell>
        </row>
        <row r="1268">
          <cell r="A1268">
            <v>124902</v>
          </cell>
          <cell r="B1268">
            <v>2</v>
          </cell>
          <cell r="C1268">
            <v>2</v>
          </cell>
          <cell r="D1268">
            <v>3</v>
          </cell>
          <cell r="E1268" t="str">
            <v>NON-HS</v>
          </cell>
          <cell r="F1268" t="str">
            <v>Valley Village</v>
          </cell>
          <cell r="G1268">
            <v>0</v>
          </cell>
          <cell r="H1268">
            <v>1</v>
          </cell>
          <cell r="I1268">
            <v>5.7240000000000002</v>
          </cell>
          <cell r="J1268">
            <v>5.5698712199999996</v>
          </cell>
          <cell r="K1268">
            <v>5.5698712199999996</v>
          </cell>
          <cell r="L1268">
            <v>0.15328985522441699</v>
          </cell>
          <cell r="M1268">
            <v>5.7231610752244197</v>
          </cell>
          <cell r="N1268">
            <v>2.2140221402214E-2</v>
          </cell>
          <cell r="O1268">
            <v>0</v>
          </cell>
          <cell r="P1268">
            <v>0.10332103321033199</v>
          </cell>
          <cell r="Q1268">
            <v>1</v>
          </cell>
          <cell r="R1268">
            <v>7.4074074074074098E-2</v>
          </cell>
          <cell r="S1268">
            <v>13.5</v>
          </cell>
        </row>
        <row r="1269">
          <cell r="A1269">
            <v>121020</v>
          </cell>
          <cell r="B1269">
            <v>2</v>
          </cell>
          <cell r="C1269">
            <v>2</v>
          </cell>
          <cell r="D1269">
            <v>3</v>
          </cell>
          <cell r="E1269" t="str">
            <v>NON-HS</v>
          </cell>
          <cell r="F1269" t="str">
            <v>North Hollywood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2.2140221402214E-2</v>
          </cell>
          <cell r="O1269">
            <v>0</v>
          </cell>
          <cell r="P1269">
            <v>0.10332103321033199</v>
          </cell>
          <cell r="Q1269">
            <v>1</v>
          </cell>
          <cell r="R1269">
            <v>7.4074074074074098E-2</v>
          </cell>
          <cell r="S1269">
            <v>0</v>
          </cell>
        </row>
        <row r="1270">
          <cell r="A1270">
            <v>124500</v>
          </cell>
          <cell r="B1270">
            <v>2</v>
          </cell>
          <cell r="C1270">
            <v>2</v>
          </cell>
          <cell r="D1270">
            <v>3</v>
          </cell>
          <cell r="E1270" t="str">
            <v>NON-HS</v>
          </cell>
          <cell r="F1270" t="str">
            <v>Sherman Oaks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2.2140221402214E-2</v>
          </cell>
          <cell r="O1270">
            <v>0</v>
          </cell>
          <cell r="P1270">
            <v>0.10332103321033199</v>
          </cell>
          <cell r="Q1270">
            <v>1</v>
          </cell>
          <cell r="R1270">
            <v>7.4074074074074098E-2</v>
          </cell>
          <cell r="S1270">
            <v>0</v>
          </cell>
        </row>
        <row r="1271">
          <cell r="A1271">
            <v>124300</v>
          </cell>
          <cell r="B1271">
            <v>2</v>
          </cell>
          <cell r="C1271">
            <v>2</v>
          </cell>
          <cell r="D1271">
            <v>3</v>
          </cell>
          <cell r="E1271" t="str">
            <v>NON-HS</v>
          </cell>
          <cell r="F1271" t="str">
            <v>North Hollywood</v>
          </cell>
          <cell r="G1271">
            <v>0</v>
          </cell>
          <cell r="H1271">
            <v>0</v>
          </cell>
          <cell r="I1271">
            <v>9.8759999999999994</v>
          </cell>
          <cell r="J1271">
            <v>7.3902955500000003</v>
          </cell>
          <cell r="K1271">
            <v>9.3902955499999994</v>
          </cell>
          <cell r="L1271">
            <v>0.484969810287253</v>
          </cell>
          <cell r="M1271">
            <v>9.8752653602872495</v>
          </cell>
          <cell r="N1271">
            <v>2.2140221402214E-2</v>
          </cell>
          <cell r="O1271">
            <v>0</v>
          </cell>
          <cell r="P1271">
            <v>0.10332103321033199</v>
          </cell>
          <cell r="Q1271">
            <v>1</v>
          </cell>
          <cell r="R1271">
            <v>7.4074074074074098E-2</v>
          </cell>
          <cell r="S1271">
            <v>0</v>
          </cell>
        </row>
        <row r="1272">
          <cell r="A1272">
            <v>124201</v>
          </cell>
          <cell r="B1272">
            <v>2</v>
          </cell>
          <cell r="C1272">
            <v>2</v>
          </cell>
          <cell r="D1272">
            <v>3</v>
          </cell>
          <cell r="E1272" t="str">
            <v>NON-HS</v>
          </cell>
          <cell r="F1272" t="str">
            <v>North Hollywood</v>
          </cell>
          <cell r="G1272">
            <v>1</v>
          </cell>
          <cell r="H1272">
            <v>1</v>
          </cell>
          <cell r="I1272">
            <v>9.093</v>
          </cell>
          <cell r="J1272">
            <v>7.6842311499999996</v>
          </cell>
          <cell r="K1272">
            <v>8.6842311500000005</v>
          </cell>
          <cell r="L1272">
            <v>0.40850331443447002</v>
          </cell>
          <cell r="M1272">
            <v>9.0927344644344696</v>
          </cell>
          <cell r="N1272">
            <v>2.2140221402214E-2</v>
          </cell>
          <cell r="O1272">
            <v>45.1666666666667</v>
          </cell>
          <cell r="P1272">
            <v>0.10332103321033199</v>
          </cell>
          <cell r="Q1272">
            <v>1</v>
          </cell>
        </row>
        <row r="1273">
          <cell r="A1273">
            <v>125502</v>
          </cell>
          <cell r="B1273">
            <v>2</v>
          </cell>
          <cell r="C1273">
            <v>2</v>
          </cell>
          <cell r="D1273">
            <v>3</v>
          </cell>
          <cell r="E1273" t="str">
            <v>NON-HS</v>
          </cell>
          <cell r="F1273" t="str">
            <v>North Hollywood</v>
          </cell>
          <cell r="G1273">
            <v>0</v>
          </cell>
          <cell r="H1273">
            <v>0</v>
          </cell>
          <cell r="I1273">
            <v>1.8080000000000001</v>
          </cell>
          <cell r="J1273">
            <v>1.73313217</v>
          </cell>
          <cell r="K1273">
            <v>1.73313217</v>
          </cell>
          <cell r="L1273">
            <v>7.4985510287253102E-2</v>
          </cell>
          <cell r="M1273">
            <v>1.8081176802872501</v>
          </cell>
          <cell r="N1273">
            <v>2.2140221402214E-2</v>
          </cell>
          <cell r="O1273">
            <v>0</v>
          </cell>
          <cell r="P1273">
            <v>0.10332103321033199</v>
          </cell>
          <cell r="Q1273">
            <v>1</v>
          </cell>
          <cell r="R1273">
            <v>7.4074074074074098E-2</v>
          </cell>
          <cell r="S1273">
            <v>0</v>
          </cell>
        </row>
        <row r="1274">
          <cell r="A1274">
            <v>124203</v>
          </cell>
          <cell r="B1274">
            <v>2</v>
          </cell>
          <cell r="C1274">
            <v>2</v>
          </cell>
          <cell r="D1274">
            <v>3</v>
          </cell>
          <cell r="E1274" t="str">
            <v>NON-HS</v>
          </cell>
          <cell r="F1274" t="str">
            <v>North Hollywood</v>
          </cell>
          <cell r="G1274">
            <v>0</v>
          </cell>
          <cell r="H1274">
            <v>1</v>
          </cell>
          <cell r="I1274">
            <v>3.6160000000000001</v>
          </cell>
          <cell r="J1274">
            <v>3.4662643399999999</v>
          </cell>
          <cell r="K1274">
            <v>3.4662643399999999</v>
          </cell>
          <cell r="L1274">
            <v>0.14997102057450601</v>
          </cell>
          <cell r="M1274">
            <v>3.6162353605745099</v>
          </cell>
          <cell r="N1274">
            <v>2.2140221402214E-2</v>
          </cell>
          <cell r="O1274">
            <v>0</v>
          </cell>
          <cell r="P1274">
            <v>0.10332103321033199</v>
          </cell>
          <cell r="Q1274">
            <v>1</v>
          </cell>
          <cell r="R1274">
            <v>7.4074074074074098E-2</v>
          </cell>
          <cell r="S1274">
            <v>13.5</v>
          </cell>
        </row>
        <row r="1275">
          <cell r="A1275">
            <v>143800</v>
          </cell>
          <cell r="B1275">
            <v>2</v>
          </cell>
          <cell r="C1275">
            <v>2</v>
          </cell>
          <cell r="D1275">
            <v>3</v>
          </cell>
          <cell r="E1275" t="str">
            <v>NON-HS</v>
          </cell>
          <cell r="F1275" t="str">
            <v>Studio City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2.2140221402214E-2</v>
          </cell>
          <cell r="O1275">
            <v>0</v>
          </cell>
          <cell r="P1275">
            <v>0.10332103321033199</v>
          </cell>
          <cell r="Q1275">
            <v>1</v>
          </cell>
          <cell r="R1275">
            <v>7.4074074074074098E-2</v>
          </cell>
          <cell r="S1275">
            <v>0</v>
          </cell>
        </row>
        <row r="1276">
          <cell r="A1276">
            <v>123602</v>
          </cell>
          <cell r="B1276">
            <v>2</v>
          </cell>
          <cell r="C1276">
            <v>2</v>
          </cell>
          <cell r="D1276">
            <v>3</v>
          </cell>
          <cell r="E1276" t="str">
            <v>NON-HS</v>
          </cell>
          <cell r="F1276" t="str">
            <v>Van Nuys</v>
          </cell>
          <cell r="G1276">
            <v>0</v>
          </cell>
          <cell r="H1276">
            <v>0</v>
          </cell>
          <cell r="I1276">
            <v>1</v>
          </cell>
          <cell r="J1276">
            <v>0</v>
          </cell>
          <cell r="K1276">
            <v>1</v>
          </cell>
          <cell r="L1276">
            <v>0</v>
          </cell>
          <cell r="M1276">
            <v>1</v>
          </cell>
          <cell r="N1276">
            <v>2.2140221402214E-2</v>
          </cell>
          <cell r="O1276">
            <v>0</v>
          </cell>
          <cell r="P1276">
            <v>0.10332103321033199</v>
          </cell>
          <cell r="Q1276">
            <v>1</v>
          </cell>
          <cell r="R1276">
            <v>7.4074074074074098E-2</v>
          </cell>
          <cell r="S1276">
            <v>0</v>
          </cell>
        </row>
        <row r="1277">
          <cell r="A1277">
            <v>143200</v>
          </cell>
          <cell r="B1277">
            <v>2</v>
          </cell>
          <cell r="C1277">
            <v>2</v>
          </cell>
          <cell r="D1277">
            <v>3</v>
          </cell>
          <cell r="E1277" t="str">
            <v>NON-HS</v>
          </cell>
          <cell r="F1277" t="str">
            <v>Studio City</v>
          </cell>
          <cell r="G1277">
            <v>0</v>
          </cell>
          <cell r="H1277">
            <v>0</v>
          </cell>
          <cell r="I1277">
            <v>10.186999999999999</v>
          </cell>
          <cell r="J1277">
            <v>8.7691791299999995</v>
          </cell>
          <cell r="K1277">
            <v>9.7691791299999995</v>
          </cell>
          <cell r="L1277">
            <v>0.416781072423698</v>
          </cell>
          <cell r="M1277">
            <v>10.185960202423701</v>
          </cell>
          <cell r="N1277">
            <v>2.2140221402214E-2</v>
          </cell>
          <cell r="O1277">
            <v>0</v>
          </cell>
          <cell r="P1277">
            <v>0.10332103321033199</v>
          </cell>
          <cell r="Q1277">
            <v>1</v>
          </cell>
          <cell r="R1277">
            <v>7.4074074074074098E-2</v>
          </cell>
          <cell r="S1277">
            <v>0</v>
          </cell>
        </row>
        <row r="1278">
          <cell r="A1278">
            <v>124103</v>
          </cell>
          <cell r="B1278">
            <v>2</v>
          </cell>
          <cell r="C1278">
            <v>2</v>
          </cell>
          <cell r="D1278">
            <v>3</v>
          </cell>
          <cell r="E1278" t="str">
            <v>NON-HS</v>
          </cell>
          <cell r="F1278" t="str">
            <v>North Hollywood</v>
          </cell>
          <cell r="G1278">
            <v>0</v>
          </cell>
          <cell r="H1278">
            <v>0</v>
          </cell>
          <cell r="I1278">
            <v>4.9029999999999996</v>
          </cell>
          <cell r="J1278">
            <v>3.7168318299999998</v>
          </cell>
          <cell r="K1278">
            <v>4.7168318300000003</v>
          </cell>
          <cell r="L1278">
            <v>0.18615811166965901</v>
          </cell>
          <cell r="M1278">
            <v>4.9029899416696603</v>
          </cell>
          <cell r="N1278">
            <v>2.2140221402214E-2</v>
          </cell>
          <cell r="O1278">
            <v>0</v>
          </cell>
          <cell r="P1278">
            <v>0.10332103321033199</v>
          </cell>
          <cell r="Q1278">
            <v>1</v>
          </cell>
          <cell r="R1278">
            <v>7.4074074074074098E-2</v>
          </cell>
          <cell r="S1278">
            <v>0</v>
          </cell>
        </row>
        <row r="1279">
          <cell r="A1279">
            <v>102103</v>
          </cell>
          <cell r="B1279">
            <v>2</v>
          </cell>
          <cell r="C1279">
            <v>2</v>
          </cell>
          <cell r="D1279">
            <v>5</v>
          </cell>
          <cell r="E1279" t="str">
            <v>NON-HS</v>
          </cell>
          <cell r="F1279" t="str">
            <v>Sun Valley</v>
          </cell>
          <cell r="G1279">
            <v>0</v>
          </cell>
          <cell r="H1279">
            <v>0</v>
          </cell>
          <cell r="I1279">
            <v>8.093</v>
          </cell>
          <cell r="J1279">
            <v>7.6842311499999996</v>
          </cell>
          <cell r="K1279">
            <v>7.6842311499999996</v>
          </cell>
          <cell r="L1279">
            <v>0.40850331443447002</v>
          </cell>
          <cell r="M1279">
            <v>8.0927344644344696</v>
          </cell>
          <cell r="N1279">
            <v>2.2140221402214E-2</v>
          </cell>
          <cell r="O1279">
            <v>0</v>
          </cell>
          <cell r="P1279">
            <v>0.10332103321033199</v>
          </cell>
          <cell r="Q1279">
            <v>1</v>
          </cell>
          <cell r="R1279">
            <v>7.4074074074074098E-2</v>
          </cell>
          <cell r="S1279">
            <v>0</v>
          </cell>
        </row>
        <row r="1280">
          <cell r="A1280">
            <v>124204</v>
          </cell>
          <cell r="B1280">
            <v>2</v>
          </cell>
          <cell r="C1280">
            <v>2</v>
          </cell>
          <cell r="D1280">
            <v>3</v>
          </cell>
          <cell r="E1280" t="str">
            <v>NON-HS</v>
          </cell>
          <cell r="F1280" t="str">
            <v>North Hollywood</v>
          </cell>
          <cell r="G1280">
            <v>0</v>
          </cell>
          <cell r="H1280">
            <v>0</v>
          </cell>
          <cell r="I1280">
            <v>6.9980000000000002</v>
          </cell>
          <cell r="J1280">
            <v>5.7005314900000004</v>
          </cell>
          <cell r="K1280">
            <v>6.7005314900000004</v>
          </cell>
          <cell r="L1280">
            <v>0.29733071305206499</v>
          </cell>
          <cell r="M1280">
            <v>6.9978622030520699</v>
          </cell>
          <cell r="N1280">
            <v>2.2140221402214E-2</v>
          </cell>
          <cell r="O1280">
            <v>0</v>
          </cell>
          <cell r="P1280">
            <v>0.10332103321033199</v>
          </cell>
          <cell r="Q1280">
            <v>1</v>
          </cell>
          <cell r="R1280">
            <v>7.4074074074074098E-2</v>
          </cell>
          <cell r="S1280">
            <v>0</v>
          </cell>
        </row>
        <row r="1281">
          <cell r="A1281">
            <v>124903</v>
          </cell>
          <cell r="B1281">
            <v>2</v>
          </cell>
          <cell r="C1281">
            <v>2</v>
          </cell>
          <cell r="D1281">
            <v>3</v>
          </cell>
          <cell r="E1281" t="str">
            <v>NON-HS</v>
          </cell>
          <cell r="F1281" t="str">
            <v>Valley Village</v>
          </cell>
          <cell r="G1281">
            <v>0</v>
          </cell>
          <cell r="H1281">
            <v>0</v>
          </cell>
          <cell r="I1281">
            <v>3.9260000000000002</v>
          </cell>
          <cell r="J1281">
            <v>1.90487994</v>
          </cell>
          <cell r="K1281">
            <v>3.9048799399999998</v>
          </cell>
          <cell r="L1281">
            <v>2.0625322082585301E-2</v>
          </cell>
          <cell r="M1281">
            <v>3.9255052620825901</v>
          </cell>
          <cell r="N1281">
            <v>2.2140221402214E-2</v>
          </cell>
          <cell r="O1281">
            <v>0</v>
          </cell>
          <cell r="P1281">
            <v>0.10332103321033199</v>
          </cell>
          <cell r="Q1281">
            <v>1</v>
          </cell>
          <cell r="R1281">
            <v>7.4074074074074098E-2</v>
          </cell>
          <cell r="S1281">
            <v>0</v>
          </cell>
        </row>
        <row r="1282">
          <cell r="A1282">
            <v>124000</v>
          </cell>
          <cell r="B1282">
            <v>2</v>
          </cell>
          <cell r="C1282">
            <v>2</v>
          </cell>
          <cell r="D1282">
            <v>3</v>
          </cell>
          <cell r="E1282" t="str">
            <v>NON-HS</v>
          </cell>
          <cell r="F1282" t="str">
            <v>Valley Village</v>
          </cell>
          <cell r="G1282">
            <v>0</v>
          </cell>
          <cell r="H1282">
            <v>0</v>
          </cell>
          <cell r="I1282">
            <v>9.42</v>
          </cell>
          <cell r="J1282">
            <v>7.0609083400000001</v>
          </cell>
          <cell r="K1282">
            <v>9.0609083399999992</v>
          </cell>
          <cell r="L1282">
            <v>0.35823543989228002</v>
          </cell>
          <cell r="M1282">
            <v>9.4191437798922806</v>
          </cell>
          <cell r="N1282">
            <v>2.2140221402214E-2</v>
          </cell>
          <cell r="O1282">
            <v>0</v>
          </cell>
          <cell r="P1282">
            <v>0.10332103321033199</v>
          </cell>
          <cell r="Q1282">
            <v>1</v>
          </cell>
          <cell r="R1282">
            <v>7.4074074074074098E-2</v>
          </cell>
          <cell r="S1282">
            <v>0</v>
          </cell>
        </row>
        <row r="1283">
          <cell r="A1283">
            <v>143500</v>
          </cell>
          <cell r="B1283">
            <v>2</v>
          </cell>
          <cell r="C1283">
            <v>2</v>
          </cell>
          <cell r="D1283">
            <v>3</v>
          </cell>
          <cell r="E1283" t="str">
            <v>NON-HS</v>
          </cell>
          <cell r="F1283" t="str">
            <v>Studio City</v>
          </cell>
          <cell r="G1283">
            <v>0</v>
          </cell>
          <cell r="H1283">
            <v>0</v>
          </cell>
          <cell r="I1283">
            <v>1</v>
          </cell>
          <cell r="J1283">
            <v>0</v>
          </cell>
          <cell r="K1283">
            <v>1</v>
          </cell>
          <cell r="L1283">
            <v>0</v>
          </cell>
          <cell r="M1283">
            <v>1</v>
          </cell>
          <cell r="N1283">
            <v>2.2140221402214E-2</v>
          </cell>
          <cell r="O1283">
            <v>0</v>
          </cell>
          <cell r="P1283">
            <v>0.10332103321033199</v>
          </cell>
          <cell r="Q1283">
            <v>1</v>
          </cell>
          <cell r="R1283">
            <v>7.4074074074074098E-2</v>
          </cell>
          <cell r="S1283">
            <v>0</v>
          </cell>
        </row>
        <row r="1284">
          <cell r="A1284">
            <v>127102</v>
          </cell>
          <cell r="B1284">
            <v>2</v>
          </cell>
          <cell r="C1284">
            <v>2</v>
          </cell>
          <cell r="D1284">
            <v>3</v>
          </cell>
          <cell r="E1284" t="str">
            <v>NON-HS</v>
          </cell>
          <cell r="F1284" t="str">
            <v>Van Nuys</v>
          </cell>
          <cell r="G1284">
            <v>0</v>
          </cell>
          <cell r="H1284">
            <v>0</v>
          </cell>
          <cell r="I1284">
            <v>3.9260000000000002</v>
          </cell>
          <cell r="J1284">
            <v>1.90487994</v>
          </cell>
          <cell r="K1284">
            <v>3.9048799399999998</v>
          </cell>
          <cell r="L1284">
            <v>2.0625322082585301E-2</v>
          </cell>
          <cell r="M1284">
            <v>3.9255052620825901</v>
          </cell>
          <cell r="N1284">
            <v>2.2140221402214E-2</v>
          </cell>
          <cell r="O1284">
            <v>0</v>
          </cell>
          <cell r="P1284">
            <v>0.10332103321033199</v>
          </cell>
          <cell r="Q1284">
            <v>1</v>
          </cell>
          <cell r="R1284">
            <v>7.4074074074074098E-2</v>
          </cell>
          <cell r="S1284">
            <v>0</v>
          </cell>
        </row>
        <row r="1285">
          <cell r="A1285">
            <v>128101</v>
          </cell>
          <cell r="B1285">
            <v>2</v>
          </cell>
          <cell r="C1285">
            <v>2</v>
          </cell>
          <cell r="D1285">
            <v>3</v>
          </cell>
          <cell r="E1285" t="str">
            <v>NON-HS</v>
          </cell>
          <cell r="F1285" t="str">
            <v>Van Nuys</v>
          </cell>
          <cell r="G1285">
            <v>0</v>
          </cell>
          <cell r="H1285">
            <v>0</v>
          </cell>
          <cell r="I1285">
            <v>4.1900000000000004</v>
          </cell>
          <cell r="J1285">
            <v>3.9673993200000002</v>
          </cell>
          <cell r="K1285">
            <v>3.9673993200000002</v>
          </cell>
          <cell r="L1285">
            <v>0.22234520276481101</v>
          </cell>
          <cell r="M1285">
            <v>4.1897445227648102</v>
          </cell>
          <cell r="N1285">
            <v>2.2140221402214E-2</v>
          </cell>
          <cell r="O1285">
            <v>0</v>
          </cell>
          <cell r="P1285">
            <v>0.10332103321033199</v>
          </cell>
          <cell r="Q1285">
            <v>1</v>
          </cell>
          <cell r="R1285">
            <v>7.4074074074074098E-2</v>
          </cell>
          <cell r="S1285">
            <v>0</v>
          </cell>
        </row>
        <row r="1286">
          <cell r="A1286">
            <v>122121</v>
          </cell>
          <cell r="B1286">
            <v>2</v>
          </cell>
          <cell r="C1286">
            <v>2</v>
          </cell>
          <cell r="D1286">
            <v>3</v>
          </cell>
          <cell r="E1286" t="str">
            <v>NON-HS</v>
          </cell>
          <cell r="F1286" t="str">
            <v>Sun Valley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2.2140221402214E-2</v>
          </cell>
          <cell r="O1286">
            <v>0</v>
          </cell>
          <cell r="P1286">
            <v>0.10332103321033199</v>
          </cell>
          <cell r="Q1286">
            <v>1</v>
          </cell>
          <cell r="R1286">
            <v>7.4074074074074098E-2</v>
          </cell>
          <cell r="S1286">
            <v>0</v>
          </cell>
        </row>
        <row r="1287">
          <cell r="A1287">
            <v>102105</v>
          </cell>
          <cell r="B1287">
            <v>2</v>
          </cell>
          <cell r="C1287">
            <v>2</v>
          </cell>
          <cell r="D1287">
            <v>5</v>
          </cell>
          <cell r="E1287" t="str">
            <v>NON-HS</v>
          </cell>
          <cell r="F1287" t="str">
            <v>Sun Valley</v>
          </cell>
          <cell r="G1287">
            <v>0</v>
          </cell>
          <cell r="H1287">
            <v>0</v>
          </cell>
          <cell r="I1287">
            <v>9.8019999999999996</v>
          </cell>
          <cell r="J1287">
            <v>9.2951754900000001</v>
          </cell>
          <cell r="K1287">
            <v>9.2951754900000001</v>
          </cell>
          <cell r="L1287">
            <v>0.505595132369838</v>
          </cell>
          <cell r="M1287">
            <v>9.8007706223698392</v>
          </cell>
          <cell r="N1287">
            <v>2.2140221402214E-2</v>
          </cell>
          <cell r="O1287">
            <v>0</v>
          </cell>
          <cell r="P1287">
            <v>0.10332103321033199</v>
          </cell>
          <cell r="Q1287">
            <v>1</v>
          </cell>
          <cell r="R1287">
            <v>7.4074074074074098E-2</v>
          </cell>
          <cell r="S1287">
            <v>0</v>
          </cell>
        </row>
        <row r="1288">
          <cell r="A1288">
            <v>143300</v>
          </cell>
          <cell r="B1288">
            <v>2</v>
          </cell>
          <cell r="C1288">
            <v>2</v>
          </cell>
          <cell r="D1288">
            <v>3</v>
          </cell>
          <cell r="E1288" t="str">
            <v>NON-HS</v>
          </cell>
          <cell r="F1288" t="str">
            <v>Studio City</v>
          </cell>
          <cell r="G1288">
            <v>0</v>
          </cell>
          <cell r="H1288">
            <v>0</v>
          </cell>
          <cell r="I1288">
            <v>10.885</v>
          </cell>
          <cell r="J1288">
            <v>10.758514679999999</v>
          </cell>
          <cell r="K1288">
            <v>10.758514679999999</v>
          </cell>
          <cell r="L1288">
            <v>0.126351761526032</v>
          </cell>
          <cell r="M1288">
            <v>10.884866441526</v>
          </cell>
          <cell r="N1288">
            <v>2.2140221402214E-2</v>
          </cell>
          <cell r="O1288">
            <v>0</v>
          </cell>
          <cell r="P1288">
            <v>0.10332103321033199</v>
          </cell>
          <cell r="Q1288">
            <v>1</v>
          </cell>
          <cell r="R1288">
            <v>7.4074074074074098E-2</v>
          </cell>
          <cell r="S1288">
            <v>0</v>
          </cell>
        </row>
        <row r="1289">
          <cell r="A1289">
            <v>123203</v>
          </cell>
          <cell r="B1289">
            <v>2</v>
          </cell>
          <cell r="C1289">
            <v>2</v>
          </cell>
          <cell r="D1289">
            <v>3</v>
          </cell>
          <cell r="E1289" t="str">
            <v>NON-HS</v>
          </cell>
          <cell r="F1289" t="str">
            <v>North Hollywood</v>
          </cell>
          <cell r="G1289">
            <v>0</v>
          </cell>
          <cell r="H1289">
            <v>0</v>
          </cell>
          <cell r="I1289">
            <v>10.561999999999999</v>
          </cell>
          <cell r="J1289">
            <v>9.2597238799999992</v>
          </cell>
          <cell r="K1289">
            <v>10.259723879999999</v>
          </cell>
          <cell r="L1289">
            <v>0.30239426612208298</v>
          </cell>
          <cell r="M1289">
            <v>10.562118146122099</v>
          </cell>
          <cell r="N1289">
            <v>2.2140221402214E-2</v>
          </cell>
          <cell r="O1289">
            <v>0</v>
          </cell>
          <cell r="P1289">
            <v>0.10332103321033199</v>
          </cell>
          <cell r="Q1289">
            <v>1</v>
          </cell>
          <cell r="R1289">
            <v>7.4074074074074098E-2</v>
          </cell>
          <cell r="S1289">
            <v>0</v>
          </cell>
        </row>
        <row r="1290">
          <cell r="A1290">
            <v>123700</v>
          </cell>
          <cell r="B1290">
            <v>2</v>
          </cell>
          <cell r="C1290">
            <v>2</v>
          </cell>
          <cell r="D1290">
            <v>3</v>
          </cell>
          <cell r="E1290" t="str">
            <v>NON-HS</v>
          </cell>
          <cell r="F1290" t="str">
            <v>North Hollywood</v>
          </cell>
          <cell r="G1290">
            <v>0</v>
          </cell>
          <cell r="H1290">
            <v>0</v>
          </cell>
          <cell r="I1290">
            <v>3.5910000000000002</v>
          </cell>
          <cell r="J1290">
            <v>1.43919657</v>
          </cell>
          <cell r="K1290">
            <v>3.43919657</v>
          </cell>
          <cell r="L1290">
            <v>0.15145200614003601</v>
          </cell>
          <cell r="M1290">
            <v>3.59064857614004</v>
          </cell>
          <cell r="N1290">
            <v>2.2140221402214E-2</v>
          </cell>
          <cell r="O1290">
            <v>0</v>
          </cell>
          <cell r="P1290">
            <v>0.10332103321033199</v>
          </cell>
          <cell r="Q1290">
            <v>1</v>
          </cell>
          <cell r="R1290">
            <v>7.4074074074074098E-2</v>
          </cell>
          <cell r="S1290">
            <v>0</v>
          </cell>
        </row>
        <row r="1291">
          <cell r="A1291">
            <v>102104</v>
          </cell>
          <cell r="B1291">
            <v>2</v>
          </cell>
          <cell r="C1291">
            <v>2</v>
          </cell>
          <cell r="D1291">
            <v>5</v>
          </cell>
          <cell r="E1291" t="str">
            <v>NON-HS</v>
          </cell>
          <cell r="F1291" t="str">
            <v>Sun Valley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2.2140221402214E-2</v>
          </cell>
          <cell r="O1291">
            <v>0</v>
          </cell>
          <cell r="P1291">
            <v>0.10332103321033199</v>
          </cell>
          <cell r="Q1291">
            <v>1</v>
          </cell>
          <cell r="R1291">
            <v>7.4074074074074098E-2</v>
          </cell>
          <cell r="S1291">
            <v>0</v>
          </cell>
        </row>
        <row r="1292">
          <cell r="A1292">
            <v>123420</v>
          </cell>
          <cell r="B1292">
            <v>2</v>
          </cell>
          <cell r="C1292">
            <v>2</v>
          </cell>
          <cell r="D1292">
            <v>3</v>
          </cell>
          <cell r="E1292" t="str">
            <v>NON-HS</v>
          </cell>
          <cell r="F1292" t="str">
            <v>North Hollywood</v>
          </cell>
          <cell r="G1292">
            <v>0</v>
          </cell>
          <cell r="H1292">
            <v>0</v>
          </cell>
          <cell r="I1292">
            <v>6.6589999999999998</v>
          </cell>
          <cell r="J1292">
            <v>5.5428920499999998</v>
          </cell>
          <cell r="K1292">
            <v>6.5428920499999998</v>
          </cell>
          <cell r="L1292">
            <v>0.116236154452424</v>
          </cell>
          <cell r="M1292">
            <v>6.6591282044524203</v>
          </cell>
          <cell r="N1292">
            <v>2.2140221402214E-2</v>
          </cell>
          <cell r="O1292">
            <v>0</v>
          </cell>
          <cell r="P1292">
            <v>0.10332103321033199</v>
          </cell>
          <cell r="Q1292">
            <v>1</v>
          </cell>
          <cell r="R1292">
            <v>7.4074074074074098E-2</v>
          </cell>
          <cell r="S1292">
            <v>0</v>
          </cell>
        </row>
        <row r="1293">
          <cell r="A1293">
            <v>128220</v>
          </cell>
          <cell r="B1293">
            <v>2</v>
          </cell>
          <cell r="C1293">
            <v>2</v>
          </cell>
          <cell r="D1293">
            <v>3</v>
          </cell>
          <cell r="E1293" t="str">
            <v>NON-HS</v>
          </cell>
          <cell r="F1293" t="str">
            <v>Van Nuys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2.2140221402214E-2</v>
          </cell>
          <cell r="O1293">
            <v>0</v>
          </cell>
          <cell r="P1293">
            <v>0.10332103321033199</v>
          </cell>
          <cell r="Q1293">
            <v>1</v>
          </cell>
          <cell r="R1293">
            <v>7.4074074074074098E-2</v>
          </cell>
          <cell r="S1293">
            <v>0</v>
          </cell>
        </row>
        <row r="1294">
          <cell r="A1294">
            <v>127920</v>
          </cell>
          <cell r="B1294">
            <v>2</v>
          </cell>
          <cell r="C1294">
            <v>2</v>
          </cell>
          <cell r="D1294">
            <v>3</v>
          </cell>
          <cell r="E1294" t="str">
            <v>NON-HS</v>
          </cell>
          <cell r="F1294" t="str">
            <v>Van Nuys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2.2140221402214E-2</v>
          </cell>
          <cell r="O1294">
            <v>0</v>
          </cell>
          <cell r="P1294">
            <v>0.10332103321033199</v>
          </cell>
          <cell r="Q1294">
            <v>1</v>
          </cell>
          <cell r="R1294">
            <v>7.4074074074074098E-2</v>
          </cell>
          <cell r="S1294">
            <v>0</v>
          </cell>
        </row>
        <row r="1295">
          <cell r="A1295">
            <v>123104</v>
          </cell>
          <cell r="B1295">
            <v>2</v>
          </cell>
          <cell r="C1295">
            <v>2</v>
          </cell>
          <cell r="D1295">
            <v>3</v>
          </cell>
          <cell r="E1295" t="str">
            <v>NON-HS</v>
          </cell>
          <cell r="F1295" t="str">
            <v>North Hollywood</v>
          </cell>
          <cell r="G1295">
            <v>0</v>
          </cell>
          <cell r="H1295">
            <v>0</v>
          </cell>
          <cell r="I1295">
            <v>6.19</v>
          </cell>
          <cell r="J1295">
            <v>3.9673993200000002</v>
          </cell>
          <cell r="K1295">
            <v>5.9673993200000002</v>
          </cell>
          <cell r="L1295">
            <v>0.22234520276481101</v>
          </cell>
          <cell r="M1295">
            <v>6.1897445227648102</v>
          </cell>
          <cell r="N1295">
            <v>2.2140221402214E-2</v>
          </cell>
          <cell r="O1295">
            <v>0</v>
          </cell>
          <cell r="P1295">
            <v>0.10332103321033199</v>
          </cell>
          <cell r="Q1295">
            <v>1</v>
          </cell>
          <cell r="R1295">
            <v>7.4074074074074098E-2</v>
          </cell>
          <cell r="S1295">
            <v>0</v>
          </cell>
        </row>
        <row r="1296">
          <cell r="A1296">
            <v>132501</v>
          </cell>
          <cell r="B1296">
            <v>2</v>
          </cell>
          <cell r="C1296">
            <v>3</v>
          </cell>
          <cell r="D1296">
            <v>3</v>
          </cell>
          <cell r="E1296" t="str">
            <v>CVCTE</v>
          </cell>
          <cell r="F1296" t="str">
            <v>Reseda</v>
          </cell>
          <cell r="G1296">
            <v>0</v>
          </cell>
          <cell r="H1296">
            <v>1</v>
          </cell>
          <cell r="I1296">
            <v>35.494</v>
          </cell>
          <cell r="J1296">
            <v>21.148672439999999</v>
          </cell>
          <cell r="K1296">
            <v>35.148672439999999</v>
          </cell>
          <cell r="L1296">
            <v>0.34498402170556502</v>
          </cell>
          <cell r="M1296">
            <v>35.493656461705598</v>
          </cell>
          <cell r="N1296">
            <v>0.17910447761194001</v>
          </cell>
          <cell r="O1296">
            <v>0</v>
          </cell>
          <cell r="P1296">
            <v>0.134328358208955</v>
          </cell>
          <cell r="Q1296">
            <v>1</v>
          </cell>
          <cell r="R1296">
            <v>0.76470588235294101</v>
          </cell>
          <cell r="S1296">
            <v>1.3076923076923099</v>
          </cell>
        </row>
        <row r="1297">
          <cell r="A1297">
            <v>134520</v>
          </cell>
          <cell r="B1297">
            <v>2</v>
          </cell>
          <cell r="C1297">
            <v>3</v>
          </cell>
          <cell r="D1297">
            <v>3</v>
          </cell>
          <cell r="E1297" t="str">
            <v>CVCTE</v>
          </cell>
          <cell r="F1297" t="str">
            <v>Canoga Park</v>
          </cell>
          <cell r="G1297">
            <v>0</v>
          </cell>
          <cell r="H1297">
            <v>1</v>
          </cell>
          <cell r="I1297">
            <v>36.350999999999999</v>
          </cell>
          <cell r="J1297">
            <v>34.838339470000001</v>
          </cell>
          <cell r="K1297">
            <v>34.838339470000001</v>
          </cell>
          <cell r="L1297">
            <v>1.51304994696589</v>
          </cell>
          <cell r="M1297">
            <v>36.351389416965901</v>
          </cell>
          <cell r="N1297">
            <v>0.17910447761194001</v>
          </cell>
          <cell r="O1297">
            <v>0</v>
          </cell>
          <cell r="P1297">
            <v>0.134328358208955</v>
          </cell>
          <cell r="Q1297">
            <v>1</v>
          </cell>
          <cell r="R1297">
            <v>0.76470588235294101</v>
          </cell>
          <cell r="S1297">
            <v>1.3076923076923099</v>
          </cell>
        </row>
        <row r="1298">
          <cell r="A1298">
            <v>139301</v>
          </cell>
          <cell r="B1298">
            <v>2</v>
          </cell>
          <cell r="C1298">
            <v>3</v>
          </cell>
          <cell r="D1298">
            <v>3</v>
          </cell>
          <cell r="E1298" t="str">
            <v>CVCTE</v>
          </cell>
          <cell r="F1298" t="str">
            <v>Tarzana</v>
          </cell>
          <cell r="G1298">
            <v>0</v>
          </cell>
          <cell r="H1298">
            <v>1</v>
          </cell>
          <cell r="I1298">
            <v>16.155999999999999</v>
          </cell>
          <cell r="J1298">
            <v>13.649438460000001</v>
          </cell>
          <cell r="K1298">
            <v>15.649438460000001</v>
          </cell>
          <cell r="L1298">
            <v>0.50656637177737895</v>
          </cell>
          <cell r="M1298">
            <v>16.156004831777398</v>
          </cell>
          <cell r="N1298">
            <v>0.17910447761194001</v>
          </cell>
          <cell r="O1298">
            <v>0</v>
          </cell>
          <cell r="P1298">
            <v>0.134328358208955</v>
          </cell>
          <cell r="Q1298">
            <v>1</v>
          </cell>
          <cell r="R1298">
            <v>0.76470588235294101</v>
          </cell>
          <cell r="S1298">
            <v>1.3076923076923099</v>
          </cell>
        </row>
        <row r="1299">
          <cell r="A1299">
            <v>134905</v>
          </cell>
          <cell r="B1299">
            <v>2</v>
          </cell>
          <cell r="C1299">
            <v>3</v>
          </cell>
          <cell r="D1299">
            <v>3</v>
          </cell>
          <cell r="E1299" t="str">
            <v>CVCTE</v>
          </cell>
          <cell r="F1299" t="str">
            <v>Woodland Hills</v>
          </cell>
          <cell r="G1299">
            <v>0</v>
          </cell>
          <cell r="H1299">
            <v>0</v>
          </cell>
          <cell r="I1299">
            <v>11.994999999999999</v>
          </cell>
          <cell r="J1299">
            <v>11.401062980000001</v>
          </cell>
          <cell r="K1299">
            <v>11.401062980000001</v>
          </cell>
          <cell r="L1299">
            <v>0.59466142610412898</v>
          </cell>
          <cell r="M1299">
            <v>11.995724406104101</v>
          </cell>
          <cell r="N1299">
            <v>0.17910447761194001</v>
          </cell>
          <cell r="O1299">
            <v>0</v>
          </cell>
          <cell r="P1299">
            <v>0.134328358208955</v>
          </cell>
          <cell r="Q1299">
            <v>1</v>
          </cell>
          <cell r="R1299">
            <v>0.76470588235294101</v>
          </cell>
          <cell r="S1299">
            <v>0</v>
          </cell>
        </row>
        <row r="1300">
          <cell r="A1300">
            <v>132700</v>
          </cell>
          <cell r="B1300">
            <v>2</v>
          </cell>
          <cell r="C1300">
            <v>3</v>
          </cell>
          <cell r="D1300">
            <v>3</v>
          </cell>
          <cell r="E1300" t="str">
            <v>CVCTE</v>
          </cell>
          <cell r="F1300" t="str">
            <v>Reseda</v>
          </cell>
          <cell r="G1300">
            <v>0</v>
          </cell>
          <cell r="H1300">
            <v>1</v>
          </cell>
          <cell r="I1300">
            <v>16.672999999999998</v>
          </cell>
          <cell r="J1300">
            <v>13.73495303</v>
          </cell>
          <cell r="K1300">
            <v>15.73495303</v>
          </cell>
          <cell r="L1300">
            <v>0.93784484314183103</v>
          </cell>
          <cell r="M1300">
            <v>16.6727978731418</v>
          </cell>
          <cell r="N1300">
            <v>0.17910447761194001</v>
          </cell>
          <cell r="O1300">
            <v>0</v>
          </cell>
          <cell r="P1300">
            <v>0.134328358208955</v>
          </cell>
          <cell r="Q1300">
            <v>1</v>
          </cell>
          <cell r="R1300">
            <v>0.76470588235294101</v>
          </cell>
          <cell r="S1300">
            <v>1.3076923076923099</v>
          </cell>
        </row>
        <row r="1301">
          <cell r="A1301">
            <v>134303</v>
          </cell>
          <cell r="B1301">
            <v>2</v>
          </cell>
          <cell r="C1301">
            <v>3</v>
          </cell>
          <cell r="D1301">
            <v>3</v>
          </cell>
          <cell r="E1301" t="str">
            <v>CVCTE</v>
          </cell>
          <cell r="F1301" t="str">
            <v>Canoga Park</v>
          </cell>
          <cell r="G1301">
            <v>0</v>
          </cell>
          <cell r="H1301">
            <v>0</v>
          </cell>
          <cell r="I1301">
            <v>31.971</v>
          </cell>
          <cell r="J1301">
            <v>20.932157530000001</v>
          </cell>
          <cell r="K1301">
            <v>30.932157530000001</v>
          </cell>
          <cell r="L1301">
            <v>1.03851922858169</v>
          </cell>
          <cell r="M1301">
            <v>31.9706767585817</v>
          </cell>
          <cell r="N1301">
            <v>0.17910447761194001</v>
          </cell>
          <cell r="O1301">
            <v>0</v>
          </cell>
          <cell r="P1301">
            <v>0.134328358208955</v>
          </cell>
          <cell r="Q1301">
            <v>1</v>
          </cell>
          <cell r="R1301">
            <v>0.76470588235294101</v>
          </cell>
          <cell r="S1301">
            <v>0</v>
          </cell>
        </row>
        <row r="1302">
          <cell r="A1302">
            <v>134903</v>
          </cell>
          <cell r="B1302">
            <v>2</v>
          </cell>
          <cell r="C1302">
            <v>3</v>
          </cell>
          <cell r="D1302">
            <v>3</v>
          </cell>
          <cell r="E1302" t="str">
            <v>CVCTE</v>
          </cell>
          <cell r="F1302" t="str">
            <v>Woodland Hills</v>
          </cell>
          <cell r="G1302">
            <v>0</v>
          </cell>
          <cell r="H1302">
            <v>0</v>
          </cell>
          <cell r="I1302">
            <v>18.276</v>
          </cell>
          <cell r="J1302">
            <v>16.76145421</v>
          </cell>
          <cell r="K1302">
            <v>17.76145421</v>
          </cell>
          <cell r="L1302">
            <v>0.51336314420107698</v>
          </cell>
          <cell r="M1302">
            <v>18.274817354201101</v>
          </cell>
          <cell r="N1302">
            <v>0.17910447761194001</v>
          </cell>
          <cell r="O1302">
            <v>0</v>
          </cell>
          <cell r="P1302">
            <v>0.134328358208955</v>
          </cell>
          <cell r="Q1302">
            <v>1</v>
          </cell>
          <cell r="R1302">
            <v>0.76470588235294101</v>
          </cell>
          <cell r="S1302">
            <v>0</v>
          </cell>
        </row>
        <row r="1303">
          <cell r="A1303">
            <v>113233</v>
          </cell>
          <cell r="B1303">
            <v>2</v>
          </cell>
          <cell r="C1303">
            <v>3</v>
          </cell>
          <cell r="D1303">
            <v>5</v>
          </cell>
          <cell r="E1303" t="str">
            <v>CVCTE</v>
          </cell>
          <cell r="F1303" t="str">
            <v>Canoga Park</v>
          </cell>
          <cell r="G1303">
            <v>0</v>
          </cell>
          <cell r="H1303">
            <v>1</v>
          </cell>
          <cell r="I1303">
            <v>4.851</v>
          </cell>
          <cell r="J1303">
            <v>3.8097598800000001</v>
          </cell>
          <cell r="K1303">
            <v>4.8097598799999997</v>
          </cell>
          <cell r="L1303">
            <v>4.1250644165170602E-2</v>
          </cell>
          <cell r="M1303">
            <v>4.8510105241651704</v>
          </cell>
          <cell r="N1303">
            <v>0.17910447761194001</v>
          </cell>
          <cell r="O1303">
            <v>0</v>
          </cell>
          <cell r="P1303">
            <v>0.134328358208955</v>
          </cell>
          <cell r="Q1303">
            <v>1</v>
          </cell>
          <cell r="R1303">
            <v>0.76470588235294101</v>
          </cell>
          <cell r="S1303">
            <v>1.3076923076923099</v>
          </cell>
        </row>
        <row r="1304">
          <cell r="A1304">
            <v>134521</v>
          </cell>
          <cell r="B1304">
            <v>2</v>
          </cell>
          <cell r="C1304">
            <v>3</v>
          </cell>
          <cell r="D1304">
            <v>3</v>
          </cell>
          <cell r="E1304" t="str">
            <v>CVCTE</v>
          </cell>
          <cell r="F1304" t="str">
            <v>Canoga Park</v>
          </cell>
          <cell r="G1304">
            <v>0</v>
          </cell>
          <cell r="H1304">
            <v>1</v>
          </cell>
          <cell r="I1304">
            <v>36.746000000000002</v>
          </cell>
          <cell r="J1304">
            <v>29.440216020000001</v>
          </cell>
          <cell r="K1304">
            <v>35.440216020000001</v>
          </cell>
          <cell r="L1304">
            <v>1.3053999035368</v>
          </cell>
          <cell r="M1304">
            <v>36.745615923536803</v>
          </cell>
          <cell r="N1304">
            <v>0.17910447761194001</v>
          </cell>
          <cell r="O1304">
            <v>0</v>
          </cell>
          <cell r="P1304">
            <v>0.134328358208955</v>
          </cell>
          <cell r="Q1304">
            <v>1</v>
          </cell>
          <cell r="R1304">
            <v>0.76470588235294101</v>
          </cell>
          <cell r="S1304">
            <v>1.3076923076923099</v>
          </cell>
        </row>
        <row r="1305">
          <cell r="A1305">
            <v>133100</v>
          </cell>
          <cell r="B1305">
            <v>2</v>
          </cell>
          <cell r="C1305">
            <v>3</v>
          </cell>
          <cell r="D1305">
            <v>3</v>
          </cell>
          <cell r="E1305" t="str">
            <v>CVCTE</v>
          </cell>
          <cell r="F1305" t="str">
            <v>Tarzana</v>
          </cell>
          <cell r="G1305">
            <v>0</v>
          </cell>
          <cell r="H1305">
            <v>1</v>
          </cell>
          <cell r="I1305">
            <v>19.059000000000001</v>
          </cell>
          <cell r="J1305">
            <v>17.366270289999999</v>
          </cell>
          <cell r="K1305">
            <v>18.366270289999999</v>
          </cell>
          <cell r="L1305">
            <v>0.69272448344703796</v>
          </cell>
          <cell r="M1305">
            <v>19.058994773447001</v>
          </cell>
          <cell r="N1305">
            <v>0.17910447761194001</v>
          </cell>
          <cell r="O1305">
            <v>0</v>
          </cell>
          <cell r="P1305">
            <v>0.134328358208955</v>
          </cell>
          <cell r="Q1305">
            <v>1</v>
          </cell>
          <cell r="R1305">
            <v>0.76470588235294101</v>
          </cell>
          <cell r="S1305">
            <v>1.3076923076923099</v>
          </cell>
        </row>
        <row r="1306">
          <cell r="A1306">
            <v>132300</v>
          </cell>
          <cell r="B1306">
            <v>2</v>
          </cell>
          <cell r="C1306">
            <v>3</v>
          </cell>
          <cell r="D1306">
            <v>3</v>
          </cell>
          <cell r="E1306" t="str">
            <v>CVCTE</v>
          </cell>
          <cell r="F1306" t="str">
            <v>Reseda</v>
          </cell>
          <cell r="G1306">
            <v>0</v>
          </cell>
          <cell r="H1306">
            <v>1</v>
          </cell>
          <cell r="I1306">
            <v>18.853999999999999</v>
          </cell>
          <cell r="J1306">
            <v>17.85329694</v>
          </cell>
          <cell r="K1306">
            <v>17.85329694</v>
          </cell>
          <cell r="L1306">
            <v>1.00055341244165</v>
          </cell>
          <cell r="M1306">
            <v>18.8538503524417</v>
          </cell>
          <cell r="N1306">
            <v>0.17910447761194001</v>
          </cell>
          <cell r="O1306">
            <v>0</v>
          </cell>
          <cell r="P1306">
            <v>0.134328358208955</v>
          </cell>
          <cell r="Q1306">
            <v>1</v>
          </cell>
          <cell r="R1306">
            <v>0.76470588235294101</v>
          </cell>
          <cell r="S1306">
            <v>1.3076923076923099</v>
          </cell>
        </row>
        <row r="1307">
          <cell r="A1307">
            <v>113234</v>
          </cell>
          <cell r="B1307">
            <v>2</v>
          </cell>
          <cell r="C1307">
            <v>3</v>
          </cell>
          <cell r="D1307">
            <v>3</v>
          </cell>
          <cell r="E1307" t="str">
            <v>CVCTE</v>
          </cell>
          <cell r="F1307" t="str">
            <v>Canoga Park</v>
          </cell>
          <cell r="G1307">
            <v>0</v>
          </cell>
          <cell r="H1307">
            <v>1</v>
          </cell>
          <cell r="I1307">
            <v>8.093</v>
          </cell>
          <cell r="J1307">
            <v>7.6842311499999996</v>
          </cell>
          <cell r="K1307">
            <v>7.6842311499999996</v>
          </cell>
          <cell r="L1307">
            <v>0.40850331443447002</v>
          </cell>
          <cell r="M1307">
            <v>8.0927344644344696</v>
          </cell>
          <cell r="N1307">
            <v>0.17910447761194001</v>
          </cell>
          <cell r="O1307">
            <v>0</v>
          </cell>
          <cell r="P1307">
            <v>0.134328358208955</v>
          </cell>
          <cell r="Q1307">
            <v>1</v>
          </cell>
          <cell r="R1307">
            <v>0.76470588235294101</v>
          </cell>
          <cell r="S1307">
            <v>1.3076923076923099</v>
          </cell>
        </row>
        <row r="1308">
          <cell r="A1308">
            <v>131702</v>
          </cell>
          <cell r="B1308">
            <v>2</v>
          </cell>
          <cell r="C1308">
            <v>3</v>
          </cell>
          <cell r="D1308">
            <v>3</v>
          </cell>
          <cell r="E1308" t="str">
            <v>CVCTE</v>
          </cell>
          <cell r="F1308" t="str">
            <v>Reseda</v>
          </cell>
          <cell r="G1308">
            <v>0</v>
          </cell>
          <cell r="H1308">
            <v>1</v>
          </cell>
          <cell r="I1308">
            <v>17.16</v>
          </cell>
          <cell r="J1308">
            <v>13.341394530000001</v>
          </cell>
          <cell r="K1308">
            <v>16.341394529999999</v>
          </cell>
          <cell r="L1308">
            <v>0.81848761443447005</v>
          </cell>
          <cell r="M1308">
            <v>17.159882144434501</v>
          </cell>
          <cell r="N1308">
            <v>0.17910447761194001</v>
          </cell>
          <cell r="O1308">
            <v>0</v>
          </cell>
          <cell r="P1308">
            <v>0.134328358208955</v>
          </cell>
          <cell r="Q1308">
            <v>1</v>
          </cell>
          <cell r="R1308">
            <v>0.76470588235294101</v>
          </cell>
          <cell r="S1308">
            <v>1.3076923076923099</v>
          </cell>
        </row>
        <row r="1309">
          <cell r="A1309">
            <v>135114</v>
          </cell>
          <cell r="B1309">
            <v>2</v>
          </cell>
          <cell r="C1309">
            <v>3</v>
          </cell>
          <cell r="D1309">
            <v>3</v>
          </cell>
          <cell r="E1309" t="str">
            <v>CVCTE</v>
          </cell>
          <cell r="F1309" t="str">
            <v>Woodland Hills</v>
          </cell>
          <cell r="G1309">
            <v>1</v>
          </cell>
          <cell r="H1309">
            <v>1</v>
          </cell>
          <cell r="I1309">
            <v>12.4</v>
          </cell>
          <cell r="J1309">
            <v>11.82337824</v>
          </cell>
          <cell r="K1309">
            <v>11.82337824</v>
          </cell>
          <cell r="L1309">
            <v>0.576488328994614</v>
          </cell>
          <cell r="M1309">
            <v>12.3998665689946</v>
          </cell>
          <cell r="N1309">
            <v>0.17910447761194001</v>
          </cell>
          <cell r="O1309">
            <v>5.5833333333333304</v>
          </cell>
          <cell r="P1309">
            <v>0.134328358208955</v>
          </cell>
          <cell r="Q1309">
            <v>1</v>
          </cell>
        </row>
        <row r="1310">
          <cell r="A1310">
            <v>134201</v>
          </cell>
          <cell r="B1310">
            <v>2</v>
          </cell>
          <cell r="C1310">
            <v>3</v>
          </cell>
          <cell r="D1310">
            <v>3</v>
          </cell>
          <cell r="E1310" t="str">
            <v>CVCTE</v>
          </cell>
          <cell r="F1310" t="str">
            <v>Canoga Park</v>
          </cell>
          <cell r="G1310">
            <v>0</v>
          </cell>
          <cell r="H1310">
            <v>0</v>
          </cell>
          <cell r="I1310">
            <v>21.896000000000001</v>
          </cell>
          <cell r="J1310">
            <v>20.818426299999999</v>
          </cell>
          <cell r="K1310">
            <v>20.818426299999999</v>
          </cell>
          <cell r="L1310">
            <v>1.07815025082585</v>
          </cell>
          <cell r="M1310">
            <v>21.896576550825898</v>
          </cell>
          <cell r="N1310">
            <v>0.17910447761194001</v>
          </cell>
          <cell r="O1310">
            <v>0</v>
          </cell>
          <cell r="P1310">
            <v>0.134328358208955</v>
          </cell>
          <cell r="Q1310">
            <v>1</v>
          </cell>
          <cell r="R1310">
            <v>0.76470588235294101</v>
          </cell>
          <cell r="S1310">
            <v>0</v>
          </cell>
        </row>
        <row r="1311">
          <cell r="A1311">
            <v>131800</v>
          </cell>
          <cell r="B1311">
            <v>2</v>
          </cell>
          <cell r="C1311">
            <v>3</v>
          </cell>
          <cell r="D1311">
            <v>3</v>
          </cell>
          <cell r="E1311" t="str">
            <v>CVCTE</v>
          </cell>
          <cell r="F1311" t="str">
            <v>Reseda</v>
          </cell>
          <cell r="G1311">
            <v>0</v>
          </cell>
          <cell r="H1311">
            <v>1</v>
          </cell>
          <cell r="I1311">
            <v>18.923999999999999</v>
          </cell>
          <cell r="J1311">
            <v>16.483907550000001</v>
          </cell>
          <cell r="K1311">
            <v>18.483907550000001</v>
          </cell>
          <cell r="L1311">
            <v>0.44012235233393199</v>
          </cell>
          <cell r="M1311">
            <v>18.924029902333899</v>
          </cell>
          <cell r="N1311">
            <v>0.17910447761194001</v>
          </cell>
          <cell r="O1311">
            <v>0</v>
          </cell>
          <cell r="P1311">
            <v>0.134328358208955</v>
          </cell>
          <cell r="Q1311">
            <v>1</v>
          </cell>
          <cell r="R1311">
            <v>0.76470588235294101</v>
          </cell>
          <cell r="S1311">
            <v>1.3076923076923099</v>
          </cell>
        </row>
        <row r="1312">
          <cell r="A1312">
            <v>113421</v>
          </cell>
          <cell r="B1312">
            <v>2</v>
          </cell>
          <cell r="C1312">
            <v>3</v>
          </cell>
          <cell r="D1312">
            <v>3</v>
          </cell>
          <cell r="E1312" t="str">
            <v>CVCTE</v>
          </cell>
          <cell r="F1312" t="str">
            <v>Winnetka</v>
          </cell>
          <cell r="G1312">
            <v>0</v>
          </cell>
          <cell r="H1312">
            <v>1</v>
          </cell>
          <cell r="I1312">
            <v>35.109000000000002</v>
          </cell>
          <cell r="J1312">
            <v>33.178391130000001</v>
          </cell>
          <cell r="K1312">
            <v>33.178391130000001</v>
          </cell>
          <cell r="L1312">
            <v>1.93021362825853</v>
          </cell>
          <cell r="M1312">
            <v>35.108604758258501</v>
          </cell>
          <cell r="N1312">
            <v>0.17910447761194001</v>
          </cell>
          <cell r="O1312">
            <v>0</v>
          </cell>
          <cell r="P1312">
            <v>0.134328358208955</v>
          </cell>
          <cell r="Q1312">
            <v>1</v>
          </cell>
          <cell r="R1312">
            <v>0.76470588235294101</v>
          </cell>
          <cell r="S1312">
            <v>1.3076923076923099</v>
          </cell>
        </row>
        <row r="1313">
          <cell r="A1313">
            <v>134800</v>
          </cell>
          <cell r="B1313">
            <v>2</v>
          </cell>
          <cell r="C1313">
            <v>3</v>
          </cell>
          <cell r="D1313">
            <v>3</v>
          </cell>
          <cell r="E1313" t="str">
            <v>CVCTE</v>
          </cell>
          <cell r="F1313" t="str">
            <v>Winnetka</v>
          </cell>
          <cell r="G1313">
            <v>0</v>
          </cell>
          <cell r="H1313">
            <v>1</v>
          </cell>
          <cell r="I1313">
            <v>3</v>
          </cell>
          <cell r="J1313">
            <v>0</v>
          </cell>
          <cell r="K1313">
            <v>3</v>
          </cell>
          <cell r="L1313">
            <v>0</v>
          </cell>
          <cell r="M1313">
            <v>3</v>
          </cell>
          <cell r="N1313">
            <v>0.17910447761194001</v>
          </cell>
          <cell r="O1313">
            <v>0</v>
          </cell>
          <cell r="P1313">
            <v>0.134328358208955</v>
          </cell>
          <cell r="Q1313">
            <v>1</v>
          </cell>
          <cell r="R1313">
            <v>0.76470588235294101</v>
          </cell>
          <cell r="S1313">
            <v>1.3076923076923099</v>
          </cell>
        </row>
        <row r="1314">
          <cell r="A1314">
            <v>131020</v>
          </cell>
          <cell r="B1314">
            <v>2</v>
          </cell>
          <cell r="C1314">
            <v>3</v>
          </cell>
          <cell r="D1314">
            <v>3</v>
          </cell>
          <cell r="E1314" t="str">
            <v>FAMILY</v>
          </cell>
          <cell r="F1314" t="str">
            <v>Reseda</v>
          </cell>
          <cell r="G1314">
            <v>1</v>
          </cell>
          <cell r="H1314">
            <v>1</v>
          </cell>
          <cell r="I1314">
            <v>9.6839999999999993</v>
          </cell>
          <cell r="J1314">
            <v>9.1234277200000005</v>
          </cell>
          <cell r="K1314">
            <v>9.1234277200000005</v>
          </cell>
          <cell r="L1314">
            <v>0.55995532057450603</v>
          </cell>
          <cell r="M1314">
            <v>9.68338304057451</v>
          </cell>
          <cell r="N1314">
            <v>1</v>
          </cell>
          <cell r="O1314">
            <v>1</v>
          </cell>
        </row>
        <row r="1315">
          <cell r="A1315">
            <v>137401</v>
          </cell>
          <cell r="B1315">
            <v>2</v>
          </cell>
          <cell r="C1315">
            <v>3</v>
          </cell>
          <cell r="D1315">
            <v>3</v>
          </cell>
          <cell r="E1315" t="str">
            <v>INDIV</v>
          </cell>
          <cell r="F1315" t="str">
            <v>Woodland Hills</v>
          </cell>
          <cell r="G1315">
            <v>0</v>
          </cell>
          <cell r="H1315">
            <v>0</v>
          </cell>
          <cell r="I1315">
            <v>2.5910000000000002</v>
          </cell>
          <cell r="J1315">
            <v>1.43919657</v>
          </cell>
          <cell r="K1315">
            <v>2.43919657</v>
          </cell>
          <cell r="L1315">
            <v>0.15145200614003601</v>
          </cell>
          <cell r="M1315">
            <v>2.59064857614004</v>
          </cell>
          <cell r="N1315">
            <v>4.8387096774193498E-2</v>
          </cell>
          <cell r="O1315">
            <v>0</v>
          </cell>
          <cell r="P1315">
            <v>9.6774193548387094E-2</v>
          </cell>
          <cell r="Q1315">
            <v>1</v>
          </cell>
          <cell r="R1315">
            <v>0.2</v>
          </cell>
          <cell r="S1315">
            <v>0</v>
          </cell>
        </row>
        <row r="1316">
          <cell r="A1316">
            <v>139402</v>
          </cell>
          <cell r="B1316">
            <v>2</v>
          </cell>
          <cell r="C1316">
            <v>3</v>
          </cell>
          <cell r="D1316">
            <v>3</v>
          </cell>
          <cell r="E1316" t="str">
            <v>INDIV</v>
          </cell>
          <cell r="F1316" t="str">
            <v>Tarzana</v>
          </cell>
          <cell r="G1316">
            <v>0</v>
          </cell>
          <cell r="H1316">
            <v>1</v>
          </cell>
          <cell r="I1316">
            <v>17.925999999999998</v>
          </cell>
          <cell r="J1316">
            <v>1.90487994</v>
          </cell>
          <cell r="K1316">
            <v>17.904879940000001</v>
          </cell>
          <cell r="L1316">
            <v>2.0625322082585301E-2</v>
          </cell>
          <cell r="M1316">
            <v>17.925505262082599</v>
          </cell>
          <cell r="N1316">
            <v>4.8387096774193498E-2</v>
          </cell>
          <cell r="O1316">
            <v>0</v>
          </cell>
          <cell r="P1316">
            <v>9.6774193548387094E-2</v>
          </cell>
          <cell r="Q1316">
            <v>1</v>
          </cell>
          <cell r="R1316">
            <v>0.2</v>
          </cell>
          <cell r="S1316">
            <v>5</v>
          </cell>
        </row>
        <row r="1317">
          <cell r="A1317">
            <v>137402</v>
          </cell>
          <cell r="B1317">
            <v>2</v>
          </cell>
          <cell r="C1317">
            <v>3</v>
          </cell>
          <cell r="D1317">
            <v>3</v>
          </cell>
          <cell r="E1317" t="str">
            <v>INDIV</v>
          </cell>
          <cell r="F1317" t="str">
            <v>Woodland Hills</v>
          </cell>
          <cell r="G1317">
            <v>1</v>
          </cell>
          <cell r="H1317">
            <v>1</v>
          </cell>
          <cell r="I1317">
            <v>7.19</v>
          </cell>
          <cell r="J1317">
            <v>3.9673993200000002</v>
          </cell>
          <cell r="K1317">
            <v>6.9673993200000002</v>
          </cell>
          <cell r="L1317">
            <v>0.22234520276481101</v>
          </cell>
          <cell r="M1317">
            <v>7.1897445227648102</v>
          </cell>
          <cell r="N1317">
            <v>4.8387096774193498E-2</v>
          </cell>
          <cell r="O1317">
            <v>20.6666666666667</v>
          </cell>
          <cell r="P1317">
            <v>9.6774193548387094E-2</v>
          </cell>
          <cell r="Q1317">
            <v>1</v>
          </cell>
        </row>
        <row r="1318">
          <cell r="A1318">
            <v>134305</v>
          </cell>
          <cell r="B1318">
            <v>2</v>
          </cell>
          <cell r="C1318">
            <v>3</v>
          </cell>
          <cell r="D1318">
            <v>3</v>
          </cell>
          <cell r="E1318" t="str">
            <v>INDIV</v>
          </cell>
          <cell r="F1318" t="str">
            <v>Canoga Park</v>
          </cell>
          <cell r="G1318">
            <v>0</v>
          </cell>
          <cell r="H1318">
            <v>0</v>
          </cell>
          <cell r="I1318">
            <v>5.9260000000000002</v>
          </cell>
          <cell r="J1318">
            <v>1.90487994</v>
          </cell>
          <cell r="K1318">
            <v>5.9048799399999998</v>
          </cell>
          <cell r="L1318">
            <v>2.0625322082585301E-2</v>
          </cell>
          <cell r="M1318">
            <v>5.9255052620825897</v>
          </cell>
          <cell r="N1318">
            <v>4.8387096774193498E-2</v>
          </cell>
          <cell r="O1318">
            <v>0</v>
          </cell>
          <cell r="P1318">
            <v>9.6774193548387094E-2</v>
          </cell>
          <cell r="Q1318">
            <v>1</v>
          </cell>
          <cell r="R1318">
            <v>0.2</v>
          </cell>
          <cell r="S1318">
            <v>0</v>
          </cell>
        </row>
        <row r="1319">
          <cell r="A1319">
            <v>137502</v>
          </cell>
          <cell r="B1319">
            <v>2</v>
          </cell>
          <cell r="C1319">
            <v>3</v>
          </cell>
          <cell r="D1319">
            <v>3</v>
          </cell>
          <cell r="E1319" t="str">
            <v>INDIV</v>
          </cell>
          <cell r="F1319" t="str">
            <v>Woodland Hills</v>
          </cell>
          <cell r="G1319">
            <v>0</v>
          </cell>
          <cell r="H1319">
            <v>0</v>
          </cell>
          <cell r="I1319">
            <v>10.811</v>
          </cell>
          <cell r="J1319">
            <v>6.7251664800000004</v>
          </cell>
          <cell r="K1319">
            <v>10.72516648</v>
          </cell>
          <cell r="L1319">
            <v>8.5967727037702002E-2</v>
          </cell>
          <cell r="M1319">
            <v>10.8111342070377</v>
          </cell>
          <cell r="N1319">
            <v>4.8387096774193498E-2</v>
          </cell>
          <cell r="O1319">
            <v>0</v>
          </cell>
          <cell r="P1319">
            <v>9.6774193548387094E-2</v>
          </cell>
          <cell r="Q1319">
            <v>1</v>
          </cell>
          <cell r="R1319">
            <v>0.2</v>
          </cell>
          <cell r="S1319">
            <v>0</v>
          </cell>
        </row>
        <row r="1320">
          <cell r="A1320">
            <v>139401</v>
          </cell>
          <cell r="B1320">
            <v>2</v>
          </cell>
          <cell r="C1320">
            <v>3</v>
          </cell>
          <cell r="D1320">
            <v>3</v>
          </cell>
          <cell r="E1320" t="str">
            <v>INDIV</v>
          </cell>
          <cell r="F1320" t="str">
            <v>Tarzana</v>
          </cell>
          <cell r="G1320">
            <v>0</v>
          </cell>
          <cell r="H1320">
            <v>0</v>
          </cell>
          <cell r="I1320">
            <v>13.797000000000001</v>
          </cell>
          <cell r="J1320">
            <v>9.6032194200000003</v>
          </cell>
          <cell r="K1320">
            <v>13.60321942</v>
          </cell>
          <cell r="L1320">
            <v>0.19367388971274699</v>
          </cell>
          <cell r="M1320">
            <v>13.796893309712701</v>
          </cell>
          <cell r="N1320">
            <v>4.8387096774193498E-2</v>
          </cell>
          <cell r="O1320">
            <v>0</v>
          </cell>
          <cell r="P1320">
            <v>9.6774193548387094E-2</v>
          </cell>
          <cell r="Q1320">
            <v>1</v>
          </cell>
          <cell r="R1320">
            <v>0.2</v>
          </cell>
          <cell r="S1320">
            <v>0</v>
          </cell>
        </row>
        <row r="1321">
          <cell r="A1321">
            <v>137301</v>
          </cell>
          <cell r="B1321">
            <v>2</v>
          </cell>
          <cell r="C1321">
            <v>3</v>
          </cell>
          <cell r="D1321">
            <v>3</v>
          </cell>
          <cell r="E1321" t="str">
            <v>NON-HS</v>
          </cell>
          <cell r="F1321" t="str">
            <v>Woodland Hills</v>
          </cell>
          <cell r="G1321">
            <v>0</v>
          </cell>
          <cell r="H1321">
            <v>0</v>
          </cell>
          <cell r="I1321">
            <v>1</v>
          </cell>
          <cell r="J1321">
            <v>0</v>
          </cell>
          <cell r="K1321">
            <v>1</v>
          </cell>
          <cell r="L1321">
            <v>0</v>
          </cell>
          <cell r="M1321">
            <v>1</v>
          </cell>
          <cell r="N1321">
            <v>2.2140221402214E-2</v>
          </cell>
          <cell r="O1321">
            <v>0</v>
          </cell>
          <cell r="P1321">
            <v>0.12915129151291499</v>
          </cell>
          <cell r="Q1321">
            <v>1</v>
          </cell>
          <cell r="R1321">
            <v>0.25714285714285701</v>
          </cell>
          <cell r="S1321">
            <v>0</v>
          </cell>
        </row>
        <row r="1322">
          <cell r="A1322">
            <v>134901</v>
          </cell>
          <cell r="B1322">
            <v>2</v>
          </cell>
          <cell r="C1322">
            <v>3</v>
          </cell>
          <cell r="D1322">
            <v>3</v>
          </cell>
          <cell r="E1322" t="str">
            <v>NON-HS</v>
          </cell>
          <cell r="F1322" t="str">
            <v>Tarzana</v>
          </cell>
          <cell r="G1322">
            <v>0</v>
          </cell>
          <cell r="H1322">
            <v>1</v>
          </cell>
          <cell r="I1322">
            <v>7.2850000000000001</v>
          </cell>
          <cell r="J1322">
            <v>5.9510989800000003</v>
          </cell>
          <cell r="K1322">
            <v>6.9510989800000003</v>
          </cell>
          <cell r="L1322">
            <v>0.33351780414721699</v>
          </cell>
          <cell r="M1322">
            <v>7.2846167841472198</v>
          </cell>
          <cell r="N1322">
            <v>2.2140221402214E-2</v>
          </cell>
          <cell r="O1322">
            <v>0</v>
          </cell>
          <cell r="P1322">
            <v>0.12915129151291499</v>
          </cell>
          <cell r="Q1322">
            <v>1</v>
          </cell>
          <cell r="R1322">
            <v>0.25714285714285701</v>
          </cell>
          <cell r="S1322">
            <v>3.8888888888888902</v>
          </cell>
        </row>
        <row r="1323">
          <cell r="A1323">
            <v>137103</v>
          </cell>
          <cell r="B1323">
            <v>2</v>
          </cell>
          <cell r="C1323">
            <v>3</v>
          </cell>
          <cell r="D1323">
            <v>3</v>
          </cell>
          <cell r="E1323" t="str">
            <v>NON-HS</v>
          </cell>
          <cell r="F1323" t="str">
            <v>Woodland Hills</v>
          </cell>
          <cell r="G1323">
            <v>0</v>
          </cell>
          <cell r="H1323">
            <v>0</v>
          </cell>
          <cell r="I1323">
            <v>4.5170000000000003</v>
          </cell>
          <cell r="J1323">
            <v>3.3440765099999998</v>
          </cell>
          <cell r="K1323">
            <v>4.3440765099999998</v>
          </cell>
          <cell r="L1323">
            <v>0.17207732822262101</v>
          </cell>
          <cell r="M1323">
            <v>4.5161538382226203</v>
          </cell>
          <cell r="N1323">
            <v>2.2140221402214E-2</v>
          </cell>
          <cell r="O1323">
            <v>0</v>
          </cell>
          <cell r="P1323">
            <v>0.12915129151291499</v>
          </cell>
          <cell r="Q1323">
            <v>1</v>
          </cell>
          <cell r="R1323">
            <v>0.25714285714285701</v>
          </cell>
          <cell r="S1323">
            <v>0</v>
          </cell>
        </row>
        <row r="1324">
          <cell r="A1324">
            <v>134001</v>
          </cell>
          <cell r="B1324">
            <v>2</v>
          </cell>
          <cell r="C1324">
            <v>3</v>
          </cell>
          <cell r="D1324">
            <v>3</v>
          </cell>
          <cell r="E1324" t="str">
            <v>NON-HS</v>
          </cell>
          <cell r="F1324" t="str">
            <v>Winnetka</v>
          </cell>
          <cell r="G1324">
            <v>0</v>
          </cell>
          <cell r="H1324">
            <v>0</v>
          </cell>
          <cell r="I1324">
            <v>6.7809999999999997</v>
          </cell>
          <cell r="J1324">
            <v>5.4065958900000002</v>
          </cell>
          <cell r="K1324">
            <v>6.4065958900000002</v>
          </cell>
          <cell r="L1324">
            <v>0.37379720890484702</v>
          </cell>
          <cell r="M1324">
            <v>6.7803930989048498</v>
          </cell>
          <cell r="N1324">
            <v>2.2140221402214E-2</v>
          </cell>
          <cell r="O1324">
            <v>0</v>
          </cell>
          <cell r="P1324">
            <v>0.12915129151291499</v>
          </cell>
          <cell r="Q1324">
            <v>1</v>
          </cell>
          <cell r="R1324">
            <v>0.25714285714285701</v>
          </cell>
          <cell r="S1324">
            <v>0</v>
          </cell>
        </row>
        <row r="1325">
          <cell r="A1325">
            <v>113422</v>
          </cell>
          <cell r="B1325">
            <v>2</v>
          </cell>
          <cell r="C1325">
            <v>3</v>
          </cell>
          <cell r="D1325">
            <v>3</v>
          </cell>
          <cell r="E1325" t="str">
            <v>NON-HS</v>
          </cell>
          <cell r="F1325" t="str">
            <v>Winnetka</v>
          </cell>
          <cell r="G1325">
            <v>0</v>
          </cell>
          <cell r="H1325">
            <v>1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2.2140221402214E-2</v>
          </cell>
          <cell r="O1325">
            <v>0</v>
          </cell>
          <cell r="P1325">
            <v>0.12915129151291499</v>
          </cell>
          <cell r="Q1325">
            <v>1</v>
          </cell>
          <cell r="R1325">
            <v>0.25714285714285701</v>
          </cell>
          <cell r="S1325">
            <v>3.8888888888888902</v>
          </cell>
        </row>
        <row r="1326">
          <cell r="A1326">
            <v>139303</v>
          </cell>
          <cell r="B1326">
            <v>2</v>
          </cell>
          <cell r="C1326">
            <v>3</v>
          </cell>
          <cell r="D1326">
            <v>3</v>
          </cell>
          <cell r="E1326" t="str">
            <v>NON-HS</v>
          </cell>
          <cell r="F1326" t="str">
            <v>Tarzana</v>
          </cell>
          <cell r="G1326">
            <v>0</v>
          </cell>
          <cell r="H1326">
            <v>0</v>
          </cell>
          <cell r="I1326">
            <v>1</v>
          </cell>
          <cell r="J1326">
            <v>0</v>
          </cell>
          <cell r="K1326">
            <v>1</v>
          </cell>
          <cell r="L1326">
            <v>0</v>
          </cell>
          <cell r="M1326">
            <v>1</v>
          </cell>
          <cell r="N1326">
            <v>2.2140221402214E-2</v>
          </cell>
          <cell r="O1326">
            <v>0</v>
          </cell>
          <cell r="P1326">
            <v>0.12915129151291499</v>
          </cell>
          <cell r="Q1326">
            <v>1</v>
          </cell>
          <cell r="R1326">
            <v>0.25714285714285701</v>
          </cell>
          <cell r="S1326">
            <v>0</v>
          </cell>
        </row>
        <row r="1327">
          <cell r="A1327">
            <v>137302</v>
          </cell>
          <cell r="B1327">
            <v>2</v>
          </cell>
          <cell r="C1327">
            <v>3</v>
          </cell>
          <cell r="D1327">
            <v>3</v>
          </cell>
          <cell r="E1327" t="str">
            <v>NON-HS</v>
          </cell>
          <cell r="F1327" t="str">
            <v>Woodland Hills</v>
          </cell>
          <cell r="G1327">
            <v>0</v>
          </cell>
          <cell r="H1327">
            <v>0</v>
          </cell>
          <cell r="I1327">
            <v>6.2850000000000001</v>
          </cell>
          <cell r="J1327">
            <v>5.9510989800000003</v>
          </cell>
          <cell r="K1327">
            <v>5.9510989800000003</v>
          </cell>
          <cell r="L1327">
            <v>0.33351780414721699</v>
          </cell>
          <cell r="M1327">
            <v>6.2846167841472198</v>
          </cell>
          <cell r="N1327">
            <v>2.2140221402214E-2</v>
          </cell>
          <cell r="O1327">
            <v>0</v>
          </cell>
          <cell r="P1327">
            <v>0.12915129151291499</v>
          </cell>
          <cell r="Q1327">
            <v>1</v>
          </cell>
          <cell r="R1327">
            <v>0.25714285714285701</v>
          </cell>
          <cell r="S1327">
            <v>0</v>
          </cell>
        </row>
        <row r="1328">
          <cell r="A1328">
            <v>134710</v>
          </cell>
          <cell r="B1328">
            <v>2</v>
          </cell>
          <cell r="C1328">
            <v>3</v>
          </cell>
          <cell r="D1328">
            <v>3</v>
          </cell>
          <cell r="E1328" t="str">
            <v>NON-HS</v>
          </cell>
          <cell r="F1328" t="str">
            <v>Winnetka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2.2140221402214E-2</v>
          </cell>
          <cell r="O1328">
            <v>0</v>
          </cell>
          <cell r="P1328">
            <v>0.12915129151291499</v>
          </cell>
          <cell r="Q1328">
            <v>1</v>
          </cell>
          <cell r="R1328">
            <v>0.25714285714285701</v>
          </cell>
          <cell r="S1328">
            <v>0</v>
          </cell>
        </row>
        <row r="1329">
          <cell r="A1329">
            <v>930401</v>
          </cell>
          <cell r="B1329">
            <v>2</v>
          </cell>
          <cell r="C1329">
            <v>3</v>
          </cell>
          <cell r="D1329">
            <v>3</v>
          </cell>
          <cell r="E1329" t="str">
            <v>NON-HS</v>
          </cell>
          <cell r="F1329" t="str">
            <v>Woodland Hills</v>
          </cell>
          <cell r="G1329">
            <v>0</v>
          </cell>
          <cell r="H1329">
            <v>0</v>
          </cell>
          <cell r="I1329">
            <v>2</v>
          </cell>
          <cell r="J1329">
            <v>0</v>
          </cell>
          <cell r="K1329">
            <v>2</v>
          </cell>
          <cell r="L1329">
            <v>0</v>
          </cell>
          <cell r="M1329">
            <v>2</v>
          </cell>
          <cell r="N1329">
            <v>2.2140221402214E-2</v>
          </cell>
          <cell r="O1329">
            <v>0</v>
          </cell>
          <cell r="P1329">
            <v>0.12915129151291499</v>
          </cell>
          <cell r="Q1329">
            <v>1</v>
          </cell>
          <cell r="R1329">
            <v>0.25714285714285701</v>
          </cell>
          <cell r="S1329">
            <v>0</v>
          </cell>
        </row>
        <row r="1330">
          <cell r="A1330">
            <v>139801</v>
          </cell>
          <cell r="B1330">
            <v>2</v>
          </cell>
          <cell r="C1330">
            <v>3</v>
          </cell>
          <cell r="D1330">
            <v>3</v>
          </cell>
          <cell r="E1330" t="str">
            <v>NON-HS</v>
          </cell>
          <cell r="F1330" t="str">
            <v>Tarzana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2.2140221402214E-2</v>
          </cell>
          <cell r="O1330">
            <v>0</v>
          </cell>
          <cell r="P1330">
            <v>0.12915129151291499</v>
          </cell>
          <cell r="Q1330">
            <v>1</v>
          </cell>
          <cell r="R1330">
            <v>0.25714285714285701</v>
          </cell>
          <cell r="S1330">
            <v>0</v>
          </cell>
        </row>
        <row r="1331">
          <cell r="A1331">
            <v>133000</v>
          </cell>
          <cell r="B1331">
            <v>2</v>
          </cell>
          <cell r="C1331">
            <v>3</v>
          </cell>
          <cell r="D1331">
            <v>3</v>
          </cell>
          <cell r="E1331" t="str">
            <v>NON-HS</v>
          </cell>
          <cell r="F1331" t="str">
            <v>Reseda</v>
          </cell>
          <cell r="G1331">
            <v>0</v>
          </cell>
          <cell r="H1331">
            <v>0</v>
          </cell>
          <cell r="I1331">
            <v>10.214</v>
          </cell>
          <cell r="J1331">
            <v>9.5665461599999997</v>
          </cell>
          <cell r="K1331">
            <v>9.5665461599999997</v>
          </cell>
          <cell r="L1331">
            <v>0.64705866872531403</v>
          </cell>
          <cell r="M1331">
            <v>10.2136048287253</v>
          </cell>
          <cell r="N1331">
            <v>2.2140221402214E-2</v>
          </cell>
          <cell r="O1331">
            <v>0</v>
          </cell>
          <cell r="P1331">
            <v>0.12915129151291499</v>
          </cell>
          <cell r="Q1331">
            <v>1</v>
          </cell>
          <cell r="R1331">
            <v>0.25714285714285701</v>
          </cell>
          <cell r="S1331">
            <v>0</v>
          </cell>
        </row>
        <row r="1332">
          <cell r="A1332">
            <v>137501</v>
          </cell>
          <cell r="B1332">
            <v>2</v>
          </cell>
          <cell r="C1332">
            <v>3</v>
          </cell>
          <cell r="D1332">
            <v>3</v>
          </cell>
          <cell r="E1332" t="str">
            <v>NON-HS</v>
          </cell>
          <cell r="F1332" t="str">
            <v>Woodland Hills</v>
          </cell>
          <cell r="G1332">
            <v>0</v>
          </cell>
          <cell r="H1332">
            <v>0</v>
          </cell>
          <cell r="I1332">
            <v>5.0209999999999999</v>
          </cell>
          <cell r="J1332">
            <v>3.8885795999999999</v>
          </cell>
          <cell r="K1332">
            <v>4.8885795999999999</v>
          </cell>
          <cell r="L1332">
            <v>0.131797923464991</v>
          </cell>
          <cell r="M1332">
            <v>5.0203775234649903</v>
          </cell>
          <cell r="N1332">
            <v>2.2140221402214E-2</v>
          </cell>
          <cell r="O1332">
            <v>0</v>
          </cell>
          <cell r="P1332">
            <v>0.12915129151291499</v>
          </cell>
          <cell r="Q1332">
            <v>1</v>
          </cell>
          <cell r="R1332">
            <v>0.25714285714285701</v>
          </cell>
          <cell r="S1332">
            <v>0</v>
          </cell>
        </row>
        <row r="1333">
          <cell r="A1333">
            <v>139703</v>
          </cell>
          <cell r="B1333">
            <v>2</v>
          </cell>
          <cell r="C1333">
            <v>3</v>
          </cell>
          <cell r="D1333">
            <v>3</v>
          </cell>
          <cell r="E1333" t="str">
            <v>NON-HS</v>
          </cell>
          <cell r="F1333" t="str">
            <v>Encino</v>
          </cell>
          <cell r="G1333">
            <v>0</v>
          </cell>
          <cell r="H1333">
            <v>0</v>
          </cell>
          <cell r="I1333">
            <v>3.181</v>
          </cell>
          <cell r="J1333">
            <v>2.87839314</v>
          </cell>
          <cell r="K1333">
            <v>2.87839314</v>
          </cell>
          <cell r="L1333">
            <v>0.30290401228007202</v>
          </cell>
          <cell r="M1333">
            <v>3.1812971522800702</v>
          </cell>
          <cell r="N1333">
            <v>2.2140221402214E-2</v>
          </cell>
          <cell r="O1333">
            <v>0</v>
          </cell>
          <cell r="P1333">
            <v>0.12915129151291499</v>
          </cell>
          <cell r="Q1333">
            <v>1</v>
          </cell>
          <cell r="R1333">
            <v>0.25714285714285701</v>
          </cell>
          <cell r="S1333">
            <v>0</v>
          </cell>
        </row>
        <row r="1334">
          <cell r="A1334">
            <v>134522</v>
          </cell>
          <cell r="B1334">
            <v>2</v>
          </cell>
          <cell r="C1334">
            <v>3</v>
          </cell>
          <cell r="D1334">
            <v>3</v>
          </cell>
          <cell r="E1334" t="str">
            <v>NON-HS</v>
          </cell>
          <cell r="F1334" t="str">
            <v>Canoga Park</v>
          </cell>
          <cell r="G1334">
            <v>0</v>
          </cell>
          <cell r="H1334">
            <v>0</v>
          </cell>
          <cell r="I1334">
            <v>2.0950000000000002</v>
          </cell>
          <cell r="J1334">
            <v>1.9836996600000001</v>
          </cell>
          <cell r="K1334">
            <v>1.9836996600000001</v>
          </cell>
          <cell r="L1334">
            <v>0.11117260138240601</v>
          </cell>
          <cell r="M1334">
            <v>2.09487226138241</v>
          </cell>
          <cell r="N1334">
            <v>2.2140221402214E-2</v>
          </cell>
          <cell r="O1334">
            <v>0</v>
          </cell>
          <cell r="P1334">
            <v>0.12915129151291499</v>
          </cell>
          <cell r="Q1334">
            <v>1</v>
          </cell>
          <cell r="R1334">
            <v>0.25714285714285701</v>
          </cell>
          <cell r="S1334">
            <v>0</v>
          </cell>
        </row>
        <row r="1335">
          <cell r="A1335">
            <v>138000</v>
          </cell>
          <cell r="B1335">
            <v>2</v>
          </cell>
          <cell r="C1335">
            <v>3</v>
          </cell>
          <cell r="D1335">
            <v>3</v>
          </cell>
          <cell r="E1335" t="str">
            <v>NON-HS</v>
          </cell>
          <cell r="F1335" t="str">
            <v>Woodland Hills</v>
          </cell>
          <cell r="G1335">
            <v>0</v>
          </cell>
          <cell r="H1335">
            <v>0</v>
          </cell>
          <cell r="I1335">
            <v>2.0950000000000002</v>
          </cell>
          <cell r="J1335">
            <v>1.9836996600000001</v>
          </cell>
          <cell r="K1335">
            <v>1.9836996600000001</v>
          </cell>
          <cell r="L1335">
            <v>0.11117260138240601</v>
          </cell>
          <cell r="M1335">
            <v>2.09487226138241</v>
          </cell>
          <cell r="N1335">
            <v>2.2140221402214E-2</v>
          </cell>
          <cell r="O1335">
            <v>0</v>
          </cell>
          <cell r="P1335">
            <v>0.12915129151291499</v>
          </cell>
          <cell r="Q1335">
            <v>1</v>
          </cell>
          <cell r="R1335">
            <v>0.25714285714285701</v>
          </cell>
          <cell r="S1335">
            <v>0</v>
          </cell>
        </row>
        <row r="1336">
          <cell r="A1336">
            <v>137504</v>
          </cell>
          <cell r="B1336">
            <v>2</v>
          </cell>
          <cell r="C1336">
            <v>3</v>
          </cell>
          <cell r="D1336">
            <v>3</v>
          </cell>
          <cell r="E1336" t="str">
            <v>NON-HS</v>
          </cell>
          <cell r="F1336" t="str">
            <v>Woodland Hills</v>
          </cell>
          <cell r="G1336">
            <v>0</v>
          </cell>
          <cell r="H1336">
            <v>1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2.2140221402214E-2</v>
          </cell>
          <cell r="O1336">
            <v>0</v>
          </cell>
          <cell r="P1336">
            <v>0.12915129151291499</v>
          </cell>
          <cell r="Q1336">
            <v>1</v>
          </cell>
          <cell r="R1336">
            <v>0.25714285714285701</v>
          </cell>
          <cell r="S1336">
            <v>3.8888888888888902</v>
          </cell>
        </row>
        <row r="1337">
          <cell r="A1337">
            <v>134904</v>
          </cell>
          <cell r="B1337">
            <v>2</v>
          </cell>
          <cell r="C1337">
            <v>3</v>
          </cell>
          <cell r="D1337">
            <v>3</v>
          </cell>
          <cell r="E1337" t="str">
            <v>NON-HS</v>
          </cell>
          <cell r="F1337" t="str">
            <v>Winnetka</v>
          </cell>
          <cell r="G1337">
            <v>0</v>
          </cell>
          <cell r="H1337">
            <v>0</v>
          </cell>
          <cell r="I1337">
            <v>8.0410000000000004</v>
          </cell>
          <cell r="J1337">
            <v>7.7771591999999998</v>
          </cell>
          <cell r="K1337">
            <v>7.7771591999999998</v>
          </cell>
          <cell r="L1337">
            <v>0.263595846929982</v>
          </cell>
          <cell r="M1337">
            <v>8.0407550469299807</v>
          </cell>
          <cell r="N1337">
            <v>2.2140221402214E-2</v>
          </cell>
          <cell r="O1337">
            <v>0</v>
          </cell>
          <cell r="P1337">
            <v>0.12915129151291499</v>
          </cell>
          <cell r="Q1337">
            <v>1</v>
          </cell>
          <cell r="R1337">
            <v>0.25714285714285701</v>
          </cell>
          <cell r="S1337">
            <v>0</v>
          </cell>
        </row>
        <row r="1338">
          <cell r="A1338">
            <v>134103</v>
          </cell>
          <cell r="B1338">
            <v>2</v>
          </cell>
          <cell r="C1338">
            <v>3</v>
          </cell>
          <cell r="D1338">
            <v>3</v>
          </cell>
          <cell r="E1338" t="str">
            <v>NON-HS</v>
          </cell>
          <cell r="F1338" t="str">
            <v>Winnetka</v>
          </cell>
          <cell r="G1338">
            <v>0</v>
          </cell>
          <cell r="H1338">
            <v>0</v>
          </cell>
          <cell r="I1338">
            <v>9.093</v>
          </cell>
          <cell r="J1338">
            <v>7.6842311499999996</v>
          </cell>
          <cell r="K1338">
            <v>8.6842311500000005</v>
          </cell>
          <cell r="L1338">
            <v>0.40850331443447002</v>
          </cell>
          <cell r="M1338">
            <v>9.0927344644344696</v>
          </cell>
          <cell r="N1338">
            <v>2.2140221402214E-2</v>
          </cell>
          <cell r="O1338">
            <v>0</v>
          </cell>
          <cell r="P1338">
            <v>0.12915129151291499</v>
          </cell>
          <cell r="Q1338">
            <v>1</v>
          </cell>
          <cell r="R1338">
            <v>0.25714285714285701</v>
          </cell>
          <cell r="S1338">
            <v>0</v>
          </cell>
        </row>
        <row r="1339">
          <cell r="A1339">
            <v>137104</v>
          </cell>
          <cell r="B1339">
            <v>2</v>
          </cell>
          <cell r="C1339">
            <v>3</v>
          </cell>
          <cell r="D1339">
            <v>3</v>
          </cell>
          <cell r="E1339" t="str">
            <v>NON-HS</v>
          </cell>
          <cell r="F1339" t="str">
            <v>Woodland Hills</v>
          </cell>
          <cell r="G1339">
            <v>0</v>
          </cell>
          <cell r="H1339">
            <v>1</v>
          </cell>
          <cell r="I1339">
            <v>3.0950000000000002</v>
          </cell>
          <cell r="J1339">
            <v>1.9836996600000001</v>
          </cell>
          <cell r="K1339">
            <v>2.9836996600000001</v>
          </cell>
          <cell r="L1339">
            <v>0.11117260138240601</v>
          </cell>
          <cell r="M1339">
            <v>3.09487226138241</v>
          </cell>
          <cell r="N1339">
            <v>2.2140221402214E-2</v>
          </cell>
          <cell r="O1339">
            <v>0</v>
          </cell>
          <cell r="P1339">
            <v>0.12915129151291499</v>
          </cell>
          <cell r="Q1339">
            <v>1</v>
          </cell>
          <cell r="R1339">
            <v>0.25714285714285701</v>
          </cell>
          <cell r="S1339">
            <v>3.8888888888888902</v>
          </cell>
        </row>
        <row r="1340">
          <cell r="A1340">
            <v>131701</v>
          </cell>
          <cell r="B1340">
            <v>2</v>
          </cell>
          <cell r="C1340">
            <v>3</v>
          </cell>
          <cell r="D1340">
            <v>3</v>
          </cell>
          <cell r="E1340" t="str">
            <v>NON-HS</v>
          </cell>
          <cell r="F1340" t="str">
            <v>Reseda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2.2140221402214E-2</v>
          </cell>
          <cell r="O1340">
            <v>0</v>
          </cell>
          <cell r="P1340">
            <v>0.12915129151291499</v>
          </cell>
          <cell r="Q1340">
            <v>1</v>
          </cell>
          <cell r="R1340">
            <v>0.25714285714285701</v>
          </cell>
          <cell r="S1340">
            <v>0</v>
          </cell>
        </row>
        <row r="1341">
          <cell r="A1341">
            <v>131600</v>
          </cell>
          <cell r="B1341">
            <v>2</v>
          </cell>
          <cell r="C1341">
            <v>3</v>
          </cell>
          <cell r="D1341">
            <v>3</v>
          </cell>
          <cell r="E1341" t="str">
            <v>NON-HS</v>
          </cell>
          <cell r="F1341" t="str">
            <v>Reseda</v>
          </cell>
          <cell r="G1341">
            <v>0</v>
          </cell>
          <cell r="H1341">
            <v>0</v>
          </cell>
          <cell r="I1341">
            <v>7.2850000000000001</v>
          </cell>
          <cell r="J1341">
            <v>5.9510989800000003</v>
          </cell>
          <cell r="K1341">
            <v>6.9510989800000003</v>
          </cell>
          <cell r="L1341">
            <v>0.33351780414721699</v>
          </cell>
          <cell r="M1341">
            <v>7.2846167841472198</v>
          </cell>
          <cell r="N1341">
            <v>2.2140221402214E-2</v>
          </cell>
          <cell r="O1341">
            <v>0</v>
          </cell>
          <cell r="P1341">
            <v>0.12915129151291499</v>
          </cell>
          <cell r="Q1341">
            <v>1</v>
          </cell>
          <cell r="R1341">
            <v>0.25714285714285701</v>
          </cell>
          <cell r="S1341">
            <v>0</v>
          </cell>
        </row>
        <row r="1342">
          <cell r="A1342">
            <v>137201</v>
          </cell>
          <cell r="B1342">
            <v>2</v>
          </cell>
          <cell r="C1342">
            <v>3</v>
          </cell>
          <cell r="D1342">
            <v>3</v>
          </cell>
          <cell r="E1342" t="str">
            <v>NON-HS</v>
          </cell>
          <cell r="F1342" t="str">
            <v>Woodland Hills</v>
          </cell>
          <cell r="G1342">
            <v>0</v>
          </cell>
          <cell r="H1342">
            <v>1</v>
          </cell>
          <cell r="I1342">
            <v>1</v>
          </cell>
          <cell r="J1342">
            <v>0</v>
          </cell>
          <cell r="K1342">
            <v>1</v>
          </cell>
          <cell r="L1342">
            <v>0</v>
          </cell>
          <cell r="M1342">
            <v>1</v>
          </cell>
          <cell r="N1342">
            <v>2.2140221402214E-2</v>
          </cell>
          <cell r="O1342">
            <v>0</v>
          </cell>
          <cell r="P1342">
            <v>0.12915129151291499</v>
          </cell>
          <cell r="Q1342">
            <v>1</v>
          </cell>
          <cell r="R1342">
            <v>0.25714285714285701</v>
          </cell>
          <cell r="S1342">
            <v>3.8888888888888902</v>
          </cell>
        </row>
        <row r="1343">
          <cell r="A1343">
            <v>113235</v>
          </cell>
          <cell r="B1343">
            <v>2</v>
          </cell>
          <cell r="C1343">
            <v>3</v>
          </cell>
          <cell r="D1343">
            <v>5</v>
          </cell>
          <cell r="E1343" t="str">
            <v>NON-HS</v>
          </cell>
          <cell r="F1343" t="str">
            <v>Chatsworth</v>
          </cell>
          <cell r="G1343">
            <v>0</v>
          </cell>
          <cell r="H1343">
            <v>1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2.2140221402214E-2</v>
          </cell>
          <cell r="O1343">
            <v>0</v>
          </cell>
          <cell r="P1343">
            <v>0.12915129151291499</v>
          </cell>
          <cell r="Q1343">
            <v>1</v>
          </cell>
          <cell r="R1343">
            <v>0.25714285714285701</v>
          </cell>
          <cell r="S1343">
            <v>3.8888888888888902</v>
          </cell>
        </row>
        <row r="1344">
          <cell r="A1344">
            <v>134002</v>
          </cell>
          <cell r="B1344">
            <v>2</v>
          </cell>
          <cell r="C1344">
            <v>3</v>
          </cell>
          <cell r="D1344">
            <v>3</v>
          </cell>
          <cell r="E1344" t="str">
            <v>NON-HS</v>
          </cell>
          <cell r="F1344" t="str">
            <v>Winnetka</v>
          </cell>
          <cell r="G1344">
            <v>0</v>
          </cell>
          <cell r="H1344">
            <v>1</v>
          </cell>
          <cell r="I1344">
            <v>7.9240000000000004</v>
          </cell>
          <cell r="J1344">
            <v>7.6054114300000002</v>
          </cell>
          <cell r="K1344">
            <v>7.6054114300000002</v>
          </cell>
          <cell r="L1344">
            <v>0.31795603513464998</v>
          </cell>
          <cell r="M1344">
            <v>7.9233674651346497</v>
          </cell>
          <cell r="N1344">
            <v>2.2140221402214E-2</v>
          </cell>
          <cell r="O1344">
            <v>0</v>
          </cell>
          <cell r="P1344">
            <v>0.12915129151291499</v>
          </cell>
          <cell r="Q1344">
            <v>1</v>
          </cell>
          <cell r="R1344">
            <v>0.25714285714285701</v>
          </cell>
          <cell r="S1344">
            <v>3.8888888888888902</v>
          </cell>
        </row>
        <row r="1345">
          <cell r="A1345">
            <v>139302</v>
          </cell>
          <cell r="B1345">
            <v>2</v>
          </cell>
          <cell r="C1345">
            <v>3</v>
          </cell>
          <cell r="D1345">
            <v>3</v>
          </cell>
          <cell r="E1345" t="str">
            <v>NON-HS</v>
          </cell>
          <cell r="F1345" t="str">
            <v>Tarzana</v>
          </cell>
          <cell r="G1345">
            <v>0</v>
          </cell>
          <cell r="H1345">
            <v>0</v>
          </cell>
          <cell r="I1345">
            <v>4.0209999999999999</v>
          </cell>
          <cell r="J1345">
            <v>3.8885795999999999</v>
          </cell>
          <cell r="K1345">
            <v>3.8885795999999999</v>
          </cell>
          <cell r="L1345">
            <v>0.131797923464991</v>
          </cell>
          <cell r="M1345">
            <v>4.0203775234649903</v>
          </cell>
          <cell r="N1345">
            <v>2.2140221402214E-2</v>
          </cell>
          <cell r="O1345">
            <v>0</v>
          </cell>
          <cell r="P1345">
            <v>0.12915129151291499</v>
          </cell>
          <cell r="Q1345">
            <v>1</v>
          </cell>
          <cell r="R1345">
            <v>0.25714285714285701</v>
          </cell>
          <cell r="S1345">
            <v>0</v>
          </cell>
        </row>
        <row r="1346">
          <cell r="A1346">
            <v>134101</v>
          </cell>
          <cell r="B1346">
            <v>2</v>
          </cell>
          <cell r="C1346">
            <v>3</v>
          </cell>
          <cell r="D1346">
            <v>3</v>
          </cell>
          <cell r="E1346" t="str">
            <v>NON-HS</v>
          </cell>
          <cell r="F1346" t="str">
            <v>Winnetka</v>
          </cell>
          <cell r="G1346">
            <v>0</v>
          </cell>
          <cell r="H1346">
            <v>1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2.2140221402214E-2</v>
          </cell>
          <cell r="O1346">
            <v>0</v>
          </cell>
          <cell r="P1346">
            <v>0.12915129151291499</v>
          </cell>
          <cell r="Q1346">
            <v>1</v>
          </cell>
          <cell r="R1346">
            <v>0.25714285714285701</v>
          </cell>
          <cell r="S1346">
            <v>3.8888888888888902</v>
          </cell>
        </row>
        <row r="1347">
          <cell r="A1347">
            <v>134104</v>
          </cell>
          <cell r="B1347">
            <v>2</v>
          </cell>
          <cell r="C1347">
            <v>3</v>
          </cell>
          <cell r="D1347">
            <v>3</v>
          </cell>
          <cell r="E1347" t="str">
            <v>NON-HS</v>
          </cell>
          <cell r="F1347" t="str">
            <v>Winnetka</v>
          </cell>
          <cell r="G1347">
            <v>0</v>
          </cell>
          <cell r="H1347">
            <v>0</v>
          </cell>
          <cell r="I1347">
            <v>2.8079999999999998</v>
          </cell>
          <cell r="J1347">
            <v>1.73313217</v>
          </cell>
          <cell r="K1347">
            <v>2.7331321700000002</v>
          </cell>
          <cell r="L1347">
            <v>7.4985510287253102E-2</v>
          </cell>
          <cell r="M1347">
            <v>2.8081176802872498</v>
          </cell>
          <cell r="N1347">
            <v>2.2140221402214E-2</v>
          </cell>
          <cell r="O1347">
            <v>0</v>
          </cell>
          <cell r="P1347">
            <v>0.12915129151291499</v>
          </cell>
          <cell r="Q1347">
            <v>1</v>
          </cell>
          <cell r="R1347">
            <v>0.25714285714285701</v>
          </cell>
          <cell r="S1347">
            <v>0</v>
          </cell>
        </row>
        <row r="1348">
          <cell r="A1348">
            <v>134304</v>
          </cell>
          <cell r="B1348">
            <v>2</v>
          </cell>
          <cell r="C1348">
            <v>3</v>
          </cell>
          <cell r="D1348">
            <v>3</v>
          </cell>
          <cell r="E1348" t="str">
            <v>NON-HS</v>
          </cell>
          <cell r="F1348" t="str">
            <v>Canoga Park</v>
          </cell>
          <cell r="G1348">
            <v>0</v>
          </cell>
          <cell r="H1348">
            <v>0</v>
          </cell>
          <cell r="I1348">
            <v>1</v>
          </cell>
          <cell r="J1348">
            <v>0</v>
          </cell>
          <cell r="K1348">
            <v>1</v>
          </cell>
          <cell r="L1348">
            <v>0</v>
          </cell>
          <cell r="M1348">
            <v>1</v>
          </cell>
          <cell r="N1348">
            <v>2.2140221402214E-2</v>
          </cell>
          <cell r="O1348">
            <v>0</v>
          </cell>
          <cell r="P1348">
            <v>0.12915129151291499</v>
          </cell>
          <cell r="Q1348">
            <v>1</v>
          </cell>
          <cell r="R1348">
            <v>0.25714285714285701</v>
          </cell>
          <cell r="S1348">
            <v>0</v>
          </cell>
        </row>
        <row r="1349">
          <cell r="A1349">
            <v>135111</v>
          </cell>
          <cell r="B1349">
            <v>2</v>
          </cell>
          <cell r="C1349">
            <v>3</v>
          </cell>
          <cell r="D1349">
            <v>3</v>
          </cell>
          <cell r="E1349" t="str">
            <v>NON-HS</v>
          </cell>
          <cell r="F1349" t="str">
            <v>Woodland Hills</v>
          </cell>
          <cell r="G1349">
            <v>0</v>
          </cell>
          <cell r="H1349">
            <v>1</v>
          </cell>
          <cell r="I1349">
            <v>6.2850000000000001</v>
          </cell>
          <cell r="J1349">
            <v>5.9510989800000003</v>
          </cell>
          <cell r="K1349">
            <v>5.9510989800000003</v>
          </cell>
          <cell r="L1349">
            <v>0.33351780414721699</v>
          </cell>
          <cell r="M1349">
            <v>6.2846167841472198</v>
          </cell>
          <cell r="N1349">
            <v>2.2140221402214E-2</v>
          </cell>
          <cell r="O1349">
            <v>0</v>
          </cell>
          <cell r="P1349">
            <v>0.12915129151291499</v>
          </cell>
          <cell r="Q1349">
            <v>1</v>
          </cell>
          <cell r="R1349">
            <v>0.25714285714285701</v>
          </cell>
          <cell r="S1349">
            <v>3.8888888888888902</v>
          </cell>
        </row>
        <row r="1350">
          <cell r="A1350">
            <v>137000</v>
          </cell>
          <cell r="B1350">
            <v>2</v>
          </cell>
          <cell r="C1350">
            <v>3</v>
          </cell>
          <cell r="D1350">
            <v>3</v>
          </cell>
          <cell r="E1350" t="str">
            <v>NON-HS</v>
          </cell>
          <cell r="F1350" t="str">
            <v>Woodland Hills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2.2140221402214E-2</v>
          </cell>
          <cell r="O1350">
            <v>0</v>
          </cell>
          <cell r="P1350">
            <v>0.12915129151291499</v>
          </cell>
          <cell r="Q1350">
            <v>1</v>
          </cell>
          <cell r="R1350">
            <v>0.25714285714285701</v>
          </cell>
          <cell r="S1350">
            <v>0</v>
          </cell>
        </row>
        <row r="1351">
          <cell r="A1351">
            <v>134306</v>
          </cell>
          <cell r="B1351">
            <v>2</v>
          </cell>
          <cell r="C1351">
            <v>3</v>
          </cell>
          <cell r="D1351">
            <v>3</v>
          </cell>
          <cell r="E1351" t="str">
            <v>NON-HS</v>
          </cell>
          <cell r="F1351" t="str">
            <v>Canoga Park</v>
          </cell>
          <cell r="G1351">
            <v>0</v>
          </cell>
          <cell r="H1351">
            <v>0</v>
          </cell>
          <cell r="I1351">
            <v>9.5370000000000008</v>
          </cell>
          <cell r="J1351">
            <v>7.2326561099999997</v>
          </cell>
          <cell r="K1351">
            <v>9.2326561100000006</v>
          </cell>
          <cell r="L1351">
            <v>0.30387525168761198</v>
          </cell>
          <cell r="M1351">
            <v>9.5365313616876097</v>
          </cell>
          <cell r="N1351">
            <v>2.2140221402214E-2</v>
          </cell>
          <cell r="O1351">
            <v>0</v>
          </cell>
          <cell r="P1351">
            <v>0.12915129151291499</v>
          </cell>
          <cell r="Q1351">
            <v>1</v>
          </cell>
          <cell r="R1351">
            <v>0.25714285714285701</v>
          </cell>
          <cell r="S1351">
            <v>0</v>
          </cell>
        </row>
        <row r="1352">
          <cell r="A1352">
            <v>135113</v>
          </cell>
          <cell r="B1352">
            <v>2</v>
          </cell>
          <cell r="C1352">
            <v>3</v>
          </cell>
          <cell r="D1352">
            <v>3</v>
          </cell>
          <cell r="E1352" t="str">
            <v>NON-HS</v>
          </cell>
          <cell r="F1352" t="str">
            <v>Woodland Hills</v>
          </cell>
          <cell r="G1352">
            <v>0</v>
          </cell>
          <cell r="H1352">
            <v>0</v>
          </cell>
          <cell r="I1352">
            <v>2.0950000000000002</v>
          </cell>
          <cell r="J1352">
            <v>1.9836996600000001</v>
          </cell>
          <cell r="K1352">
            <v>1.9836996600000001</v>
          </cell>
          <cell r="L1352">
            <v>0.11117260138240601</v>
          </cell>
          <cell r="M1352">
            <v>2.09487226138241</v>
          </cell>
          <cell r="N1352">
            <v>2.2140221402214E-2</v>
          </cell>
          <cell r="O1352">
            <v>0</v>
          </cell>
          <cell r="P1352">
            <v>0.12915129151291499</v>
          </cell>
          <cell r="Q1352">
            <v>1</v>
          </cell>
          <cell r="R1352">
            <v>0.25714285714285701</v>
          </cell>
          <cell r="S1352">
            <v>0</v>
          </cell>
        </row>
        <row r="1353">
          <cell r="A1353">
            <v>139802</v>
          </cell>
          <cell r="B1353">
            <v>2</v>
          </cell>
          <cell r="C1353">
            <v>3</v>
          </cell>
          <cell r="D1353">
            <v>3</v>
          </cell>
          <cell r="E1353" t="str">
            <v>NON-HS</v>
          </cell>
          <cell r="F1353" t="str">
            <v>Tarzana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2.2140221402214E-2</v>
          </cell>
          <cell r="O1353">
            <v>0</v>
          </cell>
          <cell r="P1353">
            <v>0.12915129151291499</v>
          </cell>
          <cell r="Q1353">
            <v>1</v>
          </cell>
          <cell r="R1353">
            <v>0.25714285714285701</v>
          </cell>
          <cell r="S1353">
            <v>0</v>
          </cell>
        </row>
        <row r="1354">
          <cell r="A1354">
            <v>132502</v>
          </cell>
          <cell r="B1354">
            <v>2</v>
          </cell>
          <cell r="C1354">
            <v>3</v>
          </cell>
          <cell r="D1354">
            <v>3</v>
          </cell>
          <cell r="E1354" t="str">
            <v>NON-HS</v>
          </cell>
          <cell r="F1354" t="str">
            <v>Reseda</v>
          </cell>
          <cell r="G1354">
            <v>0</v>
          </cell>
          <cell r="H1354">
            <v>0</v>
          </cell>
          <cell r="I1354">
            <v>9.6319999999999997</v>
          </cell>
          <cell r="J1354">
            <v>9.2163557699999998</v>
          </cell>
          <cell r="K1354">
            <v>9.2163557699999998</v>
          </cell>
          <cell r="L1354">
            <v>0.41504785307001801</v>
          </cell>
          <cell r="M1354">
            <v>9.6314036230700193</v>
          </cell>
          <cell r="N1354">
            <v>2.2140221402214E-2</v>
          </cell>
          <cell r="O1354">
            <v>0</v>
          </cell>
          <cell r="P1354">
            <v>0.12915129151291499</v>
          </cell>
          <cell r="Q1354">
            <v>1</v>
          </cell>
          <cell r="R1354">
            <v>0.25714285714285701</v>
          </cell>
          <cell r="S1354">
            <v>0</v>
          </cell>
        </row>
        <row r="1355">
          <cell r="A1355">
            <v>134720</v>
          </cell>
          <cell r="B1355">
            <v>2</v>
          </cell>
          <cell r="C1355">
            <v>3</v>
          </cell>
          <cell r="D1355">
            <v>3</v>
          </cell>
          <cell r="E1355" t="str">
            <v>NON-HS</v>
          </cell>
          <cell r="F1355" t="str">
            <v>Winnetka</v>
          </cell>
          <cell r="G1355">
            <v>0</v>
          </cell>
          <cell r="H1355">
            <v>0</v>
          </cell>
          <cell r="I1355">
            <v>6.2850000000000001</v>
          </cell>
          <cell r="J1355">
            <v>5.9510989800000003</v>
          </cell>
          <cell r="K1355">
            <v>5.9510989800000003</v>
          </cell>
          <cell r="L1355">
            <v>0.33351780414721699</v>
          </cell>
          <cell r="M1355">
            <v>6.2846167841472198</v>
          </cell>
          <cell r="N1355">
            <v>2.2140221402214E-2</v>
          </cell>
          <cell r="O1355">
            <v>0</v>
          </cell>
          <cell r="P1355">
            <v>0.12915129151291499</v>
          </cell>
          <cell r="Q1355">
            <v>1</v>
          </cell>
          <cell r="R1355">
            <v>0.25714285714285701</v>
          </cell>
          <cell r="S1355">
            <v>0</v>
          </cell>
        </row>
        <row r="1356">
          <cell r="A1356">
            <v>128601</v>
          </cell>
          <cell r="B1356">
            <v>2</v>
          </cell>
          <cell r="C1356">
            <v>4</v>
          </cell>
          <cell r="D1356">
            <v>3</v>
          </cell>
          <cell r="E1356" t="str">
            <v>CVCTE</v>
          </cell>
          <cell r="F1356" t="str">
            <v>Van Nuys</v>
          </cell>
          <cell r="G1356">
            <v>0</v>
          </cell>
          <cell r="H1356">
            <v>1</v>
          </cell>
          <cell r="I1356">
            <v>25.398</v>
          </cell>
          <cell r="J1356">
            <v>25.103200919999999</v>
          </cell>
          <cell r="K1356">
            <v>25.103200919999999</v>
          </cell>
          <cell r="L1356">
            <v>0.29482077689407499</v>
          </cell>
          <cell r="M1356">
            <v>25.398021696894101</v>
          </cell>
          <cell r="N1356">
            <v>0.17910447761194001</v>
          </cell>
          <cell r="O1356">
            <v>0</v>
          </cell>
          <cell r="P1356">
            <v>2.2388059701492501E-2</v>
          </cell>
          <cell r="Q1356">
            <v>0.375</v>
          </cell>
          <cell r="R1356">
            <v>0.6</v>
          </cell>
          <cell r="S1356">
            <v>1.6666666666666701</v>
          </cell>
        </row>
        <row r="1357">
          <cell r="A1357">
            <v>128400</v>
          </cell>
          <cell r="B1357">
            <v>2</v>
          </cell>
          <cell r="C1357">
            <v>4</v>
          </cell>
          <cell r="D1357">
            <v>3</v>
          </cell>
          <cell r="E1357" t="str">
            <v>CVCTE</v>
          </cell>
          <cell r="F1357" t="str">
            <v>Van Nuys</v>
          </cell>
          <cell r="G1357">
            <v>0</v>
          </cell>
          <cell r="H1357">
            <v>1</v>
          </cell>
          <cell r="I1357">
            <v>62.661999999999999</v>
          </cell>
          <cell r="J1357">
            <v>54.060285800000003</v>
          </cell>
          <cell r="K1357">
            <v>60.060285800000003</v>
          </cell>
          <cell r="L1357">
            <v>2.6024739335368001</v>
          </cell>
          <cell r="M1357">
            <v>62.662759733536802</v>
          </cell>
          <cell r="N1357">
            <v>0.17910447761194001</v>
          </cell>
          <cell r="O1357">
            <v>0</v>
          </cell>
          <cell r="P1357">
            <v>2.2388059701492501E-2</v>
          </cell>
          <cell r="Q1357">
            <v>0.375</v>
          </cell>
          <cell r="R1357">
            <v>0.6</v>
          </cell>
          <cell r="S1357">
            <v>1.6666666666666701</v>
          </cell>
        </row>
        <row r="1358">
          <cell r="A1358">
            <v>143700</v>
          </cell>
          <cell r="B1358">
            <v>2</v>
          </cell>
          <cell r="C1358">
            <v>4</v>
          </cell>
          <cell r="D1358">
            <v>3</v>
          </cell>
          <cell r="E1358" t="str">
            <v>CVCTE</v>
          </cell>
          <cell r="F1358" t="str">
            <v>Hollywood Hills West</v>
          </cell>
          <cell r="G1358">
            <v>0</v>
          </cell>
          <cell r="H1358">
            <v>1</v>
          </cell>
          <cell r="I1358">
            <v>27.620999999999999</v>
          </cell>
          <cell r="J1358">
            <v>19.3885611</v>
          </cell>
          <cell r="K1358">
            <v>27.3885611</v>
          </cell>
          <cell r="L1358">
            <v>0.23294481064632</v>
          </cell>
          <cell r="M1358">
            <v>27.621505910646299</v>
          </cell>
          <cell r="N1358">
            <v>0.17910447761194001</v>
          </cell>
          <cell r="O1358">
            <v>0</v>
          </cell>
          <cell r="P1358">
            <v>2.2388059701492501E-2</v>
          </cell>
          <cell r="Q1358">
            <v>0.375</v>
          </cell>
          <cell r="R1358">
            <v>0.6</v>
          </cell>
          <cell r="S1358">
            <v>1.6666666666666701</v>
          </cell>
        </row>
        <row r="1359">
          <cell r="A1359">
            <v>195300</v>
          </cell>
          <cell r="B1359">
            <v>4</v>
          </cell>
          <cell r="C1359">
            <v>4</v>
          </cell>
          <cell r="D1359">
            <v>3</v>
          </cell>
          <cell r="E1359" t="str">
            <v>CVCTE</v>
          </cell>
          <cell r="F1359" t="str">
            <v>Los Feliz</v>
          </cell>
          <cell r="G1359">
            <v>1</v>
          </cell>
          <cell r="H1359">
            <v>1</v>
          </cell>
          <cell r="I1359">
            <v>26.129000000000001</v>
          </cell>
          <cell r="J1359">
            <v>14.8706826</v>
          </cell>
          <cell r="K1359">
            <v>25.870682599999999</v>
          </cell>
          <cell r="L1359">
            <v>0.25728307531418299</v>
          </cell>
          <cell r="M1359">
            <v>26.127965675314201</v>
          </cell>
          <cell r="N1359">
            <v>0.164383561643836</v>
          </cell>
          <cell r="O1359">
            <v>6.0833333333333304</v>
          </cell>
          <cell r="P1359">
            <v>4.1095890410958902E-2</v>
          </cell>
          <cell r="Q1359">
            <v>0.375</v>
          </cell>
        </row>
        <row r="1360">
          <cell r="A1360">
            <v>214501</v>
          </cell>
          <cell r="B1360">
            <v>4</v>
          </cell>
          <cell r="C1360">
            <v>4</v>
          </cell>
          <cell r="D1360">
            <v>3</v>
          </cell>
          <cell r="E1360" t="str">
            <v>CVCTE</v>
          </cell>
          <cell r="F1360" t="str">
            <v>Mid-City West</v>
          </cell>
          <cell r="G1360">
            <v>0</v>
          </cell>
          <cell r="H1360">
            <v>0</v>
          </cell>
          <cell r="I1360">
            <v>13.554</v>
          </cell>
          <cell r="J1360">
            <v>5.4910515000000002</v>
          </cell>
          <cell r="K1360">
            <v>13.491051499999999</v>
          </cell>
          <cell r="L1360">
            <v>6.2742575924596006E-2</v>
          </cell>
          <cell r="M1360">
            <v>13.5537940759246</v>
          </cell>
          <cell r="N1360">
            <v>0.164383561643836</v>
          </cell>
          <cell r="O1360">
            <v>0</v>
          </cell>
          <cell r="P1360">
            <v>4.1095890410958902E-2</v>
          </cell>
          <cell r="Q1360">
            <v>0.375</v>
          </cell>
          <cell r="R1360">
            <v>0.6</v>
          </cell>
          <cell r="S1360">
            <v>0</v>
          </cell>
        </row>
        <row r="1361">
          <cell r="A1361">
            <v>980009</v>
          </cell>
          <cell r="B1361">
            <v>4</v>
          </cell>
          <cell r="C1361">
            <v>4</v>
          </cell>
          <cell r="D1361">
            <v>3</v>
          </cell>
          <cell r="E1361" t="str">
            <v>CVCTE</v>
          </cell>
          <cell r="F1361" t="str">
            <v>Los Feliz</v>
          </cell>
          <cell r="G1361">
            <v>0</v>
          </cell>
          <cell r="H1361">
            <v>0</v>
          </cell>
          <cell r="I1361">
            <v>69.054000000000002</v>
          </cell>
          <cell r="J1361">
            <v>45.502288679999999</v>
          </cell>
          <cell r="K1361">
            <v>68.502288680000007</v>
          </cell>
          <cell r="L1361">
            <v>0.55185734833034095</v>
          </cell>
          <cell r="M1361">
            <v>69.054146028330294</v>
          </cell>
          <cell r="N1361">
            <v>0.164383561643836</v>
          </cell>
          <cell r="O1361">
            <v>0</v>
          </cell>
          <cell r="P1361">
            <v>4.1095890410958902E-2</v>
          </cell>
          <cell r="Q1361">
            <v>0.375</v>
          </cell>
          <cell r="R1361">
            <v>0.6</v>
          </cell>
          <cell r="S1361">
            <v>0</v>
          </cell>
        </row>
        <row r="1362">
          <cell r="A1362">
            <v>189600</v>
          </cell>
          <cell r="B1362">
            <v>11</v>
          </cell>
          <cell r="C1362">
            <v>4</v>
          </cell>
          <cell r="D1362">
            <v>3</v>
          </cell>
          <cell r="E1362" t="str">
            <v>CVCTE</v>
          </cell>
          <cell r="F1362" t="str">
            <v>Hollywood</v>
          </cell>
          <cell r="G1362">
            <v>1</v>
          </cell>
          <cell r="H1362">
            <v>1</v>
          </cell>
          <cell r="I1362">
            <v>24.263999999999999</v>
          </cell>
          <cell r="J1362">
            <v>13.6206817</v>
          </cell>
          <cell r="K1362">
            <v>23.620681699999999</v>
          </cell>
          <cell r="L1362">
            <v>0.64409669759425503</v>
          </cell>
          <cell r="M1362">
            <v>24.264778397594299</v>
          </cell>
          <cell r="N1362">
            <v>0.46666666666666701</v>
          </cell>
          <cell r="O1362">
            <v>2.1428571428571401</v>
          </cell>
          <cell r="P1362">
            <v>0.133333333333333</v>
          </cell>
          <cell r="Q1362">
            <v>0.25</v>
          </cell>
        </row>
        <row r="1363">
          <cell r="A1363">
            <v>191901</v>
          </cell>
          <cell r="B1363">
            <v>11</v>
          </cell>
          <cell r="C1363">
            <v>4</v>
          </cell>
          <cell r="D1363">
            <v>3</v>
          </cell>
          <cell r="E1363" t="str">
            <v>CVCTE</v>
          </cell>
          <cell r="F1363" t="str">
            <v>Hollywood</v>
          </cell>
          <cell r="G1363">
            <v>1</v>
          </cell>
          <cell r="H1363">
            <v>1</v>
          </cell>
          <cell r="I1363">
            <v>55.198</v>
          </cell>
          <cell r="J1363">
            <v>32.119163460000003</v>
          </cell>
          <cell r="K1363">
            <v>54.119163460000003</v>
          </cell>
          <cell r="L1363">
            <v>1.07847514850987</v>
          </cell>
          <cell r="M1363">
            <v>55.197638608509898</v>
          </cell>
          <cell r="N1363">
            <v>0.46666666666666701</v>
          </cell>
          <cell r="O1363">
            <v>2.1428571428571401</v>
          </cell>
          <cell r="P1363">
            <v>0.133333333333333</v>
          </cell>
          <cell r="Q1363">
            <v>0.25</v>
          </cell>
        </row>
        <row r="1364">
          <cell r="A1364">
            <v>194101</v>
          </cell>
          <cell r="B1364">
            <v>4</v>
          </cell>
          <cell r="C1364">
            <v>4</v>
          </cell>
          <cell r="D1364">
            <v>3</v>
          </cell>
          <cell r="E1364" t="str">
            <v>FAMILY</v>
          </cell>
          <cell r="F1364" t="str">
            <v>Hollywood Hills West</v>
          </cell>
          <cell r="G1364">
            <v>1</v>
          </cell>
          <cell r="H1364">
            <v>1</v>
          </cell>
          <cell r="I1364">
            <v>7.3710000000000004</v>
          </cell>
          <cell r="J1364">
            <v>6.8457924600000002</v>
          </cell>
          <cell r="K1364">
            <v>6.8457924600000002</v>
          </cell>
          <cell r="L1364">
            <v>0.52524921504488298</v>
          </cell>
          <cell r="M1364">
            <v>7.3710416750448804</v>
          </cell>
          <cell r="N1364">
            <v>1</v>
          </cell>
          <cell r="O1364">
            <v>1</v>
          </cell>
        </row>
        <row r="1365">
          <cell r="A1365">
            <v>141304</v>
          </cell>
          <cell r="B1365">
            <v>2</v>
          </cell>
          <cell r="C1365">
            <v>4</v>
          </cell>
          <cell r="D1365">
            <v>3</v>
          </cell>
          <cell r="E1365" t="str">
            <v>INDIV</v>
          </cell>
          <cell r="F1365" t="str">
            <v>Sherman Oaks</v>
          </cell>
          <cell r="G1365">
            <v>0</v>
          </cell>
          <cell r="H1365">
            <v>1</v>
          </cell>
          <cell r="I1365">
            <v>4</v>
          </cell>
          <cell r="J1365">
            <v>0</v>
          </cell>
          <cell r="K1365">
            <v>4</v>
          </cell>
          <cell r="L1365">
            <v>0</v>
          </cell>
          <cell r="M1365">
            <v>4</v>
          </cell>
          <cell r="N1365">
            <v>4.8387096774193498E-2</v>
          </cell>
          <cell r="O1365">
            <v>0</v>
          </cell>
          <cell r="P1365">
            <v>9.6774193548387094E-2</v>
          </cell>
          <cell r="Q1365">
            <v>0.375</v>
          </cell>
          <cell r="R1365">
            <v>0.14285714285714299</v>
          </cell>
          <cell r="S1365">
            <v>7</v>
          </cell>
        </row>
        <row r="1366">
          <cell r="A1366">
            <v>143100</v>
          </cell>
          <cell r="B1366">
            <v>2</v>
          </cell>
          <cell r="C1366">
            <v>4</v>
          </cell>
          <cell r="D1366">
            <v>3</v>
          </cell>
          <cell r="E1366" t="str">
            <v>INDIV</v>
          </cell>
          <cell r="F1366" t="str">
            <v>North Hollywood</v>
          </cell>
          <cell r="G1366">
            <v>0</v>
          </cell>
          <cell r="H1366">
            <v>0</v>
          </cell>
          <cell r="I1366">
            <v>14.42</v>
          </cell>
          <cell r="J1366">
            <v>7.0609083400000001</v>
          </cell>
          <cell r="K1366">
            <v>14.060908339999999</v>
          </cell>
          <cell r="L1366">
            <v>0.35823543989228002</v>
          </cell>
          <cell r="M1366">
            <v>14.4191437798923</v>
          </cell>
          <cell r="N1366">
            <v>4.8387096774193498E-2</v>
          </cell>
          <cell r="O1366">
            <v>0</v>
          </cell>
          <cell r="P1366">
            <v>9.6774193548387094E-2</v>
          </cell>
          <cell r="Q1366">
            <v>0.375</v>
          </cell>
          <cell r="R1366">
            <v>0.14285714285714299</v>
          </cell>
          <cell r="S1366">
            <v>0</v>
          </cell>
        </row>
        <row r="1367">
          <cell r="A1367">
            <v>141303</v>
          </cell>
          <cell r="B1367">
            <v>2</v>
          </cell>
          <cell r="C1367">
            <v>4</v>
          </cell>
          <cell r="D1367">
            <v>3</v>
          </cell>
          <cell r="E1367" t="str">
            <v>INDIV</v>
          </cell>
          <cell r="F1367" t="str">
            <v>Sherman Oaks</v>
          </cell>
          <cell r="G1367">
            <v>0</v>
          </cell>
          <cell r="H1367">
            <v>0</v>
          </cell>
          <cell r="I1367">
            <v>3.0950000000000002</v>
          </cell>
          <cell r="J1367">
            <v>1.9836996600000001</v>
          </cell>
          <cell r="K1367">
            <v>2.9836996600000001</v>
          </cell>
          <cell r="L1367">
            <v>0.11117260138240601</v>
          </cell>
          <cell r="M1367">
            <v>3.09487226138241</v>
          </cell>
          <cell r="N1367">
            <v>4.8387096774193498E-2</v>
          </cell>
          <cell r="O1367">
            <v>0</v>
          </cell>
          <cell r="P1367">
            <v>9.6774193548387094E-2</v>
          </cell>
          <cell r="Q1367">
            <v>0.375</v>
          </cell>
          <cell r="R1367">
            <v>0.14285714285714299</v>
          </cell>
          <cell r="S1367">
            <v>0</v>
          </cell>
        </row>
        <row r="1368">
          <cell r="A1368">
            <v>141202</v>
          </cell>
          <cell r="B1368">
            <v>2</v>
          </cell>
          <cell r="C1368">
            <v>4</v>
          </cell>
          <cell r="D1368">
            <v>3</v>
          </cell>
          <cell r="E1368" t="str">
            <v>INDIV</v>
          </cell>
          <cell r="F1368" t="str">
            <v>Sherman Oaks</v>
          </cell>
          <cell r="G1368">
            <v>0</v>
          </cell>
          <cell r="H1368">
            <v>0</v>
          </cell>
          <cell r="I1368">
            <v>1</v>
          </cell>
          <cell r="J1368">
            <v>0</v>
          </cell>
          <cell r="K1368">
            <v>1</v>
          </cell>
          <cell r="L1368">
            <v>0</v>
          </cell>
          <cell r="M1368">
            <v>1</v>
          </cell>
          <cell r="N1368">
            <v>4.8387096774193498E-2</v>
          </cell>
          <cell r="O1368">
            <v>0</v>
          </cell>
          <cell r="P1368">
            <v>9.6774193548387094E-2</v>
          </cell>
          <cell r="Q1368">
            <v>0.375</v>
          </cell>
          <cell r="R1368">
            <v>0.14285714285714299</v>
          </cell>
          <cell r="S1368">
            <v>0</v>
          </cell>
        </row>
        <row r="1369">
          <cell r="A1369">
            <v>141201</v>
          </cell>
          <cell r="B1369">
            <v>2</v>
          </cell>
          <cell r="C1369">
            <v>4</v>
          </cell>
          <cell r="D1369">
            <v>3</v>
          </cell>
          <cell r="E1369" t="str">
            <v>INDIV</v>
          </cell>
          <cell r="F1369" t="str">
            <v>Sherman Oaks</v>
          </cell>
          <cell r="G1369">
            <v>0</v>
          </cell>
          <cell r="H1369">
            <v>1</v>
          </cell>
          <cell r="I1369">
            <v>15.891999999999999</v>
          </cell>
          <cell r="J1369">
            <v>8.3283571399999996</v>
          </cell>
          <cell r="K1369">
            <v>15.32835714</v>
          </cell>
          <cell r="L1369">
            <v>0.56404763423698401</v>
          </cell>
          <cell r="M1369">
            <v>15.892404774237001</v>
          </cell>
          <cell r="N1369">
            <v>4.8387096774193498E-2</v>
          </cell>
          <cell r="O1369">
            <v>0</v>
          </cell>
          <cell r="P1369">
            <v>9.6774193548387094E-2</v>
          </cell>
          <cell r="Q1369">
            <v>0.375</v>
          </cell>
          <cell r="R1369">
            <v>0.14285714285714299</v>
          </cell>
          <cell r="S1369">
            <v>7</v>
          </cell>
        </row>
        <row r="1370">
          <cell r="A1370">
            <v>124700</v>
          </cell>
          <cell r="B1370">
            <v>2</v>
          </cell>
          <cell r="C1370">
            <v>4</v>
          </cell>
          <cell r="D1370">
            <v>3</v>
          </cell>
          <cell r="E1370" t="str">
            <v>INDIV</v>
          </cell>
          <cell r="F1370" t="str">
            <v>Sherman Oaks</v>
          </cell>
          <cell r="G1370">
            <v>0</v>
          </cell>
          <cell r="H1370">
            <v>0</v>
          </cell>
          <cell r="I1370">
            <v>15.622999999999999</v>
          </cell>
          <cell r="J1370">
            <v>8.1273495899999997</v>
          </cell>
          <cell r="K1370">
            <v>15.12734959</v>
          </cell>
          <cell r="L1370">
            <v>0.49560666258527802</v>
          </cell>
          <cell r="M1370">
            <v>15.622956252585301</v>
          </cell>
          <cell r="N1370">
            <v>4.8387096774193498E-2</v>
          </cell>
          <cell r="O1370">
            <v>0</v>
          </cell>
          <cell r="P1370">
            <v>9.6774193548387094E-2</v>
          </cell>
          <cell r="Q1370">
            <v>0.375</v>
          </cell>
          <cell r="R1370">
            <v>0.14285714285714299</v>
          </cell>
          <cell r="S1370">
            <v>0</v>
          </cell>
        </row>
        <row r="1371">
          <cell r="A1371">
            <v>189905</v>
          </cell>
          <cell r="B1371">
            <v>4</v>
          </cell>
          <cell r="C1371">
            <v>4</v>
          </cell>
          <cell r="D1371">
            <v>3</v>
          </cell>
          <cell r="E1371" t="str">
            <v>INDIV</v>
          </cell>
          <cell r="F1371" t="str">
            <v>Hollywood Hills West</v>
          </cell>
          <cell r="G1371">
            <v>0</v>
          </cell>
          <cell r="H1371">
            <v>0</v>
          </cell>
          <cell r="I1371">
            <v>19.218</v>
          </cell>
          <cell r="J1371">
            <v>10.72589962</v>
          </cell>
          <cell r="K1371">
            <v>18.72589962</v>
          </cell>
          <cell r="L1371">
            <v>0.49089997303411098</v>
          </cell>
          <cell r="M1371">
            <v>19.2167995930341</v>
          </cell>
          <cell r="N1371">
            <v>8.5106382978723402E-2</v>
          </cell>
          <cell r="O1371">
            <v>0</v>
          </cell>
          <cell r="P1371">
            <v>0.19148936170212799</v>
          </cell>
          <cell r="Q1371">
            <v>0.5625</v>
          </cell>
          <cell r="R1371">
            <v>0.14285714285714299</v>
          </cell>
          <cell r="S1371">
            <v>0</v>
          </cell>
        </row>
        <row r="1372">
          <cell r="A1372">
            <v>189904</v>
          </cell>
          <cell r="B1372">
            <v>4</v>
          </cell>
          <cell r="C1372">
            <v>4</v>
          </cell>
          <cell r="D1372">
            <v>3</v>
          </cell>
          <cell r="E1372" t="str">
            <v>INDIV</v>
          </cell>
          <cell r="F1372" t="str">
            <v>Hollywood Hills West</v>
          </cell>
          <cell r="G1372">
            <v>0</v>
          </cell>
          <cell r="H1372">
            <v>0</v>
          </cell>
          <cell r="I1372">
            <v>12.58</v>
          </cell>
          <cell r="J1372">
            <v>6.0507218800000002</v>
          </cell>
          <cell r="K1372">
            <v>12.050721879999999</v>
          </cell>
          <cell r="L1372">
            <v>0.52934152870736095</v>
          </cell>
          <cell r="M1372">
            <v>12.580063408707399</v>
          </cell>
          <cell r="N1372">
            <v>8.5106382978723402E-2</v>
          </cell>
          <cell r="O1372">
            <v>0</v>
          </cell>
          <cell r="P1372">
            <v>0.19148936170212799</v>
          </cell>
          <cell r="Q1372">
            <v>0.5625</v>
          </cell>
          <cell r="R1372">
            <v>0.14285714285714299</v>
          </cell>
          <cell r="S1372">
            <v>0</v>
          </cell>
        </row>
        <row r="1373">
          <cell r="A1373">
            <v>212610</v>
          </cell>
          <cell r="B1373">
            <v>4</v>
          </cell>
          <cell r="C1373">
            <v>4</v>
          </cell>
          <cell r="D1373">
            <v>2</v>
          </cell>
          <cell r="E1373" t="str">
            <v>INDIV</v>
          </cell>
          <cell r="F1373" t="str">
            <v>Miracle Mile</v>
          </cell>
          <cell r="G1373">
            <v>0</v>
          </cell>
          <cell r="H1373">
            <v>0</v>
          </cell>
          <cell r="I1373">
            <v>14.102</v>
          </cell>
          <cell r="J1373">
            <v>4.8536203599999999</v>
          </cell>
          <cell r="K1373">
            <v>13.853620360000001</v>
          </cell>
          <cell r="L1373">
            <v>0.247929448186715</v>
          </cell>
          <cell r="M1373">
            <v>14.1015498081867</v>
          </cell>
          <cell r="N1373">
            <v>8.5106382978723402E-2</v>
          </cell>
          <cell r="O1373">
            <v>0</v>
          </cell>
          <cell r="P1373">
            <v>0.19148936170212799</v>
          </cell>
          <cell r="Q1373">
            <v>0.5625</v>
          </cell>
          <cell r="R1373">
            <v>0.14285714285714299</v>
          </cell>
          <cell r="S1373">
            <v>0</v>
          </cell>
        </row>
        <row r="1374">
          <cell r="A1374">
            <v>211000</v>
          </cell>
          <cell r="B1374">
            <v>4</v>
          </cell>
          <cell r="C1374">
            <v>4</v>
          </cell>
          <cell r="D1374">
            <v>3</v>
          </cell>
          <cell r="E1374" t="str">
            <v>INDIV</v>
          </cell>
          <cell r="F1374" t="str">
            <v>Miracle Mile</v>
          </cell>
          <cell r="G1374">
            <v>0</v>
          </cell>
          <cell r="H1374">
            <v>0</v>
          </cell>
          <cell r="I1374">
            <v>8.7769999999999992</v>
          </cell>
          <cell r="J1374">
            <v>5.7146398200000004</v>
          </cell>
          <cell r="K1374">
            <v>8.7146398200000004</v>
          </cell>
          <cell r="L1374">
            <v>6.18759662477558E-2</v>
          </cell>
          <cell r="M1374">
            <v>8.7765157862477494</v>
          </cell>
          <cell r="N1374">
            <v>8.5106382978723402E-2</v>
          </cell>
          <cell r="O1374">
            <v>0</v>
          </cell>
          <cell r="P1374">
            <v>0.19148936170212799</v>
          </cell>
          <cell r="Q1374">
            <v>0.5625</v>
          </cell>
          <cell r="R1374">
            <v>0.14285714285714299</v>
          </cell>
          <cell r="S1374">
            <v>0</v>
          </cell>
        </row>
        <row r="1375">
          <cell r="A1375">
            <v>189101</v>
          </cell>
          <cell r="B1375">
            <v>4</v>
          </cell>
          <cell r="C1375">
            <v>4</v>
          </cell>
          <cell r="D1375">
            <v>3</v>
          </cell>
          <cell r="E1375" t="str">
            <v>INDIV</v>
          </cell>
          <cell r="F1375" t="str">
            <v>Los Feliz</v>
          </cell>
          <cell r="G1375">
            <v>0</v>
          </cell>
          <cell r="H1375">
            <v>0</v>
          </cell>
          <cell r="I1375">
            <v>7.734</v>
          </cell>
          <cell r="J1375">
            <v>3.63801211</v>
          </cell>
          <cell r="K1375">
            <v>7.63801211</v>
          </cell>
          <cell r="L1375">
            <v>9.5610832369838403E-2</v>
          </cell>
          <cell r="M1375">
            <v>7.7336229423698404</v>
          </cell>
          <cell r="N1375">
            <v>8.5106382978723402E-2</v>
          </cell>
          <cell r="O1375">
            <v>0</v>
          </cell>
          <cell r="P1375">
            <v>0.19148936170212799</v>
          </cell>
          <cell r="Q1375">
            <v>0.5625</v>
          </cell>
          <cell r="R1375">
            <v>0.14285714285714299</v>
          </cell>
          <cell r="S1375">
            <v>0</v>
          </cell>
        </row>
        <row r="1376">
          <cell r="A1376">
            <v>195100</v>
          </cell>
          <cell r="B1376">
            <v>4</v>
          </cell>
          <cell r="C1376">
            <v>4</v>
          </cell>
          <cell r="D1376">
            <v>1</v>
          </cell>
          <cell r="E1376" t="str">
            <v>INDIV</v>
          </cell>
          <cell r="F1376" t="str">
            <v>Silver Lake</v>
          </cell>
          <cell r="G1376">
            <v>0</v>
          </cell>
          <cell r="H1376">
            <v>0</v>
          </cell>
          <cell r="I1376">
            <v>1.8080000000000001</v>
          </cell>
          <cell r="J1376">
            <v>1.73313217</v>
          </cell>
          <cell r="K1376">
            <v>1.73313217</v>
          </cell>
          <cell r="L1376">
            <v>7.4985510287253102E-2</v>
          </cell>
          <cell r="M1376">
            <v>1.8081176802872501</v>
          </cell>
          <cell r="N1376">
            <v>8.5106382978723402E-2</v>
          </cell>
          <cell r="O1376">
            <v>0</v>
          </cell>
          <cell r="P1376">
            <v>0.19148936170212799</v>
          </cell>
          <cell r="Q1376">
            <v>0.5625</v>
          </cell>
          <cell r="R1376">
            <v>0.14285714285714299</v>
          </cell>
          <cell r="S1376">
            <v>0</v>
          </cell>
        </row>
        <row r="1377">
          <cell r="A1377">
            <v>215101</v>
          </cell>
          <cell r="B1377">
            <v>4</v>
          </cell>
          <cell r="C1377">
            <v>4</v>
          </cell>
          <cell r="D1377">
            <v>3</v>
          </cell>
          <cell r="E1377" t="str">
            <v>INDIV</v>
          </cell>
          <cell r="F1377" t="str">
            <v>Mid-City West</v>
          </cell>
          <cell r="G1377">
            <v>0</v>
          </cell>
          <cell r="H1377">
            <v>0</v>
          </cell>
          <cell r="I1377">
            <v>11.776999999999999</v>
          </cell>
          <cell r="J1377">
            <v>5.7146398200000004</v>
          </cell>
          <cell r="K1377">
            <v>11.71463982</v>
          </cell>
          <cell r="L1377">
            <v>6.18759662477558E-2</v>
          </cell>
          <cell r="M1377">
            <v>11.776515786247799</v>
          </cell>
          <cell r="N1377">
            <v>8.5106382978723402E-2</v>
          </cell>
          <cell r="O1377">
            <v>0</v>
          </cell>
          <cell r="P1377">
            <v>0.19148936170212799</v>
          </cell>
          <cell r="Q1377">
            <v>0.5625</v>
          </cell>
          <cell r="R1377">
            <v>0.14285714285714299</v>
          </cell>
          <cell r="S1377">
            <v>0</v>
          </cell>
        </row>
        <row r="1378">
          <cell r="A1378">
            <v>215102</v>
          </cell>
          <cell r="B1378">
            <v>4</v>
          </cell>
          <cell r="C1378">
            <v>4</v>
          </cell>
          <cell r="D1378">
            <v>3</v>
          </cell>
          <cell r="E1378" t="str">
            <v>INDIV</v>
          </cell>
          <cell r="F1378" t="str">
            <v>Mid-City West</v>
          </cell>
          <cell r="G1378">
            <v>0</v>
          </cell>
          <cell r="H1378">
            <v>0</v>
          </cell>
          <cell r="I1378">
            <v>4</v>
          </cell>
          <cell r="J1378">
            <v>0</v>
          </cell>
          <cell r="K1378">
            <v>4</v>
          </cell>
          <cell r="L1378">
            <v>0</v>
          </cell>
          <cell r="M1378">
            <v>4</v>
          </cell>
          <cell r="N1378">
            <v>8.5106382978723402E-2</v>
          </cell>
          <cell r="O1378">
            <v>0</v>
          </cell>
          <cell r="P1378">
            <v>0.19148936170212799</v>
          </cell>
          <cell r="Q1378">
            <v>0.5625</v>
          </cell>
          <cell r="R1378">
            <v>0.14285714285714299</v>
          </cell>
          <cell r="S1378">
            <v>0</v>
          </cell>
        </row>
        <row r="1379">
          <cell r="A1379">
            <v>189800</v>
          </cell>
          <cell r="B1379">
            <v>4</v>
          </cell>
          <cell r="C1379">
            <v>4</v>
          </cell>
          <cell r="D1379">
            <v>3</v>
          </cell>
          <cell r="E1379" t="str">
            <v>INDIV</v>
          </cell>
          <cell r="F1379" t="str">
            <v>Hollywood Hills West</v>
          </cell>
          <cell r="G1379">
            <v>1</v>
          </cell>
          <cell r="H1379">
            <v>1</v>
          </cell>
          <cell r="I1379">
            <v>11</v>
          </cell>
          <cell r="J1379">
            <v>0</v>
          </cell>
          <cell r="K1379">
            <v>11</v>
          </cell>
          <cell r="L1379">
            <v>0</v>
          </cell>
          <cell r="M1379">
            <v>11</v>
          </cell>
          <cell r="N1379">
            <v>8.5106382978723402E-2</v>
          </cell>
          <cell r="O1379">
            <v>11.75</v>
          </cell>
          <cell r="P1379">
            <v>0.19148936170212799</v>
          </cell>
          <cell r="Q1379">
            <v>0.5625</v>
          </cell>
        </row>
        <row r="1380">
          <cell r="A1380">
            <v>189300</v>
          </cell>
          <cell r="B1380">
            <v>11</v>
          </cell>
          <cell r="C1380">
            <v>4</v>
          </cell>
          <cell r="D1380">
            <v>3</v>
          </cell>
          <cell r="E1380" t="str">
            <v>INDIV</v>
          </cell>
          <cell r="F1380" t="str">
            <v>Hollywood</v>
          </cell>
          <cell r="G1380">
            <v>0</v>
          </cell>
          <cell r="H1380">
            <v>0</v>
          </cell>
          <cell r="I1380">
            <v>2</v>
          </cell>
          <cell r="J1380">
            <v>0</v>
          </cell>
          <cell r="K1380">
            <v>2</v>
          </cell>
          <cell r="L1380">
            <v>0</v>
          </cell>
          <cell r="M1380">
            <v>2</v>
          </cell>
          <cell r="N1380">
            <v>0.2</v>
          </cell>
          <cell r="O1380">
            <v>0</v>
          </cell>
          <cell r="P1380">
            <v>0.2</v>
          </cell>
          <cell r="Q1380">
            <v>6.25E-2</v>
          </cell>
        </row>
        <row r="1381">
          <cell r="A1381">
            <v>141700</v>
          </cell>
          <cell r="B1381">
            <v>2</v>
          </cell>
          <cell r="C1381">
            <v>4</v>
          </cell>
          <cell r="D1381">
            <v>3</v>
          </cell>
          <cell r="E1381" t="str">
            <v>NON-HS</v>
          </cell>
          <cell r="F1381" t="str">
            <v>Sherman Oaks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2.2140221402214E-2</v>
          </cell>
          <cell r="O1381">
            <v>0</v>
          </cell>
          <cell r="P1381">
            <v>5.1660516605166101E-2</v>
          </cell>
          <cell r="Q1381">
            <v>0.31818181818181801</v>
          </cell>
          <cell r="R1381">
            <v>9.3023255813953501E-2</v>
          </cell>
          <cell r="S1381">
            <v>0</v>
          </cell>
        </row>
        <row r="1382">
          <cell r="A1382">
            <v>141600</v>
          </cell>
          <cell r="B1382">
            <v>2</v>
          </cell>
          <cell r="C1382">
            <v>4</v>
          </cell>
          <cell r="D1382">
            <v>3</v>
          </cell>
          <cell r="E1382" t="str">
            <v>NON-HS</v>
          </cell>
          <cell r="F1382" t="str">
            <v>Sherman Oaks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2.2140221402214E-2</v>
          </cell>
          <cell r="O1382">
            <v>0</v>
          </cell>
          <cell r="P1382">
            <v>5.1660516605166101E-2</v>
          </cell>
          <cell r="Q1382">
            <v>0.31818181818181801</v>
          </cell>
          <cell r="R1382">
            <v>9.3023255813953501E-2</v>
          </cell>
          <cell r="S1382">
            <v>0</v>
          </cell>
        </row>
        <row r="1383">
          <cell r="A1383">
            <v>128500</v>
          </cell>
          <cell r="B1383">
            <v>2</v>
          </cell>
          <cell r="C1383">
            <v>4</v>
          </cell>
          <cell r="D1383">
            <v>3</v>
          </cell>
          <cell r="E1383" t="str">
            <v>NON-HS</v>
          </cell>
          <cell r="F1383" t="str">
            <v>Sherman Oaks</v>
          </cell>
          <cell r="G1383">
            <v>0</v>
          </cell>
          <cell r="H1383">
            <v>0</v>
          </cell>
          <cell r="I1383">
            <v>2.7029999999999998</v>
          </cell>
          <cell r="J1383">
            <v>1.6812916200000001</v>
          </cell>
          <cell r="K1383">
            <v>2.6812916200000001</v>
          </cell>
          <cell r="L1383">
            <v>2.14919317594255E-2</v>
          </cell>
          <cell r="M1383">
            <v>2.7027835517594299</v>
          </cell>
          <cell r="N1383">
            <v>2.2140221402214E-2</v>
          </cell>
          <cell r="O1383">
            <v>0</v>
          </cell>
          <cell r="P1383">
            <v>5.1660516605166101E-2</v>
          </cell>
          <cell r="Q1383">
            <v>0.31818181818181801</v>
          </cell>
          <cell r="R1383">
            <v>9.3023255813953501E-2</v>
          </cell>
          <cell r="S1383">
            <v>0</v>
          </cell>
        </row>
        <row r="1384">
          <cell r="A1384">
            <v>124600</v>
          </cell>
          <cell r="B1384">
            <v>2</v>
          </cell>
          <cell r="C1384">
            <v>4</v>
          </cell>
          <cell r="D1384">
            <v>3</v>
          </cell>
          <cell r="E1384" t="str">
            <v>NON-HS</v>
          </cell>
          <cell r="F1384" t="str">
            <v>Sherman Oaks</v>
          </cell>
          <cell r="G1384">
            <v>0</v>
          </cell>
          <cell r="H1384">
            <v>0</v>
          </cell>
          <cell r="I1384">
            <v>4.851</v>
          </cell>
          <cell r="J1384">
            <v>3.8097598800000001</v>
          </cell>
          <cell r="K1384">
            <v>4.8097598799999997</v>
          </cell>
          <cell r="L1384">
            <v>4.1250644165170602E-2</v>
          </cell>
          <cell r="M1384">
            <v>4.8510105241651704</v>
          </cell>
          <cell r="N1384">
            <v>2.2140221402214E-2</v>
          </cell>
          <cell r="O1384">
            <v>0</v>
          </cell>
          <cell r="P1384">
            <v>5.1660516605166101E-2</v>
          </cell>
          <cell r="Q1384">
            <v>0.31818181818181801</v>
          </cell>
          <cell r="R1384">
            <v>9.3023255813953501E-2</v>
          </cell>
          <cell r="S1384">
            <v>0</v>
          </cell>
        </row>
        <row r="1385">
          <cell r="A1385">
            <v>128910</v>
          </cell>
          <cell r="B1385">
            <v>2</v>
          </cell>
          <cell r="C1385">
            <v>4</v>
          </cell>
          <cell r="D1385">
            <v>3</v>
          </cell>
          <cell r="E1385" t="str">
            <v>NON-HS</v>
          </cell>
          <cell r="F1385" t="str">
            <v>Sherman Oaks</v>
          </cell>
          <cell r="G1385">
            <v>0</v>
          </cell>
          <cell r="H1385">
            <v>0</v>
          </cell>
          <cell r="I1385">
            <v>13.391999999999999</v>
          </cell>
          <cell r="J1385">
            <v>10.73437206</v>
          </cell>
          <cell r="K1385">
            <v>12.73437206</v>
          </cell>
          <cell r="L1385">
            <v>0.65704713850987395</v>
          </cell>
          <cell r="M1385">
            <v>13.391419198509899</v>
          </cell>
          <cell r="N1385">
            <v>2.2140221402214E-2</v>
          </cell>
          <cell r="O1385">
            <v>0</v>
          </cell>
          <cell r="P1385">
            <v>5.1660516605166101E-2</v>
          </cell>
          <cell r="Q1385">
            <v>0.31818181818181801</v>
          </cell>
          <cell r="R1385">
            <v>9.3023255813953501E-2</v>
          </cell>
          <cell r="S1385">
            <v>0</v>
          </cell>
        </row>
        <row r="1386">
          <cell r="A1386">
            <v>141101</v>
          </cell>
          <cell r="B1386">
            <v>2</v>
          </cell>
          <cell r="C1386">
            <v>4</v>
          </cell>
          <cell r="D1386">
            <v>3</v>
          </cell>
          <cell r="E1386" t="str">
            <v>NON-HS</v>
          </cell>
          <cell r="F1386" t="str">
            <v>Sherman Oaks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2.2140221402214E-2</v>
          </cell>
          <cell r="O1386">
            <v>0</v>
          </cell>
          <cell r="P1386">
            <v>5.1660516605166101E-2</v>
          </cell>
          <cell r="Q1386">
            <v>0.31818181818181801</v>
          </cell>
          <cell r="R1386">
            <v>9.3023255813953501E-2</v>
          </cell>
          <cell r="S1386">
            <v>0</v>
          </cell>
        </row>
        <row r="1387">
          <cell r="A1387">
            <v>128702</v>
          </cell>
          <cell r="B1387">
            <v>2</v>
          </cell>
          <cell r="C1387">
            <v>4</v>
          </cell>
          <cell r="D1387">
            <v>3</v>
          </cell>
          <cell r="E1387" t="str">
            <v>NON-HS</v>
          </cell>
          <cell r="F1387" t="str">
            <v>Sherman Oaks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2.2140221402214E-2</v>
          </cell>
          <cell r="O1387">
            <v>0</v>
          </cell>
          <cell r="P1387">
            <v>5.1660516605166101E-2</v>
          </cell>
          <cell r="Q1387">
            <v>0.31818181818181801</v>
          </cell>
          <cell r="R1387">
            <v>9.3023255813953501E-2</v>
          </cell>
          <cell r="S1387">
            <v>0</v>
          </cell>
        </row>
        <row r="1388">
          <cell r="A1388">
            <v>128802</v>
          </cell>
          <cell r="B1388">
            <v>2</v>
          </cell>
          <cell r="C1388">
            <v>4</v>
          </cell>
          <cell r="D1388">
            <v>3</v>
          </cell>
          <cell r="E1388" t="str">
            <v>NON-HS</v>
          </cell>
          <cell r="F1388" t="str">
            <v>Sherman Oaks</v>
          </cell>
          <cell r="G1388">
            <v>0</v>
          </cell>
          <cell r="H1388">
            <v>1</v>
          </cell>
          <cell r="I1388">
            <v>1.8080000000000001</v>
          </cell>
          <cell r="J1388">
            <v>1.73313217</v>
          </cell>
          <cell r="K1388">
            <v>1.73313217</v>
          </cell>
          <cell r="L1388">
            <v>7.4985510287253102E-2</v>
          </cell>
          <cell r="M1388">
            <v>1.8081176802872501</v>
          </cell>
          <cell r="N1388">
            <v>2.2140221402214E-2</v>
          </cell>
          <cell r="O1388">
            <v>0</v>
          </cell>
          <cell r="P1388">
            <v>5.1660516605166101E-2</v>
          </cell>
          <cell r="Q1388">
            <v>0.31818181818181801</v>
          </cell>
          <cell r="R1388">
            <v>9.3023255813953501E-2</v>
          </cell>
          <cell r="S1388">
            <v>10.75</v>
          </cell>
        </row>
        <row r="1389">
          <cell r="A1389">
            <v>128801</v>
          </cell>
          <cell r="B1389">
            <v>2</v>
          </cell>
          <cell r="C1389">
            <v>4</v>
          </cell>
          <cell r="D1389">
            <v>3</v>
          </cell>
          <cell r="E1389" t="str">
            <v>NON-HS</v>
          </cell>
          <cell r="F1389" t="str">
            <v>Sherman Oaks</v>
          </cell>
          <cell r="G1389">
            <v>0</v>
          </cell>
          <cell r="H1389">
            <v>0</v>
          </cell>
          <cell r="I1389">
            <v>1</v>
          </cell>
          <cell r="J1389">
            <v>0</v>
          </cell>
          <cell r="K1389">
            <v>1</v>
          </cell>
          <cell r="L1389">
            <v>0</v>
          </cell>
          <cell r="M1389">
            <v>1</v>
          </cell>
          <cell r="N1389">
            <v>2.2140221402214E-2</v>
          </cell>
          <cell r="O1389">
            <v>0</v>
          </cell>
          <cell r="P1389">
            <v>5.1660516605166101E-2</v>
          </cell>
          <cell r="Q1389">
            <v>0.31818181818181801</v>
          </cell>
          <cell r="R1389">
            <v>9.3023255813953501E-2</v>
          </cell>
          <cell r="S1389">
            <v>0</v>
          </cell>
        </row>
        <row r="1390">
          <cell r="A1390">
            <v>141102</v>
          </cell>
          <cell r="B1390">
            <v>2</v>
          </cell>
          <cell r="C1390">
            <v>4</v>
          </cell>
          <cell r="D1390">
            <v>3</v>
          </cell>
          <cell r="E1390" t="str">
            <v>NON-HS</v>
          </cell>
          <cell r="F1390" t="str">
            <v>Sherman Oaks</v>
          </cell>
          <cell r="G1390">
            <v>0</v>
          </cell>
          <cell r="H1390">
            <v>0</v>
          </cell>
          <cell r="I1390">
            <v>1</v>
          </cell>
          <cell r="J1390">
            <v>0</v>
          </cell>
          <cell r="K1390">
            <v>1</v>
          </cell>
          <cell r="L1390">
            <v>0</v>
          </cell>
          <cell r="M1390">
            <v>1</v>
          </cell>
          <cell r="N1390">
            <v>2.2140221402214E-2</v>
          </cell>
          <cell r="O1390">
            <v>0</v>
          </cell>
          <cell r="P1390">
            <v>5.1660516605166101E-2</v>
          </cell>
          <cell r="Q1390">
            <v>0.31818181818181801</v>
          </cell>
          <cell r="R1390">
            <v>9.3023255813953501E-2</v>
          </cell>
          <cell r="S1390">
            <v>0</v>
          </cell>
        </row>
        <row r="1391">
          <cell r="A1391">
            <v>143902</v>
          </cell>
          <cell r="B1391">
            <v>2</v>
          </cell>
          <cell r="C1391">
            <v>4</v>
          </cell>
          <cell r="D1391">
            <v>3</v>
          </cell>
          <cell r="E1391" t="str">
            <v>NON-HS</v>
          </cell>
          <cell r="F1391" t="str">
            <v>Studio City</v>
          </cell>
          <cell r="G1391">
            <v>0</v>
          </cell>
          <cell r="H1391">
            <v>0</v>
          </cell>
          <cell r="I1391">
            <v>4.4059999999999997</v>
          </cell>
          <cell r="J1391">
            <v>3.3625832400000002</v>
          </cell>
          <cell r="K1391">
            <v>4.3625832400000002</v>
          </cell>
          <cell r="L1391">
            <v>4.2983863518851001E-2</v>
          </cell>
          <cell r="M1391">
            <v>4.4055671035188499</v>
          </cell>
          <cell r="N1391">
            <v>2.2140221402214E-2</v>
          </cell>
          <cell r="O1391">
            <v>0</v>
          </cell>
          <cell r="P1391">
            <v>5.1660516605166101E-2</v>
          </cell>
          <cell r="Q1391">
            <v>0.31818181818181801</v>
          </cell>
          <cell r="R1391">
            <v>9.3023255813953501E-2</v>
          </cell>
          <cell r="S1391">
            <v>0</v>
          </cell>
        </row>
        <row r="1392">
          <cell r="A1392">
            <v>141302</v>
          </cell>
          <cell r="B1392">
            <v>2</v>
          </cell>
          <cell r="C1392">
            <v>4</v>
          </cell>
          <cell r="D1392">
            <v>3</v>
          </cell>
          <cell r="E1392" t="str">
            <v>NON-HS</v>
          </cell>
          <cell r="F1392" t="str">
            <v>Sherman Oaks</v>
          </cell>
          <cell r="G1392">
            <v>0</v>
          </cell>
          <cell r="H1392">
            <v>0</v>
          </cell>
          <cell r="I1392">
            <v>6.8289999999999997</v>
          </cell>
          <cell r="J1392">
            <v>5.6217117700000001</v>
          </cell>
          <cell r="K1392">
            <v>6.6217117700000001</v>
          </cell>
          <cell r="L1392">
            <v>0.20678343375224401</v>
          </cell>
          <cell r="M1392">
            <v>6.8284952037522402</v>
          </cell>
          <cell r="N1392">
            <v>2.2140221402214E-2</v>
          </cell>
          <cell r="O1392">
            <v>0</v>
          </cell>
          <cell r="P1392">
            <v>5.1660516605166101E-2</v>
          </cell>
          <cell r="Q1392">
            <v>0.31818181818181801</v>
          </cell>
          <cell r="R1392">
            <v>9.3023255813953501E-2</v>
          </cell>
          <cell r="S1392">
            <v>0</v>
          </cell>
        </row>
        <row r="1393">
          <cell r="A1393">
            <v>128602</v>
          </cell>
          <cell r="B1393">
            <v>2</v>
          </cell>
          <cell r="C1393">
            <v>4</v>
          </cell>
          <cell r="D1393">
            <v>3</v>
          </cell>
          <cell r="E1393" t="str">
            <v>NON-HS</v>
          </cell>
          <cell r="F1393" t="str">
            <v>Sherman Oaks</v>
          </cell>
          <cell r="G1393">
            <v>0</v>
          </cell>
          <cell r="H1393">
            <v>0</v>
          </cell>
          <cell r="I1393">
            <v>2</v>
          </cell>
          <cell r="J1393">
            <v>0</v>
          </cell>
          <cell r="K1393">
            <v>2</v>
          </cell>
          <cell r="L1393">
            <v>0</v>
          </cell>
          <cell r="M1393">
            <v>2</v>
          </cell>
          <cell r="N1393">
            <v>2.2140221402214E-2</v>
          </cell>
          <cell r="O1393">
            <v>0</v>
          </cell>
          <cell r="P1393">
            <v>5.1660516605166101E-2</v>
          </cell>
          <cell r="Q1393">
            <v>0.31818181818181801</v>
          </cell>
          <cell r="R1393">
            <v>9.3023255813953501E-2</v>
          </cell>
          <cell r="S1393">
            <v>0</v>
          </cell>
        </row>
        <row r="1394">
          <cell r="A1394">
            <v>125600</v>
          </cell>
          <cell r="B1394">
            <v>2</v>
          </cell>
          <cell r="C1394">
            <v>4</v>
          </cell>
          <cell r="D1394">
            <v>3</v>
          </cell>
          <cell r="E1394" t="str">
            <v>NON-HS</v>
          </cell>
          <cell r="F1394" t="str">
            <v>North Hollywood</v>
          </cell>
          <cell r="G1394">
            <v>0</v>
          </cell>
          <cell r="H1394">
            <v>0</v>
          </cell>
          <cell r="I1394">
            <v>7.2320000000000002</v>
          </cell>
          <cell r="J1394">
            <v>6.9325286799999999</v>
          </cell>
          <cell r="K1394">
            <v>6.9325286799999999</v>
          </cell>
          <cell r="L1394">
            <v>0.29994204114901302</v>
          </cell>
          <cell r="M1394">
            <v>7.23247072114901</v>
          </cell>
          <cell r="N1394">
            <v>2.2140221402214E-2</v>
          </cell>
          <cell r="O1394">
            <v>0</v>
          </cell>
          <cell r="P1394">
            <v>5.1660516605166101E-2</v>
          </cell>
          <cell r="Q1394">
            <v>0.31818181818181801</v>
          </cell>
          <cell r="R1394">
            <v>9.3023255813953501E-2</v>
          </cell>
          <cell r="S1394">
            <v>0</v>
          </cell>
        </row>
        <row r="1395">
          <cell r="A1395">
            <v>192420</v>
          </cell>
          <cell r="B1395">
            <v>4</v>
          </cell>
          <cell r="C1395">
            <v>4</v>
          </cell>
          <cell r="D1395">
            <v>2</v>
          </cell>
          <cell r="E1395" t="str">
            <v>NON-HS</v>
          </cell>
          <cell r="F1395" t="str">
            <v>Miracle Mile</v>
          </cell>
          <cell r="G1395">
            <v>0</v>
          </cell>
          <cell r="H1395">
            <v>0</v>
          </cell>
          <cell r="I1395">
            <v>1</v>
          </cell>
          <cell r="J1395">
            <v>0</v>
          </cell>
          <cell r="K1395">
            <v>1</v>
          </cell>
          <cell r="L1395">
            <v>0</v>
          </cell>
          <cell r="M1395">
            <v>1</v>
          </cell>
          <cell r="N1395">
            <v>2.6315789473684199E-2</v>
          </cell>
          <cell r="O1395">
            <v>0</v>
          </cell>
          <cell r="P1395">
            <v>0.17105263157894701</v>
          </cell>
          <cell r="Q1395">
            <v>0.59090909090909105</v>
          </cell>
          <cell r="R1395">
            <v>9.3023255813953501E-2</v>
          </cell>
          <cell r="S1395">
            <v>0</v>
          </cell>
        </row>
        <row r="1396">
          <cell r="A1396">
            <v>194200</v>
          </cell>
          <cell r="B1396">
            <v>4</v>
          </cell>
          <cell r="C1396">
            <v>4</v>
          </cell>
          <cell r="D1396">
            <v>3</v>
          </cell>
          <cell r="E1396" t="str">
            <v>NON-HS</v>
          </cell>
          <cell r="F1396" t="str">
            <v>Bel Air-Beverly Crest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2.6315789473684199E-2</v>
          </cell>
          <cell r="O1396">
            <v>0</v>
          </cell>
          <cell r="P1396">
            <v>0.17105263157894701</v>
          </cell>
          <cell r="Q1396">
            <v>0.59090909090909105</v>
          </cell>
          <cell r="R1396">
            <v>9.3023255813953501E-2</v>
          </cell>
          <cell r="S1396">
            <v>0</v>
          </cell>
        </row>
        <row r="1397">
          <cell r="A1397">
            <v>216100</v>
          </cell>
          <cell r="B1397">
            <v>4</v>
          </cell>
          <cell r="C1397">
            <v>4</v>
          </cell>
          <cell r="D1397">
            <v>2</v>
          </cell>
          <cell r="E1397" t="str">
            <v>NON-HS</v>
          </cell>
          <cell r="F1397" t="str">
            <v>Miracle Mile</v>
          </cell>
          <cell r="G1397">
            <v>0</v>
          </cell>
          <cell r="H1397">
            <v>0</v>
          </cell>
          <cell r="I1397">
            <v>3.9260000000000002</v>
          </cell>
          <cell r="J1397">
            <v>1.90487994</v>
          </cell>
          <cell r="K1397">
            <v>3.9048799399999998</v>
          </cell>
          <cell r="L1397">
            <v>2.0625322082585301E-2</v>
          </cell>
          <cell r="M1397">
            <v>3.9255052620825901</v>
          </cell>
          <cell r="N1397">
            <v>2.6315789473684199E-2</v>
          </cell>
          <cell r="O1397">
            <v>0</v>
          </cell>
          <cell r="P1397">
            <v>0.17105263157894701</v>
          </cell>
          <cell r="Q1397">
            <v>0.59090909090909105</v>
          </cell>
          <cell r="R1397">
            <v>9.3023255813953501E-2</v>
          </cell>
          <cell r="S1397">
            <v>0</v>
          </cell>
        </row>
        <row r="1398">
          <cell r="A1398">
            <v>194300</v>
          </cell>
          <cell r="B1398">
            <v>4</v>
          </cell>
          <cell r="C1398">
            <v>4</v>
          </cell>
          <cell r="D1398">
            <v>3</v>
          </cell>
          <cell r="E1398" t="str">
            <v>NON-HS</v>
          </cell>
          <cell r="F1398" t="str">
            <v>Bel Air-Beverly Crest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2.6315789473684199E-2</v>
          </cell>
          <cell r="O1398">
            <v>0</v>
          </cell>
          <cell r="P1398">
            <v>0.17105263157894701</v>
          </cell>
          <cell r="Q1398">
            <v>0.59090909090909105</v>
          </cell>
          <cell r="R1398">
            <v>9.3023255813953501E-2</v>
          </cell>
          <cell r="S1398">
            <v>0</v>
          </cell>
        </row>
        <row r="1399">
          <cell r="A1399">
            <v>195202</v>
          </cell>
          <cell r="B1399">
            <v>4</v>
          </cell>
          <cell r="C1399">
            <v>4</v>
          </cell>
          <cell r="D1399">
            <v>3</v>
          </cell>
          <cell r="E1399" t="str">
            <v>NON-HS</v>
          </cell>
          <cell r="F1399" t="str">
            <v>Los Feliz</v>
          </cell>
          <cell r="G1399">
            <v>0</v>
          </cell>
          <cell r="H1399">
            <v>0</v>
          </cell>
          <cell r="I1399">
            <v>3.6859999999999999</v>
          </cell>
          <cell r="J1399">
            <v>3.4228962300000001</v>
          </cell>
          <cell r="K1399">
            <v>3.4228962300000001</v>
          </cell>
          <cell r="L1399">
            <v>0.26262460752244199</v>
          </cell>
          <cell r="M1399">
            <v>3.6855208375224402</v>
          </cell>
          <cell r="N1399">
            <v>2.6315789473684199E-2</v>
          </cell>
          <cell r="O1399">
            <v>0</v>
          </cell>
          <cell r="P1399">
            <v>0.17105263157894701</v>
          </cell>
          <cell r="Q1399">
            <v>0.59090909090909105</v>
          </cell>
          <cell r="R1399">
            <v>9.3023255813953501E-2</v>
          </cell>
          <cell r="S1399">
            <v>0</v>
          </cell>
        </row>
        <row r="1400">
          <cell r="A1400">
            <v>195201</v>
          </cell>
          <cell r="B1400">
            <v>4</v>
          </cell>
          <cell r="C1400">
            <v>4</v>
          </cell>
          <cell r="D1400">
            <v>3</v>
          </cell>
          <cell r="E1400" t="str">
            <v>NON-HS</v>
          </cell>
          <cell r="F1400" t="str">
            <v>Los Feliz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2.6315789473684199E-2</v>
          </cell>
          <cell r="O1400">
            <v>0</v>
          </cell>
          <cell r="P1400">
            <v>0.17105263157894701</v>
          </cell>
          <cell r="Q1400">
            <v>0.59090909090909105</v>
          </cell>
          <cell r="R1400">
            <v>9.3023255813953501E-2</v>
          </cell>
          <cell r="S1400">
            <v>0</v>
          </cell>
        </row>
        <row r="1401">
          <cell r="A1401">
            <v>194102</v>
          </cell>
          <cell r="B1401">
            <v>4</v>
          </cell>
          <cell r="C1401">
            <v>4</v>
          </cell>
          <cell r="D1401">
            <v>3</v>
          </cell>
          <cell r="E1401" t="str">
            <v>NON-HS</v>
          </cell>
          <cell r="F1401" t="str">
            <v>Hollywood Hills West</v>
          </cell>
          <cell r="G1401">
            <v>0</v>
          </cell>
          <cell r="H1401">
            <v>0</v>
          </cell>
          <cell r="I1401">
            <v>15.278</v>
          </cell>
          <cell r="J1401">
            <v>14.0011907</v>
          </cell>
          <cell r="K1401">
            <v>15.0011907</v>
          </cell>
          <cell r="L1401">
            <v>0.277189391777379</v>
          </cell>
          <cell r="M1401">
            <v>15.2783800917774</v>
          </cell>
          <cell r="N1401">
            <v>2.6315789473684199E-2</v>
          </cell>
          <cell r="O1401">
            <v>0</v>
          </cell>
          <cell r="P1401">
            <v>0.17105263157894701</v>
          </cell>
          <cell r="Q1401">
            <v>0.59090909090909105</v>
          </cell>
          <cell r="R1401">
            <v>9.3023255813953501E-2</v>
          </cell>
          <cell r="S1401">
            <v>0</v>
          </cell>
        </row>
        <row r="1402">
          <cell r="A1402">
            <v>211703</v>
          </cell>
          <cell r="B1402">
            <v>4</v>
          </cell>
          <cell r="C1402">
            <v>4</v>
          </cell>
          <cell r="D1402">
            <v>2</v>
          </cell>
          <cell r="E1402" t="str">
            <v>NON-HS</v>
          </cell>
          <cell r="F1402" t="str">
            <v>Miracle Mile</v>
          </cell>
          <cell r="G1402">
            <v>0</v>
          </cell>
          <cell r="H1402">
            <v>0</v>
          </cell>
          <cell r="I1402">
            <v>7.7770000000000001</v>
          </cell>
          <cell r="J1402">
            <v>5.7146398200000004</v>
          </cell>
          <cell r="K1402">
            <v>7.7146398200000004</v>
          </cell>
          <cell r="L1402">
            <v>6.18759662477558E-2</v>
          </cell>
          <cell r="M1402">
            <v>7.7765157862477601</v>
          </cell>
          <cell r="N1402">
            <v>2.6315789473684199E-2</v>
          </cell>
          <cell r="O1402">
            <v>0</v>
          </cell>
          <cell r="P1402">
            <v>0.17105263157894701</v>
          </cell>
          <cell r="Q1402">
            <v>0.59090909090909105</v>
          </cell>
          <cell r="R1402">
            <v>9.3023255813953501E-2</v>
          </cell>
          <cell r="S1402">
            <v>0</v>
          </cell>
        </row>
        <row r="1403">
          <cell r="A1403">
            <v>192300</v>
          </cell>
          <cell r="B1403">
            <v>4</v>
          </cell>
          <cell r="C1403">
            <v>4</v>
          </cell>
          <cell r="D1403">
            <v>3</v>
          </cell>
          <cell r="E1403" t="str">
            <v>NON-HS</v>
          </cell>
          <cell r="F1403" t="str">
            <v>Miracle Mile</v>
          </cell>
          <cell r="G1403">
            <v>0</v>
          </cell>
          <cell r="H1403">
            <v>0</v>
          </cell>
          <cell r="I1403">
            <v>5</v>
          </cell>
          <cell r="J1403">
            <v>0</v>
          </cell>
          <cell r="K1403">
            <v>5</v>
          </cell>
          <cell r="L1403">
            <v>0</v>
          </cell>
          <cell r="M1403">
            <v>5</v>
          </cell>
          <cell r="N1403">
            <v>2.6315789473684199E-2</v>
          </cell>
          <cell r="O1403">
            <v>0</v>
          </cell>
          <cell r="P1403">
            <v>0.17105263157894701</v>
          </cell>
          <cell r="Q1403">
            <v>0.59090909090909105</v>
          </cell>
          <cell r="R1403">
            <v>9.3023255813953501E-2</v>
          </cell>
          <cell r="S1403">
            <v>0</v>
          </cell>
        </row>
        <row r="1404">
          <cell r="A1404">
            <v>188202</v>
          </cell>
          <cell r="B1404">
            <v>4</v>
          </cell>
          <cell r="C1404">
            <v>4</v>
          </cell>
          <cell r="D1404">
            <v>3</v>
          </cell>
          <cell r="E1404" t="str">
            <v>NON-HS</v>
          </cell>
          <cell r="F1404" t="str">
            <v>Los Feliz</v>
          </cell>
          <cell r="G1404">
            <v>0</v>
          </cell>
          <cell r="H1404">
            <v>0</v>
          </cell>
          <cell r="I1404">
            <v>3</v>
          </cell>
          <cell r="J1404">
            <v>0</v>
          </cell>
          <cell r="K1404">
            <v>3</v>
          </cell>
          <cell r="L1404">
            <v>0</v>
          </cell>
          <cell r="M1404">
            <v>3</v>
          </cell>
          <cell r="N1404">
            <v>2.6315789473684199E-2</v>
          </cell>
          <cell r="O1404">
            <v>0</v>
          </cell>
          <cell r="P1404">
            <v>0.17105263157894701</v>
          </cell>
          <cell r="Q1404">
            <v>0.59090909090909105</v>
          </cell>
          <cell r="R1404">
            <v>9.3023255813953501E-2</v>
          </cell>
          <cell r="S1404">
            <v>0</v>
          </cell>
        </row>
        <row r="1405">
          <cell r="A1405">
            <v>188201</v>
          </cell>
          <cell r="B1405">
            <v>4</v>
          </cell>
          <cell r="C1405">
            <v>4</v>
          </cell>
          <cell r="D1405">
            <v>3</v>
          </cell>
          <cell r="E1405" t="str">
            <v>NON-HS</v>
          </cell>
          <cell r="F1405" t="str">
            <v>Los Feliz</v>
          </cell>
          <cell r="G1405">
            <v>0</v>
          </cell>
          <cell r="H1405">
            <v>0</v>
          </cell>
          <cell r="I1405">
            <v>5.399</v>
          </cell>
          <cell r="J1405">
            <v>3.1723287400000002</v>
          </cell>
          <cell r="K1405">
            <v>5.1723287400000002</v>
          </cell>
          <cell r="L1405">
            <v>0.22643751642728899</v>
          </cell>
          <cell r="M1405">
            <v>5.3987662564272902</v>
          </cell>
          <cell r="N1405">
            <v>2.6315789473684199E-2</v>
          </cell>
          <cell r="O1405">
            <v>0</v>
          </cell>
          <cell r="P1405">
            <v>0.17105263157894701</v>
          </cell>
          <cell r="Q1405">
            <v>0.59090909090909105</v>
          </cell>
          <cell r="R1405">
            <v>9.3023255813953501E-2</v>
          </cell>
          <cell r="S1405">
            <v>0</v>
          </cell>
        </row>
        <row r="1406">
          <cell r="A1406">
            <v>189202</v>
          </cell>
          <cell r="B1406">
            <v>4</v>
          </cell>
          <cell r="C1406">
            <v>4</v>
          </cell>
          <cell r="D1406">
            <v>3</v>
          </cell>
          <cell r="E1406" t="str">
            <v>NON-HS</v>
          </cell>
          <cell r="F1406" t="str">
            <v>Los Feliz</v>
          </cell>
          <cell r="G1406">
            <v>0</v>
          </cell>
          <cell r="H1406">
            <v>0</v>
          </cell>
          <cell r="I1406">
            <v>3.6160000000000001</v>
          </cell>
          <cell r="J1406">
            <v>3.4662643399999999</v>
          </cell>
          <cell r="K1406">
            <v>3.4662643399999999</v>
          </cell>
          <cell r="L1406">
            <v>0.14997102057450601</v>
          </cell>
          <cell r="M1406">
            <v>3.6162353605745099</v>
          </cell>
          <cell r="N1406">
            <v>2.6315789473684199E-2</v>
          </cell>
          <cell r="O1406">
            <v>0</v>
          </cell>
          <cell r="P1406">
            <v>0.17105263157894701</v>
          </cell>
          <cell r="Q1406">
            <v>0.59090909090909105</v>
          </cell>
          <cell r="R1406">
            <v>9.3023255813953501E-2</v>
          </cell>
          <cell r="S1406">
            <v>0</v>
          </cell>
        </row>
        <row r="1407">
          <cell r="A1407">
            <v>189201</v>
          </cell>
          <cell r="B1407">
            <v>4</v>
          </cell>
          <cell r="C1407">
            <v>4</v>
          </cell>
          <cell r="D1407">
            <v>3</v>
          </cell>
          <cell r="E1407" t="str">
            <v>NON-HS</v>
          </cell>
          <cell r="F1407" t="str">
            <v>Los Feliz</v>
          </cell>
          <cell r="G1407">
            <v>0</v>
          </cell>
          <cell r="H1407">
            <v>0</v>
          </cell>
          <cell r="I1407">
            <v>19.295999999999999</v>
          </cell>
          <cell r="J1407">
            <v>12.897735989999999</v>
          </cell>
          <cell r="K1407">
            <v>18.897735990000001</v>
          </cell>
          <cell r="L1407">
            <v>0.39800509849192101</v>
          </cell>
          <cell r="M1407">
            <v>19.295741088491901</v>
          </cell>
          <cell r="N1407">
            <v>2.6315789473684199E-2</v>
          </cell>
          <cell r="O1407">
            <v>0</v>
          </cell>
          <cell r="P1407">
            <v>0.17105263157894701</v>
          </cell>
          <cell r="Q1407">
            <v>0.59090909090909105</v>
          </cell>
          <cell r="R1407">
            <v>9.3023255813953501E-2</v>
          </cell>
          <cell r="S1407">
            <v>0</v>
          </cell>
        </row>
        <row r="1408">
          <cell r="A1408">
            <v>189702</v>
          </cell>
          <cell r="B1408">
            <v>4</v>
          </cell>
          <cell r="C1408">
            <v>4</v>
          </cell>
          <cell r="D1408">
            <v>3</v>
          </cell>
          <cell r="E1408" t="str">
            <v>NON-HS</v>
          </cell>
          <cell r="F1408" t="str">
            <v>Hollywood Hills West</v>
          </cell>
          <cell r="G1408">
            <v>0</v>
          </cell>
          <cell r="H1408">
            <v>1</v>
          </cell>
          <cell r="I1408">
            <v>12.108000000000001</v>
          </cell>
          <cell r="J1408">
            <v>5.0438748599999998</v>
          </cell>
          <cell r="K1408">
            <v>12.043874860000001</v>
          </cell>
          <cell r="L1408">
            <v>6.4475795278276501E-2</v>
          </cell>
          <cell r="M1408">
            <v>12.108350655278301</v>
          </cell>
          <cell r="N1408">
            <v>2.6315789473684199E-2</v>
          </cell>
          <cell r="O1408">
            <v>0</v>
          </cell>
          <cell r="P1408">
            <v>0.17105263157894701</v>
          </cell>
          <cell r="Q1408">
            <v>0.59090909090909105</v>
          </cell>
          <cell r="R1408">
            <v>9.3023255813953501E-2</v>
          </cell>
          <cell r="S1408">
            <v>10.75</v>
          </cell>
        </row>
        <row r="1409">
          <cell r="A1409">
            <v>189902</v>
          </cell>
          <cell r="B1409">
            <v>4</v>
          </cell>
          <cell r="C1409">
            <v>4</v>
          </cell>
          <cell r="D1409">
            <v>3</v>
          </cell>
          <cell r="E1409" t="str">
            <v>NON-HS</v>
          </cell>
          <cell r="F1409" t="str">
            <v>Hollywood Hills West</v>
          </cell>
          <cell r="G1409">
            <v>0</v>
          </cell>
          <cell r="H1409">
            <v>1</v>
          </cell>
          <cell r="I1409">
            <v>9.734</v>
          </cell>
          <cell r="J1409">
            <v>3.63801211</v>
          </cell>
          <cell r="K1409">
            <v>9.63801211</v>
          </cell>
          <cell r="L1409">
            <v>9.5610832369838403E-2</v>
          </cell>
          <cell r="M1409">
            <v>9.7336229423698395</v>
          </cell>
          <cell r="N1409">
            <v>2.6315789473684199E-2</v>
          </cell>
          <cell r="O1409">
            <v>0</v>
          </cell>
          <cell r="P1409">
            <v>0.17105263157894701</v>
          </cell>
          <cell r="Q1409">
            <v>0.59090909090909105</v>
          </cell>
          <cell r="R1409">
            <v>9.3023255813953501E-2</v>
          </cell>
          <cell r="S1409">
            <v>10.75</v>
          </cell>
        </row>
        <row r="1410">
          <cell r="A1410">
            <v>216200</v>
          </cell>
          <cell r="B1410">
            <v>4</v>
          </cell>
          <cell r="C1410">
            <v>4</v>
          </cell>
          <cell r="D1410">
            <v>2</v>
          </cell>
          <cell r="E1410" t="str">
            <v>NON-HS</v>
          </cell>
          <cell r="F1410" t="str">
            <v>Mid-City West</v>
          </cell>
          <cell r="G1410">
            <v>0</v>
          </cell>
          <cell r="H1410">
            <v>0</v>
          </cell>
          <cell r="I1410">
            <v>3.0950000000000002</v>
          </cell>
          <cell r="J1410">
            <v>1.9836996600000001</v>
          </cell>
          <cell r="K1410">
            <v>2.9836996600000001</v>
          </cell>
          <cell r="L1410">
            <v>0.11117260138240601</v>
          </cell>
          <cell r="M1410">
            <v>3.09487226138241</v>
          </cell>
          <cell r="N1410">
            <v>2.6315789473684199E-2</v>
          </cell>
          <cell r="O1410">
            <v>0</v>
          </cell>
          <cell r="P1410">
            <v>0.17105263157894701</v>
          </cell>
          <cell r="Q1410">
            <v>0.59090909090909105</v>
          </cell>
          <cell r="R1410">
            <v>9.3023255813953501E-2</v>
          </cell>
          <cell r="S1410">
            <v>0</v>
          </cell>
        </row>
        <row r="1411">
          <cell r="A1411">
            <v>212702</v>
          </cell>
          <cell r="B1411">
            <v>4</v>
          </cell>
          <cell r="C1411">
            <v>4</v>
          </cell>
          <cell r="D1411">
            <v>2</v>
          </cell>
          <cell r="E1411" t="str">
            <v>NON-HS</v>
          </cell>
          <cell r="F1411" t="str">
            <v>Miracle Mile</v>
          </cell>
          <cell r="G1411">
            <v>0</v>
          </cell>
          <cell r="H1411">
            <v>0</v>
          </cell>
          <cell r="I1411">
            <v>3.903</v>
          </cell>
          <cell r="J1411">
            <v>3.7168318299999998</v>
          </cell>
          <cell r="K1411">
            <v>3.7168318299999998</v>
          </cell>
          <cell r="L1411">
            <v>0.18615811166965901</v>
          </cell>
          <cell r="M1411">
            <v>3.9029899416696598</v>
          </cell>
          <cell r="N1411">
            <v>2.6315789473684199E-2</v>
          </cell>
          <cell r="O1411">
            <v>0</v>
          </cell>
          <cell r="P1411">
            <v>0.17105263157894701</v>
          </cell>
          <cell r="Q1411">
            <v>0.59090909090909105</v>
          </cell>
          <cell r="R1411">
            <v>9.3023255813953501E-2</v>
          </cell>
          <cell r="S1411">
            <v>0</v>
          </cell>
        </row>
        <row r="1412">
          <cell r="A1412">
            <v>211500</v>
          </cell>
          <cell r="B1412">
            <v>4</v>
          </cell>
          <cell r="C1412">
            <v>4</v>
          </cell>
          <cell r="D1412">
            <v>3</v>
          </cell>
          <cell r="E1412" t="str">
            <v>NON-HS</v>
          </cell>
          <cell r="F1412" t="str">
            <v>Miracle Mile</v>
          </cell>
          <cell r="G1412">
            <v>0</v>
          </cell>
          <cell r="H1412">
            <v>0</v>
          </cell>
          <cell r="I1412">
            <v>9.48</v>
          </cell>
          <cell r="J1412">
            <v>7.39593144</v>
          </cell>
          <cell r="K1412">
            <v>9.39593144</v>
          </cell>
          <cell r="L1412">
            <v>8.3367898007181293E-2</v>
          </cell>
          <cell r="M1412">
            <v>9.4792993380071806</v>
          </cell>
          <cell r="N1412">
            <v>2.6315789473684199E-2</v>
          </cell>
          <cell r="O1412">
            <v>0</v>
          </cell>
          <cell r="P1412">
            <v>0.17105263157894701</v>
          </cell>
          <cell r="Q1412">
            <v>0.59090909090909105</v>
          </cell>
          <cell r="R1412">
            <v>9.3023255813953501E-2</v>
          </cell>
          <cell r="S1412">
            <v>0</v>
          </cell>
        </row>
        <row r="1413">
          <cell r="A1413">
            <v>212620</v>
          </cell>
          <cell r="B1413">
            <v>4</v>
          </cell>
          <cell r="C1413">
            <v>4</v>
          </cell>
          <cell r="D1413">
            <v>2</v>
          </cell>
          <cell r="E1413" t="str">
            <v>NON-HS</v>
          </cell>
          <cell r="F1413" t="str">
            <v>Miracle Mile</v>
          </cell>
          <cell r="G1413">
            <v>0</v>
          </cell>
          <cell r="H1413">
            <v>0</v>
          </cell>
          <cell r="I1413">
            <v>2.8079999999999998</v>
          </cell>
          <cell r="J1413">
            <v>1.73313217</v>
          </cell>
          <cell r="K1413">
            <v>2.7331321700000002</v>
          </cell>
          <cell r="L1413">
            <v>7.4985510287253102E-2</v>
          </cell>
          <cell r="M1413">
            <v>2.8081176802872498</v>
          </cell>
          <cell r="N1413">
            <v>2.6315789473684199E-2</v>
          </cell>
          <cell r="O1413">
            <v>0</v>
          </cell>
          <cell r="P1413">
            <v>0.17105263157894701</v>
          </cell>
          <cell r="Q1413">
            <v>0.59090909090909105</v>
          </cell>
          <cell r="R1413">
            <v>9.3023255813953501E-2</v>
          </cell>
          <cell r="S1413">
            <v>0</v>
          </cell>
        </row>
        <row r="1414">
          <cell r="A1414">
            <v>214503</v>
          </cell>
          <cell r="B1414">
            <v>4</v>
          </cell>
          <cell r="C1414">
            <v>4</v>
          </cell>
          <cell r="D1414">
            <v>3</v>
          </cell>
          <cell r="E1414" t="str">
            <v>NON-HS</v>
          </cell>
          <cell r="F1414" t="str">
            <v>Mid-City West</v>
          </cell>
          <cell r="G1414">
            <v>0</v>
          </cell>
          <cell r="H1414">
            <v>0</v>
          </cell>
          <cell r="I1414">
            <v>2</v>
          </cell>
          <cell r="J1414">
            <v>0</v>
          </cell>
          <cell r="K1414">
            <v>2</v>
          </cell>
          <cell r="L1414">
            <v>0</v>
          </cell>
          <cell r="M1414">
            <v>2</v>
          </cell>
          <cell r="N1414">
            <v>2.6315789473684199E-2</v>
          </cell>
          <cell r="O1414">
            <v>0</v>
          </cell>
          <cell r="P1414">
            <v>0.17105263157894701</v>
          </cell>
          <cell r="Q1414">
            <v>0.59090909090909105</v>
          </cell>
          <cell r="R1414">
            <v>9.3023255813953501E-2</v>
          </cell>
          <cell r="S1414">
            <v>0</v>
          </cell>
        </row>
        <row r="1415">
          <cell r="A1415">
            <v>189903</v>
          </cell>
          <cell r="B1415">
            <v>4</v>
          </cell>
          <cell r="C1415">
            <v>4</v>
          </cell>
          <cell r="D1415">
            <v>3</v>
          </cell>
          <cell r="E1415" t="str">
            <v>NON-HS</v>
          </cell>
          <cell r="F1415" t="str">
            <v>Hollywood Hills West</v>
          </cell>
          <cell r="G1415">
            <v>0</v>
          </cell>
          <cell r="H1415">
            <v>1</v>
          </cell>
          <cell r="I1415">
            <v>3</v>
          </cell>
          <cell r="J1415">
            <v>0</v>
          </cell>
          <cell r="K1415">
            <v>3</v>
          </cell>
          <cell r="L1415">
            <v>0</v>
          </cell>
          <cell r="M1415">
            <v>3</v>
          </cell>
          <cell r="N1415">
            <v>2.6315789473684199E-2</v>
          </cell>
          <cell r="O1415">
            <v>0</v>
          </cell>
          <cell r="P1415">
            <v>0.17105263157894701</v>
          </cell>
          <cell r="Q1415">
            <v>0.59090909090909105</v>
          </cell>
          <cell r="R1415">
            <v>9.3023255813953501E-2</v>
          </cell>
          <cell r="S1415">
            <v>10.75</v>
          </cell>
        </row>
        <row r="1416">
          <cell r="A1416">
            <v>192410</v>
          </cell>
          <cell r="B1416">
            <v>4</v>
          </cell>
          <cell r="C1416">
            <v>4</v>
          </cell>
          <cell r="D1416">
            <v>3</v>
          </cell>
          <cell r="E1416" t="str">
            <v>NON-HS</v>
          </cell>
          <cell r="F1416" t="str">
            <v>Miracle Mile</v>
          </cell>
          <cell r="G1416">
            <v>0</v>
          </cell>
          <cell r="H1416">
            <v>0</v>
          </cell>
          <cell r="I1416">
            <v>4</v>
          </cell>
          <cell r="J1416">
            <v>0</v>
          </cell>
          <cell r="K1416">
            <v>4</v>
          </cell>
          <cell r="L1416">
            <v>0</v>
          </cell>
          <cell r="M1416">
            <v>4</v>
          </cell>
          <cell r="N1416">
            <v>2.6315789473684199E-2</v>
          </cell>
          <cell r="O1416">
            <v>0</v>
          </cell>
          <cell r="P1416">
            <v>0.17105263157894701</v>
          </cell>
          <cell r="Q1416">
            <v>0.59090909090909105</v>
          </cell>
          <cell r="R1416">
            <v>9.3023255813953501E-2</v>
          </cell>
          <cell r="S1416">
            <v>0</v>
          </cell>
        </row>
        <row r="1417">
          <cell r="A1417">
            <v>189102</v>
          </cell>
          <cell r="B1417">
            <v>4</v>
          </cell>
          <cell r="C1417">
            <v>4</v>
          </cell>
          <cell r="D1417">
            <v>3</v>
          </cell>
          <cell r="E1417" t="str">
            <v>NON-HS</v>
          </cell>
          <cell r="F1417" t="str">
            <v>Los Feliz</v>
          </cell>
          <cell r="G1417">
            <v>0</v>
          </cell>
          <cell r="H1417">
            <v>0</v>
          </cell>
          <cell r="I1417">
            <v>5</v>
          </cell>
          <cell r="J1417">
            <v>0</v>
          </cell>
          <cell r="K1417">
            <v>5</v>
          </cell>
          <cell r="L1417">
            <v>0</v>
          </cell>
          <cell r="M1417">
            <v>5</v>
          </cell>
          <cell r="N1417">
            <v>2.6315789473684199E-2</v>
          </cell>
          <cell r="O1417">
            <v>0</v>
          </cell>
          <cell r="P1417">
            <v>0.17105263157894701</v>
          </cell>
          <cell r="Q1417">
            <v>0.59090909090909105</v>
          </cell>
          <cell r="R1417">
            <v>9.3023255813953501E-2</v>
          </cell>
          <cell r="S1417">
            <v>0</v>
          </cell>
        </row>
        <row r="1418">
          <cell r="A1418">
            <v>212701</v>
          </cell>
          <cell r="B1418">
            <v>4</v>
          </cell>
          <cell r="C1418">
            <v>4</v>
          </cell>
          <cell r="D1418">
            <v>2</v>
          </cell>
          <cell r="E1418" t="str">
            <v>NON-HS</v>
          </cell>
          <cell r="F1418" t="str">
            <v>Miracle Mile</v>
          </cell>
          <cell r="G1418">
            <v>0</v>
          </cell>
          <cell r="H1418">
            <v>0</v>
          </cell>
          <cell r="I1418">
            <v>3.903</v>
          </cell>
          <cell r="J1418">
            <v>3.7168318299999998</v>
          </cell>
          <cell r="K1418">
            <v>3.7168318299999998</v>
          </cell>
          <cell r="L1418">
            <v>0.18615811166965901</v>
          </cell>
          <cell r="M1418">
            <v>3.9029899416696598</v>
          </cell>
          <cell r="N1418">
            <v>2.6315789473684199E-2</v>
          </cell>
          <cell r="O1418">
            <v>0</v>
          </cell>
          <cell r="P1418">
            <v>0.17105263157894701</v>
          </cell>
          <cell r="Q1418">
            <v>0.59090909090909105</v>
          </cell>
          <cell r="R1418">
            <v>9.3023255813953501E-2</v>
          </cell>
          <cell r="S1418">
            <v>0</v>
          </cell>
        </row>
        <row r="1419">
          <cell r="A1419">
            <v>211701</v>
          </cell>
          <cell r="B1419">
            <v>4</v>
          </cell>
          <cell r="C1419">
            <v>4</v>
          </cell>
          <cell r="D1419">
            <v>3</v>
          </cell>
          <cell r="E1419" t="str">
            <v>NON-HS</v>
          </cell>
          <cell r="F1419" t="str">
            <v>Miracle Mile</v>
          </cell>
          <cell r="G1419">
            <v>0</v>
          </cell>
          <cell r="H1419">
            <v>0</v>
          </cell>
          <cell r="I1419">
            <v>2.9260000000000002</v>
          </cell>
          <cell r="J1419">
            <v>1.90487994</v>
          </cell>
          <cell r="K1419">
            <v>2.9048799399999998</v>
          </cell>
          <cell r="L1419">
            <v>2.0625322082585301E-2</v>
          </cell>
          <cell r="M1419">
            <v>2.9255052620825901</v>
          </cell>
          <cell r="N1419">
            <v>2.6315789473684199E-2</v>
          </cell>
          <cell r="O1419">
            <v>0</v>
          </cell>
          <cell r="P1419">
            <v>0.17105263157894701</v>
          </cell>
          <cell r="Q1419">
            <v>0.59090909090909105</v>
          </cell>
          <cell r="R1419">
            <v>9.3023255813953501E-2</v>
          </cell>
          <cell r="S1419">
            <v>0</v>
          </cell>
        </row>
        <row r="1420">
          <cell r="A1420">
            <v>214502</v>
          </cell>
          <cell r="B1420">
            <v>4</v>
          </cell>
          <cell r="C1420">
            <v>4</v>
          </cell>
          <cell r="D1420">
            <v>3</v>
          </cell>
          <cell r="E1420" t="str">
            <v>NON-HS</v>
          </cell>
          <cell r="F1420" t="str">
            <v>Mid-City West</v>
          </cell>
          <cell r="G1420">
            <v>0</v>
          </cell>
          <cell r="H1420">
            <v>0</v>
          </cell>
          <cell r="I1420">
            <v>2.9260000000000002</v>
          </cell>
          <cell r="J1420">
            <v>1.90487994</v>
          </cell>
          <cell r="K1420">
            <v>2.9048799399999998</v>
          </cell>
          <cell r="L1420">
            <v>2.0625322082585301E-2</v>
          </cell>
          <cell r="M1420">
            <v>2.9255052620825901</v>
          </cell>
          <cell r="N1420">
            <v>2.6315789473684199E-2</v>
          </cell>
          <cell r="O1420">
            <v>0</v>
          </cell>
          <cell r="P1420">
            <v>0.17105263157894701</v>
          </cell>
          <cell r="Q1420">
            <v>0.59090909090909105</v>
          </cell>
          <cell r="R1420">
            <v>9.3023255813953501E-2</v>
          </cell>
          <cell r="S1420">
            <v>0</v>
          </cell>
        </row>
        <row r="1421">
          <cell r="A1421">
            <v>261101</v>
          </cell>
          <cell r="B1421">
            <v>5</v>
          </cell>
          <cell r="C1421">
            <v>4</v>
          </cell>
          <cell r="D1421">
            <v>3</v>
          </cell>
          <cell r="E1421" t="str">
            <v>NON-HS</v>
          </cell>
          <cell r="F1421" t="str">
            <v>Bel Air-Beverly Crest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3.2258064516128997E-2</v>
          </cell>
          <cell r="O1421">
            <v>0</v>
          </cell>
          <cell r="P1421">
            <v>1.0752688172042999E-2</v>
          </cell>
          <cell r="Q1421">
            <v>2.27272727272727E-2</v>
          </cell>
        </row>
        <row r="1422">
          <cell r="A1422">
            <v>189400</v>
          </cell>
          <cell r="B1422">
            <v>11</v>
          </cell>
          <cell r="C1422">
            <v>4</v>
          </cell>
          <cell r="D1422">
            <v>3</v>
          </cell>
          <cell r="E1422" t="str">
            <v>NON-HS</v>
          </cell>
          <cell r="F1422" t="str">
            <v>Hollywood</v>
          </cell>
          <cell r="G1422">
            <v>0</v>
          </cell>
          <cell r="H1422">
            <v>0</v>
          </cell>
          <cell r="I1422">
            <v>10.7</v>
          </cell>
          <cell r="J1422">
            <v>10.061489310000001</v>
          </cell>
          <cell r="K1422">
            <v>10.061489310000001</v>
          </cell>
          <cell r="L1422">
            <v>0.63903314452423698</v>
          </cell>
          <cell r="M1422">
            <v>10.700522454524201</v>
          </cell>
          <cell r="N1422">
            <v>7.69230769230769E-2</v>
          </cell>
          <cell r="O1422">
            <v>0</v>
          </cell>
          <cell r="P1422">
            <v>0.230769230769231</v>
          </cell>
          <cell r="Q1422">
            <v>6.8181818181818205E-2</v>
          </cell>
          <cell r="R1422">
            <v>9.3023255813953501E-2</v>
          </cell>
          <cell r="S1422">
            <v>0</v>
          </cell>
        </row>
        <row r="1423">
          <cell r="A1423">
            <v>189500</v>
          </cell>
          <cell r="B1423">
            <v>11</v>
          </cell>
          <cell r="C1423">
            <v>4</v>
          </cell>
          <cell r="D1423">
            <v>3</v>
          </cell>
          <cell r="E1423" t="str">
            <v>NON-HS</v>
          </cell>
          <cell r="F1423" t="str">
            <v>Hollywood</v>
          </cell>
          <cell r="G1423">
            <v>0</v>
          </cell>
          <cell r="H1423">
            <v>0</v>
          </cell>
          <cell r="I1423">
            <v>3.0950000000000002</v>
          </cell>
          <cell r="J1423">
            <v>1.9836996600000001</v>
          </cell>
          <cell r="K1423">
            <v>2.9836996600000001</v>
          </cell>
          <cell r="L1423">
            <v>0.11117260138240601</v>
          </cell>
          <cell r="M1423">
            <v>3.09487226138241</v>
          </cell>
          <cell r="N1423">
            <v>7.69230769230769E-2</v>
          </cell>
          <cell r="O1423">
            <v>0</v>
          </cell>
          <cell r="P1423">
            <v>0.230769230769231</v>
          </cell>
          <cell r="Q1423">
            <v>6.8181818181818205E-2</v>
          </cell>
          <cell r="R1423">
            <v>9.3023255813953501E-2</v>
          </cell>
          <cell r="S1423">
            <v>0</v>
          </cell>
        </row>
        <row r="1424">
          <cell r="A1424">
            <v>189701</v>
          </cell>
          <cell r="B1424">
            <v>11</v>
          </cell>
          <cell r="C1424">
            <v>4</v>
          </cell>
          <cell r="D1424">
            <v>3</v>
          </cell>
          <cell r="E1424" t="str">
            <v>NON-HS</v>
          </cell>
          <cell r="F1424" t="str">
            <v>Hollywood</v>
          </cell>
          <cell r="G1424">
            <v>0</v>
          </cell>
          <cell r="H1424">
            <v>0</v>
          </cell>
          <cell r="I1424">
            <v>9.9589999999999996</v>
          </cell>
          <cell r="J1424">
            <v>8.8536347400000004</v>
          </cell>
          <cell r="K1424">
            <v>9.8536347400000004</v>
          </cell>
          <cell r="L1424">
            <v>0.10572643944344701</v>
          </cell>
          <cell r="M1424">
            <v>9.9593611794434498</v>
          </cell>
          <cell r="N1424">
            <v>7.69230769230769E-2</v>
          </cell>
          <cell r="O1424">
            <v>0</v>
          </cell>
          <cell r="P1424">
            <v>0.230769230769231</v>
          </cell>
          <cell r="Q1424">
            <v>6.8181818181818205E-2</v>
          </cell>
          <cell r="R1424">
            <v>9.3023255813953501E-2</v>
          </cell>
          <cell r="S1424">
            <v>0</v>
          </cell>
        </row>
        <row r="1425">
          <cell r="A1425">
            <v>194500</v>
          </cell>
          <cell r="B1425">
            <v>4</v>
          </cell>
          <cell r="C1425">
            <v>5</v>
          </cell>
          <cell r="D1425">
            <v>3</v>
          </cell>
          <cell r="E1425" t="str">
            <v>CVCTE</v>
          </cell>
          <cell r="F1425" t="str">
            <v>Mid-City West</v>
          </cell>
          <cell r="G1425">
            <v>0</v>
          </cell>
          <cell r="H1425">
            <v>0</v>
          </cell>
          <cell r="I1425">
            <v>49.926000000000002</v>
          </cell>
          <cell r="J1425">
            <v>24.473902020000001</v>
          </cell>
          <cell r="K1425">
            <v>49.473902019999997</v>
          </cell>
          <cell r="L1425">
            <v>0.45095696502693</v>
          </cell>
          <cell r="M1425">
            <v>49.924858985026901</v>
          </cell>
          <cell r="N1425">
            <v>0.164383561643836</v>
          </cell>
          <cell r="O1425">
            <v>0</v>
          </cell>
          <cell r="P1425">
            <v>2.7397260273972601E-2</v>
          </cell>
          <cell r="Q1425">
            <v>0.22222222222222199</v>
          </cell>
          <cell r="R1425">
            <v>0.5</v>
          </cell>
          <cell r="S1425">
            <v>0</v>
          </cell>
        </row>
        <row r="1426">
          <cell r="A1426">
            <v>216300</v>
          </cell>
          <cell r="B1426">
            <v>4</v>
          </cell>
          <cell r="C1426">
            <v>5</v>
          </cell>
          <cell r="D1426">
            <v>2</v>
          </cell>
          <cell r="E1426" t="str">
            <v>CVCTE</v>
          </cell>
          <cell r="F1426" t="str">
            <v>Mid-City West</v>
          </cell>
          <cell r="G1426">
            <v>0</v>
          </cell>
          <cell r="H1426">
            <v>1</v>
          </cell>
          <cell r="I1426">
            <v>1</v>
          </cell>
          <cell r="J1426">
            <v>0</v>
          </cell>
          <cell r="K1426">
            <v>1</v>
          </cell>
          <cell r="L1426">
            <v>0</v>
          </cell>
          <cell r="M1426">
            <v>1</v>
          </cell>
          <cell r="N1426">
            <v>0.164383561643836</v>
          </cell>
          <cell r="O1426">
            <v>0</v>
          </cell>
          <cell r="P1426">
            <v>2.7397260273972601E-2</v>
          </cell>
          <cell r="Q1426">
            <v>0.22222222222222199</v>
          </cell>
          <cell r="R1426">
            <v>0.5</v>
          </cell>
          <cell r="S1426">
            <v>2</v>
          </cell>
        </row>
        <row r="1427">
          <cell r="A1427">
            <v>217002</v>
          </cell>
          <cell r="B1427">
            <v>5</v>
          </cell>
          <cell r="C1427">
            <v>5</v>
          </cell>
          <cell r="D1427">
            <v>2</v>
          </cell>
          <cell r="E1427" t="str">
            <v>CVCTE</v>
          </cell>
          <cell r="F1427" t="str">
            <v>Palms</v>
          </cell>
          <cell r="G1427">
            <v>0</v>
          </cell>
          <cell r="H1427">
            <v>0</v>
          </cell>
          <cell r="I1427">
            <v>32.430999999999997</v>
          </cell>
          <cell r="J1427">
            <v>20.292445780000001</v>
          </cell>
          <cell r="K1427">
            <v>31.292445780000001</v>
          </cell>
          <cell r="L1427">
            <v>1.1379586417594301</v>
          </cell>
          <cell r="M1427">
            <v>32.430404421759398</v>
          </cell>
          <cell r="N1427">
            <v>0.35</v>
          </cell>
          <cell r="O1427">
            <v>0</v>
          </cell>
          <cell r="P1427">
            <v>0.17499999999999999</v>
          </cell>
          <cell r="Q1427">
            <v>0.77777777777777801</v>
          </cell>
        </row>
        <row r="1428">
          <cell r="A1428">
            <v>265520</v>
          </cell>
          <cell r="B1428">
            <v>5</v>
          </cell>
          <cell r="C1428">
            <v>5</v>
          </cell>
          <cell r="D1428">
            <v>3</v>
          </cell>
          <cell r="E1428" t="str">
            <v>CVCTE</v>
          </cell>
          <cell r="F1428" t="str">
            <v>Westwood</v>
          </cell>
          <cell r="G1428">
            <v>1</v>
          </cell>
          <cell r="H1428">
            <v>1</v>
          </cell>
          <cell r="I1428">
            <v>45.119</v>
          </cell>
          <cell r="J1428">
            <v>19.742809690000001</v>
          </cell>
          <cell r="K1428">
            <v>44.742809690000001</v>
          </cell>
          <cell r="L1428">
            <v>0.37611905879712698</v>
          </cell>
          <cell r="M1428">
            <v>45.118928748797103</v>
          </cell>
          <cell r="N1428">
            <v>0.35</v>
          </cell>
          <cell r="O1428">
            <v>2.8571428571428599</v>
          </cell>
          <cell r="P1428">
            <v>0.17499999999999999</v>
          </cell>
          <cell r="Q1428">
            <v>0.77777777777777801</v>
          </cell>
        </row>
        <row r="1429">
          <cell r="A1429">
            <v>267200</v>
          </cell>
          <cell r="B1429">
            <v>5</v>
          </cell>
          <cell r="C1429">
            <v>5</v>
          </cell>
          <cell r="D1429">
            <v>3</v>
          </cell>
          <cell r="E1429" t="str">
            <v>CVCTE</v>
          </cell>
          <cell r="F1429" t="str">
            <v>Westside</v>
          </cell>
          <cell r="G1429">
            <v>1</v>
          </cell>
          <cell r="H1429">
            <v>1</v>
          </cell>
          <cell r="I1429">
            <v>39.988999999999997</v>
          </cell>
          <cell r="J1429">
            <v>29.883118719999999</v>
          </cell>
          <cell r="K1429">
            <v>38.883118719999999</v>
          </cell>
          <cell r="L1429">
            <v>1.1056994826211901</v>
          </cell>
          <cell r="M1429">
            <v>39.988818202621196</v>
          </cell>
          <cell r="N1429">
            <v>0.35</v>
          </cell>
          <cell r="O1429">
            <v>2.8571428571428599</v>
          </cell>
          <cell r="P1429">
            <v>0.17499999999999999</v>
          </cell>
          <cell r="Q1429">
            <v>0.77777777777777801</v>
          </cell>
        </row>
        <row r="1430">
          <cell r="A1430">
            <v>271100</v>
          </cell>
          <cell r="B1430">
            <v>5</v>
          </cell>
          <cell r="C1430">
            <v>5</v>
          </cell>
          <cell r="D1430">
            <v>2</v>
          </cell>
          <cell r="E1430" t="str">
            <v>CVCTE</v>
          </cell>
          <cell r="F1430" t="str">
            <v>Westside</v>
          </cell>
          <cell r="G1430">
            <v>0</v>
          </cell>
          <cell r="H1430">
            <v>0</v>
          </cell>
          <cell r="I1430">
            <v>37.363</v>
          </cell>
          <cell r="J1430">
            <v>36.589059710000001</v>
          </cell>
          <cell r="K1430">
            <v>36.589059710000001</v>
          </cell>
          <cell r="L1430">
            <v>0.77362541962298004</v>
          </cell>
          <cell r="M1430">
            <v>37.362685129623003</v>
          </cell>
          <cell r="N1430">
            <v>0.35</v>
          </cell>
          <cell r="O1430">
            <v>0</v>
          </cell>
          <cell r="P1430">
            <v>0.17499999999999999</v>
          </cell>
          <cell r="Q1430">
            <v>0.77777777777777801</v>
          </cell>
        </row>
        <row r="1431">
          <cell r="A1431">
            <v>271702</v>
          </cell>
          <cell r="B1431">
            <v>5</v>
          </cell>
          <cell r="C1431">
            <v>5</v>
          </cell>
          <cell r="D1431">
            <v>2</v>
          </cell>
          <cell r="E1431" t="str">
            <v>CVCTE</v>
          </cell>
          <cell r="F1431" t="str">
            <v>Mar Vista</v>
          </cell>
          <cell r="G1431">
            <v>1</v>
          </cell>
          <cell r="H1431">
            <v>1</v>
          </cell>
          <cell r="I1431">
            <v>37.865000000000002</v>
          </cell>
          <cell r="J1431">
            <v>34.593748069999997</v>
          </cell>
          <cell r="K1431">
            <v>36.593748069999997</v>
          </cell>
          <cell r="L1431">
            <v>1.2704587931956901</v>
          </cell>
          <cell r="M1431">
            <v>37.864206863195697</v>
          </cell>
          <cell r="N1431">
            <v>0.35</v>
          </cell>
          <cell r="O1431">
            <v>2.8571428571428599</v>
          </cell>
          <cell r="P1431">
            <v>0.17499999999999999</v>
          </cell>
          <cell r="Q1431">
            <v>0.77777777777777801</v>
          </cell>
        </row>
        <row r="1432">
          <cell r="A1432">
            <v>271801</v>
          </cell>
          <cell r="B1432">
            <v>5</v>
          </cell>
          <cell r="C1432">
            <v>5</v>
          </cell>
          <cell r="D1432">
            <v>2</v>
          </cell>
          <cell r="E1432" t="str">
            <v>CVCTE</v>
          </cell>
          <cell r="F1432" t="str">
            <v>Mar Vista</v>
          </cell>
          <cell r="G1432">
            <v>1</v>
          </cell>
          <cell r="H1432">
            <v>1</v>
          </cell>
          <cell r="I1432">
            <v>5.6159999999999997</v>
          </cell>
          <cell r="J1432">
            <v>3.4662643399999999</v>
          </cell>
          <cell r="K1432">
            <v>5.4662643400000004</v>
          </cell>
          <cell r="L1432">
            <v>0.14997102057450601</v>
          </cell>
          <cell r="M1432">
            <v>5.6162353605745103</v>
          </cell>
          <cell r="N1432">
            <v>0.35</v>
          </cell>
          <cell r="O1432">
            <v>2.8571428571428599</v>
          </cell>
          <cell r="P1432">
            <v>0.17499999999999999</v>
          </cell>
          <cell r="Q1432">
            <v>0.77777777777777801</v>
          </cell>
        </row>
        <row r="1433">
          <cell r="A1433">
            <v>270100</v>
          </cell>
          <cell r="B1433">
            <v>5</v>
          </cell>
          <cell r="C1433">
            <v>5</v>
          </cell>
          <cell r="D1433">
            <v>2</v>
          </cell>
          <cell r="E1433" t="str">
            <v>CVCTE</v>
          </cell>
          <cell r="F1433" t="str">
            <v>Palms</v>
          </cell>
          <cell r="G1433">
            <v>1</v>
          </cell>
          <cell r="H1433">
            <v>1</v>
          </cell>
          <cell r="I1433">
            <v>38.857999999999997</v>
          </cell>
          <cell r="J1433">
            <v>34.641190219999999</v>
          </cell>
          <cell r="K1433">
            <v>37.641190219999999</v>
          </cell>
          <cell r="L1433">
            <v>1.21759108962298</v>
          </cell>
          <cell r="M1433">
            <v>38.858781309622998</v>
          </cell>
          <cell r="N1433">
            <v>0.35</v>
          </cell>
          <cell r="O1433">
            <v>2.8571428571428599</v>
          </cell>
          <cell r="P1433">
            <v>0.17499999999999999</v>
          </cell>
          <cell r="Q1433">
            <v>0.77777777777777801</v>
          </cell>
        </row>
        <row r="1434">
          <cell r="A1434">
            <v>139701</v>
          </cell>
          <cell r="B1434">
            <v>2</v>
          </cell>
          <cell r="C1434">
            <v>5</v>
          </cell>
          <cell r="D1434">
            <v>3</v>
          </cell>
          <cell r="E1434" t="str">
            <v>INDIV</v>
          </cell>
          <cell r="F1434" t="str">
            <v>Encino</v>
          </cell>
          <cell r="G1434">
            <v>0</v>
          </cell>
          <cell r="H1434">
            <v>0</v>
          </cell>
          <cell r="I1434">
            <v>9.0210000000000008</v>
          </cell>
          <cell r="J1434">
            <v>3.8885795999999999</v>
          </cell>
          <cell r="K1434">
            <v>8.8885795999999999</v>
          </cell>
          <cell r="L1434">
            <v>0.131797923464991</v>
          </cell>
          <cell r="M1434">
            <v>9.0203775234649903</v>
          </cell>
          <cell r="N1434">
            <v>4.8387096774193498E-2</v>
          </cell>
          <cell r="O1434">
            <v>0</v>
          </cell>
          <cell r="P1434">
            <v>1.6129032258064498E-2</v>
          </cell>
          <cell r="Q1434">
            <v>0.11111111111111099</v>
          </cell>
        </row>
        <row r="1435">
          <cell r="A1435">
            <v>191902</v>
          </cell>
          <cell r="B1435">
            <v>4</v>
          </cell>
          <cell r="C1435">
            <v>5</v>
          </cell>
          <cell r="D1435">
            <v>3</v>
          </cell>
          <cell r="E1435" t="str">
            <v>INDIV</v>
          </cell>
          <cell r="F1435" t="str">
            <v>Miracle Mile</v>
          </cell>
          <cell r="G1435">
            <v>0</v>
          </cell>
          <cell r="H1435">
            <v>0</v>
          </cell>
          <cell r="I1435">
            <v>24.838999999999999</v>
          </cell>
          <cell r="J1435">
            <v>11.44215048</v>
          </cell>
          <cell r="K1435">
            <v>24.442150479999999</v>
          </cell>
          <cell r="L1435">
            <v>0.39626038007181302</v>
          </cell>
          <cell r="M1435">
            <v>24.8384108600718</v>
          </cell>
          <cell r="N1435">
            <v>8.5106382978723402E-2</v>
          </cell>
          <cell r="O1435">
            <v>0</v>
          </cell>
          <cell r="P1435">
            <v>8.5106382978723402E-2</v>
          </cell>
          <cell r="Q1435">
            <v>0.44444444444444398</v>
          </cell>
          <cell r="R1435">
            <v>0.16666666666666699</v>
          </cell>
          <cell r="S1435">
            <v>0</v>
          </cell>
        </row>
        <row r="1436">
          <cell r="A1436">
            <v>192002</v>
          </cell>
          <cell r="B1436">
            <v>4</v>
          </cell>
          <cell r="C1436">
            <v>5</v>
          </cell>
          <cell r="D1436">
            <v>3</v>
          </cell>
          <cell r="E1436" t="str">
            <v>INDIV</v>
          </cell>
          <cell r="F1436" t="str">
            <v>Mid-City West</v>
          </cell>
          <cell r="G1436">
            <v>0</v>
          </cell>
          <cell r="H1436">
            <v>0</v>
          </cell>
          <cell r="I1436">
            <v>19.106999999999999</v>
          </cell>
          <cell r="J1436">
            <v>4.7832730799999998</v>
          </cell>
          <cell r="K1436">
            <v>18.783273080000001</v>
          </cell>
          <cell r="L1436">
            <v>0.32352933436265702</v>
          </cell>
          <cell r="M1436">
            <v>19.106802414362701</v>
          </cell>
          <cell r="N1436">
            <v>8.5106382978723402E-2</v>
          </cell>
          <cell r="O1436">
            <v>0</v>
          </cell>
          <cell r="P1436">
            <v>8.5106382978723402E-2</v>
          </cell>
          <cell r="Q1436">
            <v>0.44444444444444398</v>
          </cell>
          <cell r="R1436">
            <v>0.16666666666666699</v>
          </cell>
          <cell r="S1436">
            <v>0</v>
          </cell>
        </row>
        <row r="1437">
          <cell r="A1437">
            <v>214902</v>
          </cell>
          <cell r="B1437">
            <v>4</v>
          </cell>
          <cell r="C1437">
            <v>5</v>
          </cell>
          <cell r="D1437">
            <v>3</v>
          </cell>
          <cell r="E1437" t="str">
            <v>INDIV</v>
          </cell>
          <cell r="F1437" t="str">
            <v>Mid-City West</v>
          </cell>
          <cell r="G1437">
            <v>0</v>
          </cell>
          <cell r="H1437">
            <v>0</v>
          </cell>
          <cell r="I1437">
            <v>14.388999999999999</v>
          </cell>
          <cell r="J1437">
            <v>5.1041878499999997</v>
          </cell>
          <cell r="K1437">
            <v>14.104187850000001</v>
          </cell>
          <cell r="L1437">
            <v>0.28411653928186698</v>
          </cell>
          <cell r="M1437">
            <v>14.388304389281901</v>
          </cell>
          <cell r="N1437">
            <v>8.5106382978723402E-2</v>
          </cell>
          <cell r="O1437">
            <v>0</v>
          </cell>
          <cell r="P1437">
            <v>8.5106382978723402E-2</v>
          </cell>
          <cell r="Q1437">
            <v>0.44444444444444398</v>
          </cell>
          <cell r="R1437">
            <v>0.16666666666666699</v>
          </cell>
          <cell r="S1437">
            <v>0</v>
          </cell>
        </row>
        <row r="1438">
          <cell r="A1438">
            <v>214700</v>
          </cell>
          <cell r="B1438">
            <v>4</v>
          </cell>
          <cell r="C1438">
            <v>5</v>
          </cell>
          <cell r="D1438">
            <v>3</v>
          </cell>
          <cell r="E1438" t="str">
            <v>INDIV</v>
          </cell>
          <cell r="F1438" t="str">
            <v>Mid-City West</v>
          </cell>
          <cell r="G1438">
            <v>1</v>
          </cell>
          <cell r="H1438">
            <v>1</v>
          </cell>
          <cell r="I1438">
            <v>4.7030000000000003</v>
          </cell>
          <cell r="J1438">
            <v>1.6812916200000001</v>
          </cell>
          <cell r="K1438">
            <v>4.6812916199999997</v>
          </cell>
          <cell r="L1438">
            <v>2.14919317594255E-2</v>
          </cell>
          <cell r="M1438">
            <v>4.7027835517594196</v>
          </cell>
          <cell r="N1438">
            <v>8.5106382978723402E-2</v>
          </cell>
          <cell r="O1438">
            <v>11.75</v>
          </cell>
          <cell r="P1438">
            <v>8.5106382978723402E-2</v>
          </cell>
          <cell r="Q1438">
            <v>0.44444444444444398</v>
          </cell>
        </row>
        <row r="1439">
          <cell r="A1439">
            <v>265202</v>
          </cell>
          <cell r="B1439">
            <v>5</v>
          </cell>
          <cell r="C1439">
            <v>5</v>
          </cell>
          <cell r="D1439">
            <v>3</v>
          </cell>
          <cell r="E1439" t="str">
            <v>INDIV</v>
          </cell>
          <cell r="F1439" t="str">
            <v>Westwood</v>
          </cell>
          <cell r="G1439">
            <v>1</v>
          </cell>
          <cell r="H1439">
            <v>1</v>
          </cell>
          <cell r="I1439">
            <v>38.180999999999997</v>
          </cell>
          <cell r="J1439">
            <v>2.87839314</v>
          </cell>
          <cell r="K1439">
            <v>37.87839314</v>
          </cell>
          <cell r="L1439">
            <v>0.30290401228007202</v>
          </cell>
          <cell r="M1439">
            <v>38.181297152280102</v>
          </cell>
          <cell r="N1439">
            <v>7.69230769230769E-2</v>
          </cell>
          <cell r="O1439">
            <v>13</v>
          </cell>
          <cell r="P1439">
            <v>0.30769230769230799</v>
          </cell>
          <cell r="Q1439">
            <v>0.44444444444444398</v>
          </cell>
        </row>
        <row r="1440">
          <cell r="A1440">
            <v>265301</v>
          </cell>
          <cell r="B1440">
            <v>5</v>
          </cell>
          <cell r="C1440">
            <v>5</v>
          </cell>
          <cell r="D1440">
            <v>3</v>
          </cell>
          <cell r="E1440" t="str">
            <v>INDIV</v>
          </cell>
          <cell r="F1440" t="str">
            <v>Westwood</v>
          </cell>
          <cell r="G1440">
            <v>0</v>
          </cell>
          <cell r="H1440">
            <v>0</v>
          </cell>
          <cell r="I1440">
            <v>15.102</v>
          </cell>
          <cell r="J1440">
            <v>4.8536203599999999</v>
          </cell>
          <cell r="K1440">
            <v>14.853620360000001</v>
          </cell>
          <cell r="L1440">
            <v>0.247929448186715</v>
          </cell>
          <cell r="M1440">
            <v>15.1015498081867</v>
          </cell>
          <cell r="N1440">
            <v>7.69230769230769E-2</v>
          </cell>
          <cell r="O1440">
            <v>0</v>
          </cell>
          <cell r="P1440">
            <v>0.30769230769230799</v>
          </cell>
          <cell r="Q1440">
            <v>0.44444444444444398</v>
          </cell>
          <cell r="R1440">
            <v>0.16666666666666699</v>
          </cell>
          <cell r="S1440">
            <v>0</v>
          </cell>
        </row>
        <row r="1441">
          <cell r="A1441">
            <v>269904</v>
          </cell>
          <cell r="B1441">
            <v>5</v>
          </cell>
          <cell r="C1441">
            <v>5</v>
          </cell>
          <cell r="D1441">
            <v>2</v>
          </cell>
          <cell r="E1441" t="str">
            <v>INDIV</v>
          </cell>
          <cell r="F1441" t="str">
            <v>Palms</v>
          </cell>
          <cell r="G1441">
            <v>0</v>
          </cell>
          <cell r="H1441">
            <v>0</v>
          </cell>
          <cell r="I1441">
            <v>28.216999999999999</v>
          </cell>
          <cell r="J1441">
            <v>16.66412776</v>
          </cell>
          <cell r="K1441">
            <v>27.66412776</v>
          </cell>
          <cell r="L1441">
            <v>0.55190932960502703</v>
          </cell>
          <cell r="M1441">
            <v>28.216037089604999</v>
          </cell>
          <cell r="N1441">
            <v>7.69230769230769E-2</v>
          </cell>
          <cell r="O1441">
            <v>0</v>
          </cell>
          <cell r="P1441">
            <v>0.30769230769230799</v>
          </cell>
          <cell r="Q1441">
            <v>0.44444444444444398</v>
          </cell>
          <cell r="R1441">
            <v>0.16666666666666699</v>
          </cell>
          <cell r="S1441">
            <v>0</v>
          </cell>
        </row>
        <row r="1442">
          <cell r="A1442">
            <v>269907</v>
          </cell>
          <cell r="B1442">
            <v>5</v>
          </cell>
          <cell r="C1442">
            <v>5</v>
          </cell>
          <cell r="D1442">
            <v>2</v>
          </cell>
          <cell r="E1442" t="str">
            <v>INDIV</v>
          </cell>
          <cell r="F1442" t="str">
            <v>Palms</v>
          </cell>
          <cell r="G1442">
            <v>0</v>
          </cell>
          <cell r="H1442">
            <v>1</v>
          </cell>
          <cell r="I1442">
            <v>13.371</v>
          </cell>
          <cell r="J1442">
            <v>6.8457924600000002</v>
          </cell>
          <cell r="K1442">
            <v>12.84579246</v>
          </cell>
          <cell r="L1442">
            <v>0.52524921504488298</v>
          </cell>
          <cell r="M1442">
            <v>13.3710416750449</v>
          </cell>
          <cell r="N1442">
            <v>7.69230769230769E-2</v>
          </cell>
          <cell r="O1442">
            <v>0</v>
          </cell>
          <cell r="P1442">
            <v>0.30769230769230799</v>
          </cell>
          <cell r="Q1442">
            <v>0.44444444444444398</v>
          </cell>
          <cell r="R1442">
            <v>0.16666666666666699</v>
          </cell>
          <cell r="S1442">
            <v>6</v>
          </cell>
        </row>
        <row r="1443">
          <cell r="A1443">
            <v>139200</v>
          </cell>
          <cell r="B1443">
            <v>2</v>
          </cell>
          <cell r="C1443">
            <v>5</v>
          </cell>
          <cell r="D1443">
            <v>3</v>
          </cell>
          <cell r="E1443" t="str">
            <v>NON-HS</v>
          </cell>
          <cell r="F1443" t="str">
            <v>Encino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2.2140221402214E-2</v>
          </cell>
          <cell r="O1443">
            <v>0</v>
          </cell>
          <cell r="P1443">
            <v>3.6900369003690002E-2</v>
          </cell>
          <cell r="Q1443">
            <v>0.19607843137254899</v>
          </cell>
          <cell r="R1443">
            <v>5.8823529411764698E-2</v>
          </cell>
          <cell r="S1443">
            <v>0</v>
          </cell>
        </row>
        <row r="1444">
          <cell r="A1444">
            <v>141500</v>
          </cell>
          <cell r="B1444">
            <v>2</v>
          </cell>
          <cell r="C1444">
            <v>5</v>
          </cell>
          <cell r="D1444">
            <v>3</v>
          </cell>
          <cell r="E1444" t="str">
            <v>NON-HS</v>
          </cell>
          <cell r="F1444" t="str">
            <v>Encino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2.2140221402214E-2</v>
          </cell>
          <cell r="O1444">
            <v>0</v>
          </cell>
          <cell r="P1444">
            <v>3.6900369003690002E-2</v>
          </cell>
          <cell r="Q1444">
            <v>0.19607843137254899</v>
          </cell>
          <cell r="R1444">
            <v>5.8823529411764698E-2</v>
          </cell>
          <cell r="S1444">
            <v>0</v>
          </cell>
        </row>
        <row r="1445">
          <cell r="A1445">
            <v>139502</v>
          </cell>
          <cell r="B1445">
            <v>2</v>
          </cell>
          <cell r="C1445">
            <v>5</v>
          </cell>
          <cell r="D1445">
            <v>3</v>
          </cell>
          <cell r="E1445" t="str">
            <v>NON-HS</v>
          </cell>
          <cell r="F1445" t="str">
            <v>Encino</v>
          </cell>
          <cell r="G1445">
            <v>0</v>
          </cell>
          <cell r="H1445">
            <v>0</v>
          </cell>
          <cell r="I1445">
            <v>2.9260000000000002</v>
          </cell>
          <cell r="J1445">
            <v>1.90487994</v>
          </cell>
          <cell r="K1445">
            <v>2.9048799399999998</v>
          </cell>
          <cell r="L1445">
            <v>2.0625322082585301E-2</v>
          </cell>
          <cell r="M1445">
            <v>2.9255052620825901</v>
          </cell>
          <cell r="N1445">
            <v>2.2140221402214E-2</v>
          </cell>
          <cell r="O1445">
            <v>0</v>
          </cell>
          <cell r="P1445">
            <v>3.6900369003690002E-2</v>
          </cell>
          <cell r="Q1445">
            <v>0.19607843137254899</v>
          </cell>
          <cell r="R1445">
            <v>5.8823529411764698E-2</v>
          </cell>
          <cell r="S1445">
            <v>0</v>
          </cell>
        </row>
        <row r="1446">
          <cell r="A1446">
            <v>139702</v>
          </cell>
          <cell r="B1446">
            <v>2</v>
          </cell>
          <cell r="C1446">
            <v>5</v>
          </cell>
          <cell r="D1446">
            <v>3</v>
          </cell>
          <cell r="E1446" t="str">
            <v>NON-HS</v>
          </cell>
          <cell r="F1446" t="str">
            <v>Encino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2.2140221402214E-2</v>
          </cell>
          <cell r="O1446">
            <v>0</v>
          </cell>
          <cell r="P1446">
            <v>3.6900369003690002E-2</v>
          </cell>
          <cell r="Q1446">
            <v>0.19607843137254899</v>
          </cell>
          <cell r="R1446">
            <v>5.8823529411764698E-2</v>
          </cell>
          <cell r="S1446">
            <v>0</v>
          </cell>
        </row>
        <row r="1447">
          <cell r="A1447">
            <v>141400</v>
          </cell>
          <cell r="B1447">
            <v>2</v>
          </cell>
          <cell r="C1447">
            <v>5</v>
          </cell>
          <cell r="D1447">
            <v>3</v>
          </cell>
          <cell r="E1447" t="str">
            <v>NON-HS</v>
          </cell>
          <cell r="F1447" t="str">
            <v>Encino</v>
          </cell>
          <cell r="G1447">
            <v>0</v>
          </cell>
          <cell r="H1447">
            <v>0</v>
          </cell>
          <cell r="I1447">
            <v>11.627000000000001</v>
          </cell>
          <cell r="J1447">
            <v>9.2867030499999998</v>
          </cell>
          <cell r="K1447">
            <v>11.28670305</v>
          </cell>
          <cell r="L1447">
            <v>0.33944796689407503</v>
          </cell>
          <cell r="M1447">
            <v>11.6261510168941</v>
          </cell>
          <cell r="N1447">
            <v>2.2140221402214E-2</v>
          </cell>
          <cell r="O1447">
            <v>0</v>
          </cell>
          <cell r="P1447">
            <v>3.6900369003690002E-2</v>
          </cell>
          <cell r="Q1447">
            <v>0.19607843137254899</v>
          </cell>
          <cell r="R1447">
            <v>5.8823529411764698E-2</v>
          </cell>
          <cell r="S1447">
            <v>0</v>
          </cell>
        </row>
        <row r="1448">
          <cell r="A1448">
            <v>139001</v>
          </cell>
          <cell r="B1448">
            <v>2</v>
          </cell>
          <cell r="C1448">
            <v>5</v>
          </cell>
          <cell r="D1448">
            <v>3</v>
          </cell>
          <cell r="E1448" t="str">
            <v>NON-HS</v>
          </cell>
          <cell r="F1448" t="str">
            <v>Encino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2.2140221402214E-2</v>
          </cell>
          <cell r="O1448">
            <v>0</v>
          </cell>
          <cell r="P1448">
            <v>3.6900369003690002E-2</v>
          </cell>
          <cell r="Q1448">
            <v>0.19607843137254899</v>
          </cell>
          <cell r="R1448">
            <v>5.8823529411764698E-2</v>
          </cell>
          <cell r="S1448">
            <v>0</v>
          </cell>
        </row>
        <row r="1449">
          <cell r="A1449">
            <v>132900</v>
          </cell>
          <cell r="B1449">
            <v>2</v>
          </cell>
          <cell r="C1449">
            <v>5</v>
          </cell>
          <cell r="D1449">
            <v>3</v>
          </cell>
          <cell r="E1449" t="str">
            <v>NON-HS</v>
          </cell>
          <cell r="F1449" t="str">
            <v>Tarzana</v>
          </cell>
          <cell r="G1449">
            <v>0</v>
          </cell>
          <cell r="H1449">
            <v>0</v>
          </cell>
          <cell r="I1449">
            <v>10.474</v>
          </cell>
          <cell r="J1449">
            <v>9.9184982999999995</v>
          </cell>
          <cell r="K1449">
            <v>9.9184982999999995</v>
          </cell>
          <cell r="L1449">
            <v>0.55586300691202895</v>
          </cell>
          <cell r="M1449">
            <v>10.474361306912</v>
          </cell>
          <cell r="N1449">
            <v>2.2140221402214E-2</v>
          </cell>
          <cell r="O1449">
            <v>0</v>
          </cell>
          <cell r="P1449">
            <v>3.6900369003690002E-2</v>
          </cell>
          <cell r="Q1449">
            <v>0.19607843137254899</v>
          </cell>
          <cell r="R1449">
            <v>5.8823529411764698E-2</v>
          </cell>
          <cell r="S1449">
            <v>0</v>
          </cell>
        </row>
        <row r="1450">
          <cell r="A1450">
            <v>139503</v>
          </cell>
          <cell r="B1450">
            <v>2</v>
          </cell>
          <cell r="C1450">
            <v>5</v>
          </cell>
          <cell r="D1450">
            <v>3</v>
          </cell>
          <cell r="E1450" t="str">
            <v>NON-HS</v>
          </cell>
          <cell r="F1450" t="str">
            <v>Encino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2.2140221402214E-2</v>
          </cell>
          <cell r="O1450">
            <v>0</v>
          </cell>
          <cell r="P1450">
            <v>3.6900369003690002E-2</v>
          </cell>
          <cell r="Q1450">
            <v>0.19607843137254899</v>
          </cell>
          <cell r="R1450">
            <v>5.8823529411764698E-2</v>
          </cell>
          <cell r="S1450">
            <v>0</v>
          </cell>
        </row>
        <row r="1451">
          <cell r="A1451">
            <v>139504</v>
          </cell>
          <cell r="B1451">
            <v>2</v>
          </cell>
          <cell r="C1451">
            <v>5</v>
          </cell>
          <cell r="D1451">
            <v>3</v>
          </cell>
          <cell r="E1451" t="str">
            <v>NON-HS</v>
          </cell>
          <cell r="F1451" t="str">
            <v>Encino</v>
          </cell>
          <cell r="G1451">
            <v>0</v>
          </cell>
          <cell r="H1451">
            <v>0</v>
          </cell>
          <cell r="I1451">
            <v>1</v>
          </cell>
          <cell r="J1451">
            <v>0</v>
          </cell>
          <cell r="K1451">
            <v>1</v>
          </cell>
          <cell r="L1451">
            <v>0</v>
          </cell>
          <cell r="M1451">
            <v>1</v>
          </cell>
          <cell r="N1451">
            <v>2.2140221402214E-2</v>
          </cell>
          <cell r="O1451">
            <v>0</v>
          </cell>
          <cell r="P1451">
            <v>3.6900369003690002E-2</v>
          </cell>
          <cell r="Q1451">
            <v>0.19607843137254899</v>
          </cell>
          <cell r="R1451">
            <v>5.8823529411764698E-2</v>
          </cell>
          <cell r="S1451">
            <v>0</v>
          </cell>
        </row>
        <row r="1452">
          <cell r="A1452">
            <v>139600</v>
          </cell>
          <cell r="B1452">
            <v>2</v>
          </cell>
          <cell r="C1452">
            <v>5</v>
          </cell>
          <cell r="D1452">
            <v>3</v>
          </cell>
          <cell r="E1452" t="str">
            <v>NON-HS</v>
          </cell>
          <cell r="F1452" t="str">
            <v>Encino</v>
          </cell>
          <cell r="G1452">
            <v>0</v>
          </cell>
          <cell r="H1452">
            <v>0</v>
          </cell>
          <cell r="I1452">
            <v>6.9459999999999997</v>
          </cell>
          <cell r="J1452">
            <v>5.7934595399999997</v>
          </cell>
          <cell r="K1452">
            <v>6.7934595399999997</v>
          </cell>
          <cell r="L1452">
            <v>0.152423245547576</v>
          </cell>
          <cell r="M1452">
            <v>6.94588278554758</v>
          </cell>
          <cell r="N1452">
            <v>2.2140221402214E-2</v>
          </cell>
          <cell r="O1452">
            <v>0</v>
          </cell>
          <cell r="P1452">
            <v>3.6900369003690002E-2</v>
          </cell>
          <cell r="Q1452">
            <v>0.19607843137254899</v>
          </cell>
          <cell r="R1452">
            <v>5.8823529411764698E-2</v>
          </cell>
          <cell r="S1452">
            <v>0</v>
          </cell>
        </row>
        <row r="1453">
          <cell r="A1453">
            <v>214400</v>
          </cell>
          <cell r="B1453">
            <v>4</v>
          </cell>
          <cell r="C1453">
            <v>5</v>
          </cell>
          <cell r="D1453">
            <v>3</v>
          </cell>
          <cell r="E1453" t="str">
            <v>NON-HS</v>
          </cell>
          <cell r="F1453" t="str">
            <v>Mid-City West</v>
          </cell>
          <cell r="G1453">
            <v>0</v>
          </cell>
          <cell r="H1453">
            <v>0</v>
          </cell>
          <cell r="I1453">
            <v>14.552</v>
          </cell>
          <cell r="J1453">
            <v>11.191582990000001</v>
          </cell>
          <cell r="K1453">
            <v>14.191582990000001</v>
          </cell>
          <cell r="L1453">
            <v>0.36007328897666102</v>
          </cell>
          <cell r="M1453">
            <v>14.551656278976701</v>
          </cell>
          <cell r="N1453">
            <v>2.6315789473684199E-2</v>
          </cell>
          <cell r="O1453">
            <v>0</v>
          </cell>
          <cell r="P1453">
            <v>6.5789473684210495E-2</v>
          </cell>
          <cell r="Q1453">
            <v>0.19607843137254899</v>
          </cell>
          <cell r="R1453">
            <v>5.8823529411764698E-2</v>
          </cell>
          <cell r="S1453">
            <v>0</v>
          </cell>
        </row>
        <row r="1454">
          <cell r="A1454">
            <v>214600</v>
          </cell>
          <cell r="B1454">
            <v>4</v>
          </cell>
          <cell r="C1454">
            <v>5</v>
          </cell>
          <cell r="D1454">
            <v>3</v>
          </cell>
          <cell r="E1454" t="str">
            <v>NON-HS</v>
          </cell>
          <cell r="F1454" t="str">
            <v>Mid-City West</v>
          </cell>
          <cell r="G1454">
            <v>0</v>
          </cell>
          <cell r="H1454">
            <v>0</v>
          </cell>
          <cell r="I1454">
            <v>8</v>
          </cell>
          <cell r="J1454">
            <v>0</v>
          </cell>
          <cell r="K1454">
            <v>8</v>
          </cell>
          <cell r="L1454">
            <v>0</v>
          </cell>
          <cell r="M1454">
            <v>8</v>
          </cell>
          <cell r="N1454">
            <v>2.6315789473684199E-2</v>
          </cell>
          <cell r="O1454">
            <v>0</v>
          </cell>
          <cell r="P1454">
            <v>6.5789473684210495E-2</v>
          </cell>
          <cell r="Q1454">
            <v>0.19607843137254899</v>
          </cell>
          <cell r="R1454">
            <v>5.8823529411764698E-2</v>
          </cell>
          <cell r="S1454">
            <v>0</v>
          </cell>
        </row>
        <row r="1455">
          <cell r="A1455">
            <v>214901</v>
          </cell>
          <cell r="B1455">
            <v>4</v>
          </cell>
          <cell r="C1455">
            <v>5</v>
          </cell>
          <cell r="D1455">
            <v>3</v>
          </cell>
          <cell r="E1455" t="str">
            <v>NON-HS</v>
          </cell>
          <cell r="F1455" t="str">
            <v>Mid-City West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2.6315789473684199E-2</v>
          </cell>
          <cell r="O1455">
            <v>0</v>
          </cell>
          <cell r="P1455">
            <v>6.5789473684210495E-2</v>
          </cell>
          <cell r="Q1455">
            <v>0.19607843137254899</v>
          </cell>
          <cell r="R1455">
            <v>5.8823529411764698E-2</v>
          </cell>
          <cell r="S1455">
            <v>0</v>
          </cell>
        </row>
        <row r="1456">
          <cell r="A1456">
            <v>192001</v>
          </cell>
          <cell r="B1456">
            <v>4</v>
          </cell>
          <cell r="C1456">
            <v>5</v>
          </cell>
          <cell r="D1456">
            <v>3</v>
          </cell>
          <cell r="E1456" t="str">
            <v>NON-HS</v>
          </cell>
          <cell r="F1456" t="str">
            <v>Mid-City West</v>
          </cell>
          <cell r="G1456">
            <v>0</v>
          </cell>
          <cell r="H1456">
            <v>0</v>
          </cell>
          <cell r="I1456">
            <v>18.919</v>
          </cell>
          <cell r="J1456">
            <v>11.769041339999999</v>
          </cell>
          <cell r="K1456">
            <v>18.769041340000001</v>
          </cell>
          <cell r="L1456">
            <v>0.15044352231597799</v>
          </cell>
          <cell r="M1456">
            <v>18.919484862316001</v>
          </cell>
          <cell r="N1456">
            <v>2.6315789473684199E-2</v>
          </cell>
          <cell r="O1456">
            <v>0</v>
          </cell>
          <cell r="P1456">
            <v>6.5789473684210495E-2</v>
          </cell>
          <cell r="Q1456">
            <v>0.19607843137254899</v>
          </cell>
          <cell r="R1456">
            <v>5.8823529411764698E-2</v>
          </cell>
          <cell r="S1456">
            <v>0</v>
          </cell>
        </row>
        <row r="1457">
          <cell r="A1457">
            <v>194401</v>
          </cell>
          <cell r="B1457">
            <v>4</v>
          </cell>
          <cell r="C1457">
            <v>5</v>
          </cell>
          <cell r="D1457">
            <v>3</v>
          </cell>
          <cell r="E1457" t="str">
            <v>NON-HS</v>
          </cell>
          <cell r="F1457" t="str">
            <v>Mid-City West</v>
          </cell>
          <cell r="G1457">
            <v>0</v>
          </cell>
          <cell r="H1457">
            <v>0</v>
          </cell>
          <cell r="I1457">
            <v>6.9260000000000002</v>
          </cell>
          <cell r="J1457">
            <v>1.90487994</v>
          </cell>
          <cell r="K1457">
            <v>6.9048799399999998</v>
          </cell>
          <cell r="L1457">
            <v>2.0625322082585301E-2</v>
          </cell>
          <cell r="M1457">
            <v>6.9255052620825897</v>
          </cell>
          <cell r="N1457">
            <v>2.6315789473684199E-2</v>
          </cell>
          <cell r="O1457">
            <v>0</v>
          </cell>
          <cell r="P1457">
            <v>6.5789473684210495E-2</v>
          </cell>
          <cell r="Q1457">
            <v>0.19607843137254899</v>
          </cell>
          <cell r="R1457">
            <v>5.8823529411764698E-2</v>
          </cell>
          <cell r="S1457">
            <v>0</v>
          </cell>
        </row>
        <row r="1458">
          <cell r="A1458">
            <v>194402</v>
          </cell>
          <cell r="B1458">
            <v>4</v>
          </cell>
          <cell r="C1458">
            <v>5</v>
          </cell>
          <cell r="D1458">
            <v>3</v>
          </cell>
          <cell r="E1458" t="str">
            <v>NON-HS</v>
          </cell>
          <cell r="F1458" t="str">
            <v>Mid-City West</v>
          </cell>
          <cell r="G1458">
            <v>0</v>
          </cell>
          <cell r="H1458">
            <v>0</v>
          </cell>
          <cell r="I1458">
            <v>9.8510000000000009</v>
          </cell>
          <cell r="J1458">
            <v>3.8097598800000001</v>
          </cell>
          <cell r="K1458">
            <v>9.8097598799999997</v>
          </cell>
          <cell r="L1458">
            <v>4.1250644165170602E-2</v>
          </cell>
          <cell r="M1458">
            <v>9.8510105241651704</v>
          </cell>
          <cell r="N1458">
            <v>2.6315789473684199E-2</v>
          </cell>
          <cell r="O1458">
            <v>0</v>
          </cell>
          <cell r="P1458">
            <v>6.5789473684210495E-2</v>
          </cell>
          <cell r="Q1458">
            <v>0.19607843137254899</v>
          </cell>
          <cell r="R1458">
            <v>5.8823529411764698E-2</v>
          </cell>
          <cell r="S1458">
            <v>0</v>
          </cell>
        </row>
        <row r="1459">
          <cell r="A1459">
            <v>216800</v>
          </cell>
          <cell r="B1459">
            <v>4</v>
          </cell>
          <cell r="C1459">
            <v>5</v>
          </cell>
          <cell r="D1459">
            <v>2</v>
          </cell>
          <cell r="E1459" t="str">
            <v>NON-HS</v>
          </cell>
          <cell r="F1459" t="str">
            <v>Miracle Mile</v>
          </cell>
          <cell r="G1459">
            <v>0</v>
          </cell>
          <cell r="H1459">
            <v>1</v>
          </cell>
          <cell r="I1459">
            <v>10.516999999999999</v>
          </cell>
          <cell r="J1459">
            <v>3.3440765099999998</v>
          </cell>
          <cell r="K1459">
            <v>10.344076510000001</v>
          </cell>
          <cell r="L1459">
            <v>0.17207732822262101</v>
          </cell>
          <cell r="M1459">
            <v>10.5161538382226</v>
          </cell>
          <cell r="N1459">
            <v>2.6315789473684199E-2</v>
          </cell>
          <cell r="O1459">
            <v>0</v>
          </cell>
          <cell r="P1459">
            <v>6.5789473684210495E-2</v>
          </cell>
          <cell r="Q1459">
            <v>0.19607843137254899</v>
          </cell>
          <cell r="R1459">
            <v>5.8823529411764698E-2</v>
          </cell>
          <cell r="S1459">
            <v>17</v>
          </cell>
        </row>
        <row r="1460">
          <cell r="A1460">
            <v>214800</v>
          </cell>
          <cell r="B1460">
            <v>4</v>
          </cell>
          <cell r="C1460">
            <v>5</v>
          </cell>
          <cell r="D1460">
            <v>3</v>
          </cell>
          <cell r="E1460" t="str">
            <v>NON-HS</v>
          </cell>
          <cell r="F1460" t="str">
            <v>Mid-City West</v>
          </cell>
          <cell r="G1460">
            <v>0</v>
          </cell>
          <cell r="H1460">
            <v>0</v>
          </cell>
          <cell r="I1460">
            <v>6.9260000000000002</v>
          </cell>
          <cell r="J1460">
            <v>1.90487994</v>
          </cell>
          <cell r="K1460">
            <v>6.9048799399999998</v>
          </cell>
          <cell r="L1460">
            <v>2.0625322082585301E-2</v>
          </cell>
          <cell r="M1460">
            <v>6.9255052620825897</v>
          </cell>
          <cell r="N1460">
            <v>2.6315789473684199E-2</v>
          </cell>
          <cell r="O1460">
            <v>0</v>
          </cell>
          <cell r="P1460">
            <v>6.5789473684210495E-2</v>
          </cell>
          <cell r="Q1460">
            <v>0.19607843137254899</v>
          </cell>
          <cell r="R1460">
            <v>5.8823529411764698E-2</v>
          </cell>
          <cell r="S1460">
            <v>0</v>
          </cell>
        </row>
        <row r="1461">
          <cell r="A1461">
            <v>214100</v>
          </cell>
          <cell r="B1461">
            <v>4</v>
          </cell>
          <cell r="C1461">
            <v>5</v>
          </cell>
          <cell r="D1461">
            <v>3</v>
          </cell>
          <cell r="E1461" t="str">
            <v>NON-HS</v>
          </cell>
          <cell r="F1461" t="str">
            <v>Miracle Mile</v>
          </cell>
          <cell r="G1461">
            <v>0</v>
          </cell>
          <cell r="H1461">
            <v>0</v>
          </cell>
          <cell r="I1461">
            <v>7.734</v>
          </cell>
          <cell r="J1461">
            <v>3.63801211</v>
          </cell>
          <cell r="K1461">
            <v>7.63801211</v>
          </cell>
          <cell r="L1461">
            <v>9.5610832369838403E-2</v>
          </cell>
          <cell r="M1461">
            <v>7.7336229423698404</v>
          </cell>
          <cell r="N1461">
            <v>2.6315789473684199E-2</v>
          </cell>
          <cell r="O1461">
            <v>0</v>
          </cell>
          <cell r="P1461">
            <v>6.5789473684210495E-2</v>
          </cell>
          <cell r="Q1461">
            <v>0.19607843137254899</v>
          </cell>
          <cell r="R1461">
            <v>5.8823529411764698E-2</v>
          </cell>
          <cell r="S1461">
            <v>0</v>
          </cell>
        </row>
        <row r="1462">
          <cell r="A1462">
            <v>214000</v>
          </cell>
          <cell r="B1462">
            <v>4</v>
          </cell>
          <cell r="C1462">
            <v>5</v>
          </cell>
          <cell r="D1462">
            <v>3</v>
          </cell>
          <cell r="E1462" t="str">
            <v>NON-HS</v>
          </cell>
          <cell r="F1462" t="str">
            <v>Mid-City West</v>
          </cell>
          <cell r="G1462">
            <v>0</v>
          </cell>
          <cell r="H1462">
            <v>0</v>
          </cell>
          <cell r="I1462">
            <v>11.776999999999999</v>
          </cell>
          <cell r="J1462">
            <v>5.7146398200000004</v>
          </cell>
          <cell r="K1462">
            <v>11.71463982</v>
          </cell>
          <cell r="L1462">
            <v>6.18759662477558E-2</v>
          </cell>
          <cell r="M1462">
            <v>11.776515786247799</v>
          </cell>
          <cell r="N1462">
            <v>2.6315789473684199E-2</v>
          </cell>
          <cell r="O1462">
            <v>0</v>
          </cell>
          <cell r="P1462">
            <v>6.5789473684210495E-2</v>
          </cell>
          <cell r="Q1462">
            <v>0.19607843137254899</v>
          </cell>
          <cell r="R1462">
            <v>5.8823529411764698E-2</v>
          </cell>
          <cell r="S1462">
            <v>0</v>
          </cell>
        </row>
        <row r="1463">
          <cell r="A1463">
            <v>216401</v>
          </cell>
          <cell r="B1463">
            <v>5</v>
          </cell>
          <cell r="C1463">
            <v>5</v>
          </cell>
          <cell r="D1463">
            <v>3</v>
          </cell>
          <cell r="E1463" t="str">
            <v>NON-HS</v>
          </cell>
          <cell r="F1463" t="str">
            <v>Palms</v>
          </cell>
          <cell r="G1463">
            <v>0</v>
          </cell>
          <cell r="H1463">
            <v>0</v>
          </cell>
          <cell r="I1463">
            <v>7.6289999999999996</v>
          </cell>
          <cell r="J1463">
            <v>3.5861715599999999</v>
          </cell>
          <cell r="K1463">
            <v>7.5861715600000004</v>
          </cell>
          <cell r="L1463">
            <v>4.2117253842010802E-2</v>
          </cell>
          <cell r="M1463">
            <v>7.6282888138420102</v>
          </cell>
          <cell r="N1463">
            <v>3.2258064516128997E-2</v>
          </cell>
          <cell r="O1463">
            <v>0</v>
          </cell>
          <cell r="P1463">
            <v>0.33333333333333298</v>
          </cell>
          <cell r="Q1463">
            <v>0.60784313725490202</v>
          </cell>
          <cell r="R1463">
            <v>5.8823529411764698E-2</v>
          </cell>
          <cell r="S1463">
            <v>0</v>
          </cell>
        </row>
        <row r="1464">
          <cell r="A1464">
            <v>216402</v>
          </cell>
          <cell r="B1464">
            <v>5</v>
          </cell>
          <cell r="C1464">
            <v>5</v>
          </cell>
          <cell r="D1464">
            <v>3</v>
          </cell>
          <cell r="E1464" t="str">
            <v>NON-HS</v>
          </cell>
          <cell r="F1464" t="str">
            <v>Palms</v>
          </cell>
          <cell r="G1464">
            <v>0</v>
          </cell>
          <cell r="H1464">
            <v>0</v>
          </cell>
          <cell r="I1464">
            <v>1</v>
          </cell>
          <cell r="J1464">
            <v>0</v>
          </cell>
          <cell r="K1464">
            <v>1</v>
          </cell>
          <cell r="L1464">
            <v>0</v>
          </cell>
          <cell r="M1464">
            <v>1</v>
          </cell>
          <cell r="N1464">
            <v>3.2258064516128997E-2</v>
          </cell>
          <cell r="O1464">
            <v>0</v>
          </cell>
          <cell r="P1464">
            <v>0.33333333333333298</v>
          </cell>
          <cell r="Q1464">
            <v>0.60784313725490202</v>
          </cell>
          <cell r="R1464">
            <v>5.8823529411764698E-2</v>
          </cell>
          <cell r="S1464">
            <v>0</v>
          </cell>
        </row>
        <row r="1465">
          <cell r="A1465">
            <v>217001</v>
          </cell>
          <cell r="B1465">
            <v>5</v>
          </cell>
          <cell r="C1465">
            <v>5</v>
          </cell>
          <cell r="D1465">
            <v>2</v>
          </cell>
          <cell r="E1465" t="str">
            <v>NON-HS</v>
          </cell>
          <cell r="F1465" t="str">
            <v>Palms</v>
          </cell>
          <cell r="G1465">
            <v>0</v>
          </cell>
          <cell r="H1465">
            <v>0</v>
          </cell>
          <cell r="I1465">
            <v>3.9260000000000002</v>
          </cell>
          <cell r="J1465">
            <v>1.90487994</v>
          </cell>
          <cell r="K1465">
            <v>3.9048799399999998</v>
          </cell>
          <cell r="L1465">
            <v>2.0625322082585301E-2</v>
          </cell>
          <cell r="M1465">
            <v>3.9255052620825901</v>
          </cell>
          <cell r="N1465">
            <v>3.2258064516128997E-2</v>
          </cell>
          <cell r="O1465">
            <v>0</v>
          </cell>
          <cell r="P1465">
            <v>0.33333333333333298</v>
          </cell>
          <cell r="Q1465">
            <v>0.60784313725490202</v>
          </cell>
          <cell r="R1465">
            <v>5.8823529411764698E-2</v>
          </cell>
          <cell r="S1465">
            <v>0</v>
          </cell>
        </row>
        <row r="1466">
          <cell r="A1466">
            <v>267901</v>
          </cell>
          <cell r="B1466">
            <v>5</v>
          </cell>
          <cell r="C1466">
            <v>5</v>
          </cell>
          <cell r="D1466">
            <v>3</v>
          </cell>
          <cell r="E1466" t="str">
            <v>NON-HS</v>
          </cell>
          <cell r="F1466" t="str">
            <v>Westside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3.2258064516128997E-2</v>
          </cell>
          <cell r="O1466">
            <v>0</v>
          </cell>
          <cell r="P1466">
            <v>0.33333333333333298</v>
          </cell>
          <cell r="Q1466">
            <v>0.60784313725490202</v>
          </cell>
          <cell r="R1466">
            <v>5.8823529411764698E-2</v>
          </cell>
          <cell r="S1466">
            <v>0</v>
          </cell>
        </row>
        <row r="1467">
          <cell r="A1467">
            <v>265303</v>
          </cell>
          <cell r="B1467">
            <v>5</v>
          </cell>
          <cell r="C1467">
            <v>5</v>
          </cell>
          <cell r="D1467">
            <v>3</v>
          </cell>
          <cell r="E1467" t="str">
            <v>NON-HS</v>
          </cell>
          <cell r="F1467" t="str">
            <v>Westwood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3.2258064516128997E-2</v>
          </cell>
          <cell r="O1467">
            <v>0</v>
          </cell>
          <cell r="P1467">
            <v>0.33333333333333298</v>
          </cell>
          <cell r="Q1467">
            <v>0.60784313725490202</v>
          </cell>
          <cell r="R1467">
            <v>5.8823529411764698E-2</v>
          </cell>
          <cell r="S1467">
            <v>0</v>
          </cell>
        </row>
        <row r="1468">
          <cell r="A1468">
            <v>265700</v>
          </cell>
          <cell r="B1468">
            <v>5</v>
          </cell>
          <cell r="C1468">
            <v>5</v>
          </cell>
          <cell r="D1468">
            <v>3</v>
          </cell>
          <cell r="E1468" t="str">
            <v>NON-HS</v>
          </cell>
          <cell r="F1468" t="str">
            <v>Westwood</v>
          </cell>
          <cell r="G1468">
            <v>0</v>
          </cell>
          <cell r="H1468">
            <v>0</v>
          </cell>
          <cell r="I1468">
            <v>5</v>
          </cell>
          <cell r="J1468">
            <v>0</v>
          </cell>
          <cell r="K1468">
            <v>5</v>
          </cell>
          <cell r="L1468">
            <v>0</v>
          </cell>
          <cell r="M1468">
            <v>5</v>
          </cell>
          <cell r="N1468">
            <v>3.2258064516128997E-2</v>
          </cell>
          <cell r="O1468">
            <v>0</v>
          </cell>
          <cell r="P1468">
            <v>0.33333333333333298</v>
          </cell>
          <cell r="Q1468">
            <v>0.60784313725490202</v>
          </cell>
          <cell r="R1468">
            <v>5.8823529411764698E-2</v>
          </cell>
          <cell r="S1468">
            <v>0</v>
          </cell>
        </row>
        <row r="1469">
          <cell r="A1469">
            <v>261102</v>
          </cell>
          <cell r="B1469">
            <v>5</v>
          </cell>
          <cell r="C1469">
            <v>5</v>
          </cell>
          <cell r="D1469">
            <v>3</v>
          </cell>
          <cell r="E1469" t="str">
            <v>NON-HS</v>
          </cell>
          <cell r="F1469" t="str">
            <v>Bel Air-Beverly Crest</v>
          </cell>
          <cell r="G1469">
            <v>0</v>
          </cell>
          <cell r="H1469">
            <v>0</v>
          </cell>
          <cell r="I1469">
            <v>5.9029999999999996</v>
          </cell>
          <cell r="J1469">
            <v>3.7168318299999998</v>
          </cell>
          <cell r="K1469">
            <v>5.7168318300000003</v>
          </cell>
          <cell r="L1469">
            <v>0.18615811166965901</v>
          </cell>
          <cell r="M1469">
            <v>5.9029899416696603</v>
          </cell>
          <cell r="N1469">
            <v>3.2258064516128997E-2</v>
          </cell>
          <cell r="O1469">
            <v>0</v>
          </cell>
          <cell r="P1469">
            <v>0.33333333333333298</v>
          </cell>
          <cell r="Q1469">
            <v>0.60784313725490202</v>
          </cell>
          <cell r="R1469">
            <v>5.8823529411764698E-2</v>
          </cell>
          <cell r="S1469">
            <v>0</v>
          </cell>
        </row>
        <row r="1470">
          <cell r="A1470">
            <v>261200</v>
          </cell>
          <cell r="B1470">
            <v>5</v>
          </cell>
          <cell r="C1470">
            <v>5</v>
          </cell>
          <cell r="D1470">
            <v>3</v>
          </cell>
          <cell r="E1470" t="str">
            <v>NON-HS</v>
          </cell>
          <cell r="F1470" t="str">
            <v>Bel Air-Beverly Crest</v>
          </cell>
          <cell r="G1470">
            <v>0</v>
          </cell>
          <cell r="H1470">
            <v>1</v>
          </cell>
          <cell r="I1470">
            <v>2.0950000000000002</v>
          </cell>
          <cell r="J1470">
            <v>1.9836996600000001</v>
          </cell>
          <cell r="K1470">
            <v>1.9836996600000001</v>
          </cell>
          <cell r="L1470">
            <v>0.11117260138240601</v>
          </cell>
          <cell r="M1470">
            <v>2.09487226138241</v>
          </cell>
          <cell r="N1470">
            <v>3.2258064516128997E-2</v>
          </cell>
          <cell r="O1470">
            <v>0</v>
          </cell>
          <cell r="P1470">
            <v>0.33333333333333298</v>
          </cell>
          <cell r="Q1470">
            <v>0.60784313725490202</v>
          </cell>
          <cell r="R1470">
            <v>5.8823529411764698E-2</v>
          </cell>
          <cell r="S1470">
            <v>17</v>
          </cell>
        </row>
        <row r="1471">
          <cell r="A1471">
            <v>262100</v>
          </cell>
          <cell r="B1471">
            <v>5</v>
          </cell>
          <cell r="C1471">
            <v>5</v>
          </cell>
          <cell r="D1471">
            <v>3</v>
          </cell>
          <cell r="E1471" t="str">
            <v>NON-HS</v>
          </cell>
          <cell r="F1471" t="str">
            <v>Bel Air-Beverly Crest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3.2258064516128997E-2</v>
          </cell>
          <cell r="O1471">
            <v>0</v>
          </cell>
          <cell r="P1471">
            <v>0.33333333333333298</v>
          </cell>
          <cell r="Q1471">
            <v>0.60784313725490202</v>
          </cell>
          <cell r="R1471">
            <v>5.8823529411764698E-2</v>
          </cell>
          <cell r="S1471">
            <v>0</v>
          </cell>
        </row>
        <row r="1472">
          <cell r="A1472">
            <v>265305</v>
          </cell>
          <cell r="B1472">
            <v>5</v>
          </cell>
          <cell r="C1472">
            <v>5</v>
          </cell>
          <cell r="D1472">
            <v>3</v>
          </cell>
          <cell r="E1472" t="str">
            <v>NON-HS</v>
          </cell>
          <cell r="F1472" t="str">
            <v>Westwood</v>
          </cell>
          <cell r="G1472">
            <v>0</v>
          </cell>
          <cell r="H1472">
            <v>0</v>
          </cell>
          <cell r="I1472">
            <v>11.116</v>
          </cell>
          <cell r="J1472">
            <v>5.87227926</v>
          </cell>
          <cell r="K1472">
            <v>10.872279259999999</v>
          </cell>
          <cell r="L1472">
            <v>0.24297052484739701</v>
          </cell>
          <cell r="M1472">
            <v>11.1152497848474</v>
          </cell>
          <cell r="N1472">
            <v>3.2258064516128997E-2</v>
          </cell>
          <cell r="O1472">
            <v>0</v>
          </cell>
          <cell r="P1472">
            <v>0.33333333333333298</v>
          </cell>
          <cell r="Q1472">
            <v>0.60784313725490202</v>
          </cell>
          <cell r="R1472">
            <v>5.8823529411764698E-2</v>
          </cell>
          <cell r="S1472">
            <v>0</v>
          </cell>
        </row>
        <row r="1473">
          <cell r="A1473">
            <v>265304</v>
          </cell>
          <cell r="B1473">
            <v>5</v>
          </cell>
          <cell r="C1473">
            <v>5</v>
          </cell>
          <cell r="D1473">
            <v>3</v>
          </cell>
          <cell r="E1473" t="str">
            <v>NON-HS</v>
          </cell>
          <cell r="F1473" t="str">
            <v>Westwood</v>
          </cell>
          <cell r="G1473">
            <v>0</v>
          </cell>
          <cell r="H1473">
            <v>0</v>
          </cell>
          <cell r="I1473">
            <v>2.9260000000000002</v>
          </cell>
          <cell r="J1473">
            <v>1.90487994</v>
          </cell>
          <cell r="K1473">
            <v>2.9048799399999998</v>
          </cell>
          <cell r="L1473">
            <v>2.0625322082585301E-2</v>
          </cell>
          <cell r="M1473">
            <v>2.9255052620825901</v>
          </cell>
          <cell r="N1473">
            <v>3.2258064516128997E-2</v>
          </cell>
          <cell r="O1473">
            <v>0</v>
          </cell>
          <cell r="P1473">
            <v>0.33333333333333298</v>
          </cell>
          <cell r="Q1473">
            <v>0.60784313725490202</v>
          </cell>
          <cell r="R1473">
            <v>5.8823529411764698E-2</v>
          </cell>
          <cell r="S1473">
            <v>0</v>
          </cell>
        </row>
        <row r="1474">
          <cell r="A1474">
            <v>265201</v>
          </cell>
          <cell r="B1474">
            <v>5</v>
          </cell>
          <cell r="C1474">
            <v>5</v>
          </cell>
          <cell r="D1474">
            <v>3</v>
          </cell>
          <cell r="E1474" t="str">
            <v>NON-HS</v>
          </cell>
          <cell r="F1474" t="str">
            <v>Westwood</v>
          </cell>
          <cell r="G1474">
            <v>0</v>
          </cell>
          <cell r="H1474">
            <v>0</v>
          </cell>
          <cell r="I1474">
            <v>4.181</v>
          </cell>
          <cell r="J1474">
            <v>2.87839314</v>
          </cell>
          <cell r="K1474">
            <v>3.87839314</v>
          </cell>
          <cell r="L1474">
            <v>0.30290401228007202</v>
          </cell>
          <cell r="M1474">
            <v>4.1812971522800702</v>
          </cell>
          <cell r="N1474">
            <v>3.2258064516128997E-2</v>
          </cell>
          <cell r="O1474">
            <v>0</v>
          </cell>
          <cell r="P1474">
            <v>0.33333333333333298</v>
          </cell>
          <cell r="Q1474">
            <v>0.60784313725490202</v>
          </cell>
          <cell r="R1474">
            <v>5.8823529411764698E-2</v>
          </cell>
          <cell r="S1474">
            <v>0</v>
          </cell>
        </row>
        <row r="1475">
          <cell r="A1475">
            <v>265420</v>
          </cell>
          <cell r="B1475">
            <v>5</v>
          </cell>
          <cell r="C1475">
            <v>5</v>
          </cell>
          <cell r="D1475">
            <v>3</v>
          </cell>
          <cell r="E1475" t="str">
            <v>NON-HS</v>
          </cell>
          <cell r="F1475" t="str">
            <v>Westwood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3.2258064516128997E-2</v>
          </cell>
          <cell r="O1475">
            <v>0</v>
          </cell>
          <cell r="P1475">
            <v>0.33333333333333298</v>
          </cell>
          <cell r="Q1475">
            <v>0.60784313725490202</v>
          </cell>
          <cell r="R1475">
            <v>5.8823529411764698E-2</v>
          </cell>
          <cell r="S1475">
            <v>0</v>
          </cell>
        </row>
        <row r="1476">
          <cell r="A1476">
            <v>265601</v>
          </cell>
          <cell r="B1476">
            <v>5</v>
          </cell>
          <cell r="C1476">
            <v>5</v>
          </cell>
          <cell r="D1476">
            <v>3</v>
          </cell>
          <cell r="E1476" t="str">
            <v>NON-HS</v>
          </cell>
          <cell r="F1476" t="str">
            <v>Westwood</v>
          </cell>
          <cell r="G1476">
            <v>0</v>
          </cell>
          <cell r="H1476">
            <v>0</v>
          </cell>
          <cell r="I1476">
            <v>16.126999999999999</v>
          </cell>
          <cell r="J1476">
            <v>8.6718526800000006</v>
          </cell>
          <cell r="K1476">
            <v>15.671852680000001</v>
          </cell>
          <cell r="L1476">
            <v>0.45532725782764799</v>
          </cell>
          <cell r="M1476">
            <v>16.127179937827599</v>
          </cell>
          <cell r="N1476">
            <v>3.2258064516128997E-2</v>
          </cell>
          <cell r="O1476">
            <v>0</v>
          </cell>
          <cell r="P1476">
            <v>0.33333333333333298</v>
          </cell>
          <cell r="Q1476">
            <v>0.60784313725490202</v>
          </cell>
          <cell r="R1476">
            <v>5.8823529411764698E-2</v>
          </cell>
          <cell r="S1476">
            <v>0</v>
          </cell>
        </row>
        <row r="1477">
          <cell r="A1477">
            <v>265602</v>
          </cell>
          <cell r="B1477">
            <v>5</v>
          </cell>
          <cell r="C1477">
            <v>5</v>
          </cell>
          <cell r="D1477">
            <v>3</v>
          </cell>
          <cell r="E1477" t="str">
            <v>NON-HS</v>
          </cell>
          <cell r="F1477" t="str">
            <v>Westwood</v>
          </cell>
          <cell r="G1477">
            <v>0</v>
          </cell>
          <cell r="H1477">
            <v>0</v>
          </cell>
          <cell r="I1477">
            <v>2.5910000000000002</v>
          </cell>
          <cell r="J1477">
            <v>1.43919657</v>
          </cell>
          <cell r="K1477">
            <v>2.43919657</v>
          </cell>
          <cell r="L1477">
            <v>0.15145200614003601</v>
          </cell>
          <cell r="M1477">
            <v>2.59064857614004</v>
          </cell>
          <cell r="N1477">
            <v>3.2258064516128997E-2</v>
          </cell>
          <cell r="O1477">
            <v>0</v>
          </cell>
          <cell r="P1477">
            <v>0.33333333333333298</v>
          </cell>
          <cell r="Q1477">
            <v>0.60784313725490202</v>
          </cell>
          <cell r="R1477">
            <v>5.8823529411764698E-2</v>
          </cell>
          <cell r="S1477">
            <v>0</v>
          </cell>
        </row>
        <row r="1478">
          <cell r="A1478">
            <v>267100</v>
          </cell>
          <cell r="B1478">
            <v>5</v>
          </cell>
          <cell r="C1478">
            <v>5</v>
          </cell>
          <cell r="D1478">
            <v>3</v>
          </cell>
          <cell r="E1478" t="str">
            <v>NON-HS</v>
          </cell>
          <cell r="F1478" t="str">
            <v>Westside</v>
          </cell>
          <cell r="G1478">
            <v>0</v>
          </cell>
          <cell r="H1478">
            <v>0</v>
          </cell>
          <cell r="I1478">
            <v>10.776999999999999</v>
          </cell>
          <cell r="J1478">
            <v>5.7146398200000004</v>
          </cell>
          <cell r="K1478">
            <v>10.71463982</v>
          </cell>
          <cell r="L1478">
            <v>6.18759662477558E-2</v>
          </cell>
          <cell r="M1478">
            <v>10.776515786247799</v>
          </cell>
          <cell r="N1478">
            <v>3.2258064516128997E-2</v>
          </cell>
          <cell r="O1478">
            <v>0</v>
          </cell>
          <cell r="P1478">
            <v>0.33333333333333298</v>
          </cell>
          <cell r="Q1478">
            <v>0.60784313725490202</v>
          </cell>
          <cell r="R1478">
            <v>5.8823529411764698E-2</v>
          </cell>
          <cell r="S1478">
            <v>0</v>
          </cell>
        </row>
        <row r="1479">
          <cell r="A1479">
            <v>265510</v>
          </cell>
          <cell r="B1479">
            <v>5</v>
          </cell>
          <cell r="C1479">
            <v>5</v>
          </cell>
          <cell r="D1479">
            <v>3</v>
          </cell>
          <cell r="E1479" t="str">
            <v>NON-HS</v>
          </cell>
          <cell r="F1479" t="str">
            <v>Westwood</v>
          </cell>
          <cell r="G1479">
            <v>0</v>
          </cell>
          <cell r="H1479">
            <v>0</v>
          </cell>
          <cell r="I1479">
            <v>12.585000000000001</v>
          </cell>
          <cell r="J1479">
            <v>7.4477719899999997</v>
          </cell>
          <cell r="K1479">
            <v>12.44777199</v>
          </cell>
          <cell r="L1479">
            <v>0.13686147653500899</v>
          </cell>
          <cell r="M1479">
            <v>12.584633466534999</v>
          </cell>
          <cell r="N1479">
            <v>3.2258064516128997E-2</v>
          </cell>
          <cell r="O1479">
            <v>0</v>
          </cell>
          <cell r="P1479">
            <v>0.33333333333333298</v>
          </cell>
          <cell r="Q1479">
            <v>0.60784313725490202</v>
          </cell>
          <cell r="R1479">
            <v>5.8823529411764698E-2</v>
          </cell>
          <cell r="S1479">
            <v>0</v>
          </cell>
        </row>
        <row r="1480">
          <cell r="A1480">
            <v>269800</v>
          </cell>
          <cell r="B1480">
            <v>5</v>
          </cell>
          <cell r="C1480">
            <v>5</v>
          </cell>
          <cell r="D1480">
            <v>2</v>
          </cell>
          <cell r="E1480" t="str">
            <v>NON-HS</v>
          </cell>
          <cell r="F1480" t="str">
            <v>Palms</v>
          </cell>
          <cell r="G1480">
            <v>0</v>
          </cell>
          <cell r="H1480">
            <v>0</v>
          </cell>
          <cell r="I1480">
            <v>18.277000000000001</v>
          </cell>
          <cell r="J1480">
            <v>16.99915086</v>
          </cell>
          <cell r="K1480">
            <v>17.99915086</v>
          </cell>
          <cell r="L1480">
            <v>0.27704178771992799</v>
          </cell>
          <cell r="M1480">
            <v>18.276192647719899</v>
          </cell>
          <cell r="N1480">
            <v>3.2258064516128997E-2</v>
          </cell>
          <cell r="O1480">
            <v>0</v>
          </cell>
          <cell r="P1480">
            <v>0.33333333333333298</v>
          </cell>
          <cell r="Q1480">
            <v>0.60784313725490202</v>
          </cell>
          <cell r="R1480">
            <v>5.8823529411764698E-2</v>
          </cell>
          <cell r="S1480">
            <v>0</v>
          </cell>
        </row>
        <row r="1481">
          <cell r="A1481">
            <v>265100</v>
          </cell>
          <cell r="B1481">
            <v>5</v>
          </cell>
          <cell r="C1481">
            <v>5</v>
          </cell>
          <cell r="D1481">
            <v>3</v>
          </cell>
          <cell r="E1481" t="str">
            <v>NON-HS</v>
          </cell>
          <cell r="F1481" t="str">
            <v>Westwood</v>
          </cell>
          <cell r="G1481">
            <v>0</v>
          </cell>
          <cell r="H1481">
            <v>0</v>
          </cell>
          <cell r="I1481">
            <v>2</v>
          </cell>
          <cell r="J1481">
            <v>0</v>
          </cell>
          <cell r="K1481">
            <v>2</v>
          </cell>
          <cell r="L1481">
            <v>0</v>
          </cell>
          <cell r="M1481">
            <v>2</v>
          </cell>
          <cell r="N1481">
            <v>3.2258064516128997E-2</v>
          </cell>
          <cell r="O1481">
            <v>0</v>
          </cell>
          <cell r="P1481">
            <v>0.33333333333333298</v>
          </cell>
          <cell r="Q1481">
            <v>0.60784313725490202</v>
          </cell>
          <cell r="R1481">
            <v>5.8823529411764698E-2</v>
          </cell>
          <cell r="S1481">
            <v>0</v>
          </cell>
        </row>
        <row r="1482">
          <cell r="A1482">
            <v>267800</v>
          </cell>
          <cell r="B1482">
            <v>5</v>
          </cell>
          <cell r="C1482">
            <v>5</v>
          </cell>
          <cell r="D1482">
            <v>3</v>
          </cell>
          <cell r="E1482" t="str">
            <v>NON-HS</v>
          </cell>
          <cell r="F1482" t="str">
            <v>Westside</v>
          </cell>
          <cell r="G1482">
            <v>0</v>
          </cell>
          <cell r="H1482">
            <v>0</v>
          </cell>
          <cell r="I1482">
            <v>20.594999999999999</v>
          </cell>
          <cell r="J1482">
            <v>13.268210699999999</v>
          </cell>
          <cell r="K1482">
            <v>20.268210700000001</v>
          </cell>
          <cell r="L1482">
            <v>0.32633842285457798</v>
          </cell>
          <cell r="M1482">
            <v>20.594549122854598</v>
          </cell>
          <cell r="N1482">
            <v>3.2258064516128997E-2</v>
          </cell>
          <cell r="O1482">
            <v>0</v>
          </cell>
          <cell r="P1482">
            <v>0.33333333333333298</v>
          </cell>
          <cell r="Q1482">
            <v>0.60784313725490202</v>
          </cell>
          <cell r="R1482">
            <v>5.8823529411764698E-2</v>
          </cell>
          <cell r="S1482">
            <v>0</v>
          </cell>
        </row>
        <row r="1483">
          <cell r="A1483">
            <v>269500</v>
          </cell>
          <cell r="B1483">
            <v>5</v>
          </cell>
          <cell r="C1483">
            <v>5</v>
          </cell>
          <cell r="D1483">
            <v>2</v>
          </cell>
          <cell r="E1483" t="str">
            <v>NON-HS</v>
          </cell>
          <cell r="F1483" t="str">
            <v>Palms</v>
          </cell>
          <cell r="G1483">
            <v>0</v>
          </cell>
          <cell r="H1483">
            <v>0</v>
          </cell>
          <cell r="I1483">
            <v>1.8080000000000001</v>
          </cell>
          <cell r="J1483">
            <v>1.73313217</v>
          </cell>
          <cell r="K1483">
            <v>1.73313217</v>
          </cell>
          <cell r="L1483">
            <v>7.4985510287253102E-2</v>
          </cell>
          <cell r="M1483">
            <v>1.8081176802872501</v>
          </cell>
          <cell r="N1483">
            <v>3.2258064516128997E-2</v>
          </cell>
          <cell r="O1483">
            <v>0</v>
          </cell>
          <cell r="P1483">
            <v>0.33333333333333298</v>
          </cell>
          <cell r="Q1483">
            <v>0.60784313725490202</v>
          </cell>
          <cell r="R1483">
            <v>5.8823529411764698E-2</v>
          </cell>
          <cell r="S1483">
            <v>0</v>
          </cell>
        </row>
        <row r="1484">
          <cell r="A1484">
            <v>269000</v>
          </cell>
          <cell r="B1484">
            <v>5</v>
          </cell>
          <cell r="C1484">
            <v>5</v>
          </cell>
          <cell r="D1484">
            <v>2</v>
          </cell>
          <cell r="E1484" t="str">
            <v>NON-HS</v>
          </cell>
          <cell r="F1484" t="str">
            <v>Westside</v>
          </cell>
          <cell r="G1484">
            <v>0</v>
          </cell>
          <cell r="H1484">
            <v>0</v>
          </cell>
          <cell r="I1484">
            <v>11.166</v>
          </cell>
          <cell r="J1484">
            <v>10.818827669999999</v>
          </cell>
          <cell r="K1484">
            <v>10.818827669999999</v>
          </cell>
          <cell r="L1484">
            <v>0.34599250552962302</v>
          </cell>
          <cell r="M1484">
            <v>11.1648201755296</v>
          </cell>
          <cell r="N1484">
            <v>3.2258064516128997E-2</v>
          </cell>
          <cell r="O1484">
            <v>0</v>
          </cell>
          <cell r="P1484">
            <v>0.33333333333333298</v>
          </cell>
          <cell r="Q1484">
            <v>0.60784313725490202</v>
          </cell>
          <cell r="R1484">
            <v>5.8823529411764698E-2</v>
          </cell>
          <cell r="S1484">
            <v>0</v>
          </cell>
        </row>
        <row r="1485">
          <cell r="A1485">
            <v>269300</v>
          </cell>
          <cell r="B1485">
            <v>5</v>
          </cell>
          <cell r="C1485">
            <v>5</v>
          </cell>
          <cell r="D1485">
            <v>2</v>
          </cell>
          <cell r="E1485" t="str">
            <v>NON-HS</v>
          </cell>
          <cell r="F1485" t="str">
            <v>Westside</v>
          </cell>
          <cell r="G1485">
            <v>0</v>
          </cell>
          <cell r="H1485">
            <v>0</v>
          </cell>
          <cell r="I1485">
            <v>3.5910000000000002</v>
          </cell>
          <cell r="J1485">
            <v>1.43919657</v>
          </cell>
          <cell r="K1485">
            <v>3.43919657</v>
          </cell>
          <cell r="L1485">
            <v>0.15145200614003601</v>
          </cell>
          <cell r="M1485">
            <v>3.59064857614004</v>
          </cell>
          <cell r="N1485">
            <v>3.2258064516128997E-2</v>
          </cell>
          <cell r="O1485">
            <v>0</v>
          </cell>
          <cell r="P1485">
            <v>0.33333333333333298</v>
          </cell>
          <cell r="Q1485">
            <v>0.60784313725490202</v>
          </cell>
          <cell r="R1485">
            <v>5.8823529411764698E-2</v>
          </cell>
          <cell r="S1485">
            <v>0</v>
          </cell>
        </row>
        <row r="1486">
          <cell r="A1486">
            <v>267902</v>
          </cell>
          <cell r="B1486">
            <v>5</v>
          </cell>
          <cell r="C1486">
            <v>5</v>
          </cell>
          <cell r="D1486">
            <v>3</v>
          </cell>
          <cell r="E1486" t="str">
            <v>NON-HS</v>
          </cell>
          <cell r="F1486" t="str">
            <v>Westside</v>
          </cell>
          <cell r="G1486">
            <v>0</v>
          </cell>
          <cell r="H1486">
            <v>0</v>
          </cell>
          <cell r="I1486">
            <v>2.5910000000000002</v>
          </cell>
          <cell r="J1486">
            <v>1.43919657</v>
          </cell>
          <cell r="K1486">
            <v>2.43919657</v>
          </cell>
          <cell r="L1486">
            <v>0.15145200614003601</v>
          </cell>
          <cell r="M1486">
            <v>2.59064857614004</v>
          </cell>
          <cell r="N1486">
            <v>3.2258064516128997E-2</v>
          </cell>
          <cell r="O1486">
            <v>0</v>
          </cell>
          <cell r="P1486">
            <v>0.33333333333333298</v>
          </cell>
          <cell r="Q1486">
            <v>0.60784313725490202</v>
          </cell>
          <cell r="R1486">
            <v>5.8823529411764698E-2</v>
          </cell>
          <cell r="S1486">
            <v>0</v>
          </cell>
        </row>
        <row r="1487">
          <cell r="A1487">
            <v>269903</v>
          </cell>
          <cell r="B1487">
            <v>5</v>
          </cell>
          <cell r="C1487">
            <v>5</v>
          </cell>
          <cell r="D1487">
            <v>2</v>
          </cell>
          <cell r="E1487" t="str">
            <v>NON-HS</v>
          </cell>
          <cell r="F1487" t="str">
            <v>Palms</v>
          </cell>
          <cell r="G1487">
            <v>0</v>
          </cell>
          <cell r="H1487">
            <v>0</v>
          </cell>
          <cell r="I1487">
            <v>15.462999999999999</v>
          </cell>
          <cell r="J1487">
            <v>9.1375360499999996</v>
          </cell>
          <cell r="K1487">
            <v>15.13753605</v>
          </cell>
          <cell r="L1487">
            <v>0.32450057377019698</v>
          </cell>
          <cell r="M1487">
            <v>15.462036623770199</v>
          </cell>
          <cell r="N1487">
            <v>3.2258064516128997E-2</v>
          </cell>
          <cell r="O1487">
            <v>0</v>
          </cell>
          <cell r="P1487">
            <v>0.33333333333333298</v>
          </cell>
          <cell r="Q1487">
            <v>0.60784313725490202</v>
          </cell>
          <cell r="R1487">
            <v>5.8823529411764698E-2</v>
          </cell>
          <cell r="S1487">
            <v>0</v>
          </cell>
        </row>
        <row r="1488">
          <cell r="A1488">
            <v>262200</v>
          </cell>
          <cell r="B1488">
            <v>5</v>
          </cell>
          <cell r="C1488">
            <v>5</v>
          </cell>
          <cell r="D1488">
            <v>3</v>
          </cell>
          <cell r="E1488" t="str">
            <v>NON-HS</v>
          </cell>
          <cell r="F1488" t="str">
            <v>Bel Air-Beverly Crest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3.2258064516128997E-2</v>
          </cell>
          <cell r="O1488">
            <v>0</v>
          </cell>
          <cell r="P1488">
            <v>0.33333333333333298</v>
          </cell>
          <cell r="Q1488">
            <v>0.60784313725490202</v>
          </cell>
          <cell r="R1488">
            <v>5.8823529411764698E-2</v>
          </cell>
          <cell r="S1488">
            <v>0</v>
          </cell>
        </row>
        <row r="1489">
          <cell r="A1489">
            <v>269905</v>
          </cell>
          <cell r="B1489">
            <v>5</v>
          </cell>
          <cell r="C1489">
            <v>5</v>
          </cell>
          <cell r="D1489">
            <v>2</v>
          </cell>
          <cell r="E1489" t="str">
            <v>NON-HS</v>
          </cell>
          <cell r="F1489" t="str">
            <v>Palms</v>
          </cell>
          <cell r="G1489">
            <v>0</v>
          </cell>
          <cell r="H1489">
            <v>0</v>
          </cell>
          <cell r="I1489">
            <v>23.664000000000001</v>
          </cell>
          <cell r="J1489">
            <v>15.90450879</v>
          </cell>
          <cell r="K1489">
            <v>22.904508790000001</v>
          </cell>
          <cell r="L1489">
            <v>0.75920250951526003</v>
          </cell>
          <cell r="M1489">
            <v>23.663711299515299</v>
          </cell>
          <cell r="N1489">
            <v>3.2258064516128997E-2</v>
          </cell>
          <cell r="O1489">
            <v>0</v>
          </cell>
          <cell r="P1489">
            <v>0.33333333333333298</v>
          </cell>
          <cell r="Q1489">
            <v>0.60784313725490202</v>
          </cell>
          <cell r="R1489">
            <v>5.8823529411764698E-2</v>
          </cell>
          <cell r="S1489">
            <v>0</v>
          </cell>
        </row>
        <row r="1490">
          <cell r="A1490">
            <v>269906</v>
          </cell>
          <cell r="B1490">
            <v>5</v>
          </cell>
          <cell r="C1490">
            <v>5</v>
          </cell>
          <cell r="D1490">
            <v>2</v>
          </cell>
          <cell r="E1490" t="str">
            <v>NON-HS</v>
          </cell>
          <cell r="F1490" t="str">
            <v>Palms</v>
          </cell>
          <cell r="G1490">
            <v>0</v>
          </cell>
          <cell r="H1490">
            <v>0</v>
          </cell>
          <cell r="I1490">
            <v>10.11</v>
          </cell>
          <cell r="J1490">
            <v>8.6222927400000007</v>
          </cell>
          <cell r="K1490">
            <v>9.6222927400000007</v>
          </cell>
          <cell r="L1490">
            <v>0.48758113838420097</v>
          </cell>
          <cell r="M1490">
            <v>10.109873878384199</v>
          </cell>
          <cell r="N1490">
            <v>3.2258064516128997E-2</v>
          </cell>
          <cell r="O1490">
            <v>0</v>
          </cell>
          <cell r="P1490">
            <v>0.33333333333333298</v>
          </cell>
          <cell r="Q1490">
            <v>0.60784313725490202</v>
          </cell>
          <cell r="R1490">
            <v>5.8823529411764698E-2</v>
          </cell>
          <cell r="S1490">
            <v>0</v>
          </cell>
        </row>
        <row r="1491">
          <cell r="A1491">
            <v>271701</v>
          </cell>
          <cell r="B1491">
            <v>5</v>
          </cell>
          <cell r="C1491">
            <v>5</v>
          </cell>
          <cell r="D1491">
            <v>2</v>
          </cell>
          <cell r="E1491" t="str">
            <v>NON-HS</v>
          </cell>
          <cell r="F1491" t="str">
            <v>Mar Vista</v>
          </cell>
          <cell r="G1491">
            <v>0</v>
          </cell>
          <cell r="H1491">
            <v>1</v>
          </cell>
          <cell r="I1491">
            <v>1</v>
          </cell>
          <cell r="J1491">
            <v>0</v>
          </cell>
          <cell r="K1491">
            <v>1</v>
          </cell>
          <cell r="L1491">
            <v>0</v>
          </cell>
          <cell r="M1491">
            <v>1</v>
          </cell>
          <cell r="N1491">
            <v>3.2258064516128997E-2</v>
          </cell>
          <cell r="O1491">
            <v>0</v>
          </cell>
          <cell r="P1491">
            <v>0.33333333333333298</v>
          </cell>
          <cell r="Q1491">
            <v>0.60784313725490202</v>
          </cell>
          <cell r="R1491">
            <v>5.8823529411764698E-2</v>
          </cell>
          <cell r="S1491">
            <v>17</v>
          </cell>
        </row>
        <row r="1492">
          <cell r="A1492">
            <v>271802</v>
          </cell>
          <cell r="B1492">
            <v>5</v>
          </cell>
          <cell r="C1492">
            <v>5</v>
          </cell>
          <cell r="D1492">
            <v>2</v>
          </cell>
          <cell r="E1492" t="str">
            <v>NON-HS</v>
          </cell>
          <cell r="F1492" t="str">
            <v>Palms</v>
          </cell>
          <cell r="G1492">
            <v>0</v>
          </cell>
          <cell r="H1492">
            <v>0</v>
          </cell>
          <cell r="I1492">
            <v>9.3019999999999996</v>
          </cell>
          <cell r="J1492">
            <v>6.8891605699999996</v>
          </cell>
          <cell r="K1492">
            <v>8.8891605699999996</v>
          </cell>
          <cell r="L1492">
            <v>0.412595628096948</v>
          </cell>
          <cell r="M1492">
            <v>9.3017561980969496</v>
          </cell>
          <cell r="N1492">
            <v>3.2258064516128997E-2</v>
          </cell>
          <cell r="O1492">
            <v>0</v>
          </cell>
          <cell r="P1492">
            <v>0.33333333333333298</v>
          </cell>
          <cell r="Q1492">
            <v>0.60784313725490202</v>
          </cell>
          <cell r="R1492">
            <v>5.8823529411764698E-2</v>
          </cell>
          <cell r="S1492">
            <v>0</v>
          </cell>
        </row>
        <row r="1493">
          <cell r="A1493">
            <v>269100</v>
          </cell>
          <cell r="B1493">
            <v>5</v>
          </cell>
          <cell r="C1493">
            <v>5</v>
          </cell>
          <cell r="D1493">
            <v>2</v>
          </cell>
          <cell r="E1493" t="str">
            <v>NON-HS</v>
          </cell>
          <cell r="F1493" t="str">
            <v>Palms</v>
          </cell>
          <cell r="G1493">
            <v>0</v>
          </cell>
          <cell r="H1493">
            <v>0</v>
          </cell>
          <cell r="I1493">
            <v>6.0209999999999999</v>
          </cell>
          <cell r="J1493">
            <v>3.8885795999999999</v>
          </cell>
          <cell r="K1493">
            <v>5.8885795999999999</v>
          </cell>
          <cell r="L1493">
            <v>0.131797923464991</v>
          </cell>
          <cell r="M1493">
            <v>6.0203775234649903</v>
          </cell>
          <cell r="N1493">
            <v>3.2258064516128997E-2</v>
          </cell>
          <cell r="O1493">
            <v>0</v>
          </cell>
          <cell r="P1493">
            <v>0.33333333333333298</v>
          </cell>
          <cell r="Q1493">
            <v>0.60784313725490202</v>
          </cell>
          <cell r="R1493">
            <v>5.8823529411764698E-2</v>
          </cell>
          <cell r="S1493">
            <v>0</v>
          </cell>
        </row>
        <row r="1494">
          <cell r="A1494">
            <v>117407</v>
          </cell>
          <cell r="B1494">
            <v>2</v>
          </cell>
          <cell r="C1494">
            <v>6</v>
          </cell>
          <cell r="D1494">
            <v>3</v>
          </cell>
          <cell r="E1494" t="str">
            <v>CVCTE</v>
          </cell>
          <cell r="F1494" t="str">
            <v>North Hills</v>
          </cell>
          <cell r="G1494">
            <v>0</v>
          </cell>
          <cell r="H1494">
            <v>1</v>
          </cell>
          <cell r="I1494">
            <v>9</v>
          </cell>
          <cell r="J1494">
            <v>0</v>
          </cell>
          <cell r="K1494">
            <v>9</v>
          </cell>
          <cell r="L1494">
            <v>0</v>
          </cell>
          <cell r="M1494">
            <v>9</v>
          </cell>
          <cell r="N1494">
            <v>0.17910447761194001</v>
          </cell>
          <cell r="O1494">
            <v>0</v>
          </cell>
          <cell r="P1494">
            <v>0.21641791044776101</v>
          </cell>
          <cell r="Q1494">
            <v>1</v>
          </cell>
          <cell r="R1494">
            <v>0.33333333333333298</v>
          </cell>
          <cell r="S1494">
            <v>3</v>
          </cell>
        </row>
        <row r="1495">
          <cell r="A1495">
            <v>120030</v>
          </cell>
          <cell r="B1495">
            <v>2</v>
          </cell>
          <cell r="C1495">
            <v>6</v>
          </cell>
          <cell r="D1495">
            <v>3</v>
          </cell>
          <cell r="E1495" t="str">
            <v>CVCTE</v>
          </cell>
          <cell r="F1495" t="str">
            <v>Panorama City</v>
          </cell>
          <cell r="G1495">
            <v>1</v>
          </cell>
          <cell r="H1495">
            <v>1</v>
          </cell>
          <cell r="I1495">
            <v>20.164999999999999</v>
          </cell>
          <cell r="J1495">
            <v>13.498493870000001</v>
          </cell>
          <cell r="K1495">
            <v>19.498493870000001</v>
          </cell>
          <cell r="L1495">
            <v>0.66620300524236997</v>
          </cell>
          <cell r="M1495">
            <v>20.164696875242399</v>
          </cell>
          <cell r="N1495">
            <v>0.17910447761194001</v>
          </cell>
          <cell r="O1495">
            <v>5.5833333333333304</v>
          </cell>
          <cell r="P1495">
            <v>0.21641791044776101</v>
          </cell>
          <cell r="Q1495">
            <v>1</v>
          </cell>
        </row>
        <row r="1496">
          <cell r="A1496">
            <v>120104</v>
          </cell>
          <cell r="B1496">
            <v>2</v>
          </cell>
          <cell r="C1496">
            <v>6</v>
          </cell>
          <cell r="D1496">
            <v>3</v>
          </cell>
          <cell r="E1496" t="str">
            <v>CVCTE</v>
          </cell>
          <cell r="F1496" t="str">
            <v>Panorama City</v>
          </cell>
          <cell r="G1496">
            <v>0</v>
          </cell>
          <cell r="H1496">
            <v>1</v>
          </cell>
          <cell r="I1496">
            <v>23.158999999999999</v>
          </cell>
          <cell r="J1496">
            <v>16.827403090000001</v>
          </cell>
          <cell r="K1496">
            <v>22.827403090000001</v>
          </cell>
          <cell r="L1496">
            <v>0.33140197592459603</v>
          </cell>
          <cell r="M1496">
            <v>23.1588050659246</v>
          </cell>
          <cell r="N1496">
            <v>0.17910447761194001</v>
          </cell>
          <cell r="O1496">
            <v>0</v>
          </cell>
          <cell r="P1496">
            <v>0.21641791044776101</v>
          </cell>
          <cell r="Q1496">
            <v>1</v>
          </cell>
          <cell r="R1496">
            <v>0.33333333333333298</v>
          </cell>
          <cell r="S1496">
            <v>3</v>
          </cell>
        </row>
        <row r="1497">
          <cell r="A1497">
            <v>119800</v>
          </cell>
          <cell r="B1497">
            <v>2</v>
          </cell>
          <cell r="C1497">
            <v>6</v>
          </cell>
          <cell r="D1497">
            <v>3</v>
          </cell>
          <cell r="E1497" t="str">
            <v>CVCTE</v>
          </cell>
          <cell r="F1497" t="str">
            <v>Arleta</v>
          </cell>
          <cell r="G1497">
            <v>0</v>
          </cell>
          <cell r="H1497">
            <v>1</v>
          </cell>
          <cell r="I1497">
            <v>20.212</v>
          </cell>
          <cell r="J1497">
            <v>16.97217169</v>
          </cell>
          <cell r="K1497">
            <v>19.97217169</v>
          </cell>
          <cell r="L1497">
            <v>0.239988086947935</v>
          </cell>
          <cell r="M1497">
            <v>20.2121597769479</v>
          </cell>
          <cell r="N1497">
            <v>0.17910447761194001</v>
          </cell>
          <cell r="O1497">
            <v>0</v>
          </cell>
          <cell r="P1497">
            <v>0.21641791044776101</v>
          </cell>
          <cell r="Q1497">
            <v>1</v>
          </cell>
          <cell r="R1497">
            <v>0.33333333333333298</v>
          </cell>
          <cell r="S1497">
            <v>3</v>
          </cell>
        </row>
        <row r="1498">
          <cell r="A1498">
            <v>119201</v>
          </cell>
          <cell r="B1498">
            <v>2</v>
          </cell>
          <cell r="C1498">
            <v>6</v>
          </cell>
          <cell r="D1498">
            <v>3</v>
          </cell>
          <cell r="E1498" t="str">
            <v>CVCTE</v>
          </cell>
          <cell r="F1498" t="str">
            <v>Arleta</v>
          </cell>
          <cell r="G1498">
            <v>0</v>
          </cell>
          <cell r="H1498">
            <v>1</v>
          </cell>
          <cell r="I1498">
            <v>16.210999999999999</v>
          </cell>
          <cell r="J1498">
            <v>7.8559789200000001</v>
          </cell>
          <cell r="K1498">
            <v>15.85597892</v>
          </cell>
          <cell r="L1498">
            <v>0.35414312622980199</v>
          </cell>
          <cell r="M1498">
            <v>16.210122046229799</v>
          </cell>
          <cell r="N1498">
            <v>0.17910447761194001</v>
          </cell>
          <cell r="O1498">
            <v>0</v>
          </cell>
          <cell r="P1498">
            <v>0.21641791044776101</v>
          </cell>
          <cell r="Q1498">
            <v>1</v>
          </cell>
          <cell r="R1498">
            <v>0.33333333333333298</v>
          </cell>
          <cell r="S1498">
            <v>3</v>
          </cell>
        </row>
        <row r="1499">
          <cell r="A1499">
            <v>127210</v>
          </cell>
          <cell r="B1499">
            <v>2</v>
          </cell>
          <cell r="C1499">
            <v>6</v>
          </cell>
          <cell r="D1499">
            <v>3</v>
          </cell>
          <cell r="E1499" t="str">
            <v>CVCTE</v>
          </cell>
          <cell r="F1499" t="str">
            <v>Van Nuys</v>
          </cell>
          <cell r="G1499">
            <v>0</v>
          </cell>
          <cell r="H1499">
            <v>0</v>
          </cell>
          <cell r="I1499">
            <v>29.768000000000001</v>
          </cell>
          <cell r="J1499">
            <v>27.19465572</v>
          </cell>
          <cell r="K1499">
            <v>29.19465572</v>
          </cell>
          <cell r="L1499">
            <v>0.572766418707361</v>
          </cell>
          <cell r="M1499">
            <v>29.767422138707399</v>
          </cell>
          <cell r="N1499">
            <v>0.17910447761194001</v>
          </cell>
          <cell r="O1499">
            <v>0</v>
          </cell>
          <cell r="P1499">
            <v>0.21641791044776101</v>
          </cell>
          <cell r="Q1499">
            <v>1</v>
          </cell>
          <cell r="R1499">
            <v>0.33333333333333298</v>
          </cell>
          <cell r="S1499">
            <v>0</v>
          </cell>
        </row>
        <row r="1500">
          <cell r="A1500">
            <v>121900</v>
          </cell>
          <cell r="B1500">
            <v>2</v>
          </cell>
          <cell r="C1500">
            <v>6</v>
          </cell>
          <cell r="D1500">
            <v>3</v>
          </cell>
          <cell r="E1500" t="str">
            <v>CVCTE</v>
          </cell>
          <cell r="F1500" t="str">
            <v>Sun Valley</v>
          </cell>
          <cell r="G1500">
            <v>0</v>
          </cell>
          <cell r="H1500">
            <v>0</v>
          </cell>
          <cell r="I1500">
            <v>29.957000000000001</v>
          </cell>
          <cell r="J1500">
            <v>22.944613950000001</v>
          </cell>
          <cell r="K1500">
            <v>28.944613950000001</v>
          </cell>
          <cell r="L1500">
            <v>1.0121615041472201</v>
          </cell>
          <cell r="M1500">
            <v>29.956775454147198</v>
          </cell>
          <cell r="N1500">
            <v>0.17910447761194001</v>
          </cell>
          <cell r="O1500">
            <v>0</v>
          </cell>
          <cell r="P1500">
            <v>0.21641791044776101</v>
          </cell>
          <cell r="Q1500">
            <v>1</v>
          </cell>
          <cell r="R1500">
            <v>0.33333333333333298</v>
          </cell>
          <cell r="S1500">
            <v>0</v>
          </cell>
        </row>
        <row r="1501">
          <cell r="A1501">
            <v>119002</v>
          </cell>
          <cell r="B1501">
            <v>2</v>
          </cell>
          <cell r="C1501">
            <v>6</v>
          </cell>
          <cell r="D1501">
            <v>3</v>
          </cell>
          <cell r="E1501" t="str">
            <v>CVCTE</v>
          </cell>
          <cell r="F1501" t="str">
            <v>Arleta</v>
          </cell>
          <cell r="G1501">
            <v>1</v>
          </cell>
          <cell r="H1501">
            <v>1</v>
          </cell>
          <cell r="I1501">
            <v>19.422000000000001</v>
          </cell>
          <cell r="J1501">
            <v>17.991170790000002</v>
          </cell>
          <cell r="K1501">
            <v>18.991170790000002</v>
          </cell>
          <cell r="L1501">
            <v>0.43022701321364498</v>
          </cell>
          <cell r="M1501">
            <v>19.421397803213601</v>
          </cell>
          <cell r="N1501">
            <v>0.17910447761194001</v>
          </cell>
          <cell r="O1501">
            <v>5.5833333333333304</v>
          </cell>
          <cell r="P1501">
            <v>0.21641791044776101</v>
          </cell>
          <cell r="Q1501">
            <v>1</v>
          </cell>
        </row>
        <row r="1502">
          <cell r="A1502">
            <v>127803</v>
          </cell>
          <cell r="B1502">
            <v>2</v>
          </cell>
          <cell r="C1502">
            <v>6</v>
          </cell>
          <cell r="D1502">
            <v>3</v>
          </cell>
          <cell r="E1502" t="str">
            <v>CVCTE</v>
          </cell>
          <cell r="F1502" t="str">
            <v>Van Nuys</v>
          </cell>
          <cell r="G1502">
            <v>1</v>
          </cell>
          <cell r="H1502">
            <v>1</v>
          </cell>
          <cell r="I1502">
            <v>21.622</v>
          </cell>
          <cell r="J1502">
            <v>13.450332960000001</v>
          </cell>
          <cell r="K1502">
            <v>21.450332960000001</v>
          </cell>
          <cell r="L1502">
            <v>0.171935454075404</v>
          </cell>
          <cell r="M1502">
            <v>21.6222684140754</v>
          </cell>
          <cell r="N1502">
            <v>0.17910447761194001</v>
          </cell>
          <cell r="O1502">
            <v>5.5833333333333304</v>
          </cell>
          <cell r="P1502">
            <v>0.21641791044776101</v>
          </cell>
          <cell r="Q1502">
            <v>1</v>
          </cell>
        </row>
        <row r="1503">
          <cell r="A1503">
            <v>117408</v>
          </cell>
          <cell r="B1503">
            <v>2</v>
          </cell>
          <cell r="C1503">
            <v>6</v>
          </cell>
          <cell r="D1503">
            <v>3</v>
          </cell>
          <cell r="E1503" t="str">
            <v>CVCTE</v>
          </cell>
          <cell r="F1503" t="str">
            <v>North Hills</v>
          </cell>
          <cell r="G1503">
            <v>0</v>
          </cell>
          <cell r="H1503">
            <v>0</v>
          </cell>
          <cell r="I1503">
            <v>57.393000000000001</v>
          </cell>
          <cell r="J1503">
            <v>29.02913418</v>
          </cell>
          <cell r="K1503">
            <v>57.02913418</v>
          </cell>
          <cell r="L1503">
            <v>0.36362962055655301</v>
          </cell>
          <cell r="M1503">
            <v>57.392763800556601</v>
          </cell>
          <cell r="N1503">
            <v>0.17910447761194001</v>
          </cell>
          <cell r="O1503">
            <v>0</v>
          </cell>
          <cell r="P1503">
            <v>0.21641791044776101</v>
          </cell>
          <cell r="Q1503">
            <v>1</v>
          </cell>
          <cell r="R1503">
            <v>0.33333333333333298</v>
          </cell>
          <cell r="S1503">
            <v>0</v>
          </cell>
        </row>
        <row r="1504">
          <cell r="A1504">
            <v>128210</v>
          </cell>
          <cell r="B1504">
            <v>2</v>
          </cell>
          <cell r="C1504">
            <v>6</v>
          </cell>
          <cell r="D1504">
            <v>3</v>
          </cell>
          <cell r="E1504" t="str">
            <v>CVCTE</v>
          </cell>
          <cell r="F1504" t="str">
            <v>Van Nuys</v>
          </cell>
          <cell r="G1504">
            <v>0</v>
          </cell>
          <cell r="H1504">
            <v>0</v>
          </cell>
          <cell r="I1504">
            <v>47.017000000000003</v>
          </cell>
          <cell r="J1504">
            <v>34.837799369999999</v>
          </cell>
          <cell r="K1504">
            <v>45.837799369999999</v>
          </cell>
          <cell r="L1504">
            <v>1.1796707791741501</v>
          </cell>
          <cell r="M1504">
            <v>47.017470149174102</v>
          </cell>
          <cell r="N1504">
            <v>0.17910447761194001</v>
          </cell>
          <cell r="O1504">
            <v>0</v>
          </cell>
          <cell r="P1504">
            <v>0.21641791044776101</v>
          </cell>
          <cell r="Q1504">
            <v>1</v>
          </cell>
          <cell r="R1504">
            <v>0.33333333333333298</v>
          </cell>
          <cell r="S1504">
            <v>0</v>
          </cell>
        </row>
        <row r="1505">
          <cell r="A1505">
            <v>120020</v>
          </cell>
          <cell r="B1505">
            <v>2</v>
          </cell>
          <cell r="C1505">
            <v>6</v>
          </cell>
          <cell r="D1505">
            <v>3</v>
          </cell>
          <cell r="E1505" t="str">
            <v>CVCTE</v>
          </cell>
          <cell r="F1505" t="str">
            <v>Panorama City</v>
          </cell>
          <cell r="G1505">
            <v>0</v>
          </cell>
          <cell r="H1505">
            <v>0</v>
          </cell>
          <cell r="I1505">
            <v>17.712</v>
          </cell>
          <cell r="J1505">
            <v>16.11962467</v>
          </cell>
          <cell r="K1505">
            <v>17.11962467</v>
          </cell>
          <cell r="L1505">
            <v>0.59218873436265695</v>
          </cell>
          <cell r="M1505">
            <v>17.711813404362701</v>
          </cell>
          <cell r="N1505">
            <v>0.17910447761194001</v>
          </cell>
          <cell r="O1505">
            <v>0</v>
          </cell>
          <cell r="P1505">
            <v>0.21641791044776101</v>
          </cell>
          <cell r="Q1505">
            <v>1</v>
          </cell>
          <cell r="R1505">
            <v>0.33333333333333298</v>
          </cell>
          <cell r="S1505">
            <v>0</v>
          </cell>
        </row>
        <row r="1506">
          <cell r="A1506">
            <v>127910</v>
          </cell>
          <cell r="B1506">
            <v>2</v>
          </cell>
          <cell r="C1506">
            <v>6</v>
          </cell>
          <cell r="D1506">
            <v>3</v>
          </cell>
          <cell r="E1506" t="str">
            <v>CVCTE</v>
          </cell>
          <cell r="F1506" t="str">
            <v>Van Nuys</v>
          </cell>
          <cell r="G1506">
            <v>0</v>
          </cell>
          <cell r="H1506">
            <v>0</v>
          </cell>
          <cell r="I1506">
            <v>9.6289999999999996</v>
          </cell>
          <cell r="J1506">
            <v>3.5861715599999999</v>
          </cell>
          <cell r="K1506">
            <v>9.5861715600000004</v>
          </cell>
          <cell r="L1506">
            <v>4.2117253842010802E-2</v>
          </cell>
          <cell r="M1506">
            <v>9.6282888138420102</v>
          </cell>
          <cell r="N1506">
            <v>0.17910447761194001</v>
          </cell>
          <cell r="O1506">
            <v>0</v>
          </cell>
          <cell r="P1506">
            <v>0.21641791044776101</v>
          </cell>
          <cell r="Q1506">
            <v>1</v>
          </cell>
          <cell r="R1506">
            <v>0.33333333333333298</v>
          </cell>
          <cell r="S1506">
            <v>0</v>
          </cell>
        </row>
        <row r="1507">
          <cell r="A1507">
            <v>122122</v>
          </cell>
          <cell r="B1507">
            <v>2</v>
          </cell>
          <cell r="C1507">
            <v>6</v>
          </cell>
          <cell r="D1507">
            <v>3</v>
          </cell>
          <cell r="E1507" t="str">
            <v>CVCTE</v>
          </cell>
          <cell r="F1507" t="str">
            <v>Sun Valley</v>
          </cell>
          <cell r="G1507">
            <v>0</v>
          </cell>
          <cell r="H1507">
            <v>0</v>
          </cell>
          <cell r="I1507">
            <v>97.873999999999995</v>
          </cell>
          <cell r="J1507">
            <v>60.339891690000002</v>
          </cell>
          <cell r="K1507">
            <v>95.339891690000002</v>
          </cell>
          <cell r="L1507">
            <v>2.5341490906822299</v>
          </cell>
          <cell r="M1507">
            <v>97.874040780682193</v>
          </cell>
          <cell r="N1507">
            <v>0.17910447761194001</v>
          </cell>
          <cell r="O1507">
            <v>0</v>
          </cell>
          <cell r="P1507">
            <v>0.21641791044776101</v>
          </cell>
          <cell r="Q1507">
            <v>1</v>
          </cell>
          <cell r="R1507">
            <v>0.33333333333333298</v>
          </cell>
          <cell r="S1507">
            <v>0</v>
          </cell>
        </row>
        <row r="1508">
          <cell r="A1508">
            <v>117530</v>
          </cell>
          <cell r="B1508">
            <v>2</v>
          </cell>
          <cell r="C1508">
            <v>6</v>
          </cell>
          <cell r="D1508">
            <v>3</v>
          </cell>
          <cell r="E1508" t="str">
            <v>CVCTE</v>
          </cell>
          <cell r="F1508" t="str">
            <v>North Hills</v>
          </cell>
          <cell r="G1508">
            <v>0</v>
          </cell>
          <cell r="H1508">
            <v>0</v>
          </cell>
          <cell r="I1508">
            <v>70.838999999999999</v>
          </cell>
          <cell r="J1508">
            <v>23.538082679999999</v>
          </cell>
          <cell r="K1508">
            <v>70.538082680000002</v>
          </cell>
          <cell r="L1508">
            <v>0.30088704463195698</v>
          </cell>
          <cell r="M1508">
            <v>70.838969724631994</v>
          </cell>
          <cell r="N1508">
            <v>0.17910447761194001</v>
          </cell>
          <cell r="O1508">
            <v>0</v>
          </cell>
          <cell r="P1508">
            <v>0.21641791044776101</v>
          </cell>
          <cell r="Q1508">
            <v>1</v>
          </cell>
          <cell r="R1508">
            <v>0.33333333333333298</v>
          </cell>
          <cell r="S1508">
            <v>0</v>
          </cell>
        </row>
        <row r="1509">
          <cell r="A1509">
            <v>119202</v>
          </cell>
          <cell r="B1509">
            <v>2</v>
          </cell>
          <cell r="C1509">
            <v>6</v>
          </cell>
          <cell r="D1509">
            <v>3</v>
          </cell>
          <cell r="E1509" t="str">
            <v>CVCTE</v>
          </cell>
          <cell r="F1509" t="str">
            <v>Arleta</v>
          </cell>
          <cell r="G1509">
            <v>0</v>
          </cell>
          <cell r="H1509">
            <v>0</v>
          </cell>
          <cell r="I1509">
            <v>2.0950000000000002</v>
          </cell>
          <cell r="J1509">
            <v>1.9836996600000001</v>
          </cell>
          <cell r="K1509">
            <v>1.9836996600000001</v>
          </cell>
          <cell r="L1509">
            <v>0.11117260138240601</v>
          </cell>
          <cell r="M1509">
            <v>2.09487226138241</v>
          </cell>
          <cell r="N1509">
            <v>0.17910447761194001</v>
          </cell>
          <cell r="O1509">
            <v>0</v>
          </cell>
          <cell r="P1509">
            <v>0.21641791044776101</v>
          </cell>
          <cell r="Q1509">
            <v>1</v>
          </cell>
          <cell r="R1509">
            <v>0.33333333333333298</v>
          </cell>
          <cell r="S1509">
            <v>0</v>
          </cell>
        </row>
        <row r="1510">
          <cell r="A1510">
            <v>127220</v>
          </cell>
          <cell r="B1510">
            <v>2</v>
          </cell>
          <cell r="C1510">
            <v>6</v>
          </cell>
          <cell r="D1510">
            <v>3</v>
          </cell>
          <cell r="E1510" t="str">
            <v>CVCTE</v>
          </cell>
          <cell r="F1510" t="str">
            <v>Van Nuys</v>
          </cell>
          <cell r="G1510">
            <v>0</v>
          </cell>
          <cell r="H1510">
            <v>0</v>
          </cell>
          <cell r="I1510">
            <v>22.026</v>
          </cell>
          <cell r="J1510">
            <v>16.552314419999998</v>
          </cell>
          <cell r="K1510">
            <v>21.552314419999998</v>
          </cell>
          <cell r="L1510">
            <v>0.47397285667863598</v>
          </cell>
          <cell r="M1510">
            <v>22.026287276678602</v>
          </cell>
          <cell r="N1510">
            <v>0.17910447761194001</v>
          </cell>
          <cell r="O1510">
            <v>0</v>
          </cell>
          <cell r="P1510">
            <v>0.21641791044776101</v>
          </cell>
          <cell r="Q1510">
            <v>1</v>
          </cell>
          <cell r="R1510">
            <v>0.33333333333333298</v>
          </cell>
          <cell r="S1510">
            <v>0</v>
          </cell>
        </row>
        <row r="1511">
          <cell r="A1511">
            <v>119001</v>
          </cell>
          <cell r="B1511">
            <v>2</v>
          </cell>
          <cell r="C1511">
            <v>6</v>
          </cell>
          <cell r="D1511">
            <v>3</v>
          </cell>
          <cell r="E1511" t="str">
            <v>CVCTE</v>
          </cell>
          <cell r="F1511" t="str">
            <v>Arleta</v>
          </cell>
          <cell r="G1511">
            <v>0</v>
          </cell>
          <cell r="H1511">
            <v>1</v>
          </cell>
          <cell r="I1511">
            <v>3.6859999999999999</v>
          </cell>
          <cell r="J1511">
            <v>3.4228962300000001</v>
          </cell>
          <cell r="K1511">
            <v>3.4228962300000001</v>
          </cell>
          <cell r="L1511">
            <v>0.26262460752244199</v>
          </cell>
          <cell r="M1511">
            <v>3.6855208375224402</v>
          </cell>
          <cell r="N1511">
            <v>0.17910447761194001</v>
          </cell>
          <cell r="O1511">
            <v>0</v>
          </cell>
          <cell r="P1511">
            <v>0.21641791044776101</v>
          </cell>
          <cell r="Q1511">
            <v>1</v>
          </cell>
          <cell r="R1511">
            <v>0.33333333333333298</v>
          </cell>
          <cell r="S1511">
            <v>3</v>
          </cell>
        </row>
        <row r="1512">
          <cell r="A1512">
            <v>127605</v>
          </cell>
          <cell r="B1512">
            <v>2</v>
          </cell>
          <cell r="C1512">
            <v>6</v>
          </cell>
          <cell r="D1512">
            <v>3</v>
          </cell>
          <cell r="E1512" t="str">
            <v>CVCTE</v>
          </cell>
          <cell r="F1512" t="str">
            <v>Lake Balboa</v>
          </cell>
          <cell r="G1512">
            <v>0</v>
          </cell>
          <cell r="H1512">
            <v>1</v>
          </cell>
          <cell r="I1512">
            <v>30.155000000000001</v>
          </cell>
          <cell r="J1512">
            <v>23.502506740000001</v>
          </cell>
          <cell r="K1512">
            <v>28.502506740000001</v>
          </cell>
          <cell r="L1512">
            <v>1.65334448351885</v>
          </cell>
          <cell r="M1512">
            <v>30.155851223518901</v>
          </cell>
          <cell r="N1512">
            <v>0.17910447761194001</v>
          </cell>
          <cell r="O1512">
            <v>0</v>
          </cell>
          <cell r="P1512">
            <v>0.21641791044776101</v>
          </cell>
          <cell r="Q1512">
            <v>1</v>
          </cell>
          <cell r="R1512">
            <v>0.33333333333333298</v>
          </cell>
          <cell r="S1512">
            <v>3</v>
          </cell>
        </row>
        <row r="1513">
          <cell r="A1513">
            <v>121222</v>
          </cell>
          <cell r="B1513">
            <v>2</v>
          </cell>
          <cell r="C1513">
            <v>6</v>
          </cell>
          <cell r="D1513">
            <v>3</v>
          </cell>
          <cell r="E1513" t="str">
            <v>CVCTE</v>
          </cell>
          <cell r="F1513" t="str">
            <v>Sun Valley</v>
          </cell>
          <cell r="G1513">
            <v>0</v>
          </cell>
          <cell r="H1513">
            <v>0</v>
          </cell>
          <cell r="I1513">
            <v>28.477</v>
          </cell>
          <cell r="J1513">
            <v>26.86914818</v>
          </cell>
          <cell r="K1513">
            <v>26.86914818</v>
          </cell>
          <cell r="L1513">
            <v>1.60749177953321</v>
          </cell>
          <cell r="M1513">
            <v>28.476639959533198</v>
          </cell>
          <cell r="N1513">
            <v>0.17910447761194001</v>
          </cell>
          <cell r="O1513">
            <v>0</v>
          </cell>
          <cell r="P1513">
            <v>0.21641791044776101</v>
          </cell>
          <cell r="Q1513">
            <v>1</v>
          </cell>
          <cell r="R1513">
            <v>0.33333333333333298</v>
          </cell>
          <cell r="S1513">
            <v>0</v>
          </cell>
        </row>
        <row r="1514">
          <cell r="A1514">
            <v>127520</v>
          </cell>
          <cell r="B1514">
            <v>2</v>
          </cell>
          <cell r="C1514">
            <v>6</v>
          </cell>
          <cell r="D1514">
            <v>3</v>
          </cell>
          <cell r="E1514" t="str">
            <v>CVCTE</v>
          </cell>
          <cell r="F1514" t="str">
            <v>North Hills</v>
          </cell>
          <cell r="G1514">
            <v>0</v>
          </cell>
          <cell r="H1514">
            <v>1</v>
          </cell>
          <cell r="I1514">
            <v>51.731000000000002</v>
          </cell>
          <cell r="J1514">
            <v>18.49420782</v>
          </cell>
          <cell r="K1514">
            <v>51.49420782</v>
          </cell>
          <cell r="L1514">
            <v>0.23641124935367999</v>
          </cell>
          <cell r="M1514">
            <v>51.7306190693537</v>
          </cell>
          <cell r="N1514">
            <v>0.17910447761194001</v>
          </cell>
          <cell r="O1514">
            <v>0</v>
          </cell>
          <cell r="P1514">
            <v>0.21641791044776101</v>
          </cell>
          <cell r="Q1514">
            <v>1</v>
          </cell>
          <cell r="R1514">
            <v>0.33333333333333298</v>
          </cell>
          <cell r="S1514">
            <v>3</v>
          </cell>
        </row>
        <row r="1515">
          <cell r="A1515">
            <v>121010</v>
          </cell>
          <cell r="B1515">
            <v>2</v>
          </cell>
          <cell r="C1515">
            <v>6</v>
          </cell>
          <cell r="D1515">
            <v>3</v>
          </cell>
          <cell r="E1515" t="str">
            <v>CVCTE</v>
          </cell>
          <cell r="F1515" t="str">
            <v>Sun Valley</v>
          </cell>
          <cell r="G1515">
            <v>0</v>
          </cell>
          <cell r="H1515">
            <v>0</v>
          </cell>
          <cell r="I1515">
            <v>35.116999999999997</v>
          </cell>
          <cell r="J1515">
            <v>26.081491079999999</v>
          </cell>
          <cell r="K1515">
            <v>34.081491079999999</v>
          </cell>
          <cell r="L1515">
            <v>1.0353981543267501</v>
          </cell>
          <cell r="M1515">
            <v>35.116889234326798</v>
          </cell>
          <cell r="N1515">
            <v>0.17910447761194001</v>
          </cell>
          <cell r="O1515">
            <v>0</v>
          </cell>
          <cell r="P1515">
            <v>0.21641791044776101</v>
          </cell>
          <cell r="Q1515">
            <v>1</v>
          </cell>
          <cell r="R1515">
            <v>0.33333333333333298</v>
          </cell>
          <cell r="S1515">
            <v>0</v>
          </cell>
        </row>
        <row r="1516">
          <cell r="A1516">
            <v>127400</v>
          </cell>
          <cell r="B1516">
            <v>2</v>
          </cell>
          <cell r="C1516">
            <v>6</v>
          </cell>
          <cell r="D1516">
            <v>3</v>
          </cell>
          <cell r="E1516" t="str">
            <v>CVCTE</v>
          </cell>
          <cell r="F1516" t="str">
            <v>Lake Balboa</v>
          </cell>
          <cell r="G1516">
            <v>0</v>
          </cell>
          <cell r="H1516">
            <v>0</v>
          </cell>
          <cell r="I1516">
            <v>35.220999999999997</v>
          </cell>
          <cell r="J1516">
            <v>33.420486179999997</v>
          </cell>
          <cell r="K1516">
            <v>33.420486179999997</v>
          </cell>
          <cell r="L1516">
            <v>1.8002535538779201</v>
          </cell>
          <cell r="M1516">
            <v>35.220739733877899</v>
          </cell>
          <cell r="N1516">
            <v>0.17910447761194001</v>
          </cell>
          <cell r="O1516">
            <v>0</v>
          </cell>
          <cell r="P1516">
            <v>0.21641791044776101</v>
          </cell>
          <cell r="Q1516">
            <v>1</v>
          </cell>
          <cell r="R1516">
            <v>0.33333333333333298</v>
          </cell>
          <cell r="S1516">
            <v>0</v>
          </cell>
        </row>
        <row r="1517">
          <cell r="A1517">
            <v>980024</v>
          </cell>
          <cell r="B1517">
            <v>2</v>
          </cell>
          <cell r="C1517">
            <v>6</v>
          </cell>
          <cell r="D1517">
            <v>3</v>
          </cell>
          <cell r="E1517" t="str">
            <v>CVCTE</v>
          </cell>
          <cell r="F1517" t="str">
            <v>Lake Balboa</v>
          </cell>
          <cell r="G1517">
            <v>1</v>
          </cell>
          <cell r="H1517">
            <v>1</v>
          </cell>
          <cell r="I1517">
            <v>253.64699999999999</v>
          </cell>
          <cell r="J1517">
            <v>227.01261133</v>
          </cell>
          <cell r="K1517">
            <v>250.01261133</v>
          </cell>
          <cell r="L1517">
            <v>3.6317295063554802</v>
          </cell>
          <cell r="M1517">
            <v>253.64434083635501</v>
          </cell>
          <cell r="N1517">
            <v>0.17910447761194001</v>
          </cell>
          <cell r="O1517">
            <v>5.5833333333333304</v>
          </cell>
          <cell r="P1517">
            <v>0.21641791044776101</v>
          </cell>
          <cell r="Q1517">
            <v>1</v>
          </cell>
        </row>
        <row r="1518">
          <cell r="A1518">
            <v>127606</v>
          </cell>
          <cell r="B1518">
            <v>2</v>
          </cell>
          <cell r="C1518">
            <v>6</v>
          </cell>
          <cell r="D1518">
            <v>3</v>
          </cell>
          <cell r="E1518" t="str">
            <v>CVCTE</v>
          </cell>
          <cell r="F1518" t="str">
            <v>Lake Balboa</v>
          </cell>
          <cell r="G1518">
            <v>0</v>
          </cell>
          <cell r="H1518">
            <v>1</v>
          </cell>
          <cell r="I1518">
            <v>18.853999999999999</v>
          </cell>
          <cell r="J1518">
            <v>16.61334617</v>
          </cell>
          <cell r="K1518">
            <v>17.61334617</v>
          </cell>
          <cell r="L1518">
            <v>1.2407488554218999</v>
          </cell>
          <cell r="M1518">
            <v>18.854095025421898</v>
          </cell>
          <cell r="N1518">
            <v>0.17910447761194001</v>
          </cell>
          <cell r="O1518">
            <v>0</v>
          </cell>
          <cell r="P1518">
            <v>0.21641791044776101</v>
          </cell>
          <cell r="Q1518">
            <v>1</v>
          </cell>
          <cell r="R1518">
            <v>0.33333333333333298</v>
          </cell>
          <cell r="S1518">
            <v>3</v>
          </cell>
        </row>
        <row r="1519">
          <cell r="A1519">
            <v>127806</v>
          </cell>
          <cell r="B1519">
            <v>2</v>
          </cell>
          <cell r="C1519">
            <v>6</v>
          </cell>
          <cell r="D1519">
            <v>3</v>
          </cell>
          <cell r="E1519" t="str">
            <v>CVCTE</v>
          </cell>
          <cell r="F1519" t="str">
            <v>Van Nuys</v>
          </cell>
          <cell r="G1519">
            <v>0</v>
          </cell>
          <cell r="H1519">
            <v>0</v>
          </cell>
          <cell r="I1519">
            <v>33.905999999999999</v>
          </cell>
          <cell r="J1519">
            <v>31.91603812</v>
          </cell>
          <cell r="K1519">
            <v>32.916038120000003</v>
          </cell>
          <cell r="L1519">
            <v>0.98942035384201099</v>
          </cell>
          <cell r="M1519">
            <v>33.905458473842003</v>
          </cell>
          <cell r="N1519">
            <v>0.17910447761194001</v>
          </cell>
          <cell r="O1519">
            <v>0</v>
          </cell>
          <cell r="P1519">
            <v>0.21641791044776101</v>
          </cell>
          <cell r="Q1519">
            <v>1</v>
          </cell>
          <cell r="R1519">
            <v>0.33333333333333298</v>
          </cell>
          <cell r="S1519">
            <v>0</v>
          </cell>
        </row>
        <row r="1520">
          <cell r="A1520">
            <v>127300</v>
          </cell>
          <cell r="B1520">
            <v>2</v>
          </cell>
          <cell r="C1520">
            <v>6</v>
          </cell>
          <cell r="D1520">
            <v>3</v>
          </cell>
          <cell r="E1520" t="str">
            <v>CVCTE</v>
          </cell>
          <cell r="F1520" t="str">
            <v>Van Nuys</v>
          </cell>
          <cell r="G1520">
            <v>0</v>
          </cell>
          <cell r="H1520">
            <v>0</v>
          </cell>
          <cell r="I1520">
            <v>50.994999999999997</v>
          </cell>
          <cell r="J1520">
            <v>44.001595829999999</v>
          </cell>
          <cell r="K1520">
            <v>50.001595829999999</v>
          </cell>
          <cell r="L1520">
            <v>0.99408979897666105</v>
          </cell>
          <cell r="M1520">
            <v>50.995685628976702</v>
          </cell>
          <cell r="N1520">
            <v>0.17910447761194001</v>
          </cell>
          <cell r="O1520">
            <v>0</v>
          </cell>
          <cell r="P1520">
            <v>0.21641791044776101</v>
          </cell>
          <cell r="Q1520">
            <v>1</v>
          </cell>
          <cell r="R1520">
            <v>0.33333333333333298</v>
          </cell>
          <cell r="S1520">
            <v>0</v>
          </cell>
        </row>
        <row r="1521">
          <cell r="A1521">
            <v>121102</v>
          </cell>
          <cell r="B1521">
            <v>2</v>
          </cell>
          <cell r="C1521">
            <v>6</v>
          </cell>
          <cell r="D1521">
            <v>3</v>
          </cell>
          <cell r="E1521" t="str">
            <v>CVCTE</v>
          </cell>
          <cell r="F1521" t="str">
            <v>Sun Valley</v>
          </cell>
          <cell r="G1521">
            <v>1</v>
          </cell>
          <cell r="H1521">
            <v>1</v>
          </cell>
          <cell r="I1521">
            <v>57.58</v>
          </cell>
          <cell r="J1521">
            <v>52.283429480000002</v>
          </cell>
          <cell r="K1521">
            <v>55.283429480000002</v>
          </cell>
          <cell r="L1521">
            <v>2.2963217097127502</v>
          </cell>
          <cell r="M1521">
            <v>57.579751189712802</v>
          </cell>
          <cell r="N1521">
            <v>0.17910447761194001</v>
          </cell>
          <cell r="O1521">
            <v>5.5833333333333304</v>
          </cell>
          <cell r="P1521">
            <v>0.21641791044776101</v>
          </cell>
          <cell r="Q1521">
            <v>1</v>
          </cell>
        </row>
        <row r="1522">
          <cell r="A1522">
            <v>121210</v>
          </cell>
          <cell r="B1522">
            <v>2</v>
          </cell>
          <cell r="C1522">
            <v>6</v>
          </cell>
          <cell r="D1522">
            <v>3</v>
          </cell>
          <cell r="E1522" t="str">
            <v>CVCTE</v>
          </cell>
          <cell r="F1522" t="str">
            <v>Sun Valley</v>
          </cell>
          <cell r="G1522">
            <v>0</v>
          </cell>
          <cell r="H1522">
            <v>0</v>
          </cell>
          <cell r="I1522">
            <v>25.138000000000002</v>
          </cell>
          <cell r="J1522">
            <v>23.804395920000001</v>
          </cell>
          <cell r="K1522">
            <v>23.804395920000001</v>
          </cell>
          <cell r="L1522">
            <v>1.33407121658887</v>
          </cell>
          <cell r="M1522">
            <v>25.138467136588901</v>
          </cell>
          <cell r="N1522">
            <v>0.17910447761194001</v>
          </cell>
          <cell r="O1522">
            <v>0</v>
          </cell>
          <cell r="P1522">
            <v>0.21641791044776101</v>
          </cell>
          <cell r="Q1522">
            <v>1</v>
          </cell>
          <cell r="R1522">
            <v>0.33333333333333298</v>
          </cell>
          <cell r="S1522">
            <v>0</v>
          </cell>
        </row>
        <row r="1523">
          <cell r="A1523">
            <v>128303</v>
          </cell>
          <cell r="B1523">
            <v>2</v>
          </cell>
          <cell r="C1523">
            <v>6</v>
          </cell>
          <cell r="D1523">
            <v>3</v>
          </cell>
          <cell r="E1523" t="str">
            <v>FAMILY</v>
          </cell>
          <cell r="F1523" t="str">
            <v>Van Nuys</v>
          </cell>
          <cell r="G1523">
            <v>1</v>
          </cell>
          <cell r="H1523">
            <v>1</v>
          </cell>
          <cell r="I1523">
            <v>8.7240000000000002</v>
          </cell>
          <cell r="J1523">
            <v>5.5698712199999996</v>
          </cell>
          <cell r="K1523">
            <v>8.5698712199999996</v>
          </cell>
          <cell r="L1523">
            <v>0.15328985522441699</v>
          </cell>
          <cell r="M1523">
            <v>8.7231610752244197</v>
          </cell>
          <cell r="N1523">
            <v>1</v>
          </cell>
          <cell r="O1523">
            <v>1</v>
          </cell>
        </row>
        <row r="1524">
          <cell r="A1524">
            <v>121802</v>
          </cell>
          <cell r="B1524">
            <v>2</v>
          </cell>
          <cell r="C1524">
            <v>6</v>
          </cell>
          <cell r="D1524">
            <v>3</v>
          </cell>
          <cell r="E1524" t="str">
            <v>FAMILY</v>
          </cell>
          <cell r="F1524" t="str">
            <v>North Hollywood</v>
          </cell>
          <cell r="G1524">
            <v>1</v>
          </cell>
          <cell r="H1524">
            <v>1</v>
          </cell>
          <cell r="I1524">
            <v>41.444000000000003</v>
          </cell>
          <cell r="J1524">
            <v>32.404123730000002</v>
          </cell>
          <cell r="K1524">
            <v>39.404123730000002</v>
          </cell>
          <cell r="L1524">
            <v>2.0395823871813299</v>
          </cell>
          <cell r="M1524">
            <v>41.4437061171813</v>
          </cell>
          <cell r="N1524">
            <v>1</v>
          </cell>
          <cell r="O1524">
            <v>1</v>
          </cell>
        </row>
        <row r="1525">
          <cell r="A1525">
            <v>119900</v>
          </cell>
          <cell r="B1525">
            <v>2</v>
          </cell>
          <cell r="C1525">
            <v>6</v>
          </cell>
          <cell r="D1525">
            <v>3</v>
          </cell>
          <cell r="E1525" t="str">
            <v>FAMILY</v>
          </cell>
          <cell r="F1525" t="str">
            <v>Panorama City</v>
          </cell>
          <cell r="G1525">
            <v>1</v>
          </cell>
          <cell r="H1525">
            <v>1</v>
          </cell>
          <cell r="I1525">
            <v>9.8019999999999996</v>
          </cell>
          <cell r="J1525">
            <v>9.2951754900000001</v>
          </cell>
          <cell r="K1525">
            <v>9.2951754900000001</v>
          </cell>
          <cell r="L1525">
            <v>0.505595132369838</v>
          </cell>
          <cell r="M1525">
            <v>9.8007706223698392</v>
          </cell>
          <cell r="N1525">
            <v>1</v>
          </cell>
          <cell r="O1525">
            <v>1</v>
          </cell>
        </row>
        <row r="1526">
          <cell r="A1526">
            <v>119700</v>
          </cell>
          <cell r="B1526">
            <v>2</v>
          </cell>
          <cell r="C1526">
            <v>6</v>
          </cell>
          <cell r="D1526">
            <v>3</v>
          </cell>
          <cell r="E1526" t="str">
            <v>INDIV</v>
          </cell>
          <cell r="F1526" t="str">
            <v>Arleta</v>
          </cell>
          <cell r="G1526">
            <v>0</v>
          </cell>
          <cell r="H1526">
            <v>0</v>
          </cell>
          <cell r="I1526">
            <v>9.1159999999999997</v>
          </cell>
          <cell r="J1526">
            <v>5.87227926</v>
          </cell>
          <cell r="K1526">
            <v>8.8722792599999991</v>
          </cell>
          <cell r="L1526">
            <v>0.24297052484739701</v>
          </cell>
          <cell r="M1526">
            <v>9.1152497848473999</v>
          </cell>
          <cell r="N1526">
            <v>4.8387096774193498E-2</v>
          </cell>
          <cell r="O1526">
            <v>0</v>
          </cell>
          <cell r="P1526">
            <v>0.12903225806451599</v>
          </cell>
          <cell r="Q1526">
            <v>1</v>
          </cell>
        </row>
        <row r="1527">
          <cell r="A1527">
            <v>122120</v>
          </cell>
          <cell r="B1527">
            <v>2</v>
          </cell>
          <cell r="C1527">
            <v>6</v>
          </cell>
          <cell r="D1527">
            <v>3</v>
          </cell>
          <cell r="E1527" t="str">
            <v>INDIV</v>
          </cell>
          <cell r="F1527" t="str">
            <v>Sun Valley</v>
          </cell>
          <cell r="G1527">
            <v>0</v>
          </cell>
          <cell r="H1527">
            <v>0</v>
          </cell>
          <cell r="I1527">
            <v>16.187000000000001</v>
          </cell>
          <cell r="J1527">
            <v>9.6679308099999997</v>
          </cell>
          <cell r="K1527">
            <v>15.66793081</v>
          </cell>
          <cell r="L1527">
            <v>0.519675915816876</v>
          </cell>
          <cell r="M1527">
            <v>16.187606725816899</v>
          </cell>
          <cell r="N1527">
            <v>4.8387096774193498E-2</v>
          </cell>
          <cell r="O1527">
            <v>0</v>
          </cell>
          <cell r="P1527">
            <v>0.12903225806451599</v>
          </cell>
          <cell r="Q1527">
            <v>1</v>
          </cell>
        </row>
        <row r="1528">
          <cell r="A1528">
            <v>120107</v>
          </cell>
          <cell r="B1528">
            <v>2</v>
          </cell>
          <cell r="C1528">
            <v>6</v>
          </cell>
          <cell r="D1528">
            <v>3</v>
          </cell>
          <cell r="E1528" t="str">
            <v>INDIV</v>
          </cell>
          <cell r="F1528" t="str">
            <v>Panorama City</v>
          </cell>
          <cell r="G1528">
            <v>0</v>
          </cell>
          <cell r="H1528">
            <v>0</v>
          </cell>
          <cell r="I1528">
            <v>7</v>
          </cell>
          <cell r="J1528">
            <v>0</v>
          </cell>
          <cell r="K1528">
            <v>7</v>
          </cell>
          <cell r="L1528">
            <v>0</v>
          </cell>
          <cell r="M1528">
            <v>7</v>
          </cell>
          <cell r="N1528">
            <v>4.8387096774193498E-2</v>
          </cell>
          <cell r="O1528">
            <v>0</v>
          </cell>
          <cell r="P1528">
            <v>0.12903225806451599</v>
          </cell>
          <cell r="Q1528">
            <v>1</v>
          </cell>
        </row>
        <row r="1529">
          <cell r="A1529">
            <v>132002</v>
          </cell>
          <cell r="B1529">
            <v>2</v>
          </cell>
          <cell r="C1529">
            <v>6</v>
          </cell>
          <cell r="D1529">
            <v>3</v>
          </cell>
          <cell r="E1529" t="str">
            <v>INDIV</v>
          </cell>
          <cell r="F1529" t="str">
            <v>Lake Balboa</v>
          </cell>
          <cell r="G1529">
            <v>0</v>
          </cell>
          <cell r="H1529">
            <v>0</v>
          </cell>
          <cell r="I1529">
            <v>6.5910000000000002</v>
          </cell>
          <cell r="J1529">
            <v>1.43919657</v>
          </cell>
          <cell r="K1529">
            <v>6.43919657</v>
          </cell>
          <cell r="L1529">
            <v>0.15145200614003601</v>
          </cell>
          <cell r="M1529">
            <v>6.5906485761400404</v>
          </cell>
          <cell r="N1529">
            <v>4.8387096774193498E-2</v>
          </cell>
          <cell r="O1529">
            <v>0</v>
          </cell>
          <cell r="P1529">
            <v>0.12903225806451599</v>
          </cell>
          <cell r="Q1529">
            <v>1</v>
          </cell>
        </row>
        <row r="1530">
          <cell r="A1530">
            <v>131100</v>
          </cell>
          <cell r="B1530">
            <v>2</v>
          </cell>
          <cell r="C1530">
            <v>6</v>
          </cell>
          <cell r="D1530">
            <v>3</v>
          </cell>
          <cell r="E1530" t="str">
            <v>INDIV</v>
          </cell>
          <cell r="F1530" t="str">
            <v>Lake Balboa</v>
          </cell>
          <cell r="G1530">
            <v>1</v>
          </cell>
          <cell r="H1530">
            <v>1</v>
          </cell>
          <cell r="I1530">
            <v>3</v>
          </cell>
          <cell r="J1530">
            <v>0</v>
          </cell>
          <cell r="K1530">
            <v>3</v>
          </cell>
          <cell r="L1530">
            <v>0</v>
          </cell>
          <cell r="M1530">
            <v>3</v>
          </cell>
          <cell r="N1530">
            <v>4.8387096774193498E-2</v>
          </cell>
          <cell r="O1530">
            <v>20.6666666666667</v>
          </cell>
          <cell r="P1530">
            <v>0.12903225806451599</v>
          </cell>
          <cell r="Q1530">
            <v>1</v>
          </cell>
        </row>
        <row r="1531">
          <cell r="A1531">
            <v>980008</v>
          </cell>
          <cell r="B1531">
            <v>2</v>
          </cell>
          <cell r="C1531">
            <v>6</v>
          </cell>
          <cell r="D1531">
            <v>3</v>
          </cell>
          <cell r="E1531" t="str">
            <v>INDIV</v>
          </cell>
          <cell r="F1531" t="str">
            <v>Lake Balboa</v>
          </cell>
          <cell r="G1531">
            <v>0</v>
          </cell>
          <cell r="H1531">
            <v>0</v>
          </cell>
          <cell r="I1531">
            <v>4.1900000000000004</v>
          </cell>
          <cell r="J1531">
            <v>3.9673993200000002</v>
          </cell>
          <cell r="K1531">
            <v>3.9673993200000002</v>
          </cell>
          <cell r="L1531">
            <v>0.22234520276481101</v>
          </cell>
          <cell r="M1531">
            <v>4.1897445227648102</v>
          </cell>
          <cell r="N1531">
            <v>4.8387096774193498E-2</v>
          </cell>
          <cell r="O1531">
            <v>0</v>
          </cell>
          <cell r="P1531">
            <v>0.12903225806451599</v>
          </cell>
          <cell r="Q1531">
            <v>1</v>
          </cell>
        </row>
        <row r="1532">
          <cell r="A1532">
            <v>117520</v>
          </cell>
          <cell r="B1532">
            <v>2</v>
          </cell>
          <cell r="C1532">
            <v>6</v>
          </cell>
          <cell r="D1532">
            <v>3</v>
          </cell>
          <cell r="E1532" t="str">
            <v>INDIV</v>
          </cell>
          <cell r="F1532" t="str">
            <v>North Hills</v>
          </cell>
          <cell r="G1532">
            <v>0</v>
          </cell>
          <cell r="H1532">
            <v>0</v>
          </cell>
          <cell r="I1532">
            <v>20.289000000000001</v>
          </cell>
          <cell r="J1532">
            <v>7.6616662199999999</v>
          </cell>
          <cell r="K1532">
            <v>19.661666220000001</v>
          </cell>
          <cell r="L1532">
            <v>0.62643334664272898</v>
          </cell>
          <cell r="M1532">
            <v>20.2880995666427</v>
          </cell>
          <cell r="N1532">
            <v>4.8387096774193498E-2</v>
          </cell>
          <cell r="O1532">
            <v>0</v>
          </cell>
          <cell r="P1532">
            <v>0.12903225806451599</v>
          </cell>
          <cell r="Q1532">
            <v>1</v>
          </cell>
        </row>
        <row r="1533">
          <cell r="A1533">
            <v>120108</v>
          </cell>
          <cell r="B1533">
            <v>2</v>
          </cell>
          <cell r="C1533">
            <v>6</v>
          </cell>
          <cell r="D1533">
            <v>3</v>
          </cell>
          <cell r="E1533" t="str">
            <v>INDIV</v>
          </cell>
          <cell r="F1533" t="str">
            <v>Panorama City</v>
          </cell>
          <cell r="G1533">
            <v>0</v>
          </cell>
          <cell r="H1533">
            <v>0</v>
          </cell>
          <cell r="I1533">
            <v>19.513000000000002</v>
          </cell>
          <cell r="J1533">
            <v>8.14585632</v>
          </cell>
          <cell r="K1533">
            <v>19.14585632</v>
          </cell>
          <cell r="L1533">
            <v>0.36651319788150799</v>
          </cell>
          <cell r="M1533">
            <v>19.512369517881499</v>
          </cell>
          <cell r="N1533">
            <v>4.8387096774193498E-2</v>
          </cell>
          <cell r="O1533">
            <v>0</v>
          </cell>
          <cell r="P1533">
            <v>0.12903225806451599</v>
          </cell>
          <cell r="Q1533">
            <v>1</v>
          </cell>
        </row>
        <row r="1534">
          <cell r="A1534">
            <v>119400</v>
          </cell>
          <cell r="B1534">
            <v>2</v>
          </cell>
          <cell r="C1534">
            <v>6</v>
          </cell>
          <cell r="D1534">
            <v>3</v>
          </cell>
          <cell r="E1534" t="str">
            <v>NON-HS</v>
          </cell>
          <cell r="F1534" t="str">
            <v>Arleta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2.2140221402214E-2</v>
          </cell>
          <cell r="O1534">
            <v>0</v>
          </cell>
          <cell r="P1534">
            <v>9.5940959409594101E-2</v>
          </cell>
          <cell r="Q1534">
            <v>1</v>
          </cell>
        </row>
        <row r="1535">
          <cell r="A1535">
            <v>127712</v>
          </cell>
          <cell r="B1535">
            <v>2</v>
          </cell>
          <cell r="C1535">
            <v>6</v>
          </cell>
          <cell r="D1535">
            <v>3</v>
          </cell>
          <cell r="E1535" t="str">
            <v>NON-HS</v>
          </cell>
          <cell r="F1535" t="str">
            <v>Van Nuys</v>
          </cell>
          <cell r="G1535">
            <v>1</v>
          </cell>
          <cell r="H1535">
            <v>1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2.2140221402214E-2</v>
          </cell>
          <cell r="O1535">
            <v>45.1666666666667</v>
          </cell>
          <cell r="P1535">
            <v>9.5940959409594101E-2</v>
          </cell>
          <cell r="Q1535">
            <v>1</v>
          </cell>
        </row>
        <row r="1536">
          <cell r="A1536">
            <v>121221</v>
          </cell>
          <cell r="B1536">
            <v>2</v>
          </cell>
          <cell r="C1536">
            <v>6</v>
          </cell>
          <cell r="D1536">
            <v>3</v>
          </cell>
          <cell r="E1536" t="str">
            <v>NON-HS</v>
          </cell>
          <cell r="F1536" t="str">
            <v>Sun Valley</v>
          </cell>
          <cell r="G1536">
            <v>0</v>
          </cell>
          <cell r="H1536">
            <v>0</v>
          </cell>
          <cell r="I1536">
            <v>9.6839999999999993</v>
          </cell>
          <cell r="J1536">
            <v>9.1234277200000005</v>
          </cell>
          <cell r="K1536">
            <v>9.1234277200000005</v>
          </cell>
          <cell r="L1536">
            <v>0.55995532057450603</v>
          </cell>
          <cell r="M1536">
            <v>9.68338304057451</v>
          </cell>
          <cell r="N1536">
            <v>2.2140221402214E-2</v>
          </cell>
          <cell r="O1536">
            <v>0</v>
          </cell>
          <cell r="P1536">
            <v>9.5940959409594101E-2</v>
          </cell>
          <cell r="Q1536">
            <v>1</v>
          </cell>
        </row>
        <row r="1537">
          <cell r="A1537">
            <v>131900</v>
          </cell>
          <cell r="B1537">
            <v>2</v>
          </cell>
          <cell r="C1537">
            <v>6</v>
          </cell>
          <cell r="D1537">
            <v>3</v>
          </cell>
          <cell r="E1537" t="str">
            <v>NON-HS</v>
          </cell>
          <cell r="F1537" t="str">
            <v>Lake Balboa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2.2140221402214E-2</v>
          </cell>
          <cell r="O1537">
            <v>0</v>
          </cell>
          <cell r="P1537">
            <v>9.5940959409594101E-2</v>
          </cell>
          <cell r="Q1537">
            <v>1</v>
          </cell>
        </row>
        <row r="1538">
          <cell r="A1538">
            <v>120300</v>
          </cell>
          <cell r="B1538">
            <v>2</v>
          </cell>
          <cell r="C1538">
            <v>6</v>
          </cell>
          <cell r="D1538">
            <v>3</v>
          </cell>
          <cell r="E1538" t="str">
            <v>NON-HS</v>
          </cell>
          <cell r="F1538" t="str">
            <v>Panorama City</v>
          </cell>
          <cell r="G1538">
            <v>0</v>
          </cell>
          <cell r="H1538">
            <v>0</v>
          </cell>
          <cell r="I1538">
            <v>12.718</v>
          </cell>
          <cell r="J1538">
            <v>10.111049250000001</v>
          </cell>
          <cell r="K1538">
            <v>12.111049250000001</v>
          </cell>
          <cell r="L1538">
            <v>0.606779263967684</v>
          </cell>
          <cell r="M1538">
            <v>12.717828513967699</v>
          </cell>
          <cell r="N1538">
            <v>2.2140221402214E-2</v>
          </cell>
          <cell r="O1538">
            <v>0</v>
          </cell>
          <cell r="P1538">
            <v>9.5940959409594101E-2</v>
          </cell>
          <cell r="Q1538">
            <v>1</v>
          </cell>
        </row>
        <row r="1539">
          <cell r="A1539">
            <v>119340</v>
          </cell>
          <cell r="B1539">
            <v>2</v>
          </cell>
          <cell r="C1539">
            <v>6</v>
          </cell>
          <cell r="D1539">
            <v>3</v>
          </cell>
          <cell r="E1539" t="str">
            <v>NON-HS</v>
          </cell>
          <cell r="F1539" t="str">
            <v>Panorama City</v>
          </cell>
          <cell r="G1539">
            <v>0</v>
          </cell>
          <cell r="H1539">
            <v>0</v>
          </cell>
          <cell r="I1539">
            <v>1.591</v>
          </cell>
          <cell r="J1539">
            <v>1.43919657</v>
          </cell>
          <cell r="K1539">
            <v>1.43919657</v>
          </cell>
          <cell r="L1539">
            <v>0.15145200614003601</v>
          </cell>
          <cell r="M1539">
            <v>1.59064857614004</v>
          </cell>
          <cell r="N1539">
            <v>2.2140221402214E-2</v>
          </cell>
          <cell r="O1539">
            <v>0</v>
          </cell>
          <cell r="P1539">
            <v>9.5940959409594101E-2</v>
          </cell>
          <cell r="Q1539">
            <v>1</v>
          </cell>
        </row>
        <row r="1540">
          <cell r="A1540">
            <v>120010</v>
          </cell>
          <cell r="B1540">
            <v>2</v>
          </cell>
          <cell r="C1540">
            <v>6</v>
          </cell>
          <cell r="D1540">
            <v>3</v>
          </cell>
          <cell r="E1540" t="str">
            <v>NON-HS</v>
          </cell>
          <cell r="F1540" t="str">
            <v>Panorama City</v>
          </cell>
          <cell r="G1540">
            <v>0</v>
          </cell>
          <cell r="H1540">
            <v>0</v>
          </cell>
          <cell r="I1540">
            <v>7.2759999999999998</v>
          </cell>
          <cell r="J1540">
            <v>4.8620928000000001</v>
          </cell>
          <cell r="K1540">
            <v>6.8620928000000001</v>
          </cell>
          <cell r="L1540">
            <v>0.414076613662478</v>
          </cell>
          <cell r="M1540">
            <v>7.2761694136624797</v>
          </cell>
          <cell r="N1540">
            <v>2.2140221402214E-2</v>
          </cell>
          <cell r="O1540">
            <v>0</v>
          </cell>
          <cell r="P1540">
            <v>9.5940959409594101E-2</v>
          </cell>
          <cell r="Q1540">
            <v>1</v>
          </cell>
        </row>
        <row r="1541">
          <cell r="A1541">
            <v>119341</v>
          </cell>
          <cell r="B1541">
            <v>2</v>
          </cell>
          <cell r="C1541">
            <v>6</v>
          </cell>
          <cell r="D1541">
            <v>3</v>
          </cell>
          <cell r="E1541" t="str">
            <v>NON-HS</v>
          </cell>
          <cell r="F1541" t="str">
            <v>Panorama City</v>
          </cell>
          <cell r="G1541">
            <v>0</v>
          </cell>
          <cell r="H1541">
            <v>0</v>
          </cell>
          <cell r="I1541">
            <v>7.8289999999999997</v>
          </cell>
          <cell r="J1541">
            <v>5.6217117700000001</v>
          </cell>
          <cell r="K1541">
            <v>7.6217117700000001</v>
          </cell>
          <cell r="L1541">
            <v>0.20678343375224401</v>
          </cell>
          <cell r="M1541">
            <v>7.8284952037522402</v>
          </cell>
          <cell r="N1541">
            <v>2.2140221402214E-2</v>
          </cell>
          <cell r="O1541">
            <v>0</v>
          </cell>
          <cell r="P1541">
            <v>9.5940959409594101E-2</v>
          </cell>
          <cell r="Q1541">
            <v>1</v>
          </cell>
        </row>
        <row r="1542">
          <cell r="A1542">
            <v>120106</v>
          </cell>
          <cell r="B1542">
            <v>2</v>
          </cell>
          <cell r="C1542">
            <v>6</v>
          </cell>
          <cell r="D1542">
            <v>3</v>
          </cell>
          <cell r="E1542" t="str">
            <v>NON-HS</v>
          </cell>
          <cell r="F1542" t="str">
            <v>Panorama City</v>
          </cell>
          <cell r="G1542">
            <v>0</v>
          </cell>
          <cell r="H1542">
            <v>0</v>
          </cell>
          <cell r="I1542">
            <v>2.0950000000000002</v>
          </cell>
          <cell r="J1542">
            <v>1.9836996600000001</v>
          </cell>
          <cell r="K1542">
            <v>1.9836996600000001</v>
          </cell>
          <cell r="L1542">
            <v>0.11117260138240601</v>
          </cell>
          <cell r="M1542">
            <v>2.09487226138241</v>
          </cell>
          <cell r="N1542">
            <v>2.2140221402214E-2</v>
          </cell>
          <cell r="O1542">
            <v>0</v>
          </cell>
          <cell r="P1542">
            <v>9.5940959409594101E-2</v>
          </cell>
          <cell r="Q1542">
            <v>1</v>
          </cell>
        </row>
        <row r="1543">
          <cell r="A1543">
            <v>127604</v>
          </cell>
          <cell r="B1543">
            <v>2</v>
          </cell>
          <cell r="C1543">
            <v>6</v>
          </cell>
          <cell r="D1543">
            <v>3</v>
          </cell>
          <cell r="E1543" t="str">
            <v>NON-HS</v>
          </cell>
          <cell r="F1543" t="str">
            <v>Lake Balboa</v>
          </cell>
          <cell r="G1543">
            <v>0</v>
          </cell>
          <cell r="H1543">
            <v>0</v>
          </cell>
          <cell r="I1543">
            <v>1</v>
          </cell>
          <cell r="J1543">
            <v>0</v>
          </cell>
          <cell r="K1543">
            <v>1</v>
          </cell>
          <cell r="L1543">
            <v>0</v>
          </cell>
          <cell r="M1543">
            <v>1</v>
          </cell>
          <cell r="N1543">
            <v>2.2140221402214E-2</v>
          </cell>
          <cell r="O1543">
            <v>0</v>
          </cell>
          <cell r="P1543">
            <v>9.5940959409594101E-2</v>
          </cell>
          <cell r="Q1543">
            <v>1</v>
          </cell>
        </row>
        <row r="1544">
          <cell r="A1544">
            <v>127711</v>
          </cell>
          <cell r="B1544">
            <v>2</v>
          </cell>
          <cell r="C1544">
            <v>6</v>
          </cell>
          <cell r="D1544">
            <v>3</v>
          </cell>
          <cell r="E1544" t="str">
            <v>NON-HS</v>
          </cell>
          <cell r="F1544" t="str">
            <v>Van Nuys</v>
          </cell>
          <cell r="G1544">
            <v>0</v>
          </cell>
          <cell r="H1544">
            <v>0</v>
          </cell>
          <cell r="I1544">
            <v>9.7970000000000006</v>
          </cell>
          <cell r="J1544">
            <v>9.6032194200000003</v>
          </cell>
          <cell r="K1544">
            <v>9.6032194200000003</v>
          </cell>
          <cell r="L1544">
            <v>0.19367388971274699</v>
          </cell>
          <cell r="M1544">
            <v>9.7968933097127504</v>
          </cell>
          <cell r="N1544">
            <v>2.2140221402214E-2</v>
          </cell>
          <cell r="O1544">
            <v>0</v>
          </cell>
          <cell r="P1544">
            <v>9.5940959409594101E-2</v>
          </cell>
          <cell r="Q1544">
            <v>1</v>
          </cell>
        </row>
        <row r="1545">
          <cell r="A1545">
            <v>120103</v>
          </cell>
          <cell r="B1545">
            <v>2</v>
          </cell>
          <cell r="C1545">
            <v>6</v>
          </cell>
          <cell r="D1545">
            <v>3</v>
          </cell>
          <cell r="E1545" t="str">
            <v>NON-HS</v>
          </cell>
          <cell r="F1545" t="str">
            <v>Panorama City</v>
          </cell>
          <cell r="G1545">
            <v>0</v>
          </cell>
          <cell r="H1545">
            <v>0</v>
          </cell>
          <cell r="I1545">
            <v>5.2939999999999996</v>
          </cell>
          <cell r="J1545">
            <v>3.1204881900000001</v>
          </cell>
          <cell r="K1545">
            <v>5.1204881899999997</v>
          </cell>
          <cell r="L1545">
            <v>0.172943937899461</v>
          </cell>
          <cell r="M1545">
            <v>5.29343212789946</v>
          </cell>
          <cell r="N1545">
            <v>2.2140221402214E-2</v>
          </cell>
          <cell r="O1545">
            <v>0</v>
          </cell>
          <cell r="P1545">
            <v>9.5940959409594101E-2</v>
          </cell>
          <cell r="Q1545">
            <v>1</v>
          </cell>
        </row>
        <row r="1546">
          <cell r="A1546">
            <v>119320</v>
          </cell>
          <cell r="B1546">
            <v>2</v>
          </cell>
          <cell r="C1546">
            <v>6</v>
          </cell>
          <cell r="D1546">
            <v>3</v>
          </cell>
          <cell r="E1546" t="str">
            <v>NON-HS</v>
          </cell>
          <cell r="F1546" t="str">
            <v>Panorama City</v>
          </cell>
          <cell r="G1546">
            <v>0</v>
          </cell>
          <cell r="H1546">
            <v>0</v>
          </cell>
          <cell r="I1546">
            <v>3.181</v>
          </cell>
          <cell r="J1546">
            <v>2.87839314</v>
          </cell>
          <cell r="K1546">
            <v>2.87839314</v>
          </cell>
          <cell r="L1546">
            <v>0.30290401228007202</v>
          </cell>
          <cell r="M1546">
            <v>3.1812971522800702</v>
          </cell>
          <cell r="N1546">
            <v>2.2140221402214E-2</v>
          </cell>
          <cell r="O1546">
            <v>0</v>
          </cell>
          <cell r="P1546">
            <v>9.5940959409594101E-2</v>
          </cell>
          <cell r="Q1546">
            <v>1</v>
          </cell>
        </row>
        <row r="1547">
          <cell r="A1547">
            <v>127805</v>
          </cell>
          <cell r="B1547">
            <v>2</v>
          </cell>
          <cell r="C1547">
            <v>6</v>
          </cell>
          <cell r="D1547">
            <v>3</v>
          </cell>
          <cell r="E1547" t="str">
            <v>NON-HS</v>
          </cell>
          <cell r="F1547" t="str">
            <v>Van Nuys</v>
          </cell>
          <cell r="G1547">
            <v>0</v>
          </cell>
          <cell r="H1547">
            <v>0</v>
          </cell>
          <cell r="I1547">
            <v>2.9260000000000002</v>
          </cell>
          <cell r="J1547">
            <v>1.90487994</v>
          </cell>
          <cell r="K1547">
            <v>2.9048799399999998</v>
          </cell>
          <cell r="L1547">
            <v>2.0625322082585301E-2</v>
          </cell>
          <cell r="M1547">
            <v>2.9255052620825901</v>
          </cell>
          <cell r="N1547">
            <v>2.2140221402214E-2</v>
          </cell>
          <cell r="O1547">
            <v>0</v>
          </cell>
          <cell r="P1547">
            <v>9.5940959409594101E-2</v>
          </cell>
          <cell r="Q1547">
            <v>1</v>
          </cell>
        </row>
        <row r="1548">
          <cell r="A1548">
            <v>132001</v>
          </cell>
          <cell r="B1548">
            <v>2</v>
          </cell>
          <cell r="C1548">
            <v>6</v>
          </cell>
          <cell r="D1548">
            <v>3</v>
          </cell>
          <cell r="E1548" t="str">
            <v>NON-HS</v>
          </cell>
          <cell r="F1548" t="str">
            <v>Lake Balboa</v>
          </cell>
          <cell r="G1548">
            <v>0</v>
          </cell>
          <cell r="H1548">
            <v>0</v>
          </cell>
          <cell r="I1548">
            <v>4.1900000000000004</v>
          </cell>
          <cell r="J1548">
            <v>3.9673993200000002</v>
          </cell>
          <cell r="K1548">
            <v>3.9673993200000002</v>
          </cell>
          <cell r="L1548">
            <v>0.22234520276481101</v>
          </cell>
          <cell r="M1548">
            <v>4.1897445227648102</v>
          </cell>
          <cell r="N1548">
            <v>2.2140221402214E-2</v>
          </cell>
          <cell r="O1548">
            <v>0</v>
          </cell>
          <cell r="P1548">
            <v>9.5940959409594101E-2</v>
          </cell>
          <cell r="Q1548">
            <v>1</v>
          </cell>
        </row>
        <row r="1549">
          <cell r="A1549">
            <v>132102</v>
          </cell>
          <cell r="B1549">
            <v>2</v>
          </cell>
          <cell r="C1549">
            <v>6</v>
          </cell>
          <cell r="D1549">
            <v>3</v>
          </cell>
          <cell r="E1549" t="str">
            <v>NON-HS</v>
          </cell>
          <cell r="F1549" t="str">
            <v>Lake Balboa</v>
          </cell>
          <cell r="G1549">
            <v>0</v>
          </cell>
          <cell r="H1549">
            <v>0</v>
          </cell>
          <cell r="I1549">
            <v>12.057</v>
          </cell>
          <cell r="J1549">
            <v>10.268688689999999</v>
          </cell>
          <cell r="K1549">
            <v>11.268688689999999</v>
          </cell>
          <cell r="L1549">
            <v>0.78787382256732497</v>
          </cell>
          <cell r="M1549">
            <v>12.0565625125673</v>
          </cell>
          <cell r="N1549">
            <v>2.2140221402214E-2</v>
          </cell>
          <cell r="O1549">
            <v>0</v>
          </cell>
          <cell r="P1549">
            <v>9.5940959409594101E-2</v>
          </cell>
          <cell r="Q1549">
            <v>1</v>
          </cell>
        </row>
        <row r="1550">
          <cell r="A1550">
            <v>120105</v>
          </cell>
          <cell r="B1550">
            <v>2</v>
          </cell>
          <cell r="C1550">
            <v>6</v>
          </cell>
          <cell r="D1550">
            <v>3</v>
          </cell>
          <cell r="E1550" t="str">
            <v>NON-HS</v>
          </cell>
          <cell r="F1550" t="str">
            <v>Panorama City</v>
          </cell>
          <cell r="G1550">
            <v>0</v>
          </cell>
          <cell r="H1550">
            <v>0</v>
          </cell>
          <cell r="I1550">
            <v>6.1159999999999997</v>
          </cell>
          <cell r="J1550">
            <v>5.87227926</v>
          </cell>
          <cell r="K1550">
            <v>5.87227926</v>
          </cell>
          <cell r="L1550">
            <v>0.24297052484739701</v>
          </cell>
          <cell r="M1550">
            <v>6.1152497848473999</v>
          </cell>
          <cell r="N1550">
            <v>2.2140221402214E-2</v>
          </cell>
          <cell r="O1550">
            <v>0</v>
          </cell>
          <cell r="P1550">
            <v>9.5940959409594101E-2</v>
          </cell>
          <cell r="Q1550">
            <v>1</v>
          </cell>
        </row>
        <row r="1551">
          <cell r="A1551">
            <v>121101</v>
          </cell>
          <cell r="B1551">
            <v>2</v>
          </cell>
          <cell r="C1551">
            <v>6</v>
          </cell>
          <cell r="D1551">
            <v>5</v>
          </cell>
          <cell r="E1551" t="str">
            <v>NON-HS</v>
          </cell>
          <cell r="F1551" t="str">
            <v>Sun Valley</v>
          </cell>
          <cell r="G1551">
            <v>0</v>
          </cell>
          <cell r="H1551">
            <v>0</v>
          </cell>
          <cell r="I1551">
            <v>11.967000000000001</v>
          </cell>
          <cell r="J1551">
            <v>9.6820391400000005</v>
          </cell>
          <cell r="K1551">
            <v>11.682039140000001</v>
          </cell>
          <cell r="L1551">
            <v>0.284221169012567</v>
          </cell>
          <cell r="M1551">
            <v>11.966260309012601</v>
          </cell>
          <cell r="N1551">
            <v>2.2140221402214E-2</v>
          </cell>
          <cell r="O1551">
            <v>0</v>
          </cell>
          <cell r="P1551">
            <v>9.5940959409594101E-2</v>
          </cell>
          <cell r="Q1551">
            <v>1</v>
          </cell>
        </row>
        <row r="1552">
          <cell r="A1552">
            <v>121801</v>
          </cell>
          <cell r="B1552">
            <v>2</v>
          </cell>
          <cell r="C1552">
            <v>6</v>
          </cell>
          <cell r="D1552">
            <v>3</v>
          </cell>
          <cell r="E1552" t="str">
            <v>NON-HS</v>
          </cell>
          <cell r="F1552" t="str">
            <v>North Hollywood</v>
          </cell>
          <cell r="G1552">
            <v>0</v>
          </cell>
          <cell r="H1552">
            <v>0</v>
          </cell>
          <cell r="I1552">
            <v>2</v>
          </cell>
          <cell r="J1552">
            <v>0</v>
          </cell>
          <cell r="K1552">
            <v>2</v>
          </cell>
          <cell r="L1552">
            <v>0</v>
          </cell>
          <cell r="M1552">
            <v>2</v>
          </cell>
          <cell r="N1552">
            <v>2.2140221402214E-2</v>
          </cell>
          <cell r="O1552">
            <v>0</v>
          </cell>
          <cell r="P1552">
            <v>9.5940959409594101E-2</v>
          </cell>
          <cell r="Q1552">
            <v>1</v>
          </cell>
        </row>
        <row r="1553">
          <cell r="A1553">
            <v>120400</v>
          </cell>
          <cell r="B1553">
            <v>2</v>
          </cell>
          <cell r="C1553">
            <v>6</v>
          </cell>
          <cell r="D1553">
            <v>3</v>
          </cell>
          <cell r="E1553" t="str">
            <v>NON-HS</v>
          </cell>
          <cell r="F1553" t="str">
            <v>Panorama City</v>
          </cell>
          <cell r="G1553">
            <v>0</v>
          </cell>
          <cell r="H1553">
            <v>0</v>
          </cell>
          <cell r="I1553">
            <v>5.7770000000000001</v>
          </cell>
          <cell r="J1553">
            <v>5.7146398200000004</v>
          </cell>
          <cell r="K1553">
            <v>5.7146398200000004</v>
          </cell>
          <cell r="L1553">
            <v>6.18759662477558E-2</v>
          </cell>
          <cell r="M1553">
            <v>5.7765157862477601</v>
          </cell>
          <cell r="N1553">
            <v>2.2140221402214E-2</v>
          </cell>
          <cell r="O1553">
            <v>0</v>
          </cell>
          <cell r="P1553">
            <v>9.5940959409594101E-2</v>
          </cell>
          <cell r="Q1553">
            <v>1</v>
          </cell>
        </row>
        <row r="1554">
          <cell r="A1554">
            <v>128302</v>
          </cell>
          <cell r="B1554">
            <v>2</v>
          </cell>
          <cell r="C1554">
            <v>6</v>
          </cell>
          <cell r="D1554">
            <v>3</v>
          </cell>
          <cell r="E1554" t="str">
            <v>NON-HS</v>
          </cell>
          <cell r="F1554" t="str">
            <v>Van Nuys</v>
          </cell>
          <cell r="G1554">
            <v>0</v>
          </cell>
          <cell r="H1554">
            <v>0</v>
          </cell>
          <cell r="I1554">
            <v>11.785</v>
          </cell>
          <cell r="J1554">
            <v>11.29738188</v>
          </cell>
          <cell r="K1554">
            <v>11.29738188</v>
          </cell>
          <cell r="L1554">
            <v>0.487674269048474</v>
          </cell>
          <cell r="M1554">
            <v>11.785056149048501</v>
          </cell>
          <cell r="N1554">
            <v>2.2140221402214E-2</v>
          </cell>
          <cell r="O1554">
            <v>0</v>
          </cell>
          <cell r="P1554">
            <v>9.5940959409594101E-2</v>
          </cell>
          <cell r="Q1554">
            <v>1</v>
          </cell>
        </row>
        <row r="1555">
          <cell r="A1555">
            <v>127804</v>
          </cell>
          <cell r="B1555">
            <v>2</v>
          </cell>
          <cell r="C1555">
            <v>6</v>
          </cell>
          <cell r="D1555">
            <v>3</v>
          </cell>
          <cell r="E1555" t="str">
            <v>NON-HS</v>
          </cell>
          <cell r="F1555" t="str">
            <v>Van Nuys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2.2140221402214E-2</v>
          </cell>
          <cell r="O1555">
            <v>0</v>
          </cell>
          <cell r="P1555">
            <v>9.5940959409594101E-2</v>
          </cell>
          <cell r="Q1555">
            <v>1</v>
          </cell>
        </row>
        <row r="1556">
          <cell r="A1556">
            <v>119310</v>
          </cell>
          <cell r="B1556">
            <v>2</v>
          </cell>
          <cell r="C1556">
            <v>6</v>
          </cell>
          <cell r="D1556">
            <v>3</v>
          </cell>
          <cell r="E1556" t="str">
            <v>NON-HS</v>
          </cell>
          <cell r="F1556" t="str">
            <v>Panorama City</v>
          </cell>
          <cell r="G1556">
            <v>1</v>
          </cell>
          <cell r="H1556">
            <v>1</v>
          </cell>
          <cell r="I1556">
            <v>1.591</v>
          </cell>
          <cell r="J1556">
            <v>1.43919657</v>
          </cell>
          <cell r="K1556">
            <v>1.43919657</v>
          </cell>
          <cell r="L1556">
            <v>0.15145200614003601</v>
          </cell>
          <cell r="M1556">
            <v>1.59064857614004</v>
          </cell>
          <cell r="N1556">
            <v>2.2140221402214E-2</v>
          </cell>
          <cell r="O1556">
            <v>45.1666666666667</v>
          </cell>
          <cell r="P1556">
            <v>9.5940959409594101E-2</v>
          </cell>
          <cell r="Q1556">
            <v>1</v>
          </cell>
        </row>
        <row r="1557">
          <cell r="A1557">
            <v>119342</v>
          </cell>
          <cell r="B1557">
            <v>2</v>
          </cell>
          <cell r="C1557">
            <v>6</v>
          </cell>
          <cell r="D1557">
            <v>3</v>
          </cell>
          <cell r="E1557" t="str">
            <v>NON-HS</v>
          </cell>
          <cell r="F1557" t="str">
            <v>Panorama City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2.2140221402214E-2</v>
          </cell>
          <cell r="O1557">
            <v>0</v>
          </cell>
          <cell r="P1557">
            <v>9.5940959409594101E-2</v>
          </cell>
          <cell r="Q1557">
            <v>1</v>
          </cell>
        </row>
        <row r="1558">
          <cell r="A1558">
            <v>127603</v>
          </cell>
          <cell r="B1558">
            <v>2</v>
          </cell>
          <cell r="C1558">
            <v>6</v>
          </cell>
          <cell r="D1558">
            <v>3</v>
          </cell>
          <cell r="E1558" t="str">
            <v>NON-HS</v>
          </cell>
          <cell r="F1558" t="str">
            <v>Lake Balboa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2.2140221402214E-2</v>
          </cell>
          <cell r="O1558">
            <v>0</v>
          </cell>
          <cell r="P1558">
            <v>9.5940959409594101E-2</v>
          </cell>
          <cell r="Q1558">
            <v>1</v>
          </cell>
        </row>
        <row r="1559">
          <cell r="A1559">
            <v>132101</v>
          </cell>
          <cell r="B1559">
            <v>2</v>
          </cell>
          <cell r="C1559">
            <v>6</v>
          </cell>
          <cell r="D1559">
            <v>3</v>
          </cell>
          <cell r="E1559" t="str">
            <v>NON-HS</v>
          </cell>
          <cell r="F1559" t="str">
            <v>Lake Balboa</v>
          </cell>
          <cell r="G1559">
            <v>0</v>
          </cell>
          <cell r="H1559">
            <v>0</v>
          </cell>
          <cell r="I1559">
            <v>1</v>
          </cell>
          <cell r="J1559">
            <v>0</v>
          </cell>
          <cell r="K1559">
            <v>1</v>
          </cell>
          <cell r="L1559">
            <v>0</v>
          </cell>
          <cell r="M1559">
            <v>1</v>
          </cell>
          <cell r="N1559">
            <v>2.2140221402214E-2</v>
          </cell>
          <cell r="O1559">
            <v>0</v>
          </cell>
          <cell r="P1559">
            <v>9.5940959409594101E-2</v>
          </cell>
          <cell r="Q1559">
            <v>1</v>
          </cell>
        </row>
        <row r="1560">
          <cell r="A1560">
            <v>104404</v>
          </cell>
          <cell r="B1560">
            <v>2</v>
          </cell>
          <cell r="C1560">
            <v>7</v>
          </cell>
          <cell r="D1560">
            <v>3</v>
          </cell>
          <cell r="E1560" t="str">
            <v>CVCTE</v>
          </cell>
          <cell r="F1560" t="str">
            <v>Pacoima</v>
          </cell>
          <cell r="G1560">
            <v>0</v>
          </cell>
          <cell r="H1560">
            <v>1</v>
          </cell>
          <cell r="I1560">
            <v>13.795</v>
          </cell>
          <cell r="J1560">
            <v>12.04518897</v>
          </cell>
          <cell r="K1560">
            <v>13.04518897</v>
          </cell>
          <cell r="L1560">
            <v>0.75020574590664302</v>
          </cell>
          <cell r="M1560">
            <v>13.7953947159066</v>
          </cell>
          <cell r="N1560">
            <v>0.17910447761194001</v>
          </cell>
          <cell r="O1560">
            <v>0</v>
          </cell>
          <cell r="P1560">
            <v>0.20895522388059701</v>
          </cell>
          <cell r="Q1560">
            <v>1</v>
          </cell>
          <cell r="R1560">
            <v>0.40909090909090901</v>
          </cell>
          <cell r="S1560">
            <v>2.4444444444444402</v>
          </cell>
        </row>
        <row r="1561">
          <cell r="A1561">
            <v>104204</v>
          </cell>
          <cell r="B1561">
            <v>2</v>
          </cell>
          <cell r="C1561">
            <v>7</v>
          </cell>
          <cell r="D1561">
            <v>3</v>
          </cell>
          <cell r="E1561" t="str">
            <v>CVCTE</v>
          </cell>
          <cell r="F1561" t="str">
            <v>Foothill Trails</v>
          </cell>
          <cell r="G1561">
            <v>0</v>
          </cell>
          <cell r="H1561">
            <v>0</v>
          </cell>
          <cell r="I1561">
            <v>16.568999999999999</v>
          </cell>
          <cell r="J1561">
            <v>11.902197960000001</v>
          </cell>
          <cell r="K1561">
            <v>15.902197960000001</v>
          </cell>
          <cell r="L1561">
            <v>0.66703560829443398</v>
          </cell>
          <cell r="M1561">
            <v>16.569233568294401</v>
          </cell>
          <cell r="N1561">
            <v>0.17910447761194001</v>
          </cell>
          <cell r="O1561">
            <v>0</v>
          </cell>
          <cell r="P1561">
            <v>0.20895522388059701</v>
          </cell>
          <cell r="Q1561">
            <v>1</v>
          </cell>
          <cell r="R1561">
            <v>0.40909090909090901</v>
          </cell>
          <cell r="S1561">
            <v>0</v>
          </cell>
        </row>
        <row r="1562">
          <cell r="A1562">
            <v>109400</v>
          </cell>
          <cell r="B1562">
            <v>2</v>
          </cell>
          <cell r="C1562">
            <v>7</v>
          </cell>
          <cell r="D1562">
            <v>3</v>
          </cell>
          <cell r="E1562" t="str">
            <v>CVCTE</v>
          </cell>
          <cell r="F1562" t="str">
            <v>Mission Hills</v>
          </cell>
          <cell r="G1562">
            <v>0</v>
          </cell>
          <cell r="H1562">
            <v>0</v>
          </cell>
          <cell r="I1562">
            <v>24.81</v>
          </cell>
          <cell r="J1562">
            <v>23.095358640000001</v>
          </cell>
          <cell r="K1562">
            <v>24.095358640000001</v>
          </cell>
          <cell r="L1562">
            <v>0.71434355249551196</v>
          </cell>
          <cell r="M1562">
            <v>24.8097021924955</v>
          </cell>
          <cell r="N1562">
            <v>0.17910447761194001</v>
          </cell>
          <cell r="O1562">
            <v>0</v>
          </cell>
          <cell r="P1562">
            <v>0.20895522388059701</v>
          </cell>
          <cell r="Q1562">
            <v>1</v>
          </cell>
          <cell r="R1562">
            <v>0.40909090909090901</v>
          </cell>
          <cell r="S1562">
            <v>0</v>
          </cell>
        </row>
        <row r="1563">
          <cell r="A1563">
            <v>106510</v>
          </cell>
          <cell r="B1563">
            <v>2</v>
          </cell>
          <cell r="C1563">
            <v>7</v>
          </cell>
          <cell r="D1563">
            <v>3</v>
          </cell>
          <cell r="E1563" t="str">
            <v>CVCTE</v>
          </cell>
          <cell r="F1563" t="str">
            <v>Sylmar</v>
          </cell>
          <cell r="G1563">
            <v>0</v>
          </cell>
          <cell r="H1563">
            <v>1</v>
          </cell>
          <cell r="I1563">
            <v>12.282</v>
          </cell>
          <cell r="J1563">
            <v>11.651630470000001</v>
          </cell>
          <cell r="K1563">
            <v>11.651630470000001</v>
          </cell>
          <cell r="L1563">
            <v>0.63084851719928203</v>
          </cell>
          <cell r="M1563">
            <v>12.282478987199299</v>
          </cell>
          <cell r="N1563">
            <v>0.17910447761194001</v>
          </cell>
          <cell r="O1563">
            <v>0</v>
          </cell>
          <cell r="P1563">
            <v>0.20895522388059701</v>
          </cell>
          <cell r="Q1563">
            <v>1</v>
          </cell>
          <cell r="R1563">
            <v>0.40909090909090901</v>
          </cell>
          <cell r="S1563">
            <v>2.4444444444444402</v>
          </cell>
        </row>
        <row r="1564">
          <cell r="A1564">
            <v>104201</v>
          </cell>
          <cell r="B1564">
            <v>2</v>
          </cell>
          <cell r="C1564">
            <v>7</v>
          </cell>
          <cell r="D1564">
            <v>3</v>
          </cell>
          <cell r="E1564" t="str">
            <v>CVCTE</v>
          </cell>
          <cell r="F1564" t="str">
            <v>Pacoima</v>
          </cell>
          <cell r="G1564">
            <v>0</v>
          </cell>
          <cell r="H1564">
            <v>0</v>
          </cell>
          <cell r="I1564">
            <v>24.114000000000001</v>
          </cell>
          <cell r="J1564">
            <v>16.304243280000001</v>
          </cell>
          <cell r="K1564">
            <v>23.304243280000001</v>
          </cell>
          <cell r="L1564">
            <v>0.81033699373429102</v>
          </cell>
          <cell r="M1564">
            <v>24.114580273734301</v>
          </cell>
          <cell r="N1564">
            <v>0.17910447761194001</v>
          </cell>
          <cell r="O1564">
            <v>0</v>
          </cell>
          <cell r="P1564">
            <v>0.20895522388059701</v>
          </cell>
          <cell r="Q1564">
            <v>1</v>
          </cell>
          <cell r="R1564">
            <v>0.40909090909090901</v>
          </cell>
          <cell r="S1564">
            <v>0</v>
          </cell>
        </row>
        <row r="1565">
          <cell r="A1565">
            <v>104822</v>
          </cell>
          <cell r="B1565">
            <v>2</v>
          </cell>
          <cell r="C1565">
            <v>7</v>
          </cell>
          <cell r="D1565">
            <v>3</v>
          </cell>
          <cell r="E1565" t="str">
            <v>CVCTE</v>
          </cell>
          <cell r="F1565" t="str">
            <v>Pacoima</v>
          </cell>
          <cell r="G1565">
            <v>0</v>
          </cell>
          <cell r="H1565">
            <v>0</v>
          </cell>
          <cell r="I1565">
            <v>25.738</v>
          </cell>
          <cell r="J1565">
            <v>18.146692439999999</v>
          </cell>
          <cell r="K1565">
            <v>25.146692439999999</v>
          </cell>
          <cell r="L1565">
            <v>0.59070774879712795</v>
          </cell>
          <cell r="M1565">
            <v>25.7374001887971</v>
          </cell>
          <cell r="N1565">
            <v>0.17910447761194001</v>
          </cell>
          <cell r="O1565">
            <v>0</v>
          </cell>
          <cell r="P1565">
            <v>0.20895522388059701</v>
          </cell>
          <cell r="Q1565">
            <v>1</v>
          </cell>
          <cell r="R1565">
            <v>0.40909090909090901</v>
          </cell>
          <cell r="S1565">
            <v>0</v>
          </cell>
        </row>
        <row r="1566">
          <cell r="A1566">
            <v>106112</v>
          </cell>
          <cell r="B1566">
            <v>2</v>
          </cell>
          <cell r="C1566">
            <v>7</v>
          </cell>
          <cell r="D1566">
            <v>3</v>
          </cell>
          <cell r="E1566" t="str">
            <v>CVCTE</v>
          </cell>
          <cell r="F1566" t="str">
            <v>Sylmar</v>
          </cell>
          <cell r="G1566">
            <v>0</v>
          </cell>
          <cell r="H1566">
            <v>0</v>
          </cell>
          <cell r="I1566">
            <v>12.781000000000001</v>
          </cell>
          <cell r="J1566">
            <v>5.4065958900000002</v>
          </cell>
          <cell r="K1566">
            <v>12.40659589</v>
          </cell>
          <cell r="L1566">
            <v>0.37379720890484702</v>
          </cell>
          <cell r="M1566">
            <v>12.780393098904799</v>
          </cell>
          <cell r="N1566">
            <v>0.17910447761194001</v>
          </cell>
          <cell r="O1566">
            <v>0</v>
          </cell>
          <cell r="P1566">
            <v>0.20895522388059701</v>
          </cell>
          <cell r="Q1566">
            <v>1</v>
          </cell>
          <cell r="R1566">
            <v>0.40909090909090901</v>
          </cell>
          <cell r="S1566">
            <v>0</v>
          </cell>
        </row>
        <row r="1567">
          <cell r="A1567">
            <v>109604</v>
          </cell>
          <cell r="B1567">
            <v>2</v>
          </cell>
          <cell r="C1567">
            <v>7</v>
          </cell>
          <cell r="D1567">
            <v>3</v>
          </cell>
          <cell r="E1567" t="str">
            <v>CVCTE</v>
          </cell>
          <cell r="F1567" t="str">
            <v>Mission Hills</v>
          </cell>
          <cell r="G1567">
            <v>0</v>
          </cell>
          <cell r="H1567">
            <v>0</v>
          </cell>
          <cell r="I1567">
            <v>34.066000000000003</v>
          </cell>
          <cell r="J1567">
            <v>19.575135960000001</v>
          </cell>
          <cell r="K1567">
            <v>33.575135959999997</v>
          </cell>
          <cell r="L1567">
            <v>0.49026513037702002</v>
          </cell>
          <cell r="M1567">
            <v>34.065401090377001</v>
          </cell>
          <cell r="N1567">
            <v>0.17910447761194001</v>
          </cell>
          <cell r="O1567">
            <v>0</v>
          </cell>
          <cell r="P1567">
            <v>0.20895522388059701</v>
          </cell>
          <cell r="Q1567">
            <v>1</v>
          </cell>
          <cell r="R1567">
            <v>0.40909090909090901</v>
          </cell>
          <cell r="S1567">
            <v>0</v>
          </cell>
        </row>
        <row r="1568">
          <cell r="A1568">
            <v>104403</v>
          </cell>
          <cell r="B1568">
            <v>2</v>
          </cell>
          <cell r="C1568">
            <v>7</v>
          </cell>
          <cell r="D1568">
            <v>3</v>
          </cell>
          <cell r="E1568" t="str">
            <v>CVCTE</v>
          </cell>
          <cell r="F1568" t="str">
            <v>Pacoima</v>
          </cell>
          <cell r="G1568">
            <v>0</v>
          </cell>
          <cell r="H1568">
            <v>1</v>
          </cell>
          <cell r="I1568">
            <v>20.465</v>
          </cell>
          <cell r="J1568">
            <v>12.97655571</v>
          </cell>
          <cell r="K1568">
            <v>19.97655571</v>
          </cell>
          <cell r="L1568">
            <v>0.48855237779174099</v>
          </cell>
          <cell r="M1568">
            <v>20.465108087791702</v>
          </cell>
          <cell r="N1568">
            <v>0.17910447761194001</v>
          </cell>
          <cell r="O1568">
            <v>0</v>
          </cell>
          <cell r="P1568">
            <v>0.20895522388059701</v>
          </cell>
          <cell r="Q1568">
            <v>1</v>
          </cell>
          <cell r="R1568">
            <v>0.40909090909090901</v>
          </cell>
          <cell r="S1568">
            <v>2.4444444444444402</v>
          </cell>
        </row>
        <row r="1569">
          <cell r="A1569">
            <v>104401</v>
          </cell>
          <cell r="B1569">
            <v>2</v>
          </cell>
          <cell r="C1569">
            <v>7</v>
          </cell>
          <cell r="D1569">
            <v>3</v>
          </cell>
          <cell r="E1569" t="str">
            <v>CVCTE</v>
          </cell>
          <cell r="F1569" t="str">
            <v>Pacoima</v>
          </cell>
          <cell r="G1569">
            <v>0</v>
          </cell>
          <cell r="H1569">
            <v>0</v>
          </cell>
          <cell r="I1569">
            <v>1.9259999999999999</v>
          </cell>
          <cell r="J1569">
            <v>1.90487994</v>
          </cell>
          <cell r="K1569">
            <v>1.90487994</v>
          </cell>
          <cell r="L1569">
            <v>2.0625322082585301E-2</v>
          </cell>
          <cell r="M1569">
            <v>1.9255052620825901</v>
          </cell>
          <cell r="N1569">
            <v>0.17910447761194001</v>
          </cell>
          <cell r="O1569">
            <v>0</v>
          </cell>
          <cell r="P1569">
            <v>0.20895522388059701</v>
          </cell>
          <cell r="Q1569">
            <v>1</v>
          </cell>
          <cell r="R1569">
            <v>0.40909090909090901</v>
          </cell>
          <cell r="S1569">
            <v>0</v>
          </cell>
        </row>
        <row r="1570">
          <cell r="A1570">
            <v>106113</v>
          </cell>
          <cell r="B1570">
            <v>2</v>
          </cell>
          <cell r="C1570">
            <v>7</v>
          </cell>
          <cell r="D1570">
            <v>3</v>
          </cell>
          <cell r="E1570" t="str">
            <v>CVCTE</v>
          </cell>
          <cell r="F1570" t="str">
            <v>Sylmar</v>
          </cell>
          <cell r="G1570">
            <v>0</v>
          </cell>
          <cell r="H1570">
            <v>1</v>
          </cell>
          <cell r="I1570">
            <v>49.881</v>
          </cell>
          <cell r="J1570">
            <v>39.20107488</v>
          </cell>
          <cell r="K1570">
            <v>48.20107488</v>
          </cell>
          <cell r="L1570">
            <v>1.6801683518491899</v>
          </cell>
          <cell r="M1570">
            <v>49.881243231849197</v>
          </cell>
          <cell r="N1570">
            <v>0.17910447761194001</v>
          </cell>
          <cell r="O1570">
            <v>0</v>
          </cell>
          <cell r="P1570">
            <v>0.20895522388059701</v>
          </cell>
          <cell r="Q1570">
            <v>1</v>
          </cell>
          <cell r="R1570">
            <v>0.40909090909090901</v>
          </cell>
          <cell r="S1570">
            <v>2.4444444444444402</v>
          </cell>
        </row>
        <row r="1571">
          <cell r="A1571">
            <v>106020</v>
          </cell>
          <cell r="B1571">
            <v>2</v>
          </cell>
          <cell r="C1571">
            <v>7</v>
          </cell>
          <cell r="D1571">
            <v>3</v>
          </cell>
          <cell r="E1571" t="str">
            <v>CVCTE</v>
          </cell>
          <cell r="F1571" t="str">
            <v>Sylmar</v>
          </cell>
          <cell r="G1571">
            <v>0</v>
          </cell>
          <cell r="H1571">
            <v>0</v>
          </cell>
          <cell r="I1571">
            <v>43.392000000000003</v>
          </cell>
          <cell r="J1571">
            <v>40.910404630000002</v>
          </cell>
          <cell r="K1571">
            <v>40.910404630000002</v>
          </cell>
          <cell r="L1571">
            <v>2.48104708872531</v>
          </cell>
          <cell r="M1571">
            <v>43.3914517187253</v>
          </cell>
          <cell r="N1571">
            <v>0.17910447761194001</v>
          </cell>
          <cell r="O1571">
            <v>0</v>
          </cell>
          <cell r="P1571">
            <v>0.20895522388059701</v>
          </cell>
          <cell r="Q1571">
            <v>1</v>
          </cell>
          <cell r="R1571">
            <v>0.40909090909090901</v>
          </cell>
          <cell r="S1571">
            <v>0</v>
          </cell>
        </row>
        <row r="1572">
          <cell r="A1572">
            <v>103101</v>
          </cell>
          <cell r="B1572">
            <v>2</v>
          </cell>
          <cell r="C1572">
            <v>7</v>
          </cell>
          <cell r="D1572">
            <v>5</v>
          </cell>
          <cell r="E1572" t="str">
            <v>CVCTE</v>
          </cell>
          <cell r="F1572" t="str">
            <v>Sunland-Tujunga</v>
          </cell>
          <cell r="G1572">
            <v>0</v>
          </cell>
          <cell r="H1572">
            <v>0</v>
          </cell>
          <cell r="I1572">
            <v>6.7809999999999997</v>
          </cell>
          <cell r="J1572">
            <v>5.4065958900000002</v>
          </cell>
          <cell r="K1572">
            <v>6.4065958900000002</v>
          </cell>
          <cell r="L1572">
            <v>0.37379720890484702</v>
          </cell>
          <cell r="M1572">
            <v>6.7803930989048498</v>
          </cell>
          <cell r="N1572">
            <v>0.17910447761194001</v>
          </cell>
          <cell r="O1572">
            <v>0</v>
          </cell>
          <cell r="P1572">
            <v>0.20895522388059701</v>
          </cell>
          <cell r="Q1572">
            <v>1</v>
          </cell>
          <cell r="R1572">
            <v>0.40909090909090901</v>
          </cell>
          <cell r="S1572">
            <v>0</v>
          </cell>
        </row>
        <row r="1573">
          <cell r="A1573">
            <v>106520</v>
          </cell>
          <cell r="B1573">
            <v>2</v>
          </cell>
          <cell r="C1573">
            <v>7</v>
          </cell>
          <cell r="D1573">
            <v>3</v>
          </cell>
          <cell r="E1573" t="str">
            <v>CVCTE</v>
          </cell>
          <cell r="F1573" t="str">
            <v>Sylmar</v>
          </cell>
          <cell r="G1573">
            <v>0</v>
          </cell>
          <cell r="H1573">
            <v>1</v>
          </cell>
          <cell r="I1573">
            <v>44.462000000000003</v>
          </cell>
          <cell r="J1573">
            <v>41.906298700000001</v>
          </cell>
          <cell r="K1573">
            <v>41.906298700000001</v>
          </cell>
          <cell r="L1573">
            <v>2.5558368794075399</v>
          </cell>
          <cell r="M1573">
            <v>44.462135579407501</v>
          </cell>
          <cell r="N1573">
            <v>0.17910447761194001</v>
          </cell>
          <cell r="O1573">
            <v>0</v>
          </cell>
          <cell r="P1573">
            <v>0.20895522388059701</v>
          </cell>
          <cell r="Q1573">
            <v>1</v>
          </cell>
          <cell r="R1573">
            <v>0.40909090909090901</v>
          </cell>
          <cell r="S1573">
            <v>2.4444444444444402</v>
          </cell>
        </row>
        <row r="1574">
          <cell r="A1574">
            <v>103200</v>
          </cell>
          <cell r="B1574">
            <v>2</v>
          </cell>
          <cell r="C1574">
            <v>7</v>
          </cell>
          <cell r="D1574">
            <v>5</v>
          </cell>
          <cell r="E1574" t="str">
            <v>CVCTE</v>
          </cell>
          <cell r="F1574" t="str">
            <v>Foothill Trails</v>
          </cell>
          <cell r="G1574">
            <v>0</v>
          </cell>
          <cell r="H1574">
            <v>1</v>
          </cell>
          <cell r="I1574">
            <v>55.271000000000001</v>
          </cell>
          <cell r="J1574">
            <v>31.97229291</v>
          </cell>
          <cell r="K1574">
            <v>53.97229291</v>
          </cell>
          <cell r="L1574">
            <v>1.29789766535009</v>
          </cell>
          <cell r="M1574">
            <v>55.270190575350099</v>
          </cell>
          <cell r="N1574">
            <v>0.17910447761194001</v>
          </cell>
          <cell r="O1574">
            <v>0</v>
          </cell>
          <cell r="P1574">
            <v>0.20895522388059701</v>
          </cell>
          <cell r="Q1574">
            <v>1</v>
          </cell>
          <cell r="R1574">
            <v>0.40909090909090901</v>
          </cell>
          <cell r="S1574">
            <v>2.4444444444444402</v>
          </cell>
        </row>
        <row r="1575">
          <cell r="A1575">
            <v>117101</v>
          </cell>
          <cell r="B1575">
            <v>2</v>
          </cell>
          <cell r="C1575">
            <v>7</v>
          </cell>
          <cell r="D1575">
            <v>3</v>
          </cell>
          <cell r="E1575" t="str">
            <v>CVCTE</v>
          </cell>
          <cell r="F1575" t="str">
            <v>North Hills</v>
          </cell>
          <cell r="G1575">
            <v>1</v>
          </cell>
          <cell r="H1575">
            <v>1</v>
          </cell>
          <cell r="I1575">
            <v>16.274000000000001</v>
          </cell>
          <cell r="J1575">
            <v>15.86270253</v>
          </cell>
          <cell r="K1575">
            <v>15.86270253</v>
          </cell>
          <cell r="L1575">
            <v>0.41046830080789898</v>
          </cell>
          <cell r="M1575">
            <v>16.273170830807899</v>
          </cell>
          <cell r="N1575">
            <v>0.17910447761194001</v>
          </cell>
          <cell r="O1575">
            <v>5.5833333333333304</v>
          </cell>
          <cell r="P1575">
            <v>0.20895522388059701</v>
          </cell>
          <cell r="Q1575">
            <v>1</v>
          </cell>
        </row>
        <row r="1576">
          <cell r="A1576">
            <v>109100</v>
          </cell>
          <cell r="B1576">
            <v>2</v>
          </cell>
          <cell r="C1576">
            <v>7</v>
          </cell>
          <cell r="D1576">
            <v>3</v>
          </cell>
          <cell r="E1576" t="str">
            <v>CVCTE</v>
          </cell>
          <cell r="F1576" t="str">
            <v>Mission Hills</v>
          </cell>
          <cell r="G1576">
            <v>1</v>
          </cell>
          <cell r="H1576">
            <v>1</v>
          </cell>
          <cell r="I1576">
            <v>35.436</v>
          </cell>
          <cell r="J1576">
            <v>21.92719254</v>
          </cell>
          <cell r="K1576">
            <v>34.92719254</v>
          </cell>
          <cell r="L1576">
            <v>0.50915723310592498</v>
          </cell>
          <cell r="M1576">
            <v>35.436349773105903</v>
          </cell>
          <cell r="N1576">
            <v>0.17910447761194001</v>
          </cell>
          <cell r="O1576">
            <v>5.5833333333333304</v>
          </cell>
          <cell r="P1576">
            <v>0.20895522388059701</v>
          </cell>
          <cell r="Q1576">
            <v>1</v>
          </cell>
        </row>
        <row r="1577">
          <cell r="A1577">
            <v>109603</v>
          </cell>
          <cell r="B1577">
            <v>2</v>
          </cell>
          <cell r="C1577">
            <v>7</v>
          </cell>
          <cell r="D1577">
            <v>3</v>
          </cell>
          <cell r="E1577" t="str">
            <v>CVCTE</v>
          </cell>
          <cell r="F1577" t="str">
            <v>Mission Hills</v>
          </cell>
          <cell r="G1577">
            <v>0</v>
          </cell>
          <cell r="H1577">
            <v>1</v>
          </cell>
          <cell r="I1577">
            <v>50.078000000000003</v>
          </cell>
          <cell r="J1577">
            <v>44.21954839</v>
          </cell>
          <cell r="K1577">
            <v>47.21954839</v>
          </cell>
          <cell r="L1577">
            <v>2.8588774872531402</v>
          </cell>
          <cell r="M1577">
            <v>50.078425877253103</v>
          </cell>
          <cell r="N1577">
            <v>0.17910447761194001</v>
          </cell>
          <cell r="O1577">
            <v>0</v>
          </cell>
          <cell r="P1577">
            <v>0.20895522388059701</v>
          </cell>
          <cell r="Q1577">
            <v>1</v>
          </cell>
          <cell r="R1577">
            <v>0.40909090909090901</v>
          </cell>
          <cell r="S1577">
            <v>2.4444444444444402</v>
          </cell>
        </row>
        <row r="1578">
          <cell r="A1578">
            <v>104620</v>
          </cell>
          <cell r="B1578">
            <v>2</v>
          </cell>
          <cell r="C1578">
            <v>7</v>
          </cell>
          <cell r="D1578">
            <v>3</v>
          </cell>
          <cell r="E1578" t="str">
            <v>CVCTE</v>
          </cell>
          <cell r="F1578" t="str">
            <v>Pacoima</v>
          </cell>
          <cell r="G1578">
            <v>0</v>
          </cell>
          <cell r="H1578">
            <v>0</v>
          </cell>
          <cell r="I1578">
            <v>19.28</v>
          </cell>
          <cell r="J1578">
            <v>16.11221119</v>
          </cell>
          <cell r="K1578">
            <v>18.11221119</v>
          </cell>
          <cell r="L1578">
            <v>1.1683746732316</v>
          </cell>
          <cell r="M1578">
            <v>19.2805858632316</v>
          </cell>
          <cell r="N1578">
            <v>0.17910447761194001</v>
          </cell>
          <cell r="O1578">
            <v>0</v>
          </cell>
          <cell r="P1578">
            <v>0.20895522388059701</v>
          </cell>
          <cell r="Q1578">
            <v>1</v>
          </cell>
          <cell r="R1578">
            <v>0.40909090909090901</v>
          </cell>
          <cell r="S1578">
            <v>0</v>
          </cell>
        </row>
        <row r="1579">
          <cell r="A1579">
            <v>109500</v>
          </cell>
          <cell r="B1579">
            <v>2</v>
          </cell>
          <cell r="C1579">
            <v>7</v>
          </cell>
          <cell r="D1579">
            <v>3</v>
          </cell>
          <cell r="E1579" t="str">
            <v>CVCTE</v>
          </cell>
          <cell r="F1579" t="str">
            <v>Mission Hills</v>
          </cell>
          <cell r="G1579">
            <v>0</v>
          </cell>
          <cell r="H1579">
            <v>0</v>
          </cell>
          <cell r="I1579">
            <v>81.167000000000002</v>
          </cell>
          <cell r="J1579">
            <v>60.338475539999997</v>
          </cell>
          <cell r="K1579">
            <v>78.338475540000005</v>
          </cell>
          <cell r="L1579">
            <v>2.8283561981148999</v>
          </cell>
          <cell r="M1579">
            <v>81.166831738114894</v>
          </cell>
          <cell r="N1579">
            <v>0.17910447761194001</v>
          </cell>
          <cell r="O1579">
            <v>0</v>
          </cell>
          <cell r="P1579">
            <v>0.20895522388059701</v>
          </cell>
          <cell r="Q1579">
            <v>1</v>
          </cell>
          <cell r="R1579">
            <v>0.40909090909090901</v>
          </cell>
          <cell r="S1579">
            <v>0</v>
          </cell>
        </row>
        <row r="1580">
          <cell r="A1580">
            <v>101400</v>
          </cell>
          <cell r="B1580">
            <v>2</v>
          </cell>
          <cell r="C1580">
            <v>7</v>
          </cell>
          <cell r="D1580">
            <v>5</v>
          </cell>
          <cell r="E1580" t="str">
            <v>CVCTE</v>
          </cell>
          <cell r="F1580" t="str">
            <v>Sunland-Tujunga</v>
          </cell>
          <cell r="G1580">
            <v>1</v>
          </cell>
          <cell r="H1580">
            <v>1</v>
          </cell>
          <cell r="I1580">
            <v>11.994999999999999</v>
          </cell>
          <cell r="J1580">
            <v>11.401062980000001</v>
          </cell>
          <cell r="K1580">
            <v>11.401062980000001</v>
          </cell>
          <cell r="L1580">
            <v>0.59466142610412898</v>
          </cell>
          <cell r="M1580">
            <v>11.995724406104101</v>
          </cell>
          <cell r="N1580">
            <v>0.17910447761194001</v>
          </cell>
          <cell r="O1580">
            <v>5.5833333333333304</v>
          </cell>
          <cell r="P1580">
            <v>0.20895522388059701</v>
          </cell>
          <cell r="Q1580">
            <v>1</v>
          </cell>
        </row>
        <row r="1581">
          <cell r="A1581">
            <v>106114</v>
          </cell>
          <cell r="B1581">
            <v>2</v>
          </cell>
          <cell r="C1581">
            <v>7</v>
          </cell>
          <cell r="D1581">
            <v>3</v>
          </cell>
          <cell r="E1581" t="str">
            <v>CVCTE</v>
          </cell>
          <cell r="F1581" t="str">
            <v>Sylmar</v>
          </cell>
          <cell r="G1581">
            <v>0</v>
          </cell>
          <cell r="H1581">
            <v>1</v>
          </cell>
          <cell r="I1581">
            <v>22.036000000000001</v>
          </cell>
          <cell r="J1581">
            <v>19.178222179999999</v>
          </cell>
          <cell r="K1581">
            <v>21.178222179999999</v>
          </cell>
          <cell r="L1581">
            <v>0.85825727303411103</v>
          </cell>
          <cell r="M1581">
            <v>22.036479453034101</v>
          </cell>
          <cell r="N1581">
            <v>0.17910447761194001</v>
          </cell>
          <cell r="O1581">
            <v>0</v>
          </cell>
          <cell r="P1581">
            <v>0.20895522388059701</v>
          </cell>
          <cell r="Q1581">
            <v>1</v>
          </cell>
          <cell r="R1581">
            <v>0.40909090909090901</v>
          </cell>
          <cell r="S1581">
            <v>2.4444444444444402</v>
          </cell>
        </row>
        <row r="1582">
          <cell r="A1582">
            <v>106406</v>
          </cell>
          <cell r="B1582">
            <v>2</v>
          </cell>
          <cell r="C1582">
            <v>7</v>
          </cell>
          <cell r="D1582">
            <v>3</v>
          </cell>
          <cell r="E1582" t="str">
            <v>CVCTE</v>
          </cell>
          <cell r="F1582" t="str">
            <v>Sylmar</v>
          </cell>
          <cell r="G1582">
            <v>0</v>
          </cell>
          <cell r="H1582">
            <v>0</v>
          </cell>
          <cell r="I1582">
            <v>9.3789999999999996</v>
          </cell>
          <cell r="J1582">
            <v>7.9347986400000003</v>
          </cell>
          <cell r="K1582">
            <v>8.9347986400000003</v>
          </cell>
          <cell r="L1582">
            <v>0.44469040552962302</v>
          </cell>
          <cell r="M1582">
            <v>9.3794890455296205</v>
          </cell>
          <cell r="N1582">
            <v>0.17910447761194001</v>
          </cell>
          <cell r="O1582">
            <v>0</v>
          </cell>
          <cell r="P1582">
            <v>0.20895522388059701</v>
          </cell>
          <cell r="Q1582">
            <v>1</v>
          </cell>
          <cell r="R1582">
            <v>0.40909090909090901</v>
          </cell>
          <cell r="S1582">
            <v>0</v>
          </cell>
        </row>
        <row r="1583">
          <cell r="A1583">
            <v>104103</v>
          </cell>
          <cell r="B1583">
            <v>2</v>
          </cell>
          <cell r="C1583">
            <v>7</v>
          </cell>
          <cell r="D1583">
            <v>3</v>
          </cell>
          <cell r="E1583" t="str">
            <v>CVCTE</v>
          </cell>
          <cell r="F1583" t="str">
            <v>Foothill Trails</v>
          </cell>
          <cell r="G1583">
            <v>1</v>
          </cell>
          <cell r="H1583">
            <v>1</v>
          </cell>
          <cell r="I1583">
            <v>33.106000000000002</v>
          </cell>
          <cell r="J1583">
            <v>22.858559280000001</v>
          </cell>
          <cell r="K1583">
            <v>32.858559280000001</v>
          </cell>
          <cell r="L1583">
            <v>0.247503864991023</v>
          </cell>
          <cell r="M1583">
            <v>33.106063144990998</v>
          </cell>
          <cell r="N1583">
            <v>0.17910447761194001</v>
          </cell>
          <cell r="O1583">
            <v>5.5833333333333304</v>
          </cell>
          <cell r="P1583">
            <v>0.20895522388059701</v>
          </cell>
          <cell r="Q1583">
            <v>1</v>
          </cell>
        </row>
        <row r="1584">
          <cell r="A1584">
            <v>101110</v>
          </cell>
          <cell r="B1584">
            <v>2</v>
          </cell>
          <cell r="C1584">
            <v>7</v>
          </cell>
          <cell r="D1584">
            <v>5</v>
          </cell>
          <cell r="E1584" t="str">
            <v>CVCTE</v>
          </cell>
          <cell r="F1584" t="str">
            <v>Sunland-Tujunga</v>
          </cell>
          <cell r="G1584">
            <v>1</v>
          </cell>
          <cell r="H1584">
            <v>1</v>
          </cell>
          <cell r="I1584">
            <v>1</v>
          </cell>
          <cell r="J1584">
            <v>0</v>
          </cell>
          <cell r="K1584">
            <v>1</v>
          </cell>
          <cell r="L1584">
            <v>0</v>
          </cell>
          <cell r="M1584">
            <v>1</v>
          </cell>
          <cell r="N1584">
            <v>0.17910447761194001</v>
          </cell>
          <cell r="O1584">
            <v>5.5833333333333304</v>
          </cell>
          <cell r="P1584">
            <v>0.20895522388059701</v>
          </cell>
          <cell r="Q1584">
            <v>1</v>
          </cell>
        </row>
        <row r="1585">
          <cell r="A1585">
            <v>104703</v>
          </cell>
          <cell r="B1585">
            <v>2</v>
          </cell>
          <cell r="C1585">
            <v>7</v>
          </cell>
          <cell r="D1585">
            <v>3</v>
          </cell>
          <cell r="E1585" t="str">
            <v>CVCTE</v>
          </cell>
          <cell r="F1585" t="str">
            <v>Pacoima</v>
          </cell>
          <cell r="G1585">
            <v>1</v>
          </cell>
          <cell r="H1585">
            <v>1</v>
          </cell>
          <cell r="I1585">
            <v>61.689</v>
          </cell>
          <cell r="J1585">
            <v>52.601345010000003</v>
          </cell>
          <cell r="K1585">
            <v>58.601345010000003</v>
          </cell>
          <cell r="L1585">
            <v>3.0880785864811502</v>
          </cell>
          <cell r="M1585">
            <v>61.689423596481099</v>
          </cell>
          <cell r="N1585">
            <v>0.17910447761194001</v>
          </cell>
          <cell r="O1585">
            <v>5.5833333333333304</v>
          </cell>
          <cell r="P1585">
            <v>0.20895522388059701</v>
          </cell>
          <cell r="Q1585">
            <v>1</v>
          </cell>
        </row>
        <row r="1586">
          <cell r="A1586">
            <v>103102</v>
          </cell>
          <cell r="B1586">
            <v>2</v>
          </cell>
          <cell r="C1586">
            <v>7</v>
          </cell>
          <cell r="D1586">
            <v>5</v>
          </cell>
          <cell r="E1586" t="str">
            <v>CVCTE</v>
          </cell>
          <cell r="F1586" t="str">
            <v>Sunland-Tujunga</v>
          </cell>
          <cell r="G1586">
            <v>0</v>
          </cell>
          <cell r="H1586">
            <v>1</v>
          </cell>
          <cell r="I1586">
            <v>12.4</v>
          </cell>
          <cell r="J1586">
            <v>11.82337824</v>
          </cell>
          <cell r="K1586">
            <v>11.82337824</v>
          </cell>
          <cell r="L1586">
            <v>0.576488328994614</v>
          </cell>
          <cell r="M1586">
            <v>12.3998665689946</v>
          </cell>
          <cell r="N1586">
            <v>0.17910447761194001</v>
          </cell>
          <cell r="O1586">
            <v>0</v>
          </cell>
          <cell r="P1586">
            <v>0.20895522388059701</v>
          </cell>
          <cell r="Q1586">
            <v>1</v>
          </cell>
          <cell r="R1586">
            <v>0.40909090909090901</v>
          </cell>
          <cell r="S1586">
            <v>2.4444444444444402</v>
          </cell>
        </row>
        <row r="1587">
          <cell r="A1587">
            <v>103400</v>
          </cell>
          <cell r="B1587">
            <v>2</v>
          </cell>
          <cell r="C1587">
            <v>7</v>
          </cell>
          <cell r="D1587">
            <v>5</v>
          </cell>
          <cell r="E1587" t="str">
            <v>CVCTE</v>
          </cell>
          <cell r="F1587" t="str">
            <v>Sunland-Tujunga</v>
          </cell>
          <cell r="G1587">
            <v>0</v>
          </cell>
          <cell r="H1587">
            <v>0</v>
          </cell>
          <cell r="I1587">
            <v>17.795000000000002</v>
          </cell>
          <cell r="J1587">
            <v>15.30375091</v>
          </cell>
          <cell r="K1587">
            <v>17.303750910000002</v>
          </cell>
          <cell r="L1587">
            <v>0.491004602764812</v>
          </cell>
          <cell r="M1587">
            <v>17.794755512764802</v>
          </cell>
          <cell r="N1587">
            <v>0.17910447761194001</v>
          </cell>
          <cell r="O1587">
            <v>0</v>
          </cell>
          <cell r="P1587">
            <v>0.20895522388059701</v>
          </cell>
          <cell r="Q1587">
            <v>1</v>
          </cell>
          <cell r="R1587">
            <v>0.40909090909090901</v>
          </cell>
          <cell r="S1587">
            <v>0</v>
          </cell>
        </row>
        <row r="1588">
          <cell r="A1588">
            <v>106604</v>
          </cell>
          <cell r="B1588">
            <v>2</v>
          </cell>
          <cell r="C1588">
            <v>7</v>
          </cell>
          <cell r="D1588">
            <v>3</v>
          </cell>
          <cell r="E1588" t="str">
            <v>FAMILY</v>
          </cell>
          <cell r="F1588" t="str">
            <v>Sylmar</v>
          </cell>
          <cell r="G1588">
            <v>1</v>
          </cell>
          <cell r="H1588">
            <v>1</v>
          </cell>
          <cell r="I1588">
            <v>14.673</v>
          </cell>
          <cell r="J1588">
            <v>13.73495303</v>
          </cell>
          <cell r="K1588">
            <v>13.73495303</v>
          </cell>
          <cell r="L1588">
            <v>0.93784484314183103</v>
          </cell>
          <cell r="M1588">
            <v>14.6727978731418</v>
          </cell>
          <cell r="N1588">
            <v>1</v>
          </cell>
          <cell r="O1588">
            <v>1</v>
          </cell>
        </row>
        <row r="1589">
          <cell r="A1589">
            <v>980021</v>
          </cell>
          <cell r="B1589">
            <v>2</v>
          </cell>
          <cell r="C1589">
            <v>7</v>
          </cell>
          <cell r="D1589">
            <v>3</v>
          </cell>
          <cell r="E1589" t="str">
            <v>FAMILY</v>
          </cell>
          <cell r="F1589" t="str">
            <v>Pacoima</v>
          </cell>
          <cell r="G1589">
            <v>1</v>
          </cell>
          <cell r="H1589">
            <v>1</v>
          </cell>
          <cell r="I1589">
            <v>62.676000000000002</v>
          </cell>
          <cell r="J1589">
            <v>42.595214349999999</v>
          </cell>
          <cell r="K1589">
            <v>60.595214349999999</v>
          </cell>
          <cell r="L1589">
            <v>2.0803232851885101</v>
          </cell>
          <cell r="M1589">
            <v>62.675537635188498</v>
          </cell>
          <cell r="N1589">
            <v>1</v>
          </cell>
          <cell r="O1589">
            <v>1</v>
          </cell>
        </row>
        <row r="1590">
          <cell r="A1590">
            <v>103300</v>
          </cell>
          <cell r="B1590">
            <v>2</v>
          </cell>
          <cell r="C1590">
            <v>7</v>
          </cell>
          <cell r="D1590">
            <v>5</v>
          </cell>
          <cell r="E1590" t="str">
            <v>INDIV</v>
          </cell>
          <cell r="F1590" t="str">
            <v>Foothill Trails</v>
          </cell>
          <cell r="G1590">
            <v>0</v>
          </cell>
          <cell r="H1590">
            <v>1</v>
          </cell>
          <cell r="I1590">
            <v>14.775</v>
          </cell>
          <cell r="J1590">
            <v>11.41517131</v>
          </cell>
          <cell r="K1590">
            <v>14.41517131</v>
          </cell>
          <cell r="L1590">
            <v>0.35920667929981998</v>
          </cell>
          <cell r="M1590">
            <v>14.774377989299801</v>
          </cell>
          <cell r="N1590">
            <v>4.8387096774193498E-2</v>
          </cell>
          <cell r="O1590">
            <v>0</v>
          </cell>
          <cell r="P1590">
            <v>0.14516129032258099</v>
          </cell>
          <cell r="Q1590">
            <v>1</v>
          </cell>
          <cell r="R1590">
            <v>0.22222222222222199</v>
          </cell>
          <cell r="S1590">
            <v>4.5</v>
          </cell>
        </row>
        <row r="1591">
          <cell r="A1591">
            <v>101300</v>
          </cell>
          <cell r="B1591">
            <v>2</v>
          </cell>
          <cell r="C1591">
            <v>7</v>
          </cell>
          <cell r="D1591">
            <v>5</v>
          </cell>
          <cell r="E1591" t="str">
            <v>INDIV</v>
          </cell>
          <cell r="F1591" t="str">
            <v>Sunland-Tujunga</v>
          </cell>
          <cell r="G1591">
            <v>0</v>
          </cell>
          <cell r="H1591">
            <v>1</v>
          </cell>
          <cell r="I1591">
            <v>20.108000000000001</v>
          </cell>
          <cell r="J1591">
            <v>5.0438748599999998</v>
          </cell>
          <cell r="K1591">
            <v>20.043874859999999</v>
          </cell>
          <cell r="L1591">
            <v>6.4475795278276501E-2</v>
          </cell>
          <cell r="M1591">
            <v>20.108350655278301</v>
          </cell>
          <cell r="N1591">
            <v>4.8387096774193498E-2</v>
          </cell>
          <cell r="O1591">
            <v>0</v>
          </cell>
          <cell r="P1591">
            <v>0.14516129032258099</v>
          </cell>
          <cell r="Q1591">
            <v>1</v>
          </cell>
          <cell r="R1591">
            <v>0.22222222222222199</v>
          </cell>
          <cell r="S1591">
            <v>4.5</v>
          </cell>
        </row>
        <row r="1592">
          <cell r="A1592">
            <v>101220</v>
          </cell>
          <cell r="B1592">
            <v>2</v>
          </cell>
          <cell r="C1592">
            <v>7</v>
          </cell>
          <cell r="D1592">
            <v>5</v>
          </cell>
          <cell r="E1592" t="str">
            <v>INDIV</v>
          </cell>
          <cell r="F1592" t="str">
            <v>Sunland-Tujunga</v>
          </cell>
          <cell r="G1592">
            <v>0</v>
          </cell>
          <cell r="H1592">
            <v>0</v>
          </cell>
          <cell r="I1592">
            <v>34</v>
          </cell>
          <cell r="J1592">
            <v>0</v>
          </cell>
          <cell r="K1592">
            <v>34</v>
          </cell>
          <cell r="L1592">
            <v>0</v>
          </cell>
          <cell r="M1592">
            <v>34</v>
          </cell>
          <cell r="N1592">
            <v>4.8387096774193498E-2</v>
          </cell>
          <cell r="O1592">
            <v>0</v>
          </cell>
          <cell r="P1592">
            <v>0.14516129032258099</v>
          </cell>
          <cell r="Q1592">
            <v>1</v>
          </cell>
          <cell r="R1592">
            <v>0.22222222222222199</v>
          </cell>
          <cell r="S1592">
            <v>0</v>
          </cell>
        </row>
        <row r="1593">
          <cell r="A1593">
            <v>104704</v>
          </cell>
          <cell r="B1593">
            <v>2</v>
          </cell>
          <cell r="C1593">
            <v>7</v>
          </cell>
          <cell r="D1593">
            <v>3</v>
          </cell>
          <cell r="E1593" t="str">
            <v>INDIV</v>
          </cell>
          <cell r="F1593" t="str">
            <v>Pacoima</v>
          </cell>
          <cell r="G1593">
            <v>0</v>
          </cell>
          <cell r="H1593">
            <v>0</v>
          </cell>
          <cell r="I1593">
            <v>9</v>
          </cell>
          <cell r="J1593">
            <v>0</v>
          </cell>
          <cell r="K1593">
            <v>9</v>
          </cell>
          <cell r="L1593">
            <v>0</v>
          </cell>
          <cell r="M1593">
            <v>9</v>
          </cell>
          <cell r="N1593">
            <v>4.8387096774193498E-2</v>
          </cell>
          <cell r="O1593">
            <v>0</v>
          </cell>
          <cell r="P1593">
            <v>0.14516129032258099</v>
          </cell>
          <cell r="Q1593">
            <v>1</v>
          </cell>
          <cell r="R1593">
            <v>0.22222222222222199</v>
          </cell>
          <cell r="S1593">
            <v>0</v>
          </cell>
        </row>
        <row r="1594">
          <cell r="A1594">
            <v>107010</v>
          </cell>
          <cell r="B1594">
            <v>2</v>
          </cell>
          <cell r="C1594">
            <v>7</v>
          </cell>
          <cell r="D1594">
            <v>3</v>
          </cell>
          <cell r="E1594" t="str">
            <v>INDIV</v>
          </cell>
          <cell r="F1594" t="str">
            <v>Sylmar</v>
          </cell>
          <cell r="G1594">
            <v>0</v>
          </cell>
          <cell r="H1594">
            <v>0</v>
          </cell>
          <cell r="I1594">
            <v>3.5910000000000002</v>
          </cell>
          <cell r="J1594">
            <v>1.43919657</v>
          </cell>
          <cell r="K1594">
            <v>3.43919657</v>
          </cell>
          <cell r="L1594">
            <v>0.15145200614003601</v>
          </cell>
          <cell r="M1594">
            <v>3.59064857614004</v>
          </cell>
          <cell r="N1594">
            <v>4.8387096774193498E-2</v>
          </cell>
          <cell r="O1594">
            <v>0</v>
          </cell>
          <cell r="P1594">
            <v>0.14516129032258099</v>
          </cell>
          <cell r="Q1594">
            <v>1</v>
          </cell>
          <cell r="R1594">
            <v>0.22222222222222199</v>
          </cell>
          <cell r="S1594">
            <v>0</v>
          </cell>
        </row>
        <row r="1595">
          <cell r="A1595">
            <v>117510</v>
          </cell>
          <cell r="B1595">
            <v>2</v>
          </cell>
          <cell r="C1595">
            <v>7</v>
          </cell>
          <cell r="D1595">
            <v>3</v>
          </cell>
          <cell r="E1595" t="str">
            <v>INDIV</v>
          </cell>
          <cell r="F1595" t="str">
            <v>North Hills</v>
          </cell>
          <cell r="G1595">
            <v>0</v>
          </cell>
          <cell r="H1595">
            <v>0</v>
          </cell>
          <cell r="I1595">
            <v>14.946</v>
          </cell>
          <cell r="J1595">
            <v>5.7934595399999997</v>
          </cell>
          <cell r="K1595">
            <v>14.793459540000001</v>
          </cell>
          <cell r="L1595">
            <v>0.152423245547576</v>
          </cell>
          <cell r="M1595">
            <v>14.9458827855476</v>
          </cell>
          <cell r="N1595">
            <v>4.8387096774193498E-2</v>
          </cell>
          <cell r="O1595">
            <v>0</v>
          </cell>
          <cell r="P1595">
            <v>0.14516129032258099</v>
          </cell>
          <cell r="Q1595">
            <v>1</v>
          </cell>
          <cell r="R1595">
            <v>0.22222222222222199</v>
          </cell>
          <cell r="S1595">
            <v>0</v>
          </cell>
        </row>
        <row r="1596">
          <cell r="A1596">
            <v>106403</v>
          </cell>
          <cell r="B1596">
            <v>2</v>
          </cell>
          <cell r="C1596">
            <v>7</v>
          </cell>
          <cell r="D1596">
            <v>3</v>
          </cell>
          <cell r="E1596" t="str">
            <v>INDIV</v>
          </cell>
          <cell r="F1596" t="str">
            <v>Sylmar</v>
          </cell>
          <cell r="G1596">
            <v>0</v>
          </cell>
          <cell r="H1596">
            <v>0</v>
          </cell>
          <cell r="I1596">
            <v>4</v>
          </cell>
          <cell r="J1596">
            <v>0</v>
          </cell>
          <cell r="K1596">
            <v>4</v>
          </cell>
          <cell r="L1596">
            <v>0</v>
          </cell>
          <cell r="M1596">
            <v>4</v>
          </cell>
          <cell r="N1596">
            <v>4.8387096774193498E-2</v>
          </cell>
          <cell r="O1596">
            <v>0</v>
          </cell>
          <cell r="P1596">
            <v>0.14516129032258099</v>
          </cell>
          <cell r="Q1596">
            <v>1</v>
          </cell>
          <cell r="R1596">
            <v>0.22222222222222199</v>
          </cell>
          <cell r="S1596">
            <v>0</v>
          </cell>
        </row>
        <row r="1597">
          <cell r="A1597">
            <v>117102</v>
          </cell>
          <cell r="B1597">
            <v>2</v>
          </cell>
          <cell r="C1597">
            <v>7</v>
          </cell>
          <cell r="D1597">
            <v>3</v>
          </cell>
          <cell r="E1597" t="str">
            <v>INDIV</v>
          </cell>
          <cell r="F1597" t="str">
            <v>North Hills</v>
          </cell>
          <cell r="G1597">
            <v>0</v>
          </cell>
          <cell r="H1597">
            <v>0</v>
          </cell>
          <cell r="I1597">
            <v>12.327</v>
          </cell>
          <cell r="J1597">
            <v>8.91622834</v>
          </cell>
          <cell r="K1597">
            <v>11.91622834</v>
          </cell>
          <cell r="L1597">
            <v>0.411114642531418</v>
          </cell>
          <cell r="M1597">
            <v>12.3273429825314</v>
          </cell>
          <cell r="N1597">
            <v>4.8387096774193498E-2</v>
          </cell>
          <cell r="O1597">
            <v>0</v>
          </cell>
          <cell r="P1597">
            <v>0.14516129032258099</v>
          </cell>
          <cell r="Q1597">
            <v>1</v>
          </cell>
          <cell r="R1597">
            <v>0.22222222222222199</v>
          </cell>
          <cell r="S1597">
            <v>0</v>
          </cell>
        </row>
        <row r="1598">
          <cell r="A1598">
            <v>101210</v>
          </cell>
          <cell r="B1598">
            <v>2</v>
          </cell>
          <cell r="C1598">
            <v>7</v>
          </cell>
          <cell r="D1598">
            <v>5</v>
          </cell>
          <cell r="E1598" t="str">
            <v>INDIV</v>
          </cell>
          <cell r="F1598" t="str">
            <v>Sunland-Tujunga</v>
          </cell>
          <cell r="G1598">
            <v>0</v>
          </cell>
          <cell r="H1598">
            <v>0</v>
          </cell>
          <cell r="I1598">
            <v>5.0949999999999998</v>
          </cell>
          <cell r="J1598">
            <v>1.9836996600000001</v>
          </cell>
          <cell r="K1598">
            <v>4.9836996600000001</v>
          </cell>
          <cell r="L1598">
            <v>0.11117260138240601</v>
          </cell>
          <cell r="M1598">
            <v>5.0948722613824096</v>
          </cell>
          <cell r="N1598">
            <v>4.8387096774193498E-2</v>
          </cell>
          <cell r="O1598">
            <v>0</v>
          </cell>
          <cell r="P1598">
            <v>0.14516129032258099</v>
          </cell>
          <cell r="Q1598">
            <v>1</v>
          </cell>
          <cell r="R1598">
            <v>0.22222222222222199</v>
          </cell>
          <cell r="S1598">
            <v>0</v>
          </cell>
        </row>
        <row r="1599">
          <cell r="A1599">
            <v>980026</v>
          </cell>
          <cell r="B1599">
            <v>2</v>
          </cell>
          <cell r="C1599">
            <v>7</v>
          </cell>
          <cell r="D1599">
            <v>5</v>
          </cell>
          <cell r="E1599" t="str">
            <v>NON-HS</v>
          </cell>
          <cell r="F1599" t="str">
            <v>Sunland-Tujunga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2.2140221402214E-2</v>
          </cell>
          <cell r="O1599">
            <v>0</v>
          </cell>
          <cell r="P1599">
            <v>9.5940959409594101E-2</v>
          </cell>
          <cell r="Q1599">
            <v>1</v>
          </cell>
          <cell r="R1599">
            <v>0.04</v>
          </cell>
          <cell r="S1599">
            <v>0</v>
          </cell>
        </row>
        <row r="1600">
          <cell r="A1600">
            <v>104320</v>
          </cell>
          <cell r="B1600">
            <v>2</v>
          </cell>
          <cell r="C1600">
            <v>7</v>
          </cell>
          <cell r="D1600">
            <v>3</v>
          </cell>
          <cell r="E1600" t="str">
            <v>NON-HS</v>
          </cell>
          <cell r="F1600" t="str">
            <v>Pacoima</v>
          </cell>
          <cell r="G1600">
            <v>0</v>
          </cell>
          <cell r="H1600">
            <v>0</v>
          </cell>
          <cell r="I1600">
            <v>2.5910000000000002</v>
          </cell>
          <cell r="J1600">
            <v>1.43919657</v>
          </cell>
          <cell r="K1600">
            <v>2.43919657</v>
          </cell>
          <cell r="L1600">
            <v>0.15145200614003601</v>
          </cell>
          <cell r="M1600">
            <v>2.59064857614004</v>
          </cell>
          <cell r="N1600">
            <v>2.2140221402214E-2</v>
          </cell>
          <cell r="O1600">
            <v>0</v>
          </cell>
          <cell r="P1600">
            <v>9.5940959409594101E-2</v>
          </cell>
          <cell r="Q1600">
            <v>1</v>
          </cell>
          <cell r="R1600">
            <v>0.04</v>
          </cell>
          <cell r="S1600">
            <v>0</v>
          </cell>
        </row>
        <row r="1601">
          <cell r="A1601">
            <v>106408</v>
          </cell>
          <cell r="B1601">
            <v>2</v>
          </cell>
          <cell r="C1601">
            <v>7</v>
          </cell>
          <cell r="D1601">
            <v>3</v>
          </cell>
          <cell r="E1601" t="str">
            <v>NON-HS</v>
          </cell>
          <cell r="F1601" t="str">
            <v>Sylmar</v>
          </cell>
          <cell r="G1601">
            <v>0</v>
          </cell>
          <cell r="H1601">
            <v>0</v>
          </cell>
          <cell r="I1601">
            <v>2</v>
          </cell>
          <cell r="J1601">
            <v>0</v>
          </cell>
          <cell r="K1601">
            <v>2</v>
          </cell>
          <cell r="L1601">
            <v>0</v>
          </cell>
          <cell r="M1601">
            <v>2</v>
          </cell>
          <cell r="N1601">
            <v>2.2140221402214E-2</v>
          </cell>
          <cell r="O1601">
            <v>0</v>
          </cell>
          <cell r="P1601">
            <v>9.5940959409594101E-2</v>
          </cell>
          <cell r="Q1601">
            <v>1</v>
          </cell>
          <cell r="R1601">
            <v>0.04</v>
          </cell>
          <cell r="S1601">
            <v>0</v>
          </cell>
        </row>
        <row r="1602">
          <cell r="A1602">
            <v>980020</v>
          </cell>
          <cell r="B1602">
            <v>2</v>
          </cell>
          <cell r="C1602">
            <v>7</v>
          </cell>
          <cell r="D1602">
            <v>5</v>
          </cell>
          <cell r="E1602" t="str">
            <v>NON-HS</v>
          </cell>
          <cell r="F1602" t="str">
            <v>Foothill Trails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2.2140221402214E-2</v>
          </cell>
          <cell r="O1602">
            <v>0</v>
          </cell>
          <cell r="P1602">
            <v>9.5940959409594101E-2</v>
          </cell>
          <cell r="Q1602">
            <v>1</v>
          </cell>
          <cell r="R1602">
            <v>0.04</v>
          </cell>
          <cell r="S1602">
            <v>0</v>
          </cell>
        </row>
        <row r="1603">
          <cell r="A1603">
            <v>106010</v>
          </cell>
          <cell r="B1603">
            <v>2</v>
          </cell>
          <cell r="C1603">
            <v>7</v>
          </cell>
          <cell r="D1603">
            <v>5</v>
          </cell>
          <cell r="E1603" t="str">
            <v>NON-HS</v>
          </cell>
          <cell r="F1603" t="str">
            <v>Sylmar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2.2140221402214E-2</v>
          </cell>
          <cell r="O1603">
            <v>0</v>
          </cell>
          <cell r="P1603">
            <v>9.5940959409594101E-2</v>
          </cell>
          <cell r="Q1603">
            <v>1</v>
          </cell>
          <cell r="R1603">
            <v>0.04</v>
          </cell>
          <cell r="S1603">
            <v>0</v>
          </cell>
        </row>
        <row r="1604">
          <cell r="A1604">
            <v>104821</v>
          </cell>
          <cell r="B1604">
            <v>2</v>
          </cell>
          <cell r="C1604">
            <v>7</v>
          </cell>
          <cell r="D1604">
            <v>3</v>
          </cell>
          <cell r="E1604" t="str">
            <v>NON-HS</v>
          </cell>
          <cell r="F1604" t="str">
            <v>Pacoima</v>
          </cell>
          <cell r="G1604">
            <v>0</v>
          </cell>
          <cell r="H1604">
            <v>0</v>
          </cell>
          <cell r="I1604">
            <v>2.9260000000000002</v>
          </cell>
          <cell r="J1604">
            <v>1.90487994</v>
          </cell>
          <cell r="K1604">
            <v>2.9048799399999998</v>
          </cell>
          <cell r="L1604">
            <v>2.0625322082585301E-2</v>
          </cell>
          <cell r="M1604">
            <v>2.9255052620825901</v>
          </cell>
          <cell r="N1604">
            <v>2.2140221402214E-2</v>
          </cell>
          <cell r="O1604">
            <v>0</v>
          </cell>
          <cell r="P1604">
            <v>9.5940959409594101E-2</v>
          </cell>
          <cell r="Q1604">
            <v>1</v>
          </cell>
          <cell r="R1604">
            <v>0.04</v>
          </cell>
          <cell r="S1604">
            <v>0</v>
          </cell>
        </row>
        <row r="1605">
          <cell r="A1605">
            <v>106648</v>
          </cell>
          <cell r="B1605">
            <v>2</v>
          </cell>
          <cell r="C1605">
            <v>7</v>
          </cell>
          <cell r="D1605">
            <v>3</v>
          </cell>
          <cell r="E1605" t="str">
            <v>NON-HS</v>
          </cell>
          <cell r="F1605" t="str">
            <v>Sylmar</v>
          </cell>
          <cell r="G1605">
            <v>0</v>
          </cell>
          <cell r="H1605">
            <v>1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2.2140221402214E-2</v>
          </cell>
          <cell r="O1605">
            <v>0</v>
          </cell>
          <cell r="P1605">
            <v>9.5940959409594101E-2</v>
          </cell>
          <cell r="Q1605">
            <v>1</v>
          </cell>
          <cell r="R1605">
            <v>0.04</v>
          </cell>
          <cell r="S1605">
            <v>25</v>
          </cell>
        </row>
        <row r="1606">
          <cell r="A1606">
            <v>104108</v>
          </cell>
          <cell r="B1606">
            <v>2</v>
          </cell>
          <cell r="C1606">
            <v>7</v>
          </cell>
          <cell r="D1606">
            <v>3</v>
          </cell>
          <cell r="E1606" t="str">
            <v>NON-HS</v>
          </cell>
          <cell r="F1606" t="str">
            <v>Pacoima</v>
          </cell>
          <cell r="G1606">
            <v>0</v>
          </cell>
          <cell r="H1606">
            <v>0</v>
          </cell>
          <cell r="I1606">
            <v>6.1159999999999997</v>
          </cell>
          <cell r="J1606">
            <v>5.87227926</v>
          </cell>
          <cell r="K1606">
            <v>5.87227926</v>
          </cell>
          <cell r="L1606">
            <v>0.24297052484739701</v>
          </cell>
          <cell r="M1606">
            <v>6.1152497848473999</v>
          </cell>
          <cell r="N1606">
            <v>2.2140221402214E-2</v>
          </cell>
          <cell r="O1606">
            <v>0</v>
          </cell>
          <cell r="P1606">
            <v>9.5940959409594101E-2</v>
          </cell>
          <cell r="Q1606">
            <v>1</v>
          </cell>
          <cell r="R1606">
            <v>0.04</v>
          </cell>
          <cell r="S1606">
            <v>0</v>
          </cell>
        </row>
        <row r="1607">
          <cell r="A1607">
            <v>104203</v>
          </cell>
          <cell r="B1607">
            <v>2</v>
          </cell>
          <cell r="C1607">
            <v>7</v>
          </cell>
          <cell r="D1607">
            <v>3</v>
          </cell>
          <cell r="E1607" t="str">
            <v>NON-HS</v>
          </cell>
          <cell r="F1607" t="str">
            <v>Pacoima</v>
          </cell>
          <cell r="G1607">
            <v>0</v>
          </cell>
          <cell r="H1607">
            <v>0</v>
          </cell>
          <cell r="I1607">
            <v>1.591</v>
          </cell>
          <cell r="J1607">
            <v>1.43919657</v>
          </cell>
          <cell r="K1607">
            <v>1.43919657</v>
          </cell>
          <cell r="L1607">
            <v>0.15145200614003601</v>
          </cell>
          <cell r="M1607">
            <v>1.59064857614004</v>
          </cell>
          <cell r="N1607">
            <v>2.2140221402214E-2</v>
          </cell>
          <cell r="O1607">
            <v>0</v>
          </cell>
          <cell r="P1607">
            <v>9.5940959409594101E-2</v>
          </cell>
          <cell r="Q1607">
            <v>1</v>
          </cell>
          <cell r="R1607">
            <v>0.04</v>
          </cell>
          <cell r="S1607">
            <v>0</v>
          </cell>
        </row>
        <row r="1608">
          <cell r="A1608">
            <v>107020</v>
          </cell>
          <cell r="B1608">
            <v>2</v>
          </cell>
          <cell r="C1608">
            <v>7</v>
          </cell>
          <cell r="D1608">
            <v>3</v>
          </cell>
          <cell r="E1608" t="str">
            <v>NON-HS</v>
          </cell>
          <cell r="F1608" t="str">
            <v>Sylmar</v>
          </cell>
          <cell r="G1608">
            <v>0</v>
          </cell>
          <cell r="H1608">
            <v>0</v>
          </cell>
          <cell r="I1608">
            <v>1.591</v>
          </cell>
          <cell r="J1608">
            <v>1.43919657</v>
          </cell>
          <cell r="K1608">
            <v>1.43919657</v>
          </cell>
          <cell r="L1608">
            <v>0.15145200614003601</v>
          </cell>
          <cell r="M1608">
            <v>1.59064857614004</v>
          </cell>
          <cell r="N1608">
            <v>2.2140221402214E-2</v>
          </cell>
          <cell r="O1608">
            <v>0</v>
          </cell>
          <cell r="P1608">
            <v>9.5940959409594101E-2</v>
          </cell>
          <cell r="Q1608">
            <v>1</v>
          </cell>
          <cell r="R1608">
            <v>0.04</v>
          </cell>
          <cell r="S1608">
            <v>0</v>
          </cell>
        </row>
        <row r="1609">
          <cell r="A1609">
            <v>104124</v>
          </cell>
          <cell r="B1609">
            <v>2</v>
          </cell>
          <cell r="C1609">
            <v>7</v>
          </cell>
          <cell r="D1609">
            <v>3</v>
          </cell>
          <cell r="E1609" t="str">
            <v>NON-HS</v>
          </cell>
          <cell r="F1609" t="str">
            <v>Angeles National Forest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2.2140221402214E-2</v>
          </cell>
          <cell r="O1609">
            <v>0</v>
          </cell>
          <cell r="P1609">
            <v>9.5940959409594101E-2</v>
          </cell>
          <cell r="Q1609">
            <v>1</v>
          </cell>
          <cell r="R1609">
            <v>0.04</v>
          </cell>
          <cell r="S1609">
            <v>0</v>
          </cell>
        </row>
        <row r="1610">
          <cell r="A1610">
            <v>102107</v>
          </cell>
          <cell r="B1610">
            <v>2</v>
          </cell>
          <cell r="C1610">
            <v>7</v>
          </cell>
          <cell r="D1610">
            <v>5</v>
          </cell>
          <cell r="E1610" t="str">
            <v>NON-HS</v>
          </cell>
          <cell r="F1610" t="str">
            <v>Foothill Trails</v>
          </cell>
          <cell r="G1610">
            <v>0</v>
          </cell>
          <cell r="H1610">
            <v>0</v>
          </cell>
          <cell r="I1610">
            <v>4.6159999999999997</v>
          </cell>
          <cell r="J1610">
            <v>3.4662643399999999</v>
          </cell>
          <cell r="K1610">
            <v>4.4662643400000004</v>
          </cell>
          <cell r="L1610">
            <v>0.14997102057450601</v>
          </cell>
          <cell r="M1610">
            <v>4.6162353605745103</v>
          </cell>
          <cell r="N1610">
            <v>2.2140221402214E-2</v>
          </cell>
          <cell r="O1610">
            <v>0</v>
          </cell>
          <cell r="P1610">
            <v>9.5940959409594101E-2</v>
          </cell>
          <cell r="Q1610">
            <v>1</v>
          </cell>
          <cell r="R1610">
            <v>0.04</v>
          </cell>
          <cell r="S1610">
            <v>0</v>
          </cell>
        </row>
        <row r="1611">
          <cell r="A1611">
            <v>104500</v>
          </cell>
          <cell r="B1611">
            <v>2</v>
          </cell>
          <cell r="C1611">
            <v>7</v>
          </cell>
          <cell r="D1611">
            <v>3</v>
          </cell>
          <cell r="E1611" t="str">
            <v>NON-HS</v>
          </cell>
          <cell r="F1611" t="str">
            <v>Pacoima</v>
          </cell>
          <cell r="G1611">
            <v>0</v>
          </cell>
          <cell r="H1611">
            <v>0</v>
          </cell>
          <cell r="I1611">
            <v>1.9259999999999999</v>
          </cell>
          <cell r="J1611">
            <v>1.90487994</v>
          </cell>
          <cell r="K1611">
            <v>1.90487994</v>
          </cell>
          <cell r="L1611">
            <v>2.0625322082585301E-2</v>
          </cell>
          <cell r="M1611">
            <v>1.9255052620825901</v>
          </cell>
          <cell r="N1611">
            <v>2.2140221402214E-2</v>
          </cell>
          <cell r="O1611">
            <v>0</v>
          </cell>
          <cell r="P1611">
            <v>9.5940959409594101E-2</v>
          </cell>
          <cell r="Q1611">
            <v>1</v>
          </cell>
          <cell r="R1611">
            <v>0.04</v>
          </cell>
          <cell r="S1611">
            <v>0</v>
          </cell>
        </row>
        <row r="1612">
          <cell r="A1612">
            <v>104310</v>
          </cell>
          <cell r="B1612">
            <v>2</v>
          </cell>
          <cell r="C1612">
            <v>7</v>
          </cell>
          <cell r="D1612">
            <v>3</v>
          </cell>
          <cell r="E1612" t="str">
            <v>NON-HS</v>
          </cell>
          <cell r="F1612" t="str">
            <v>Pacoima</v>
          </cell>
          <cell r="G1612">
            <v>0</v>
          </cell>
          <cell r="H1612">
            <v>0</v>
          </cell>
          <cell r="I1612">
            <v>5.7809999999999997</v>
          </cell>
          <cell r="J1612">
            <v>5.4065958900000002</v>
          </cell>
          <cell r="K1612">
            <v>5.4065958900000002</v>
          </cell>
          <cell r="L1612">
            <v>0.37379720890484702</v>
          </cell>
          <cell r="M1612">
            <v>5.7803930989048498</v>
          </cell>
          <cell r="N1612">
            <v>2.2140221402214E-2</v>
          </cell>
          <cell r="O1612">
            <v>0</v>
          </cell>
          <cell r="P1612">
            <v>9.5940959409594101E-2</v>
          </cell>
          <cell r="Q1612">
            <v>1</v>
          </cell>
          <cell r="R1612">
            <v>0.04</v>
          </cell>
          <cell r="S1612">
            <v>0</v>
          </cell>
        </row>
        <row r="1613">
          <cell r="A1613">
            <v>117405</v>
          </cell>
          <cell r="B1613">
            <v>2</v>
          </cell>
          <cell r="C1613">
            <v>7</v>
          </cell>
          <cell r="D1613">
            <v>3</v>
          </cell>
          <cell r="E1613" t="str">
            <v>NON-HS</v>
          </cell>
          <cell r="F1613" t="str">
            <v>North Hills</v>
          </cell>
          <cell r="G1613">
            <v>0</v>
          </cell>
          <cell r="H1613">
            <v>0</v>
          </cell>
          <cell r="I1613">
            <v>2</v>
          </cell>
          <cell r="J1613">
            <v>0</v>
          </cell>
          <cell r="K1613">
            <v>2</v>
          </cell>
          <cell r="L1613">
            <v>0</v>
          </cell>
          <cell r="M1613">
            <v>2</v>
          </cell>
          <cell r="N1613">
            <v>2.2140221402214E-2</v>
          </cell>
          <cell r="O1613">
            <v>0</v>
          </cell>
          <cell r="P1613">
            <v>9.5940959409594101E-2</v>
          </cell>
          <cell r="Q1613">
            <v>1</v>
          </cell>
          <cell r="R1613">
            <v>0.04</v>
          </cell>
          <cell r="S1613">
            <v>0</v>
          </cell>
        </row>
        <row r="1614">
          <cell r="A1614">
            <v>106405</v>
          </cell>
          <cell r="B1614">
            <v>2</v>
          </cell>
          <cell r="C1614">
            <v>7</v>
          </cell>
          <cell r="D1614">
            <v>3</v>
          </cell>
          <cell r="E1614" t="str">
            <v>NON-HS</v>
          </cell>
          <cell r="F1614" t="str">
            <v>Sylmar</v>
          </cell>
          <cell r="G1614">
            <v>0</v>
          </cell>
          <cell r="H1614">
            <v>0</v>
          </cell>
          <cell r="I1614">
            <v>3.0950000000000002</v>
          </cell>
          <cell r="J1614">
            <v>1.9836996600000001</v>
          </cell>
          <cell r="K1614">
            <v>2.9836996600000001</v>
          </cell>
          <cell r="L1614">
            <v>0.11117260138240601</v>
          </cell>
          <cell r="M1614">
            <v>3.09487226138241</v>
          </cell>
          <cell r="N1614">
            <v>2.2140221402214E-2</v>
          </cell>
          <cell r="O1614">
            <v>0</v>
          </cell>
          <cell r="P1614">
            <v>9.5940959409594101E-2</v>
          </cell>
          <cell r="Q1614">
            <v>1</v>
          </cell>
          <cell r="R1614">
            <v>0.04</v>
          </cell>
          <cell r="S1614">
            <v>0</v>
          </cell>
        </row>
        <row r="1615">
          <cell r="A1615">
            <v>104701</v>
          </cell>
          <cell r="B1615">
            <v>2</v>
          </cell>
          <cell r="C1615">
            <v>7</v>
          </cell>
          <cell r="D1615">
            <v>3</v>
          </cell>
          <cell r="E1615" t="str">
            <v>NON-HS</v>
          </cell>
          <cell r="F1615" t="str">
            <v>Pacoima</v>
          </cell>
          <cell r="G1615">
            <v>0</v>
          </cell>
          <cell r="H1615">
            <v>0</v>
          </cell>
          <cell r="I1615">
            <v>1.8080000000000001</v>
          </cell>
          <cell r="J1615">
            <v>1.73313217</v>
          </cell>
          <cell r="K1615">
            <v>1.73313217</v>
          </cell>
          <cell r="L1615">
            <v>7.4985510287253102E-2</v>
          </cell>
          <cell r="M1615">
            <v>1.8081176802872501</v>
          </cell>
          <cell r="N1615">
            <v>2.2140221402214E-2</v>
          </cell>
          <cell r="O1615">
            <v>0</v>
          </cell>
          <cell r="P1615">
            <v>9.5940959409594101E-2</v>
          </cell>
          <cell r="Q1615">
            <v>1</v>
          </cell>
          <cell r="R1615">
            <v>0.04</v>
          </cell>
          <cell r="S1615">
            <v>0</v>
          </cell>
        </row>
        <row r="1616">
          <cell r="A1616">
            <v>104105</v>
          </cell>
          <cell r="B1616">
            <v>2</v>
          </cell>
          <cell r="C1616">
            <v>7</v>
          </cell>
          <cell r="D1616">
            <v>3</v>
          </cell>
          <cell r="E1616" t="str">
            <v>NON-HS</v>
          </cell>
          <cell r="F1616" t="str">
            <v>Pacoima</v>
          </cell>
          <cell r="G1616">
            <v>0</v>
          </cell>
          <cell r="H1616">
            <v>0</v>
          </cell>
          <cell r="I1616">
            <v>6.7809999999999997</v>
          </cell>
          <cell r="J1616">
            <v>5.4065958900000002</v>
          </cell>
          <cell r="K1616">
            <v>6.4065958900000002</v>
          </cell>
          <cell r="L1616">
            <v>0.37379720890484702</v>
          </cell>
          <cell r="M1616">
            <v>6.7803930989048498</v>
          </cell>
          <cell r="N1616">
            <v>2.2140221402214E-2</v>
          </cell>
          <cell r="O1616">
            <v>0</v>
          </cell>
          <cell r="P1616">
            <v>9.5940959409594101E-2</v>
          </cell>
          <cell r="Q1616">
            <v>1</v>
          </cell>
          <cell r="R1616">
            <v>0.04</v>
          </cell>
          <cell r="S1616">
            <v>0</v>
          </cell>
        </row>
        <row r="1617">
          <cell r="A1617">
            <v>104810</v>
          </cell>
          <cell r="B1617">
            <v>2</v>
          </cell>
          <cell r="C1617">
            <v>7</v>
          </cell>
          <cell r="D1617">
            <v>3</v>
          </cell>
          <cell r="E1617" t="str">
            <v>NON-HS</v>
          </cell>
          <cell r="F1617" t="str">
            <v>Pacoima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2.2140221402214E-2</v>
          </cell>
          <cell r="O1617">
            <v>0</v>
          </cell>
          <cell r="P1617">
            <v>9.5940959409594101E-2</v>
          </cell>
          <cell r="Q1617">
            <v>1</v>
          </cell>
          <cell r="R1617">
            <v>0.04</v>
          </cell>
          <cell r="S1617">
            <v>0</v>
          </cell>
        </row>
        <row r="1618">
          <cell r="A1618">
            <v>109601</v>
          </cell>
          <cell r="B1618">
            <v>2</v>
          </cell>
          <cell r="C1618">
            <v>7</v>
          </cell>
          <cell r="D1618">
            <v>3</v>
          </cell>
          <cell r="E1618" t="str">
            <v>NON-HS</v>
          </cell>
          <cell r="F1618" t="str">
            <v>Mission Hills</v>
          </cell>
          <cell r="G1618">
            <v>0</v>
          </cell>
          <cell r="H1618">
            <v>0</v>
          </cell>
          <cell r="I1618">
            <v>4.0209999999999999</v>
          </cell>
          <cell r="J1618">
            <v>3.8885795999999999</v>
          </cell>
          <cell r="K1618">
            <v>3.8885795999999999</v>
          </cell>
          <cell r="L1618">
            <v>0.131797923464991</v>
          </cell>
          <cell r="M1618">
            <v>4.0203775234649903</v>
          </cell>
          <cell r="N1618">
            <v>2.2140221402214E-2</v>
          </cell>
          <cell r="O1618">
            <v>0</v>
          </cell>
          <cell r="P1618">
            <v>9.5940959409594101E-2</v>
          </cell>
          <cell r="Q1618">
            <v>1</v>
          </cell>
          <cell r="R1618">
            <v>0.04</v>
          </cell>
          <cell r="S1618">
            <v>0</v>
          </cell>
        </row>
        <row r="1619">
          <cell r="A1619">
            <v>106649</v>
          </cell>
          <cell r="B1619">
            <v>2</v>
          </cell>
          <cell r="C1619">
            <v>7</v>
          </cell>
          <cell r="D1619">
            <v>3</v>
          </cell>
          <cell r="E1619" t="str">
            <v>NON-HS</v>
          </cell>
          <cell r="F1619" t="str">
            <v>Sylmar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2.2140221402214E-2</v>
          </cell>
          <cell r="O1619">
            <v>0</v>
          </cell>
          <cell r="P1619">
            <v>9.5940959409594101E-2</v>
          </cell>
          <cell r="Q1619">
            <v>1</v>
          </cell>
          <cell r="R1619">
            <v>0.04</v>
          </cell>
          <cell r="S1619">
            <v>0</v>
          </cell>
        </row>
        <row r="1620">
          <cell r="A1620">
            <v>106407</v>
          </cell>
          <cell r="B1620">
            <v>2</v>
          </cell>
          <cell r="C1620">
            <v>7</v>
          </cell>
          <cell r="D1620">
            <v>3</v>
          </cell>
          <cell r="E1620" t="str">
            <v>NON-HS</v>
          </cell>
          <cell r="F1620" t="str">
            <v>Sylmar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2.2140221402214E-2</v>
          </cell>
          <cell r="O1620">
            <v>0</v>
          </cell>
          <cell r="P1620">
            <v>9.5940959409594101E-2</v>
          </cell>
          <cell r="Q1620">
            <v>1</v>
          </cell>
          <cell r="R1620">
            <v>0.04</v>
          </cell>
          <cell r="S1620">
            <v>0</v>
          </cell>
        </row>
        <row r="1621">
          <cell r="A1621">
            <v>106111</v>
          </cell>
          <cell r="B1621">
            <v>2</v>
          </cell>
          <cell r="C1621">
            <v>7</v>
          </cell>
          <cell r="D1621">
            <v>3</v>
          </cell>
          <cell r="E1621" t="str">
            <v>NON-HS</v>
          </cell>
          <cell r="F1621" t="str">
            <v>Sylmar</v>
          </cell>
          <cell r="G1621">
            <v>0</v>
          </cell>
          <cell r="H1621">
            <v>0</v>
          </cell>
          <cell r="I1621">
            <v>2.0950000000000002</v>
          </cell>
          <cell r="J1621">
            <v>1.9836996600000001</v>
          </cell>
          <cell r="K1621">
            <v>1.9836996600000001</v>
          </cell>
          <cell r="L1621">
            <v>0.11117260138240601</v>
          </cell>
          <cell r="M1621">
            <v>2.09487226138241</v>
          </cell>
          <cell r="N1621">
            <v>2.2140221402214E-2</v>
          </cell>
          <cell r="O1621">
            <v>0</v>
          </cell>
          <cell r="P1621">
            <v>9.5940959409594101E-2</v>
          </cell>
          <cell r="Q1621">
            <v>1</v>
          </cell>
          <cell r="R1621">
            <v>0.04</v>
          </cell>
          <cell r="S1621">
            <v>0</v>
          </cell>
        </row>
        <row r="1622">
          <cell r="A1622">
            <v>104610</v>
          </cell>
          <cell r="B1622">
            <v>2</v>
          </cell>
          <cell r="C1622">
            <v>7</v>
          </cell>
          <cell r="D1622">
            <v>3</v>
          </cell>
          <cell r="E1622" t="str">
            <v>NON-HS</v>
          </cell>
          <cell r="F1622" t="str">
            <v>Pacoima</v>
          </cell>
          <cell r="G1622">
            <v>0</v>
          </cell>
          <cell r="H1622">
            <v>0</v>
          </cell>
          <cell r="I1622">
            <v>3.0950000000000002</v>
          </cell>
          <cell r="J1622">
            <v>1.9836996600000001</v>
          </cell>
          <cell r="K1622">
            <v>2.9836996600000001</v>
          </cell>
          <cell r="L1622">
            <v>0.11117260138240601</v>
          </cell>
          <cell r="M1622">
            <v>3.09487226138241</v>
          </cell>
          <cell r="N1622">
            <v>2.2140221402214E-2</v>
          </cell>
          <cell r="O1622">
            <v>0</v>
          </cell>
          <cell r="P1622">
            <v>9.5940959409594101E-2</v>
          </cell>
          <cell r="Q1622">
            <v>1</v>
          </cell>
          <cell r="R1622">
            <v>0.04</v>
          </cell>
          <cell r="S1622">
            <v>0</v>
          </cell>
        </row>
        <row r="1623">
          <cell r="A1623">
            <v>101122</v>
          </cell>
          <cell r="B1623">
            <v>2</v>
          </cell>
          <cell r="C1623">
            <v>7</v>
          </cell>
          <cell r="D1623">
            <v>5</v>
          </cell>
          <cell r="E1623" t="str">
            <v>NON-HS</v>
          </cell>
          <cell r="F1623" t="str">
            <v>Sunland-Tujunga</v>
          </cell>
          <cell r="G1623">
            <v>1</v>
          </cell>
          <cell r="H1623">
            <v>1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2.2140221402214E-2</v>
          </cell>
          <cell r="O1623">
            <v>45.1666666666667</v>
          </cell>
          <cell r="P1623">
            <v>9.5940959409594101E-2</v>
          </cell>
          <cell r="Q1623">
            <v>1</v>
          </cell>
        </row>
        <row r="1624">
          <cell r="A1624">
            <v>117201</v>
          </cell>
          <cell r="B1624">
            <v>2</v>
          </cell>
          <cell r="C1624">
            <v>7</v>
          </cell>
          <cell r="D1624">
            <v>3</v>
          </cell>
          <cell r="E1624" t="str">
            <v>NON-HS</v>
          </cell>
          <cell r="F1624" t="str">
            <v>North Hills</v>
          </cell>
          <cell r="G1624">
            <v>0</v>
          </cell>
          <cell r="H1624">
            <v>0</v>
          </cell>
          <cell r="I1624">
            <v>7.0339999999999998</v>
          </cell>
          <cell r="J1624">
            <v>6.9487547999999997</v>
          </cell>
          <cell r="K1624">
            <v>6.9487547999999997</v>
          </cell>
          <cell r="L1624">
            <v>8.5101117360861803E-2</v>
          </cell>
          <cell r="M1624">
            <v>7.0338559173608601</v>
          </cell>
          <cell r="N1624">
            <v>2.2140221402214E-2</v>
          </cell>
          <cell r="O1624">
            <v>0</v>
          </cell>
          <cell r="P1624">
            <v>9.5940959409594101E-2</v>
          </cell>
          <cell r="Q1624">
            <v>1</v>
          </cell>
          <cell r="R1624">
            <v>0.04</v>
          </cell>
          <cell r="S1624">
            <v>0</v>
          </cell>
        </row>
        <row r="1625">
          <cell r="A1625">
            <v>222100</v>
          </cell>
          <cell r="B1625">
            <v>6</v>
          </cell>
          <cell r="C1625">
            <v>8</v>
          </cell>
          <cell r="D1625">
            <v>2</v>
          </cell>
          <cell r="E1625" t="str">
            <v>CVCTE</v>
          </cell>
          <cell r="F1625" t="str">
            <v>Adams</v>
          </cell>
          <cell r="G1625">
            <v>0</v>
          </cell>
          <cell r="H1625">
            <v>0</v>
          </cell>
          <cell r="I1625">
            <v>31.433</v>
          </cell>
          <cell r="J1625">
            <v>28.939584060000001</v>
          </cell>
          <cell r="K1625">
            <v>29.939584060000001</v>
          </cell>
          <cell r="L1625">
            <v>1.4933572070197501</v>
          </cell>
          <cell r="M1625">
            <v>31.4329412670197</v>
          </cell>
          <cell r="N1625">
            <v>0.16393442622950799</v>
          </cell>
          <cell r="O1625">
            <v>0</v>
          </cell>
          <cell r="P1625">
            <v>0.213114754098361</v>
          </cell>
          <cell r="Q1625">
            <v>1</v>
          </cell>
          <cell r="R1625">
            <v>0.5</v>
          </cell>
          <cell r="S1625">
            <v>0</v>
          </cell>
        </row>
        <row r="1626">
          <cell r="A1626">
            <v>232400</v>
          </cell>
          <cell r="B1626">
            <v>6</v>
          </cell>
          <cell r="C1626">
            <v>8</v>
          </cell>
          <cell r="D1626">
            <v>2</v>
          </cell>
          <cell r="E1626" t="str">
            <v>CVCTE</v>
          </cell>
          <cell r="F1626" t="str">
            <v>Vermont Square</v>
          </cell>
          <cell r="G1626">
            <v>0</v>
          </cell>
          <cell r="H1626">
            <v>1</v>
          </cell>
          <cell r="I1626">
            <v>45.865000000000002</v>
          </cell>
          <cell r="J1626">
            <v>33.764500580000004</v>
          </cell>
          <cell r="K1626">
            <v>43.764500580000004</v>
          </cell>
          <cell r="L1626">
            <v>2.10048711402154</v>
          </cell>
          <cell r="M1626">
            <v>45.8649876940216</v>
          </cell>
          <cell r="N1626">
            <v>0.16393442622950799</v>
          </cell>
          <cell r="O1626">
            <v>0</v>
          </cell>
          <cell r="P1626">
            <v>0.213114754098361</v>
          </cell>
          <cell r="Q1626">
            <v>1</v>
          </cell>
          <cell r="R1626">
            <v>0.5</v>
          </cell>
          <cell r="S1626">
            <v>2</v>
          </cell>
        </row>
        <row r="1627">
          <cell r="A1627">
            <v>234600</v>
          </cell>
          <cell r="B1627">
            <v>6</v>
          </cell>
          <cell r="C1627">
            <v>8</v>
          </cell>
          <cell r="D1627">
            <v>2</v>
          </cell>
          <cell r="E1627" t="str">
            <v>CVCTE</v>
          </cell>
          <cell r="F1627" t="str">
            <v>Baldwin Hills / Crenshaw</v>
          </cell>
          <cell r="G1627">
            <v>0</v>
          </cell>
          <cell r="H1627">
            <v>0</v>
          </cell>
          <cell r="I1627">
            <v>73.575999999999993</v>
          </cell>
          <cell r="J1627">
            <v>65.579101129999998</v>
          </cell>
          <cell r="K1627">
            <v>70.579101129999998</v>
          </cell>
          <cell r="L1627">
            <v>2.9956200877737902</v>
          </cell>
          <cell r="M1627">
            <v>73.574721217773799</v>
          </cell>
          <cell r="N1627">
            <v>0.16393442622950799</v>
          </cell>
          <cell r="O1627">
            <v>0</v>
          </cell>
          <cell r="P1627">
            <v>0.213114754098361</v>
          </cell>
          <cell r="Q1627">
            <v>1</v>
          </cell>
          <cell r="R1627">
            <v>0.5</v>
          </cell>
          <cell r="S1627">
            <v>0</v>
          </cell>
        </row>
        <row r="1628">
          <cell r="A1628">
            <v>234800</v>
          </cell>
          <cell r="B1628">
            <v>6</v>
          </cell>
          <cell r="C1628">
            <v>8</v>
          </cell>
          <cell r="D1628">
            <v>2</v>
          </cell>
          <cell r="E1628" t="str">
            <v>CVCTE</v>
          </cell>
          <cell r="F1628" t="str">
            <v>Baldwin Hills / Crenshaw</v>
          </cell>
          <cell r="G1628">
            <v>0</v>
          </cell>
          <cell r="H1628">
            <v>1</v>
          </cell>
          <cell r="I1628">
            <v>46.997</v>
          </cell>
          <cell r="J1628">
            <v>43.833403369999999</v>
          </cell>
          <cell r="K1628">
            <v>44.833403369999999</v>
          </cell>
          <cell r="L1628">
            <v>2.16333431967684</v>
          </cell>
          <cell r="M1628">
            <v>46.996737689676799</v>
          </cell>
          <cell r="N1628">
            <v>0.16393442622950799</v>
          </cell>
          <cell r="O1628">
            <v>0</v>
          </cell>
          <cell r="P1628">
            <v>0.213114754098361</v>
          </cell>
          <cell r="Q1628">
            <v>1</v>
          </cell>
          <cell r="R1628">
            <v>0.5</v>
          </cell>
          <cell r="S1628">
            <v>2</v>
          </cell>
        </row>
        <row r="1629">
          <cell r="A1629">
            <v>240402</v>
          </cell>
          <cell r="B1629">
            <v>6</v>
          </cell>
          <cell r="C1629">
            <v>8</v>
          </cell>
          <cell r="D1629">
            <v>2</v>
          </cell>
          <cell r="E1629" t="str">
            <v>CVCTE</v>
          </cell>
          <cell r="F1629" t="str">
            <v>South Vermont</v>
          </cell>
          <cell r="G1629">
            <v>0</v>
          </cell>
          <cell r="H1629">
            <v>0</v>
          </cell>
          <cell r="I1629">
            <v>57.582999999999998</v>
          </cell>
          <cell r="J1629">
            <v>47.599255040000003</v>
          </cell>
          <cell r="K1629">
            <v>55.599255040000003</v>
          </cell>
          <cell r="L1629">
            <v>1.9838593829982001</v>
          </cell>
          <cell r="M1629">
            <v>57.5831144229982</v>
          </cell>
          <cell r="N1629">
            <v>0.16393442622950799</v>
          </cell>
          <cell r="O1629">
            <v>0</v>
          </cell>
          <cell r="P1629">
            <v>0.213114754098361</v>
          </cell>
          <cell r="Q1629">
            <v>1</v>
          </cell>
          <cell r="R1629">
            <v>0.5</v>
          </cell>
          <cell r="S1629">
            <v>0</v>
          </cell>
        </row>
        <row r="1630">
          <cell r="A1630">
            <v>237500</v>
          </cell>
          <cell r="B1630">
            <v>6</v>
          </cell>
          <cell r="C1630">
            <v>8</v>
          </cell>
          <cell r="D1630">
            <v>2</v>
          </cell>
          <cell r="E1630" t="str">
            <v>CVCTE</v>
          </cell>
          <cell r="F1630" t="str">
            <v>South Vermont</v>
          </cell>
          <cell r="G1630">
            <v>1</v>
          </cell>
          <cell r="H1630">
            <v>1</v>
          </cell>
          <cell r="I1630">
            <v>53.47</v>
          </cell>
          <cell r="J1630">
            <v>40.915856589999997</v>
          </cell>
          <cell r="K1630">
            <v>49.915856589999997</v>
          </cell>
          <cell r="L1630">
            <v>3.5539386948114902</v>
          </cell>
          <cell r="M1630">
            <v>53.469795284811497</v>
          </cell>
          <cell r="N1630">
            <v>0.16393442622950799</v>
          </cell>
          <cell r="O1630">
            <v>6.1</v>
          </cell>
          <cell r="P1630">
            <v>0.213114754098361</v>
          </cell>
          <cell r="Q1630">
            <v>1</v>
          </cell>
        </row>
        <row r="1631">
          <cell r="A1631">
            <v>240800</v>
          </cell>
          <cell r="B1631">
            <v>6</v>
          </cell>
          <cell r="C1631">
            <v>8</v>
          </cell>
          <cell r="D1631">
            <v>2</v>
          </cell>
          <cell r="E1631" t="str">
            <v>CVCTE</v>
          </cell>
          <cell r="F1631" t="str">
            <v>Green Meadows</v>
          </cell>
          <cell r="G1631">
            <v>0</v>
          </cell>
          <cell r="H1631">
            <v>1</v>
          </cell>
          <cell r="I1631">
            <v>25.771000000000001</v>
          </cell>
          <cell r="J1631">
            <v>18.669170699999999</v>
          </cell>
          <cell r="K1631">
            <v>24.669170699999999</v>
          </cell>
          <cell r="L1631">
            <v>1.1017375440395001</v>
          </cell>
          <cell r="M1631">
            <v>25.7709082440395</v>
          </cell>
          <cell r="N1631">
            <v>0.16393442622950799</v>
          </cell>
          <cell r="O1631">
            <v>0</v>
          </cell>
          <cell r="P1631">
            <v>0.213114754098361</v>
          </cell>
          <cell r="Q1631">
            <v>1</v>
          </cell>
          <cell r="R1631">
            <v>0.5</v>
          </cell>
          <cell r="S1631">
            <v>2</v>
          </cell>
        </row>
        <row r="1632">
          <cell r="A1632">
            <v>240300</v>
          </cell>
          <cell r="B1632">
            <v>6</v>
          </cell>
          <cell r="C1632">
            <v>8</v>
          </cell>
          <cell r="D1632">
            <v>2</v>
          </cell>
          <cell r="E1632" t="str">
            <v>CVCTE</v>
          </cell>
          <cell r="F1632" t="str">
            <v>South Vermont</v>
          </cell>
          <cell r="G1632">
            <v>0</v>
          </cell>
          <cell r="H1632">
            <v>1</v>
          </cell>
          <cell r="I1632">
            <v>37.15</v>
          </cell>
          <cell r="J1632">
            <v>30.578026300000001</v>
          </cell>
          <cell r="K1632">
            <v>36.578026299999998</v>
          </cell>
          <cell r="L1632">
            <v>0.57240427660682203</v>
          </cell>
          <cell r="M1632">
            <v>37.150430576606801</v>
          </cell>
          <cell r="N1632">
            <v>0.16393442622950799</v>
          </cell>
          <cell r="O1632">
            <v>0</v>
          </cell>
          <cell r="P1632">
            <v>0.213114754098361</v>
          </cell>
          <cell r="Q1632">
            <v>1</v>
          </cell>
          <cell r="R1632">
            <v>0.5</v>
          </cell>
          <cell r="S1632">
            <v>2</v>
          </cell>
        </row>
        <row r="1633">
          <cell r="A1633">
            <v>240700</v>
          </cell>
          <cell r="B1633">
            <v>6</v>
          </cell>
          <cell r="C1633">
            <v>8</v>
          </cell>
          <cell r="D1633">
            <v>2</v>
          </cell>
          <cell r="E1633" t="str">
            <v>CVCTE</v>
          </cell>
          <cell r="F1633" t="str">
            <v>Green Meadows</v>
          </cell>
          <cell r="G1633">
            <v>0</v>
          </cell>
          <cell r="H1633">
            <v>0</v>
          </cell>
          <cell r="I1633">
            <v>96.433000000000007</v>
          </cell>
          <cell r="J1633">
            <v>76.183930200000006</v>
          </cell>
          <cell r="K1633">
            <v>92.183930200000006</v>
          </cell>
          <cell r="L1633">
            <v>4.2484323861579902</v>
          </cell>
          <cell r="M1633">
            <v>96.432362586158007</v>
          </cell>
          <cell r="N1633">
            <v>0.16393442622950799</v>
          </cell>
          <cell r="O1633">
            <v>0</v>
          </cell>
          <cell r="P1633">
            <v>0.213114754098361</v>
          </cell>
          <cell r="Q1633">
            <v>1</v>
          </cell>
          <cell r="R1633">
            <v>0.5</v>
          </cell>
          <cell r="S1633">
            <v>0</v>
          </cell>
        </row>
        <row r="1634">
          <cell r="A1634">
            <v>240200</v>
          </cell>
          <cell r="B1634">
            <v>6</v>
          </cell>
          <cell r="C1634">
            <v>8</v>
          </cell>
          <cell r="D1634">
            <v>2</v>
          </cell>
          <cell r="E1634" t="str">
            <v>CVCTE</v>
          </cell>
          <cell r="F1634" t="str">
            <v>Green Meadows</v>
          </cell>
          <cell r="G1634">
            <v>0</v>
          </cell>
          <cell r="H1634">
            <v>1</v>
          </cell>
          <cell r="I1634">
            <v>24</v>
          </cell>
          <cell r="J1634">
            <v>0</v>
          </cell>
          <cell r="K1634">
            <v>24</v>
          </cell>
          <cell r="L1634">
            <v>0</v>
          </cell>
          <cell r="M1634">
            <v>24</v>
          </cell>
          <cell r="N1634">
            <v>0.16393442622950799</v>
          </cell>
          <cell r="O1634">
            <v>0</v>
          </cell>
          <cell r="P1634">
            <v>0.213114754098361</v>
          </cell>
          <cell r="Q1634">
            <v>1</v>
          </cell>
          <cell r="R1634">
            <v>0.5</v>
          </cell>
          <cell r="S1634">
            <v>2</v>
          </cell>
        </row>
        <row r="1635">
          <cell r="A1635">
            <v>237202</v>
          </cell>
          <cell r="B1635">
            <v>6</v>
          </cell>
          <cell r="C1635">
            <v>8</v>
          </cell>
          <cell r="D1635">
            <v>2</v>
          </cell>
          <cell r="E1635" t="str">
            <v>CVCTE</v>
          </cell>
          <cell r="F1635" t="str">
            <v>Vermont Square</v>
          </cell>
          <cell r="G1635">
            <v>0</v>
          </cell>
          <cell r="H1635">
            <v>0</v>
          </cell>
          <cell r="I1635">
            <v>32.58</v>
          </cell>
          <cell r="J1635">
            <v>29.518495640000001</v>
          </cell>
          <cell r="K1635">
            <v>31.518495640000001</v>
          </cell>
          <cell r="L1635">
            <v>1.06256801504488</v>
          </cell>
          <cell r="M1635">
            <v>32.5810636550449</v>
          </cell>
          <cell r="N1635">
            <v>0.16393442622950799</v>
          </cell>
          <cell r="O1635">
            <v>0</v>
          </cell>
          <cell r="P1635">
            <v>0.213114754098361</v>
          </cell>
          <cell r="Q1635">
            <v>1</v>
          </cell>
          <cell r="R1635">
            <v>0.5</v>
          </cell>
          <cell r="S1635">
            <v>0</v>
          </cell>
        </row>
        <row r="1636">
          <cell r="A1636">
            <v>240900</v>
          </cell>
          <cell r="B1636">
            <v>6</v>
          </cell>
          <cell r="C1636">
            <v>8</v>
          </cell>
          <cell r="D1636">
            <v>2</v>
          </cell>
          <cell r="E1636" t="str">
            <v>CVCTE</v>
          </cell>
          <cell r="F1636" t="str">
            <v>Green Meadows</v>
          </cell>
          <cell r="G1636">
            <v>0</v>
          </cell>
          <cell r="H1636">
            <v>1</v>
          </cell>
          <cell r="I1636">
            <v>43.683</v>
          </cell>
          <cell r="J1636">
            <v>34.144669380000003</v>
          </cell>
          <cell r="K1636">
            <v>42.144669380000003</v>
          </cell>
          <cell r="L1636">
            <v>1.5383819585996401</v>
          </cell>
          <cell r="M1636">
            <v>43.683051338599597</v>
          </cell>
          <cell r="N1636">
            <v>0.16393442622950799</v>
          </cell>
          <cell r="O1636">
            <v>0</v>
          </cell>
          <cell r="P1636">
            <v>0.213114754098361</v>
          </cell>
          <cell r="Q1636">
            <v>1</v>
          </cell>
          <cell r="R1636">
            <v>0.5</v>
          </cell>
          <cell r="S1636">
            <v>2</v>
          </cell>
        </row>
        <row r="1637">
          <cell r="A1637">
            <v>238310</v>
          </cell>
          <cell r="B1637">
            <v>6</v>
          </cell>
          <cell r="C1637">
            <v>8</v>
          </cell>
          <cell r="D1637">
            <v>2</v>
          </cell>
          <cell r="E1637" t="str">
            <v>CVCTE</v>
          </cell>
          <cell r="F1637" t="str">
            <v>South Vermont</v>
          </cell>
          <cell r="G1637">
            <v>0</v>
          </cell>
          <cell r="H1637">
            <v>0</v>
          </cell>
          <cell r="I1637">
            <v>34.863</v>
          </cell>
          <cell r="J1637">
            <v>28.94613193</v>
          </cell>
          <cell r="K1637">
            <v>32.94613193</v>
          </cell>
          <cell r="L1637">
            <v>1.91757721389587</v>
          </cell>
          <cell r="M1637">
            <v>34.863709143895903</v>
          </cell>
          <cell r="N1637">
            <v>0.16393442622950799</v>
          </cell>
          <cell r="O1637">
            <v>0</v>
          </cell>
          <cell r="P1637">
            <v>0.213114754098361</v>
          </cell>
          <cell r="Q1637">
            <v>1</v>
          </cell>
          <cell r="R1637">
            <v>0.5</v>
          </cell>
          <cell r="S1637">
            <v>0</v>
          </cell>
        </row>
        <row r="1638">
          <cell r="A1638">
            <v>237300</v>
          </cell>
          <cell r="B1638">
            <v>6</v>
          </cell>
          <cell r="C1638">
            <v>8</v>
          </cell>
          <cell r="D1638">
            <v>2</v>
          </cell>
          <cell r="E1638" t="str">
            <v>FAMILY</v>
          </cell>
          <cell r="F1638" t="str">
            <v>Vermont Square</v>
          </cell>
          <cell r="G1638">
            <v>1</v>
          </cell>
          <cell r="H1638">
            <v>1</v>
          </cell>
          <cell r="I1638">
            <v>23.44</v>
          </cell>
          <cell r="J1638">
            <v>11.837989589999999</v>
          </cell>
          <cell r="K1638">
            <v>22.837989589999999</v>
          </cell>
          <cell r="L1638">
            <v>7.6013650678635596</v>
          </cell>
          <cell r="M1638">
            <v>30.4393546578636</v>
          </cell>
          <cell r="N1638">
            <v>1</v>
          </cell>
          <cell r="O1638">
            <v>1</v>
          </cell>
        </row>
        <row r="1639">
          <cell r="A1639">
            <v>237600</v>
          </cell>
          <cell r="B1639">
            <v>6</v>
          </cell>
          <cell r="C1639">
            <v>8</v>
          </cell>
          <cell r="D1639">
            <v>2</v>
          </cell>
          <cell r="E1639" t="str">
            <v>FAMILY</v>
          </cell>
          <cell r="F1639" t="str">
            <v>South Vermont</v>
          </cell>
          <cell r="G1639">
            <v>1</v>
          </cell>
          <cell r="H1639">
            <v>1</v>
          </cell>
          <cell r="I1639">
            <v>48.94</v>
          </cell>
          <cell r="J1639">
            <v>30.619669869999999</v>
          </cell>
          <cell r="K1639">
            <v>46.619669870000003</v>
          </cell>
          <cell r="L1639">
            <v>5.3200572349192097</v>
          </cell>
          <cell r="M1639">
            <v>51.9397271049192</v>
          </cell>
          <cell r="N1639">
            <v>1</v>
          </cell>
          <cell r="O1639">
            <v>1</v>
          </cell>
        </row>
        <row r="1640">
          <cell r="A1640">
            <v>221710</v>
          </cell>
          <cell r="B1640">
            <v>6</v>
          </cell>
          <cell r="C1640">
            <v>8</v>
          </cell>
          <cell r="D1640">
            <v>1</v>
          </cell>
          <cell r="E1640" t="str">
            <v>INDIV</v>
          </cell>
          <cell r="F1640" t="str">
            <v>Adams</v>
          </cell>
          <cell r="G1640">
            <v>0</v>
          </cell>
          <cell r="H1640">
            <v>0</v>
          </cell>
          <cell r="I1640">
            <v>21.332000000000001</v>
          </cell>
          <cell r="J1640">
            <v>5.26746318</v>
          </cell>
          <cell r="K1640">
            <v>21.26746318</v>
          </cell>
          <cell r="L1640">
            <v>6.3609185601436302E-2</v>
          </cell>
          <cell r="M1640">
            <v>21.331072365601401</v>
          </cell>
          <cell r="N1640">
            <v>3.2258064516128997E-2</v>
          </cell>
          <cell r="O1640">
            <v>0</v>
          </cell>
          <cell r="P1640">
            <v>0.19354838709677399</v>
          </cell>
          <cell r="Q1640">
            <v>1</v>
          </cell>
          <cell r="R1640">
            <v>0.16666666666666699</v>
          </cell>
          <cell r="S1640">
            <v>0</v>
          </cell>
        </row>
        <row r="1641">
          <cell r="A1641">
            <v>231300</v>
          </cell>
          <cell r="B1641">
            <v>6</v>
          </cell>
          <cell r="C1641">
            <v>8</v>
          </cell>
          <cell r="D1641">
            <v>2</v>
          </cell>
          <cell r="E1641" t="str">
            <v>INDIV</v>
          </cell>
          <cell r="F1641" t="str">
            <v>Adams</v>
          </cell>
          <cell r="G1641">
            <v>0</v>
          </cell>
          <cell r="H1641">
            <v>0</v>
          </cell>
          <cell r="I1641">
            <v>31.187999999999999</v>
          </cell>
          <cell r="J1641">
            <v>20.651108610000001</v>
          </cell>
          <cell r="K1641">
            <v>29.651108610000001</v>
          </cell>
          <cell r="L1641">
            <v>1.5361166228904799</v>
          </cell>
          <cell r="M1641">
            <v>31.187225232890501</v>
          </cell>
          <cell r="N1641">
            <v>3.2258064516128997E-2</v>
          </cell>
          <cell r="O1641">
            <v>0</v>
          </cell>
          <cell r="P1641">
            <v>0.19354838709677399</v>
          </cell>
          <cell r="Q1641">
            <v>1</v>
          </cell>
          <cell r="R1641">
            <v>0.16666666666666699</v>
          </cell>
          <cell r="S1641">
            <v>0</v>
          </cell>
        </row>
        <row r="1642">
          <cell r="A1642">
            <v>237710</v>
          </cell>
          <cell r="B1642">
            <v>6</v>
          </cell>
          <cell r="C1642">
            <v>8</v>
          </cell>
          <cell r="D1642">
            <v>2</v>
          </cell>
          <cell r="E1642" t="str">
            <v>INDIV</v>
          </cell>
          <cell r="F1642" t="str">
            <v>South Vermont</v>
          </cell>
          <cell r="G1642">
            <v>0</v>
          </cell>
          <cell r="H1642">
            <v>0</v>
          </cell>
          <cell r="I1642">
            <v>35.081000000000003</v>
          </cell>
          <cell r="J1642">
            <v>24.195117870000001</v>
          </cell>
          <cell r="K1642">
            <v>34.195117869999997</v>
          </cell>
          <cell r="L1642">
            <v>0.885679367540395</v>
          </cell>
          <cell r="M1642">
            <v>35.080797237540402</v>
          </cell>
          <cell r="N1642">
            <v>3.2258064516128997E-2</v>
          </cell>
          <cell r="O1642">
            <v>0</v>
          </cell>
          <cell r="P1642">
            <v>0.19354838709677399</v>
          </cell>
          <cell r="Q1642">
            <v>1</v>
          </cell>
          <cell r="R1642">
            <v>0.16666666666666699</v>
          </cell>
          <cell r="S1642">
            <v>0</v>
          </cell>
        </row>
        <row r="1643">
          <cell r="A1643">
            <v>238320</v>
          </cell>
          <cell r="B1643">
            <v>6</v>
          </cell>
          <cell r="C1643">
            <v>8</v>
          </cell>
          <cell r="D1643">
            <v>2</v>
          </cell>
          <cell r="E1643" t="str">
            <v>INDIV</v>
          </cell>
          <cell r="F1643" t="str">
            <v>South Vermont</v>
          </cell>
          <cell r="G1643">
            <v>0</v>
          </cell>
          <cell r="H1643">
            <v>0</v>
          </cell>
          <cell r="I1643">
            <v>39.904000000000003</v>
          </cell>
          <cell r="J1643">
            <v>14.386492499999999</v>
          </cell>
          <cell r="K1643">
            <v>39.386492500000003</v>
          </cell>
          <cell r="L1643">
            <v>0.51720322407540398</v>
          </cell>
          <cell r="M1643">
            <v>39.903695724075398</v>
          </cell>
          <cell r="N1643">
            <v>3.2258064516128997E-2</v>
          </cell>
          <cell r="O1643">
            <v>0</v>
          </cell>
          <cell r="P1643">
            <v>0.19354838709677399</v>
          </cell>
          <cell r="Q1643">
            <v>1</v>
          </cell>
          <cell r="R1643">
            <v>0.16666666666666699</v>
          </cell>
          <cell r="S1643">
            <v>0</v>
          </cell>
        </row>
        <row r="1644">
          <cell r="A1644">
            <v>240500</v>
          </cell>
          <cell r="B1644">
            <v>6</v>
          </cell>
          <cell r="C1644">
            <v>8</v>
          </cell>
          <cell r="D1644">
            <v>2</v>
          </cell>
          <cell r="E1644" t="str">
            <v>INDIV</v>
          </cell>
          <cell r="F1644" t="str">
            <v>Green Meadows</v>
          </cell>
          <cell r="G1644">
            <v>0</v>
          </cell>
          <cell r="H1644">
            <v>0</v>
          </cell>
          <cell r="I1644">
            <v>29.722000000000001</v>
          </cell>
          <cell r="J1644">
            <v>22.601118410000002</v>
          </cell>
          <cell r="K1644">
            <v>28.601118410000002</v>
          </cell>
          <cell r="L1644">
            <v>1.1208818805565499</v>
          </cell>
          <cell r="M1644">
            <v>29.722000290556601</v>
          </cell>
          <cell r="N1644">
            <v>3.2258064516128997E-2</v>
          </cell>
          <cell r="O1644">
            <v>0</v>
          </cell>
          <cell r="P1644">
            <v>0.19354838709677399</v>
          </cell>
          <cell r="Q1644">
            <v>1</v>
          </cell>
          <cell r="R1644">
            <v>0.16666666666666699</v>
          </cell>
          <cell r="S1644">
            <v>0</v>
          </cell>
        </row>
        <row r="1645">
          <cell r="A1645">
            <v>240600</v>
          </cell>
          <cell r="B1645">
            <v>6</v>
          </cell>
          <cell r="C1645">
            <v>8</v>
          </cell>
          <cell r="D1645">
            <v>2</v>
          </cell>
          <cell r="E1645" t="str">
            <v>INDIV</v>
          </cell>
          <cell r="F1645" t="str">
            <v>Green Meadows</v>
          </cell>
          <cell r="G1645">
            <v>0</v>
          </cell>
          <cell r="H1645">
            <v>1</v>
          </cell>
          <cell r="I1645">
            <v>28.919</v>
          </cell>
          <cell r="J1645">
            <v>19.006474409999999</v>
          </cell>
          <cell r="K1645">
            <v>28.006474409999999</v>
          </cell>
          <cell r="L1645">
            <v>0.91261746123877896</v>
          </cell>
          <cell r="M1645">
            <v>28.919091871238798</v>
          </cell>
          <cell r="N1645">
            <v>3.2258064516128997E-2</v>
          </cell>
          <cell r="O1645">
            <v>0</v>
          </cell>
          <cell r="P1645">
            <v>0.19354838709677399</v>
          </cell>
          <cell r="Q1645">
            <v>1</v>
          </cell>
          <cell r="R1645">
            <v>0.16666666666666699</v>
          </cell>
          <cell r="S1645">
            <v>6</v>
          </cell>
        </row>
        <row r="1646">
          <cell r="A1646">
            <v>222500</v>
          </cell>
          <cell r="B1646">
            <v>6</v>
          </cell>
          <cell r="C1646">
            <v>8</v>
          </cell>
          <cell r="D1646">
            <v>2</v>
          </cell>
          <cell r="E1646" t="str">
            <v>NON-HS</v>
          </cell>
          <cell r="F1646" t="str">
            <v>Adams</v>
          </cell>
          <cell r="G1646">
            <v>0</v>
          </cell>
          <cell r="H1646">
            <v>0</v>
          </cell>
          <cell r="I1646">
            <v>5.5910000000000002</v>
          </cell>
          <cell r="J1646">
            <v>1.43919657</v>
          </cell>
          <cell r="K1646">
            <v>5.43919657</v>
          </cell>
          <cell r="L1646">
            <v>0.15145200614003601</v>
          </cell>
          <cell r="M1646">
            <v>5.5906485761400404</v>
          </cell>
          <cell r="N1646">
            <v>2.34375E-2</v>
          </cell>
          <cell r="O1646">
            <v>0</v>
          </cell>
          <cell r="P1646">
            <v>0.265625</v>
          </cell>
          <cell r="Q1646">
            <v>1</v>
          </cell>
          <cell r="R1646">
            <v>0.15151515151515199</v>
          </cell>
          <cell r="S1646">
            <v>0</v>
          </cell>
        </row>
        <row r="1647">
          <cell r="A1647">
            <v>221500</v>
          </cell>
          <cell r="B1647">
            <v>6</v>
          </cell>
          <cell r="C1647">
            <v>8</v>
          </cell>
          <cell r="D1647">
            <v>2</v>
          </cell>
          <cell r="E1647" t="str">
            <v>NON-HS</v>
          </cell>
          <cell r="F1647" t="str">
            <v>Adams</v>
          </cell>
          <cell r="G1647">
            <v>0</v>
          </cell>
          <cell r="H1647">
            <v>1</v>
          </cell>
          <cell r="I1647">
            <v>13.509</v>
          </cell>
          <cell r="J1647">
            <v>9.1149552800000002</v>
          </cell>
          <cell r="K1647">
            <v>13.11495528</v>
          </cell>
          <cell r="L1647">
            <v>0.39380815509874301</v>
          </cell>
          <cell r="M1647">
            <v>13.5087634350987</v>
          </cell>
          <cell r="N1647">
            <v>2.34375E-2</v>
          </cell>
          <cell r="O1647">
            <v>0</v>
          </cell>
          <cell r="P1647">
            <v>0.265625</v>
          </cell>
          <cell r="Q1647">
            <v>1</v>
          </cell>
          <cell r="R1647">
            <v>0.15151515151515199</v>
          </cell>
          <cell r="S1647">
            <v>6.6</v>
          </cell>
        </row>
        <row r="1648">
          <cell r="A1648">
            <v>221601</v>
          </cell>
          <cell r="B1648">
            <v>6</v>
          </cell>
          <cell r="C1648">
            <v>8</v>
          </cell>
          <cell r="D1648">
            <v>2</v>
          </cell>
          <cell r="E1648" t="str">
            <v>NON-HS</v>
          </cell>
          <cell r="F1648" t="str">
            <v>Adams</v>
          </cell>
          <cell r="G1648">
            <v>0</v>
          </cell>
          <cell r="H1648">
            <v>1</v>
          </cell>
          <cell r="I1648">
            <v>21.271000000000001</v>
          </cell>
          <cell r="J1648">
            <v>19.521717720000002</v>
          </cell>
          <cell r="K1648">
            <v>20.521717720000002</v>
          </cell>
          <cell r="L1648">
            <v>0.74953689662477596</v>
          </cell>
          <cell r="M1648">
            <v>21.271254616624802</v>
          </cell>
          <cell r="N1648">
            <v>2.34375E-2</v>
          </cell>
          <cell r="O1648">
            <v>0</v>
          </cell>
          <cell r="P1648">
            <v>0.265625</v>
          </cell>
          <cell r="Q1648">
            <v>1</v>
          </cell>
          <cell r="R1648">
            <v>0.15151515151515199</v>
          </cell>
          <cell r="S1648">
            <v>6.6</v>
          </cell>
        </row>
        <row r="1649">
          <cell r="A1649">
            <v>221810</v>
          </cell>
          <cell r="B1649">
            <v>6</v>
          </cell>
          <cell r="C1649">
            <v>8</v>
          </cell>
          <cell r="D1649">
            <v>2</v>
          </cell>
          <cell r="E1649" t="str">
            <v>NON-HS</v>
          </cell>
          <cell r="F1649" t="str">
            <v>Adams</v>
          </cell>
          <cell r="G1649">
            <v>0</v>
          </cell>
          <cell r="H1649">
            <v>0</v>
          </cell>
          <cell r="I1649">
            <v>19.684999999999999</v>
          </cell>
          <cell r="J1649">
            <v>17.774477220000001</v>
          </cell>
          <cell r="K1649">
            <v>18.774477220000001</v>
          </cell>
          <cell r="L1649">
            <v>0.91000613314183099</v>
          </cell>
          <cell r="M1649">
            <v>19.6844833531418</v>
          </cell>
          <cell r="N1649">
            <v>2.34375E-2</v>
          </cell>
          <cell r="O1649">
            <v>0</v>
          </cell>
          <cell r="P1649">
            <v>0.265625</v>
          </cell>
          <cell r="Q1649">
            <v>1</v>
          </cell>
          <cell r="R1649">
            <v>0.15151515151515199</v>
          </cell>
          <cell r="S1649">
            <v>0</v>
          </cell>
        </row>
        <row r="1650">
          <cell r="A1650">
            <v>222002</v>
          </cell>
          <cell r="B1650">
            <v>6</v>
          </cell>
          <cell r="C1650">
            <v>8</v>
          </cell>
          <cell r="D1650">
            <v>2</v>
          </cell>
          <cell r="E1650" t="str">
            <v>NON-HS</v>
          </cell>
          <cell r="F1650" t="str">
            <v>Adams</v>
          </cell>
          <cell r="G1650">
            <v>0</v>
          </cell>
          <cell r="H1650">
            <v>0</v>
          </cell>
          <cell r="I1650">
            <v>23.19</v>
          </cell>
          <cell r="J1650">
            <v>14.659965120000001</v>
          </cell>
          <cell r="K1650">
            <v>22.659965119999999</v>
          </cell>
          <cell r="L1650">
            <v>0.53065813256732497</v>
          </cell>
          <cell r="M1650">
            <v>23.190623252567299</v>
          </cell>
          <cell r="N1650">
            <v>2.34375E-2</v>
          </cell>
          <cell r="O1650">
            <v>0</v>
          </cell>
          <cell r="P1650">
            <v>0.265625</v>
          </cell>
          <cell r="Q1650">
            <v>1</v>
          </cell>
          <cell r="R1650">
            <v>0.15151515151515199</v>
          </cell>
          <cell r="S1650">
            <v>0</v>
          </cell>
        </row>
        <row r="1651">
          <cell r="A1651">
            <v>222600</v>
          </cell>
          <cell r="B1651">
            <v>6</v>
          </cell>
          <cell r="C1651">
            <v>8</v>
          </cell>
          <cell r="D1651">
            <v>2</v>
          </cell>
          <cell r="E1651" t="str">
            <v>NON-HS</v>
          </cell>
          <cell r="F1651" t="str">
            <v>Adams</v>
          </cell>
          <cell r="G1651">
            <v>0</v>
          </cell>
          <cell r="H1651">
            <v>0</v>
          </cell>
          <cell r="I1651">
            <v>6.4240000000000004</v>
          </cell>
          <cell r="J1651">
            <v>5.1993965099999997</v>
          </cell>
          <cell r="K1651">
            <v>6.1993965099999997</v>
          </cell>
          <cell r="L1651">
            <v>0.22495653086175901</v>
          </cell>
          <cell r="M1651">
            <v>6.4243530408617602</v>
          </cell>
          <cell r="N1651">
            <v>2.34375E-2</v>
          </cell>
          <cell r="O1651">
            <v>0</v>
          </cell>
          <cell r="P1651">
            <v>0.265625</v>
          </cell>
          <cell r="Q1651">
            <v>1</v>
          </cell>
          <cell r="R1651">
            <v>0.15151515151515199</v>
          </cell>
          <cell r="S1651">
            <v>0</v>
          </cell>
        </row>
        <row r="1652">
          <cell r="A1652">
            <v>234901</v>
          </cell>
          <cell r="B1652">
            <v>6</v>
          </cell>
          <cell r="C1652">
            <v>8</v>
          </cell>
          <cell r="D1652">
            <v>2</v>
          </cell>
          <cell r="E1652" t="str">
            <v>NON-HS</v>
          </cell>
          <cell r="F1652" t="str">
            <v>Baldwin Hills / Crenshaw</v>
          </cell>
          <cell r="G1652">
            <v>0</v>
          </cell>
          <cell r="H1652">
            <v>0</v>
          </cell>
          <cell r="I1652">
            <v>19.940000000000001</v>
          </cell>
          <cell r="J1652">
            <v>18.747990420000001</v>
          </cell>
          <cell r="K1652">
            <v>18.747990420000001</v>
          </cell>
          <cell r="L1652">
            <v>1.19228482333932</v>
          </cell>
          <cell r="M1652">
            <v>19.9402752433393</v>
          </cell>
          <cell r="N1652">
            <v>2.34375E-2</v>
          </cell>
          <cell r="O1652">
            <v>0</v>
          </cell>
          <cell r="P1652">
            <v>0.265625</v>
          </cell>
          <cell r="Q1652">
            <v>1</v>
          </cell>
          <cell r="R1652">
            <v>0.15151515151515199</v>
          </cell>
          <cell r="S1652">
            <v>0</v>
          </cell>
        </row>
        <row r="1653">
          <cell r="A1653">
            <v>222200</v>
          </cell>
          <cell r="B1653">
            <v>6</v>
          </cell>
          <cell r="C1653">
            <v>8</v>
          </cell>
          <cell r="D1653">
            <v>2</v>
          </cell>
          <cell r="E1653" t="str">
            <v>NON-HS</v>
          </cell>
          <cell r="F1653" t="str">
            <v>Adams</v>
          </cell>
          <cell r="G1653">
            <v>0</v>
          </cell>
          <cell r="H1653">
            <v>0</v>
          </cell>
          <cell r="I1653">
            <v>11.896000000000001</v>
          </cell>
          <cell r="J1653">
            <v>11.278875149999999</v>
          </cell>
          <cell r="K1653">
            <v>11.278875149999999</v>
          </cell>
          <cell r="L1653">
            <v>0.61676773375224403</v>
          </cell>
          <cell r="M1653">
            <v>11.895642883752201</v>
          </cell>
          <cell r="N1653">
            <v>2.34375E-2</v>
          </cell>
          <cell r="O1653">
            <v>0</v>
          </cell>
          <cell r="P1653">
            <v>0.265625</v>
          </cell>
          <cell r="Q1653">
            <v>1</v>
          </cell>
          <cell r="R1653">
            <v>0.15151515151515199</v>
          </cell>
          <cell r="S1653">
            <v>0</v>
          </cell>
        </row>
        <row r="1654">
          <cell r="A1654">
            <v>231210</v>
          </cell>
          <cell r="B1654">
            <v>6</v>
          </cell>
          <cell r="C1654">
            <v>8</v>
          </cell>
          <cell r="D1654">
            <v>2</v>
          </cell>
          <cell r="E1654" t="str">
            <v>NON-HS</v>
          </cell>
          <cell r="F1654" t="str">
            <v>Adams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2.34375E-2</v>
          </cell>
          <cell r="O1654">
            <v>0</v>
          </cell>
          <cell r="P1654">
            <v>0.265625</v>
          </cell>
          <cell r="Q1654">
            <v>1</v>
          </cell>
          <cell r="R1654">
            <v>0.15151515151515199</v>
          </cell>
          <cell r="S1654">
            <v>0</v>
          </cell>
        </row>
        <row r="1655">
          <cell r="A1655">
            <v>231400</v>
          </cell>
          <cell r="B1655">
            <v>6</v>
          </cell>
          <cell r="C1655">
            <v>8</v>
          </cell>
          <cell r="D1655">
            <v>2</v>
          </cell>
          <cell r="E1655" t="str">
            <v>NON-HS</v>
          </cell>
          <cell r="F1655" t="str">
            <v>Adams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2.34375E-2</v>
          </cell>
          <cell r="O1655">
            <v>0</v>
          </cell>
          <cell r="P1655">
            <v>0.265625</v>
          </cell>
          <cell r="Q1655">
            <v>1</v>
          </cell>
          <cell r="R1655">
            <v>0.15151515151515199</v>
          </cell>
          <cell r="S1655">
            <v>0</v>
          </cell>
        </row>
        <row r="1656">
          <cell r="A1656">
            <v>231500</v>
          </cell>
          <cell r="B1656">
            <v>6</v>
          </cell>
          <cell r="C1656">
            <v>8</v>
          </cell>
          <cell r="D1656">
            <v>2</v>
          </cell>
          <cell r="E1656" t="str">
            <v>NON-HS</v>
          </cell>
          <cell r="F1656" t="str">
            <v>Vermont Square</v>
          </cell>
          <cell r="G1656">
            <v>0</v>
          </cell>
          <cell r="H1656">
            <v>0</v>
          </cell>
          <cell r="I1656">
            <v>11.093</v>
          </cell>
          <cell r="J1656">
            <v>7.6842311499999996</v>
          </cell>
          <cell r="K1656">
            <v>10.68423115</v>
          </cell>
          <cell r="L1656">
            <v>0.40850331443447002</v>
          </cell>
          <cell r="M1656">
            <v>11.0927344644345</v>
          </cell>
          <cell r="N1656">
            <v>2.34375E-2</v>
          </cell>
          <cell r="O1656">
            <v>0</v>
          </cell>
          <cell r="P1656">
            <v>0.265625</v>
          </cell>
          <cell r="Q1656">
            <v>1</v>
          </cell>
          <cell r="R1656">
            <v>0.15151515151515199</v>
          </cell>
          <cell r="S1656">
            <v>0</v>
          </cell>
        </row>
        <row r="1657">
          <cell r="A1657">
            <v>232500</v>
          </cell>
          <cell r="B1657">
            <v>6</v>
          </cell>
          <cell r="C1657">
            <v>8</v>
          </cell>
          <cell r="D1657">
            <v>2</v>
          </cell>
          <cell r="E1657" t="str">
            <v>NON-HS</v>
          </cell>
          <cell r="F1657" t="str">
            <v>Vermont Square</v>
          </cell>
          <cell r="G1657">
            <v>0</v>
          </cell>
          <cell r="H1657">
            <v>0</v>
          </cell>
          <cell r="I1657">
            <v>21.888999999999999</v>
          </cell>
          <cell r="J1657">
            <v>17.287450570000001</v>
          </cell>
          <cell r="K1657">
            <v>21.287450570000001</v>
          </cell>
          <cell r="L1657">
            <v>0.60217720414721698</v>
          </cell>
          <cell r="M1657">
            <v>21.889627774147201</v>
          </cell>
          <cell r="N1657">
            <v>2.34375E-2</v>
          </cell>
          <cell r="O1657">
            <v>0</v>
          </cell>
          <cell r="P1657">
            <v>0.265625</v>
          </cell>
          <cell r="Q1657">
            <v>1</v>
          </cell>
          <cell r="R1657">
            <v>0.15151515151515199</v>
          </cell>
          <cell r="S1657">
            <v>0</v>
          </cell>
        </row>
        <row r="1658">
          <cell r="A1658">
            <v>234501</v>
          </cell>
          <cell r="B1658">
            <v>6</v>
          </cell>
          <cell r="C1658">
            <v>8</v>
          </cell>
          <cell r="D1658">
            <v>2</v>
          </cell>
          <cell r="E1658" t="str">
            <v>NON-HS</v>
          </cell>
          <cell r="F1658" t="str">
            <v>Baldwin Hills / Crenshaw</v>
          </cell>
          <cell r="G1658">
            <v>0</v>
          </cell>
          <cell r="H1658">
            <v>0</v>
          </cell>
          <cell r="I1658">
            <v>13.4</v>
          </cell>
          <cell r="J1658">
            <v>11.82337824</v>
          </cell>
          <cell r="K1658">
            <v>12.82337824</v>
          </cell>
          <cell r="L1658">
            <v>0.576488328994614</v>
          </cell>
          <cell r="M1658">
            <v>13.3998665689946</v>
          </cell>
          <cell r="N1658">
            <v>2.34375E-2</v>
          </cell>
          <cell r="O1658">
            <v>0</v>
          </cell>
          <cell r="P1658">
            <v>0.265625</v>
          </cell>
          <cell r="Q1658">
            <v>1</v>
          </cell>
          <cell r="R1658">
            <v>0.15151515151515199</v>
          </cell>
          <cell r="S1658">
            <v>0</v>
          </cell>
        </row>
        <row r="1659">
          <cell r="A1659">
            <v>234502</v>
          </cell>
          <cell r="B1659">
            <v>6</v>
          </cell>
          <cell r="C1659">
            <v>8</v>
          </cell>
          <cell r="D1659">
            <v>2</v>
          </cell>
          <cell r="E1659" t="str">
            <v>NON-HS</v>
          </cell>
          <cell r="F1659" t="str">
            <v>Baldwin Hills / Crenshaw</v>
          </cell>
          <cell r="G1659">
            <v>0</v>
          </cell>
          <cell r="H1659">
            <v>0</v>
          </cell>
          <cell r="I1659">
            <v>17.582000000000001</v>
          </cell>
          <cell r="J1659">
            <v>14.96237316</v>
          </cell>
          <cell r="K1659">
            <v>16.962373159999999</v>
          </cell>
          <cell r="L1659">
            <v>0.62033880219030502</v>
          </cell>
          <cell r="M1659">
            <v>17.582711962190299</v>
          </cell>
          <cell r="N1659">
            <v>2.34375E-2</v>
          </cell>
          <cell r="O1659">
            <v>0</v>
          </cell>
          <cell r="P1659">
            <v>0.265625</v>
          </cell>
          <cell r="Q1659">
            <v>1</v>
          </cell>
          <cell r="R1659">
            <v>0.15151515151515199</v>
          </cell>
          <cell r="S1659">
            <v>0</v>
          </cell>
        </row>
        <row r="1660">
          <cell r="A1660">
            <v>234700</v>
          </cell>
          <cell r="B1660">
            <v>6</v>
          </cell>
          <cell r="C1660">
            <v>8</v>
          </cell>
          <cell r="D1660">
            <v>2</v>
          </cell>
          <cell r="E1660" t="str">
            <v>NON-HS</v>
          </cell>
          <cell r="F1660" t="str">
            <v>Baldwin Hills / Crenshaw</v>
          </cell>
          <cell r="G1660">
            <v>0</v>
          </cell>
          <cell r="H1660">
            <v>1</v>
          </cell>
          <cell r="I1660">
            <v>15.586</v>
          </cell>
          <cell r="J1660">
            <v>12.840259550000001</v>
          </cell>
          <cell r="K1660">
            <v>14.840259550000001</v>
          </cell>
          <cell r="L1660">
            <v>0.74611343224416504</v>
          </cell>
          <cell r="M1660">
            <v>15.5863729822442</v>
          </cell>
          <cell r="N1660">
            <v>2.34375E-2</v>
          </cell>
          <cell r="O1660">
            <v>0</v>
          </cell>
          <cell r="P1660">
            <v>0.265625</v>
          </cell>
          <cell r="Q1660">
            <v>1</v>
          </cell>
          <cell r="R1660">
            <v>0.15151515151515199</v>
          </cell>
          <cell r="S1660">
            <v>6.6</v>
          </cell>
        </row>
        <row r="1661">
          <cell r="A1661">
            <v>234902</v>
          </cell>
          <cell r="B1661">
            <v>6</v>
          </cell>
          <cell r="C1661">
            <v>8</v>
          </cell>
          <cell r="D1661">
            <v>2</v>
          </cell>
          <cell r="E1661" t="str">
            <v>NON-HS</v>
          </cell>
          <cell r="F1661" t="str">
            <v>Baldwin Hills / Crenshaw</v>
          </cell>
          <cell r="G1661">
            <v>0</v>
          </cell>
          <cell r="H1661">
            <v>1</v>
          </cell>
          <cell r="I1661">
            <v>6.9980000000000002</v>
          </cell>
          <cell r="J1661">
            <v>5.7005314900000004</v>
          </cell>
          <cell r="K1661">
            <v>6.7005314900000004</v>
          </cell>
          <cell r="L1661">
            <v>0.29733071305206499</v>
          </cell>
          <cell r="M1661">
            <v>6.9978622030520699</v>
          </cell>
          <cell r="N1661">
            <v>2.34375E-2</v>
          </cell>
          <cell r="O1661">
            <v>0</v>
          </cell>
          <cell r="P1661">
            <v>0.265625</v>
          </cell>
          <cell r="Q1661">
            <v>1</v>
          </cell>
          <cell r="R1661">
            <v>0.15151515151515199</v>
          </cell>
          <cell r="S1661">
            <v>6.6</v>
          </cell>
        </row>
        <row r="1662">
          <cell r="A1662">
            <v>235100</v>
          </cell>
          <cell r="B1662">
            <v>6</v>
          </cell>
          <cell r="C1662">
            <v>8</v>
          </cell>
          <cell r="D1662">
            <v>2</v>
          </cell>
          <cell r="E1662" t="str">
            <v>NON-HS</v>
          </cell>
          <cell r="F1662" t="str">
            <v>Baldwin Hills / Crenshaw</v>
          </cell>
          <cell r="G1662">
            <v>0</v>
          </cell>
          <cell r="H1662">
            <v>0</v>
          </cell>
          <cell r="I1662">
            <v>4.0209999999999999</v>
          </cell>
          <cell r="J1662">
            <v>3.8885795999999999</v>
          </cell>
          <cell r="K1662">
            <v>3.8885795999999999</v>
          </cell>
          <cell r="L1662">
            <v>0.131797923464991</v>
          </cell>
          <cell r="M1662">
            <v>4.0203775234649903</v>
          </cell>
          <cell r="N1662">
            <v>2.34375E-2</v>
          </cell>
          <cell r="O1662">
            <v>0</v>
          </cell>
          <cell r="P1662">
            <v>0.265625</v>
          </cell>
          <cell r="Q1662">
            <v>1</v>
          </cell>
          <cell r="R1662">
            <v>0.15151515151515199</v>
          </cell>
          <cell r="S1662">
            <v>0</v>
          </cell>
        </row>
        <row r="1663">
          <cell r="A1663">
            <v>235201</v>
          </cell>
          <cell r="B1663">
            <v>6</v>
          </cell>
          <cell r="C1663">
            <v>8</v>
          </cell>
          <cell r="D1663">
            <v>2</v>
          </cell>
          <cell r="E1663" t="str">
            <v>NON-HS</v>
          </cell>
          <cell r="F1663" t="str">
            <v>Baldwin Hills / Crenshaw</v>
          </cell>
          <cell r="G1663">
            <v>0</v>
          </cell>
          <cell r="H1663">
            <v>0</v>
          </cell>
          <cell r="I1663">
            <v>4.6859999999999999</v>
          </cell>
          <cell r="J1663">
            <v>3.4228962300000001</v>
          </cell>
          <cell r="K1663">
            <v>4.4228962300000001</v>
          </cell>
          <cell r="L1663">
            <v>0.26262460752244199</v>
          </cell>
          <cell r="M1663">
            <v>4.6855208375224402</v>
          </cell>
          <cell r="N1663">
            <v>2.34375E-2</v>
          </cell>
          <cell r="O1663">
            <v>0</v>
          </cell>
          <cell r="P1663">
            <v>0.265625</v>
          </cell>
          <cell r="Q1663">
            <v>1</v>
          </cell>
          <cell r="R1663">
            <v>0.15151515151515199</v>
          </cell>
          <cell r="S1663">
            <v>0</v>
          </cell>
        </row>
        <row r="1664">
          <cell r="A1664">
            <v>235202</v>
          </cell>
          <cell r="B1664">
            <v>6</v>
          </cell>
          <cell r="C1664">
            <v>8</v>
          </cell>
          <cell r="D1664">
            <v>2</v>
          </cell>
          <cell r="E1664" t="str">
            <v>NON-HS</v>
          </cell>
          <cell r="F1664" t="str">
            <v>Baldwin Hills / Crenshaw</v>
          </cell>
          <cell r="G1664">
            <v>0</v>
          </cell>
          <cell r="H1664">
            <v>0</v>
          </cell>
          <cell r="I1664">
            <v>13.803000000000001</v>
          </cell>
          <cell r="J1664">
            <v>13.13419515</v>
          </cell>
          <cell r="K1664">
            <v>13.13419515</v>
          </cell>
          <cell r="L1664">
            <v>0.66964693639138195</v>
          </cell>
          <cell r="M1664">
            <v>13.8038420863914</v>
          </cell>
          <cell r="N1664">
            <v>2.34375E-2</v>
          </cell>
          <cell r="O1664">
            <v>0</v>
          </cell>
          <cell r="P1664">
            <v>0.265625</v>
          </cell>
          <cell r="Q1664">
            <v>1</v>
          </cell>
          <cell r="R1664">
            <v>0.15151515151515199</v>
          </cell>
          <cell r="S1664">
            <v>0</v>
          </cell>
        </row>
        <row r="1665">
          <cell r="A1665">
            <v>241201</v>
          </cell>
          <cell r="B1665">
            <v>6</v>
          </cell>
          <cell r="C1665">
            <v>8</v>
          </cell>
          <cell r="D1665">
            <v>2</v>
          </cell>
          <cell r="E1665" t="str">
            <v>NON-HS</v>
          </cell>
          <cell r="F1665" t="str">
            <v>South Vermont</v>
          </cell>
          <cell r="G1665">
            <v>0</v>
          </cell>
          <cell r="H1665">
            <v>0</v>
          </cell>
          <cell r="I1665">
            <v>6.6859999999999999</v>
          </cell>
          <cell r="J1665">
            <v>3.4228962300000001</v>
          </cell>
          <cell r="K1665">
            <v>6.4228962300000001</v>
          </cell>
          <cell r="L1665">
            <v>0.26262460752244199</v>
          </cell>
          <cell r="M1665">
            <v>6.6855208375224402</v>
          </cell>
          <cell r="N1665">
            <v>2.34375E-2</v>
          </cell>
          <cell r="O1665">
            <v>0</v>
          </cell>
          <cell r="P1665">
            <v>0.265625</v>
          </cell>
          <cell r="Q1665">
            <v>1</v>
          </cell>
          <cell r="R1665">
            <v>0.15151515151515199</v>
          </cell>
          <cell r="S1665">
            <v>0</v>
          </cell>
        </row>
        <row r="1666">
          <cell r="A1666">
            <v>236400</v>
          </cell>
          <cell r="B1666">
            <v>6</v>
          </cell>
          <cell r="C1666">
            <v>8</v>
          </cell>
          <cell r="D1666">
            <v>2</v>
          </cell>
          <cell r="E1666" t="str">
            <v>NON-HS</v>
          </cell>
          <cell r="F1666" t="str">
            <v>Baldwin Hills / Crenshaw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2.34375E-2</v>
          </cell>
          <cell r="O1666">
            <v>0</v>
          </cell>
          <cell r="P1666">
            <v>0.265625</v>
          </cell>
          <cell r="Q1666">
            <v>1</v>
          </cell>
          <cell r="R1666">
            <v>0.15151515151515199</v>
          </cell>
          <cell r="S1666">
            <v>0</v>
          </cell>
        </row>
        <row r="1667">
          <cell r="A1667">
            <v>237401</v>
          </cell>
          <cell r="B1667">
            <v>6</v>
          </cell>
          <cell r="C1667">
            <v>8</v>
          </cell>
          <cell r="D1667">
            <v>2</v>
          </cell>
          <cell r="E1667" t="str">
            <v>NON-HS</v>
          </cell>
          <cell r="F1667" t="str">
            <v>Vermont Square</v>
          </cell>
          <cell r="G1667">
            <v>0</v>
          </cell>
          <cell r="H1667">
            <v>0</v>
          </cell>
          <cell r="I1667">
            <v>17.706</v>
          </cell>
          <cell r="J1667">
            <v>16.85102698</v>
          </cell>
          <cell r="K1667">
            <v>16.85102698</v>
          </cell>
          <cell r="L1667">
            <v>0.85580504806104096</v>
          </cell>
          <cell r="M1667">
            <v>17.706832028061001</v>
          </cell>
          <cell r="N1667">
            <v>2.34375E-2</v>
          </cell>
          <cell r="O1667">
            <v>0</v>
          </cell>
          <cell r="P1667">
            <v>0.265625</v>
          </cell>
          <cell r="Q1667">
            <v>1</v>
          </cell>
          <cell r="R1667">
            <v>0.15151515151515199</v>
          </cell>
          <cell r="S1667">
            <v>0</v>
          </cell>
        </row>
        <row r="1668">
          <cell r="A1668">
            <v>237402</v>
          </cell>
          <cell r="B1668">
            <v>6</v>
          </cell>
          <cell r="C1668">
            <v>8</v>
          </cell>
          <cell r="D1668">
            <v>2</v>
          </cell>
          <cell r="E1668" t="str">
            <v>NON-HS</v>
          </cell>
          <cell r="F1668" t="str">
            <v>Vermont Square</v>
          </cell>
          <cell r="G1668">
            <v>0</v>
          </cell>
          <cell r="H1668">
            <v>0</v>
          </cell>
          <cell r="I1668">
            <v>8.7010000000000005</v>
          </cell>
          <cell r="J1668">
            <v>7.38182311</v>
          </cell>
          <cell r="K1668">
            <v>8.3818231099999991</v>
          </cell>
          <cell r="L1668">
            <v>0.31882264481148997</v>
          </cell>
          <cell r="M1668">
            <v>8.7006457548114895</v>
          </cell>
          <cell r="N1668">
            <v>2.34375E-2</v>
          </cell>
          <cell r="O1668">
            <v>0</v>
          </cell>
          <cell r="P1668">
            <v>0.265625</v>
          </cell>
          <cell r="Q1668">
            <v>1</v>
          </cell>
          <cell r="R1668">
            <v>0.15151515151515199</v>
          </cell>
          <cell r="S1668">
            <v>0</v>
          </cell>
        </row>
        <row r="1669">
          <cell r="A1669">
            <v>237720</v>
          </cell>
          <cell r="B1669">
            <v>6</v>
          </cell>
          <cell r="C1669">
            <v>8</v>
          </cell>
          <cell r="D1669">
            <v>2</v>
          </cell>
          <cell r="E1669" t="str">
            <v>NON-HS</v>
          </cell>
          <cell r="F1669" t="str">
            <v>South Vermont</v>
          </cell>
          <cell r="G1669">
            <v>0</v>
          </cell>
          <cell r="H1669">
            <v>0</v>
          </cell>
          <cell r="I1669">
            <v>7.4059999999999997</v>
          </cell>
          <cell r="J1669">
            <v>3.3625832400000002</v>
          </cell>
          <cell r="K1669">
            <v>7.3625832400000002</v>
          </cell>
          <cell r="L1669">
            <v>4.2983863518851001E-2</v>
          </cell>
          <cell r="M1669">
            <v>7.4055671035188499</v>
          </cell>
          <cell r="N1669">
            <v>2.34375E-2</v>
          </cell>
          <cell r="O1669">
            <v>0</v>
          </cell>
          <cell r="P1669">
            <v>0.265625</v>
          </cell>
          <cell r="Q1669">
            <v>1</v>
          </cell>
          <cell r="R1669">
            <v>0.15151515151515199</v>
          </cell>
          <cell r="S1669">
            <v>0</v>
          </cell>
        </row>
        <row r="1670">
          <cell r="A1670">
            <v>237800</v>
          </cell>
          <cell r="B1670">
            <v>6</v>
          </cell>
          <cell r="C1670">
            <v>8</v>
          </cell>
          <cell r="D1670">
            <v>2</v>
          </cell>
          <cell r="E1670" t="str">
            <v>NON-HS</v>
          </cell>
          <cell r="F1670" t="str">
            <v>South Vermont</v>
          </cell>
          <cell r="G1670">
            <v>0</v>
          </cell>
          <cell r="H1670">
            <v>0</v>
          </cell>
          <cell r="I1670">
            <v>4</v>
          </cell>
          <cell r="J1670">
            <v>0</v>
          </cell>
          <cell r="K1670">
            <v>4</v>
          </cell>
          <cell r="L1670">
            <v>0</v>
          </cell>
          <cell r="M1670">
            <v>4</v>
          </cell>
          <cell r="N1670">
            <v>2.34375E-2</v>
          </cell>
          <cell r="O1670">
            <v>0</v>
          </cell>
          <cell r="P1670">
            <v>0.265625</v>
          </cell>
          <cell r="Q1670">
            <v>1</v>
          </cell>
          <cell r="R1670">
            <v>0.15151515151515199</v>
          </cell>
          <cell r="S1670">
            <v>0</v>
          </cell>
        </row>
        <row r="1671">
          <cell r="A1671">
            <v>237900</v>
          </cell>
          <cell r="B1671">
            <v>6</v>
          </cell>
          <cell r="C1671">
            <v>8</v>
          </cell>
          <cell r="D1671">
            <v>2</v>
          </cell>
          <cell r="E1671" t="str">
            <v>NON-HS</v>
          </cell>
          <cell r="F1671" t="str">
            <v>South Vermont</v>
          </cell>
          <cell r="G1671">
            <v>0</v>
          </cell>
          <cell r="H1671">
            <v>1</v>
          </cell>
          <cell r="I1671">
            <v>2</v>
          </cell>
          <cell r="J1671">
            <v>0</v>
          </cell>
          <cell r="K1671">
            <v>2</v>
          </cell>
          <cell r="L1671">
            <v>0</v>
          </cell>
          <cell r="M1671">
            <v>2</v>
          </cell>
          <cell r="N1671">
            <v>2.34375E-2</v>
          </cell>
          <cell r="O1671">
            <v>0</v>
          </cell>
          <cell r="P1671">
            <v>0.265625</v>
          </cell>
          <cell r="Q1671">
            <v>1</v>
          </cell>
          <cell r="R1671">
            <v>0.15151515151515199</v>
          </cell>
          <cell r="S1671">
            <v>6.6</v>
          </cell>
        </row>
        <row r="1672">
          <cell r="A1672">
            <v>238000</v>
          </cell>
          <cell r="B1672">
            <v>6</v>
          </cell>
          <cell r="C1672">
            <v>8</v>
          </cell>
          <cell r="D1672">
            <v>2</v>
          </cell>
          <cell r="E1672" t="str">
            <v>NON-HS</v>
          </cell>
          <cell r="F1672" t="str">
            <v>South Vermont</v>
          </cell>
          <cell r="G1672">
            <v>0</v>
          </cell>
          <cell r="H1672">
            <v>0</v>
          </cell>
          <cell r="I1672">
            <v>17.914000000000001</v>
          </cell>
          <cell r="J1672">
            <v>12.47753852</v>
          </cell>
          <cell r="K1672">
            <v>17.47753852</v>
          </cell>
          <cell r="L1672">
            <v>0.43679201861759398</v>
          </cell>
          <cell r="M1672">
            <v>17.914330538617602</v>
          </cell>
          <cell r="N1672">
            <v>2.34375E-2</v>
          </cell>
          <cell r="O1672">
            <v>0</v>
          </cell>
          <cell r="P1672">
            <v>0.265625</v>
          </cell>
          <cell r="Q1672">
            <v>1</v>
          </cell>
          <cell r="R1672">
            <v>0.15151515151515199</v>
          </cell>
          <cell r="S1672">
            <v>0</v>
          </cell>
        </row>
        <row r="1673">
          <cell r="A1673">
            <v>238100</v>
          </cell>
          <cell r="B1673">
            <v>6</v>
          </cell>
          <cell r="C1673">
            <v>8</v>
          </cell>
          <cell r="D1673">
            <v>2</v>
          </cell>
          <cell r="E1673" t="str">
            <v>NON-HS</v>
          </cell>
          <cell r="F1673" t="str">
            <v>South Vermont</v>
          </cell>
          <cell r="G1673">
            <v>0</v>
          </cell>
          <cell r="H1673">
            <v>0</v>
          </cell>
          <cell r="I1673">
            <v>9.19</v>
          </cell>
          <cell r="J1673">
            <v>3.9673993200000002</v>
          </cell>
          <cell r="K1673">
            <v>8.9673993200000002</v>
          </cell>
          <cell r="L1673">
            <v>0.22234520276481101</v>
          </cell>
          <cell r="M1673">
            <v>9.1897445227648102</v>
          </cell>
          <cell r="N1673">
            <v>2.34375E-2</v>
          </cell>
          <cell r="O1673">
            <v>0</v>
          </cell>
          <cell r="P1673">
            <v>0.265625</v>
          </cell>
          <cell r="Q1673">
            <v>1</v>
          </cell>
          <cell r="R1673">
            <v>0.15151515151515199</v>
          </cell>
          <cell r="S1673">
            <v>0</v>
          </cell>
        </row>
        <row r="1674">
          <cell r="A1674">
            <v>238200</v>
          </cell>
          <cell r="B1674">
            <v>6</v>
          </cell>
          <cell r="C1674">
            <v>8</v>
          </cell>
          <cell r="D1674">
            <v>2</v>
          </cell>
          <cell r="E1674" t="str">
            <v>NON-HS</v>
          </cell>
          <cell r="F1674" t="str">
            <v>South Vermont</v>
          </cell>
          <cell r="G1674">
            <v>0</v>
          </cell>
          <cell r="H1674">
            <v>0</v>
          </cell>
          <cell r="I1674">
            <v>7.19</v>
          </cell>
          <cell r="J1674">
            <v>3.9673993200000002</v>
          </cell>
          <cell r="K1674">
            <v>6.9673993200000002</v>
          </cell>
          <cell r="L1674">
            <v>0.22234520276481101</v>
          </cell>
          <cell r="M1674">
            <v>7.1897445227648102</v>
          </cell>
          <cell r="N1674">
            <v>2.34375E-2</v>
          </cell>
          <cell r="O1674">
            <v>0</v>
          </cell>
          <cell r="P1674">
            <v>0.265625</v>
          </cell>
          <cell r="Q1674">
            <v>1</v>
          </cell>
          <cell r="R1674">
            <v>0.15151515151515199</v>
          </cell>
          <cell r="S1674">
            <v>0</v>
          </cell>
        </row>
        <row r="1675">
          <cell r="A1675">
            <v>238400</v>
          </cell>
          <cell r="B1675">
            <v>6</v>
          </cell>
          <cell r="C1675">
            <v>8</v>
          </cell>
          <cell r="D1675">
            <v>2</v>
          </cell>
          <cell r="E1675" t="str">
            <v>NON-HS</v>
          </cell>
          <cell r="F1675" t="str">
            <v>South Vermont</v>
          </cell>
          <cell r="G1675">
            <v>0</v>
          </cell>
          <cell r="H1675">
            <v>0</v>
          </cell>
          <cell r="I1675">
            <v>22.786000000000001</v>
          </cell>
          <cell r="J1675">
            <v>18.07033071</v>
          </cell>
          <cell r="K1675">
            <v>22.07033071</v>
          </cell>
          <cell r="L1675">
            <v>0.71597214211849203</v>
          </cell>
          <cell r="M1675">
            <v>22.786302852118499</v>
          </cell>
          <cell r="N1675">
            <v>2.34375E-2</v>
          </cell>
          <cell r="O1675">
            <v>0</v>
          </cell>
          <cell r="P1675">
            <v>0.265625</v>
          </cell>
          <cell r="Q1675">
            <v>1</v>
          </cell>
          <cell r="R1675">
            <v>0.15151515151515199</v>
          </cell>
          <cell r="S1675">
            <v>0</v>
          </cell>
        </row>
        <row r="1676">
          <cell r="A1676">
            <v>240401</v>
          </cell>
          <cell r="B1676">
            <v>6</v>
          </cell>
          <cell r="C1676">
            <v>8</v>
          </cell>
          <cell r="D1676">
            <v>2</v>
          </cell>
          <cell r="E1676" t="str">
            <v>NON-HS</v>
          </cell>
          <cell r="F1676" t="str">
            <v>South Vermont</v>
          </cell>
          <cell r="G1676">
            <v>0</v>
          </cell>
          <cell r="H1676">
            <v>0</v>
          </cell>
          <cell r="I1676">
            <v>17.132999999999999</v>
          </cell>
          <cell r="J1676">
            <v>15.46139035</v>
          </cell>
          <cell r="K1676">
            <v>16.461390349999999</v>
          </cell>
          <cell r="L1676">
            <v>0.67209916136445202</v>
          </cell>
          <cell r="M1676">
            <v>17.133489511364498</v>
          </cell>
          <cell r="N1676">
            <v>2.34375E-2</v>
          </cell>
          <cell r="O1676">
            <v>0</v>
          </cell>
          <cell r="P1676">
            <v>0.265625</v>
          </cell>
          <cell r="Q1676">
            <v>1</v>
          </cell>
          <cell r="R1676">
            <v>0.15151515151515199</v>
          </cell>
          <cell r="S1676">
            <v>0</v>
          </cell>
        </row>
        <row r="1677">
          <cell r="A1677">
            <v>241110</v>
          </cell>
          <cell r="B1677">
            <v>6</v>
          </cell>
          <cell r="C1677">
            <v>8</v>
          </cell>
          <cell r="D1677">
            <v>2</v>
          </cell>
          <cell r="E1677" t="str">
            <v>NON-HS</v>
          </cell>
          <cell r="F1677" t="str">
            <v>Green Meadows</v>
          </cell>
          <cell r="G1677">
            <v>1</v>
          </cell>
          <cell r="H1677">
            <v>1</v>
          </cell>
          <cell r="I1677">
            <v>13.586</v>
          </cell>
          <cell r="J1677">
            <v>12.840259550000001</v>
          </cell>
          <cell r="K1677">
            <v>12.840259550000001</v>
          </cell>
          <cell r="L1677">
            <v>0.74611343224416504</v>
          </cell>
          <cell r="M1677">
            <v>13.5863729822442</v>
          </cell>
          <cell r="N1677">
            <v>2.34375E-2</v>
          </cell>
          <cell r="O1677">
            <v>42.6666666666667</v>
          </cell>
          <cell r="P1677">
            <v>0.265625</v>
          </cell>
          <cell r="Q1677">
            <v>1</v>
          </cell>
        </row>
        <row r="1678">
          <cell r="A1678">
            <v>241120</v>
          </cell>
          <cell r="B1678">
            <v>6</v>
          </cell>
          <cell r="C1678">
            <v>8</v>
          </cell>
          <cell r="D1678">
            <v>2</v>
          </cell>
          <cell r="E1678" t="str">
            <v>NON-HS</v>
          </cell>
          <cell r="F1678" t="str">
            <v>Green Meadows</v>
          </cell>
          <cell r="G1678">
            <v>0</v>
          </cell>
          <cell r="H1678">
            <v>0</v>
          </cell>
          <cell r="I1678">
            <v>5.798</v>
          </cell>
          <cell r="J1678">
            <v>3.6649912800000002</v>
          </cell>
          <cell r="K1678">
            <v>5.6649912799999997</v>
          </cell>
          <cell r="L1678">
            <v>0.13266453314183099</v>
          </cell>
          <cell r="M1678">
            <v>5.7976558131418301</v>
          </cell>
          <cell r="N1678">
            <v>2.34375E-2</v>
          </cell>
          <cell r="O1678">
            <v>0</v>
          </cell>
          <cell r="P1678">
            <v>0.265625</v>
          </cell>
          <cell r="Q1678">
            <v>1</v>
          </cell>
          <cell r="R1678">
            <v>0.15151515151515199</v>
          </cell>
          <cell r="S1678">
            <v>0</v>
          </cell>
        </row>
        <row r="1679">
          <cell r="A1679">
            <v>241202</v>
          </cell>
          <cell r="B1679">
            <v>6</v>
          </cell>
          <cell r="C1679">
            <v>8</v>
          </cell>
          <cell r="D1679">
            <v>2</v>
          </cell>
          <cell r="E1679" t="str">
            <v>NON-HS</v>
          </cell>
          <cell r="F1679" t="str">
            <v>Green Meadows</v>
          </cell>
          <cell r="G1679">
            <v>0</v>
          </cell>
          <cell r="H1679">
            <v>0</v>
          </cell>
          <cell r="I1679">
            <v>3.6859999999999999</v>
          </cell>
          <cell r="J1679">
            <v>3.4228962300000001</v>
          </cell>
          <cell r="K1679">
            <v>3.4228962300000001</v>
          </cell>
          <cell r="L1679">
            <v>0.26262460752244199</v>
          </cell>
          <cell r="M1679">
            <v>3.6855208375224402</v>
          </cell>
          <cell r="N1679">
            <v>2.34375E-2</v>
          </cell>
          <cell r="O1679">
            <v>0</v>
          </cell>
          <cell r="P1679">
            <v>0.265625</v>
          </cell>
          <cell r="Q1679">
            <v>1</v>
          </cell>
          <cell r="R1679">
            <v>0.15151515151515199</v>
          </cell>
          <cell r="S1679">
            <v>0</v>
          </cell>
        </row>
        <row r="1680">
          <cell r="A1680">
            <v>224020</v>
          </cell>
          <cell r="B1680">
            <v>4</v>
          </cell>
          <cell r="C1680">
            <v>9</v>
          </cell>
          <cell r="D1680">
            <v>1</v>
          </cell>
          <cell r="E1680" t="str">
            <v>CVCTE</v>
          </cell>
          <cell r="F1680" t="str">
            <v>South Central</v>
          </cell>
          <cell r="G1680">
            <v>0</v>
          </cell>
          <cell r="H1680">
            <v>0</v>
          </cell>
          <cell r="I1680">
            <v>43.091000000000001</v>
          </cell>
          <cell r="J1680">
            <v>29.928620460000001</v>
          </cell>
          <cell r="K1680">
            <v>41.928620459999998</v>
          </cell>
          <cell r="L1680">
            <v>1.1622821695691199</v>
          </cell>
          <cell r="M1680">
            <v>43.090902629569101</v>
          </cell>
          <cell r="N1680">
            <v>0.164383561643836</v>
          </cell>
          <cell r="O1680">
            <v>0</v>
          </cell>
          <cell r="P1680">
            <v>2.7397260273972601E-2</v>
          </cell>
          <cell r="Q1680">
            <v>7.69230769230769E-2</v>
          </cell>
        </row>
        <row r="1681">
          <cell r="A1681">
            <v>226001</v>
          </cell>
          <cell r="B1681">
            <v>4</v>
          </cell>
          <cell r="C1681">
            <v>9</v>
          </cell>
          <cell r="D1681">
            <v>2</v>
          </cell>
          <cell r="E1681" t="str">
            <v>CVCTE</v>
          </cell>
          <cell r="F1681" t="str">
            <v>Downtown Los Angeles</v>
          </cell>
          <cell r="G1681">
            <v>1</v>
          </cell>
          <cell r="H1681">
            <v>1</v>
          </cell>
          <cell r="I1681">
            <v>175.48699999999999</v>
          </cell>
          <cell r="J1681">
            <v>123.01214450000001</v>
          </cell>
          <cell r="K1681">
            <v>173.01214450000001</v>
          </cell>
          <cell r="L1681">
            <v>2.4747490147217199</v>
          </cell>
          <cell r="M1681">
            <v>175.486893514722</v>
          </cell>
          <cell r="N1681">
            <v>0.164383561643836</v>
          </cell>
          <cell r="O1681">
            <v>6.0833333333333304</v>
          </cell>
          <cell r="P1681">
            <v>2.7397260273972601E-2</v>
          </cell>
          <cell r="Q1681">
            <v>7.69230769230769E-2</v>
          </cell>
        </row>
        <row r="1682">
          <cell r="A1682">
            <v>224600</v>
          </cell>
          <cell r="B1682">
            <v>6</v>
          </cell>
          <cell r="C1682">
            <v>9</v>
          </cell>
          <cell r="D1682">
            <v>1</v>
          </cell>
          <cell r="E1682" t="str">
            <v>CVCTE</v>
          </cell>
          <cell r="F1682" t="str">
            <v>South Central</v>
          </cell>
          <cell r="G1682">
            <v>0</v>
          </cell>
          <cell r="H1682">
            <v>0</v>
          </cell>
          <cell r="I1682">
            <v>90.432000000000002</v>
          </cell>
          <cell r="J1682">
            <v>65.313543600000003</v>
          </cell>
          <cell r="K1682">
            <v>89.313543600000003</v>
          </cell>
          <cell r="L1682">
            <v>1.1185664670018001</v>
          </cell>
          <cell r="M1682">
            <v>90.432110067001801</v>
          </cell>
          <cell r="N1682">
            <v>0.16393442622950799</v>
          </cell>
          <cell r="O1682">
            <v>0</v>
          </cell>
          <cell r="P1682">
            <v>0.39344262295082</v>
          </cell>
          <cell r="Q1682">
            <v>0.92307692307692302</v>
          </cell>
          <cell r="R1682">
            <v>0.14285714285714299</v>
          </cell>
          <cell r="S1682">
            <v>0</v>
          </cell>
        </row>
        <row r="1683">
          <cell r="A1683">
            <v>239310</v>
          </cell>
          <cell r="B1683">
            <v>6</v>
          </cell>
          <cell r="C1683">
            <v>9</v>
          </cell>
          <cell r="D1683">
            <v>2</v>
          </cell>
          <cell r="E1683" t="str">
            <v>CVCTE</v>
          </cell>
          <cell r="F1683" t="str">
            <v>South Park</v>
          </cell>
          <cell r="G1683">
            <v>0</v>
          </cell>
          <cell r="H1683">
            <v>0</v>
          </cell>
          <cell r="I1683">
            <v>28.164999999999999</v>
          </cell>
          <cell r="J1683">
            <v>22.14954337</v>
          </cell>
          <cell r="K1683">
            <v>27.14954337</v>
          </cell>
          <cell r="L1683">
            <v>1.01625381780969</v>
          </cell>
          <cell r="M1683">
            <v>28.165797187809702</v>
          </cell>
          <cell r="N1683">
            <v>0.16393442622950799</v>
          </cell>
          <cell r="O1683">
            <v>0</v>
          </cell>
          <cell r="P1683">
            <v>0.39344262295082</v>
          </cell>
          <cell r="Q1683">
            <v>0.92307692307692302</v>
          </cell>
          <cell r="R1683">
            <v>0.14285714285714299</v>
          </cell>
          <cell r="S1683">
            <v>0</v>
          </cell>
        </row>
        <row r="1684">
          <cell r="A1684">
            <v>224700</v>
          </cell>
          <cell r="B1684">
            <v>6</v>
          </cell>
          <cell r="C1684">
            <v>9</v>
          </cell>
          <cell r="D1684">
            <v>1</v>
          </cell>
          <cell r="E1684" t="str">
            <v>CVCTE</v>
          </cell>
          <cell r="F1684" t="str">
            <v>University Park</v>
          </cell>
          <cell r="G1684">
            <v>0</v>
          </cell>
          <cell r="H1684">
            <v>0</v>
          </cell>
          <cell r="I1684">
            <v>61.691000000000003</v>
          </cell>
          <cell r="J1684">
            <v>40.100145390000002</v>
          </cell>
          <cell r="K1684">
            <v>61.100145390000002</v>
          </cell>
          <cell r="L1684">
            <v>0.58978342793536798</v>
          </cell>
          <cell r="M1684">
            <v>61.689928817935403</v>
          </cell>
          <cell r="N1684">
            <v>0.16393442622950799</v>
          </cell>
          <cell r="O1684">
            <v>0</v>
          </cell>
          <cell r="P1684">
            <v>0.39344262295082</v>
          </cell>
          <cell r="Q1684">
            <v>0.92307692307692302</v>
          </cell>
          <cell r="R1684">
            <v>0.14285714285714299</v>
          </cell>
          <cell r="S1684">
            <v>0</v>
          </cell>
        </row>
        <row r="1685">
          <cell r="A1685">
            <v>228100</v>
          </cell>
          <cell r="B1685">
            <v>6</v>
          </cell>
          <cell r="C1685">
            <v>9</v>
          </cell>
          <cell r="D1685">
            <v>2</v>
          </cell>
          <cell r="E1685" t="str">
            <v>CVCTE</v>
          </cell>
          <cell r="F1685" t="str">
            <v>South Central</v>
          </cell>
          <cell r="G1685">
            <v>0</v>
          </cell>
          <cell r="H1685">
            <v>0</v>
          </cell>
          <cell r="I1685">
            <v>36.238</v>
          </cell>
          <cell r="J1685">
            <v>30.092258510000001</v>
          </cell>
          <cell r="K1685">
            <v>35.092258510000001</v>
          </cell>
          <cell r="L1685">
            <v>1.14508977014363</v>
          </cell>
          <cell r="M1685">
            <v>36.2373482801436</v>
          </cell>
          <cell r="N1685">
            <v>0.16393442622950799</v>
          </cell>
          <cell r="O1685">
            <v>0</v>
          </cell>
          <cell r="P1685">
            <v>0.39344262295082</v>
          </cell>
          <cell r="Q1685">
            <v>0.92307692307692302</v>
          </cell>
          <cell r="R1685">
            <v>0.14285714285714299</v>
          </cell>
          <cell r="S1685">
            <v>0</v>
          </cell>
        </row>
        <row r="1686">
          <cell r="A1686">
            <v>228310</v>
          </cell>
          <cell r="B1686">
            <v>6</v>
          </cell>
          <cell r="C1686">
            <v>9</v>
          </cell>
          <cell r="D1686">
            <v>2</v>
          </cell>
          <cell r="E1686" t="str">
            <v>CVCTE</v>
          </cell>
          <cell r="F1686" t="str">
            <v>South Central</v>
          </cell>
          <cell r="G1686">
            <v>0</v>
          </cell>
          <cell r="H1686">
            <v>0</v>
          </cell>
          <cell r="I1686">
            <v>25.219000000000001</v>
          </cell>
          <cell r="J1686">
            <v>20.503147420000001</v>
          </cell>
          <cell r="K1686">
            <v>24.503147420000001</v>
          </cell>
          <cell r="L1686">
            <v>0.71596113362657099</v>
          </cell>
          <cell r="M1686">
            <v>25.219108553626601</v>
          </cell>
          <cell r="N1686">
            <v>0.16393442622950799</v>
          </cell>
          <cell r="O1686">
            <v>0</v>
          </cell>
          <cell r="P1686">
            <v>0.39344262295082</v>
          </cell>
          <cell r="Q1686">
            <v>0.92307692307692302</v>
          </cell>
          <cell r="R1686">
            <v>0.14285714285714299</v>
          </cell>
          <cell r="S1686">
            <v>0</v>
          </cell>
        </row>
        <row r="1687">
          <cell r="A1687">
            <v>228800</v>
          </cell>
          <cell r="B1687">
            <v>6</v>
          </cell>
          <cell r="C1687">
            <v>9</v>
          </cell>
          <cell r="D1687">
            <v>2</v>
          </cell>
          <cell r="E1687" t="str">
            <v>CVCTE</v>
          </cell>
          <cell r="F1687" t="str">
            <v>Central Alameda</v>
          </cell>
          <cell r="G1687">
            <v>0</v>
          </cell>
          <cell r="H1687">
            <v>0</v>
          </cell>
          <cell r="I1687">
            <v>46.676000000000002</v>
          </cell>
          <cell r="J1687">
            <v>41.66878071</v>
          </cell>
          <cell r="K1687">
            <v>43.66878071</v>
          </cell>
          <cell r="L1687">
            <v>3.0059143228366199</v>
          </cell>
          <cell r="M1687">
            <v>46.674695032836603</v>
          </cell>
          <cell r="N1687">
            <v>0.16393442622950799</v>
          </cell>
          <cell r="O1687">
            <v>0</v>
          </cell>
          <cell r="P1687">
            <v>0.39344262295082</v>
          </cell>
          <cell r="Q1687">
            <v>0.92307692307692302</v>
          </cell>
          <cell r="R1687">
            <v>0.14285714285714299</v>
          </cell>
          <cell r="S1687">
            <v>0</v>
          </cell>
        </row>
        <row r="1688">
          <cell r="A1688">
            <v>228900</v>
          </cell>
          <cell r="B1688">
            <v>6</v>
          </cell>
          <cell r="C1688">
            <v>9</v>
          </cell>
          <cell r="D1688">
            <v>2</v>
          </cell>
          <cell r="E1688" t="str">
            <v>CVCTE</v>
          </cell>
          <cell r="F1688" t="str">
            <v>Central Alameda</v>
          </cell>
          <cell r="G1688">
            <v>1</v>
          </cell>
          <cell r="H1688">
            <v>1</v>
          </cell>
          <cell r="I1688">
            <v>45.649000000000001</v>
          </cell>
          <cell r="J1688">
            <v>29.788644659999999</v>
          </cell>
          <cell r="K1688">
            <v>43.788644660000003</v>
          </cell>
          <cell r="L1688">
            <v>1.8606171966606799</v>
          </cell>
          <cell r="M1688">
            <v>45.649261856660701</v>
          </cell>
          <cell r="N1688">
            <v>0.16393442622950799</v>
          </cell>
          <cell r="O1688">
            <v>6.1</v>
          </cell>
          <cell r="P1688">
            <v>0.39344262295082</v>
          </cell>
          <cell r="Q1688">
            <v>0.92307692307692302</v>
          </cell>
        </row>
        <row r="1689">
          <cell r="A1689">
            <v>229100</v>
          </cell>
          <cell r="B1689">
            <v>6</v>
          </cell>
          <cell r="C1689">
            <v>9</v>
          </cell>
          <cell r="D1689">
            <v>2</v>
          </cell>
          <cell r="E1689" t="str">
            <v>CVCTE</v>
          </cell>
          <cell r="F1689" t="str">
            <v>Central Alameda</v>
          </cell>
          <cell r="G1689">
            <v>0</v>
          </cell>
          <cell r="H1689">
            <v>0</v>
          </cell>
          <cell r="I1689">
            <v>107.605</v>
          </cell>
          <cell r="J1689">
            <v>82.196142910000006</v>
          </cell>
          <cell r="K1689">
            <v>102.19614291000001</v>
          </cell>
          <cell r="L1689">
            <v>5.4082698071095203</v>
          </cell>
          <cell r="M1689">
            <v>107.60441271710999</v>
          </cell>
          <cell r="N1689">
            <v>0.16393442622950799</v>
          </cell>
          <cell r="O1689">
            <v>0</v>
          </cell>
          <cell r="P1689">
            <v>0.39344262295082</v>
          </cell>
          <cell r="Q1689">
            <v>0.92307692307692302</v>
          </cell>
          <cell r="R1689">
            <v>0.14285714285714299</v>
          </cell>
          <cell r="S1689">
            <v>0</v>
          </cell>
        </row>
        <row r="1690">
          <cell r="A1690">
            <v>229410</v>
          </cell>
          <cell r="B1690">
            <v>6</v>
          </cell>
          <cell r="C1690">
            <v>9</v>
          </cell>
          <cell r="D1690">
            <v>2</v>
          </cell>
          <cell r="E1690" t="str">
            <v>CVCTE</v>
          </cell>
          <cell r="F1690" t="str">
            <v>South Park</v>
          </cell>
          <cell r="G1690">
            <v>1</v>
          </cell>
          <cell r="H1690">
            <v>1</v>
          </cell>
          <cell r="I1690">
            <v>38.808</v>
          </cell>
          <cell r="J1690">
            <v>35.395173300000003</v>
          </cell>
          <cell r="K1690">
            <v>37.395173300000003</v>
          </cell>
          <cell r="L1690">
            <v>1.41189982199282</v>
          </cell>
          <cell r="M1690">
            <v>38.807073121992801</v>
          </cell>
          <cell r="N1690">
            <v>0.16393442622950799</v>
          </cell>
          <cell r="O1690">
            <v>6.1</v>
          </cell>
          <cell r="P1690">
            <v>0.39344262295082</v>
          </cell>
          <cell r="Q1690">
            <v>0.92307692307692302</v>
          </cell>
        </row>
        <row r="1691">
          <cell r="A1691">
            <v>229420</v>
          </cell>
          <cell r="B1691">
            <v>6</v>
          </cell>
          <cell r="C1691">
            <v>9</v>
          </cell>
          <cell r="D1691">
            <v>2</v>
          </cell>
          <cell r="E1691" t="str">
            <v>CVCTE</v>
          </cell>
          <cell r="F1691" t="str">
            <v>South Park</v>
          </cell>
          <cell r="G1691">
            <v>0</v>
          </cell>
          <cell r="H1691">
            <v>0</v>
          </cell>
          <cell r="I1691">
            <v>16.815999999999999</v>
          </cell>
          <cell r="J1691">
            <v>15.29561867</v>
          </cell>
          <cell r="K1691">
            <v>16.29561867</v>
          </cell>
          <cell r="L1691">
            <v>0.52005528689407499</v>
          </cell>
          <cell r="M1691">
            <v>16.815673956894098</v>
          </cell>
          <cell r="N1691">
            <v>0.16393442622950799</v>
          </cell>
          <cell r="O1691">
            <v>0</v>
          </cell>
          <cell r="P1691">
            <v>0.39344262295082</v>
          </cell>
          <cell r="Q1691">
            <v>0.92307692307692302</v>
          </cell>
          <cell r="R1691">
            <v>0.14285714285714299</v>
          </cell>
          <cell r="S1691">
            <v>0</v>
          </cell>
        </row>
        <row r="1692">
          <cell r="A1692">
            <v>231100</v>
          </cell>
          <cell r="B1692">
            <v>6</v>
          </cell>
          <cell r="C1692">
            <v>9</v>
          </cell>
          <cell r="D1692">
            <v>2</v>
          </cell>
          <cell r="E1692" t="str">
            <v>CVCTE</v>
          </cell>
          <cell r="F1692" t="str">
            <v>South Central</v>
          </cell>
          <cell r="G1692">
            <v>0</v>
          </cell>
          <cell r="H1692">
            <v>1</v>
          </cell>
          <cell r="I1692">
            <v>284.26299999999998</v>
          </cell>
          <cell r="J1692">
            <v>256.28183023999998</v>
          </cell>
          <cell r="K1692">
            <v>279.28183023999998</v>
          </cell>
          <cell r="L1692">
            <v>4.9849173714362696</v>
          </cell>
          <cell r="M1692">
            <v>284.26674761143602</v>
          </cell>
          <cell r="N1692">
            <v>0.16393442622950799</v>
          </cell>
          <cell r="O1692">
            <v>0</v>
          </cell>
          <cell r="P1692">
            <v>0.39344262295082</v>
          </cell>
          <cell r="Q1692">
            <v>0.92307692307692302</v>
          </cell>
          <cell r="R1692">
            <v>0.14285714285714299</v>
          </cell>
          <cell r="S1692">
            <v>7</v>
          </cell>
        </row>
        <row r="1693">
          <cell r="A1693">
            <v>231710</v>
          </cell>
          <cell r="B1693">
            <v>6</v>
          </cell>
          <cell r="C1693">
            <v>9</v>
          </cell>
          <cell r="D1693">
            <v>2</v>
          </cell>
          <cell r="E1693" t="str">
            <v>CVCTE</v>
          </cell>
          <cell r="F1693" t="str">
            <v>Vermont Square</v>
          </cell>
          <cell r="G1693">
            <v>0</v>
          </cell>
          <cell r="H1693">
            <v>0</v>
          </cell>
          <cell r="I1693">
            <v>78.328999999999994</v>
          </cell>
          <cell r="J1693">
            <v>43.627781679999998</v>
          </cell>
          <cell r="K1693">
            <v>76.627781679999998</v>
          </cell>
          <cell r="L1693">
            <v>1.70172829685817</v>
          </cell>
          <cell r="M1693">
            <v>78.329509976858205</v>
          </cell>
          <cell r="N1693">
            <v>0.16393442622950799</v>
          </cell>
          <cell r="O1693">
            <v>0</v>
          </cell>
          <cell r="P1693">
            <v>0.39344262295082</v>
          </cell>
          <cell r="Q1693">
            <v>0.92307692307692302</v>
          </cell>
          <cell r="R1693">
            <v>0.14285714285714299</v>
          </cell>
          <cell r="S1693">
            <v>0</v>
          </cell>
        </row>
        <row r="1694">
          <cell r="A1694">
            <v>231720</v>
          </cell>
          <cell r="B1694">
            <v>6</v>
          </cell>
          <cell r="C1694">
            <v>9</v>
          </cell>
          <cell r="D1694">
            <v>2</v>
          </cell>
          <cell r="E1694" t="str">
            <v>CVCTE</v>
          </cell>
          <cell r="F1694" t="str">
            <v>Vermont Square</v>
          </cell>
          <cell r="G1694">
            <v>0</v>
          </cell>
          <cell r="H1694">
            <v>0</v>
          </cell>
          <cell r="I1694">
            <v>40.186999999999998</v>
          </cell>
          <cell r="J1694">
            <v>33.640319290000001</v>
          </cell>
          <cell r="K1694">
            <v>39.640319290000001</v>
          </cell>
          <cell r="L1694">
            <v>0.54632129351885095</v>
          </cell>
          <cell r="M1694">
            <v>40.186640583518901</v>
          </cell>
          <cell r="N1694">
            <v>0.16393442622950799</v>
          </cell>
          <cell r="O1694">
            <v>0</v>
          </cell>
          <cell r="P1694">
            <v>0.39344262295082</v>
          </cell>
          <cell r="Q1694">
            <v>0.92307692307692302</v>
          </cell>
          <cell r="R1694">
            <v>0.14285714285714299</v>
          </cell>
          <cell r="S1694">
            <v>0</v>
          </cell>
        </row>
        <row r="1695">
          <cell r="A1695">
            <v>231900</v>
          </cell>
          <cell r="B1695">
            <v>6</v>
          </cell>
          <cell r="C1695">
            <v>9</v>
          </cell>
          <cell r="D1695">
            <v>2</v>
          </cell>
          <cell r="E1695" t="str">
            <v>CVCTE</v>
          </cell>
          <cell r="F1695" t="str">
            <v>South Park</v>
          </cell>
          <cell r="G1695">
            <v>1</v>
          </cell>
          <cell r="H1695">
            <v>1</v>
          </cell>
          <cell r="I1695">
            <v>109.708</v>
          </cell>
          <cell r="J1695">
            <v>60.102999769999997</v>
          </cell>
          <cell r="K1695">
            <v>108.10299977</v>
          </cell>
          <cell r="L1695">
            <v>1.60520784123878</v>
          </cell>
          <cell r="M1695">
            <v>109.708207611239</v>
          </cell>
          <cell r="N1695">
            <v>0.16393442622950799</v>
          </cell>
          <cell r="O1695">
            <v>6.1</v>
          </cell>
          <cell r="P1695">
            <v>0.39344262295082</v>
          </cell>
          <cell r="Q1695">
            <v>0.92307692307692302</v>
          </cell>
        </row>
        <row r="1696">
          <cell r="A1696">
            <v>232120</v>
          </cell>
          <cell r="B1696">
            <v>6</v>
          </cell>
          <cell r="C1696">
            <v>9</v>
          </cell>
          <cell r="D1696">
            <v>2</v>
          </cell>
          <cell r="E1696" t="str">
            <v>CVCTE</v>
          </cell>
          <cell r="F1696" t="str">
            <v>Vermont Square</v>
          </cell>
          <cell r="G1696">
            <v>0</v>
          </cell>
          <cell r="H1696">
            <v>0</v>
          </cell>
          <cell r="I1696">
            <v>69.307000000000002</v>
          </cell>
          <cell r="J1696">
            <v>50.40338955</v>
          </cell>
          <cell r="K1696">
            <v>68.40338955</v>
          </cell>
          <cell r="L1696">
            <v>0.90365864847396804</v>
          </cell>
          <cell r="M1696">
            <v>69.307048198474007</v>
          </cell>
          <cell r="N1696">
            <v>0.16393442622950799</v>
          </cell>
          <cell r="O1696">
            <v>0</v>
          </cell>
          <cell r="P1696">
            <v>0.39344262295082</v>
          </cell>
          <cell r="Q1696">
            <v>0.92307692307692302</v>
          </cell>
          <cell r="R1696">
            <v>0.14285714285714299</v>
          </cell>
          <cell r="S1696">
            <v>0</v>
          </cell>
        </row>
        <row r="1697">
          <cell r="A1697">
            <v>232800</v>
          </cell>
          <cell r="B1697">
            <v>6</v>
          </cell>
          <cell r="C1697">
            <v>9</v>
          </cell>
          <cell r="D1697">
            <v>2</v>
          </cell>
          <cell r="E1697" t="str">
            <v>CVCTE</v>
          </cell>
          <cell r="F1697" t="str">
            <v>South Park</v>
          </cell>
          <cell r="G1697">
            <v>0</v>
          </cell>
          <cell r="H1697">
            <v>0</v>
          </cell>
          <cell r="I1697">
            <v>98.090999999999994</v>
          </cell>
          <cell r="J1697">
            <v>78.029837729999997</v>
          </cell>
          <cell r="K1697">
            <v>96.029837729999997</v>
          </cell>
          <cell r="L1697">
            <v>2.0613702334829398</v>
          </cell>
          <cell r="M1697">
            <v>98.091207963482901</v>
          </cell>
          <cell r="N1697">
            <v>0.16393442622950799</v>
          </cell>
          <cell r="O1697">
            <v>0</v>
          </cell>
          <cell r="P1697">
            <v>0.39344262295082</v>
          </cell>
          <cell r="Q1697">
            <v>0.92307692307692302</v>
          </cell>
          <cell r="R1697">
            <v>0.14285714285714299</v>
          </cell>
          <cell r="S1697">
            <v>0</v>
          </cell>
        </row>
        <row r="1698">
          <cell r="A1698">
            <v>237102</v>
          </cell>
          <cell r="B1698">
            <v>6</v>
          </cell>
          <cell r="C1698">
            <v>9</v>
          </cell>
          <cell r="D1698">
            <v>2</v>
          </cell>
          <cell r="E1698" t="str">
            <v>CVCTE</v>
          </cell>
          <cell r="F1698" t="str">
            <v>Vermont Square</v>
          </cell>
          <cell r="G1698">
            <v>0</v>
          </cell>
          <cell r="H1698">
            <v>0</v>
          </cell>
          <cell r="I1698">
            <v>75.424999999999997</v>
          </cell>
          <cell r="J1698">
            <v>52.087479360000003</v>
          </cell>
          <cell r="K1698">
            <v>74.087479360000003</v>
          </cell>
          <cell r="L1698">
            <v>1.3361601024596099</v>
          </cell>
          <cell r="M1698">
            <v>75.423639462459604</v>
          </cell>
          <cell r="N1698">
            <v>0.16393442622950799</v>
          </cell>
          <cell r="O1698">
            <v>0</v>
          </cell>
          <cell r="P1698">
            <v>0.39344262295082</v>
          </cell>
          <cell r="Q1698">
            <v>0.92307692307692302</v>
          </cell>
          <cell r="R1698">
            <v>0.14285714285714299</v>
          </cell>
          <cell r="S1698">
            <v>0</v>
          </cell>
        </row>
        <row r="1699">
          <cell r="A1699">
            <v>239201</v>
          </cell>
          <cell r="B1699">
            <v>6</v>
          </cell>
          <cell r="C1699">
            <v>9</v>
          </cell>
          <cell r="D1699">
            <v>2</v>
          </cell>
          <cell r="E1699" t="str">
            <v>CVCTE</v>
          </cell>
          <cell r="F1699" t="str">
            <v>South Park</v>
          </cell>
          <cell r="G1699">
            <v>0</v>
          </cell>
          <cell r="H1699">
            <v>0</v>
          </cell>
          <cell r="I1699">
            <v>88.162999999999997</v>
          </cell>
          <cell r="J1699">
            <v>66.174044330000001</v>
          </cell>
          <cell r="K1699">
            <v>86.174044330000001</v>
          </cell>
          <cell r="L1699">
            <v>1.9876114341831199</v>
          </cell>
          <cell r="M1699">
            <v>88.161655764183095</v>
          </cell>
          <cell r="N1699">
            <v>0.16393442622950799</v>
          </cell>
          <cell r="O1699">
            <v>0</v>
          </cell>
          <cell r="P1699">
            <v>0.39344262295082</v>
          </cell>
          <cell r="Q1699">
            <v>0.92307692307692302</v>
          </cell>
          <cell r="R1699">
            <v>0.14285714285714299</v>
          </cell>
          <cell r="S1699">
            <v>0</v>
          </cell>
        </row>
        <row r="1700">
          <cell r="A1700">
            <v>239330</v>
          </cell>
          <cell r="B1700">
            <v>6</v>
          </cell>
          <cell r="C1700">
            <v>9</v>
          </cell>
          <cell r="D1700">
            <v>2</v>
          </cell>
          <cell r="E1700" t="str">
            <v>CVCTE</v>
          </cell>
          <cell r="F1700" t="str">
            <v>South Park</v>
          </cell>
          <cell r="G1700">
            <v>0</v>
          </cell>
          <cell r="H1700">
            <v>1</v>
          </cell>
          <cell r="I1700">
            <v>17.065000000000001</v>
          </cell>
          <cell r="J1700">
            <v>11.35769487</v>
          </cell>
          <cell r="K1700">
            <v>16.35769487</v>
          </cell>
          <cell r="L1700">
            <v>0.70731501305206501</v>
          </cell>
          <cell r="M1700">
            <v>17.065009883052099</v>
          </cell>
          <cell r="N1700">
            <v>0.16393442622950799</v>
          </cell>
          <cell r="O1700">
            <v>0</v>
          </cell>
          <cell r="P1700">
            <v>0.39344262295082</v>
          </cell>
          <cell r="Q1700">
            <v>0.92307692307692302</v>
          </cell>
          <cell r="R1700">
            <v>0.14285714285714299</v>
          </cell>
          <cell r="S1700">
            <v>7</v>
          </cell>
        </row>
        <row r="1701">
          <cell r="A1701">
            <v>240010</v>
          </cell>
          <cell r="B1701">
            <v>6</v>
          </cell>
          <cell r="C1701">
            <v>9</v>
          </cell>
          <cell r="D1701">
            <v>2</v>
          </cell>
          <cell r="E1701" t="str">
            <v>CVCTE</v>
          </cell>
          <cell r="F1701" t="str">
            <v>Green Meadows</v>
          </cell>
          <cell r="G1701">
            <v>0</v>
          </cell>
          <cell r="H1701">
            <v>0</v>
          </cell>
          <cell r="I1701">
            <v>7.2759999999999998</v>
          </cell>
          <cell r="J1701">
            <v>4.8620928000000001</v>
          </cell>
          <cell r="K1701">
            <v>6.8620928000000001</v>
          </cell>
          <cell r="L1701">
            <v>0.414076613662478</v>
          </cell>
          <cell r="M1701">
            <v>7.2761694136624797</v>
          </cell>
          <cell r="N1701">
            <v>0.16393442622950799</v>
          </cell>
          <cell r="O1701">
            <v>0</v>
          </cell>
          <cell r="P1701">
            <v>0.39344262295082</v>
          </cell>
          <cell r="Q1701">
            <v>0.92307692307692302</v>
          </cell>
          <cell r="R1701">
            <v>0.14285714285714299</v>
          </cell>
          <cell r="S1701">
            <v>0</v>
          </cell>
        </row>
        <row r="1702">
          <cell r="A1702">
            <v>239702</v>
          </cell>
          <cell r="B1702">
            <v>6</v>
          </cell>
          <cell r="C1702">
            <v>9</v>
          </cell>
          <cell r="D1702">
            <v>2</v>
          </cell>
          <cell r="E1702" t="str">
            <v>CVCTE</v>
          </cell>
          <cell r="F1702" t="str">
            <v>South Park</v>
          </cell>
          <cell r="G1702">
            <v>0</v>
          </cell>
          <cell r="H1702">
            <v>0</v>
          </cell>
          <cell r="I1702">
            <v>62.31</v>
          </cell>
          <cell r="J1702">
            <v>47.155077640000002</v>
          </cell>
          <cell r="K1702">
            <v>61.155077640000002</v>
          </cell>
          <cell r="L1702">
            <v>1.1544229305026901</v>
          </cell>
          <cell r="M1702">
            <v>62.309500570502699</v>
          </cell>
          <cell r="N1702">
            <v>0.16393442622950799</v>
          </cell>
          <cell r="O1702">
            <v>0</v>
          </cell>
          <cell r="P1702">
            <v>0.39344262295082</v>
          </cell>
          <cell r="Q1702">
            <v>0.92307692307692302</v>
          </cell>
          <cell r="R1702">
            <v>0.14285714285714299</v>
          </cell>
          <cell r="S1702">
            <v>0</v>
          </cell>
        </row>
        <row r="1703">
          <cell r="A1703">
            <v>232700</v>
          </cell>
          <cell r="B1703">
            <v>6</v>
          </cell>
          <cell r="C1703">
            <v>9</v>
          </cell>
          <cell r="D1703">
            <v>2</v>
          </cell>
          <cell r="E1703" t="str">
            <v>CVCTE</v>
          </cell>
          <cell r="F1703" t="str">
            <v>Vermont Square</v>
          </cell>
          <cell r="G1703">
            <v>0</v>
          </cell>
          <cell r="H1703">
            <v>0</v>
          </cell>
          <cell r="I1703">
            <v>102.93600000000001</v>
          </cell>
          <cell r="J1703">
            <v>85.186727559999994</v>
          </cell>
          <cell r="K1703">
            <v>101.18672755999999</v>
          </cell>
          <cell r="L1703">
            <v>1.7488905404308801</v>
          </cell>
          <cell r="M1703">
            <v>102.935618100431</v>
          </cell>
          <cell r="N1703">
            <v>0.16393442622950799</v>
          </cell>
          <cell r="O1703">
            <v>0</v>
          </cell>
          <cell r="P1703">
            <v>0.39344262295082</v>
          </cell>
          <cell r="Q1703">
            <v>0.92307692307692302</v>
          </cell>
          <cell r="R1703">
            <v>0.14285714285714299</v>
          </cell>
          <cell r="S1703">
            <v>0</v>
          </cell>
        </row>
        <row r="1704">
          <cell r="A1704">
            <v>229300</v>
          </cell>
          <cell r="B1704">
            <v>6</v>
          </cell>
          <cell r="C1704">
            <v>9</v>
          </cell>
          <cell r="D1704">
            <v>2</v>
          </cell>
          <cell r="E1704" t="str">
            <v>CVCTE</v>
          </cell>
          <cell r="F1704" t="str">
            <v>South Park</v>
          </cell>
          <cell r="G1704">
            <v>0</v>
          </cell>
          <cell r="H1704">
            <v>0</v>
          </cell>
          <cell r="I1704">
            <v>12.302</v>
          </cell>
          <cell r="J1704">
            <v>6.8891605699999996</v>
          </cell>
          <cell r="K1704">
            <v>11.88916057</v>
          </cell>
          <cell r="L1704">
            <v>0.412595628096948</v>
          </cell>
          <cell r="M1704">
            <v>12.3017561980969</v>
          </cell>
          <cell r="N1704">
            <v>0.16393442622950799</v>
          </cell>
          <cell r="O1704">
            <v>0</v>
          </cell>
          <cell r="P1704">
            <v>0.39344262295082</v>
          </cell>
          <cell r="Q1704">
            <v>0.92307692307692302</v>
          </cell>
          <cell r="R1704">
            <v>0.14285714285714299</v>
          </cell>
          <cell r="S1704">
            <v>0</v>
          </cell>
        </row>
        <row r="1705">
          <cell r="A1705">
            <v>228500</v>
          </cell>
          <cell r="B1705">
            <v>6</v>
          </cell>
          <cell r="C1705">
            <v>9</v>
          </cell>
          <cell r="D1705">
            <v>2</v>
          </cell>
          <cell r="E1705" t="str">
            <v>CVCTE</v>
          </cell>
          <cell r="F1705" t="str">
            <v>South Park</v>
          </cell>
          <cell r="G1705">
            <v>0</v>
          </cell>
          <cell r="H1705">
            <v>1</v>
          </cell>
          <cell r="I1705">
            <v>72.584999999999994</v>
          </cell>
          <cell r="J1705">
            <v>29.210451710000001</v>
          </cell>
          <cell r="K1705">
            <v>71.210451710000001</v>
          </cell>
          <cell r="L1705">
            <v>1.3744892577019701</v>
          </cell>
          <cell r="M1705">
            <v>72.584940967701996</v>
          </cell>
          <cell r="N1705">
            <v>0.16393442622950799</v>
          </cell>
          <cell r="O1705">
            <v>0</v>
          </cell>
          <cell r="P1705">
            <v>0.39344262295082</v>
          </cell>
          <cell r="Q1705">
            <v>0.92307692307692302</v>
          </cell>
          <cell r="R1705">
            <v>0.14285714285714299</v>
          </cell>
          <cell r="S1705">
            <v>7</v>
          </cell>
        </row>
        <row r="1706">
          <cell r="A1706">
            <v>222700</v>
          </cell>
          <cell r="B1706">
            <v>6</v>
          </cell>
          <cell r="C1706">
            <v>9</v>
          </cell>
          <cell r="D1706">
            <v>2</v>
          </cell>
          <cell r="E1706" t="str">
            <v>FAMILY</v>
          </cell>
          <cell r="F1706" t="str">
            <v>Adams</v>
          </cell>
          <cell r="G1706">
            <v>1</v>
          </cell>
          <cell r="H1706">
            <v>1</v>
          </cell>
          <cell r="I1706">
            <v>100.393</v>
          </cell>
          <cell r="J1706">
            <v>86.007981959999995</v>
          </cell>
          <cell r="K1706">
            <v>98.007981959999995</v>
          </cell>
          <cell r="L1706">
            <v>4.3852899474147202</v>
          </cell>
          <cell r="M1706">
            <v>102.393271907415</v>
          </cell>
          <cell r="N1706">
            <v>1</v>
          </cell>
          <cell r="O1706">
            <v>1</v>
          </cell>
        </row>
        <row r="1707">
          <cell r="A1707">
            <v>239202</v>
          </cell>
          <cell r="B1707">
            <v>6</v>
          </cell>
          <cell r="C1707">
            <v>9</v>
          </cell>
          <cell r="D1707">
            <v>2</v>
          </cell>
          <cell r="E1707" t="str">
            <v>FAMILY</v>
          </cell>
          <cell r="F1707" t="str">
            <v>South Park</v>
          </cell>
          <cell r="G1707">
            <v>1</v>
          </cell>
          <cell r="H1707">
            <v>1</v>
          </cell>
          <cell r="I1707">
            <v>61.612000000000002</v>
          </cell>
          <cell r="J1707">
            <v>53.260800979999999</v>
          </cell>
          <cell r="K1707">
            <v>59.260800979999999</v>
          </cell>
          <cell r="L1707">
            <v>2.3515825142190301</v>
          </cell>
          <cell r="M1707">
            <v>61.612383494219003</v>
          </cell>
          <cell r="N1707">
            <v>1</v>
          </cell>
          <cell r="O1707">
            <v>1</v>
          </cell>
        </row>
        <row r="1708">
          <cell r="A1708">
            <v>239701</v>
          </cell>
          <cell r="B1708">
            <v>6</v>
          </cell>
          <cell r="C1708">
            <v>9</v>
          </cell>
          <cell r="D1708">
            <v>2</v>
          </cell>
          <cell r="E1708" t="str">
            <v>INDIV</v>
          </cell>
          <cell r="F1708" t="str">
            <v>South Park</v>
          </cell>
          <cell r="G1708">
            <v>0</v>
          </cell>
          <cell r="H1708">
            <v>0</v>
          </cell>
          <cell r="I1708">
            <v>33.308999999999997</v>
          </cell>
          <cell r="J1708">
            <v>21.089796969999998</v>
          </cell>
          <cell r="K1708">
            <v>32.089796970000002</v>
          </cell>
          <cell r="L1708">
            <v>1.21961378718133</v>
          </cell>
          <cell r="M1708">
            <v>33.309410757181297</v>
          </cell>
          <cell r="N1708">
            <v>3.2258064516128997E-2</v>
          </cell>
          <cell r="O1708">
            <v>0</v>
          </cell>
          <cell r="P1708">
            <v>0.35483870967741898</v>
          </cell>
          <cell r="Q1708">
            <v>1</v>
          </cell>
        </row>
        <row r="1709">
          <cell r="A1709">
            <v>232300</v>
          </cell>
          <cell r="B1709">
            <v>6</v>
          </cell>
          <cell r="C1709">
            <v>9</v>
          </cell>
          <cell r="D1709">
            <v>2</v>
          </cell>
          <cell r="E1709" t="str">
            <v>INDIV</v>
          </cell>
          <cell r="F1709" t="str">
            <v>Vermont Square</v>
          </cell>
          <cell r="G1709">
            <v>0</v>
          </cell>
          <cell r="H1709">
            <v>0</v>
          </cell>
          <cell r="I1709">
            <v>14.686</v>
          </cell>
          <cell r="J1709">
            <v>3.4228962300000001</v>
          </cell>
          <cell r="K1709">
            <v>14.422896229999999</v>
          </cell>
          <cell r="L1709">
            <v>0.26262460752244199</v>
          </cell>
          <cell r="M1709">
            <v>14.6855208375224</v>
          </cell>
          <cell r="N1709">
            <v>3.2258064516128997E-2</v>
          </cell>
          <cell r="O1709">
            <v>0</v>
          </cell>
          <cell r="P1709">
            <v>0.35483870967741898</v>
          </cell>
          <cell r="Q1709">
            <v>1</v>
          </cell>
        </row>
        <row r="1710">
          <cell r="A1710">
            <v>226420</v>
          </cell>
          <cell r="B1710">
            <v>6</v>
          </cell>
          <cell r="C1710">
            <v>9</v>
          </cell>
          <cell r="D1710">
            <v>2</v>
          </cell>
          <cell r="E1710" t="str">
            <v>INDIV</v>
          </cell>
          <cell r="F1710" t="str">
            <v>South Central</v>
          </cell>
          <cell r="G1710">
            <v>0</v>
          </cell>
          <cell r="H1710">
            <v>0</v>
          </cell>
          <cell r="I1710">
            <v>14.207000000000001</v>
          </cell>
          <cell r="J1710">
            <v>4.9054609100000004</v>
          </cell>
          <cell r="K1710">
            <v>13.90546091</v>
          </cell>
          <cell r="L1710">
            <v>0.30142302671454202</v>
          </cell>
          <cell r="M1710">
            <v>14.206883936714499</v>
          </cell>
          <cell r="N1710">
            <v>3.2258064516128997E-2</v>
          </cell>
          <cell r="O1710">
            <v>0</v>
          </cell>
          <cell r="P1710">
            <v>0.35483870967741898</v>
          </cell>
          <cell r="Q1710">
            <v>1</v>
          </cell>
        </row>
        <row r="1711">
          <cell r="A1711">
            <v>226700</v>
          </cell>
          <cell r="B1711">
            <v>6</v>
          </cell>
          <cell r="C1711">
            <v>9</v>
          </cell>
          <cell r="D1711">
            <v>2</v>
          </cell>
          <cell r="E1711" t="str">
            <v>INDIV</v>
          </cell>
          <cell r="F1711" t="str">
            <v>South Central</v>
          </cell>
          <cell r="G1711">
            <v>1</v>
          </cell>
          <cell r="H1711">
            <v>1</v>
          </cell>
          <cell r="I1711">
            <v>31.018000000000001</v>
          </cell>
          <cell r="J1711">
            <v>20.90957676</v>
          </cell>
          <cell r="K1711">
            <v>29.90957676</v>
          </cell>
          <cell r="L1711">
            <v>1.10782680991023</v>
          </cell>
          <cell r="M1711">
            <v>31.017403569910201</v>
          </cell>
          <cell r="N1711">
            <v>3.2258064516128997E-2</v>
          </cell>
          <cell r="O1711">
            <v>31</v>
          </cell>
          <cell r="P1711">
            <v>0.35483870967741898</v>
          </cell>
          <cell r="Q1711">
            <v>1</v>
          </cell>
        </row>
        <row r="1712">
          <cell r="A1712">
            <v>227010</v>
          </cell>
          <cell r="B1712">
            <v>6</v>
          </cell>
          <cell r="C1712">
            <v>9</v>
          </cell>
          <cell r="D1712">
            <v>2</v>
          </cell>
          <cell r="E1712" t="str">
            <v>INDIV</v>
          </cell>
          <cell r="F1712" t="str">
            <v>South Central</v>
          </cell>
          <cell r="G1712">
            <v>0</v>
          </cell>
          <cell r="H1712">
            <v>0</v>
          </cell>
          <cell r="I1712">
            <v>37.906999999999996</v>
          </cell>
          <cell r="J1712">
            <v>25.97780998</v>
          </cell>
          <cell r="K1712">
            <v>36.977809980000004</v>
          </cell>
          <cell r="L1712">
            <v>0.928410997271095</v>
          </cell>
          <cell r="M1712">
            <v>37.906220977271097</v>
          </cell>
          <cell r="N1712">
            <v>3.2258064516128997E-2</v>
          </cell>
          <cell r="O1712">
            <v>0</v>
          </cell>
          <cell r="P1712">
            <v>0.35483870967741898</v>
          </cell>
          <cell r="Q1712">
            <v>1</v>
          </cell>
        </row>
        <row r="1713">
          <cell r="A1713">
            <v>228320</v>
          </cell>
          <cell r="B1713">
            <v>6</v>
          </cell>
          <cell r="C1713">
            <v>9</v>
          </cell>
          <cell r="D1713">
            <v>2</v>
          </cell>
          <cell r="E1713" t="str">
            <v>INDIV</v>
          </cell>
          <cell r="F1713" t="str">
            <v>South Park</v>
          </cell>
          <cell r="G1713">
            <v>0</v>
          </cell>
          <cell r="H1713">
            <v>0</v>
          </cell>
          <cell r="I1713">
            <v>22.422000000000001</v>
          </cell>
          <cell r="J1713">
            <v>18.652225820000002</v>
          </cell>
          <cell r="K1713">
            <v>21.652225820000002</v>
          </cell>
          <cell r="L1713">
            <v>0.76944321308797103</v>
          </cell>
          <cell r="M1713">
            <v>22.421669033088001</v>
          </cell>
          <cell r="N1713">
            <v>3.2258064516128997E-2</v>
          </cell>
          <cell r="O1713">
            <v>0</v>
          </cell>
          <cell r="P1713">
            <v>0.35483870967741898</v>
          </cell>
          <cell r="Q1713">
            <v>1</v>
          </cell>
        </row>
        <row r="1714">
          <cell r="A1714">
            <v>231220</v>
          </cell>
          <cell r="B1714">
            <v>6</v>
          </cell>
          <cell r="C1714">
            <v>9</v>
          </cell>
          <cell r="D1714">
            <v>2</v>
          </cell>
          <cell r="E1714" t="str">
            <v>INDIV</v>
          </cell>
          <cell r="F1714" t="str">
            <v>Adams</v>
          </cell>
          <cell r="G1714">
            <v>0</v>
          </cell>
          <cell r="H1714">
            <v>0</v>
          </cell>
          <cell r="I1714">
            <v>29.759</v>
          </cell>
          <cell r="J1714">
            <v>15.869597280000001</v>
          </cell>
          <cell r="K1714">
            <v>28.869597280000001</v>
          </cell>
          <cell r="L1714">
            <v>0.88938081105924605</v>
          </cell>
          <cell r="M1714">
            <v>29.758978091059198</v>
          </cell>
          <cell r="N1714">
            <v>3.2258064516128997E-2</v>
          </cell>
          <cell r="O1714">
            <v>0</v>
          </cell>
          <cell r="P1714">
            <v>0.35483870967741898</v>
          </cell>
          <cell r="Q1714">
            <v>1</v>
          </cell>
        </row>
        <row r="1715">
          <cell r="A1715">
            <v>232110</v>
          </cell>
          <cell r="B1715">
            <v>6</v>
          </cell>
          <cell r="C1715">
            <v>9</v>
          </cell>
          <cell r="D1715">
            <v>2</v>
          </cell>
          <cell r="E1715" t="str">
            <v>INDIV</v>
          </cell>
          <cell r="F1715" t="str">
            <v>Vermont Square</v>
          </cell>
          <cell r="G1715">
            <v>0</v>
          </cell>
          <cell r="H1715">
            <v>0</v>
          </cell>
          <cell r="I1715">
            <v>25.605</v>
          </cell>
          <cell r="J1715">
            <v>11.33635159</v>
          </cell>
          <cell r="K1715">
            <v>25.33635159</v>
          </cell>
          <cell r="L1715">
            <v>0.26865939999999999</v>
          </cell>
          <cell r="M1715">
            <v>25.60501099</v>
          </cell>
          <cell r="N1715">
            <v>3.2258064516128997E-2</v>
          </cell>
          <cell r="O1715">
            <v>0</v>
          </cell>
          <cell r="P1715">
            <v>0.35483870967741898</v>
          </cell>
          <cell r="Q1715">
            <v>1</v>
          </cell>
        </row>
        <row r="1716">
          <cell r="A1716">
            <v>237201</v>
          </cell>
          <cell r="B1716">
            <v>6</v>
          </cell>
          <cell r="C1716">
            <v>9</v>
          </cell>
          <cell r="D1716">
            <v>2</v>
          </cell>
          <cell r="E1716" t="str">
            <v>INDIV</v>
          </cell>
          <cell r="F1716" t="str">
            <v>Vermont Square</v>
          </cell>
          <cell r="G1716">
            <v>0</v>
          </cell>
          <cell r="H1716">
            <v>0</v>
          </cell>
          <cell r="I1716">
            <v>41.734000000000002</v>
          </cell>
          <cell r="J1716">
            <v>12.60257874</v>
          </cell>
          <cell r="K1716">
            <v>40.602578739999998</v>
          </cell>
          <cell r="L1716">
            <v>1.13105723960503</v>
          </cell>
          <cell r="M1716">
            <v>41.733635979604998</v>
          </cell>
          <cell r="N1716">
            <v>3.2258064516128997E-2</v>
          </cell>
          <cell r="O1716">
            <v>0</v>
          </cell>
          <cell r="P1716">
            <v>0.35483870967741898</v>
          </cell>
          <cell r="Q1716">
            <v>1</v>
          </cell>
        </row>
        <row r="1717">
          <cell r="A1717">
            <v>239601</v>
          </cell>
          <cell r="B1717">
            <v>6</v>
          </cell>
          <cell r="C1717">
            <v>9</v>
          </cell>
          <cell r="D1717">
            <v>2</v>
          </cell>
          <cell r="E1717" t="str">
            <v>INDIV</v>
          </cell>
          <cell r="F1717" t="str">
            <v>South Park</v>
          </cell>
          <cell r="G1717">
            <v>0</v>
          </cell>
          <cell r="H1717">
            <v>0</v>
          </cell>
          <cell r="I1717">
            <v>33.75</v>
          </cell>
          <cell r="J1717">
            <v>18.266599660000001</v>
          </cell>
          <cell r="K1717">
            <v>33.266599659999997</v>
          </cell>
          <cell r="L1717">
            <v>0.48285398206463198</v>
          </cell>
          <cell r="M1717">
            <v>33.749453642064601</v>
          </cell>
          <cell r="N1717">
            <v>3.2258064516128997E-2</v>
          </cell>
          <cell r="O1717">
            <v>0</v>
          </cell>
          <cell r="P1717">
            <v>0.35483870967741898</v>
          </cell>
          <cell r="Q1717">
            <v>1</v>
          </cell>
        </row>
        <row r="1718">
          <cell r="A1718">
            <v>239602</v>
          </cell>
          <cell r="B1718">
            <v>6</v>
          </cell>
          <cell r="C1718">
            <v>9</v>
          </cell>
          <cell r="D1718">
            <v>2</v>
          </cell>
          <cell r="E1718" t="str">
            <v>INDIV</v>
          </cell>
          <cell r="F1718" t="str">
            <v>South Park</v>
          </cell>
          <cell r="G1718">
            <v>0</v>
          </cell>
          <cell r="H1718">
            <v>0</v>
          </cell>
          <cell r="I1718">
            <v>50.962000000000003</v>
          </cell>
          <cell r="J1718">
            <v>23.101713289999999</v>
          </cell>
          <cell r="K1718">
            <v>50.101713289999999</v>
          </cell>
          <cell r="L1718">
            <v>0.85987689495511699</v>
          </cell>
          <cell r="M1718">
            <v>50.961590184955099</v>
          </cell>
          <cell r="N1718">
            <v>3.2258064516128997E-2</v>
          </cell>
          <cell r="O1718">
            <v>0</v>
          </cell>
          <cell r="P1718">
            <v>0.35483870967741898</v>
          </cell>
          <cell r="Q1718">
            <v>1</v>
          </cell>
        </row>
        <row r="1719">
          <cell r="A1719">
            <v>239802</v>
          </cell>
          <cell r="B1719">
            <v>6</v>
          </cell>
          <cell r="C1719">
            <v>9</v>
          </cell>
          <cell r="D1719">
            <v>2</v>
          </cell>
          <cell r="E1719" t="str">
            <v>NON-HS</v>
          </cell>
          <cell r="F1719" t="str">
            <v>South Park</v>
          </cell>
          <cell r="G1719">
            <v>0</v>
          </cell>
          <cell r="H1719">
            <v>0</v>
          </cell>
          <cell r="I1719">
            <v>19.777999999999999</v>
          </cell>
          <cell r="J1719">
            <v>11.10712738</v>
          </cell>
          <cell r="K1719">
            <v>19.107127380000001</v>
          </cell>
          <cell r="L1719">
            <v>0.67112792195691195</v>
          </cell>
          <cell r="M1719">
            <v>19.7782553019569</v>
          </cell>
          <cell r="N1719">
            <v>2.34375E-2</v>
          </cell>
          <cell r="O1719">
            <v>0</v>
          </cell>
          <cell r="P1719">
            <v>0.1796875</v>
          </cell>
          <cell r="Q1719">
            <v>1</v>
          </cell>
        </row>
        <row r="1720">
          <cell r="A1720">
            <v>237101</v>
          </cell>
          <cell r="B1720">
            <v>6</v>
          </cell>
          <cell r="C1720">
            <v>9</v>
          </cell>
          <cell r="D1720">
            <v>2</v>
          </cell>
          <cell r="E1720" t="str">
            <v>NON-HS</v>
          </cell>
          <cell r="F1720" t="str">
            <v>Vermont Square</v>
          </cell>
          <cell r="G1720">
            <v>0</v>
          </cell>
          <cell r="H1720">
            <v>0</v>
          </cell>
          <cell r="I1720">
            <v>12.308999999999999</v>
          </cell>
          <cell r="J1720">
            <v>7.0794150699999996</v>
          </cell>
          <cell r="K1720">
            <v>12.07941507</v>
          </cell>
          <cell r="L1720">
            <v>0.22914197518851001</v>
          </cell>
          <cell r="M1720">
            <v>12.3085570451885</v>
          </cell>
          <cell r="N1720">
            <v>2.34375E-2</v>
          </cell>
          <cell r="O1720">
            <v>0</v>
          </cell>
          <cell r="P1720">
            <v>0.1796875</v>
          </cell>
          <cell r="Q1720">
            <v>1</v>
          </cell>
        </row>
        <row r="1721">
          <cell r="A1721">
            <v>231600</v>
          </cell>
          <cell r="B1721">
            <v>6</v>
          </cell>
          <cell r="C1721">
            <v>9</v>
          </cell>
          <cell r="D1721">
            <v>2</v>
          </cell>
          <cell r="E1721" t="str">
            <v>NON-HS</v>
          </cell>
          <cell r="F1721" t="str">
            <v>Vermont Square</v>
          </cell>
          <cell r="G1721">
            <v>0</v>
          </cell>
          <cell r="H1721">
            <v>0</v>
          </cell>
          <cell r="I1721">
            <v>20.919</v>
          </cell>
          <cell r="J1721">
            <v>19.006474409999999</v>
          </cell>
          <cell r="K1721">
            <v>20.006474409999999</v>
          </cell>
          <cell r="L1721">
            <v>0.91261746123877896</v>
          </cell>
          <cell r="M1721">
            <v>20.919091871238798</v>
          </cell>
          <cell r="N1721">
            <v>2.34375E-2</v>
          </cell>
          <cell r="O1721">
            <v>0</v>
          </cell>
          <cell r="P1721">
            <v>0.1796875</v>
          </cell>
          <cell r="Q1721">
            <v>1</v>
          </cell>
        </row>
        <row r="1722">
          <cell r="A1722">
            <v>221820</v>
          </cell>
          <cell r="B1722">
            <v>6</v>
          </cell>
          <cell r="C1722">
            <v>9</v>
          </cell>
          <cell r="D1722">
            <v>2</v>
          </cell>
          <cell r="E1722" t="str">
            <v>NON-HS</v>
          </cell>
          <cell r="F1722" t="str">
            <v>Adams</v>
          </cell>
          <cell r="G1722">
            <v>0</v>
          </cell>
          <cell r="H1722">
            <v>0</v>
          </cell>
          <cell r="I1722">
            <v>1</v>
          </cell>
          <cell r="J1722">
            <v>0</v>
          </cell>
          <cell r="K1722">
            <v>1</v>
          </cell>
          <cell r="L1722">
            <v>0</v>
          </cell>
          <cell r="M1722">
            <v>1</v>
          </cell>
          <cell r="N1722">
            <v>2.34375E-2</v>
          </cell>
          <cell r="O1722">
            <v>0</v>
          </cell>
          <cell r="P1722">
            <v>0.1796875</v>
          </cell>
          <cell r="Q1722">
            <v>1</v>
          </cell>
        </row>
        <row r="1723">
          <cell r="A1723">
            <v>221900</v>
          </cell>
          <cell r="B1723">
            <v>6</v>
          </cell>
          <cell r="C1723">
            <v>9</v>
          </cell>
          <cell r="D1723">
            <v>2</v>
          </cell>
          <cell r="E1723" t="str">
            <v>NON-HS</v>
          </cell>
          <cell r="F1723" t="str">
            <v>Adams</v>
          </cell>
          <cell r="G1723">
            <v>1</v>
          </cell>
          <cell r="H1723">
            <v>1</v>
          </cell>
          <cell r="I1723">
            <v>2</v>
          </cell>
          <cell r="J1723">
            <v>0</v>
          </cell>
          <cell r="K1723">
            <v>2</v>
          </cell>
          <cell r="L1723">
            <v>0</v>
          </cell>
          <cell r="M1723">
            <v>2</v>
          </cell>
          <cell r="N1723">
            <v>2.34375E-2</v>
          </cell>
          <cell r="O1723">
            <v>42.6666666666667</v>
          </cell>
          <cell r="P1723">
            <v>0.1796875</v>
          </cell>
          <cell r="Q1723">
            <v>1</v>
          </cell>
        </row>
        <row r="1724">
          <cell r="A1724">
            <v>226410</v>
          </cell>
          <cell r="B1724">
            <v>6</v>
          </cell>
          <cell r="C1724">
            <v>9</v>
          </cell>
          <cell r="D1724">
            <v>2</v>
          </cell>
          <cell r="E1724" t="str">
            <v>NON-HS</v>
          </cell>
          <cell r="F1724" t="str">
            <v>South Central</v>
          </cell>
          <cell r="G1724">
            <v>0</v>
          </cell>
          <cell r="H1724">
            <v>0</v>
          </cell>
          <cell r="I1724">
            <v>21.841999999999999</v>
          </cell>
          <cell r="J1724">
            <v>14.62011511</v>
          </cell>
          <cell r="K1724">
            <v>21.62011511</v>
          </cell>
          <cell r="L1724">
            <v>0.22109598421903101</v>
          </cell>
          <cell r="M1724">
            <v>21.841211094218998</v>
          </cell>
          <cell r="N1724">
            <v>2.34375E-2</v>
          </cell>
          <cell r="O1724">
            <v>0</v>
          </cell>
          <cell r="P1724">
            <v>0.1796875</v>
          </cell>
          <cell r="Q1724">
            <v>1</v>
          </cell>
        </row>
        <row r="1725">
          <cell r="A1725">
            <v>227020</v>
          </cell>
          <cell r="B1725">
            <v>6</v>
          </cell>
          <cell r="C1725">
            <v>9</v>
          </cell>
          <cell r="D1725">
            <v>2</v>
          </cell>
          <cell r="E1725" t="str">
            <v>NON-HS</v>
          </cell>
          <cell r="F1725" t="str">
            <v>South Central</v>
          </cell>
          <cell r="G1725">
            <v>0</v>
          </cell>
          <cell r="H1725">
            <v>0</v>
          </cell>
          <cell r="I1725">
            <v>1.7030000000000001</v>
          </cell>
          <cell r="J1725">
            <v>1.6812916200000001</v>
          </cell>
          <cell r="K1725">
            <v>1.6812916200000001</v>
          </cell>
          <cell r="L1725">
            <v>2.14919317594255E-2</v>
          </cell>
          <cell r="M1725">
            <v>1.7027835517594301</v>
          </cell>
          <cell r="N1725">
            <v>2.34375E-2</v>
          </cell>
          <cell r="O1725">
            <v>0</v>
          </cell>
          <cell r="P1725">
            <v>0.1796875</v>
          </cell>
          <cell r="Q1725">
            <v>1</v>
          </cell>
        </row>
        <row r="1726">
          <cell r="A1726">
            <v>228210</v>
          </cell>
          <cell r="B1726">
            <v>6</v>
          </cell>
          <cell r="C1726">
            <v>9</v>
          </cell>
          <cell r="D1726">
            <v>2</v>
          </cell>
          <cell r="E1726" t="str">
            <v>NON-HS</v>
          </cell>
          <cell r="F1726" t="str">
            <v>South Central</v>
          </cell>
          <cell r="G1726">
            <v>0</v>
          </cell>
          <cell r="H1726">
            <v>0</v>
          </cell>
          <cell r="I1726">
            <v>4.9029999999999996</v>
          </cell>
          <cell r="J1726">
            <v>3.7168318299999998</v>
          </cell>
          <cell r="K1726">
            <v>4.7168318300000003</v>
          </cell>
          <cell r="L1726">
            <v>0.18615811166965901</v>
          </cell>
          <cell r="M1726">
            <v>4.9029899416696603</v>
          </cell>
          <cell r="N1726">
            <v>2.34375E-2</v>
          </cell>
          <cell r="O1726">
            <v>0</v>
          </cell>
          <cell r="P1726">
            <v>0.1796875</v>
          </cell>
          <cell r="Q1726">
            <v>1</v>
          </cell>
        </row>
        <row r="1727">
          <cell r="A1727">
            <v>228220</v>
          </cell>
          <cell r="B1727">
            <v>6</v>
          </cell>
          <cell r="C1727">
            <v>9</v>
          </cell>
          <cell r="D1727">
            <v>2</v>
          </cell>
          <cell r="E1727" t="str">
            <v>NON-HS</v>
          </cell>
          <cell r="F1727" t="str">
            <v>Central Alameda</v>
          </cell>
          <cell r="G1727">
            <v>0</v>
          </cell>
          <cell r="H1727">
            <v>0</v>
          </cell>
          <cell r="I1727">
            <v>26.41</v>
          </cell>
          <cell r="J1727">
            <v>19.083532380000001</v>
          </cell>
          <cell r="K1727">
            <v>25.083532380000001</v>
          </cell>
          <cell r="L1727">
            <v>1.3263712180071801</v>
          </cell>
          <cell r="M1727">
            <v>26.409903598007201</v>
          </cell>
          <cell r="N1727">
            <v>2.34375E-2</v>
          </cell>
          <cell r="O1727">
            <v>0</v>
          </cell>
          <cell r="P1727">
            <v>0.1796875</v>
          </cell>
          <cell r="Q1727">
            <v>1</v>
          </cell>
        </row>
        <row r="1728">
          <cell r="A1728">
            <v>228420</v>
          </cell>
          <cell r="B1728">
            <v>6</v>
          </cell>
          <cell r="C1728">
            <v>9</v>
          </cell>
          <cell r="D1728">
            <v>2</v>
          </cell>
          <cell r="E1728" t="str">
            <v>NON-HS</v>
          </cell>
          <cell r="F1728" t="str">
            <v>South Park</v>
          </cell>
          <cell r="G1728">
            <v>0</v>
          </cell>
          <cell r="H1728">
            <v>0</v>
          </cell>
          <cell r="I1728">
            <v>15.01</v>
          </cell>
          <cell r="J1728">
            <v>8.5001049099999992</v>
          </cell>
          <cell r="K1728">
            <v>14.500104909999999</v>
          </cell>
          <cell r="L1728">
            <v>0.50968744603231597</v>
          </cell>
          <cell r="M1728">
            <v>15.0097923560323</v>
          </cell>
          <cell r="N1728">
            <v>2.34375E-2</v>
          </cell>
          <cell r="O1728">
            <v>0</v>
          </cell>
          <cell r="P1728">
            <v>0.1796875</v>
          </cell>
          <cell r="Q1728">
            <v>1</v>
          </cell>
        </row>
        <row r="1729">
          <cell r="A1729">
            <v>228600</v>
          </cell>
          <cell r="B1729">
            <v>6</v>
          </cell>
          <cell r="C1729">
            <v>9</v>
          </cell>
          <cell r="D1729">
            <v>2</v>
          </cell>
          <cell r="E1729" t="str">
            <v>NON-HS</v>
          </cell>
          <cell r="F1729" t="str">
            <v>South Park</v>
          </cell>
          <cell r="G1729">
            <v>0</v>
          </cell>
          <cell r="H1729">
            <v>0</v>
          </cell>
          <cell r="I1729">
            <v>13.61</v>
          </cell>
          <cell r="J1729">
            <v>11.028307659999999</v>
          </cell>
          <cell r="K1729">
            <v>13.028307659999999</v>
          </cell>
          <cell r="L1729">
            <v>0.58058064265709197</v>
          </cell>
          <cell r="M1729">
            <v>13.6088883026571</v>
          </cell>
          <cell r="N1729">
            <v>2.34375E-2</v>
          </cell>
          <cell r="O1729">
            <v>0</v>
          </cell>
          <cell r="P1729">
            <v>0.1796875</v>
          </cell>
          <cell r="Q1729">
            <v>1</v>
          </cell>
        </row>
        <row r="1730">
          <cell r="A1730">
            <v>228710</v>
          </cell>
          <cell r="B1730">
            <v>6</v>
          </cell>
          <cell r="C1730">
            <v>9</v>
          </cell>
          <cell r="D1730">
            <v>2</v>
          </cell>
          <cell r="E1730" t="str">
            <v>NON-HS</v>
          </cell>
          <cell r="F1730" t="str">
            <v>Central Alameda</v>
          </cell>
          <cell r="G1730">
            <v>0</v>
          </cell>
          <cell r="H1730">
            <v>0</v>
          </cell>
          <cell r="I1730">
            <v>20.972999999999999</v>
          </cell>
          <cell r="J1730">
            <v>15.23162604</v>
          </cell>
          <cell r="K1730">
            <v>20.231626039999998</v>
          </cell>
          <cell r="L1730">
            <v>0.74118851552962295</v>
          </cell>
          <cell r="M1730">
            <v>20.972814555529599</v>
          </cell>
          <cell r="N1730">
            <v>2.34375E-2</v>
          </cell>
          <cell r="O1730">
            <v>0</v>
          </cell>
          <cell r="P1730">
            <v>0.1796875</v>
          </cell>
          <cell r="Q1730">
            <v>1</v>
          </cell>
        </row>
        <row r="1731">
          <cell r="A1731">
            <v>228720</v>
          </cell>
          <cell r="B1731">
            <v>6</v>
          </cell>
          <cell r="C1731">
            <v>9</v>
          </cell>
          <cell r="D1731">
            <v>2</v>
          </cell>
          <cell r="E1731" t="str">
            <v>NON-HS</v>
          </cell>
          <cell r="F1731" t="str">
            <v>Central Alameda</v>
          </cell>
          <cell r="G1731">
            <v>0</v>
          </cell>
          <cell r="H1731">
            <v>0</v>
          </cell>
          <cell r="I1731">
            <v>7.7770000000000001</v>
          </cell>
          <cell r="J1731">
            <v>5.7146398200000004</v>
          </cell>
          <cell r="K1731">
            <v>7.7146398200000004</v>
          </cell>
          <cell r="L1731">
            <v>6.18759662477558E-2</v>
          </cell>
          <cell r="M1731">
            <v>7.7765157862477601</v>
          </cell>
          <cell r="N1731">
            <v>2.34375E-2</v>
          </cell>
          <cell r="O1731">
            <v>0</v>
          </cell>
          <cell r="P1731">
            <v>0.1796875</v>
          </cell>
          <cell r="Q1731">
            <v>1</v>
          </cell>
        </row>
        <row r="1732">
          <cell r="A1732">
            <v>229200</v>
          </cell>
          <cell r="B1732">
            <v>6</v>
          </cell>
          <cell r="C1732">
            <v>9</v>
          </cell>
          <cell r="D1732">
            <v>2</v>
          </cell>
          <cell r="E1732" t="str">
            <v>NON-HS</v>
          </cell>
          <cell r="F1732" t="str">
            <v>South Park</v>
          </cell>
          <cell r="G1732">
            <v>0</v>
          </cell>
          <cell r="H1732">
            <v>0</v>
          </cell>
          <cell r="I1732">
            <v>25.337</v>
          </cell>
          <cell r="J1732">
            <v>21.563396839999999</v>
          </cell>
          <cell r="K1732">
            <v>24.563396839999999</v>
          </cell>
          <cell r="L1732">
            <v>0.772932649928187</v>
          </cell>
          <cell r="M1732">
            <v>25.3363294899282</v>
          </cell>
          <cell r="N1732">
            <v>2.34375E-2</v>
          </cell>
          <cell r="O1732">
            <v>0</v>
          </cell>
          <cell r="P1732">
            <v>0.1796875</v>
          </cell>
          <cell r="Q1732">
            <v>1</v>
          </cell>
        </row>
        <row r="1733">
          <cell r="A1733">
            <v>231800</v>
          </cell>
          <cell r="B1733">
            <v>6</v>
          </cell>
          <cell r="C1733">
            <v>9</v>
          </cell>
          <cell r="D1733">
            <v>2</v>
          </cell>
          <cell r="E1733" t="str">
            <v>NON-HS</v>
          </cell>
          <cell r="F1733" t="str">
            <v>South Park</v>
          </cell>
          <cell r="G1733">
            <v>0</v>
          </cell>
          <cell r="H1733">
            <v>0</v>
          </cell>
          <cell r="I1733">
            <v>24.436</v>
          </cell>
          <cell r="J1733">
            <v>21.051345990000002</v>
          </cell>
          <cell r="K1733">
            <v>24.051345990000002</v>
          </cell>
          <cell r="L1733">
            <v>0.38353020710951502</v>
          </cell>
          <cell r="M1733">
            <v>24.434876197109499</v>
          </cell>
          <cell r="N1733">
            <v>2.34375E-2</v>
          </cell>
          <cell r="O1733">
            <v>0</v>
          </cell>
          <cell r="P1733">
            <v>0.1796875</v>
          </cell>
          <cell r="Q1733">
            <v>1</v>
          </cell>
        </row>
        <row r="1734">
          <cell r="A1734">
            <v>232200</v>
          </cell>
          <cell r="B1734">
            <v>6</v>
          </cell>
          <cell r="C1734">
            <v>9</v>
          </cell>
          <cell r="D1734">
            <v>2</v>
          </cell>
          <cell r="E1734" t="str">
            <v>NON-HS</v>
          </cell>
          <cell r="F1734" t="str">
            <v>Vermont Square</v>
          </cell>
          <cell r="G1734">
            <v>0</v>
          </cell>
          <cell r="H1734">
            <v>0</v>
          </cell>
          <cell r="I1734">
            <v>12.827</v>
          </cell>
          <cell r="J1734">
            <v>11.32224326</v>
          </cell>
          <cell r="K1734">
            <v>12.32224326</v>
          </cell>
          <cell r="L1734">
            <v>0.50411414680430899</v>
          </cell>
          <cell r="M1734">
            <v>12.8263574068043</v>
          </cell>
          <cell r="N1734">
            <v>2.34375E-2</v>
          </cell>
          <cell r="O1734">
            <v>0</v>
          </cell>
          <cell r="P1734">
            <v>0.1796875</v>
          </cell>
          <cell r="Q1734">
            <v>1</v>
          </cell>
        </row>
        <row r="1735">
          <cell r="A1735">
            <v>232600</v>
          </cell>
          <cell r="B1735">
            <v>6</v>
          </cell>
          <cell r="C1735">
            <v>9</v>
          </cell>
          <cell r="D1735">
            <v>2</v>
          </cell>
          <cell r="E1735" t="str">
            <v>NON-HS</v>
          </cell>
          <cell r="F1735" t="str">
            <v>Vermont Square</v>
          </cell>
          <cell r="G1735">
            <v>0</v>
          </cell>
          <cell r="H1735">
            <v>0</v>
          </cell>
          <cell r="I1735">
            <v>6.181</v>
          </cell>
          <cell r="J1735">
            <v>2.87839314</v>
          </cell>
          <cell r="K1735">
            <v>5.87839314</v>
          </cell>
          <cell r="L1735">
            <v>0.30290401228007202</v>
          </cell>
          <cell r="M1735">
            <v>6.1812971522800702</v>
          </cell>
          <cell r="N1735">
            <v>2.34375E-2</v>
          </cell>
          <cell r="O1735">
            <v>0</v>
          </cell>
          <cell r="P1735">
            <v>0.1796875</v>
          </cell>
          <cell r="Q1735">
            <v>1</v>
          </cell>
        </row>
        <row r="1736">
          <cell r="A1736">
            <v>239320</v>
          </cell>
          <cell r="B1736">
            <v>6</v>
          </cell>
          <cell r="C1736">
            <v>9</v>
          </cell>
          <cell r="D1736">
            <v>2</v>
          </cell>
          <cell r="E1736" t="str">
            <v>NON-HS</v>
          </cell>
          <cell r="F1736" t="str">
            <v>South Park</v>
          </cell>
          <cell r="G1736">
            <v>0</v>
          </cell>
          <cell r="H1736">
            <v>0</v>
          </cell>
          <cell r="I1736">
            <v>10.724</v>
          </cell>
          <cell r="J1736">
            <v>5.5698712199999996</v>
          </cell>
          <cell r="K1736">
            <v>10.56987122</v>
          </cell>
          <cell r="L1736">
            <v>0.15328985522441699</v>
          </cell>
          <cell r="M1736">
            <v>10.7231610752244</v>
          </cell>
          <cell r="N1736">
            <v>2.34375E-2</v>
          </cell>
          <cell r="O1736">
            <v>0</v>
          </cell>
          <cell r="P1736">
            <v>0.1796875</v>
          </cell>
          <cell r="Q1736">
            <v>1</v>
          </cell>
        </row>
        <row r="1737">
          <cell r="A1737">
            <v>239501</v>
          </cell>
          <cell r="B1737">
            <v>6</v>
          </cell>
          <cell r="C1737">
            <v>9</v>
          </cell>
          <cell r="D1737">
            <v>2</v>
          </cell>
          <cell r="E1737" t="str">
            <v>NON-HS</v>
          </cell>
          <cell r="F1737" t="str">
            <v>South Park</v>
          </cell>
          <cell r="G1737">
            <v>0</v>
          </cell>
          <cell r="H1737">
            <v>0</v>
          </cell>
          <cell r="I1737">
            <v>7.0949999999999998</v>
          </cell>
          <cell r="J1737">
            <v>1.9836996600000001</v>
          </cell>
          <cell r="K1737">
            <v>6.9836996600000001</v>
          </cell>
          <cell r="L1737">
            <v>0.11117260138240601</v>
          </cell>
          <cell r="M1737">
            <v>7.0948722613824096</v>
          </cell>
          <cell r="N1737">
            <v>2.34375E-2</v>
          </cell>
          <cell r="O1737">
            <v>0</v>
          </cell>
          <cell r="P1737">
            <v>0.1796875</v>
          </cell>
          <cell r="Q1737">
            <v>1</v>
          </cell>
        </row>
        <row r="1738">
          <cell r="A1738">
            <v>239801</v>
          </cell>
          <cell r="B1738">
            <v>6</v>
          </cell>
          <cell r="C1738">
            <v>9</v>
          </cell>
          <cell r="D1738">
            <v>2</v>
          </cell>
          <cell r="E1738" t="str">
            <v>NON-HS</v>
          </cell>
          <cell r="F1738" t="str">
            <v>South Park</v>
          </cell>
          <cell r="G1738">
            <v>0</v>
          </cell>
          <cell r="H1738">
            <v>0</v>
          </cell>
          <cell r="I1738">
            <v>12.967000000000001</v>
          </cell>
          <cell r="J1738">
            <v>9.6820391400000005</v>
          </cell>
          <cell r="K1738">
            <v>12.682039140000001</v>
          </cell>
          <cell r="L1738">
            <v>0.284221169012567</v>
          </cell>
          <cell r="M1738">
            <v>12.966260309012601</v>
          </cell>
          <cell r="N1738">
            <v>2.34375E-2</v>
          </cell>
          <cell r="O1738">
            <v>0</v>
          </cell>
          <cell r="P1738">
            <v>0.1796875</v>
          </cell>
          <cell r="Q1738">
            <v>1</v>
          </cell>
        </row>
        <row r="1739">
          <cell r="A1739">
            <v>240020</v>
          </cell>
          <cell r="B1739">
            <v>6</v>
          </cell>
          <cell r="C1739">
            <v>9</v>
          </cell>
          <cell r="D1739">
            <v>2</v>
          </cell>
          <cell r="E1739" t="str">
            <v>NON-HS</v>
          </cell>
          <cell r="F1739" t="str">
            <v>Green Meadows</v>
          </cell>
          <cell r="G1739">
            <v>0</v>
          </cell>
          <cell r="H1739">
            <v>0</v>
          </cell>
          <cell r="I1739">
            <v>9.19</v>
          </cell>
          <cell r="J1739">
            <v>3.9673993200000002</v>
          </cell>
          <cell r="K1739">
            <v>8.9673993200000002</v>
          </cell>
          <cell r="L1739">
            <v>0.22234520276481101</v>
          </cell>
          <cell r="M1739">
            <v>9.1897445227648102</v>
          </cell>
          <cell r="N1739">
            <v>2.34375E-2</v>
          </cell>
          <cell r="O1739">
            <v>0</v>
          </cell>
          <cell r="P1739">
            <v>0.1796875</v>
          </cell>
          <cell r="Q1739">
            <v>1</v>
          </cell>
        </row>
        <row r="1740">
          <cell r="A1740">
            <v>239502</v>
          </cell>
          <cell r="B1740">
            <v>6</v>
          </cell>
          <cell r="C1740">
            <v>9</v>
          </cell>
          <cell r="D1740">
            <v>2</v>
          </cell>
          <cell r="E1740" t="str">
            <v>NON-HS</v>
          </cell>
          <cell r="F1740" t="str">
            <v>South Park</v>
          </cell>
          <cell r="G1740">
            <v>0</v>
          </cell>
          <cell r="H1740">
            <v>0</v>
          </cell>
          <cell r="I1740">
            <v>3</v>
          </cell>
          <cell r="J1740">
            <v>0</v>
          </cell>
          <cell r="K1740">
            <v>3</v>
          </cell>
          <cell r="L1740">
            <v>0</v>
          </cell>
          <cell r="M1740">
            <v>3</v>
          </cell>
          <cell r="N1740">
            <v>2.34375E-2</v>
          </cell>
          <cell r="O1740">
            <v>0</v>
          </cell>
          <cell r="P1740">
            <v>0.1796875</v>
          </cell>
          <cell r="Q1740">
            <v>1</v>
          </cell>
        </row>
        <row r="1741">
          <cell r="A1741">
            <v>228410</v>
          </cell>
          <cell r="B1741">
            <v>6</v>
          </cell>
          <cell r="C1741">
            <v>9</v>
          </cell>
          <cell r="D1741">
            <v>2</v>
          </cell>
          <cell r="E1741" t="str">
            <v>NON-HS</v>
          </cell>
          <cell r="F1741" t="str">
            <v>South Central</v>
          </cell>
          <cell r="G1741">
            <v>0</v>
          </cell>
          <cell r="H1741">
            <v>0</v>
          </cell>
          <cell r="I1741">
            <v>5.9029999999999996</v>
          </cell>
          <cell r="J1741">
            <v>3.7168318299999998</v>
          </cell>
          <cell r="K1741">
            <v>5.7168318300000003</v>
          </cell>
          <cell r="L1741">
            <v>0.18615811166965901</v>
          </cell>
          <cell r="M1741">
            <v>5.9029899416696603</v>
          </cell>
          <cell r="N1741">
            <v>2.34375E-2</v>
          </cell>
          <cell r="O1741">
            <v>0</v>
          </cell>
          <cell r="P1741">
            <v>0.1796875</v>
          </cell>
          <cell r="Q1741">
            <v>1</v>
          </cell>
        </row>
        <row r="1742">
          <cell r="A1742">
            <v>212501</v>
          </cell>
          <cell r="B1742">
            <v>4</v>
          </cell>
          <cell r="C1742">
            <v>10</v>
          </cell>
          <cell r="D1742">
            <v>2</v>
          </cell>
          <cell r="E1742" t="str">
            <v>CVCTE</v>
          </cell>
          <cell r="F1742" t="str">
            <v>Wilshire Center-Koreatown</v>
          </cell>
          <cell r="G1742">
            <v>0</v>
          </cell>
          <cell r="H1742">
            <v>0</v>
          </cell>
          <cell r="I1742">
            <v>2.0950000000000002</v>
          </cell>
          <cell r="J1742">
            <v>1.9836996600000001</v>
          </cell>
          <cell r="K1742">
            <v>1.9836996600000001</v>
          </cell>
          <cell r="L1742">
            <v>0.11117260138240601</v>
          </cell>
          <cell r="M1742">
            <v>2.09487226138241</v>
          </cell>
          <cell r="N1742">
            <v>0.164383561643836</v>
          </cell>
          <cell r="O1742">
            <v>0</v>
          </cell>
          <cell r="P1742">
            <v>0.13698630136986301</v>
          </cell>
          <cell r="Q1742">
            <v>0.55555555555555602</v>
          </cell>
          <cell r="R1742">
            <v>8.3333333333333301E-2</v>
          </cell>
          <cell r="S1742">
            <v>0</v>
          </cell>
        </row>
        <row r="1743">
          <cell r="A1743">
            <v>218300</v>
          </cell>
          <cell r="B1743">
            <v>4</v>
          </cell>
          <cell r="C1743">
            <v>10</v>
          </cell>
          <cell r="D1743">
            <v>2</v>
          </cell>
          <cell r="E1743" t="str">
            <v>CVCTE</v>
          </cell>
          <cell r="F1743" t="str">
            <v>Mid City</v>
          </cell>
          <cell r="G1743">
            <v>0</v>
          </cell>
          <cell r="H1743">
            <v>0</v>
          </cell>
          <cell r="I1743">
            <v>24.102</v>
          </cell>
          <cell r="J1743">
            <v>19.442898</v>
          </cell>
          <cell r="K1743">
            <v>23.442898</v>
          </cell>
          <cell r="L1743">
            <v>0.65898961732495498</v>
          </cell>
          <cell r="M1743">
            <v>24.101887617325001</v>
          </cell>
          <cell r="N1743">
            <v>0.164383561643836</v>
          </cell>
          <cell r="O1743">
            <v>0</v>
          </cell>
          <cell r="P1743">
            <v>0.13698630136986301</v>
          </cell>
          <cell r="Q1743">
            <v>0.55555555555555602</v>
          </cell>
          <cell r="R1743">
            <v>8.3333333333333301E-2</v>
          </cell>
          <cell r="S1743">
            <v>0</v>
          </cell>
        </row>
        <row r="1744">
          <cell r="A1744">
            <v>221303</v>
          </cell>
          <cell r="B1744">
            <v>4</v>
          </cell>
          <cell r="C1744">
            <v>10</v>
          </cell>
          <cell r="D1744">
            <v>2</v>
          </cell>
          <cell r="E1744" t="str">
            <v>CVCTE</v>
          </cell>
          <cell r="F1744" t="str">
            <v>West Adams-Expo Park</v>
          </cell>
          <cell r="G1744">
            <v>0</v>
          </cell>
          <cell r="H1744">
            <v>0</v>
          </cell>
          <cell r="I1744">
            <v>24.934999999999999</v>
          </cell>
          <cell r="J1744">
            <v>19.045784319999999</v>
          </cell>
          <cell r="K1744">
            <v>24.045784319999999</v>
          </cell>
          <cell r="L1744">
            <v>0.88880044179533202</v>
          </cell>
          <cell r="M1744">
            <v>24.9345847617953</v>
          </cell>
          <cell r="N1744">
            <v>0.164383561643836</v>
          </cell>
          <cell r="O1744">
            <v>0</v>
          </cell>
          <cell r="P1744">
            <v>0.13698630136986301</v>
          </cell>
          <cell r="Q1744">
            <v>0.55555555555555602</v>
          </cell>
          <cell r="R1744">
            <v>8.3333333333333301E-2</v>
          </cell>
          <cell r="S1744">
            <v>0</v>
          </cell>
        </row>
        <row r="1745">
          <cell r="A1745">
            <v>221302</v>
          </cell>
          <cell r="B1745">
            <v>4</v>
          </cell>
          <cell r="C1745">
            <v>10</v>
          </cell>
          <cell r="D1745">
            <v>2</v>
          </cell>
          <cell r="E1745" t="str">
            <v>CVCTE</v>
          </cell>
          <cell r="F1745" t="str">
            <v>West Adams-Expo Park</v>
          </cell>
          <cell r="G1745">
            <v>1</v>
          </cell>
          <cell r="H1745">
            <v>1</v>
          </cell>
          <cell r="I1745">
            <v>51.581000000000003</v>
          </cell>
          <cell r="J1745">
            <v>45.429017729999998</v>
          </cell>
          <cell r="K1745">
            <v>48.429017729999998</v>
          </cell>
          <cell r="L1745">
            <v>3.1524665296768402</v>
          </cell>
          <cell r="M1745">
            <v>51.581484259676799</v>
          </cell>
          <cell r="N1745">
            <v>0.164383561643836</v>
          </cell>
          <cell r="O1745">
            <v>6.0833333333333304</v>
          </cell>
          <cell r="P1745">
            <v>0.13698630136986301</v>
          </cell>
          <cell r="Q1745">
            <v>0.55555555555555602</v>
          </cell>
        </row>
        <row r="1746">
          <cell r="A1746">
            <v>213201</v>
          </cell>
          <cell r="B1746">
            <v>4</v>
          </cell>
          <cell r="C1746">
            <v>10</v>
          </cell>
          <cell r="D1746">
            <v>2</v>
          </cell>
          <cell r="E1746" t="str">
            <v>CVCTE</v>
          </cell>
          <cell r="F1746" t="str">
            <v>Wilshire Center-Koreatown</v>
          </cell>
          <cell r="G1746">
            <v>0</v>
          </cell>
          <cell r="H1746">
            <v>0</v>
          </cell>
          <cell r="I1746">
            <v>33.514000000000003</v>
          </cell>
          <cell r="J1746">
            <v>23.861332260000001</v>
          </cell>
          <cell r="K1746">
            <v>32.861332259999998</v>
          </cell>
          <cell r="L1746">
            <v>0.65258371504488299</v>
          </cell>
          <cell r="M1746">
            <v>33.513915975044902</v>
          </cell>
          <cell r="N1746">
            <v>0.164383561643836</v>
          </cell>
          <cell r="O1746">
            <v>0</v>
          </cell>
          <cell r="P1746">
            <v>0.13698630136986301</v>
          </cell>
          <cell r="Q1746">
            <v>0.55555555555555602</v>
          </cell>
          <cell r="R1746">
            <v>8.3333333333333301E-2</v>
          </cell>
          <cell r="S1746">
            <v>0</v>
          </cell>
        </row>
        <row r="1747">
          <cell r="A1747">
            <v>212502</v>
          </cell>
          <cell r="B1747">
            <v>4</v>
          </cell>
          <cell r="C1747">
            <v>10</v>
          </cell>
          <cell r="D1747">
            <v>2</v>
          </cell>
          <cell r="E1747" t="str">
            <v>CVCTE</v>
          </cell>
          <cell r="F1747" t="str">
            <v>Wilshire Center-Koreatown</v>
          </cell>
          <cell r="G1747">
            <v>1</v>
          </cell>
          <cell r="H1747">
            <v>1</v>
          </cell>
          <cell r="I1747">
            <v>29.449000000000002</v>
          </cell>
          <cell r="J1747">
            <v>21.49110915</v>
          </cell>
          <cell r="K1747">
            <v>28.49110915</v>
          </cell>
          <cell r="L1747">
            <v>0.95798292662477602</v>
          </cell>
          <cell r="M1747">
            <v>29.449092076624801</v>
          </cell>
          <cell r="N1747">
            <v>0.164383561643836</v>
          </cell>
          <cell r="O1747">
            <v>6.0833333333333304</v>
          </cell>
          <cell r="P1747">
            <v>0.13698630136986301</v>
          </cell>
          <cell r="Q1747">
            <v>0.55555555555555602</v>
          </cell>
        </row>
        <row r="1748">
          <cell r="A1748">
            <v>211802</v>
          </cell>
          <cell r="B1748">
            <v>4</v>
          </cell>
          <cell r="C1748">
            <v>10</v>
          </cell>
          <cell r="D1748">
            <v>2</v>
          </cell>
          <cell r="E1748" t="str">
            <v>CVCTE</v>
          </cell>
          <cell r="F1748" t="str">
            <v>Wilshire Center-Koreatown</v>
          </cell>
          <cell r="G1748">
            <v>0</v>
          </cell>
          <cell r="H1748">
            <v>1</v>
          </cell>
          <cell r="I1748">
            <v>40.734999999999999</v>
          </cell>
          <cell r="J1748">
            <v>29.744326210000001</v>
          </cell>
          <cell r="K1748">
            <v>39.744326209999997</v>
          </cell>
          <cell r="L1748">
            <v>0.99070930892280096</v>
          </cell>
          <cell r="M1748">
            <v>40.7350355189228</v>
          </cell>
          <cell r="N1748">
            <v>0.164383561643836</v>
          </cell>
          <cell r="O1748">
            <v>0</v>
          </cell>
          <cell r="P1748">
            <v>0.13698630136986301</v>
          </cell>
          <cell r="Q1748">
            <v>0.55555555555555602</v>
          </cell>
          <cell r="R1748">
            <v>8.3333333333333301E-2</v>
          </cell>
          <cell r="S1748">
            <v>12</v>
          </cell>
        </row>
        <row r="1749">
          <cell r="A1749">
            <v>212203</v>
          </cell>
          <cell r="B1749">
            <v>4</v>
          </cell>
          <cell r="C1749">
            <v>10</v>
          </cell>
          <cell r="D1749">
            <v>2</v>
          </cell>
          <cell r="E1749" t="str">
            <v>CVCTE</v>
          </cell>
          <cell r="F1749" t="str">
            <v>Westlake</v>
          </cell>
          <cell r="G1749">
            <v>1</v>
          </cell>
          <cell r="H1749">
            <v>1</v>
          </cell>
          <cell r="I1749">
            <v>14.101000000000001</v>
          </cell>
          <cell r="J1749">
            <v>10.7918485</v>
          </cell>
          <cell r="K1749">
            <v>13.7918485</v>
          </cell>
          <cell r="L1749">
            <v>0.30893880475763003</v>
          </cell>
          <cell r="M1749">
            <v>14.100787304757599</v>
          </cell>
          <cell r="N1749">
            <v>0.164383561643836</v>
          </cell>
          <cell r="O1749">
            <v>6.0833333333333304</v>
          </cell>
          <cell r="P1749">
            <v>0.13698630136986301</v>
          </cell>
          <cell r="Q1749">
            <v>0.55555555555555602</v>
          </cell>
        </row>
        <row r="1750">
          <cell r="A1750">
            <v>216900</v>
          </cell>
          <cell r="B1750">
            <v>4</v>
          </cell>
          <cell r="C1750">
            <v>10</v>
          </cell>
          <cell r="D1750">
            <v>2</v>
          </cell>
          <cell r="E1750" t="str">
            <v>CVCTE</v>
          </cell>
          <cell r="F1750" t="str">
            <v>Miracle Mile</v>
          </cell>
          <cell r="G1750">
            <v>0</v>
          </cell>
          <cell r="H1750">
            <v>0</v>
          </cell>
          <cell r="I1750">
            <v>26.204000000000001</v>
          </cell>
          <cell r="J1750">
            <v>24.95757339</v>
          </cell>
          <cell r="K1750">
            <v>24.95757339</v>
          </cell>
          <cell r="L1750">
            <v>1.2461352653860001</v>
          </cell>
          <cell r="M1750">
            <v>26.203708655385999</v>
          </cell>
          <cell r="N1750">
            <v>0.164383561643836</v>
          </cell>
          <cell r="O1750">
            <v>0</v>
          </cell>
          <cell r="P1750">
            <v>0.13698630136986301</v>
          </cell>
          <cell r="Q1750">
            <v>0.55555555555555602</v>
          </cell>
          <cell r="R1750">
            <v>8.3333333333333301E-2</v>
          </cell>
          <cell r="S1750">
            <v>0</v>
          </cell>
        </row>
        <row r="1751">
          <cell r="A1751">
            <v>270300</v>
          </cell>
          <cell r="B1751">
            <v>4</v>
          </cell>
          <cell r="C1751">
            <v>10</v>
          </cell>
          <cell r="D1751">
            <v>2</v>
          </cell>
          <cell r="E1751" t="str">
            <v>CVCTE</v>
          </cell>
          <cell r="F1751" t="str">
            <v>Mid City</v>
          </cell>
          <cell r="G1751">
            <v>0</v>
          </cell>
          <cell r="H1751">
            <v>0</v>
          </cell>
          <cell r="I1751">
            <v>39.305</v>
          </cell>
          <cell r="J1751">
            <v>35.047241</v>
          </cell>
          <cell r="K1751">
            <v>38.047241</v>
          </cell>
          <cell r="L1751">
            <v>1.2575193607719899</v>
          </cell>
          <cell r="M1751">
            <v>39.304760360772001</v>
          </cell>
          <cell r="N1751">
            <v>0.164383561643836</v>
          </cell>
          <cell r="O1751">
            <v>0</v>
          </cell>
          <cell r="P1751">
            <v>0.13698630136986301</v>
          </cell>
          <cell r="Q1751">
            <v>0.55555555555555602</v>
          </cell>
          <cell r="R1751">
            <v>8.3333333333333301E-2</v>
          </cell>
          <cell r="S1751">
            <v>0</v>
          </cell>
        </row>
        <row r="1752">
          <cell r="A1752">
            <v>270200</v>
          </cell>
          <cell r="B1752">
            <v>5</v>
          </cell>
          <cell r="C1752">
            <v>10</v>
          </cell>
          <cell r="D1752">
            <v>2</v>
          </cell>
          <cell r="E1752" t="str">
            <v>CVCTE</v>
          </cell>
          <cell r="F1752" t="str">
            <v>Palms</v>
          </cell>
          <cell r="G1752">
            <v>1</v>
          </cell>
          <cell r="H1752">
            <v>1</v>
          </cell>
          <cell r="I1752">
            <v>62.831000000000003</v>
          </cell>
          <cell r="J1752">
            <v>31.536928280000001</v>
          </cell>
          <cell r="K1752">
            <v>60.536928279999998</v>
          </cell>
          <cell r="L1752">
            <v>2.2938586136086201</v>
          </cell>
          <cell r="M1752">
            <v>62.830786893608597</v>
          </cell>
          <cell r="N1752">
            <v>0.35</v>
          </cell>
          <cell r="O1752">
            <v>2.8571428571428599</v>
          </cell>
          <cell r="P1752">
            <v>2.5000000000000001E-2</v>
          </cell>
          <cell r="Q1752">
            <v>5.5555555555555601E-2</v>
          </cell>
        </row>
        <row r="1753">
          <cell r="A1753">
            <v>236202</v>
          </cell>
          <cell r="B1753">
            <v>6</v>
          </cell>
          <cell r="C1753">
            <v>10</v>
          </cell>
          <cell r="D1753">
            <v>2</v>
          </cell>
          <cell r="E1753" t="str">
            <v>CVCTE</v>
          </cell>
          <cell r="F1753" t="str">
            <v>Baldwin Hills / Crenshaw</v>
          </cell>
          <cell r="G1753">
            <v>0</v>
          </cell>
          <cell r="H1753">
            <v>0</v>
          </cell>
          <cell r="I1753">
            <v>28.617999999999999</v>
          </cell>
          <cell r="J1753">
            <v>22.78697451</v>
          </cell>
          <cell r="K1753">
            <v>27.78697451</v>
          </cell>
          <cell r="L1753">
            <v>0.83106694554757599</v>
          </cell>
          <cell r="M1753">
            <v>28.618041455547601</v>
          </cell>
          <cell r="N1753">
            <v>0.16393442622950799</v>
          </cell>
          <cell r="O1753">
            <v>0</v>
          </cell>
          <cell r="P1753">
            <v>0.114754098360656</v>
          </cell>
          <cell r="Q1753">
            <v>0.38888888888888901</v>
          </cell>
          <cell r="R1753">
            <v>8.3333333333333301E-2</v>
          </cell>
          <cell r="S1753">
            <v>0</v>
          </cell>
        </row>
        <row r="1754">
          <cell r="A1754">
            <v>220000</v>
          </cell>
          <cell r="B1754">
            <v>6</v>
          </cell>
          <cell r="C1754">
            <v>10</v>
          </cell>
          <cell r="D1754">
            <v>2</v>
          </cell>
          <cell r="E1754" t="str">
            <v>CVCTE</v>
          </cell>
          <cell r="F1754" t="str">
            <v>Adams-La Brea</v>
          </cell>
          <cell r="G1754">
            <v>1</v>
          </cell>
          <cell r="H1754">
            <v>1</v>
          </cell>
          <cell r="I1754">
            <v>20.379000000000001</v>
          </cell>
          <cell r="J1754">
            <v>7.9347986400000003</v>
          </cell>
          <cell r="K1754">
            <v>19.93479864</v>
          </cell>
          <cell r="L1754">
            <v>0.44469040552962302</v>
          </cell>
          <cell r="M1754">
            <v>20.379489045529599</v>
          </cell>
          <cell r="N1754">
            <v>0.16393442622950799</v>
          </cell>
          <cell r="O1754">
            <v>6.1</v>
          </cell>
          <cell r="P1754">
            <v>0.114754098360656</v>
          </cell>
          <cell r="Q1754">
            <v>0.38888888888888901</v>
          </cell>
        </row>
        <row r="1755">
          <cell r="A1755">
            <v>218702</v>
          </cell>
          <cell r="B1755">
            <v>6</v>
          </cell>
          <cell r="C1755">
            <v>10</v>
          </cell>
          <cell r="D1755">
            <v>2</v>
          </cell>
          <cell r="E1755" t="str">
            <v>CVCTE</v>
          </cell>
          <cell r="F1755" t="str">
            <v>West Adams-Expo Park</v>
          </cell>
          <cell r="G1755">
            <v>0</v>
          </cell>
          <cell r="H1755">
            <v>0</v>
          </cell>
          <cell r="I1755">
            <v>14.404</v>
          </cell>
          <cell r="J1755">
            <v>13.53394548</v>
          </cell>
          <cell r="K1755">
            <v>13.53394548</v>
          </cell>
          <cell r="L1755">
            <v>0.86940387149012599</v>
          </cell>
          <cell r="M1755">
            <v>14.4033493514901</v>
          </cell>
          <cell r="N1755">
            <v>0.16393442622950799</v>
          </cell>
          <cell r="O1755">
            <v>0</v>
          </cell>
          <cell r="P1755">
            <v>0.114754098360656</v>
          </cell>
          <cell r="Q1755">
            <v>0.38888888888888901</v>
          </cell>
          <cell r="R1755">
            <v>8.3333333333333301E-2</v>
          </cell>
          <cell r="S1755">
            <v>0</v>
          </cell>
        </row>
        <row r="1756">
          <cell r="A1756">
            <v>219020</v>
          </cell>
          <cell r="B1756">
            <v>6</v>
          </cell>
          <cell r="C1756">
            <v>10</v>
          </cell>
          <cell r="D1756">
            <v>2</v>
          </cell>
          <cell r="E1756" t="str">
            <v>CVCTE</v>
          </cell>
          <cell r="F1756" t="str">
            <v>West Adams-Expo Park</v>
          </cell>
          <cell r="G1756">
            <v>0</v>
          </cell>
          <cell r="H1756">
            <v>0</v>
          </cell>
          <cell r="I1756">
            <v>46.405000000000001</v>
          </cell>
          <cell r="J1756">
            <v>43.596225580000002</v>
          </cell>
          <cell r="K1756">
            <v>43.596225580000002</v>
          </cell>
          <cell r="L1756">
            <v>2.8086096127109501</v>
          </cell>
          <cell r="M1756">
            <v>46.404835192710998</v>
          </cell>
          <cell r="N1756">
            <v>0.16393442622950799</v>
          </cell>
          <cell r="O1756">
            <v>0</v>
          </cell>
          <cell r="P1756">
            <v>0.114754098360656</v>
          </cell>
          <cell r="Q1756">
            <v>0.38888888888888901</v>
          </cell>
          <cell r="R1756">
            <v>8.3333333333333301E-2</v>
          </cell>
          <cell r="S1756">
            <v>0</v>
          </cell>
        </row>
        <row r="1757">
          <cell r="A1757">
            <v>219700</v>
          </cell>
          <cell r="B1757">
            <v>6</v>
          </cell>
          <cell r="C1757">
            <v>10</v>
          </cell>
          <cell r="D1757">
            <v>2</v>
          </cell>
          <cell r="E1757" t="str">
            <v>CVCTE</v>
          </cell>
          <cell r="F1757" t="str">
            <v>Adams-La Brea</v>
          </cell>
          <cell r="G1757">
            <v>1</v>
          </cell>
          <cell r="H1757">
            <v>1</v>
          </cell>
          <cell r="I1757">
            <v>16.419</v>
          </cell>
          <cell r="J1757">
            <v>15.70170781</v>
          </cell>
          <cell r="K1757">
            <v>15.70170781</v>
          </cell>
          <cell r="L1757">
            <v>0.71672311357271101</v>
          </cell>
          <cell r="M1757">
            <v>16.4184309235727</v>
          </cell>
          <cell r="N1757">
            <v>0.16393442622950799</v>
          </cell>
          <cell r="O1757">
            <v>6.1</v>
          </cell>
          <cell r="P1757">
            <v>0.114754098360656</v>
          </cell>
          <cell r="Q1757">
            <v>0.38888888888888901</v>
          </cell>
        </row>
        <row r="1758">
          <cell r="A1758">
            <v>219901</v>
          </cell>
          <cell r="B1758">
            <v>6</v>
          </cell>
          <cell r="C1758">
            <v>10</v>
          </cell>
          <cell r="D1758">
            <v>2</v>
          </cell>
          <cell r="E1758" t="str">
            <v>CVCTE</v>
          </cell>
          <cell r="F1758" t="str">
            <v>Adams-La Brea</v>
          </cell>
          <cell r="G1758">
            <v>0</v>
          </cell>
          <cell r="H1758">
            <v>0</v>
          </cell>
          <cell r="I1758">
            <v>26.111000000000001</v>
          </cell>
          <cell r="J1758">
            <v>17.273342240000002</v>
          </cell>
          <cell r="K1758">
            <v>25.273342240000002</v>
          </cell>
          <cell r="L1758">
            <v>0.83763195095152598</v>
          </cell>
          <cell r="M1758">
            <v>26.110974190951499</v>
          </cell>
          <cell r="N1758">
            <v>0.16393442622950799</v>
          </cell>
          <cell r="O1758">
            <v>0</v>
          </cell>
          <cell r="P1758">
            <v>0.114754098360656</v>
          </cell>
          <cell r="Q1758">
            <v>0.38888888888888901</v>
          </cell>
          <cell r="R1758">
            <v>8.3333333333333301E-2</v>
          </cell>
          <cell r="S1758">
            <v>0</v>
          </cell>
        </row>
        <row r="1759">
          <cell r="A1759">
            <v>234200</v>
          </cell>
          <cell r="B1759">
            <v>6</v>
          </cell>
          <cell r="C1759">
            <v>10</v>
          </cell>
          <cell r="D1759">
            <v>2</v>
          </cell>
          <cell r="E1759" t="str">
            <v>CVCTE</v>
          </cell>
          <cell r="F1759" t="str">
            <v>Baldwin Hills / Crenshaw</v>
          </cell>
          <cell r="G1759">
            <v>0</v>
          </cell>
          <cell r="H1759">
            <v>0</v>
          </cell>
          <cell r="I1759">
            <v>38.139000000000003</v>
          </cell>
          <cell r="J1759">
            <v>31.442941269999999</v>
          </cell>
          <cell r="K1759">
            <v>36.442941269999999</v>
          </cell>
          <cell r="L1759">
            <v>1.6964329767684001</v>
          </cell>
          <cell r="M1759">
            <v>38.139374246768398</v>
          </cell>
          <cell r="N1759">
            <v>0.16393442622950799</v>
          </cell>
          <cell r="O1759">
            <v>0</v>
          </cell>
          <cell r="P1759">
            <v>0.114754098360656</v>
          </cell>
          <cell r="Q1759">
            <v>0.38888888888888901</v>
          </cell>
          <cell r="R1759">
            <v>8.3333333333333301E-2</v>
          </cell>
          <cell r="S1759">
            <v>0</v>
          </cell>
        </row>
        <row r="1760">
          <cell r="A1760">
            <v>218120</v>
          </cell>
          <cell r="B1760">
            <v>4</v>
          </cell>
          <cell r="C1760">
            <v>10</v>
          </cell>
          <cell r="D1760">
            <v>2</v>
          </cell>
          <cell r="E1760" t="str">
            <v>FAMILY</v>
          </cell>
          <cell r="F1760" t="str">
            <v>West Adams-Expo Park</v>
          </cell>
          <cell r="G1760">
            <v>1</v>
          </cell>
          <cell r="H1760">
            <v>1</v>
          </cell>
          <cell r="I1760">
            <v>52.831000000000003</v>
          </cell>
          <cell r="J1760">
            <v>31.47767412</v>
          </cell>
          <cell r="K1760">
            <v>51.477674120000003</v>
          </cell>
          <cell r="L1760">
            <v>7.3524985882764797</v>
          </cell>
          <cell r="M1760">
            <v>58.8301727082765</v>
          </cell>
          <cell r="N1760">
            <v>1</v>
          </cell>
          <cell r="O1760">
            <v>1</v>
          </cell>
        </row>
        <row r="1761">
          <cell r="A1761">
            <v>218900</v>
          </cell>
          <cell r="B1761">
            <v>6</v>
          </cell>
          <cell r="C1761">
            <v>10</v>
          </cell>
          <cell r="D1761">
            <v>2</v>
          </cell>
          <cell r="E1761" t="str">
            <v>FAMILY</v>
          </cell>
          <cell r="F1761" t="str">
            <v>West Adams-Expo Park</v>
          </cell>
          <cell r="G1761">
            <v>1</v>
          </cell>
          <cell r="H1761">
            <v>1</v>
          </cell>
          <cell r="I1761">
            <v>26.256</v>
          </cell>
          <cell r="J1761">
            <v>21.49624215</v>
          </cell>
          <cell r="K1761">
            <v>24.49624215</v>
          </cell>
          <cell r="L1761">
            <v>4.7601019143447001</v>
          </cell>
          <cell r="M1761">
            <v>29.256344064344699</v>
          </cell>
          <cell r="N1761">
            <v>1</v>
          </cell>
          <cell r="O1761">
            <v>1</v>
          </cell>
        </row>
        <row r="1762">
          <cell r="A1762">
            <v>221401</v>
          </cell>
          <cell r="B1762">
            <v>6</v>
          </cell>
          <cell r="C1762">
            <v>10</v>
          </cell>
          <cell r="D1762">
            <v>2</v>
          </cell>
          <cell r="E1762" t="str">
            <v>FAMILY</v>
          </cell>
          <cell r="F1762" t="str">
            <v>West Adams-Expo Park</v>
          </cell>
          <cell r="G1762">
            <v>1</v>
          </cell>
          <cell r="H1762">
            <v>1</v>
          </cell>
          <cell r="I1762">
            <v>60.828000000000003</v>
          </cell>
          <cell r="J1762">
            <v>55.394039650000003</v>
          </cell>
          <cell r="K1762">
            <v>56.394039650000003</v>
          </cell>
          <cell r="L1762">
            <v>6.4341976457630201</v>
          </cell>
          <cell r="M1762">
            <v>62.828237295763003</v>
          </cell>
          <cell r="N1762">
            <v>1</v>
          </cell>
          <cell r="O1762">
            <v>1</v>
          </cell>
        </row>
        <row r="1763">
          <cell r="A1763">
            <v>234300</v>
          </cell>
          <cell r="B1763">
            <v>6</v>
          </cell>
          <cell r="C1763">
            <v>10</v>
          </cell>
          <cell r="D1763">
            <v>2</v>
          </cell>
          <cell r="E1763" t="str">
            <v>FAMILY</v>
          </cell>
          <cell r="F1763" t="str">
            <v>Baldwin Hills / Crenshaw</v>
          </cell>
          <cell r="G1763">
            <v>1</v>
          </cell>
          <cell r="H1763">
            <v>1</v>
          </cell>
          <cell r="I1763">
            <v>73.826999999999998</v>
          </cell>
          <cell r="J1763">
            <v>52.308447000000001</v>
          </cell>
          <cell r="K1763">
            <v>71.308447000000001</v>
          </cell>
          <cell r="L1763">
            <v>2.5184005697666101</v>
          </cell>
          <cell r="M1763">
            <v>73.826847569766599</v>
          </cell>
          <cell r="N1763">
            <v>1</v>
          </cell>
          <cell r="O1763">
            <v>1</v>
          </cell>
        </row>
        <row r="1764">
          <cell r="A1764">
            <v>211921</v>
          </cell>
          <cell r="B1764">
            <v>4</v>
          </cell>
          <cell r="C1764">
            <v>10</v>
          </cell>
          <cell r="D1764">
            <v>2</v>
          </cell>
          <cell r="E1764" t="str">
            <v>INDIV</v>
          </cell>
          <cell r="F1764" t="str">
            <v>Wilshire Center-Koreatown</v>
          </cell>
          <cell r="G1764">
            <v>0</v>
          </cell>
          <cell r="H1764">
            <v>0</v>
          </cell>
          <cell r="I1764">
            <v>23.038</v>
          </cell>
          <cell r="J1764">
            <v>13.467440659999999</v>
          </cell>
          <cell r="K1764">
            <v>22.467440660000001</v>
          </cell>
          <cell r="L1764">
            <v>0.56936342109515303</v>
          </cell>
          <cell r="M1764">
            <v>23.036804081095202</v>
          </cell>
          <cell r="N1764">
            <v>8.5106382978723402E-2</v>
          </cell>
          <cell r="O1764">
            <v>0</v>
          </cell>
          <cell r="P1764">
            <v>4.2553191489361701E-2</v>
          </cell>
          <cell r="Q1764">
            <v>0.5</v>
          </cell>
          <cell r="R1764">
            <v>0.25</v>
          </cell>
          <cell r="S1764">
            <v>0</v>
          </cell>
        </row>
        <row r="1765">
          <cell r="A1765">
            <v>212101</v>
          </cell>
          <cell r="B1765">
            <v>4</v>
          </cell>
          <cell r="C1765">
            <v>10</v>
          </cell>
          <cell r="D1765">
            <v>2</v>
          </cell>
          <cell r="E1765" t="str">
            <v>INDIV</v>
          </cell>
          <cell r="F1765" t="str">
            <v>Wilshire Center-Koreatown</v>
          </cell>
          <cell r="G1765">
            <v>0</v>
          </cell>
          <cell r="H1765">
            <v>1</v>
          </cell>
          <cell r="I1765">
            <v>10.926</v>
          </cell>
          <cell r="J1765">
            <v>1.90487994</v>
          </cell>
          <cell r="K1765">
            <v>10.904879940000001</v>
          </cell>
          <cell r="L1765">
            <v>2.0625322082585301E-2</v>
          </cell>
          <cell r="M1765">
            <v>10.9255052620826</v>
          </cell>
          <cell r="N1765">
            <v>8.5106382978723402E-2</v>
          </cell>
          <cell r="O1765">
            <v>0</v>
          </cell>
          <cell r="P1765">
            <v>4.2553191489361701E-2</v>
          </cell>
          <cell r="Q1765">
            <v>0.5</v>
          </cell>
          <cell r="R1765">
            <v>0.25</v>
          </cell>
          <cell r="S1765">
            <v>4</v>
          </cell>
        </row>
        <row r="1766">
          <cell r="A1766">
            <v>219300</v>
          </cell>
          <cell r="B1766">
            <v>6</v>
          </cell>
          <cell r="C1766">
            <v>10</v>
          </cell>
          <cell r="D1766">
            <v>2</v>
          </cell>
          <cell r="E1766" t="str">
            <v>INDIV</v>
          </cell>
          <cell r="F1766" t="str">
            <v>West Adams-Expo Park</v>
          </cell>
          <cell r="G1766">
            <v>0</v>
          </cell>
          <cell r="H1766">
            <v>0</v>
          </cell>
          <cell r="I1766">
            <v>14.207000000000001</v>
          </cell>
          <cell r="J1766">
            <v>4.9054609100000004</v>
          </cell>
          <cell r="K1766">
            <v>13.90546091</v>
          </cell>
          <cell r="L1766">
            <v>0.30142302671454202</v>
          </cell>
          <cell r="M1766">
            <v>14.206883936714499</v>
          </cell>
          <cell r="N1766">
            <v>3.2258064516128997E-2</v>
          </cell>
          <cell r="O1766">
            <v>0</v>
          </cell>
          <cell r="P1766">
            <v>6.4516129032258104E-2</v>
          </cell>
          <cell r="Q1766">
            <v>0.5</v>
          </cell>
          <cell r="R1766">
            <v>0.25</v>
          </cell>
          <cell r="S1766">
            <v>0</v>
          </cell>
        </row>
        <row r="1767">
          <cell r="A1767">
            <v>219800</v>
          </cell>
          <cell r="B1767">
            <v>6</v>
          </cell>
          <cell r="C1767">
            <v>10</v>
          </cell>
          <cell r="D1767">
            <v>2</v>
          </cell>
          <cell r="E1767" t="str">
            <v>INDIV</v>
          </cell>
          <cell r="F1767" t="str">
            <v>Adams-La Brea</v>
          </cell>
          <cell r="G1767">
            <v>0</v>
          </cell>
          <cell r="H1767">
            <v>0</v>
          </cell>
          <cell r="I1767">
            <v>24.838999999999999</v>
          </cell>
          <cell r="J1767">
            <v>11.44215048</v>
          </cell>
          <cell r="K1767">
            <v>24.442150479999999</v>
          </cell>
          <cell r="L1767">
            <v>0.39626038007181302</v>
          </cell>
          <cell r="M1767">
            <v>24.8384108600718</v>
          </cell>
          <cell r="N1767">
            <v>3.2258064516128997E-2</v>
          </cell>
          <cell r="O1767">
            <v>0</v>
          </cell>
          <cell r="P1767">
            <v>6.4516129032258104E-2</v>
          </cell>
          <cell r="Q1767">
            <v>0.5</v>
          </cell>
          <cell r="R1767">
            <v>0.25</v>
          </cell>
          <cell r="S1767">
            <v>0</v>
          </cell>
        </row>
        <row r="1768">
          <cell r="A1768">
            <v>211410</v>
          </cell>
          <cell r="B1768">
            <v>4</v>
          </cell>
          <cell r="C1768">
            <v>10</v>
          </cell>
          <cell r="D1768">
            <v>2</v>
          </cell>
          <cell r="E1768" t="str">
            <v>NON-HS</v>
          </cell>
          <cell r="F1768" t="str">
            <v>Wilshire Center-Koreatown</v>
          </cell>
          <cell r="G1768">
            <v>0</v>
          </cell>
          <cell r="H1768">
            <v>0</v>
          </cell>
          <cell r="I1768">
            <v>8.2569999999999997</v>
          </cell>
          <cell r="J1768">
            <v>7.1723431199999998</v>
          </cell>
          <cell r="K1768">
            <v>8.1723431200000007</v>
          </cell>
          <cell r="L1768">
            <v>8.4234507684021506E-2</v>
          </cell>
          <cell r="M1768">
            <v>8.2565776276840204</v>
          </cell>
          <cell r="N1768">
            <v>2.6315789473684199E-2</v>
          </cell>
          <cell r="O1768">
            <v>0</v>
          </cell>
          <cell r="P1768">
            <v>0.17105263157894701</v>
          </cell>
          <cell r="Q1768">
            <v>0.57777777777777795</v>
          </cell>
          <cell r="R1768">
            <v>9.0909090909090898E-2</v>
          </cell>
          <cell r="S1768">
            <v>0</v>
          </cell>
        </row>
        <row r="1769">
          <cell r="A1769">
            <v>211420</v>
          </cell>
          <cell r="B1769">
            <v>4</v>
          </cell>
          <cell r="C1769">
            <v>10</v>
          </cell>
          <cell r="D1769">
            <v>2</v>
          </cell>
          <cell r="E1769" t="str">
            <v>NON-HS</v>
          </cell>
          <cell r="F1769" t="str">
            <v>Wilshire Center-Koreatown</v>
          </cell>
          <cell r="G1769">
            <v>1</v>
          </cell>
          <cell r="H1769">
            <v>1</v>
          </cell>
          <cell r="I1769">
            <v>1.9259999999999999</v>
          </cell>
          <cell r="J1769">
            <v>1.90487994</v>
          </cell>
          <cell r="K1769">
            <v>1.90487994</v>
          </cell>
          <cell r="L1769">
            <v>2.0625322082585301E-2</v>
          </cell>
          <cell r="M1769">
            <v>1.9255052620825901</v>
          </cell>
          <cell r="N1769">
            <v>2.6315789473684199E-2</v>
          </cell>
          <cell r="O1769">
            <v>38</v>
          </cell>
          <cell r="P1769">
            <v>0.17105263157894701</v>
          </cell>
          <cell r="Q1769">
            <v>0.57777777777777795</v>
          </cell>
        </row>
        <row r="1770">
          <cell r="A1770">
            <v>211704</v>
          </cell>
          <cell r="B1770">
            <v>4</v>
          </cell>
          <cell r="C1770">
            <v>10</v>
          </cell>
          <cell r="D1770">
            <v>2</v>
          </cell>
          <cell r="E1770" t="str">
            <v>NON-HS</v>
          </cell>
          <cell r="F1770" t="str">
            <v>Miracle Mile</v>
          </cell>
          <cell r="G1770">
            <v>0</v>
          </cell>
          <cell r="H1770">
            <v>0</v>
          </cell>
          <cell r="I1770">
            <v>8.6289999999999996</v>
          </cell>
          <cell r="J1770">
            <v>3.5861715599999999</v>
          </cell>
          <cell r="K1770">
            <v>8.5861715600000004</v>
          </cell>
          <cell r="L1770">
            <v>4.2117253842010802E-2</v>
          </cell>
          <cell r="M1770">
            <v>8.6282888138420102</v>
          </cell>
          <cell r="N1770">
            <v>2.6315789473684199E-2</v>
          </cell>
          <cell r="O1770">
            <v>0</v>
          </cell>
          <cell r="P1770">
            <v>0.17105263157894701</v>
          </cell>
          <cell r="Q1770">
            <v>0.57777777777777795</v>
          </cell>
          <cell r="R1770">
            <v>9.0909090909090898E-2</v>
          </cell>
          <cell r="S1770">
            <v>0</v>
          </cell>
        </row>
        <row r="1771">
          <cell r="A1771">
            <v>211804</v>
          </cell>
          <cell r="B1771">
            <v>4</v>
          </cell>
          <cell r="C1771">
            <v>10</v>
          </cell>
          <cell r="D1771">
            <v>2</v>
          </cell>
          <cell r="E1771" t="str">
            <v>NON-HS</v>
          </cell>
          <cell r="F1771" t="str">
            <v>Wilshire Center-Koreatown</v>
          </cell>
          <cell r="G1771">
            <v>0</v>
          </cell>
          <cell r="H1771">
            <v>0</v>
          </cell>
          <cell r="I1771">
            <v>13.145</v>
          </cell>
          <cell r="J1771">
            <v>6.9302480700000002</v>
          </cell>
          <cell r="K1771">
            <v>12.930248069999999</v>
          </cell>
          <cell r="L1771">
            <v>0.21419458206463199</v>
          </cell>
          <cell r="M1771">
            <v>13.144442652064599</v>
          </cell>
          <cell r="N1771">
            <v>2.6315789473684199E-2</v>
          </cell>
          <cell r="O1771">
            <v>0</v>
          </cell>
          <cell r="P1771">
            <v>0.17105263157894701</v>
          </cell>
          <cell r="Q1771">
            <v>0.57777777777777795</v>
          </cell>
          <cell r="R1771">
            <v>9.0909090909090898E-2</v>
          </cell>
          <cell r="S1771">
            <v>0</v>
          </cell>
        </row>
        <row r="1772">
          <cell r="A1772">
            <v>211922</v>
          </cell>
          <cell r="B1772">
            <v>4</v>
          </cell>
          <cell r="C1772">
            <v>10</v>
          </cell>
          <cell r="D1772">
            <v>2</v>
          </cell>
          <cell r="E1772" t="str">
            <v>NON-HS</v>
          </cell>
          <cell r="F1772" t="str">
            <v>Wilshire Center-Koreatown</v>
          </cell>
          <cell r="G1772">
            <v>0</v>
          </cell>
          <cell r="H1772">
            <v>0</v>
          </cell>
          <cell r="I1772">
            <v>3.5110000000000001</v>
          </cell>
          <cell r="J1772">
            <v>3.4144237899999998</v>
          </cell>
          <cell r="K1772">
            <v>3.4144237899999998</v>
          </cell>
          <cell r="L1772">
            <v>9.6477442046678602E-2</v>
          </cell>
          <cell r="M1772">
            <v>3.5109012320466801</v>
          </cell>
          <cell r="N1772">
            <v>2.6315789473684199E-2</v>
          </cell>
          <cell r="O1772">
            <v>0</v>
          </cell>
          <cell r="P1772">
            <v>0.17105263157894701</v>
          </cell>
          <cell r="Q1772">
            <v>0.57777777777777795</v>
          </cell>
          <cell r="R1772">
            <v>9.0909090909090898E-2</v>
          </cell>
          <cell r="S1772">
            <v>0</v>
          </cell>
        </row>
        <row r="1773">
          <cell r="A1773">
            <v>212102</v>
          </cell>
          <cell r="B1773">
            <v>4</v>
          </cell>
          <cell r="C1773">
            <v>10</v>
          </cell>
          <cell r="D1773">
            <v>2</v>
          </cell>
          <cell r="E1773" t="str">
            <v>NON-HS</v>
          </cell>
          <cell r="F1773" t="str">
            <v>Wilshire Center-Koreatown</v>
          </cell>
          <cell r="G1773">
            <v>0</v>
          </cell>
          <cell r="H1773">
            <v>0</v>
          </cell>
          <cell r="I1773">
            <v>6.9969999999999999</v>
          </cell>
          <cell r="J1773">
            <v>4.8017798100000002</v>
          </cell>
          <cell r="K1773">
            <v>6.8017798100000002</v>
          </cell>
          <cell r="L1773">
            <v>0.19443586965888701</v>
          </cell>
          <cell r="M1773">
            <v>6.9962156796588904</v>
          </cell>
          <cell r="N1773">
            <v>2.6315789473684199E-2</v>
          </cell>
          <cell r="O1773">
            <v>0</v>
          </cell>
          <cell r="P1773">
            <v>0.17105263157894701</v>
          </cell>
          <cell r="Q1773">
            <v>0.57777777777777795</v>
          </cell>
          <cell r="R1773">
            <v>9.0909090909090898E-2</v>
          </cell>
          <cell r="S1773">
            <v>0</v>
          </cell>
        </row>
        <row r="1774">
          <cell r="A1774">
            <v>212303</v>
          </cell>
          <cell r="B1774">
            <v>4</v>
          </cell>
          <cell r="C1774">
            <v>10</v>
          </cell>
          <cell r="D1774">
            <v>2</v>
          </cell>
          <cell r="E1774" t="str">
            <v>NON-HS</v>
          </cell>
          <cell r="F1774" t="str">
            <v>Wilshire Center-Koreatown</v>
          </cell>
          <cell r="G1774">
            <v>0</v>
          </cell>
          <cell r="H1774">
            <v>0</v>
          </cell>
          <cell r="I1774">
            <v>7</v>
          </cell>
          <cell r="J1774">
            <v>0</v>
          </cell>
          <cell r="K1774">
            <v>7</v>
          </cell>
          <cell r="L1774">
            <v>0</v>
          </cell>
          <cell r="M1774">
            <v>7</v>
          </cell>
          <cell r="N1774">
            <v>2.6315789473684199E-2</v>
          </cell>
          <cell r="O1774">
            <v>0</v>
          </cell>
          <cell r="P1774">
            <v>0.17105263157894701</v>
          </cell>
          <cell r="Q1774">
            <v>0.57777777777777795</v>
          </cell>
          <cell r="R1774">
            <v>9.0909090909090898E-2</v>
          </cell>
          <cell r="S1774">
            <v>0</v>
          </cell>
        </row>
        <row r="1775">
          <cell r="A1775">
            <v>212304</v>
          </cell>
          <cell r="B1775">
            <v>4</v>
          </cell>
          <cell r="C1775">
            <v>10</v>
          </cell>
          <cell r="D1775">
            <v>2</v>
          </cell>
          <cell r="E1775" t="str">
            <v>NON-HS</v>
          </cell>
          <cell r="F1775" t="str">
            <v>Wilshire Center-Koreatown</v>
          </cell>
          <cell r="G1775">
            <v>0</v>
          </cell>
          <cell r="H1775">
            <v>0</v>
          </cell>
          <cell r="I1775">
            <v>4.5110000000000001</v>
          </cell>
          <cell r="J1775">
            <v>3.4144237899999998</v>
          </cell>
          <cell r="K1775">
            <v>4.4144237899999998</v>
          </cell>
          <cell r="L1775">
            <v>9.6477442046678602E-2</v>
          </cell>
          <cell r="M1775">
            <v>4.5109012320466801</v>
          </cell>
          <cell r="N1775">
            <v>2.6315789473684199E-2</v>
          </cell>
          <cell r="O1775">
            <v>0</v>
          </cell>
          <cell r="P1775">
            <v>0.17105263157894701</v>
          </cell>
          <cell r="Q1775">
            <v>0.57777777777777795</v>
          </cell>
          <cell r="R1775">
            <v>9.0909090909090898E-2</v>
          </cell>
          <cell r="S1775">
            <v>0</v>
          </cell>
        </row>
        <row r="1776">
          <cell r="A1776">
            <v>212305</v>
          </cell>
          <cell r="B1776">
            <v>4</v>
          </cell>
          <cell r="C1776">
            <v>10</v>
          </cell>
          <cell r="D1776">
            <v>2</v>
          </cell>
          <cell r="E1776" t="str">
            <v>NON-HS</v>
          </cell>
          <cell r="F1776" t="str">
            <v>Wilshire Center-Koreatown</v>
          </cell>
          <cell r="G1776">
            <v>0</v>
          </cell>
          <cell r="H1776">
            <v>0</v>
          </cell>
          <cell r="I1776">
            <v>13.778</v>
          </cell>
          <cell r="J1776">
            <v>11.10712738</v>
          </cell>
          <cell r="K1776">
            <v>13.10712738</v>
          </cell>
          <cell r="L1776">
            <v>0.67112792195691195</v>
          </cell>
          <cell r="M1776">
            <v>13.7782553019569</v>
          </cell>
          <cell r="N1776">
            <v>2.6315789473684199E-2</v>
          </cell>
          <cell r="O1776">
            <v>0</v>
          </cell>
          <cell r="P1776">
            <v>0.17105263157894701</v>
          </cell>
          <cell r="Q1776">
            <v>0.57777777777777795</v>
          </cell>
          <cell r="R1776">
            <v>9.0909090909090898E-2</v>
          </cell>
          <cell r="S1776">
            <v>0</v>
          </cell>
        </row>
        <row r="1777">
          <cell r="A1777">
            <v>212306</v>
          </cell>
          <cell r="B1777">
            <v>4</v>
          </cell>
          <cell r="C1777">
            <v>10</v>
          </cell>
          <cell r="D1777">
            <v>2</v>
          </cell>
          <cell r="E1777" t="str">
            <v>NON-HS</v>
          </cell>
          <cell r="F1777" t="str">
            <v>Wilshire Center-Koreatown</v>
          </cell>
          <cell r="G1777">
            <v>0</v>
          </cell>
          <cell r="H1777">
            <v>1</v>
          </cell>
          <cell r="I1777">
            <v>12.231999999999999</v>
          </cell>
          <cell r="J1777">
            <v>6.9325286799999999</v>
          </cell>
          <cell r="K1777">
            <v>11.932528680000001</v>
          </cell>
          <cell r="L1777">
            <v>0.29994204114901302</v>
          </cell>
          <cell r="M1777">
            <v>12.232470721148999</v>
          </cell>
          <cell r="N1777">
            <v>2.6315789473684199E-2</v>
          </cell>
          <cell r="O1777">
            <v>0</v>
          </cell>
          <cell r="P1777">
            <v>0.17105263157894701</v>
          </cell>
          <cell r="Q1777">
            <v>0.57777777777777795</v>
          </cell>
          <cell r="R1777">
            <v>9.0909090909090898E-2</v>
          </cell>
          <cell r="S1777">
            <v>11</v>
          </cell>
        </row>
        <row r="1778">
          <cell r="A1778">
            <v>212410</v>
          </cell>
          <cell r="B1778">
            <v>4</v>
          </cell>
          <cell r="C1778">
            <v>10</v>
          </cell>
          <cell r="D1778">
            <v>2</v>
          </cell>
          <cell r="E1778" t="str">
            <v>NON-HS</v>
          </cell>
          <cell r="F1778" t="str">
            <v>Wilshire Center-Koreatown</v>
          </cell>
          <cell r="G1778">
            <v>0</v>
          </cell>
          <cell r="H1778">
            <v>0</v>
          </cell>
          <cell r="I1778">
            <v>2</v>
          </cell>
          <cell r="J1778">
            <v>0</v>
          </cell>
          <cell r="K1778">
            <v>2</v>
          </cell>
          <cell r="L1778">
            <v>0</v>
          </cell>
          <cell r="M1778">
            <v>2</v>
          </cell>
          <cell r="N1778">
            <v>2.6315789473684199E-2</v>
          </cell>
          <cell r="O1778">
            <v>0</v>
          </cell>
          <cell r="P1778">
            <v>0.17105263157894701</v>
          </cell>
          <cell r="Q1778">
            <v>0.57777777777777795</v>
          </cell>
          <cell r="R1778">
            <v>9.0909090909090898E-2</v>
          </cell>
          <cell r="S1778">
            <v>0</v>
          </cell>
        </row>
        <row r="1779">
          <cell r="A1779">
            <v>212420</v>
          </cell>
          <cell r="B1779">
            <v>4</v>
          </cell>
          <cell r="C1779">
            <v>10</v>
          </cell>
          <cell r="D1779">
            <v>2</v>
          </cell>
          <cell r="E1779" t="str">
            <v>NON-HS</v>
          </cell>
          <cell r="F1779" t="str">
            <v>Wilshire Center-Koreatown</v>
          </cell>
          <cell r="G1779">
            <v>0</v>
          </cell>
          <cell r="H1779">
            <v>0</v>
          </cell>
          <cell r="I1779">
            <v>3.9260000000000002</v>
          </cell>
          <cell r="J1779">
            <v>1.90487994</v>
          </cell>
          <cell r="K1779">
            <v>3.9048799399999998</v>
          </cell>
          <cell r="L1779">
            <v>2.0625322082585301E-2</v>
          </cell>
          <cell r="M1779">
            <v>3.9255052620825901</v>
          </cell>
          <cell r="N1779">
            <v>2.6315789473684199E-2</v>
          </cell>
          <cell r="O1779">
            <v>0</v>
          </cell>
          <cell r="P1779">
            <v>0.17105263157894701</v>
          </cell>
          <cell r="Q1779">
            <v>0.57777777777777795</v>
          </cell>
          <cell r="R1779">
            <v>9.0909090909090898E-2</v>
          </cell>
          <cell r="S1779">
            <v>0</v>
          </cell>
        </row>
        <row r="1780">
          <cell r="A1780">
            <v>212900</v>
          </cell>
          <cell r="B1780">
            <v>4</v>
          </cell>
          <cell r="C1780">
            <v>10</v>
          </cell>
          <cell r="D1780">
            <v>2</v>
          </cell>
          <cell r="E1780" t="str">
            <v>NON-HS</v>
          </cell>
          <cell r="F1780" t="str">
            <v>Miracle Mile</v>
          </cell>
          <cell r="G1780">
            <v>0</v>
          </cell>
          <cell r="H1780">
            <v>0</v>
          </cell>
          <cell r="I1780">
            <v>17.611000000000001</v>
          </cell>
          <cell r="J1780">
            <v>16.648241840000001</v>
          </cell>
          <cell r="K1780">
            <v>16.648241840000001</v>
          </cell>
          <cell r="L1780">
            <v>0.96194810299820499</v>
          </cell>
          <cell r="M1780">
            <v>17.610189942998201</v>
          </cell>
          <cell r="N1780">
            <v>2.6315789473684199E-2</v>
          </cell>
          <cell r="O1780">
            <v>0</v>
          </cell>
          <cell r="P1780">
            <v>0.17105263157894701</v>
          </cell>
          <cell r="Q1780">
            <v>0.57777777777777795</v>
          </cell>
          <cell r="R1780">
            <v>9.0909090909090898E-2</v>
          </cell>
          <cell r="S1780">
            <v>0</v>
          </cell>
        </row>
        <row r="1781">
          <cell r="A1781">
            <v>213100</v>
          </cell>
          <cell r="B1781">
            <v>4</v>
          </cell>
          <cell r="C1781">
            <v>10</v>
          </cell>
          <cell r="D1781">
            <v>2</v>
          </cell>
          <cell r="E1781" t="str">
            <v>NON-HS</v>
          </cell>
          <cell r="F1781" t="str">
            <v>Miracle Mile</v>
          </cell>
          <cell r="G1781">
            <v>0</v>
          </cell>
          <cell r="H1781">
            <v>0</v>
          </cell>
          <cell r="I1781">
            <v>17.052</v>
          </cell>
          <cell r="J1781">
            <v>14.72379621</v>
          </cell>
          <cell r="K1781">
            <v>16.72379621</v>
          </cell>
          <cell r="L1781">
            <v>0.32808314127468602</v>
          </cell>
          <cell r="M1781">
            <v>17.0518793512747</v>
          </cell>
          <cell r="N1781">
            <v>2.6315789473684199E-2</v>
          </cell>
          <cell r="O1781">
            <v>0</v>
          </cell>
          <cell r="P1781">
            <v>0.17105263157894701</v>
          </cell>
          <cell r="Q1781">
            <v>0.57777777777777795</v>
          </cell>
          <cell r="R1781">
            <v>9.0909090909090898E-2</v>
          </cell>
          <cell r="S1781">
            <v>0</v>
          </cell>
        </row>
        <row r="1782">
          <cell r="A1782">
            <v>216700</v>
          </cell>
          <cell r="B1782">
            <v>4</v>
          </cell>
          <cell r="C1782">
            <v>10</v>
          </cell>
          <cell r="D1782">
            <v>2</v>
          </cell>
          <cell r="E1782" t="str">
            <v>NON-HS</v>
          </cell>
          <cell r="F1782" t="str">
            <v>Miracle Mile</v>
          </cell>
          <cell r="G1782">
            <v>0</v>
          </cell>
          <cell r="H1782">
            <v>0</v>
          </cell>
          <cell r="I1782">
            <v>3.6160000000000001</v>
          </cell>
          <cell r="J1782">
            <v>3.4662643399999999</v>
          </cell>
          <cell r="K1782">
            <v>3.4662643399999999</v>
          </cell>
          <cell r="L1782">
            <v>0.14997102057450601</v>
          </cell>
          <cell r="M1782">
            <v>3.6162353605745099</v>
          </cell>
          <cell r="N1782">
            <v>2.6315789473684199E-2</v>
          </cell>
          <cell r="O1782">
            <v>0</v>
          </cell>
          <cell r="P1782">
            <v>0.17105263157894701</v>
          </cell>
          <cell r="Q1782">
            <v>0.57777777777777795</v>
          </cell>
          <cell r="R1782">
            <v>9.0909090909090898E-2</v>
          </cell>
          <cell r="S1782">
            <v>0</v>
          </cell>
        </row>
        <row r="1783">
          <cell r="A1783">
            <v>217100</v>
          </cell>
          <cell r="B1783">
            <v>4</v>
          </cell>
          <cell r="C1783">
            <v>10</v>
          </cell>
          <cell r="D1783">
            <v>2</v>
          </cell>
          <cell r="E1783" t="str">
            <v>NON-HS</v>
          </cell>
          <cell r="F1783" t="str">
            <v>Miracle Mile</v>
          </cell>
          <cell r="G1783">
            <v>0</v>
          </cell>
          <cell r="H1783">
            <v>0</v>
          </cell>
          <cell r="I1783">
            <v>8.2850000000000001</v>
          </cell>
          <cell r="J1783">
            <v>5.9510989800000003</v>
          </cell>
          <cell r="K1783">
            <v>7.9510989800000003</v>
          </cell>
          <cell r="L1783">
            <v>0.33351780414721699</v>
          </cell>
          <cell r="M1783">
            <v>8.2846167841472198</v>
          </cell>
          <cell r="N1783">
            <v>2.6315789473684199E-2</v>
          </cell>
          <cell r="O1783">
            <v>0</v>
          </cell>
          <cell r="P1783">
            <v>0.17105263157894701</v>
          </cell>
          <cell r="Q1783">
            <v>0.57777777777777795</v>
          </cell>
          <cell r="R1783">
            <v>9.0909090909090898E-2</v>
          </cell>
          <cell r="S1783">
            <v>0</v>
          </cell>
        </row>
        <row r="1784">
          <cell r="A1784">
            <v>217200</v>
          </cell>
          <cell r="B1784">
            <v>4</v>
          </cell>
          <cell r="C1784">
            <v>10</v>
          </cell>
          <cell r="D1784">
            <v>2</v>
          </cell>
          <cell r="E1784" t="str">
            <v>NON-HS</v>
          </cell>
          <cell r="F1784" t="str">
            <v>Miracle Mile</v>
          </cell>
          <cell r="G1784">
            <v>0</v>
          </cell>
          <cell r="H1784">
            <v>0</v>
          </cell>
          <cell r="I1784">
            <v>1</v>
          </cell>
          <cell r="J1784">
            <v>0</v>
          </cell>
          <cell r="K1784">
            <v>1</v>
          </cell>
          <cell r="L1784">
            <v>0</v>
          </cell>
          <cell r="M1784">
            <v>1</v>
          </cell>
          <cell r="N1784">
            <v>2.6315789473684199E-2</v>
          </cell>
          <cell r="O1784">
            <v>0</v>
          </cell>
          <cell r="P1784">
            <v>0.17105263157894701</v>
          </cell>
          <cell r="Q1784">
            <v>0.57777777777777795</v>
          </cell>
          <cell r="R1784">
            <v>9.0909090909090898E-2</v>
          </cell>
          <cell r="S1784">
            <v>0</v>
          </cell>
        </row>
        <row r="1785">
          <cell r="A1785">
            <v>218210</v>
          </cell>
          <cell r="B1785">
            <v>4</v>
          </cell>
          <cell r="C1785">
            <v>10</v>
          </cell>
          <cell r="D1785">
            <v>2</v>
          </cell>
          <cell r="E1785" t="str">
            <v>NON-HS</v>
          </cell>
          <cell r="F1785" t="str">
            <v>Mid City</v>
          </cell>
          <cell r="G1785">
            <v>0</v>
          </cell>
          <cell r="H1785">
            <v>0</v>
          </cell>
          <cell r="I1785">
            <v>4.1900000000000004</v>
          </cell>
          <cell r="J1785">
            <v>3.9673993200000002</v>
          </cell>
          <cell r="K1785">
            <v>3.9673993200000002</v>
          </cell>
          <cell r="L1785">
            <v>0.22234520276481101</v>
          </cell>
          <cell r="M1785">
            <v>4.1897445227648102</v>
          </cell>
          <cell r="N1785">
            <v>2.6315789473684199E-2</v>
          </cell>
          <cell r="O1785">
            <v>0</v>
          </cell>
          <cell r="P1785">
            <v>0.17105263157894701</v>
          </cell>
          <cell r="Q1785">
            <v>0.57777777777777795</v>
          </cell>
          <cell r="R1785">
            <v>9.0909090909090898E-2</v>
          </cell>
          <cell r="S1785">
            <v>0</v>
          </cell>
        </row>
        <row r="1786">
          <cell r="A1786">
            <v>212800</v>
          </cell>
          <cell r="B1786">
            <v>4</v>
          </cell>
          <cell r="C1786">
            <v>10</v>
          </cell>
          <cell r="D1786">
            <v>2</v>
          </cell>
          <cell r="E1786" t="str">
            <v>NON-HS</v>
          </cell>
          <cell r="F1786" t="str">
            <v>Miracle Mile</v>
          </cell>
          <cell r="G1786">
            <v>0</v>
          </cell>
          <cell r="H1786">
            <v>0</v>
          </cell>
          <cell r="I1786">
            <v>13.019</v>
          </cell>
          <cell r="J1786">
            <v>9.5891110899999994</v>
          </cell>
          <cell r="K1786">
            <v>12.589111089999999</v>
          </cell>
          <cell r="L1786">
            <v>0.42912863651705602</v>
          </cell>
          <cell r="M1786">
            <v>13.0182397265171</v>
          </cell>
          <cell r="N1786">
            <v>2.6315789473684199E-2</v>
          </cell>
          <cell r="O1786">
            <v>0</v>
          </cell>
          <cell r="P1786">
            <v>0.17105263157894701</v>
          </cell>
          <cell r="Q1786">
            <v>0.57777777777777795</v>
          </cell>
          <cell r="R1786">
            <v>9.0909090909090898E-2</v>
          </cell>
          <cell r="S1786">
            <v>0</v>
          </cell>
        </row>
        <row r="1787">
          <cell r="A1787">
            <v>218220</v>
          </cell>
          <cell r="B1787">
            <v>4</v>
          </cell>
          <cell r="C1787">
            <v>10</v>
          </cell>
          <cell r="D1787">
            <v>2</v>
          </cell>
          <cell r="E1787" t="str">
            <v>NON-HS</v>
          </cell>
          <cell r="F1787" t="str">
            <v>Mid City</v>
          </cell>
          <cell r="G1787">
            <v>0</v>
          </cell>
          <cell r="H1787">
            <v>0</v>
          </cell>
          <cell r="I1787">
            <v>8.9030000000000005</v>
          </cell>
          <cell r="J1787">
            <v>3.7168318299999998</v>
          </cell>
          <cell r="K1787">
            <v>8.7168318300000003</v>
          </cell>
          <cell r="L1787">
            <v>0.18615811166965901</v>
          </cell>
          <cell r="M1787">
            <v>8.9029899416696594</v>
          </cell>
          <cell r="N1787">
            <v>2.6315789473684199E-2</v>
          </cell>
          <cell r="O1787">
            <v>0</v>
          </cell>
          <cell r="P1787">
            <v>0.17105263157894701</v>
          </cell>
          <cell r="Q1787">
            <v>0.57777777777777795</v>
          </cell>
          <cell r="R1787">
            <v>9.0909090909090898E-2</v>
          </cell>
          <cell r="S1787">
            <v>0</v>
          </cell>
        </row>
        <row r="1788">
          <cell r="A1788">
            <v>221210</v>
          </cell>
          <cell r="B1788">
            <v>4</v>
          </cell>
          <cell r="C1788">
            <v>10</v>
          </cell>
          <cell r="D1788">
            <v>2</v>
          </cell>
          <cell r="E1788" t="str">
            <v>NON-HS</v>
          </cell>
          <cell r="F1788" t="str">
            <v>West Adams-Expo Park</v>
          </cell>
          <cell r="G1788">
            <v>0</v>
          </cell>
          <cell r="H1788">
            <v>0</v>
          </cell>
          <cell r="I1788">
            <v>14.260999999999999</v>
          </cell>
          <cell r="J1788">
            <v>12.80252733</v>
          </cell>
          <cell r="K1788">
            <v>13.80252733</v>
          </cell>
          <cell r="L1788">
            <v>0.457165106912029</v>
          </cell>
          <cell r="M1788">
            <v>14.259692436911999</v>
          </cell>
          <cell r="N1788">
            <v>2.6315789473684199E-2</v>
          </cell>
          <cell r="O1788">
            <v>0</v>
          </cell>
          <cell r="P1788">
            <v>0.17105263157894701</v>
          </cell>
          <cell r="Q1788">
            <v>0.57777777777777795</v>
          </cell>
          <cell r="R1788">
            <v>9.0909090909090898E-2</v>
          </cell>
          <cell r="S1788">
            <v>0</v>
          </cell>
        </row>
        <row r="1789">
          <cell r="A1789">
            <v>221304</v>
          </cell>
          <cell r="B1789">
            <v>4</v>
          </cell>
          <cell r="C1789">
            <v>10</v>
          </cell>
          <cell r="D1789">
            <v>2</v>
          </cell>
          <cell r="E1789" t="str">
            <v>NON-HS</v>
          </cell>
          <cell r="F1789" t="str">
            <v>West Adams-Expo Park</v>
          </cell>
          <cell r="G1789">
            <v>0</v>
          </cell>
          <cell r="H1789">
            <v>0</v>
          </cell>
          <cell r="I1789">
            <v>1.591</v>
          </cell>
          <cell r="J1789">
            <v>1.43919657</v>
          </cell>
          <cell r="K1789">
            <v>1.43919657</v>
          </cell>
          <cell r="L1789">
            <v>0.15145200614003601</v>
          </cell>
          <cell r="M1789">
            <v>1.59064857614004</v>
          </cell>
          <cell r="N1789">
            <v>2.6315789473684199E-2</v>
          </cell>
          <cell r="O1789">
            <v>0</v>
          </cell>
          <cell r="P1789">
            <v>0.17105263157894701</v>
          </cell>
          <cell r="Q1789">
            <v>0.57777777777777795</v>
          </cell>
          <cell r="R1789">
            <v>9.0909090909090898E-2</v>
          </cell>
          <cell r="S1789">
            <v>0</v>
          </cell>
        </row>
        <row r="1790">
          <cell r="A1790">
            <v>218110</v>
          </cell>
          <cell r="B1790">
            <v>4</v>
          </cell>
          <cell r="C1790">
            <v>10</v>
          </cell>
          <cell r="D1790">
            <v>2</v>
          </cell>
          <cell r="E1790" t="str">
            <v>NON-HS</v>
          </cell>
          <cell r="F1790" t="str">
            <v>West Adams-Expo Park</v>
          </cell>
          <cell r="G1790">
            <v>0</v>
          </cell>
          <cell r="H1790">
            <v>0</v>
          </cell>
          <cell r="I1790">
            <v>22.89</v>
          </cell>
          <cell r="J1790">
            <v>14.028888630000001</v>
          </cell>
          <cell r="K1790">
            <v>22.028888630000001</v>
          </cell>
          <cell r="L1790">
            <v>0.86137834728904805</v>
          </cell>
          <cell r="M1790">
            <v>22.890266977288999</v>
          </cell>
          <cell r="N1790">
            <v>2.6315789473684199E-2</v>
          </cell>
          <cell r="O1790">
            <v>0</v>
          </cell>
          <cell r="P1790">
            <v>0.17105263157894701</v>
          </cell>
          <cell r="Q1790">
            <v>0.57777777777777795</v>
          </cell>
          <cell r="R1790">
            <v>9.0909090909090898E-2</v>
          </cell>
          <cell r="S1790">
            <v>0</v>
          </cell>
        </row>
        <row r="1791">
          <cell r="A1791">
            <v>213202</v>
          </cell>
          <cell r="B1791">
            <v>4</v>
          </cell>
          <cell r="C1791">
            <v>10</v>
          </cell>
          <cell r="D1791">
            <v>2</v>
          </cell>
          <cell r="E1791" t="str">
            <v>NON-HS</v>
          </cell>
          <cell r="F1791" t="str">
            <v>Miracle Mile</v>
          </cell>
          <cell r="G1791">
            <v>0</v>
          </cell>
          <cell r="H1791">
            <v>0</v>
          </cell>
          <cell r="I1791">
            <v>1</v>
          </cell>
          <cell r="J1791">
            <v>0</v>
          </cell>
          <cell r="K1791">
            <v>1</v>
          </cell>
          <cell r="L1791">
            <v>0</v>
          </cell>
          <cell r="M1791">
            <v>1</v>
          </cell>
          <cell r="N1791">
            <v>2.6315789473684199E-2</v>
          </cell>
          <cell r="O1791">
            <v>0</v>
          </cell>
          <cell r="P1791">
            <v>0.17105263157894701</v>
          </cell>
          <cell r="Q1791">
            <v>0.57777777777777795</v>
          </cell>
          <cell r="R1791">
            <v>9.0909090909090898E-2</v>
          </cell>
          <cell r="S1791">
            <v>0</v>
          </cell>
        </row>
        <row r="1792">
          <cell r="A1792">
            <v>211803</v>
          </cell>
          <cell r="B1792">
            <v>4</v>
          </cell>
          <cell r="C1792">
            <v>10</v>
          </cell>
          <cell r="D1792">
            <v>2</v>
          </cell>
          <cell r="E1792" t="str">
            <v>NON-HS</v>
          </cell>
          <cell r="F1792" t="str">
            <v>Wilshire Center-Koreatown</v>
          </cell>
          <cell r="G1792">
            <v>0</v>
          </cell>
          <cell r="H1792">
            <v>0</v>
          </cell>
          <cell r="I1792">
            <v>6.58</v>
          </cell>
          <cell r="J1792">
            <v>6.0507218800000002</v>
          </cell>
          <cell r="K1792">
            <v>6.0507218800000002</v>
          </cell>
          <cell r="L1792">
            <v>0.52934152870736095</v>
          </cell>
          <cell r="M1792">
            <v>6.5800634087073604</v>
          </cell>
          <cell r="N1792">
            <v>2.6315789473684199E-2</v>
          </cell>
          <cell r="O1792">
            <v>0</v>
          </cell>
          <cell r="P1792">
            <v>0.17105263157894701</v>
          </cell>
          <cell r="Q1792">
            <v>0.57777777777777795</v>
          </cell>
          <cell r="R1792">
            <v>9.0909090909090898E-2</v>
          </cell>
          <cell r="S1792">
            <v>0</v>
          </cell>
        </row>
        <row r="1793">
          <cell r="A1793">
            <v>211910</v>
          </cell>
          <cell r="B1793">
            <v>4</v>
          </cell>
          <cell r="C1793">
            <v>10</v>
          </cell>
          <cell r="D1793">
            <v>2</v>
          </cell>
          <cell r="E1793" t="str">
            <v>NON-HS</v>
          </cell>
          <cell r="F1793" t="str">
            <v>Wilshire Center-Koreatown</v>
          </cell>
          <cell r="G1793">
            <v>0</v>
          </cell>
          <cell r="H1793">
            <v>0</v>
          </cell>
          <cell r="I1793">
            <v>2.7029999999999998</v>
          </cell>
          <cell r="J1793">
            <v>1.6812916200000001</v>
          </cell>
          <cell r="K1793">
            <v>2.6812916200000001</v>
          </cell>
          <cell r="L1793">
            <v>2.14919317594255E-2</v>
          </cell>
          <cell r="M1793">
            <v>2.7027835517594299</v>
          </cell>
          <cell r="N1793">
            <v>2.6315789473684199E-2</v>
          </cell>
          <cell r="O1793">
            <v>0</v>
          </cell>
          <cell r="P1793">
            <v>0.17105263157894701</v>
          </cell>
          <cell r="Q1793">
            <v>0.57777777777777795</v>
          </cell>
          <cell r="R1793">
            <v>9.0909090909090898E-2</v>
          </cell>
          <cell r="S1793">
            <v>0</v>
          </cell>
        </row>
        <row r="1794">
          <cell r="A1794">
            <v>269700</v>
          </cell>
          <cell r="B1794">
            <v>5</v>
          </cell>
          <cell r="C1794">
            <v>10</v>
          </cell>
          <cell r="D1794">
            <v>2</v>
          </cell>
          <cell r="E1794" t="str">
            <v>NON-HS</v>
          </cell>
          <cell r="F1794" t="str">
            <v>Palms</v>
          </cell>
          <cell r="G1794">
            <v>0</v>
          </cell>
          <cell r="H1794">
            <v>0</v>
          </cell>
          <cell r="I1794">
            <v>16.073</v>
          </cell>
          <cell r="J1794">
            <v>14.465312219999999</v>
          </cell>
          <cell r="K1794">
            <v>15.465312219999999</v>
          </cell>
          <cell r="L1794">
            <v>0.60775050337522396</v>
          </cell>
          <cell r="M1794">
            <v>16.073062723375202</v>
          </cell>
          <cell r="N1794">
            <v>3.2258064516128997E-2</v>
          </cell>
          <cell r="O1794">
            <v>0</v>
          </cell>
          <cell r="P1794">
            <v>3.2258064516128997E-2</v>
          </cell>
          <cell r="Q1794">
            <v>6.6666666666666693E-2</v>
          </cell>
          <cell r="R1794">
            <v>9.0909090909090898E-2</v>
          </cell>
          <cell r="S1794">
            <v>0</v>
          </cell>
        </row>
        <row r="1795">
          <cell r="A1795">
            <v>269601</v>
          </cell>
          <cell r="B1795">
            <v>5</v>
          </cell>
          <cell r="C1795">
            <v>10</v>
          </cell>
          <cell r="D1795">
            <v>2</v>
          </cell>
          <cell r="E1795" t="str">
            <v>NON-HS</v>
          </cell>
          <cell r="F1795" t="str">
            <v>Palms</v>
          </cell>
          <cell r="G1795">
            <v>0</v>
          </cell>
          <cell r="H1795">
            <v>0</v>
          </cell>
          <cell r="I1795">
            <v>14.516</v>
          </cell>
          <cell r="J1795">
            <v>11.98487598</v>
          </cell>
          <cell r="K1795">
            <v>13.98487598</v>
          </cell>
          <cell r="L1795">
            <v>0.530565001903052</v>
          </cell>
          <cell r="M1795">
            <v>14.515440981903099</v>
          </cell>
          <cell r="N1795">
            <v>3.2258064516128997E-2</v>
          </cell>
          <cell r="O1795">
            <v>0</v>
          </cell>
          <cell r="P1795">
            <v>3.2258064516128997E-2</v>
          </cell>
          <cell r="Q1795">
            <v>6.6666666666666693E-2</v>
          </cell>
          <cell r="R1795">
            <v>9.0909090909090898E-2</v>
          </cell>
          <cell r="S1795">
            <v>0</v>
          </cell>
        </row>
        <row r="1796">
          <cell r="A1796">
            <v>269602</v>
          </cell>
          <cell r="B1796">
            <v>5</v>
          </cell>
          <cell r="C1796">
            <v>10</v>
          </cell>
          <cell r="D1796">
            <v>2</v>
          </cell>
          <cell r="E1796" t="str">
            <v>NON-HS</v>
          </cell>
          <cell r="F1796" t="str">
            <v>Palms</v>
          </cell>
          <cell r="G1796">
            <v>0</v>
          </cell>
          <cell r="H1796">
            <v>0</v>
          </cell>
          <cell r="I1796">
            <v>1.8080000000000001</v>
          </cell>
          <cell r="J1796">
            <v>1.73313217</v>
          </cell>
          <cell r="K1796">
            <v>1.73313217</v>
          </cell>
          <cell r="L1796">
            <v>7.4985510287253102E-2</v>
          </cell>
          <cell r="M1796">
            <v>1.8081176802872501</v>
          </cell>
          <cell r="N1796">
            <v>3.2258064516128997E-2</v>
          </cell>
          <cell r="O1796">
            <v>0</v>
          </cell>
          <cell r="P1796">
            <v>3.2258064516128997E-2</v>
          </cell>
          <cell r="Q1796">
            <v>6.6666666666666693E-2</v>
          </cell>
          <cell r="R1796">
            <v>9.0909090909090898E-2</v>
          </cell>
          <cell r="S1796">
            <v>0</v>
          </cell>
        </row>
        <row r="1797">
          <cell r="A1797">
            <v>236000</v>
          </cell>
          <cell r="B1797">
            <v>6</v>
          </cell>
          <cell r="C1797">
            <v>10</v>
          </cell>
          <cell r="D1797">
            <v>2</v>
          </cell>
          <cell r="E1797" t="str">
            <v>NON-HS</v>
          </cell>
          <cell r="F1797" t="str">
            <v>Baldwin Hills / Crenshaw</v>
          </cell>
          <cell r="G1797">
            <v>0</v>
          </cell>
          <cell r="H1797">
            <v>0</v>
          </cell>
          <cell r="I1797">
            <v>3.851</v>
          </cell>
          <cell r="J1797">
            <v>3.8097598800000001</v>
          </cell>
          <cell r="K1797">
            <v>3.8097598800000001</v>
          </cell>
          <cell r="L1797">
            <v>4.1250644165170602E-2</v>
          </cell>
          <cell r="M1797">
            <v>3.85101052416517</v>
          </cell>
          <cell r="N1797">
            <v>2.34375E-2</v>
          </cell>
          <cell r="O1797">
            <v>0</v>
          </cell>
          <cell r="P1797">
            <v>0.125</v>
          </cell>
          <cell r="Q1797">
            <v>0.35555555555555601</v>
          </cell>
          <cell r="R1797">
            <v>9.0909090909090898E-2</v>
          </cell>
          <cell r="S1797">
            <v>0</v>
          </cell>
        </row>
        <row r="1798">
          <cell r="A1798">
            <v>220100</v>
          </cell>
          <cell r="B1798">
            <v>6</v>
          </cell>
          <cell r="C1798">
            <v>10</v>
          </cell>
          <cell r="D1798">
            <v>2</v>
          </cell>
          <cell r="E1798" t="str">
            <v>NON-HS</v>
          </cell>
          <cell r="F1798" t="str">
            <v>Adams-La Brea</v>
          </cell>
          <cell r="G1798">
            <v>0</v>
          </cell>
          <cell r="H1798">
            <v>0</v>
          </cell>
          <cell r="I1798">
            <v>4.9260000000000002</v>
          </cell>
          <cell r="J1798">
            <v>1.90487994</v>
          </cell>
          <cell r="K1798">
            <v>4.9048799399999998</v>
          </cell>
          <cell r="L1798">
            <v>2.0625322082585301E-2</v>
          </cell>
          <cell r="M1798">
            <v>4.9255052620825897</v>
          </cell>
          <cell r="N1798">
            <v>2.34375E-2</v>
          </cell>
          <cell r="O1798">
            <v>0</v>
          </cell>
          <cell r="P1798">
            <v>0.125</v>
          </cell>
          <cell r="Q1798">
            <v>0.35555555555555601</v>
          </cell>
          <cell r="R1798">
            <v>9.0909090909090898E-2</v>
          </cell>
          <cell r="S1798">
            <v>0</v>
          </cell>
        </row>
        <row r="1799">
          <cell r="A1799">
            <v>218400</v>
          </cell>
          <cell r="B1799">
            <v>6</v>
          </cell>
          <cell r="C1799">
            <v>10</v>
          </cell>
          <cell r="D1799">
            <v>2</v>
          </cell>
          <cell r="E1799" t="str">
            <v>NON-HS</v>
          </cell>
          <cell r="F1799" t="str">
            <v>Mid City</v>
          </cell>
          <cell r="G1799">
            <v>0</v>
          </cell>
          <cell r="H1799">
            <v>1</v>
          </cell>
          <cell r="I1799">
            <v>20.949000000000002</v>
          </cell>
          <cell r="J1799">
            <v>19.836996599999999</v>
          </cell>
          <cell r="K1799">
            <v>19.836996599999999</v>
          </cell>
          <cell r="L1799">
            <v>1.1117260138240601</v>
          </cell>
          <cell r="M1799">
            <v>20.948722613824099</v>
          </cell>
          <cell r="N1799">
            <v>2.34375E-2</v>
          </cell>
          <cell r="O1799">
            <v>0</v>
          </cell>
          <cell r="P1799">
            <v>0.125</v>
          </cell>
          <cell r="Q1799">
            <v>0.35555555555555601</v>
          </cell>
          <cell r="R1799">
            <v>9.0909090909090898E-2</v>
          </cell>
          <cell r="S1799">
            <v>11</v>
          </cell>
        </row>
        <row r="1800">
          <cell r="A1800">
            <v>218500</v>
          </cell>
          <cell r="B1800">
            <v>6</v>
          </cell>
          <cell r="C1800">
            <v>10</v>
          </cell>
          <cell r="D1800">
            <v>2</v>
          </cell>
          <cell r="E1800" t="str">
            <v>NON-HS</v>
          </cell>
          <cell r="F1800" t="str">
            <v>Mid City</v>
          </cell>
          <cell r="G1800">
            <v>0</v>
          </cell>
          <cell r="H1800">
            <v>0</v>
          </cell>
          <cell r="I1800">
            <v>11.558</v>
          </cell>
          <cell r="J1800">
            <v>11.121235710000001</v>
          </cell>
          <cell r="K1800">
            <v>11.121235710000001</v>
          </cell>
          <cell r="L1800">
            <v>0.43567317515260301</v>
          </cell>
          <cell r="M1800">
            <v>11.5569088851526</v>
          </cell>
          <cell r="N1800">
            <v>2.34375E-2</v>
          </cell>
          <cell r="O1800">
            <v>0</v>
          </cell>
          <cell r="P1800">
            <v>0.125</v>
          </cell>
          <cell r="Q1800">
            <v>0.35555555555555601</v>
          </cell>
          <cell r="R1800">
            <v>9.0909090909090898E-2</v>
          </cell>
          <cell r="S1800">
            <v>0</v>
          </cell>
        </row>
        <row r="1801">
          <cell r="A1801">
            <v>218600</v>
          </cell>
          <cell r="B1801">
            <v>6</v>
          </cell>
          <cell r="C1801">
            <v>10</v>
          </cell>
          <cell r="D1801">
            <v>2</v>
          </cell>
          <cell r="E1801" t="str">
            <v>NON-HS</v>
          </cell>
          <cell r="F1801" t="str">
            <v>Mid City</v>
          </cell>
          <cell r="G1801">
            <v>0</v>
          </cell>
          <cell r="H1801">
            <v>0</v>
          </cell>
          <cell r="I1801">
            <v>2.0950000000000002</v>
          </cell>
          <cell r="J1801">
            <v>1.9836996600000001</v>
          </cell>
          <cell r="K1801">
            <v>1.9836996600000001</v>
          </cell>
          <cell r="L1801">
            <v>0.11117260138240601</v>
          </cell>
          <cell r="M1801">
            <v>2.09487226138241</v>
          </cell>
          <cell r="N1801">
            <v>2.34375E-2</v>
          </cell>
          <cell r="O1801">
            <v>0</v>
          </cell>
          <cell r="P1801">
            <v>0.125</v>
          </cell>
          <cell r="Q1801">
            <v>0.35555555555555601</v>
          </cell>
          <cell r="R1801">
            <v>9.0909090909090898E-2</v>
          </cell>
          <cell r="S1801">
            <v>0</v>
          </cell>
        </row>
        <row r="1802">
          <cell r="A1802">
            <v>218701</v>
          </cell>
          <cell r="B1802">
            <v>6</v>
          </cell>
          <cell r="C1802">
            <v>10</v>
          </cell>
          <cell r="D1802">
            <v>2</v>
          </cell>
          <cell r="E1802" t="str">
            <v>NON-HS</v>
          </cell>
          <cell r="F1802" t="str">
            <v>West Adams-Expo Park</v>
          </cell>
          <cell r="G1802">
            <v>0</v>
          </cell>
          <cell r="H1802">
            <v>0</v>
          </cell>
          <cell r="I1802">
            <v>8.2110000000000003</v>
          </cell>
          <cell r="J1802">
            <v>7.8559789200000001</v>
          </cell>
          <cell r="K1802">
            <v>7.8559789200000001</v>
          </cell>
          <cell r="L1802">
            <v>0.35414312622980199</v>
          </cell>
          <cell r="M1802">
            <v>8.2101220462298006</v>
          </cell>
          <cell r="N1802">
            <v>2.34375E-2</v>
          </cell>
          <cell r="O1802">
            <v>0</v>
          </cell>
          <cell r="P1802">
            <v>0.125</v>
          </cell>
          <cell r="Q1802">
            <v>0.35555555555555601</v>
          </cell>
          <cell r="R1802">
            <v>9.0909090909090898E-2</v>
          </cell>
          <cell r="S1802">
            <v>0</v>
          </cell>
        </row>
        <row r="1803">
          <cell r="A1803">
            <v>218800</v>
          </cell>
          <cell r="B1803">
            <v>6</v>
          </cell>
          <cell r="C1803">
            <v>10</v>
          </cell>
          <cell r="D1803">
            <v>2</v>
          </cell>
          <cell r="E1803" t="str">
            <v>NON-HS</v>
          </cell>
          <cell r="F1803" t="str">
            <v>West Adams-Expo Park</v>
          </cell>
          <cell r="G1803">
            <v>0</v>
          </cell>
          <cell r="H1803">
            <v>0</v>
          </cell>
          <cell r="I1803">
            <v>30.907</v>
          </cell>
          <cell r="J1803">
            <v>28.430029560000001</v>
          </cell>
          <cell r="K1803">
            <v>29.430029560000001</v>
          </cell>
          <cell r="L1803">
            <v>1.47650599235189</v>
          </cell>
          <cell r="M1803">
            <v>30.906535552351901</v>
          </cell>
          <cell r="N1803">
            <v>2.34375E-2</v>
          </cell>
          <cell r="O1803">
            <v>0</v>
          </cell>
          <cell r="P1803">
            <v>0.125</v>
          </cell>
          <cell r="Q1803">
            <v>0.35555555555555601</v>
          </cell>
          <cell r="R1803">
            <v>9.0909090909090898E-2</v>
          </cell>
          <cell r="S1803">
            <v>0</v>
          </cell>
        </row>
        <row r="1804">
          <cell r="A1804">
            <v>219010</v>
          </cell>
          <cell r="B1804">
            <v>6</v>
          </cell>
          <cell r="C1804">
            <v>10</v>
          </cell>
          <cell r="D1804">
            <v>2</v>
          </cell>
          <cell r="E1804" t="str">
            <v>NON-HS</v>
          </cell>
          <cell r="F1804" t="str">
            <v>West Adams-Expo Park</v>
          </cell>
          <cell r="G1804">
            <v>0</v>
          </cell>
          <cell r="H1804">
            <v>0</v>
          </cell>
          <cell r="I1804">
            <v>22.175999999999998</v>
          </cell>
          <cell r="J1804">
            <v>17.538018059999999</v>
          </cell>
          <cell r="K1804">
            <v>21.538018059999999</v>
          </cell>
          <cell r="L1804">
            <v>0.63836429524237004</v>
          </cell>
          <cell r="M1804">
            <v>22.176382355242399</v>
          </cell>
          <cell r="N1804">
            <v>2.34375E-2</v>
          </cell>
          <cell r="O1804">
            <v>0</v>
          </cell>
          <cell r="P1804">
            <v>0.125</v>
          </cell>
          <cell r="Q1804">
            <v>0.35555555555555601</v>
          </cell>
          <cell r="R1804">
            <v>9.0909090909090898E-2</v>
          </cell>
          <cell r="S1804">
            <v>0</v>
          </cell>
        </row>
        <row r="1805">
          <cell r="A1805">
            <v>219500</v>
          </cell>
          <cell r="B1805">
            <v>6</v>
          </cell>
          <cell r="C1805">
            <v>10</v>
          </cell>
          <cell r="D1805">
            <v>2</v>
          </cell>
          <cell r="E1805" t="str">
            <v>NON-HS</v>
          </cell>
          <cell r="F1805" t="str">
            <v>Adams-La Brea</v>
          </cell>
          <cell r="G1805">
            <v>0</v>
          </cell>
          <cell r="H1805">
            <v>0</v>
          </cell>
          <cell r="I1805">
            <v>26.434000000000001</v>
          </cell>
          <cell r="J1805">
            <v>22.664068050000001</v>
          </cell>
          <cell r="K1805">
            <v>24.664068050000001</v>
          </cell>
          <cell r="L1805">
            <v>1.7700903841292599</v>
          </cell>
          <cell r="M1805">
            <v>26.434158434129301</v>
          </cell>
          <cell r="N1805">
            <v>2.34375E-2</v>
          </cell>
          <cell r="O1805">
            <v>0</v>
          </cell>
          <cell r="P1805">
            <v>0.125</v>
          </cell>
          <cell r="Q1805">
            <v>0.35555555555555601</v>
          </cell>
          <cell r="R1805">
            <v>9.0909090909090898E-2</v>
          </cell>
          <cell r="S1805">
            <v>0</v>
          </cell>
        </row>
        <row r="1806">
          <cell r="A1806">
            <v>219902</v>
          </cell>
          <cell r="B1806">
            <v>6</v>
          </cell>
          <cell r="C1806">
            <v>10</v>
          </cell>
          <cell r="D1806">
            <v>2</v>
          </cell>
          <cell r="E1806" t="str">
            <v>NON-HS</v>
          </cell>
          <cell r="F1806" t="str">
            <v>Adams-La Brea</v>
          </cell>
          <cell r="G1806">
            <v>0</v>
          </cell>
          <cell r="H1806">
            <v>0</v>
          </cell>
          <cell r="I1806">
            <v>14.901</v>
          </cell>
          <cell r="J1806">
            <v>9.4173633199999998</v>
          </cell>
          <cell r="K1806">
            <v>14.41736332</v>
          </cell>
          <cell r="L1806">
            <v>0.483488824721723</v>
          </cell>
          <cell r="M1806">
            <v>14.9008521447217</v>
          </cell>
          <cell r="N1806">
            <v>2.34375E-2</v>
          </cell>
          <cell r="O1806">
            <v>0</v>
          </cell>
          <cell r="P1806">
            <v>0.125</v>
          </cell>
          <cell r="Q1806">
            <v>0.35555555555555601</v>
          </cell>
          <cell r="R1806">
            <v>9.0909090909090898E-2</v>
          </cell>
          <cell r="S1806">
            <v>0</v>
          </cell>
        </row>
        <row r="1807">
          <cell r="A1807">
            <v>221402</v>
          </cell>
          <cell r="B1807">
            <v>6</v>
          </cell>
          <cell r="C1807">
            <v>10</v>
          </cell>
          <cell r="D1807">
            <v>2</v>
          </cell>
          <cell r="E1807" t="str">
            <v>NON-HS</v>
          </cell>
          <cell r="F1807" t="str">
            <v>West Adams-Expo Park</v>
          </cell>
          <cell r="G1807">
            <v>0</v>
          </cell>
          <cell r="H1807">
            <v>1</v>
          </cell>
          <cell r="I1807">
            <v>1.8080000000000001</v>
          </cell>
          <cell r="J1807">
            <v>1.73313217</v>
          </cell>
          <cell r="K1807">
            <v>1.73313217</v>
          </cell>
          <cell r="L1807">
            <v>7.4985510287253102E-2</v>
          </cell>
          <cell r="M1807">
            <v>1.8081176802872501</v>
          </cell>
          <cell r="N1807">
            <v>2.34375E-2</v>
          </cell>
          <cell r="O1807">
            <v>0</v>
          </cell>
          <cell r="P1807">
            <v>0.125</v>
          </cell>
          <cell r="Q1807">
            <v>0.35555555555555601</v>
          </cell>
          <cell r="R1807">
            <v>9.0909090909090898E-2</v>
          </cell>
          <cell r="S1807">
            <v>11</v>
          </cell>
        </row>
        <row r="1808">
          <cell r="A1808">
            <v>222001</v>
          </cell>
          <cell r="B1808">
            <v>6</v>
          </cell>
          <cell r="C1808">
            <v>10</v>
          </cell>
          <cell r="D1808">
            <v>2</v>
          </cell>
          <cell r="E1808" t="str">
            <v>NON-HS</v>
          </cell>
          <cell r="F1808" t="str">
            <v>Adams</v>
          </cell>
          <cell r="G1808">
            <v>0</v>
          </cell>
          <cell r="H1808">
            <v>0</v>
          </cell>
          <cell r="I1808">
            <v>12.186999999999999</v>
          </cell>
          <cell r="J1808">
            <v>9.6679308099999997</v>
          </cell>
          <cell r="K1808">
            <v>11.66793081</v>
          </cell>
          <cell r="L1808">
            <v>0.519675915816876</v>
          </cell>
          <cell r="M1808">
            <v>12.187606725816901</v>
          </cell>
          <cell r="N1808">
            <v>2.34375E-2</v>
          </cell>
          <cell r="O1808">
            <v>0</v>
          </cell>
          <cell r="P1808">
            <v>0.125</v>
          </cell>
          <cell r="Q1808">
            <v>0.35555555555555601</v>
          </cell>
          <cell r="R1808">
            <v>9.0909090909090898E-2</v>
          </cell>
          <cell r="S1808">
            <v>0</v>
          </cell>
        </row>
        <row r="1809">
          <cell r="A1809">
            <v>234000</v>
          </cell>
          <cell r="B1809">
            <v>6</v>
          </cell>
          <cell r="C1809">
            <v>10</v>
          </cell>
          <cell r="D1809">
            <v>2</v>
          </cell>
          <cell r="E1809" t="str">
            <v>NON-HS</v>
          </cell>
          <cell r="F1809" t="str">
            <v>Baldwin Hills / Crenshaw</v>
          </cell>
          <cell r="G1809">
            <v>0</v>
          </cell>
          <cell r="H1809">
            <v>0</v>
          </cell>
          <cell r="I1809">
            <v>8.3789999999999996</v>
          </cell>
          <cell r="J1809">
            <v>7.9347986400000003</v>
          </cell>
          <cell r="K1809">
            <v>7.9347986400000003</v>
          </cell>
          <cell r="L1809">
            <v>0.44469040552962302</v>
          </cell>
          <cell r="M1809">
            <v>8.3794890455296205</v>
          </cell>
          <cell r="N1809">
            <v>2.34375E-2</v>
          </cell>
          <cell r="O1809">
            <v>0</v>
          </cell>
          <cell r="P1809">
            <v>0.125</v>
          </cell>
          <cell r="Q1809">
            <v>0.35555555555555601</v>
          </cell>
          <cell r="R1809">
            <v>9.0909090909090898E-2</v>
          </cell>
          <cell r="S1809">
            <v>0</v>
          </cell>
        </row>
        <row r="1810">
          <cell r="A1810">
            <v>236100</v>
          </cell>
          <cell r="B1810">
            <v>6</v>
          </cell>
          <cell r="C1810">
            <v>10</v>
          </cell>
          <cell r="D1810">
            <v>2</v>
          </cell>
          <cell r="E1810" t="str">
            <v>NON-HS</v>
          </cell>
          <cell r="F1810" t="str">
            <v>Baldwin Hills / Crenshaw</v>
          </cell>
          <cell r="G1810">
            <v>0</v>
          </cell>
          <cell r="H1810">
            <v>0</v>
          </cell>
          <cell r="I1810">
            <v>20.146999999999998</v>
          </cell>
          <cell r="J1810">
            <v>16.707495869999999</v>
          </cell>
          <cell r="K1810">
            <v>19.707495869999999</v>
          </cell>
          <cell r="L1810">
            <v>0.439255742657092</v>
          </cell>
          <cell r="M1810">
            <v>20.146751612657098</v>
          </cell>
          <cell r="N1810">
            <v>2.34375E-2</v>
          </cell>
          <cell r="O1810">
            <v>0</v>
          </cell>
          <cell r="P1810">
            <v>0.125</v>
          </cell>
          <cell r="Q1810">
            <v>0.35555555555555601</v>
          </cell>
          <cell r="R1810">
            <v>9.0909090909090898E-2</v>
          </cell>
          <cell r="S1810">
            <v>0</v>
          </cell>
        </row>
        <row r="1811">
          <cell r="A1811">
            <v>236203</v>
          </cell>
          <cell r="B1811">
            <v>6</v>
          </cell>
          <cell r="C1811">
            <v>10</v>
          </cell>
          <cell r="D1811">
            <v>2</v>
          </cell>
          <cell r="E1811" t="str">
            <v>NON-HS</v>
          </cell>
          <cell r="F1811" t="str">
            <v>Baldwin Hills / Crenshaw</v>
          </cell>
          <cell r="G1811">
            <v>0</v>
          </cell>
          <cell r="H1811">
            <v>0</v>
          </cell>
          <cell r="I1811">
            <v>9.1159999999999997</v>
          </cell>
          <cell r="J1811">
            <v>5.87227926</v>
          </cell>
          <cell r="K1811">
            <v>8.8722792599999991</v>
          </cell>
          <cell r="L1811">
            <v>0.24297052484739701</v>
          </cell>
          <cell r="M1811">
            <v>9.1152497848473999</v>
          </cell>
          <cell r="N1811">
            <v>2.34375E-2</v>
          </cell>
          <cell r="O1811">
            <v>0</v>
          </cell>
          <cell r="P1811">
            <v>0.125</v>
          </cell>
          <cell r="Q1811">
            <v>0.35555555555555601</v>
          </cell>
          <cell r="R1811">
            <v>9.0909090909090898E-2</v>
          </cell>
          <cell r="S1811">
            <v>0</v>
          </cell>
        </row>
        <row r="1812">
          <cell r="A1812">
            <v>236204</v>
          </cell>
          <cell r="B1812">
            <v>6</v>
          </cell>
          <cell r="C1812">
            <v>10</v>
          </cell>
          <cell r="D1812">
            <v>2</v>
          </cell>
          <cell r="E1812" t="str">
            <v>NON-HS</v>
          </cell>
          <cell r="F1812" t="str">
            <v>Baldwin Hills / Crenshaw</v>
          </cell>
          <cell r="G1812">
            <v>0</v>
          </cell>
          <cell r="H1812">
            <v>1</v>
          </cell>
          <cell r="I1812">
            <v>6.0949999999999998</v>
          </cell>
          <cell r="J1812">
            <v>1.9836996600000001</v>
          </cell>
          <cell r="K1812">
            <v>5.9836996600000001</v>
          </cell>
          <cell r="L1812">
            <v>0.11117260138240601</v>
          </cell>
          <cell r="M1812">
            <v>6.0948722613824096</v>
          </cell>
          <cell r="N1812">
            <v>2.34375E-2</v>
          </cell>
          <cell r="O1812">
            <v>0</v>
          </cell>
          <cell r="P1812">
            <v>0.125</v>
          </cell>
          <cell r="Q1812">
            <v>0.35555555555555601</v>
          </cell>
          <cell r="R1812">
            <v>9.0909090909090898E-2</v>
          </cell>
          <cell r="S1812">
            <v>11</v>
          </cell>
        </row>
        <row r="1813">
          <cell r="A1813">
            <v>276100</v>
          </cell>
          <cell r="B1813">
            <v>5</v>
          </cell>
          <cell r="C1813">
            <v>11</v>
          </cell>
          <cell r="D1813">
            <v>2</v>
          </cell>
          <cell r="E1813" t="str">
            <v>CVCTE</v>
          </cell>
          <cell r="F1813" t="str">
            <v>Westchester/Playa Del Rey</v>
          </cell>
          <cell r="G1813">
            <v>0</v>
          </cell>
          <cell r="H1813">
            <v>1</v>
          </cell>
          <cell r="I1813">
            <v>30.908000000000001</v>
          </cell>
          <cell r="J1813">
            <v>23.61799972</v>
          </cell>
          <cell r="K1813">
            <v>29.61799972</v>
          </cell>
          <cell r="L1813">
            <v>1.2905069838061001</v>
          </cell>
          <cell r="M1813">
            <v>30.908506703806101</v>
          </cell>
          <cell r="N1813">
            <v>0.35</v>
          </cell>
          <cell r="O1813">
            <v>0</v>
          </cell>
          <cell r="P1813">
            <v>0.55000000000000004</v>
          </cell>
          <cell r="Q1813">
            <v>1</v>
          </cell>
          <cell r="R1813">
            <v>0.41176470588235298</v>
          </cell>
          <cell r="S1813">
            <v>2.4285714285714302</v>
          </cell>
        </row>
        <row r="1814">
          <cell r="A1814">
            <v>702901</v>
          </cell>
          <cell r="B1814">
            <v>5</v>
          </cell>
          <cell r="C1814">
            <v>11</v>
          </cell>
          <cell r="D1814">
            <v>4</v>
          </cell>
          <cell r="E1814" t="str">
            <v>CVCTE</v>
          </cell>
          <cell r="F1814" t="str">
            <v>Marina del Rey</v>
          </cell>
          <cell r="G1814">
            <v>1</v>
          </cell>
          <cell r="H1814">
            <v>1</v>
          </cell>
          <cell r="I1814">
            <v>30.597999999999999</v>
          </cell>
          <cell r="J1814">
            <v>28.200249410000001</v>
          </cell>
          <cell r="K1814">
            <v>29.200249410000001</v>
          </cell>
          <cell r="L1814">
            <v>1.39697289563734</v>
          </cell>
          <cell r="M1814">
            <v>30.597222305637299</v>
          </cell>
          <cell r="N1814">
            <v>0.35</v>
          </cell>
          <cell r="O1814">
            <v>2.8571428571428599</v>
          </cell>
          <cell r="P1814">
            <v>0.55000000000000004</v>
          </cell>
          <cell r="Q1814">
            <v>1</v>
          </cell>
        </row>
        <row r="1815">
          <cell r="A1815">
            <v>277100</v>
          </cell>
          <cell r="B1815">
            <v>5</v>
          </cell>
          <cell r="C1815">
            <v>11</v>
          </cell>
          <cell r="D1815">
            <v>2</v>
          </cell>
          <cell r="E1815" t="str">
            <v>CVCTE</v>
          </cell>
          <cell r="F1815" t="str">
            <v>Westchester/Playa Del Rey</v>
          </cell>
          <cell r="G1815">
            <v>1</v>
          </cell>
          <cell r="H1815">
            <v>1</v>
          </cell>
          <cell r="I1815">
            <v>36.468000000000004</v>
          </cell>
          <cell r="J1815">
            <v>33.445503700000003</v>
          </cell>
          <cell r="K1815">
            <v>34.445503700000003</v>
          </cell>
          <cell r="L1815">
            <v>2.02233241393178</v>
          </cell>
          <cell r="M1815">
            <v>36.467836113931803</v>
          </cell>
          <cell r="N1815">
            <v>0.35</v>
          </cell>
          <cell r="O1815">
            <v>2.8571428571428599</v>
          </cell>
          <cell r="P1815">
            <v>0.55000000000000004</v>
          </cell>
          <cell r="Q1815">
            <v>1</v>
          </cell>
        </row>
        <row r="1816">
          <cell r="A1816">
            <v>980028</v>
          </cell>
          <cell r="B1816">
            <v>5</v>
          </cell>
          <cell r="C1816">
            <v>11</v>
          </cell>
          <cell r="D1816">
            <v>4</v>
          </cell>
          <cell r="E1816" t="str">
            <v>CVCTE</v>
          </cell>
          <cell r="F1816" t="str">
            <v>Westchester/Playa Del Rey</v>
          </cell>
          <cell r="G1816">
            <v>0</v>
          </cell>
          <cell r="H1816">
            <v>0</v>
          </cell>
          <cell r="I1816">
            <v>36.003999999999998</v>
          </cell>
          <cell r="J1816">
            <v>31.800529300000001</v>
          </cell>
          <cell r="K1816">
            <v>34.800529300000001</v>
          </cell>
          <cell r="L1816">
            <v>1.20363540267504</v>
          </cell>
          <cell r="M1816">
            <v>36.004164702674998</v>
          </cell>
          <cell r="N1816">
            <v>0.35</v>
          </cell>
          <cell r="O1816">
            <v>0</v>
          </cell>
          <cell r="P1816">
            <v>0.55000000000000004</v>
          </cell>
          <cell r="Q1816">
            <v>1</v>
          </cell>
          <cell r="R1816">
            <v>0.41176470588235298</v>
          </cell>
          <cell r="S1816">
            <v>0</v>
          </cell>
        </row>
        <row r="1817">
          <cell r="A1817">
            <v>267502</v>
          </cell>
          <cell r="B1817">
            <v>5</v>
          </cell>
          <cell r="C1817">
            <v>11</v>
          </cell>
          <cell r="D1817">
            <v>3</v>
          </cell>
          <cell r="E1817" t="str">
            <v>CVCTE</v>
          </cell>
          <cell r="F1817" t="str">
            <v>West Los Angeles</v>
          </cell>
          <cell r="G1817">
            <v>0</v>
          </cell>
          <cell r="H1817">
            <v>1</v>
          </cell>
          <cell r="I1817">
            <v>28.059000000000001</v>
          </cell>
          <cell r="J1817">
            <v>16.467518609999999</v>
          </cell>
          <cell r="K1817">
            <v>27.467518609999999</v>
          </cell>
          <cell r="L1817">
            <v>0.58982964005385996</v>
          </cell>
          <cell r="M1817">
            <v>28.057348250053899</v>
          </cell>
          <cell r="N1817">
            <v>0.35</v>
          </cell>
          <cell r="O1817">
            <v>0</v>
          </cell>
          <cell r="P1817">
            <v>0.55000000000000004</v>
          </cell>
          <cell r="Q1817">
            <v>1</v>
          </cell>
          <cell r="R1817">
            <v>0.41176470588235298</v>
          </cell>
          <cell r="S1817">
            <v>2.4285714285714302</v>
          </cell>
        </row>
        <row r="1818">
          <cell r="A1818">
            <v>271600</v>
          </cell>
          <cell r="B1818">
            <v>5</v>
          </cell>
          <cell r="C1818">
            <v>11</v>
          </cell>
          <cell r="D1818">
            <v>2</v>
          </cell>
          <cell r="E1818" t="str">
            <v>CVCTE</v>
          </cell>
          <cell r="F1818" t="str">
            <v>Mar Vista</v>
          </cell>
          <cell r="G1818">
            <v>0</v>
          </cell>
          <cell r="H1818">
            <v>0</v>
          </cell>
          <cell r="I1818">
            <v>4.0949999999999998</v>
          </cell>
          <cell r="J1818">
            <v>1.9836996600000001</v>
          </cell>
          <cell r="K1818">
            <v>3.9836996600000001</v>
          </cell>
          <cell r="L1818">
            <v>0.11117260138240601</v>
          </cell>
          <cell r="M1818">
            <v>4.0948722613824096</v>
          </cell>
          <cell r="N1818">
            <v>0.35</v>
          </cell>
          <cell r="O1818">
            <v>0</v>
          </cell>
          <cell r="P1818">
            <v>0.55000000000000004</v>
          </cell>
          <cell r="Q1818">
            <v>1</v>
          </cell>
          <cell r="R1818">
            <v>0.41176470588235298</v>
          </cell>
          <cell r="S1818">
            <v>0</v>
          </cell>
        </row>
        <row r="1819">
          <cell r="A1819">
            <v>267402</v>
          </cell>
          <cell r="B1819">
            <v>5</v>
          </cell>
          <cell r="C1819">
            <v>11</v>
          </cell>
          <cell r="D1819">
            <v>3</v>
          </cell>
          <cell r="E1819" t="str">
            <v>CVCTE</v>
          </cell>
          <cell r="F1819" t="str">
            <v>West Los Angeles</v>
          </cell>
          <cell r="G1819">
            <v>0</v>
          </cell>
          <cell r="H1819">
            <v>0</v>
          </cell>
          <cell r="I1819">
            <v>16.872</v>
          </cell>
          <cell r="J1819">
            <v>7.6983394799999996</v>
          </cell>
          <cell r="K1819">
            <v>16.698339480000001</v>
          </cell>
          <cell r="L1819">
            <v>0.17304856763016199</v>
          </cell>
          <cell r="M1819">
            <v>16.871388047630202</v>
          </cell>
          <cell r="N1819">
            <v>0.35</v>
          </cell>
          <cell r="O1819">
            <v>0</v>
          </cell>
          <cell r="P1819">
            <v>0.55000000000000004</v>
          </cell>
          <cell r="Q1819">
            <v>1</v>
          </cell>
          <cell r="R1819">
            <v>0.41176470588235298</v>
          </cell>
          <cell r="S1819">
            <v>0</v>
          </cell>
        </row>
        <row r="1820">
          <cell r="A1820">
            <v>267300</v>
          </cell>
          <cell r="B1820">
            <v>5</v>
          </cell>
          <cell r="C1820">
            <v>11</v>
          </cell>
          <cell r="D1820">
            <v>3</v>
          </cell>
          <cell r="E1820" t="str">
            <v>CVCTE</v>
          </cell>
          <cell r="F1820" t="str">
            <v>West Los Angeles</v>
          </cell>
          <cell r="G1820">
            <v>0</v>
          </cell>
          <cell r="H1820">
            <v>1</v>
          </cell>
          <cell r="I1820">
            <v>41.658000000000001</v>
          </cell>
          <cell r="J1820">
            <v>21.913084210000001</v>
          </cell>
          <cell r="K1820">
            <v>40.913084210000001</v>
          </cell>
          <cell r="L1820">
            <v>0.74461197991023398</v>
          </cell>
          <cell r="M1820">
            <v>41.657696189910197</v>
          </cell>
          <cell r="N1820">
            <v>0.35</v>
          </cell>
          <cell r="O1820">
            <v>0</v>
          </cell>
          <cell r="P1820">
            <v>0.55000000000000004</v>
          </cell>
          <cell r="Q1820">
            <v>1</v>
          </cell>
          <cell r="R1820">
            <v>0.41176470588235298</v>
          </cell>
          <cell r="S1820">
            <v>2.4285714285714302</v>
          </cell>
        </row>
        <row r="1821">
          <cell r="A1821">
            <v>271200</v>
          </cell>
          <cell r="B1821">
            <v>5</v>
          </cell>
          <cell r="C1821">
            <v>11</v>
          </cell>
          <cell r="D1821">
            <v>2</v>
          </cell>
          <cell r="E1821" t="str">
            <v>CVCTE</v>
          </cell>
          <cell r="F1821" t="str">
            <v>Mar Vista</v>
          </cell>
          <cell r="G1821">
            <v>0</v>
          </cell>
          <cell r="H1821">
            <v>1</v>
          </cell>
          <cell r="I1821">
            <v>27.38</v>
          </cell>
          <cell r="J1821">
            <v>22.751522900000001</v>
          </cell>
          <cell r="K1821">
            <v>26.751522900000001</v>
          </cell>
          <cell r="L1821">
            <v>0.62786607929982097</v>
          </cell>
          <cell r="M1821">
            <v>27.379388979299801</v>
          </cell>
          <cell r="N1821">
            <v>0.35</v>
          </cell>
          <cell r="O1821">
            <v>0</v>
          </cell>
          <cell r="P1821">
            <v>0.55000000000000004</v>
          </cell>
          <cell r="Q1821">
            <v>1</v>
          </cell>
          <cell r="R1821">
            <v>0.41176470588235298</v>
          </cell>
          <cell r="S1821">
            <v>2.4285714285714302</v>
          </cell>
        </row>
        <row r="1822">
          <cell r="A1822">
            <v>271901</v>
          </cell>
          <cell r="B1822">
            <v>5</v>
          </cell>
          <cell r="C1822">
            <v>11</v>
          </cell>
          <cell r="D1822">
            <v>2</v>
          </cell>
          <cell r="E1822" t="str">
            <v>CVCTE</v>
          </cell>
          <cell r="F1822" t="str">
            <v>Mar Vista</v>
          </cell>
          <cell r="G1822">
            <v>0</v>
          </cell>
          <cell r="H1822">
            <v>1</v>
          </cell>
          <cell r="I1822">
            <v>1</v>
          </cell>
          <cell r="J1822">
            <v>0</v>
          </cell>
          <cell r="K1822">
            <v>1</v>
          </cell>
          <cell r="L1822">
            <v>0</v>
          </cell>
          <cell r="M1822">
            <v>1</v>
          </cell>
          <cell r="N1822">
            <v>0.35</v>
          </cell>
          <cell r="O1822">
            <v>0</v>
          </cell>
          <cell r="P1822">
            <v>0.55000000000000004</v>
          </cell>
          <cell r="Q1822">
            <v>1</v>
          </cell>
          <cell r="R1822">
            <v>0.41176470588235298</v>
          </cell>
          <cell r="S1822">
            <v>2.4285714285714302</v>
          </cell>
        </row>
        <row r="1823">
          <cell r="A1823">
            <v>272201</v>
          </cell>
          <cell r="B1823">
            <v>5</v>
          </cell>
          <cell r="C1823">
            <v>11</v>
          </cell>
          <cell r="D1823">
            <v>2</v>
          </cell>
          <cell r="E1823" t="str">
            <v>CVCTE</v>
          </cell>
          <cell r="F1823" t="str">
            <v>Mar Vista</v>
          </cell>
          <cell r="G1823">
            <v>0</v>
          </cell>
          <cell r="H1823">
            <v>1</v>
          </cell>
          <cell r="I1823">
            <v>29.766999999999999</v>
          </cell>
          <cell r="J1823">
            <v>20.754217929999999</v>
          </cell>
          <cell r="K1823">
            <v>28.754217929999999</v>
          </cell>
          <cell r="L1823">
            <v>1.0124797103949701</v>
          </cell>
          <cell r="M1823">
            <v>29.766697640395002</v>
          </cell>
          <cell r="N1823">
            <v>0.35</v>
          </cell>
          <cell r="O1823">
            <v>0</v>
          </cell>
          <cell r="P1823">
            <v>0.55000000000000004</v>
          </cell>
          <cell r="Q1823">
            <v>1</v>
          </cell>
          <cell r="R1823">
            <v>0.41176470588235298</v>
          </cell>
          <cell r="S1823">
            <v>2.4285714285714302</v>
          </cell>
        </row>
        <row r="1824">
          <cell r="A1824">
            <v>275102</v>
          </cell>
          <cell r="B1824">
            <v>5</v>
          </cell>
          <cell r="C1824">
            <v>11</v>
          </cell>
          <cell r="D1824">
            <v>2</v>
          </cell>
          <cell r="E1824" t="str">
            <v>CVCTE</v>
          </cell>
          <cell r="F1824" t="str">
            <v>Del Rey</v>
          </cell>
          <cell r="G1824">
            <v>0</v>
          </cell>
          <cell r="H1824">
            <v>0</v>
          </cell>
          <cell r="I1824">
            <v>28.213000000000001</v>
          </cell>
          <cell r="J1824">
            <v>22.126962599999999</v>
          </cell>
          <cell r="K1824">
            <v>27.126962599999999</v>
          </cell>
          <cell r="L1824">
            <v>1.08556139913824</v>
          </cell>
          <cell r="M1824">
            <v>28.212523999138199</v>
          </cell>
          <cell r="N1824">
            <v>0.35</v>
          </cell>
          <cell r="O1824">
            <v>0</v>
          </cell>
          <cell r="P1824">
            <v>0.55000000000000004</v>
          </cell>
          <cell r="Q1824">
            <v>1</v>
          </cell>
          <cell r="R1824">
            <v>0.41176470588235298</v>
          </cell>
          <cell r="S1824">
            <v>0</v>
          </cell>
        </row>
        <row r="1825">
          <cell r="A1825">
            <v>275302</v>
          </cell>
          <cell r="B1825">
            <v>5</v>
          </cell>
          <cell r="C1825">
            <v>11</v>
          </cell>
          <cell r="D1825">
            <v>2</v>
          </cell>
          <cell r="E1825" t="str">
            <v>CVCTE</v>
          </cell>
          <cell r="F1825" t="str">
            <v>Del Rey</v>
          </cell>
          <cell r="G1825">
            <v>0</v>
          </cell>
          <cell r="H1825">
            <v>0</v>
          </cell>
          <cell r="I1825">
            <v>21.035</v>
          </cell>
          <cell r="J1825">
            <v>18.279470499999999</v>
          </cell>
          <cell r="K1825">
            <v>20.279470499999999</v>
          </cell>
          <cell r="L1825">
            <v>0.75536242964093403</v>
          </cell>
          <cell r="M1825">
            <v>21.034832929640899</v>
          </cell>
          <cell r="N1825">
            <v>0.35</v>
          </cell>
          <cell r="O1825">
            <v>0</v>
          </cell>
          <cell r="P1825">
            <v>0.55000000000000004</v>
          </cell>
          <cell r="Q1825">
            <v>1</v>
          </cell>
          <cell r="R1825">
            <v>0.41176470588235298</v>
          </cell>
          <cell r="S1825">
            <v>0</v>
          </cell>
        </row>
        <row r="1826">
          <cell r="A1826">
            <v>275311</v>
          </cell>
          <cell r="B1826">
            <v>5</v>
          </cell>
          <cell r="C1826">
            <v>11</v>
          </cell>
          <cell r="D1826">
            <v>2</v>
          </cell>
          <cell r="E1826" t="str">
            <v>CVCTE</v>
          </cell>
          <cell r="F1826" t="str">
            <v>Del Rey</v>
          </cell>
          <cell r="G1826">
            <v>0</v>
          </cell>
          <cell r="H1826">
            <v>0</v>
          </cell>
          <cell r="I1826">
            <v>19.800999999999998</v>
          </cell>
          <cell r="J1826">
            <v>18.83472664</v>
          </cell>
          <cell r="K1826">
            <v>18.83472664</v>
          </cell>
          <cell r="L1826">
            <v>0.966977649443447</v>
          </cell>
          <cell r="M1826">
            <v>19.8017042894434</v>
          </cell>
          <cell r="N1826">
            <v>0.35</v>
          </cell>
          <cell r="O1826">
            <v>0</v>
          </cell>
          <cell r="P1826">
            <v>0.55000000000000004</v>
          </cell>
          <cell r="Q1826">
            <v>1</v>
          </cell>
          <cell r="R1826">
            <v>0.41176470588235298</v>
          </cell>
          <cell r="S1826">
            <v>0</v>
          </cell>
        </row>
        <row r="1827">
          <cell r="A1827">
            <v>275602</v>
          </cell>
          <cell r="B1827">
            <v>5</v>
          </cell>
          <cell r="C1827">
            <v>11</v>
          </cell>
          <cell r="D1827">
            <v>2</v>
          </cell>
          <cell r="E1827" t="str">
            <v>CVCTE</v>
          </cell>
          <cell r="F1827" t="str">
            <v>Del Rey</v>
          </cell>
          <cell r="G1827">
            <v>0</v>
          </cell>
          <cell r="H1827">
            <v>0</v>
          </cell>
          <cell r="I1827">
            <v>26.34</v>
          </cell>
          <cell r="J1827">
            <v>20.366851260000001</v>
          </cell>
          <cell r="K1827">
            <v>25.366851260000001</v>
          </cell>
          <cell r="L1827">
            <v>0.97352218807899404</v>
          </cell>
          <cell r="M1827">
            <v>26.340373448078999</v>
          </cell>
          <cell r="N1827">
            <v>0.35</v>
          </cell>
          <cell r="O1827">
            <v>0</v>
          </cell>
          <cell r="P1827">
            <v>0.55000000000000004</v>
          </cell>
          <cell r="Q1827">
            <v>1</v>
          </cell>
          <cell r="R1827">
            <v>0.41176470588235298</v>
          </cell>
          <cell r="S1827">
            <v>0</v>
          </cell>
        </row>
        <row r="1828">
          <cell r="A1828">
            <v>275603</v>
          </cell>
          <cell r="B1828">
            <v>5</v>
          </cell>
          <cell r="C1828">
            <v>11</v>
          </cell>
          <cell r="D1828">
            <v>2</v>
          </cell>
          <cell r="E1828" t="str">
            <v>CVCTE</v>
          </cell>
          <cell r="F1828" t="str">
            <v>Del Rey</v>
          </cell>
          <cell r="G1828">
            <v>1</v>
          </cell>
          <cell r="H1828">
            <v>1</v>
          </cell>
          <cell r="I1828">
            <v>44.497</v>
          </cell>
          <cell r="J1828">
            <v>38.282578979999997</v>
          </cell>
          <cell r="K1828">
            <v>42.282578979999997</v>
          </cell>
          <cell r="L1828">
            <v>2.2143301675403899</v>
          </cell>
          <cell r="M1828">
            <v>44.4969091475404</v>
          </cell>
          <cell r="N1828">
            <v>0.35</v>
          </cell>
          <cell r="O1828">
            <v>2.8571428571428599</v>
          </cell>
          <cell r="P1828">
            <v>0.55000000000000004</v>
          </cell>
          <cell r="Q1828">
            <v>1</v>
          </cell>
        </row>
        <row r="1829">
          <cell r="A1829">
            <v>276601</v>
          </cell>
          <cell r="B1829">
            <v>5</v>
          </cell>
          <cell r="C1829">
            <v>11</v>
          </cell>
          <cell r="D1829">
            <v>4</v>
          </cell>
          <cell r="E1829" t="str">
            <v>CVCTE</v>
          </cell>
          <cell r="F1829" t="str">
            <v>Westchester/Playa Del Rey</v>
          </cell>
          <cell r="G1829">
            <v>0</v>
          </cell>
          <cell r="H1829">
            <v>0</v>
          </cell>
          <cell r="I1829">
            <v>14.7</v>
          </cell>
          <cell r="J1829">
            <v>13.320051250000001</v>
          </cell>
          <cell r="K1829">
            <v>14.320051250000001</v>
          </cell>
          <cell r="L1829">
            <v>0.37983200138240603</v>
          </cell>
          <cell r="M1829">
            <v>14.699883251382399</v>
          </cell>
          <cell r="N1829">
            <v>0.35</v>
          </cell>
          <cell r="O1829">
            <v>0</v>
          </cell>
          <cell r="P1829">
            <v>0.55000000000000004</v>
          </cell>
          <cell r="Q1829">
            <v>1</v>
          </cell>
          <cell r="R1829">
            <v>0.41176470588235298</v>
          </cell>
          <cell r="S1829">
            <v>0</v>
          </cell>
        </row>
        <row r="1830">
          <cell r="A1830">
            <v>276603</v>
          </cell>
          <cell r="B1830">
            <v>5</v>
          </cell>
          <cell r="C1830">
            <v>11</v>
          </cell>
          <cell r="D1830">
            <v>4</v>
          </cell>
          <cell r="E1830" t="str">
            <v>CVCTE</v>
          </cell>
          <cell r="F1830" t="str">
            <v>Westchester/Playa Del Rey</v>
          </cell>
          <cell r="G1830">
            <v>1</v>
          </cell>
          <cell r="H1830">
            <v>1</v>
          </cell>
          <cell r="I1830">
            <v>26.66</v>
          </cell>
          <cell r="J1830">
            <v>25.2869606</v>
          </cell>
          <cell r="K1830">
            <v>25.2869606</v>
          </cell>
          <cell r="L1830">
            <v>1.37286963578097</v>
          </cell>
          <cell r="M1830">
            <v>26.659830235781001</v>
          </cell>
          <cell r="N1830">
            <v>0.35</v>
          </cell>
          <cell r="O1830">
            <v>2.8571428571428599</v>
          </cell>
          <cell r="P1830">
            <v>0.55000000000000004</v>
          </cell>
          <cell r="Q1830">
            <v>1</v>
          </cell>
        </row>
        <row r="1831">
          <cell r="A1831">
            <v>276604</v>
          </cell>
          <cell r="B1831">
            <v>5</v>
          </cell>
          <cell r="C1831">
            <v>11</v>
          </cell>
          <cell r="D1831">
            <v>4</v>
          </cell>
          <cell r="E1831" t="str">
            <v>CVCTE</v>
          </cell>
          <cell r="F1831" t="str">
            <v>Westchester/Playa Del Rey</v>
          </cell>
          <cell r="G1831">
            <v>0</v>
          </cell>
          <cell r="H1831">
            <v>1</v>
          </cell>
          <cell r="I1831">
            <v>23.47</v>
          </cell>
          <cell r="J1831">
            <v>20.658506249999999</v>
          </cell>
          <cell r="K1831">
            <v>22.658506249999999</v>
          </cell>
          <cell r="L1831">
            <v>0.81130823314183098</v>
          </cell>
          <cell r="M1831">
            <v>23.4698144831418</v>
          </cell>
          <cell r="N1831">
            <v>0.35</v>
          </cell>
          <cell r="O1831">
            <v>0</v>
          </cell>
          <cell r="P1831">
            <v>0.55000000000000004</v>
          </cell>
          <cell r="Q1831">
            <v>1</v>
          </cell>
          <cell r="R1831">
            <v>0.41176470588235298</v>
          </cell>
          <cell r="S1831">
            <v>2.4285714285714302</v>
          </cell>
        </row>
        <row r="1832">
          <cell r="A1832">
            <v>277200</v>
          </cell>
          <cell r="B1832">
            <v>5</v>
          </cell>
          <cell r="C1832">
            <v>11</v>
          </cell>
          <cell r="D1832">
            <v>2</v>
          </cell>
          <cell r="E1832" t="str">
            <v>CVCTE</v>
          </cell>
          <cell r="F1832" t="str">
            <v>Westchester/Playa Del Rey</v>
          </cell>
          <cell r="G1832">
            <v>0</v>
          </cell>
          <cell r="H1832">
            <v>0</v>
          </cell>
          <cell r="I1832">
            <v>32.841000000000001</v>
          </cell>
          <cell r="J1832">
            <v>29.80641679</v>
          </cell>
          <cell r="K1832">
            <v>31.80641679</v>
          </cell>
          <cell r="L1832">
            <v>1.0357660263375199</v>
          </cell>
          <cell r="M1832">
            <v>32.842182816337498</v>
          </cell>
          <cell r="N1832">
            <v>0.35</v>
          </cell>
          <cell r="O1832">
            <v>0</v>
          </cell>
          <cell r="P1832">
            <v>0.55000000000000004</v>
          </cell>
          <cell r="Q1832">
            <v>1</v>
          </cell>
          <cell r="R1832">
            <v>0.41176470588235298</v>
          </cell>
          <cell r="S1832">
            <v>0</v>
          </cell>
        </row>
        <row r="1833">
          <cell r="A1833">
            <v>277400</v>
          </cell>
          <cell r="B1833">
            <v>5</v>
          </cell>
          <cell r="C1833">
            <v>11</v>
          </cell>
          <cell r="D1833">
            <v>2</v>
          </cell>
          <cell r="E1833" t="str">
            <v>CVCTE</v>
          </cell>
          <cell r="F1833" t="str">
            <v>Westchester/Playa Del Rey</v>
          </cell>
          <cell r="G1833">
            <v>1</v>
          </cell>
          <cell r="H1833">
            <v>1</v>
          </cell>
          <cell r="I1833">
            <v>420.67700000000002</v>
          </cell>
          <cell r="J1833">
            <v>397.39406099000001</v>
          </cell>
          <cell r="K1833">
            <v>402.39406099000001</v>
          </cell>
          <cell r="L1833">
            <v>18.280589617181299</v>
          </cell>
          <cell r="M1833">
            <v>420.67465060718098</v>
          </cell>
          <cell r="N1833">
            <v>0.35</v>
          </cell>
          <cell r="O1833">
            <v>2.8571428571428599</v>
          </cell>
          <cell r="P1833">
            <v>0.55000000000000004</v>
          </cell>
          <cell r="Q1833">
            <v>1</v>
          </cell>
        </row>
        <row r="1834">
          <cell r="A1834">
            <v>278001</v>
          </cell>
          <cell r="B1834">
            <v>5</v>
          </cell>
          <cell r="C1834">
            <v>11</v>
          </cell>
          <cell r="D1834">
            <v>2</v>
          </cell>
          <cell r="E1834" t="str">
            <v>CVCTE</v>
          </cell>
          <cell r="F1834" t="str">
            <v>Westchester/Playa Del Rey</v>
          </cell>
          <cell r="G1834">
            <v>0</v>
          </cell>
          <cell r="H1834">
            <v>0</v>
          </cell>
          <cell r="I1834">
            <v>35.886000000000003</v>
          </cell>
          <cell r="J1834">
            <v>22.75028541</v>
          </cell>
          <cell r="K1834">
            <v>34.750285409999996</v>
          </cell>
          <cell r="L1834">
            <v>1.1358292736804301</v>
          </cell>
          <cell r="M1834">
            <v>35.886114683680397</v>
          </cell>
          <cell r="N1834">
            <v>0.35</v>
          </cell>
          <cell r="O1834">
            <v>0</v>
          </cell>
          <cell r="P1834">
            <v>0.55000000000000004</v>
          </cell>
          <cell r="Q1834">
            <v>1</v>
          </cell>
          <cell r="R1834">
            <v>0.41176470588235298</v>
          </cell>
          <cell r="S1834">
            <v>0</v>
          </cell>
        </row>
        <row r="1835">
          <cell r="A1835">
            <v>267600</v>
          </cell>
          <cell r="B1835">
            <v>5</v>
          </cell>
          <cell r="C1835">
            <v>11</v>
          </cell>
          <cell r="D1835">
            <v>3</v>
          </cell>
          <cell r="E1835" t="str">
            <v>FAMILY</v>
          </cell>
          <cell r="F1835" t="str">
            <v>West Los Angeles</v>
          </cell>
          <cell r="G1835">
            <v>1</v>
          </cell>
          <cell r="H1835">
            <v>1</v>
          </cell>
          <cell r="I1835">
            <v>22.771999999999998</v>
          </cell>
          <cell r="J1835">
            <v>17.115702800000001</v>
          </cell>
          <cell r="K1835">
            <v>22.115702800000001</v>
          </cell>
          <cell r="L1835">
            <v>2.65653739235188</v>
          </cell>
          <cell r="M1835">
            <v>24.772240192351902</v>
          </cell>
          <cell r="N1835">
            <v>1</v>
          </cell>
          <cell r="O1835">
            <v>1</v>
          </cell>
        </row>
        <row r="1836">
          <cell r="A1836">
            <v>262704</v>
          </cell>
          <cell r="B1836">
            <v>5</v>
          </cell>
          <cell r="C1836">
            <v>11</v>
          </cell>
          <cell r="D1836">
            <v>3</v>
          </cell>
          <cell r="E1836" t="str">
            <v>FAMILY</v>
          </cell>
          <cell r="F1836" t="str">
            <v>Pacific Palisades</v>
          </cell>
          <cell r="G1836">
            <v>1</v>
          </cell>
          <cell r="H1836">
            <v>1</v>
          </cell>
          <cell r="I1836">
            <v>38.831000000000003</v>
          </cell>
          <cell r="J1836">
            <v>32.667037800000003</v>
          </cell>
          <cell r="K1836">
            <v>36.667037800000003</v>
          </cell>
          <cell r="L1836">
            <v>6.1635212089407503</v>
          </cell>
          <cell r="M1836">
            <v>42.830559008940803</v>
          </cell>
          <cell r="N1836">
            <v>1</v>
          </cell>
          <cell r="O1836">
            <v>1</v>
          </cell>
        </row>
        <row r="1837">
          <cell r="A1837">
            <v>262604</v>
          </cell>
          <cell r="B1837">
            <v>5</v>
          </cell>
          <cell r="C1837">
            <v>11</v>
          </cell>
          <cell r="D1837">
            <v>3</v>
          </cell>
          <cell r="E1837" t="str">
            <v>INDIV</v>
          </cell>
          <cell r="F1837" t="str">
            <v>Pacific Palisades</v>
          </cell>
          <cell r="G1837">
            <v>0</v>
          </cell>
          <cell r="H1837">
            <v>0</v>
          </cell>
          <cell r="I1837">
            <v>26.439</v>
          </cell>
          <cell r="J1837">
            <v>16.249566179999999</v>
          </cell>
          <cell r="K1837">
            <v>26.249566179999999</v>
          </cell>
          <cell r="L1837">
            <v>0.18909433745062801</v>
          </cell>
          <cell r="M1837">
            <v>26.4386605174506</v>
          </cell>
          <cell r="N1837">
            <v>7.69230769230769E-2</v>
          </cell>
          <cell r="O1837">
            <v>0</v>
          </cell>
          <cell r="P1837">
            <v>0.15384615384615399</v>
          </cell>
          <cell r="Q1837">
            <v>1</v>
          </cell>
          <cell r="R1837">
            <v>0.5</v>
          </cell>
          <cell r="S1837">
            <v>0</v>
          </cell>
        </row>
        <row r="1838">
          <cell r="A1838">
            <v>262706</v>
          </cell>
          <cell r="B1838">
            <v>5</v>
          </cell>
          <cell r="C1838">
            <v>11</v>
          </cell>
          <cell r="D1838">
            <v>3</v>
          </cell>
          <cell r="E1838" t="str">
            <v>INDIV</v>
          </cell>
          <cell r="F1838" t="str">
            <v>Pacific Palisades</v>
          </cell>
          <cell r="G1838">
            <v>0</v>
          </cell>
          <cell r="H1838">
            <v>1</v>
          </cell>
          <cell r="I1838">
            <v>14.798</v>
          </cell>
          <cell r="J1838">
            <v>3.6649912800000002</v>
          </cell>
          <cell r="K1838">
            <v>14.664991280000001</v>
          </cell>
          <cell r="L1838">
            <v>0.13266453314183099</v>
          </cell>
          <cell r="M1838">
            <v>14.7976558131418</v>
          </cell>
          <cell r="N1838">
            <v>7.69230769230769E-2</v>
          </cell>
          <cell r="O1838">
            <v>0</v>
          </cell>
          <cell r="P1838">
            <v>0.15384615384615399</v>
          </cell>
          <cell r="Q1838">
            <v>1</v>
          </cell>
          <cell r="R1838">
            <v>0.5</v>
          </cell>
          <cell r="S1838">
            <v>2</v>
          </cell>
        </row>
        <row r="1839">
          <cell r="A1839">
            <v>275200</v>
          </cell>
          <cell r="B1839">
            <v>5</v>
          </cell>
          <cell r="C1839">
            <v>11</v>
          </cell>
          <cell r="D1839">
            <v>2</v>
          </cell>
          <cell r="E1839" t="str">
            <v>NON-HS</v>
          </cell>
          <cell r="F1839" t="str">
            <v>Del Rey</v>
          </cell>
          <cell r="G1839">
            <v>0</v>
          </cell>
          <cell r="H1839">
            <v>0</v>
          </cell>
          <cell r="I1839">
            <v>3.9260000000000002</v>
          </cell>
          <cell r="J1839">
            <v>1.90487994</v>
          </cell>
          <cell r="K1839">
            <v>3.9048799399999998</v>
          </cell>
          <cell r="L1839">
            <v>2.0625322082585301E-2</v>
          </cell>
          <cell r="M1839">
            <v>3.9255052620825901</v>
          </cell>
          <cell r="N1839">
            <v>3.2258064516128997E-2</v>
          </cell>
          <cell r="O1839">
            <v>0</v>
          </cell>
          <cell r="P1839">
            <v>0.37634408602150499</v>
          </cell>
          <cell r="Q1839">
            <v>1</v>
          </cell>
        </row>
        <row r="1840">
          <cell r="A1840">
            <v>272202</v>
          </cell>
          <cell r="B1840">
            <v>5</v>
          </cell>
          <cell r="C1840">
            <v>11</v>
          </cell>
          <cell r="D1840">
            <v>2</v>
          </cell>
          <cell r="E1840" t="str">
            <v>NON-HS</v>
          </cell>
          <cell r="F1840" t="str">
            <v>Mar Vista</v>
          </cell>
          <cell r="G1840">
            <v>0</v>
          </cell>
          <cell r="H1840">
            <v>0</v>
          </cell>
          <cell r="I1840">
            <v>20.998999999999999</v>
          </cell>
          <cell r="J1840">
            <v>17.25869381</v>
          </cell>
          <cell r="K1840">
            <v>20.25869381</v>
          </cell>
          <cell r="L1840">
            <v>0.73970752996409395</v>
          </cell>
          <cell r="M1840">
            <v>20.998401339964101</v>
          </cell>
          <cell r="N1840">
            <v>3.2258064516128997E-2</v>
          </cell>
          <cell r="O1840">
            <v>0</v>
          </cell>
          <cell r="P1840">
            <v>0.37634408602150499</v>
          </cell>
          <cell r="Q1840">
            <v>1</v>
          </cell>
        </row>
        <row r="1841">
          <cell r="A1841">
            <v>271400</v>
          </cell>
          <cell r="B1841">
            <v>5</v>
          </cell>
          <cell r="C1841">
            <v>11</v>
          </cell>
          <cell r="D1841">
            <v>2</v>
          </cell>
          <cell r="E1841" t="str">
            <v>NON-HS</v>
          </cell>
          <cell r="F1841" t="str">
            <v>Mar Vista</v>
          </cell>
          <cell r="G1841">
            <v>0</v>
          </cell>
          <cell r="H1841">
            <v>0</v>
          </cell>
          <cell r="I1841">
            <v>6.2850000000000001</v>
          </cell>
          <cell r="J1841">
            <v>5.9510989800000003</v>
          </cell>
          <cell r="K1841">
            <v>5.9510989800000003</v>
          </cell>
          <cell r="L1841">
            <v>0.33351780414721699</v>
          </cell>
          <cell r="M1841">
            <v>6.2846167841472198</v>
          </cell>
          <cell r="N1841">
            <v>3.2258064516128997E-2</v>
          </cell>
          <cell r="O1841">
            <v>0</v>
          </cell>
          <cell r="P1841">
            <v>0.37634408602150499</v>
          </cell>
          <cell r="Q1841">
            <v>1</v>
          </cell>
        </row>
        <row r="1842">
          <cell r="A1842">
            <v>264301</v>
          </cell>
          <cell r="B1842">
            <v>5</v>
          </cell>
          <cell r="C1842">
            <v>11</v>
          </cell>
          <cell r="D1842">
            <v>3</v>
          </cell>
          <cell r="E1842" t="str">
            <v>NON-HS</v>
          </cell>
          <cell r="F1842" t="str">
            <v>Brentwood</v>
          </cell>
          <cell r="G1842">
            <v>0</v>
          </cell>
          <cell r="H1842">
            <v>0</v>
          </cell>
          <cell r="I1842">
            <v>15.561999999999999</v>
          </cell>
          <cell r="J1842">
            <v>9.2597238799999992</v>
          </cell>
          <cell r="K1842">
            <v>15.259723879999999</v>
          </cell>
          <cell r="L1842">
            <v>0.30239426612208298</v>
          </cell>
          <cell r="M1842">
            <v>15.562118146122099</v>
          </cell>
          <cell r="N1842">
            <v>3.2258064516128997E-2</v>
          </cell>
          <cell r="O1842">
            <v>0</v>
          </cell>
          <cell r="P1842">
            <v>0.37634408602150499</v>
          </cell>
          <cell r="Q1842">
            <v>1</v>
          </cell>
        </row>
        <row r="1843">
          <cell r="A1843">
            <v>262802</v>
          </cell>
          <cell r="B1843">
            <v>5</v>
          </cell>
          <cell r="C1843">
            <v>11</v>
          </cell>
          <cell r="D1843">
            <v>3</v>
          </cell>
          <cell r="E1843" t="str">
            <v>NON-HS</v>
          </cell>
          <cell r="F1843" t="str">
            <v>Pacific Palisades</v>
          </cell>
          <cell r="G1843">
            <v>0</v>
          </cell>
          <cell r="H1843">
            <v>0</v>
          </cell>
          <cell r="I1843">
            <v>17.058</v>
          </cell>
          <cell r="J1843">
            <v>8.7152207900000001</v>
          </cell>
          <cell r="K1843">
            <v>16.71522079</v>
          </cell>
          <cell r="L1843">
            <v>0.34267367087971301</v>
          </cell>
          <cell r="M1843">
            <v>17.057894460879702</v>
          </cell>
          <cell r="N1843">
            <v>3.2258064516128997E-2</v>
          </cell>
          <cell r="O1843">
            <v>0</v>
          </cell>
          <cell r="P1843">
            <v>0.37634408602150499</v>
          </cell>
          <cell r="Q1843">
            <v>1</v>
          </cell>
        </row>
        <row r="1844">
          <cell r="A1844">
            <v>980019</v>
          </cell>
          <cell r="B1844">
            <v>5</v>
          </cell>
          <cell r="C1844">
            <v>11</v>
          </cell>
          <cell r="D1844">
            <v>3</v>
          </cell>
          <cell r="E1844" t="str">
            <v>NON-HS</v>
          </cell>
          <cell r="F1844" t="str">
            <v>Pacific Palisades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3.2258064516128997E-2</v>
          </cell>
          <cell r="O1844">
            <v>0</v>
          </cell>
          <cell r="P1844">
            <v>0.37634408602150499</v>
          </cell>
          <cell r="Q1844">
            <v>1</v>
          </cell>
        </row>
        <row r="1845">
          <cell r="A1845">
            <v>262301</v>
          </cell>
          <cell r="B1845">
            <v>5</v>
          </cell>
          <cell r="C1845">
            <v>11</v>
          </cell>
          <cell r="D1845">
            <v>3</v>
          </cell>
          <cell r="E1845" t="str">
            <v>NON-HS</v>
          </cell>
          <cell r="F1845" t="str">
            <v>Brentwood</v>
          </cell>
          <cell r="G1845">
            <v>0</v>
          </cell>
          <cell r="H1845">
            <v>0</v>
          </cell>
          <cell r="I1845">
            <v>3.399</v>
          </cell>
          <cell r="J1845">
            <v>3.1723287400000002</v>
          </cell>
          <cell r="K1845">
            <v>3.1723287400000002</v>
          </cell>
          <cell r="L1845">
            <v>0.22643751642728899</v>
          </cell>
          <cell r="M1845">
            <v>3.3987662564272898</v>
          </cell>
          <cell r="N1845">
            <v>3.2258064516128997E-2</v>
          </cell>
          <cell r="O1845">
            <v>0</v>
          </cell>
          <cell r="P1845">
            <v>0.37634408602150499</v>
          </cell>
          <cell r="Q1845">
            <v>1</v>
          </cell>
        </row>
        <row r="1846">
          <cell r="A1846">
            <v>262302</v>
          </cell>
          <cell r="B1846">
            <v>5</v>
          </cell>
          <cell r="C1846">
            <v>11</v>
          </cell>
          <cell r="D1846">
            <v>3</v>
          </cell>
          <cell r="E1846" t="str">
            <v>NON-HS</v>
          </cell>
          <cell r="F1846" t="str">
            <v>Brentwood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3.2258064516128997E-2</v>
          </cell>
          <cell r="O1846">
            <v>0</v>
          </cell>
          <cell r="P1846">
            <v>0.37634408602150499</v>
          </cell>
          <cell r="Q1846">
            <v>1</v>
          </cell>
        </row>
        <row r="1847">
          <cell r="A1847">
            <v>262303</v>
          </cell>
          <cell r="B1847">
            <v>5</v>
          </cell>
          <cell r="C1847">
            <v>11</v>
          </cell>
          <cell r="D1847">
            <v>3</v>
          </cell>
          <cell r="E1847" t="str">
            <v>NON-HS</v>
          </cell>
          <cell r="F1847" t="str">
            <v>Brentwood</v>
          </cell>
          <cell r="G1847">
            <v>0</v>
          </cell>
          <cell r="H1847">
            <v>0</v>
          </cell>
          <cell r="I1847">
            <v>1.8080000000000001</v>
          </cell>
          <cell r="J1847">
            <v>1.73313217</v>
          </cell>
          <cell r="K1847">
            <v>1.73313217</v>
          </cell>
          <cell r="L1847">
            <v>7.4985510287253102E-2</v>
          </cell>
          <cell r="M1847">
            <v>1.8081176802872501</v>
          </cell>
          <cell r="N1847">
            <v>3.2258064516128997E-2</v>
          </cell>
          <cell r="O1847">
            <v>0</v>
          </cell>
          <cell r="P1847">
            <v>0.37634408602150499</v>
          </cell>
          <cell r="Q1847">
            <v>1</v>
          </cell>
        </row>
        <row r="1848">
          <cell r="A1848">
            <v>262400</v>
          </cell>
          <cell r="B1848">
            <v>5</v>
          </cell>
          <cell r="C1848">
            <v>11</v>
          </cell>
          <cell r="D1848">
            <v>3</v>
          </cell>
          <cell r="E1848" t="str">
            <v>NON-HS</v>
          </cell>
          <cell r="F1848" t="str">
            <v>Brentwood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3.2258064516128997E-2</v>
          </cell>
          <cell r="O1848">
            <v>0</v>
          </cell>
          <cell r="P1848">
            <v>0.37634408602150499</v>
          </cell>
          <cell r="Q1848">
            <v>1</v>
          </cell>
        </row>
        <row r="1849">
          <cell r="A1849">
            <v>262501</v>
          </cell>
          <cell r="B1849">
            <v>5</v>
          </cell>
          <cell r="C1849">
            <v>11</v>
          </cell>
          <cell r="D1849">
            <v>3</v>
          </cell>
          <cell r="E1849" t="str">
            <v>NON-HS</v>
          </cell>
          <cell r="F1849" t="str">
            <v>Pacific Palisades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3.2258064516128997E-2</v>
          </cell>
          <cell r="O1849">
            <v>0</v>
          </cell>
          <cell r="P1849">
            <v>0.37634408602150499</v>
          </cell>
          <cell r="Q1849">
            <v>1</v>
          </cell>
        </row>
        <row r="1850">
          <cell r="A1850">
            <v>262601</v>
          </cell>
          <cell r="B1850">
            <v>5</v>
          </cell>
          <cell r="C1850">
            <v>11</v>
          </cell>
          <cell r="D1850">
            <v>3</v>
          </cell>
          <cell r="E1850" t="str">
            <v>NON-HS</v>
          </cell>
          <cell r="F1850" t="str">
            <v>Pacific Palisades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3.2258064516128997E-2</v>
          </cell>
          <cell r="O1850">
            <v>0</v>
          </cell>
          <cell r="P1850">
            <v>0.37634408602150499</v>
          </cell>
          <cell r="Q1850">
            <v>1</v>
          </cell>
        </row>
        <row r="1851">
          <cell r="A1851">
            <v>264000</v>
          </cell>
          <cell r="B1851">
            <v>5</v>
          </cell>
          <cell r="C1851">
            <v>11</v>
          </cell>
          <cell r="D1851">
            <v>3</v>
          </cell>
          <cell r="E1851" t="str">
            <v>NON-HS</v>
          </cell>
          <cell r="F1851" t="str">
            <v>Brentwood</v>
          </cell>
          <cell r="G1851">
            <v>0</v>
          </cell>
          <cell r="H1851">
            <v>0</v>
          </cell>
          <cell r="I1851">
            <v>1.9259999999999999</v>
          </cell>
          <cell r="J1851">
            <v>1.90487994</v>
          </cell>
          <cell r="K1851">
            <v>1.90487994</v>
          </cell>
          <cell r="L1851">
            <v>2.0625322082585301E-2</v>
          </cell>
          <cell r="M1851">
            <v>1.9255052620825901</v>
          </cell>
          <cell r="N1851">
            <v>3.2258064516128997E-2</v>
          </cell>
          <cell r="O1851">
            <v>0</v>
          </cell>
          <cell r="P1851">
            <v>0.37634408602150499</v>
          </cell>
          <cell r="Q1851">
            <v>1</v>
          </cell>
        </row>
        <row r="1852">
          <cell r="A1852">
            <v>264102</v>
          </cell>
          <cell r="B1852">
            <v>5</v>
          </cell>
          <cell r="C1852">
            <v>11</v>
          </cell>
          <cell r="D1852">
            <v>3</v>
          </cell>
          <cell r="E1852" t="str">
            <v>NON-HS</v>
          </cell>
          <cell r="F1852" t="str">
            <v>Brentwood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3.2258064516128997E-2</v>
          </cell>
          <cell r="O1852">
            <v>0</v>
          </cell>
          <cell r="P1852">
            <v>0.37634408602150499</v>
          </cell>
          <cell r="Q1852">
            <v>1</v>
          </cell>
        </row>
        <row r="1853">
          <cell r="A1853">
            <v>264103</v>
          </cell>
          <cell r="B1853">
            <v>5</v>
          </cell>
          <cell r="C1853">
            <v>11</v>
          </cell>
          <cell r="D1853">
            <v>3</v>
          </cell>
          <cell r="E1853" t="str">
            <v>NON-HS</v>
          </cell>
          <cell r="F1853" t="str">
            <v>Brentwood</v>
          </cell>
          <cell r="G1853">
            <v>0</v>
          </cell>
          <cell r="H1853">
            <v>0</v>
          </cell>
          <cell r="I1853">
            <v>2.8079999999999998</v>
          </cell>
          <cell r="J1853">
            <v>1.73313217</v>
          </cell>
          <cell r="K1853">
            <v>2.7331321700000002</v>
          </cell>
          <cell r="L1853">
            <v>7.4985510287253102E-2</v>
          </cell>
          <cell r="M1853">
            <v>2.8081176802872498</v>
          </cell>
          <cell r="N1853">
            <v>3.2258064516128997E-2</v>
          </cell>
          <cell r="O1853">
            <v>0</v>
          </cell>
          <cell r="P1853">
            <v>0.37634408602150499</v>
          </cell>
          <cell r="Q1853">
            <v>1</v>
          </cell>
        </row>
        <row r="1854">
          <cell r="A1854">
            <v>264302</v>
          </cell>
          <cell r="B1854">
            <v>5</v>
          </cell>
          <cell r="C1854">
            <v>11</v>
          </cell>
          <cell r="D1854">
            <v>3</v>
          </cell>
          <cell r="E1854" t="str">
            <v>NON-HS</v>
          </cell>
          <cell r="F1854" t="str">
            <v>Brentwood</v>
          </cell>
          <cell r="G1854">
            <v>0</v>
          </cell>
          <cell r="H1854">
            <v>0</v>
          </cell>
          <cell r="I1854">
            <v>14.722</v>
          </cell>
          <cell r="J1854">
            <v>11.270402710000001</v>
          </cell>
          <cell r="K1854">
            <v>14.270402710000001</v>
          </cell>
          <cell r="L1854">
            <v>0.450620568276481</v>
          </cell>
          <cell r="M1854">
            <v>14.721023278276499</v>
          </cell>
          <cell r="N1854">
            <v>3.2258064516128997E-2</v>
          </cell>
          <cell r="O1854">
            <v>0</v>
          </cell>
          <cell r="P1854">
            <v>0.37634408602150499</v>
          </cell>
          <cell r="Q1854">
            <v>1</v>
          </cell>
        </row>
        <row r="1855">
          <cell r="A1855">
            <v>265410</v>
          </cell>
          <cell r="B1855">
            <v>5</v>
          </cell>
          <cell r="C1855">
            <v>11</v>
          </cell>
          <cell r="D1855">
            <v>3</v>
          </cell>
          <cell r="E1855" t="str">
            <v>NON-HS</v>
          </cell>
          <cell r="F1855" t="str">
            <v>Brentwood</v>
          </cell>
          <cell r="G1855">
            <v>0</v>
          </cell>
          <cell r="H1855">
            <v>0</v>
          </cell>
          <cell r="I1855">
            <v>1</v>
          </cell>
          <cell r="J1855">
            <v>0</v>
          </cell>
          <cell r="K1855">
            <v>1</v>
          </cell>
          <cell r="L1855">
            <v>0</v>
          </cell>
          <cell r="M1855">
            <v>1</v>
          </cell>
          <cell r="N1855">
            <v>3.2258064516128997E-2</v>
          </cell>
          <cell r="O1855">
            <v>0</v>
          </cell>
          <cell r="P1855">
            <v>0.37634408602150499</v>
          </cell>
          <cell r="Q1855">
            <v>1</v>
          </cell>
        </row>
        <row r="1856">
          <cell r="A1856">
            <v>267403</v>
          </cell>
          <cell r="B1856">
            <v>5</v>
          </cell>
          <cell r="C1856">
            <v>11</v>
          </cell>
          <cell r="D1856">
            <v>3</v>
          </cell>
          <cell r="E1856" t="str">
            <v>NON-HS</v>
          </cell>
          <cell r="F1856" t="str">
            <v>West Los Angeles</v>
          </cell>
          <cell r="G1856">
            <v>0</v>
          </cell>
          <cell r="H1856">
            <v>0</v>
          </cell>
          <cell r="I1856">
            <v>4.9260000000000002</v>
          </cell>
          <cell r="J1856">
            <v>1.90487994</v>
          </cell>
          <cell r="K1856">
            <v>4.9048799399999998</v>
          </cell>
          <cell r="L1856">
            <v>2.0625322082585301E-2</v>
          </cell>
          <cell r="M1856">
            <v>4.9255052620825897</v>
          </cell>
          <cell r="N1856">
            <v>3.2258064516128997E-2</v>
          </cell>
          <cell r="O1856">
            <v>0</v>
          </cell>
          <cell r="P1856">
            <v>0.37634408602150499</v>
          </cell>
          <cell r="Q1856">
            <v>1</v>
          </cell>
        </row>
        <row r="1857">
          <cell r="A1857">
            <v>267404</v>
          </cell>
          <cell r="B1857">
            <v>5</v>
          </cell>
          <cell r="C1857">
            <v>11</v>
          </cell>
          <cell r="D1857">
            <v>3</v>
          </cell>
          <cell r="E1857" t="str">
            <v>NON-HS</v>
          </cell>
          <cell r="F1857" t="str">
            <v>West Los Angeles</v>
          </cell>
          <cell r="G1857">
            <v>0</v>
          </cell>
          <cell r="H1857">
            <v>0</v>
          </cell>
          <cell r="I1857">
            <v>6.851</v>
          </cell>
          <cell r="J1857">
            <v>3.8097598800000001</v>
          </cell>
          <cell r="K1857">
            <v>6.8097598799999997</v>
          </cell>
          <cell r="L1857">
            <v>4.1250644165170602E-2</v>
          </cell>
          <cell r="M1857">
            <v>6.8510105241651704</v>
          </cell>
          <cell r="N1857">
            <v>3.2258064516128997E-2</v>
          </cell>
          <cell r="O1857">
            <v>0</v>
          </cell>
          <cell r="P1857">
            <v>0.37634408602150499</v>
          </cell>
          <cell r="Q1857">
            <v>1</v>
          </cell>
        </row>
        <row r="1858">
          <cell r="A1858">
            <v>267501</v>
          </cell>
          <cell r="B1858">
            <v>5</v>
          </cell>
          <cell r="C1858">
            <v>11</v>
          </cell>
          <cell r="D1858">
            <v>3</v>
          </cell>
          <cell r="E1858" t="str">
            <v>NON-HS</v>
          </cell>
          <cell r="F1858" t="str">
            <v>West Los Angeles</v>
          </cell>
          <cell r="G1858">
            <v>0</v>
          </cell>
          <cell r="H1858">
            <v>0</v>
          </cell>
          <cell r="I1858">
            <v>14.61</v>
          </cell>
          <cell r="J1858">
            <v>11.028307659999999</v>
          </cell>
          <cell r="K1858">
            <v>14.028307659999999</v>
          </cell>
          <cell r="L1858">
            <v>0.58058064265709197</v>
          </cell>
          <cell r="M1858">
            <v>14.6088883026571</v>
          </cell>
          <cell r="N1858">
            <v>3.2258064516128997E-2</v>
          </cell>
          <cell r="O1858">
            <v>0</v>
          </cell>
          <cell r="P1858">
            <v>0.37634408602150499</v>
          </cell>
          <cell r="Q1858">
            <v>1</v>
          </cell>
        </row>
        <row r="1859">
          <cell r="A1859">
            <v>267700</v>
          </cell>
          <cell r="B1859">
            <v>5</v>
          </cell>
          <cell r="C1859">
            <v>11</v>
          </cell>
          <cell r="D1859">
            <v>2</v>
          </cell>
          <cell r="E1859" t="str">
            <v>NON-HS</v>
          </cell>
          <cell r="F1859" t="str">
            <v>West Los Angeles</v>
          </cell>
          <cell r="G1859">
            <v>0</v>
          </cell>
          <cell r="H1859">
            <v>0</v>
          </cell>
          <cell r="I1859">
            <v>17.388999999999999</v>
          </cell>
          <cell r="J1859">
            <v>16.434903550000001</v>
          </cell>
          <cell r="K1859">
            <v>16.434903550000001</v>
          </cell>
          <cell r="L1859">
            <v>0.95437785156193899</v>
          </cell>
          <cell r="M1859">
            <v>17.389281401561899</v>
          </cell>
          <cell r="N1859">
            <v>3.2258064516128997E-2</v>
          </cell>
          <cell r="O1859">
            <v>0</v>
          </cell>
          <cell r="P1859">
            <v>0.37634408602150499</v>
          </cell>
          <cell r="Q1859">
            <v>1</v>
          </cell>
        </row>
        <row r="1860">
          <cell r="A1860">
            <v>271300</v>
          </cell>
          <cell r="B1860">
            <v>5</v>
          </cell>
          <cell r="C1860">
            <v>11</v>
          </cell>
          <cell r="D1860">
            <v>2</v>
          </cell>
          <cell r="E1860" t="str">
            <v>NON-HS</v>
          </cell>
          <cell r="F1860" t="str">
            <v>Mar Vista</v>
          </cell>
          <cell r="G1860">
            <v>0</v>
          </cell>
          <cell r="H1860">
            <v>0</v>
          </cell>
          <cell r="I1860">
            <v>19.399999999999999</v>
          </cell>
          <cell r="J1860">
            <v>11.82337824</v>
          </cell>
          <cell r="K1860">
            <v>18.82337824</v>
          </cell>
          <cell r="L1860">
            <v>0.576488328994614</v>
          </cell>
          <cell r="M1860">
            <v>19.3998665689946</v>
          </cell>
          <cell r="N1860">
            <v>3.2258064516128997E-2</v>
          </cell>
          <cell r="O1860">
            <v>0</v>
          </cell>
          <cell r="P1860">
            <v>0.37634408602150499</v>
          </cell>
          <cell r="Q1860">
            <v>1</v>
          </cell>
        </row>
        <row r="1861">
          <cell r="A1861">
            <v>271500</v>
          </cell>
          <cell r="B1861">
            <v>5</v>
          </cell>
          <cell r="C1861">
            <v>11</v>
          </cell>
          <cell r="D1861">
            <v>2</v>
          </cell>
          <cell r="E1861" t="str">
            <v>NON-HS</v>
          </cell>
          <cell r="F1861" t="str">
            <v>Mar Vista</v>
          </cell>
          <cell r="G1861">
            <v>0</v>
          </cell>
          <cell r="H1861">
            <v>0</v>
          </cell>
          <cell r="I1861">
            <v>1.591</v>
          </cell>
          <cell r="J1861">
            <v>1.43919657</v>
          </cell>
          <cell r="K1861">
            <v>1.43919657</v>
          </cell>
          <cell r="L1861">
            <v>0.15145200614003601</v>
          </cell>
          <cell r="M1861">
            <v>1.59064857614004</v>
          </cell>
          <cell r="N1861">
            <v>3.2258064516128997E-2</v>
          </cell>
          <cell r="O1861">
            <v>0</v>
          </cell>
          <cell r="P1861">
            <v>0.37634408602150499</v>
          </cell>
          <cell r="Q1861">
            <v>1</v>
          </cell>
        </row>
        <row r="1862">
          <cell r="A1862">
            <v>271902</v>
          </cell>
          <cell r="B1862">
            <v>5</v>
          </cell>
          <cell r="C1862">
            <v>11</v>
          </cell>
          <cell r="D1862">
            <v>2</v>
          </cell>
          <cell r="E1862" t="str">
            <v>NON-HS</v>
          </cell>
          <cell r="F1862" t="str">
            <v>Mar Vista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3.2258064516128997E-2</v>
          </cell>
          <cell r="O1862">
            <v>0</v>
          </cell>
          <cell r="P1862">
            <v>0.37634408602150499</v>
          </cell>
          <cell r="Q1862">
            <v>1</v>
          </cell>
        </row>
        <row r="1863">
          <cell r="A1863">
            <v>272100</v>
          </cell>
          <cell r="B1863">
            <v>5</v>
          </cell>
          <cell r="C1863">
            <v>11</v>
          </cell>
          <cell r="D1863">
            <v>2</v>
          </cell>
          <cell r="E1863" t="str">
            <v>NON-HS</v>
          </cell>
          <cell r="F1863" t="str">
            <v>Mar Vista</v>
          </cell>
          <cell r="G1863">
            <v>0</v>
          </cell>
          <cell r="H1863">
            <v>0</v>
          </cell>
          <cell r="I1863">
            <v>1.8080000000000001</v>
          </cell>
          <cell r="J1863">
            <v>1.73313217</v>
          </cell>
          <cell r="K1863">
            <v>1.73313217</v>
          </cell>
          <cell r="L1863">
            <v>7.4985510287253102E-2</v>
          </cell>
          <cell r="M1863">
            <v>1.8081176802872501</v>
          </cell>
          <cell r="N1863">
            <v>3.2258064516128997E-2</v>
          </cell>
          <cell r="O1863">
            <v>0</v>
          </cell>
          <cell r="P1863">
            <v>0.37634408602150499</v>
          </cell>
          <cell r="Q1863">
            <v>1</v>
          </cell>
        </row>
        <row r="1864">
          <cell r="A1864">
            <v>272301</v>
          </cell>
          <cell r="B1864">
            <v>5</v>
          </cell>
          <cell r="C1864">
            <v>11</v>
          </cell>
          <cell r="D1864">
            <v>2</v>
          </cell>
          <cell r="E1864" t="str">
            <v>NON-HS</v>
          </cell>
          <cell r="F1864" t="str">
            <v>Mar Vista</v>
          </cell>
          <cell r="G1864">
            <v>0</v>
          </cell>
          <cell r="H1864">
            <v>0</v>
          </cell>
          <cell r="I1864">
            <v>4.1900000000000004</v>
          </cell>
          <cell r="J1864">
            <v>3.9673993200000002</v>
          </cell>
          <cell r="K1864">
            <v>3.9673993200000002</v>
          </cell>
          <cell r="L1864">
            <v>0.22234520276481101</v>
          </cell>
          <cell r="M1864">
            <v>4.1897445227648102</v>
          </cell>
          <cell r="N1864">
            <v>3.2258064516128997E-2</v>
          </cell>
          <cell r="O1864">
            <v>0</v>
          </cell>
          <cell r="P1864">
            <v>0.37634408602150499</v>
          </cell>
          <cell r="Q1864">
            <v>1</v>
          </cell>
        </row>
        <row r="1865">
          <cell r="A1865">
            <v>272302</v>
          </cell>
          <cell r="B1865">
            <v>5</v>
          </cell>
          <cell r="C1865">
            <v>11</v>
          </cell>
          <cell r="D1865">
            <v>2</v>
          </cell>
          <cell r="E1865" t="str">
            <v>NON-HS</v>
          </cell>
          <cell r="F1865" t="str">
            <v>Mar Vista</v>
          </cell>
          <cell r="G1865">
            <v>1</v>
          </cell>
          <cell r="H1865">
            <v>1</v>
          </cell>
          <cell r="I1865">
            <v>1.9259999999999999</v>
          </cell>
          <cell r="J1865">
            <v>1.90487994</v>
          </cell>
          <cell r="K1865">
            <v>1.90487994</v>
          </cell>
          <cell r="L1865">
            <v>2.0625322082585301E-2</v>
          </cell>
          <cell r="M1865">
            <v>1.9255052620825901</v>
          </cell>
          <cell r="N1865">
            <v>3.2258064516128997E-2</v>
          </cell>
          <cell r="O1865">
            <v>31</v>
          </cell>
          <cell r="P1865">
            <v>0.37634408602150499</v>
          </cell>
          <cell r="Q1865">
            <v>1</v>
          </cell>
        </row>
        <row r="1866">
          <cell r="A1866">
            <v>275101</v>
          </cell>
          <cell r="B1866">
            <v>5</v>
          </cell>
          <cell r="C1866">
            <v>11</v>
          </cell>
          <cell r="D1866">
            <v>2</v>
          </cell>
          <cell r="E1866" t="str">
            <v>NON-HS</v>
          </cell>
          <cell r="F1866" t="str">
            <v>Del Rey</v>
          </cell>
          <cell r="G1866">
            <v>0</v>
          </cell>
          <cell r="H1866">
            <v>0</v>
          </cell>
          <cell r="I1866">
            <v>18.010999999999999</v>
          </cell>
          <cell r="J1866">
            <v>17.15115441</v>
          </cell>
          <cell r="K1866">
            <v>17.15115441</v>
          </cell>
          <cell r="L1866">
            <v>0.85973825859964104</v>
          </cell>
          <cell r="M1866">
            <v>18.010892668599599</v>
          </cell>
          <cell r="N1866">
            <v>3.2258064516128997E-2</v>
          </cell>
          <cell r="O1866">
            <v>0</v>
          </cell>
          <cell r="P1866">
            <v>0.37634408602150499</v>
          </cell>
          <cell r="Q1866">
            <v>1</v>
          </cell>
        </row>
        <row r="1867">
          <cell r="A1867">
            <v>275400</v>
          </cell>
          <cell r="B1867">
            <v>5</v>
          </cell>
          <cell r="C1867">
            <v>11</v>
          </cell>
          <cell r="D1867">
            <v>2</v>
          </cell>
          <cell r="E1867" t="str">
            <v>NON-HS</v>
          </cell>
          <cell r="F1867" t="str">
            <v>Del Rey</v>
          </cell>
          <cell r="G1867">
            <v>0</v>
          </cell>
          <cell r="H1867">
            <v>0</v>
          </cell>
          <cell r="I1867">
            <v>22.515000000000001</v>
          </cell>
          <cell r="J1867">
            <v>17.695657499999999</v>
          </cell>
          <cell r="K1867">
            <v>21.695657499999999</v>
          </cell>
          <cell r="L1867">
            <v>0.819458853842011</v>
          </cell>
          <cell r="M1867">
            <v>22.515116353842</v>
          </cell>
          <cell r="N1867">
            <v>3.2258064516128997E-2</v>
          </cell>
          <cell r="O1867">
            <v>0</v>
          </cell>
          <cell r="P1867">
            <v>0.37634408602150499</v>
          </cell>
          <cell r="Q1867">
            <v>1</v>
          </cell>
        </row>
        <row r="1868">
          <cell r="A1868">
            <v>275500</v>
          </cell>
          <cell r="B1868">
            <v>5</v>
          </cell>
          <cell r="C1868">
            <v>11</v>
          </cell>
          <cell r="D1868">
            <v>2</v>
          </cell>
          <cell r="E1868" t="str">
            <v>NON-HS</v>
          </cell>
          <cell r="F1868" t="str">
            <v>Del Rey</v>
          </cell>
          <cell r="G1868">
            <v>0</v>
          </cell>
          <cell r="H1868">
            <v>0</v>
          </cell>
          <cell r="I1868">
            <v>16.184999999999999</v>
          </cell>
          <cell r="J1868">
            <v>15.368462299999999</v>
          </cell>
          <cell r="K1868">
            <v>15.368462299999999</v>
          </cell>
          <cell r="L1868">
            <v>0.81700662886894104</v>
          </cell>
          <cell r="M1868">
            <v>16.1854689288689</v>
          </cell>
          <cell r="N1868">
            <v>3.2258064516128997E-2</v>
          </cell>
          <cell r="O1868">
            <v>0</v>
          </cell>
          <cell r="P1868">
            <v>0.37634408602150499</v>
          </cell>
          <cell r="Q1868">
            <v>1</v>
          </cell>
        </row>
        <row r="1869">
          <cell r="A1869">
            <v>276000</v>
          </cell>
          <cell r="B1869">
            <v>5</v>
          </cell>
          <cell r="C1869">
            <v>11</v>
          </cell>
          <cell r="D1869">
            <v>2</v>
          </cell>
          <cell r="E1869" t="str">
            <v>NON-HS</v>
          </cell>
          <cell r="F1869" t="str">
            <v>Westchester/Playa Del Rey</v>
          </cell>
          <cell r="G1869">
            <v>1</v>
          </cell>
          <cell r="H1869">
            <v>1</v>
          </cell>
          <cell r="I1869">
            <v>15.368</v>
          </cell>
          <cell r="J1869">
            <v>12.54632395</v>
          </cell>
          <cell r="K1869">
            <v>14.54632395</v>
          </cell>
          <cell r="L1869">
            <v>0.82257992809694802</v>
          </cell>
          <cell r="M1869">
            <v>15.3689038780969</v>
          </cell>
          <cell r="N1869">
            <v>3.2258064516128997E-2</v>
          </cell>
          <cell r="O1869">
            <v>31</v>
          </cell>
          <cell r="P1869">
            <v>0.37634408602150499</v>
          </cell>
          <cell r="Q1869">
            <v>1</v>
          </cell>
        </row>
        <row r="1870">
          <cell r="A1870">
            <v>276400</v>
          </cell>
          <cell r="B1870">
            <v>5</v>
          </cell>
          <cell r="C1870">
            <v>11</v>
          </cell>
          <cell r="D1870">
            <v>2</v>
          </cell>
          <cell r="E1870" t="str">
            <v>NON-HS</v>
          </cell>
          <cell r="F1870" t="str">
            <v>Westchester/Playa Del Rey</v>
          </cell>
          <cell r="G1870">
            <v>0</v>
          </cell>
          <cell r="H1870">
            <v>0</v>
          </cell>
          <cell r="I1870">
            <v>3.903</v>
          </cell>
          <cell r="J1870">
            <v>3.7168318299999998</v>
          </cell>
          <cell r="K1870">
            <v>3.7168318299999998</v>
          </cell>
          <cell r="L1870">
            <v>0.18615811166965901</v>
          </cell>
          <cell r="M1870">
            <v>3.9029899416696598</v>
          </cell>
          <cell r="N1870">
            <v>3.2258064516128997E-2</v>
          </cell>
          <cell r="O1870">
            <v>0</v>
          </cell>
          <cell r="P1870">
            <v>0.37634408602150499</v>
          </cell>
          <cell r="Q1870">
            <v>1</v>
          </cell>
        </row>
        <row r="1871">
          <cell r="A1871">
            <v>276500</v>
          </cell>
          <cell r="B1871">
            <v>5</v>
          </cell>
          <cell r="C1871">
            <v>11</v>
          </cell>
          <cell r="D1871">
            <v>2</v>
          </cell>
          <cell r="E1871" t="str">
            <v>NON-HS</v>
          </cell>
          <cell r="F1871" t="str">
            <v>Westchester/Playa Del Rey</v>
          </cell>
          <cell r="G1871">
            <v>0</v>
          </cell>
          <cell r="H1871">
            <v>0</v>
          </cell>
          <cell r="I1871">
            <v>5.9980000000000002</v>
          </cell>
          <cell r="J1871">
            <v>5.7005314900000004</v>
          </cell>
          <cell r="K1871">
            <v>5.7005314900000004</v>
          </cell>
          <cell r="L1871">
            <v>0.29733071305206499</v>
          </cell>
          <cell r="M1871">
            <v>5.9978622030520699</v>
          </cell>
          <cell r="N1871">
            <v>3.2258064516128997E-2</v>
          </cell>
          <cell r="O1871">
            <v>0</v>
          </cell>
          <cell r="P1871">
            <v>0.37634408602150499</v>
          </cell>
          <cell r="Q1871">
            <v>1</v>
          </cell>
        </row>
        <row r="1872">
          <cell r="A1872">
            <v>277000</v>
          </cell>
          <cell r="B1872">
            <v>5</v>
          </cell>
          <cell r="C1872">
            <v>11</v>
          </cell>
          <cell r="D1872">
            <v>2</v>
          </cell>
          <cell r="E1872" t="str">
            <v>NON-HS</v>
          </cell>
          <cell r="F1872" t="str">
            <v>Westchester/Playa Del Rey</v>
          </cell>
          <cell r="G1872">
            <v>0</v>
          </cell>
          <cell r="H1872">
            <v>0</v>
          </cell>
          <cell r="I1872">
            <v>8.2029999999999994</v>
          </cell>
          <cell r="J1872">
            <v>7.0275745199999999</v>
          </cell>
          <cell r="K1872">
            <v>8.0275745199999999</v>
          </cell>
          <cell r="L1872">
            <v>0.17564839666068199</v>
          </cell>
          <cell r="M1872">
            <v>8.20322291666068</v>
          </cell>
          <cell r="N1872">
            <v>3.2258064516128997E-2</v>
          </cell>
          <cell r="O1872">
            <v>0</v>
          </cell>
          <cell r="P1872">
            <v>0.37634408602150499</v>
          </cell>
          <cell r="Q1872">
            <v>1</v>
          </cell>
        </row>
        <row r="1873">
          <cell r="A1873">
            <v>278102</v>
          </cell>
          <cell r="B1873">
            <v>5</v>
          </cell>
          <cell r="C1873">
            <v>11</v>
          </cell>
          <cell r="D1873">
            <v>4</v>
          </cell>
          <cell r="E1873" t="str">
            <v>NON-HS</v>
          </cell>
          <cell r="F1873" t="str">
            <v>Westchester/Playa Del Rey</v>
          </cell>
          <cell r="G1873">
            <v>0</v>
          </cell>
          <cell r="H1873">
            <v>0</v>
          </cell>
          <cell r="I1873">
            <v>13.426</v>
          </cell>
          <cell r="J1873">
            <v>9.9308290400000008</v>
          </cell>
          <cell r="K1873">
            <v>12.930829040000001</v>
          </cell>
          <cell r="L1873">
            <v>0.49499228669658901</v>
          </cell>
          <cell r="M1873">
            <v>13.4258213266966</v>
          </cell>
          <cell r="N1873">
            <v>3.2258064516128997E-2</v>
          </cell>
          <cell r="O1873">
            <v>0</v>
          </cell>
          <cell r="P1873">
            <v>0.37634408602150499</v>
          </cell>
          <cell r="Q1873">
            <v>1</v>
          </cell>
        </row>
        <row r="1874">
          <cell r="A1874">
            <v>273100</v>
          </cell>
          <cell r="B1874">
            <v>10</v>
          </cell>
          <cell r="C1874">
            <v>11</v>
          </cell>
          <cell r="D1874">
            <v>3</v>
          </cell>
          <cell r="E1874" t="str">
            <v>VENICE</v>
          </cell>
          <cell r="F1874" t="str">
            <v>Venice</v>
          </cell>
          <cell r="G1874">
            <v>1</v>
          </cell>
          <cell r="H1874">
            <v>1</v>
          </cell>
          <cell r="I1874">
            <v>53.963999999999999</v>
          </cell>
          <cell r="J1874">
            <v>43.994885269999997</v>
          </cell>
          <cell r="K1874">
            <v>51.994885269999997</v>
          </cell>
          <cell r="L1874">
            <v>1.9687885417055699</v>
          </cell>
          <cell r="M1874">
            <v>53.963673811705597</v>
          </cell>
          <cell r="N1874">
            <v>1</v>
          </cell>
          <cell r="O1874">
            <v>1</v>
          </cell>
        </row>
        <row r="1875">
          <cell r="A1875">
            <v>273200</v>
          </cell>
          <cell r="B1875">
            <v>10</v>
          </cell>
          <cell r="C1875">
            <v>11</v>
          </cell>
          <cell r="D1875">
            <v>3</v>
          </cell>
          <cell r="E1875" t="str">
            <v>VENICE</v>
          </cell>
          <cell r="F1875" t="str">
            <v>Venice</v>
          </cell>
          <cell r="G1875">
            <v>1</v>
          </cell>
          <cell r="H1875">
            <v>1</v>
          </cell>
          <cell r="I1875">
            <v>110.09399999999999</v>
          </cell>
          <cell r="J1875">
            <v>84.206665470000004</v>
          </cell>
          <cell r="K1875">
            <v>106.20666547</v>
          </cell>
          <cell r="L1875">
            <v>3.8868047412926399</v>
          </cell>
          <cell r="M1875">
            <v>110.093470211293</v>
          </cell>
          <cell r="N1875">
            <v>1</v>
          </cell>
          <cell r="O1875">
            <v>1</v>
          </cell>
        </row>
        <row r="1876">
          <cell r="A1876">
            <v>273300</v>
          </cell>
          <cell r="B1876">
            <v>10</v>
          </cell>
          <cell r="C1876">
            <v>11</v>
          </cell>
          <cell r="D1876">
            <v>3</v>
          </cell>
          <cell r="E1876" t="str">
            <v>VENICE</v>
          </cell>
          <cell r="F1876" t="str">
            <v>Venice</v>
          </cell>
          <cell r="G1876">
            <v>1</v>
          </cell>
          <cell r="H1876">
            <v>1</v>
          </cell>
          <cell r="I1876">
            <v>232.108</v>
          </cell>
          <cell r="J1876">
            <v>206.13290509999999</v>
          </cell>
          <cell r="K1876">
            <v>225.13290509999999</v>
          </cell>
          <cell r="L1876">
            <v>6.9752722552423698</v>
          </cell>
          <cell r="M1876">
            <v>232.10817735524199</v>
          </cell>
          <cell r="N1876">
            <v>1</v>
          </cell>
          <cell r="O1876">
            <v>1</v>
          </cell>
        </row>
        <row r="1877">
          <cell r="A1877">
            <v>273402</v>
          </cell>
          <cell r="B1877">
            <v>10</v>
          </cell>
          <cell r="C1877">
            <v>11</v>
          </cell>
          <cell r="D1877">
            <v>3</v>
          </cell>
          <cell r="E1877" t="str">
            <v>VENICE</v>
          </cell>
          <cell r="F1877" t="str">
            <v>Venice</v>
          </cell>
          <cell r="G1877">
            <v>1</v>
          </cell>
          <cell r="H1877">
            <v>1</v>
          </cell>
          <cell r="I1877">
            <v>202.62100000000001</v>
          </cell>
          <cell r="J1877">
            <v>153.43167256000001</v>
          </cell>
          <cell r="K1877">
            <v>197.43167256000001</v>
          </cell>
          <cell r="L1877">
            <v>5.1900117179174101</v>
          </cell>
          <cell r="M1877">
            <v>202.62168427791701</v>
          </cell>
          <cell r="N1877">
            <v>1</v>
          </cell>
          <cell r="O1877">
            <v>1</v>
          </cell>
        </row>
        <row r="1878">
          <cell r="A1878">
            <v>273502</v>
          </cell>
          <cell r="B1878">
            <v>10</v>
          </cell>
          <cell r="C1878">
            <v>11</v>
          </cell>
          <cell r="D1878">
            <v>3</v>
          </cell>
          <cell r="E1878" t="str">
            <v>VENICE</v>
          </cell>
          <cell r="F1878" t="str">
            <v>Venice</v>
          </cell>
          <cell r="G1878">
            <v>1</v>
          </cell>
          <cell r="H1878">
            <v>1</v>
          </cell>
          <cell r="I1878">
            <v>121.93</v>
          </cell>
          <cell r="J1878">
            <v>91.622628410000004</v>
          </cell>
          <cell r="K1878">
            <v>118.62262841</v>
          </cell>
          <cell r="L1878">
            <v>3.3066436968222601</v>
          </cell>
          <cell r="M1878">
            <v>121.929272106822</v>
          </cell>
          <cell r="N1878">
            <v>1</v>
          </cell>
          <cell r="O1878">
            <v>1</v>
          </cell>
        </row>
        <row r="1879">
          <cell r="A1879">
            <v>273600</v>
          </cell>
          <cell r="B1879">
            <v>10</v>
          </cell>
          <cell r="C1879">
            <v>11</v>
          </cell>
          <cell r="D1879">
            <v>3</v>
          </cell>
          <cell r="E1879" t="str">
            <v>VENICE</v>
          </cell>
          <cell r="F1879" t="str">
            <v>Venice</v>
          </cell>
          <cell r="G1879">
            <v>1</v>
          </cell>
          <cell r="H1879">
            <v>1</v>
          </cell>
          <cell r="I1879">
            <v>71.881</v>
          </cell>
          <cell r="J1879">
            <v>44.149704</v>
          </cell>
          <cell r="K1879">
            <v>70.149704</v>
          </cell>
          <cell r="L1879">
            <v>1.7307564734290799</v>
          </cell>
          <cell r="M1879">
            <v>71.880460473429096</v>
          </cell>
          <cell r="N1879">
            <v>1</v>
          </cell>
          <cell r="O1879">
            <v>1</v>
          </cell>
        </row>
        <row r="1880">
          <cell r="A1880">
            <v>273700</v>
          </cell>
          <cell r="B1880">
            <v>10</v>
          </cell>
          <cell r="C1880">
            <v>11</v>
          </cell>
          <cell r="D1880">
            <v>3</v>
          </cell>
          <cell r="E1880" t="str">
            <v>VENICE</v>
          </cell>
          <cell r="F1880" t="str">
            <v>Venice</v>
          </cell>
          <cell r="G1880">
            <v>1</v>
          </cell>
          <cell r="H1880">
            <v>1</v>
          </cell>
          <cell r="I1880">
            <v>8.3789999999999996</v>
          </cell>
          <cell r="J1880">
            <v>7.9347986400000003</v>
          </cell>
          <cell r="K1880">
            <v>7.9347986400000003</v>
          </cell>
          <cell r="L1880">
            <v>0.44469040552962302</v>
          </cell>
          <cell r="M1880">
            <v>8.3794890455296205</v>
          </cell>
          <cell r="N1880">
            <v>1</v>
          </cell>
          <cell r="O1880">
            <v>1</v>
          </cell>
        </row>
        <row r="1881">
          <cell r="A1881">
            <v>273800</v>
          </cell>
          <cell r="B1881">
            <v>10</v>
          </cell>
          <cell r="C1881">
            <v>11</v>
          </cell>
          <cell r="D1881">
            <v>2</v>
          </cell>
          <cell r="E1881" t="str">
            <v>VENICE</v>
          </cell>
          <cell r="F1881" t="str">
            <v>Venice</v>
          </cell>
          <cell r="G1881">
            <v>1</v>
          </cell>
          <cell r="H1881">
            <v>1</v>
          </cell>
          <cell r="I1881">
            <v>43.029000000000003</v>
          </cell>
          <cell r="J1881">
            <v>34.055043689999998</v>
          </cell>
          <cell r="K1881">
            <v>42.055043689999998</v>
          </cell>
          <cell r="L1881">
            <v>0.97426992174147198</v>
          </cell>
          <cell r="M1881">
            <v>43.0293136117415</v>
          </cell>
          <cell r="N1881">
            <v>1</v>
          </cell>
          <cell r="O1881">
            <v>1</v>
          </cell>
        </row>
        <row r="1882">
          <cell r="A1882">
            <v>273902</v>
          </cell>
          <cell r="B1882">
            <v>10</v>
          </cell>
          <cell r="C1882">
            <v>11</v>
          </cell>
          <cell r="D1882">
            <v>3</v>
          </cell>
          <cell r="E1882" t="str">
            <v>VENICE</v>
          </cell>
          <cell r="F1882" t="str">
            <v>Venice</v>
          </cell>
          <cell r="G1882">
            <v>1</v>
          </cell>
          <cell r="H1882">
            <v>1</v>
          </cell>
          <cell r="I1882">
            <v>43.603000000000002</v>
          </cell>
          <cell r="J1882">
            <v>24.789180900000002</v>
          </cell>
          <cell r="K1882">
            <v>42.789180899999998</v>
          </cell>
          <cell r="L1882">
            <v>0.81314608222621199</v>
          </cell>
          <cell r="M1882">
            <v>43.602326982226202</v>
          </cell>
          <cell r="N1882">
            <v>1</v>
          </cell>
          <cell r="O1882">
            <v>1</v>
          </cell>
        </row>
        <row r="1883">
          <cell r="A1883">
            <v>274100</v>
          </cell>
          <cell r="B1883">
            <v>10</v>
          </cell>
          <cell r="C1883">
            <v>11</v>
          </cell>
          <cell r="D1883">
            <v>2</v>
          </cell>
          <cell r="E1883" t="str">
            <v>VENICE</v>
          </cell>
          <cell r="F1883" t="str">
            <v>Venice</v>
          </cell>
          <cell r="G1883">
            <v>1</v>
          </cell>
          <cell r="H1883">
            <v>1</v>
          </cell>
          <cell r="I1883">
            <v>30.367999999999999</v>
          </cell>
          <cell r="J1883">
            <v>12.54632395</v>
          </cell>
          <cell r="K1883">
            <v>29.546323950000001</v>
          </cell>
          <cell r="L1883">
            <v>0.82257992809694802</v>
          </cell>
          <cell r="M1883">
            <v>30.368903878097001</v>
          </cell>
          <cell r="N1883">
            <v>1</v>
          </cell>
          <cell r="O1883">
            <v>1</v>
          </cell>
        </row>
        <row r="1884">
          <cell r="A1884">
            <v>274202</v>
          </cell>
          <cell r="B1884">
            <v>10</v>
          </cell>
          <cell r="C1884">
            <v>11</v>
          </cell>
          <cell r="D1884">
            <v>3</v>
          </cell>
          <cell r="E1884" t="str">
            <v>VENICE</v>
          </cell>
          <cell r="F1884" t="str">
            <v>Venice</v>
          </cell>
          <cell r="G1884">
            <v>1</v>
          </cell>
          <cell r="H1884">
            <v>1</v>
          </cell>
          <cell r="I1884">
            <v>25.228000000000002</v>
          </cell>
          <cell r="J1884">
            <v>18.33359166</v>
          </cell>
          <cell r="K1884">
            <v>24.33359166</v>
          </cell>
          <cell r="L1884">
            <v>0.89460346725314199</v>
          </cell>
          <cell r="M1884">
            <v>25.228195127253102</v>
          </cell>
          <cell r="N1884">
            <v>1</v>
          </cell>
          <cell r="O1884">
            <v>1</v>
          </cell>
        </row>
        <row r="1885">
          <cell r="A1885">
            <v>113237</v>
          </cell>
          <cell r="B1885">
            <v>2</v>
          </cell>
          <cell r="C1885">
            <v>12</v>
          </cell>
          <cell r="D1885">
            <v>5</v>
          </cell>
          <cell r="E1885" t="str">
            <v>CVCTE</v>
          </cell>
          <cell r="F1885" t="str">
            <v>Chatsworth</v>
          </cell>
          <cell r="G1885">
            <v>0</v>
          </cell>
          <cell r="H1885">
            <v>1</v>
          </cell>
          <cell r="I1885">
            <v>46.734000000000002</v>
          </cell>
          <cell r="J1885">
            <v>44.506610479999999</v>
          </cell>
          <cell r="K1885">
            <v>44.506610479999999</v>
          </cell>
          <cell r="L1885">
            <v>2.2279237123877902</v>
          </cell>
          <cell r="M1885">
            <v>46.734534192387798</v>
          </cell>
          <cell r="N1885">
            <v>0.17910447761194001</v>
          </cell>
          <cell r="O1885">
            <v>0</v>
          </cell>
          <cell r="P1885">
            <v>0.104477611940299</v>
          </cell>
          <cell r="Q1885">
            <v>1</v>
          </cell>
          <cell r="R1885">
            <v>1</v>
          </cell>
          <cell r="S1885">
            <v>1</v>
          </cell>
        </row>
        <row r="1886">
          <cell r="A1886">
            <v>113213</v>
          </cell>
          <cell r="B1886">
            <v>2</v>
          </cell>
          <cell r="C1886">
            <v>12</v>
          </cell>
          <cell r="D1886">
            <v>5</v>
          </cell>
          <cell r="E1886" t="str">
            <v>CVCTE</v>
          </cell>
          <cell r="F1886" t="str">
            <v>Chatsworth</v>
          </cell>
          <cell r="G1886">
            <v>0</v>
          </cell>
          <cell r="H1886">
            <v>1</v>
          </cell>
          <cell r="I1886">
            <v>13.368</v>
          </cell>
          <cell r="J1886">
            <v>12.54632395</v>
          </cell>
          <cell r="K1886">
            <v>12.54632395</v>
          </cell>
          <cell r="L1886">
            <v>0.82257992809694802</v>
          </cell>
          <cell r="M1886">
            <v>13.3689038780969</v>
          </cell>
          <cell r="N1886">
            <v>0.17910447761194001</v>
          </cell>
          <cell r="O1886">
            <v>0</v>
          </cell>
          <cell r="P1886">
            <v>0.104477611940299</v>
          </cell>
          <cell r="Q1886">
            <v>1</v>
          </cell>
          <cell r="R1886">
            <v>1</v>
          </cell>
          <cell r="S1886">
            <v>1</v>
          </cell>
        </row>
        <row r="1887">
          <cell r="A1887">
            <v>113102</v>
          </cell>
          <cell r="B1887">
            <v>2</v>
          </cell>
          <cell r="C1887">
            <v>12</v>
          </cell>
          <cell r="D1887">
            <v>5</v>
          </cell>
          <cell r="E1887" t="str">
            <v>CVCTE</v>
          </cell>
          <cell r="F1887" t="str">
            <v>Chatsworth</v>
          </cell>
          <cell r="G1887">
            <v>0</v>
          </cell>
          <cell r="H1887">
            <v>1</v>
          </cell>
          <cell r="I1887">
            <v>14.664</v>
          </cell>
          <cell r="J1887">
            <v>13.88589762</v>
          </cell>
          <cell r="K1887">
            <v>13.88589762</v>
          </cell>
          <cell r="L1887">
            <v>0.77820820967684001</v>
          </cell>
          <cell r="M1887">
            <v>14.664105829676799</v>
          </cell>
          <cell r="N1887">
            <v>0.17910447761194001</v>
          </cell>
          <cell r="O1887">
            <v>0</v>
          </cell>
          <cell r="P1887">
            <v>0.104477611940299</v>
          </cell>
          <cell r="Q1887">
            <v>1</v>
          </cell>
          <cell r="R1887">
            <v>1</v>
          </cell>
          <cell r="S1887">
            <v>1</v>
          </cell>
        </row>
        <row r="1888">
          <cell r="A1888">
            <v>117202</v>
          </cell>
          <cell r="B1888">
            <v>2</v>
          </cell>
          <cell r="C1888">
            <v>12</v>
          </cell>
          <cell r="D1888">
            <v>3</v>
          </cell>
          <cell r="E1888" t="str">
            <v>CVCTE</v>
          </cell>
          <cell r="F1888" t="str">
            <v>North Hills</v>
          </cell>
          <cell r="G1888">
            <v>0</v>
          </cell>
          <cell r="H1888">
            <v>1</v>
          </cell>
          <cell r="I1888">
            <v>5</v>
          </cell>
          <cell r="J1888">
            <v>0</v>
          </cell>
          <cell r="K1888">
            <v>5</v>
          </cell>
          <cell r="L1888">
            <v>0</v>
          </cell>
          <cell r="M1888">
            <v>5</v>
          </cell>
          <cell r="N1888">
            <v>0.17910447761194001</v>
          </cell>
          <cell r="O1888">
            <v>0</v>
          </cell>
          <cell r="P1888">
            <v>0.104477611940299</v>
          </cell>
          <cell r="Q1888">
            <v>1</v>
          </cell>
          <cell r="R1888">
            <v>1</v>
          </cell>
          <cell r="S1888">
            <v>1</v>
          </cell>
        </row>
        <row r="1889">
          <cell r="A1889">
            <v>113321</v>
          </cell>
          <cell r="B1889">
            <v>2</v>
          </cell>
          <cell r="C1889">
            <v>12</v>
          </cell>
          <cell r="D1889">
            <v>5</v>
          </cell>
          <cell r="E1889" t="str">
            <v>CVCTE</v>
          </cell>
          <cell r="F1889" t="str">
            <v>Chatsworth</v>
          </cell>
          <cell r="G1889">
            <v>0</v>
          </cell>
          <cell r="H1889">
            <v>1</v>
          </cell>
          <cell r="I1889">
            <v>14.16</v>
          </cell>
          <cell r="J1889">
            <v>13.341394530000001</v>
          </cell>
          <cell r="K1889">
            <v>13.341394530000001</v>
          </cell>
          <cell r="L1889">
            <v>0.81848761443447005</v>
          </cell>
          <cell r="M1889">
            <v>14.1598821444345</v>
          </cell>
          <cell r="N1889">
            <v>0.17910447761194001</v>
          </cell>
          <cell r="O1889">
            <v>0</v>
          </cell>
          <cell r="P1889">
            <v>0.104477611940299</v>
          </cell>
          <cell r="Q1889">
            <v>1</v>
          </cell>
          <cell r="R1889">
            <v>1</v>
          </cell>
          <cell r="S1889">
            <v>1</v>
          </cell>
        </row>
        <row r="1890">
          <cell r="A1890">
            <v>135201</v>
          </cell>
          <cell r="B1890">
            <v>2</v>
          </cell>
          <cell r="C1890">
            <v>12</v>
          </cell>
          <cell r="D1890">
            <v>3</v>
          </cell>
          <cell r="E1890" t="str">
            <v>CVCTE</v>
          </cell>
          <cell r="F1890" t="str">
            <v>West Hills</v>
          </cell>
          <cell r="G1890">
            <v>0</v>
          </cell>
          <cell r="H1890">
            <v>1</v>
          </cell>
          <cell r="I1890">
            <v>21.51</v>
          </cell>
          <cell r="J1890">
            <v>20.445670979999999</v>
          </cell>
          <cell r="K1890">
            <v>20.445670979999999</v>
          </cell>
          <cell r="L1890">
            <v>1.06406946737882</v>
          </cell>
          <cell r="M1890">
            <v>21.5097404473788</v>
          </cell>
          <cell r="N1890">
            <v>0.17910447761194001</v>
          </cell>
          <cell r="O1890">
            <v>0</v>
          </cell>
          <cell r="P1890">
            <v>0.104477611940299</v>
          </cell>
          <cell r="Q1890">
            <v>1</v>
          </cell>
          <cell r="R1890">
            <v>1</v>
          </cell>
          <cell r="S1890">
            <v>1</v>
          </cell>
        </row>
        <row r="1891">
          <cell r="A1891">
            <v>113301</v>
          </cell>
          <cell r="B1891">
            <v>2</v>
          </cell>
          <cell r="C1891">
            <v>12</v>
          </cell>
          <cell r="D1891">
            <v>5</v>
          </cell>
          <cell r="E1891" t="str">
            <v>CVCTE</v>
          </cell>
          <cell r="F1891" t="str">
            <v>Northridge</v>
          </cell>
          <cell r="G1891">
            <v>0</v>
          </cell>
          <cell r="H1891">
            <v>1</v>
          </cell>
          <cell r="I1891">
            <v>14.791</v>
          </cell>
          <cell r="J1891">
            <v>13.906700799999999</v>
          </cell>
          <cell r="K1891">
            <v>13.906700799999999</v>
          </cell>
          <cell r="L1891">
            <v>0.88348465493716299</v>
          </cell>
          <cell r="M1891">
            <v>14.7901854549372</v>
          </cell>
          <cell r="N1891">
            <v>0.17910447761194001</v>
          </cell>
          <cell r="O1891">
            <v>0</v>
          </cell>
          <cell r="P1891">
            <v>0.104477611940299</v>
          </cell>
          <cell r="Q1891">
            <v>1</v>
          </cell>
          <cell r="R1891">
            <v>1</v>
          </cell>
          <cell r="S1891">
            <v>1</v>
          </cell>
        </row>
        <row r="1892">
          <cell r="A1892">
            <v>115202</v>
          </cell>
          <cell r="B1892">
            <v>2</v>
          </cell>
          <cell r="C1892">
            <v>12</v>
          </cell>
          <cell r="D1892">
            <v>3</v>
          </cell>
          <cell r="E1892" t="str">
            <v>CVCTE</v>
          </cell>
          <cell r="F1892" t="str">
            <v>Northridge</v>
          </cell>
          <cell r="G1892">
            <v>0</v>
          </cell>
          <cell r="H1892">
            <v>1</v>
          </cell>
          <cell r="I1892">
            <v>25.673999999999999</v>
          </cell>
          <cell r="J1892">
            <v>21.747852630000001</v>
          </cell>
          <cell r="K1892">
            <v>24.747852630000001</v>
          </cell>
          <cell r="L1892">
            <v>0.92594727323159798</v>
          </cell>
          <cell r="M1892">
            <v>25.6737999032316</v>
          </cell>
          <cell r="N1892">
            <v>0.17910447761194001</v>
          </cell>
          <cell r="O1892">
            <v>0</v>
          </cell>
          <cell r="P1892">
            <v>0.104477611940299</v>
          </cell>
          <cell r="Q1892">
            <v>1</v>
          </cell>
          <cell r="R1892">
            <v>1</v>
          </cell>
          <cell r="S1892">
            <v>1</v>
          </cell>
        </row>
        <row r="1893">
          <cell r="A1893">
            <v>134422</v>
          </cell>
          <cell r="B1893">
            <v>2</v>
          </cell>
          <cell r="C1893">
            <v>12</v>
          </cell>
          <cell r="D1893">
            <v>3</v>
          </cell>
          <cell r="E1893" t="str">
            <v>CVCTE</v>
          </cell>
          <cell r="F1893" t="str">
            <v>West Hills</v>
          </cell>
          <cell r="G1893">
            <v>0</v>
          </cell>
          <cell r="H1893">
            <v>1</v>
          </cell>
          <cell r="I1893">
            <v>25.53</v>
          </cell>
          <cell r="J1893">
            <v>24.334250579999999</v>
          </cell>
          <cell r="K1893">
            <v>24.334250579999999</v>
          </cell>
          <cell r="L1893">
            <v>1.19586739084381</v>
          </cell>
          <cell r="M1893">
            <v>25.530117970843801</v>
          </cell>
          <cell r="N1893">
            <v>0.17910447761194001</v>
          </cell>
          <cell r="O1893">
            <v>0</v>
          </cell>
          <cell r="P1893">
            <v>0.104477611940299</v>
          </cell>
          <cell r="Q1893">
            <v>1</v>
          </cell>
          <cell r="R1893">
            <v>1</v>
          </cell>
          <cell r="S1893">
            <v>1</v>
          </cell>
        </row>
        <row r="1894">
          <cell r="A1894">
            <v>117404</v>
          </cell>
          <cell r="B1894">
            <v>2</v>
          </cell>
          <cell r="C1894">
            <v>12</v>
          </cell>
          <cell r="D1894">
            <v>3</v>
          </cell>
          <cell r="E1894" t="str">
            <v>CVCTE</v>
          </cell>
          <cell r="F1894" t="str">
            <v>North Hills</v>
          </cell>
          <cell r="G1894">
            <v>0</v>
          </cell>
          <cell r="H1894">
            <v>1</v>
          </cell>
          <cell r="I1894">
            <v>34.101999999999997</v>
          </cell>
          <cell r="J1894">
            <v>19.442898</v>
          </cell>
          <cell r="K1894">
            <v>33.442898</v>
          </cell>
          <cell r="L1894">
            <v>0.65898961732495498</v>
          </cell>
          <cell r="M1894">
            <v>34.101887617324998</v>
          </cell>
          <cell r="N1894">
            <v>0.17910447761194001</v>
          </cell>
          <cell r="O1894">
            <v>0</v>
          </cell>
          <cell r="P1894">
            <v>0.104477611940299</v>
          </cell>
          <cell r="Q1894">
            <v>1</v>
          </cell>
          <cell r="R1894">
            <v>1</v>
          </cell>
          <cell r="S1894">
            <v>1</v>
          </cell>
        </row>
        <row r="1895">
          <cell r="A1895">
            <v>115302</v>
          </cell>
          <cell r="B1895">
            <v>2</v>
          </cell>
          <cell r="C1895">
            <v>12</v>
          </cell>
          <cell r="D1895">
            <v>3</v>
          </cell>
          <cell r="E1895" t="str">
            <v>CVCTE</v>
          </cell>
          <cell r="F1895" t="str">
            <v>Northridge</v>
          </cell>
          <cell r="G1895">
            <v>0</v>
          </cell>
          <cell r="H1895">
            <v>1</v>
          </cell>
          <cell r="I1895">
            <v>16.898</v>
          </cell>
          <cell r="J1895">
            <v>15.117894809999999</v>
          </cell>
          <cell r="K1895">
            <v>16.117894809999999</v>
          </cell>
          <cell r="L1895">
            <v>0.78081953777378799</v>
          </cell>
          <cell r="M1895">
            <v>16.898714347773801</v>
          </cell>
          <cell r="N1895">
            <v>0.17910447761194001</v>
          </cell>
          <cell r="O1895">
            <v>0</v>
          </cell>
          <cell r="P1895">
            <v>0.104477611940299</v>
          </cell>
          <cell r="Q1895">
            <v>1</v>
          </cell>
          <cell r="R1895">
            <v>1</v>
          </cell>
          <cell r="S1895">
            <v>1</v>
          </cell>
        </row>
        <row r="1896">
          <cell r="A1896">
            <v>117303</v>
          </cell>
          <cell r="B1896">
            <v>2</v>
          </cell>
          <cell r="C1896">
            <v>12</v>
          </cell>
          <cell r="D1896">
            <v>3</v>
          </cell>
          <cell r="E1896" t="str">
            <v>CVCTE</v>
          </cell>
          <cell r="F1896" t="str">
            <v>North Hills</v>
          </cell>
          <cell r="G1896">
            <v>0</v>
          </cell>
          <cell r="H1896">
            <v>1</v>
          </cell>
          <cell r="I1896">
            <v>49.22</v>
          </cell>
          <cell r="J1896">
            <v>37.457708519999997</v>
          </cell>
          <cell r="K1896">
            <v>47.457708519999997</v>
          </cell>
          <cell r="L1896">
            <v>1.7622421535547601</v>
          </cell>
          <cell r="M1896">
            <v>49.219950673554798</v>
          </cell>
          <cell r="N1896">
            <v>0.17910447761194001</v>
          </cell>
          <cell r="O1896">
            <v>0</v>
          </cell>
          <cell r="P1896">
            <v>0.104477611940299</v>
          </cell>
          <cell r="Q1896">
            <v>1</v>
          </cell>
          <cell r="R1896">
            <v>1</v>
          </cell>
          <cell r="S1896">
            <v>1</v>
          </cell>
        </row>
        <row r="1897">
          <cell r="A1897">
            <v>115104</v>
          </cell>
          <cell r="B1897">
            <v>2</v>
          </cell>
          <cell r="C1897">
            <v>12</v>
          </cell>
          <cell r="D1897">
            <v>3</v>
          </cell>
          <cell r="E1897" t="str">
            <v>CVCTE</v>
          </cell>
          <cell r="F1897" t="str">
            <v>Northridge</v>
          </cell>
          <cell r="G1897">
            <v>0</v>
          </cell>
          <cell r="H1897">
            <v>1</v>
          </cell>
          <cell r="I1897">
            <v>12.361000000000001</v>
          </cell>
          <cell r="J1897">
            <v>11.45731777</v>
          </cell>
          <cell r="K1897">
            <v>11.45731777</v>
          </cell>
          <cell r="L1897">
            <v>0.90313873761220798</v>
          </cell>
          <cell r="M1897">
            <v>12.3604565076122</v>
          </cell>
          <cell r="N1897">
            <v>0.17910447761194001</v>
          </cell>
          <cell r="O1897">
            <v>0</v>
          </cell>
          <cell r="P1897">
            <v>0.104477611940299</v>
          </cell>
          <cell r="Q1897">
            <v>1</v>
          </cell>
          <cell r="R1897">
            <v>1</v>
          </cell>
          <cell r="S1897">
            <v>1</v>
          </cell>
        </row>
        <row r="1898">
          <cell r="A1898">
            <v>113303</v>
          </cell>
          <cell r="B1898">
            <v>2</v>
          </cell>
          <cell r="C1898">
            <v>12</v>
          </cell>
          <cell r="D1898">
            <v>5</v>
          </cell>
          <cell r="E1898" t="str">
            <v>CVCTE</v>
          </cell>
          <cell r="F1898" t="str">
            <v>Chatsworth</v>
          </cell>
          <cell r="G1898">
            <v>0</v>
          </cell>
          <cell r="H1898">
            <v>1</v>
          </cell>
          <cell r="I1898">
            <v>50.502000000000002</v>
          </cell>
          <cell r="J1898">
            <v>47.751782849999998</v>
          </cell>
          <cell r="K1898">
            <v>47.751782849999998</v>
          </cell>
          <cell r="L1898">
            <v>2.75131257078995</v>
          </cell>
          <cell r="M1898">
            <v>50.503095420789897</v>
          </cell>
          <cell r="N1898">
            <v>0.17910447761194001</v>
          </cell>
          <cell r="O1898">
            <v>0</v>
          </cell>
          <cell r="P1898">
            <v>0.104477611940299</v>
          </cell>
          <cell r="Q1898">
            <v>1</v>
          </cell>
          <cell r="R1898">
            <v>1</v>
          </cell>
          <cell r="S1898">
            <v>1</v>
          </cell>
        </row>
        <row r="1899">
          <cell r="A1899">
            <v>109300</v>
          </cell>
          <cell r="B1899">
            <v>2</v>
          </cell>
          <cell r="C1899">
            <v>12</v>
          </cell>
          <cell r="D1899">
            <v>3</v>
          </cell>
          <cell r="E1899" t="str">
            <v>FAMILY</v>
          </cell>
          <cell r="F1899" t="str">
            <v>Granada Hills</v>
          </cell>
          <cell r="G1899">
            <v>1</v>
          </cell>
          <cell r="H1899">
            <v>1</v>
          </cell>
          <cell r="I1899">
            <v>52.286999999999999</v>
          </cell>
          <cell r="J1899">
            <v>35.124877429999998</v>
          </cell>
          <cell r="K1899">
            <v>50.124877429999998</v>
          </cell>
          <cell r="L1899">
            <v>5.1613918408617598</v>
          </cell>
          <cell r="M1899">
            <v>55.286269270861801</v>
          </cell>
          <cell r="N1899">
            <v>1</v>
          </cell>
          <cell r="O1899">
            <v>1</v>
          </cell>
        </row>
        <row r="1900">
          <cell r="A1900">
            <v>113401</v>
          </cell>
          <cell r="B1900">
            <v>2</v>
          </cell>
          <cell r="C1900">
            <v>12</v>
          </cell>
          <cell r="D1900">
            <v>3</v>
          </cell>
          <cell r="E1900" t="str">
            <v>INDIV</v>
          </cell>
          <cell r="F1900" t="str">
            <v>Northridge</v>
          </cell>
          <cell r="G1900">
            <v>0</v>
          </cell>
          <cell r="H1900">
            <v>0</v>
          </cell>
          <cell r="I1900">
            <v>9.19</v>
          </cell>
          <cell r="J1900">
            <v>3.9673993200000002</v>
          </cell>
          <cell r="K1900">
            <v>8.9673993200000002</v>
          </cell>
          <cell r="L1900">
            <v>0.22234520276481101</v>
          </cell>
          <cell r="M1900">
            <v>9.1897445227648102</v>
          </cell>
          <cell r="N1900">
            <v>4.8387096774193498E-2</v>
          </cell>
          <cell r="O1900">
            <v>0</v>
          </cell>
          <cell r="P1900">
            <v>6.4516129032258104E-2</v>
          </cell>
          <cell r="Q1900">
            <v>1</v>
          </cell>
          <cell r="R1900">
            <v>0.25</v>
          </cell>
          <cell r="S1900">
            <v>0</v>
          </cell>
        </row>
        <row r="1901">
          <cell r="A1901">
            <v>115101</v>
          </cell>
          <cell r="B1901">
            <v>2</v>
          </cell>
          <cell r="C1901">
            <v>12</v>
          </cell>
          <cell r="D1901">
            <v>3</v>
          </cell>
          <cell r="E1901" t="str">
            <v>INDIV</v>
          </cell>
          <cell r="F1901" t="str">
            <v>Northridge</v>
          </cell>
          <cell r="G1901">
            <v>0</v>
          </cell>
          <cell r="H1901">
            <v>1</v>
          </cell>
          <cell r="I1901">
            <v>5</v>
          </cell>
          <cell r="J1901">
            <v>0</v>
          </cell>
          <cell r="K1901">
            <v>5</v>
          </cell>
          <cell r="L1901">
            <v>0</v>
          </cell>
          <cell r="M1901">
            <v>5</v>
          </cell>
          <cell r="N1901">
            <v>4.8387096774193498E-2</v>
          </cell>
          <cell r="O1901">
            <v>0</v>
          </cell>
          <cell r="P1901">
            <v>6.4516129032258104E-2</v>
          </cell>
          <cell r="Q1901">
            <v>1</v>
          </cell>
          <cell r="R1901">
            <v>0.25</v>
          </cell>
          <cell r="S1901">
            <v>4</v>
          </cell>
        </row>
        <row r="1902">
          <cell r="A1902">
            <v>111301</v>
          </cell>
          <cell r="B1902">
            <v>2</v>
          </cell>
          <cell r="C1902">
            <v>12</v>
          </cell>
          <cell r="D1902">
            <v>5</v>
          </cell>
          <cell r="E1902" t="str">
            <v>INDIV</v>
          </cell>
          <cell r="F1902" t="str">
            <v>Granada Hills</v>
          </cell>
          <cell r="G1902">
            <v>0</v>
          </cell>
          <cell r="H1902">
            <v>0</v>
          </cell>
          <cell r="I1902">
            <v>10.532</v>
          </cell>
          <cell r="J1902">
            <v>7.3030033899999998</v>
          </cell>
          <cell r="K1902">
            <v>10.303003390000001</v>
          </cell>
          <cell r="L1902">
            <v>0.22827536551166999</v>
          </cell>
          <cell r="M1902">
            <v>10.5312787555117</v>
          </cell>
          <cell r="N1902">
            <v>4.8387096774193498E-2</v>
          </cell>
          <cell r="O1902">
            <v>0</v>
          </cell>
          <cell r="P1902">
            <v>6.4516129032258104E-2</v>
          </cell>
          <cell r="Q1902">
            <v>1</v>
          </cell>
          <cell r="R1902">
            <v>0.25</v>
          </cell>
          <cell r="S1902">
            <v>0</v>
          </cell>
        </row>
        <row r="1903">
          <cell r="A1903">
            <v>109700</v>
          </cell>
          <cell r="B1903">
            <v>2</v>
          </cell>
          <cell r="C1903">
            <v>12</v>
          </cell>
          <cell r="D1903">
            <v>3</v>
          </cell>
          <cell r="E1903" t="str">
            <v>INDIV</v>
          </cell>
          <cell r="F1903" t="str">
            <v>Granada Hills</v>
          </cell>
          <cell r="G1903">
            <v>0</v>
          </cell>
          <cell r="H1903">
            <v>0</v>
          </cell>
          <cell r="I1903">
            <v>13.202</v>
          </cell>
          <cell r="J1903">
            <v>6.7669727399999999</v>
          </cell>
          <cell r="K1903">
            <v>12.76697274</v>
          </cell>
          <cell r="L1903">
            <v>0.434701935745063</v>
          </cell>
          <cell r="M1903">
            <v>13.2016746757451</v>
          </cell>
          <cell r="N1903">
            <v>4.8387096774193498E-2</v>
          </cell>
          <cell r="O1903">
            <v>0</v>
          </cell>
          <cell r="P1903">
            <v>6.4516129032258104E-2</v>
          </cell>
          <cell r="Q1903">
            <v>1</v>
          </cell>
          <cell r="R1903">
            <v>0.25</v>
          </cell>
          <cell r="S1903">
            <v>0</v>
          </cell>
        </row>
        <row r="1904">
          <cell r="A1904">
            <v>115301</v>
          </cell>
          <cell r="B1904">
            <v>2</v>
          </cell>
          <cell r="C1904">
            <v>12</v>
          </cell>
          <cell r="D1904">
            <v>3</v>
          </cell>
          <cell r="E1904" t="str">
            <v>NON-HS</v>
          </cell>
          <cell r="F1904" t="str">
            <v>Northridge</v>
          </cell>
          <cell r="G1904">
            <v>0</v>
          </cell>
          <cell r="H1904">
            <v>1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2.2140221402214E-2</v>
          </cell>
          <cell r="O1904">
            <v>0</v>
          </cell>
          <cell r="P1904">
            <v>0.18081180811808101</v>
          </cell>
          <cell r="Q1904">
            <v>1</v>
          </cell>
          <cell r="R1904">
            <v>0.30612244897959201</v>
          </cell>
          <cell r="S1904">
            <v>3.2666666666666702</v>
          </cell>
        </row>
        <row r="1905">
          <cell r="A1905">
            <v>108101</v>
          </cell>
          <cell r="B1905">
            <v>2</v>
          </cell>
          <cell r="C1905">
            <v>12</v>
          </cell>
          <cell r="D1905">
            <v>5</v>
          </cell>
          <cell r="E1905" t="str">
            <v>NON-HS</v>
          </cell>
          <cell r="F1905" t="str">
            <v>Porter Ranch</v>
          </cell>
          <cell r="G1905">
            <v>0</v>
          </cell>
          <cell r="H1905">
            <v>1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2.2140221402214E-2</v>
          </cell>
          <cell r="O1905">
            <v>0</v>
          </cell>
          <cell r="P1905">
            <v>0.18081180811808101</v>
          </cell>
          <cell r="Q1905">
            <v>1</v>
          </cell>
          <cell r="R1905">
            <v>0.30612244897959201</v>
          </cell>
          <cell r="S1905">
            <v>3.2666666666666702</v>
          </cell>
        </row>
        <row r="1906">
          <cell r="A1906">
            <v>108103</v>
          </cell>
          <cell r="B1906">
            <v>2</v>
          </cell>
          <cell r="C1906">
            <v>12</v>
          </cell>
          <cell r="D1906">
            <v>5</v>
          </cell>
          <cell r="E1906" t="str">
            <v>NON-HS</v>
          </cell>
          <cell r="F1906" t="str">
            <v>Porter Ranch</v>
          </cell>
          <cell r="G1906">
            <v>0</v>
          </cell>
          <cell r="H1906">
            <v>1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2.2140221402214E-2</v>
          </cell>
          <cell r="O1906">
            <v>0</v>
          </cell>
          <cell r="P1906">
            <v>0.18081180811808101</v>
          </cell>
          <cell r="Q1906">
            <v>1</v>
          </cell>
          <cell r="R1906">
            <v>0.30612244897959201</v>
          </cell>
          <cell r="S1906">
            <v>3.2666666666666702</v>
          </cell>
        </row>
        <row r="1907">
          <cell r="A1907">
            <v>117301</v>
          </cell>
          <cell r="B1907">
            <v>2</v>
          </cell>
          <cell r="C1907">
            <v>12</v>
          </cell>
          <cell r="D1907">
            <v>3</v>
          </cell>
          <cell r="E1907" t="str">
            <v>NON-HS</v>
          </cell>
          <cell r="F1907" t="str">
            <v>North Hills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2.2140221402214E-2</v>
          </cell>
          <cell r="O1907">
            <v>0</v>
          </cell>
          <cell r="P1907">
            <v>0.18081180811808101</v>
          </cell>
          <cell r="Q1907">
            <v>1</v>
          </cell>
          <cell r="R1907">
            <v>0.30612244897959201</v>
          </cell>
          <cell r="S1907">
            <v>0</v>
          </cell>
        </row>
        <row r="1908">
          <cell r="A1908">
            <v>115404</v>
          </cell>
          <cell r="B1908">
            <v>2</v>
          </cell>
          <cell r="C1908">
            <v>12</v>
          </cell>
          <cell r="D1908">
            <v>3</v>
          </cell>
          <cell r="E1908" t="str">
            <v>NON-HS</v>
          </cell>
          <cell r="F1908" t="str">
            <v>Northridge</v>
          </cell>
          <cell r="G1908">
            <v>0</v>
          </cell>
          <cell r="H1908">
            <v>0</v>
          </cell>
          <cell r="I1908">
            <v>2.0950000000000002</v>
          </cell>
          <cell r="J1908">
            <v>1.9836996600000001</v>
          </cell>
          <cell r="K1908">
            <v>1.9836996600000001</v>
          </cell>
          <cell r="L1908">
            <v>0.11117260138240601</v>
          </cell>
          <cell r="M1908">
            <v>2.09487226138241</v>
          </cell>
          <cell r="N1908">
            <v>2.2140221402214E-2</v>
          </cell>
          <cell r="O1908">
            <v>0</v>
          </cell>
          <cell r="P1908">
            <v>0.18081180811808101</v>
          </cell>
          <cell r="Q1908">
            <v>1</v>
          </cell>
          <cell r="R1908">
            <v>0.30612244897959201</v>
          </cell>
          <cell r="S1908">
            <v>0</v>
          </cell>
        </row>
        <row r="1909">
          <cell r="A1909">
            <v>115403</v>
          </cell>
          <cell r="B1909">
            <v>2</v>
          </cell>
          <cell r="C1909">
            <v>12</v>
          </cell>
          <cell r="D1909">
            <v>3</v>
          </cell>
          <cell r="E1909" t="str">
            <v>NON-HS</v>
          </cell>
          <cell r="F1909" t="str">
            <v>Northridge</v>
          </cell>
          <cell r="G1909">
            <v>0</v>
          </cell>
          <cell r="H1909">
            <v>0</v>
          </cell>
          <cell r="I1909">
            <v>10.379</v>
          </cell>
          <cell r="J1909">
            <v>7.9347986400000003</v>
          </cell>
          <cell r="K1909">
            <v>9.9347986400000003</v>
          </cell>
          <cell r="L1909">
            <v>0.44469040552962302</v>
          </cell>
          <cell r="M1909">
            <v>10.379489045529599</v>
          </cell>
          <cell r="N1909">
            <v>2.2140221402214E-2</v>
          </cell>
          <cell r="O1909">
            <v>0</v>
          </cell>
          <cell r="P1909">
            <v>0.18081180811808101</v>
          </cell>
          <cell r="Q1909">
            <v>1</v>
          </cell>
          <cell r="R1909">
            <v>0.30612244897959201</v>
          </cell>
          <cell r="S1909">
            <v>0</v>
          </cell>
        </row>
        <row r="1910">
          <cell r="A1910">
            <v>106643</v>
          </cell>
          <cell r="B1910">
            <v>2</v>
          </cell>
          <cell r="C1910">
            <v>12</v>
          </cell>
          <cell r="D1910">
            <v>5</v>
          </cell>
          <cell r="E1910" t="str">
            <v>NON-HS</v>
          </cell>
          <cell r="F1910" t="str">
            <v>Granada Hills</v>
          </cell>
          <cell r="G1910">
            <v>0</v>
          </cell>
          <cell r="H1910">
            <v>0</v>
          </cell>
          <cell r="I1910">
            <v>2.0950000000000002</v>
          </cell>
          <cell r="J1910">
            <v>1.9836996600000001</v>
          </cell>
          <cell r="K1910">
            <v>1.9836996600000001</v>
          </cell>
          <cell r="L1910">
            <v>0.11117260138240601</v>
          </cell>
          <cell r="M1910">
            <v>2.09487226138241</v>
          </cell>
          <cell r="N1910">
            <v>2.2140221402214E-2</v>
          </cell>
          <cell r="O1910">
            <v>0</v>
          </cell>
          <cell r="P1910">
            <v>0.18081180811808101</v>
          </cell>
          <cell r="Q1910">
            <v>1</v>
          </cell>
          <cell r="R1910">
            <v>0.30612244897959201</v>
          </cell>
          <cell r="S1910">
            <v>0</v>
          </cell>
        </row>
        <row r="1911">
          <cell r="A1911">
            <v>131200</v>
          </cell>
          <cell r="B1911">
            <v>2</v>
          </cell>
          <cell r="C1911">
            <v>12</v>
          </cell>
          <cell r="D1911">
            <v>3</v>
          </cell>
          <cell r="E1911" t="str">
            <v>NON-HS</v>
          </cell>
          <cell r="F1911" t="str">
            <v>Northridge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2.2140221402214E-2</v>
          </cell>
          <cell r="O1911">
            <v>0</v>
          </cell>
          <cell r="P1911">
            <v>0.18081180811808101</v>
          </cell>
          <cell r="Q1911">
            <v>1</v>
          </cell>
          <cell r="R1911">
            <v>0.30612244897959201</v>
          </cell>
          <cell r="S1911">
            <v>0</v>
          </cell>
        </row>
        <row r="1912">
          <cell r="A1912">
            <v>106646</v>
          </cell>
          <cell r="B1912">
            <v>2</v>
          </cell>
          <cell r="C1912">
            <v>12</v>
          </cell>
          <cell r="D1912">
            <v>5</v>
          </cell>
          <cell r="E1912" t="str">
            <v>NON-HS</v>
          </cell>
          <cell r="F1912" t="str">
            <v>Granada Hills</v>
          </cell>
          <cell r="G1912">
            <v>0</v>
          </cell>
          <cell r="H1912">
            <v>1</v>
          </cell>
          <cell r="I1912">
            <v>2.7029999999999998</v>
          </cell>
          <cell r="J1912">
            <v>1.6812916200000001</v>
          </cell>
          <cell r="K1912">
            <v>2.6812916200000001</v>
          </cell>
          <cell r="L1912">
            <v>2.14919317594255E-2</v>
          </cell>
          <cell r="M1912">
            <v>2.7027835517594299</v>
          </cell>
          <cell r="N1912">
            <v>2.2140221402214E-2</v>
          </cell>
          <cell r="O1912">
            <v>0</v>
          </cell>
          <cell r="P1912">
            <v>0.18081180811808101</v>
          </cell>
          <cell r="Q1912">
            <v>1</v>
          </cell>
          <cell r="R1912">
            <v>0.30612244897959201</v>
          </cell>
          <cell r="S1912">
            <v>3.2666666666666702</v>
          </cell>
        </row>
        <row r="1913">
          <cell r="A1913">
            <v>106641</v>
          </cell>
          <cell r="B1913">
            <v>2</v>
          </cell>
          <cell r="C1913">
            <v>12</v>
          </cell>
          <cell r="D1913">
            <v>5</v>
          </cell>
          <cell r="E1913" t="str">
            <v>NON-HS</v>
          </cell>
          <cell r="F1913" t="str">
            <v>Granada Hills</v>
          </cell>
          <cell r="G1913">
            <v>0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2.2140221402214E-2</v>
          </cell>
          <cell r="O1913">
            <v>0</v>
          </cell>
          <cell r="P1913">
            <v>0.18081180811808101</v>
          </cell>
          <cell r="Q1913">
            <v>1</v>
          </cell>
          <cell r="R1913">
            <v>0.30612244897959201</v>
          </cell>
          <cell r="S1913">
            <v>0</v>
          </cell>
        </row>
        <row r="1914">
          <cell r="A1914">
            <v>113322</v>
          </cell>
          <cell r="B1914">
            <v>2</v>
          </cell>
          <cell r="C1914">
            <v>12</v>
          </cell>
          <cell r="D1914">
            <v>5</v>
          </cell>
          <cell r="E1914" t="str">
            <v>NON-HS</v>
          </cell>
          <cell r="F1914" t="str">
            <v>Chatsworth</v>
          </cell>
          <cell r="G1914">
            <v>0</v>
          </cell>
          <cell r="H1914">
            <v>0</v>
          </cell>
          <cell r="I1914">
            <v>10.186999999999999</v>
          </cell>
          <cell r="J1914">
            <v>9.6679308099999997</v>
          </cell>
          <cell r="K1914">
            <v>9.6679308099999997</v>
          </cell>
          <cell r="L1914">
            <v>0.519675915816876</v>
          </cell>
          <cell r="M1914">
            <v>10.187606725816901</v>
          </cell>
          <cell r="N1914">
            <v>2.2140221402214E-2</v>
          </cell>
          <cell r="O1914">
            <v>0</v>
          </cell>
          <cell r="P1914">
            <v>0.18081180811808101</v>
          </cell>
          <cell r="Q1914">
            <v>1</v>
          </cell>
          <cell r="R1914">
            <v>0.30612244897959201</v>
          </cell>
          <cell r="S1914">
            <v>0</v>
          </cell>
        </row>
        <row r="1915">
          <cell r="A1915">
            <v>115401</v>
          </cell>
          <cell r="B1915">
            <v>2</v>
          </cell>
          <cell r="C1915">
            <v>12</v>
          </cell>
          <cell r="D1915">
            <v>3</v>
          </cell>
          <cell r="E1915" t="str">
            <v>NON-HS</v>
          </cell>
          <cell r="F1915" t="str">
            <v>Northridge</v>
          </cell>
          <cell r="G1915">
            <v>0</v>
          </cell>
          <cell r="H1915">
            <v>1</v>
          </cell>
          <cell r="I1915">
            <v>1</v>
          </cell>
          <cell r="J1915">
            <v>0</v>
          </cell>
          <cell r="K1915">
            <v>1</v>
          </cell>
          <cell r="L1915">
            <v>0</v>
          </cell>
          <cell r="M1915">
            <v>1</v>
          </cell>
          <cell r="N1915">
            <v>2.2140221402214E-2</v>
          </cell>
          <cell r="O1915">
            <v>0</v>
          </cell>
          <cell r="P1915">
            <v>0.18081180811808101</v>
          </cell>
          <cell r="Q1915">
            <v>1</v>
          </cell>
          <cell r="R1915">
            <v>0.30612244897959201</v>
          </cell>
          <cell r="S1915">
            <v>3.2666666666666702</v>
          </cell>
        </row>
        <row r="1916">
          <cell r="A1916">
            <v>131300</v>
          </cell>
          <cell r="B1916">
            <v>2</v>
          </cell>
          <cell r="C1916">
            <v>12</v>
          </cell>
          <cell r="D1916">
            <v>3</v>
          </cell>
          <cell r="E1916" t="str">
            <v>NON-HS</v>
          </cell>
          <cell r="F1916" t="str">
            <v>Reseda</v>
          </cell>
          <cell r="G1916">
            <v>0</v>
          </cell>
          <cell r="H1916">
            <v>0</v>
          </cell>
          <cell r="I1916">
            <v>3.5169999999999999</v>
          </cell>
          <cell r="J1916">
            <v>3.3440765099999998</v>
          </cell>
          <cell r="K1916">
            <v>3.3440765099999998</v>
          </cell>
          <cell r="L1916">
            <v>0.17207732822262101</v>
          </cell>
          <cell r="M1916">
            <v>3.5161538382226198</v>
          </cell>
          <cell r="N1916">
            <v>2.2140221402214E-2</v>
          </cell>
          <cell r="O1916">
            <v>0</v>
          </cell>
          <cell r="P1916">
            <v>0.18081180811808101</v>
          </cell>
          <cell r="Q1916">
            <v>1</v>
          </cell>
          <cell r="R1916">
            <v>0.30612244897959201</v>
          </cell>
          <cell r="S1916">
            <v>0</v>
          </cell>
        </row>
        <row r="1917">
          <cell r="A1917">
            <v>113101</v>
          </cell>
          <cell r="B1917">
            <v>2</v>
          </cell>
          <cell r="C1917">
            <v>12</v>
          </cell>
          <cell r="D1917">
            <v>5</v>
          </cell>
          <cell r="E1917" t="str">
            <v>NON-HS</v>
          </cell>
          <cell r="F1917" t="str">
            <v>Chatsworth</v>
          </cell>
          <cell r="G1917">
            <v>0</v>
          </cell>
          <cell r="H1917">
            <v>0</v>
          </cell>
          <cell r="I1917">
            <v>3.0950000000000002</v>
          </cell>
          <cell r="J1917">
            <v>1.9836996600000001</v>
          </cell>
          <cell r="K1917">
            <v>2.9836996600000001</v>
          </cell>
          <cell r="L1917">
            <v>0.11117260138240601</v>
          </cell>
          <cell r="M1917">
            <v>3.09487226138241</v>
          </cell>
          <cell r="N1917">
            <v>2.2140221402214E-2</v>
          </cell>
          <cell r="O1917">
            <v>0</v>
          </cell>
          <cell r="P1917">
            <v>0.18081180811808101</v>
          </cell>
          <cell r="Q1917">
            <v>1</v>
          </cell>
          <cell r="R1917">
            <v>0.30612244897959201</v>
          </cell>
          <cell r="S1917">
            <v>0</v>
          </cell>
        </row>
        <row r="1918">
          <cell r="A1918">
            <v>113211</v>
          </cell>
          <cell r="B1918">
            <v>2</v>
          </cell>
          <cell r="C1918">
            <v>12</v>
          </cell>
          <cell r="D1918">
            <v>5</v>
          </cell>
          <cell r="E1918" t="str">
            <v>NON-HS</v>
          </cell>
          <cell r="F1918" t="str">
            <v>Chatsworth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2.2140221402214E-2</v>
          </cell>
          <cell r="O1918">
            <v>0</v>
          </cell>
          <cell r="P1918">
            <v>0.18081180811808101</v>
          </cell>
          <cell r="Q1918">
            <v>1</v>
          </cell>
          <cell r="R1918">
            <v>0.30612244897959201</v>
          </cell>
          <cell r="S1918">
            <v>0</v>
          </cell>
        </row>
        <row r="1919">
          <cell r="A1919">
            <v>980023</v>
          </cell>
          <cell r="B1919">
            <v>2</v>
          </cell>
          <cell r="C1919">
            <v>12</v>
          </cell>
          <cell r="D1919">
            <v>5</v>
          </cell>
          <cell r="E1919" t="str">
            <v>NON-HS</v>
          </cell>
          <cell r="F1919" t="str">
            <v>Chatsworth</v>
          </cell>
          <cell r="G1919">
            <v>0</v>
          </cell>
          <cell r="H1919">
            <v>1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2.2140221402214E-2</v>
          </cell>
          <cell r="O1919">
            <v>0</v>
          </cell>
          <cell r="P1919">
            <v>0.18081180811808101</v>
          </cell>
          <cell r="Q1919">
            <v>1</v>
          </cell>
          <cell r="R1919">
            <v>0.30612244897959201</v>
          </cell>
          <cell r="S1919">
            <v>3.2666666666666702</v>
          </cell>
        </row>
        <row r="1920">
          <cell r="A1920">
            <v>117302</v>
          </cell>
          <cell r="B1920">
            <v>2</v>
          </cell>
          <cell r="C1920">
            <v>12</v>
          </cell>
          <cell r="D1920">
            <v>3</v>
          </cell>
          <cell r="E1920" t="str">
            <v>NON-HS</v>
          </cell>
          <cell r="F1920" t="str">
            <v>Northridge</v>
          </cell>
          <cell r="G1920">
            <v>0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2.2140221402214E-2</v>
          </cell>
          <cell r="O1920">
            <v>0</v>
          </cell>
          <cell r="P1920">
            <v>0.18081180811808101</v>
          </cell>
          <cell r="Q1920">
            <v>1</v>
          </cell>
          <cell r="R1920">
            <v>0.30612244897959201</v>
          </cell>
          <cell r="S1920">
            <v>0</v>
          </cell>
        </row>
        <row r="1921">
          <cell r="A1921">
            <v>134424</v>
          </cell>
          <cell r="B1921">
            <v>2</v>
          </cell>
          <cell r="C1921">
            <v>12</v>
          </cell>
          <cell r="D1921">
            <v>5</v>
          </cell>
          <cell r="E1921" t="str">
            <v>NON-HS</v>
          </cell>
          <cell r="F1921" t="str">
            <v>West Hills</v>
          </cell>
          <cell r="G1921">
            <v>0</v>
          </cell>
          <cell r="H1921">
            <v>0</v>
          </cell>
          <cell r="I1921">
            <v>1.591</v>
          </cell>
          <cell r="J1921">
            <v>1.43919657</v>
          </cell>
          <cell r="K1921">
            <v>1.43919657</v>
          </cell>
          <cell r="L1921">
            <v>0.15145200614003601</v>
          </cell>
          <cell r="M1921">
            <v>1.59064857614004</v>
          </cell>
          <cell r="N1921">
            <v>2.2140221402214E-2</v>
          </cell>
          <cell r="O1921">
            <v>0</v>
          </cell>
          <cell r="P1921">
            <v>0.18081180811808101</v>
          </cell>
          <cell r="Q1921">
            <v>1</v>
          </cell>
          <cell r="R1921">
            <v>0.30612244897959201</v>
          </cell>
          <cell r="S1921">
            <v>0</v>
          </cell>
        </row>
        <row r="1922">
          <cell r="A1922">
            <v>108104</v>
          </cell>
          <cell r="B1922">
            <v>2</v>
          </cell>
          <cell r="C1922">
            <v>12</v>
          </cell>
          <cell r="D1922">
            <v>5</v>
          </cell>
          <cell r="E1922" t="str">
            <v>NON-HS</v>
          </cell>
          <cell r="F1922" t="str">
            <v>Porter Ranch</v>
          </cell>
          <cell r="G1922">
            <v>0</v>
          </cell>
          <cell r="H1922">
            <v>1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2.2140221402214E-2</v>
          </cell>
          <cell r="O1922">
            <v>0</v>
          </cell>
          <cell r="P1922">
            <v>0.18081180811808101</v>
          </cell>
          <cell r="Q1922">
            <v>1</v>
          </cell>
          <cell r="R1922">
            <v>0.30612244897959201</v>
          </cell>
          <cell r="S1922">
            <v>3.2666666666666702</v>
          </cell>
        </row>
        <row r="1923">
          <cell r="A1923">
            <v>134421</v>
          </cell>
          <cell r="B1923">
            <v>2</v>
          </cell>
          <cell r="C1923">
            <v>12</v>
          </cell>
          <cell r="D1923">
            <v>3</v>
          </cell>
          <cell r="E1923" t="str">
            <v>NON-HS</v>
          </cell>
          <cell r="F1923" t="str">
            <v>West Hills</v>
          </cell>
          <cell r="G1923">
            <v>0</v>
          </cell>
          <cell r="H1923">
            <v>0</v>
          </cell>
          <cell r="I1923">
            <v>2.0950000000000002</v>
          </cell>
          <cell r="J1923">
            <v>1.9836996600000001</v>
          </cell>
          <cell r="K1923">
            <v>1.9836996600000001</v>
          </cell>
          <cell r="L1923">
            <v>0.11117260138240601</v>
          </cell>
          <cell r="M1923">
            <v>2.09487226138241</v>
          </cell>
          <cell r="N1923">
            <v>2.2140221402214E-2</v>
          </cell>
          <cell r="O1923">
            <v>0</v>
          </cell>
          <cell r="P1923">
            <v>0.18081180811808101</v>
          </cell>
          <cell r="Q1923">
            <v>1</v>
          </cell>
          <cell r="R1923">
            <v>0.30612244897959201</v>
          </cell>
          <cell r="S1923">
            <v>0</v>
          </cell>
        </row>
        <row r="1924">
          <cell r="A1924">
            <v>109800</v>
          </cell>
          <cell r="B1924">
            <v>2</v>
          </cell>
          <cell r="C1924">
            <v>12</v>
          </cell>
          <cell r="D1924">
            <v>3</v>
          </cell>
          <cell r="E1924" t="str">
            <v>NON-HS</v>
          </cell>
          <cell r="F1924" t="str">
            <v>North Hills</v>
          </cell>
          <cell r="G1924">
            <v>0</v>
          </cell>
          <cell r="H1924">
            <v>1</v>
          </cell>
          <cell r="I1924">
            <v>5.1020000000000003</v>
          </cell>
          <cell r="J1924">
            <v>4.8536203599999999</v>
          </cell>
          <cell r="K1924">
            <v>4.8536203599999999</v>
          </cell>
          <cell r="L1924">
            <v>0.247929448186715</v>
          </cell>
          <cell r="M1924">
            <v>5.1015498081867197</v>
          </cell>
          <cell r="N1924">
            <v>2.2140221402214E-2</v>
          </cell>
          <cell r="O1924">
            <v>0</v>
          </cell>
          <cell r="P1924">
            <v>0.18081180811808101</v>
          </cell>
          <cell r="Q1924">
            <v>1</v>
          </cell>
          <cell r="R1924">
            <v>0.30612244897959201</v>
          </cell>
          <cell r="S1924">
            <v>3.2666666666666702</v>
          </cell>
        </row>
        <row r="1925">
          <cell r="A1925">
            <v>111201</v>
          </cell>
          <cell r="B1925">
            <v>2</v>
          </cell>
          <cell r="C1925">
            <v>12</v>
          </cell>
          <cell r="D1925">
            <v>5</v>
          </cell>
          <cell r="E1925" t="str">
            <v>NON-HS</v>
          </cell>
          <cell r="F1925" t="str">
            <v>Granada Hills</v>
          </cell>
          <cell r="G1925">
            <v>0</v>
          </cell>
          <cell r="H1925">
            <v>0</v>
          </cell>
          <cell r="I1925">
            <v>1.7030000000000001</v>
          </cell>
          <cell r="J1925">
            <v>1.6812916200000001</v>
          </cell>
          <cell r="K1925">
            <v>1.6812916200000001</v>
          </cell>
          <cell r="L1925">
            <v>2.14919317594255E-2</v>
          </cell>
          <cell r="M1925">
            <v>1.7027835517594301</v>
          </cell>
          <cell r="N1925">
            <v>2.2140221402214E-2</v>
          </cell>
          <cell r="O1925">
            <v>0</v>
          </cell>
          <cell r="P1925">
            <v>0.18081180811808101</v>
          </cell>
          <cell r="Q1925">
            <v>1</v>
          </cell>
          <cell r="R1925">
            <v>0.30612244897959201</v>
          </cell>
          <cell r="S1925">
            <v>0</v>
          </cell>
        </row>
        <row r="1926">
          <cell r="A1926">
            <v>108201</v>
          </cell>
          <cell r="B1926">
            <v>2</v>
          </cell>
          <cell r="C1926">
            <v>12</v>
          </cell>
          <cell r="D1926">
            <v>5</v>
          </cell>
          <cell r="E1926" t="str">
            <v>NON-HS</v>
          </cell>
          <cell r="F1926" t="str">
            <v>Porter Ranch</v>
          </cell>
          <cell r="G1926">
            <v>0</v>
          </cell>
          <cell r="H1926">
            <v>1</v>
          </cell>
          <cell r="I1926">
            <v>4.6859999999999999</v>
          </cell>
          <cell r="J1926">
            <v>3.4228962300000001</v>
          </cell>
          <cell r="K1926">
            <v>4.4228962300000001</v>
          </cell>
          <cell r="L1926">
            <v>0.26262460752244199</v>
          </cell>
          <cell r="M1926">
            <v>4.6855208375224402</v>
          </cell>
          <cell r="N1926">
            <v>2.2140221402214E-2</v>
          </cell>
          <cell r="O1926">
            <v>0</v>
          </cell>
          <cell r="P1926">
            <v>0.18081180811808101</v>
          </cell>
          <cell r="Q1926">
            <v>1</v>
          </cell>
          <cell r="R1926">
            <v>0.30612244897959201</v>
          </cell>
          <cell r="S1926">
            <v>3.2666666666666702</v>
          </cell>
        </row>
        <row r="1927">
          <cell r="A1927">
            <v>115103</v>
          </cell>
          <cell r="B1927">
            <v>2</v>
          </cell>
          <cell r="C1927">
            <v>12</v>
          </cell>
          <cell r="D1927">
            <v>5</v>
          </cell>
          <cell r="E1927" t="str">
            <v>NON-HS</v>
          </cell>
          <cell r="F1927" t="str">
            <v>Northridge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2.2140221402214E-2</v>
          </cell>
          <cell r="O1927">
            <v>0</v>
          </cell>
          <cell r="P1927">
            <v>0.18081180811808101</v>
          </cell>
          <cell r="Q1927">
            <v>1</v>
          </cell>
          <cell r="R1927">
            <v>0.30612244897959201</v>
          </cell>
          <cell r="S1927">
            <v>0</v>
          </cell>
        </row>
        <row r="1928">
          <cell r="A1928">
            <v>111206</v>
          </cell>
          <cell r="B1928">
            <v>2</v>
          </cell>
          <cell r="C1928">
            <v>12</v>
          </cell>
          <cell r="D1928">
            <v>5</v>
          </cell>
          <cell r="E1928" t="str">
            <v>NON-HS</v>
          </cell>
          <cell r="F1928" t="str">
            <v>Northridge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2.2140221402214E-2</v>
          </cell>
          <cell r="O1928">
            <v>0</v>
          </cell>
          <cell r="P1928">
            <v>0.18081180811808101</v>
          </cell>
          <cell r="Q1928">
            <v>1</v>
          </cell>
          <cell r="R1928">
            <v>0.30612244897959201</v>
          </cell>
          <cell r="S1928">
            <v>0</v>
          </cell>
        </row>
        <row r="1929">
          <cell r="A1929">
            <v>134302</v>
          </cell>
          <cell r="B1929">
            <v>2</v>
          </cell>
          <cell r="C1929">
            <v>12</v>
          </cell>
          <cell r="D1929">
            <v>5</v>
          </cell>
          <cell r="E1929" t="str">
            <v>NON-HS</v>
          </cell>
          <cell r="F1929" t="str">
            <v>West Hills</v>
          </cell>
          <cell r="G1929">
            <v>0</v>
          </cell>
          <cell r="H1929">
            <v>0</v>
          </cell>
          <cell r="I1929">
            <v>1.8080000000000001</v>
          </cell>
          <cell r="J1929">
            <v>1.73313217</v>
          </cell>
          <cell r="K1929">
            <v>1.73313217</v>
          </cell>
          <cell r="L1929">
            <v>7.4985510287253102E-2</v>
          </cell>
          <cell r="M1929">
            <v>1.8081176802872501</v>
          </cell>
          <cell r="N1929">
            <v>2.2140221402214E-2</v>
          </cell>
          <cell r="O1929">
            <v>0</v>
          </cell>
          <cell r="P1929">
            <v>0.18081180811808101</v>
          </cell>
          <cell r="Q1929">
            <v>1</v>
          </cell>
          <cell r="R1929">
            <v>0.30612244897959201</v>
          </cell>
          <cell r="S1929">
            <v>0</v>
          </cell>
        </row>
        <row r="1930">
          <cell r="A1930">
            <v>113232</v>
          </cell>
          <cell r="B1930">
            <v>2</v>
          </cell>
          <cell r="C1930">
            <v>12</v>
          </cell>
          <cell r="D1930">
            <v>5</v>
          </cell>
          <cell r="E1930" t="str">
            <v>NON-HS</v>
          </cell>
          <cell r="F1930" t="str">
            <v>West Hills</v>
          </cell>
          <cell r="G1930">
            <v>0</v>
          </cell>
          <cell r="H1930">
            <v>0</v>
          </cell>
          <cell r="I1930">
            <v>6.2850000000000001</v>
          </cell>
          <cell r="J1930">
            <v>5.9510989800000003</v>
          </cell>
          <cell r="K1930">
            <v>5.9510989800000003</v>
          </cell>
          <cell r="L1930">
            <v>0.33351780414721699</v>
          </cell>
          <cell r="M1930">
            <v>6.2846167841472198</v>
          </cell>
          <cell r="N1930">
            <v>2.2140221402214E-2</v>
          </cell>
          <cell r="O1930">
            <v>0</v>
          </cell>
          <cell r="P1930">
            <v>0.18081180811808101</v>
          </cell>
          <cell r="Q1930">
            <v>1</v>
          </cell>
          <cell r="R1930">
            <v>0.30612244897959201</v>
          </cell>
          <cell r="S1930">
            <v>0</v>
          </cell>
        </row>
        <row r="1931">
          <cell r="A1931">
            <v>131010</v>
          </cell>
          <cell r="B1931">
            <v>2</v>
          </cell>
          <cell r="C1931">
            <v>12</v>
          </cell>
          <cell r="D1931">
            <v>3</v>
          </cell>
          <cell r="E1931" t="str">
            <v>NON-HS</v>
          </cell>
          <cell r="F1931" t="str">
            <v>Reseda</v>
          </cell>
          <cell r="G1931">
            <v>0</v>
          </cell>
          <cell r="H1931">
            <v>1</v>
          </cell>
          <cell r="I1931">
            <v>3.0950000000000002</v>
          </cell>
          <cell r="J1931">
            <v>1.9836996600000001</v>
          </cell>
          <cell r="K1931">
            <v>2.9836996600000001</v>
          </cell>
          <cell r="L1931">
            <v>0.11117260138240601</v>
          </cell>
          <cell r="M1931">
            <v>3.09487226138241</v>
          </cell>
          <cell r="N1931">
            <v>2.2140221402214E-2</v>
          </cell>
          <cell r="O1931">
            <v>0</v>
          </cell>
          <cell r="P1931">
            <v>0.18081180811808101</v>
          </cell>
          <cell r="Q1931">
            <v>1</v>
          </cell>
          <cell r="R1931">
            <v>0.30612244897959201</v>
          </cell>
          <cell r="S1931">
            <v>3.2666666666666702</v>
          </cell>
        </row>
        <row r="1932">
          <cell r="A1932">
            <v>135203</v>
          </cell>
          <cell r="B1932">
            <v>2</v>
          </cell>
          <cell r="C1932">
            <v>12</v>
          </cell>
          <cell r="D1932">
            <v>3</v>
          </cell>
          <cell r="E1932" t="str">
            <v>NON-HS</v>
          </cell>
          <cell r="F1932" t="str">
            <v>West Hills</v>
          </cell>
          <cell r="G1932">
            <v>0</v>
          </cell>
          <cell r="H1932">
            <v>0</v>
          </cell>
          <cell r="I1932">
            <v>3.798</v>
          </cell>
          <cell r="J1932">
            <v>3.6649912800000002</v>
          </cell>
          <cell r="K1932">
            <v>3.6649912800000002</v>
          </cell>
          <cell r="L1932">
            <v>0.13266453314183099</v>
          </cell>
          <cell r="M1932">
            <v>3.7976558131418301</v>
          </cell>
          <cell r="N1932">
            <v>2.2140221402214E-2</v>
          </cell>
          <cell r="O1932">
            <v>0</v>
          </cell>
          <cell r="P1932">
            <v>0.18081180811808101</v>
          </cell>
          <cell r="Q1932">
            <v>1</v>
          </cell>
          <cell r="R1932">
            <v>0.30612244897959201</v>
          </cell>
          <cell r="S1932">
            <v>0</v>
          </cell>
        </row>
        <row r="1933">
          <cell r="A1933">
            <v>111202</v>
          </cell>
          <cell r="B1933">
            <v>2</v>
          </cell>
          <cell r="C1933">
            <v>12</v>
          </cell>
          <cell r="D1933">
            <v>5</v>
          </cell>
          <cell r="E1933" t="str">
            <v>NON-HS</v>
          </cell>
          <cell r="F1933" t="str">
            <v>Granada Hills</v>
          </cell>
          <cell r="G1933">
            <v>0</v>
          </cell>
          <cell r="H1933">
            <v>0</v>
          </cell>
          <cell r="I1933">
            <v>4.181</v>
          </cell>
          <cell r="J1933">
            <v>2.87839314</v>
          </cell>
          <cell r="K1933">
            <v>3.87839314</v>
          </cell>
          <cell r="L1933">
            <v>0.30290401228007202</v>
          </cell>
          <cell r="M1933">
            <v>4.1812971522800702</v>
          </cell>
          <cell r="N1933">
            <v>2.2140221402214E-2</v>
          </cell>
          <cell r="O1933">
            <v>0</v>
          </cell>
          <cell r="P1933">
            <v>0.18081180811808101</v>
          </cell>
          <cell r="Q1933">
            <v>1</v>
          </cell>
          <cell r="R1933">
            <v>0.30612244897959201</v>
          </cell>
          <cell r="S1933">
            <v>0</v>
          </cell>
        </row>
        <row r="1934">
          <cell r="A1934">
            <v>135102</v>
          </cell>
          <cell r="B1934">
            <v>2</v>
          </cell>
          <cell r="C1934">
            <v>12</v>
          </cell>
          <cell r="D1934">
            <v>3</v>
          </cell>
          <cell r="E1934" t="str">
            <v>NON-HS</v>
          </cell>
          <cell r="F1934" t="str">
            <v>West Hills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2.2140221402214E-2</v>
          </cell>
          <cell r="O1934">
            <v>0</v>
          </cell>
          <cell r="P1934">
            <v>0.18081180811808101</v>
          </cell>
          <cell r="Q1934">
            <v>1</v>
          </cell>
          <cell r="R1934">
            <v>0.30612244897959201</v>
          </cell>
          <cell r="S1934">
            <v>0</v>
          </cell>
        </row>
        <row r="1935">
          <cell r="A1935">
            <v>111100</v>
          </cell>
          <cell r="B1935">
            <v>2</v>
          </cell>
          <cell r="C1935">
            <v>12</v>
          </cell>
          <cell r="D1935">
            <v>5</v>
          </cell>
          <cell r="E1935" t="str">
            <v>NON-HS</v>
          </cell>
          <cell r="F1935" t="str">
            <v>Granada Hills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2.2140221402214E-2</v>
          </cell>
          <cell r="O1935">
            <v>0</v>
          </cell>
          <cell r="P1935">
            <v>0.18081180811808101</v>
          </cell>
          <cell r="Q1935">
            <v>1</v>
          </cell>
          <cell r="R1935">
            <v>0.30612244897959201</v>
          </cell>
          <cell r="S1935">
            <v>0</v>
          </cell>
        </row>
        <row r="1936">
          <cell r="A1936">
            <v>109200</v>
          </cell>
          <cell r="B1936">
            <v>2</v>
          </cell>
          <cell r="C1936">
            <v>12</v>
          </cell>
          <cell r="D1936">
            <v>3</v>
          </cell>
          <cell r="E1936" t="str">
            <v>NON-HS</v>
          </cell>
          <cell r="F1936" t="str">
            <v>Granada Hills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2.2140221402214E-2</v>
          </cell>
          <cell r="O1936">
            <v>0</v>
          </cell>
          <cell r="P1936">
            <v>0.18081180811808101</v>
          </cell>
          <cell r="Q1936">
            <v>1</v>
          </cell>
          <cell r="R1936">
            <v>0.30612244897959201</v>
          </cell>
          <cell r="S1936">
            <v>0</v>
          </cell>
        </row>
        <row r="1937">
          <cell r="A1937">
            <v>111204</v>
          </cell>
          <cell r="B1937">
            <v>2</v>
          </cell>
          <cell r="C1937">
            <v>12</v>
          </cell>
          <cell r="D1937">
            <v>5</v>
          </cell>
          <cell r="E1937" t="str">
            <v>NON-HS</v>
          </cell>
          <cell r="F1937" t="str">
            <v>Northridge</v>
          </cell>
          <cell r="G1937">
            <v>0</v>
          </cell>
          <cell r="H1937">
            <v>1</v>
          </cell>
          <cell r="I1937">
            <v>2.5910000000000002</v>
          </cell>
          <cell r="J1937">
            <v>1.43919657</v>
          </cell>
          <cell r="K1937">
            <v>2.43919657</v>
          </cell>
          <cell r="L1937">
            <v>0.15145200614003601</v>
          </cell>
          <cell r="M1937">
            <v>2.59064857614004</v>
          </cell>
          <cell r="N1937">
            <v>2.2140221402214E-2</v>
          </cell>
          <cell r="O1937">
            <v>0</v>
          </cell>
          <cell r="P1937">
            <v>0.18081180811808101</v>
          </cell>
          <cell r="Q1937">
            <v>1</v>
          </cell>
          <cell r="R1937">
            <v>0.30612244897959201</v>
          </cell>
          <cell r="S1937">
            <v>3.2666666666666702</v>
          </cell>
        </row>
        <row r="1938">
          <cell r="A1938">
            <v>111205</v>
          </cell>
          <cell r="B1938">
            <v>2</v>
          </cell>
          <cell r="C1938">
            <v>12</v>
          </cell>
          <cell r="D1938">
            <v>5</v>
          </cell>
          <cell r="E1938" t="str">
            <v>NON-HS</v>
          </cell>
          <cell r="F1938" t="str">
            <v>Northridge</v>
          </cell>
          <cell r="G1938">
            <v>0</v>
          </cell>
          <cell r="H1938">
            <v>1</v>
          </cell>
          <cell r="I1938">
            <v>1.591</v>
          </cell>
          <cell r="J1938">
            <v>1.43919657</v>
          </cell>
          <cell r="K1938">
            <v>1.43919657</v>
          </cell>
          <cell r="L1938">
            <v>0.15145200614003601</v>
          </cell>
          <cell r="M1938">
            <v>1.59064857614004</v>
          </cell>
          <cell r="N1938">
            <v>2.2140221402214E-2</v>
          </cell>
          <cell r="O1938">
            <v>0</v>
          </cell>
          <cell r="P1938">
            <v>0.18081180811808101</v>
          </cell>
          <cell r="Q1938">
            <v>1</v>
          </cell>
          <cell r="R1938">
            <v>0.30612244897959201</v>
          </cell>
          <cell r="S1938">
            <v>3.2666666666666702</v>
          </cell>
        </row>
        <row r="1939">
          <cell r="A1939">
            <v>108102</v>
          </cell>
          <cell r="B1939">
            <v>2</v>
          </cell>
          <cell r="C1939">
            <v>12</v>
          </cell>
          <cell r="D1939">
            <v>5</v>
          </cell>
          <cell r="E1939" t="str">
            <v>NON-HS</v>
          </cell>
          <cell r="F1939" t="str">
            <v>Porter Ranch</v>
          </cell>
          <cell r="G1939">
            <v>0</v>
          </cell>
          <cell r="H1939">
            <v>1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2.2140221402214E-2</v>
          </cell>
          <cell r="O1939">
            <v>0</v>
          </cell>
          <cell r="P1939">
            <v>0.18081180811808101</v>
          </cell>
          <cell r="Q1939">
            <v>1</v>
          </cell>
          <cell r="R1939">
            <v>0.30612244897959201</v>
          </cell>
          <cell r="S1939">
            <v>3.2666666666666702</v>
          </cell>
        </row>
        <row r="1940">
          <cell r="A1940">
            <v>108202</v>
          </cell>
          <cell r="B1940">
            <v>2</v>
          </cell>
          <cell r="C1940">
            <v>12</v>
          </cell>
          <cell r="D1940">
            <v>5</v>
          </cell>
          <cell r="E1940" t="str">
            <v>NON-HS</v>
          </cell>
          <cell r="F1940" t="str">
            <v>Porter Ranch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2.2140221402214E-2</v>
          </cell>
          <cell r="O1940">
            <v>0</v>
          </cell>
          <cell r="P1940">
            <v>0.18081180811808101</v>
          </cell>
          <cell r="Q1940">
            <v>1</v>
          </cell>
          <cell r="R1940">
            <v>0.30612244897959201</v>
          </cell>
          <cell r="S1940">
            <v>0</v>
          </cell>
        </row>
        <row r="1941">
          <cell r="A1941">
            <v>980022</v>
          </cell>
          <cell r="B1941">
            <v>2</v>
          </cell>
          <cell r="C1941">
            <v>12</v>
          </cell>
          <cell r="D1941">
            <v>5</v>
          </cell>
          <cell r="E1941" t="str">
            <v>NON-HS</v>
          </cell>
          <cell r="F1941" t="str">
            <v>Granada Hills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2.2140221402214E-2</v>
          </cell>
          <cell r="O1941">
            <v>0</v>
          </cell>
          <cell r="P1941">
            <v>0.18081180811808101</v>
          </cell>
          <cell r="Q1941">
            <v>1</v>
          </cell>
          <cell r="R1941">
            <v>0.30612244897959201</v>
          </cell>
          <cell r="S1941">
            <v>0</v>
          </cell>
        </row>
        <row r="1942">
          <cell r="A1942">
            <v>106603</v>
          </cell>
          <cell r="B1942">
            <v>2</v>
          </cell>
          <cell r="C1942">
            <v>12</v>
          </cell>
          <cell r="D1942">
            <v>5</v>
          </cell>
          <cell r="E1942" t="str">
            <v>NON-HS</v>
          </cell>
          <cell r="F1942" t="str">
            <v>Granada Hills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2.2140221402214E-2</v>
          </cell>
          <cell r="O1942">
            <v>0</v>
          </cell>
          <cell r="P1942">
            <v>0.18081180811808101</v>
          </cell>
          <cell r="Q1942">
            <v>1</v>
          </cell>
          <cell r="R1942">
            <v>0.30612244897959201</v>
          </cell>
          <cell r="S1942">
            <v>0</v>
          </cell>
        </row>
        <row r="1943">
          <cell r="A1943">
            <v>135202</v>
          </cell>
          <cell r="B1943">
            <v>2</v>
          </cell>
          <cell r="C1943">
            <v>12</v>
          </cell>
          <cell r="D1943">
            <v>3</v>
          </cell>
          <cell r="E1943" t="str">
            <v>NON-HS</v>
          </cell>
          <cell r="F1943" t="str">
            <v>West Hills</v>
          </cell>
          <cell r="G1943">
            <v>0</v>
          </cell>
          <cell r="H1943">
            <v>0</v>
          </cell>
          <cell r="I1943">
            <v>4.0949999999999998</v>
          </cell>
          <cell r="J1943">
            <v>1.9836996600000001</v>
          </cell>
          <cell r="K1943">
            <v>3.9836996600000001</v>
          </cell>
          <cell r="L1943">
            <v>0.11117260138240601</v>
          </cell>
          <cell r="M1943">
            <v>4.0948722613824096</v>
          </cell>
          <cell r="N1943">
            <v>2.2140221402214E-2</v>
          </cell>
          <cell r="O1943">
            <v>0</v>
          </cell>
          <cell r="P1943">
            <v>0.18081180811808101</v>
          </cell>
          <cell r="Q1943">
            <v>1</v>
          </cell>
          <cell r="R1943">
            <v>0.30612244897959201</v>
          </cell>
          <cell r="S1943">
            <v>0</v>
          </cell>
        </row>
        <row r="1944">
          <cell r="A1944">
            <v>134423</v>
          </cell>
          <cell r="B1944">
            <v>2</v>
          </cell>
          <cell r="C1944">
            <v>12</v>
          </cell>
          <cell r="D1944">
            <v>5</v>
          </cell>
          <cell r="E1944" t="str">
            <v>NON-HS</v>
          </cell>
          <cell r="F1944" t="str">
            <v>West Hills</v>
          </cell>
          <cell r="G1944">
            <v>0</v>
          </cell>
          <cell r="H1944">
            <v>0</v>
          </cell>
          <cell r="I1944">
            <v>6.2850000000000001</v>
          </cell>
          <cell r="J1944">
            <v>5.9510989800000003</v>
          </cell>
          <cell r="K1944">
            <v>5.9510989800000003</v>
          </cell>
          <cell r="L1944">
            <v>0.33351780414721699</v>
          </cell>
          <cell r="M1944">
            <v>6.2846167841472198</v>
          </cell>
          <cell r="N1944">
            <v>2.2140221402214E-2</v>
          </cell>
          <cell r="O1944">
            <v>0</v>
          </cell>
          <cell r="P1944">
            <v>0.18081180811808101</v>
          </cell>
          <cell r="Q1944">
            <v>1</v>
          </cell>
          <cell r="R1944">
            <v>0.30612244897959201</v>
          </cell>
          <cell r="S1944">
            <v>0</v>
          </cell>
        </row>
        <row r="1945">
          <cell r="A1945">
            <v>131400</v>
          </cell>
          <cell r="B1945">
            <v>2</v>
          </cell>
          <cell r="C1945">
            <v>12</v>
          </cell>
          <cell r="D1945">
            <v>3</v>
          </cell>
          <cell r="E1945" t="str">
            <v>NON-HS</v>
          </cell>
          <cell r="F1945" t="str">
            <v>Reseda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2.2140221402214E-2</v>
          </cell>
          <cell r="O1945">
            <v>0</v>
          </cell>
          <cell r="P1945">
            <v>0.18081180811808101</v>
          </cell>
          <cell r="Q1945">
            <v>1</v>
          </cell>
          <cell r="R1945">
            <v>0.30612244897959201</v>
          </cell>
          <cell r="S1945">
            <v>0</v>
          </cell>
        </row>
        <row r="1946">
          <cell r="A1946">
            <v>113231</v>
          </cell>
          <cell r="B1946">
            <v>2</v>
          </cell>
          <cell r="C1946">
            <v>12</v>
          </cell>
          <cell r="D1946">
            <v>5</v>
          </cell>
          <cell r="E1946" t="str">
            <v>NON-HS</v>
          </cell>
          <cell r="F1946" t="str">
            <v>West Hills</v>
          </cell>
          <cell r="G1946">
            <v>0</v>
          </cell>
          <cell r="H1946">
            <v>1</v>
          </cell>
          <cell r="I1946">
            <v>11.56</v>
          </cell>
          <cell r="J1946">
            <v>10.81319178</v>
          </cell>
          <cell r="K1946">
            <v>10.81319178</v>
          </cell>
          <cell r="L1946">
            <v>0.74759441780969504</v>
          </cell>
          <cell r="M1946">
            <v>11.5607861978097</v>
          </cell>
          <cell r="N1946">
            <v>2.2140221402214E-2</v>
          </cell>
          <cell r="O1946">
            <v>0</v>
          </cell>
          <cell r="P1946">
            <v>0.18081180811808101</v>
          </cell>
          <cell r="Q1946">
            <v>1</v>
          </cell>
          <cell r="R1946">
            <v>0.30612244897959201</v>
          </cell>
          <cell r="S1946">
            <v>3.2666666666666702</v>
          </cell>
        </row>
        <row r="1947">
          <cell r="A1947">
            <v>113212</v>
          </cell>
          <cell r="B1947">
            <v>2</v>
          </cell>
          <cell r="C1947">
            <v>12</v>
          </cell>
          <cell r="D1947">
            <v>5</v>
          </cell>
          <cell r="E1947" t="str">
            <v>NON-HS</v>
          </cell>
          <cell r="F1947" t="str">
            <v>Chatsworth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2.2140221402214E-2</v>
          </cell>
          <cell r="O1947">
            <v>0</v>
          </cell>
          <cell r="P1947">
            <v>0.18081180811808101</v>
          </cell>
          <cell r="Q1947">
            <v>1</v>
          </cell>
          <cell r="R1947">
            <v>0.30612244897959201</v>
          </cell>
          <cell r="S1947">
            <v>0</v>
          </cell>
        </row>
        <row r="1948">
          <cell r="A1948">
            <v>111302</v>
          </cell>
          <cell r="B1948">
            <v>2</v>
          </cell>
          <cell r="C1948">
            <v>12</v>
          </cell>
          <cell r="D1948">
            <v>5</v>
          </cell>
          <cell r="E1948" t="str">
            <v>NON-HS</v>
          </cell>
          <cell r="F1948" t="str">
            <v>Northridge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2.2140221402214E-2</v>
          </cell>
          <cell r="O1948">
            <v>0</v>
          </cell>
          <cell r="P1948">
            <v>0.18081180811808101</v>
          </cell>
          <cell r="Q1948">
            <v>1</v>
          </cell>
          <cell r="R1948">
            <v>0.30612244897959201</v>
          </cell>
          <cell r="S1948">
            <v>0</v>
          </cell>
        </row>
        <row r="1949">
          <cell r="A1949">
            <v>111400</v>
          </cell>
          <cell r="B1949">
            <v>2</v>
          </cell>
          <cell r="C1949">
            <v>12</v>
          </cell>
          <cell r="D1949">
            <v>5</v>
          </cell>
          <cell r="E1949" t="str">
            <v>NON-HS</v>
          </cell>
          <cell r="F1949" t="str">
            <v>Granada Hills</v>
          </cell>
          <cell r="G1949">
            <v>0</v>
          </cell>
          <cell r="H1949">
            <v>0</v>
          </cell>
          <cell r="I1949">
            <v>2</v>
          </cell>
          <cell r="J1949">
            <v>0</v>
          </cell>
          <cell r="K1949">
            <v>2</v>
          </cell>
          <cell r="L1949">
            <v>0</v>
          </cell>
          <cell r="M1949">
            <v>2</v>
          </cell>
          <cell r="N1949">
            <v>2.2140221402214E-2</v>
          </cell>
          <cell r="O1949">
            <v>0</v>
          </cell>
          <cell r="P1949">
            <v>0.18081180811808101</v>
          </cell>
          <cell r="Q1949">
            <v>1</v>
          </cell>
          <cell r="R1949">
            <v>0.30612244897959201</v>
          </cell>
          <cell r="S1949">
            <v>0</v>
          </cell>
        </row>
        <row r="1950">
          <cell r="A1950">
            <v>106645</v>
          </cell>
          <cell r="B1950">
            <v>2</v>
          </cell>
          <cell r="C1950">
            <v>12</v>
          </cell>
          <cell r="D1950">
            <v>5</v>
          </cell>
          <cell r="E1950" t="str">
            <v>NON-HS</v>
          </cell>
          <cell r="F1950" t="str">
            <v>Granada Hills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2.2140221402214E-2</v>
          </cell>
          <cell r="O1950">
            <v>0</v>
          </cell>
          <cell r="P1950">
            <v>0.18081180811808101</v>
          </cell>
          <cell r="Q1950">
            <v>1</v>
          </cell>
          <cell r="R1950">
            <v>0.30612244897959201</v>
          </cell>
          <cell r="S1950">
            <v>0</v>
          </cell>
        </row>
        <row r="1951">
          <cell r="A1951">
            <v>106642</v>
          </cell>
          <cell r="B1951">
            <v>2</v>
          </cell>
          <cell r="C1951">
            <v>12</v>
          </cell>
          <cell r="D1951">
            <v>5</v>
          </cell>
          <cell r="E1951" t="str">
            <v>NON-HS</v>
          </cell>
          <cell r="F1951" t="str">
            <v>Granada Hills</v>
          </cell>
          <cell r="G1951">
            <v>0</v>
          </cell>
          <cell r="H1951">
            <v>0</v>
          </cell>
          <cell r="I1951">
            <v>4.1900000000000004</v>
          </cell>
          <cell r="J1951">
            <v>3.9673993200000002</v>
          </cell>
          <cell r="K1951">
            <v>3.9673993200000002</v>
          </cell>
          <cell r="L1951">
            <v>0.22234520276481101</v>
          </cell>
          <cell r="M1951">
            <v>4.1897445227648102</v>
          </cell>
          <cell r="N1951">
            <v>2.2140221402214E-2</v>
          </cell>
          <cell r="O1951">
            <v>0</v>
          </cell>
          <cell r="P1951">
            <v>0.18081180811808101</v>
          </cell>
          <cell r="Q1951">
            <v>1</v>
          </cell>
          <cell r="R1951">
            <v>0.30612244897959201</v>
          </cell>
          <cell r="S1951">
            <v>0</v>
          </cell>
        </row>
        <row r="1952">
          <cell r="A1952">
            <v>115201</v>
          </cell>
          <cell r="B1952">
            <v>2</v>
          </cell>
          <cell r="C1952">
            <v>12</v>
          </cell>
          <cell r="D1952">
            <v>3</v>
          </cell>
          <cell r="E1952" t="str">
            <v>NON-HS</v>
          </cell>
          <cell r="F1952" t="str">
            <v>Northridge</v>
          </cell>
          <cell r="G1952">
            <v>0</v>
          </cell>
          <cell r="H1952">
            <v>1</v>
          </cell>
          <cell r="I1952">
            <v>3.0950000000000002</v>
          </cell>
          <cell r="J1952">
            <v>1.9836996600000001</v>
          </cell>
          <cell r="K1952">
            <v>2.9836996600000001</v>
          </cell>
          <cell r="L1952">
            <v>0.11117260138240601</v>
          </cell>
          <cell r="M1952">
            <v>3.09487226138241</v>
          </cell>
          <cell r="N1952">
            <v>2.2140221402214E-2</v>
          </cell>
          <cell r="O1952">
            <v>0</v>
          </cell>
          <cell r="P1952">
            <v>0.18081180811808101</v>
          </cell>
          <cell r="Q1952">
            <v>1</v>
          </cell>
          <cell r="R1952">
            <v>0.30612244897959201</v>
          </cell>
          <cell r="S1952">
            <v>3.2666666666666702</v>
          </cell>
        </row>
        <row r="1953">
          <cell r="A1953">
            <v>192610</v>
          </cell>
          <cell r="B1953">
            <v>4</v>
          </cell>
          <cell r="C1953">
            <v>13</v>
          </cell>
          <cell r="D1953">
            <v>2</v>
          </cell>
          <cell r="E1953" t="str">
            <v>CVCTE</v>
          </cell>
          <cell r="F1953" t="str">
            <v>Wilshire Center-Koreatown</v>
          </cell>
          <cell r="G1953">
            <v>0</v>
          </cell>
          <cell r="H1953">
            <v>0</v>
          </cell>
          <cell r="I1953">
            <v>81.813999999999993</v>
          </cell>
          <cell r="J1953">
            <v>68.932956419999996</v>
          </cell>
          <cell r="K1953">
            <v>80.932956419999996</v>
          </cell>
          <cell r="L1953">
            <v>0.88116920213644501</v>
          </cell>
          <cell r="M1953">
            <v>81.814125622136402</v>
          </cell>
          <cell r="N1953">
            <v>0.164383561643836</v>
          </cell>
          <cell r="O1953">
            <v>0</v>
          </cell>
          <cell r="P1953">
            <v>0.20547945205479501</v>
          </cell>
          <cell r="Q1953">
            <v>0.53571428571428603</v>
          </cell>
          <cell r="R1953">
            <v>0.230769230769231</v>
          </cell>
          <cell r="S1953">
            <v>0</v>
          </cell>
        </row>
        <row r="1954">
          <cell r="A1954">
            <v>211122</v>
          </cell>
          <cell r="B1954">
            <v>4</v>
          </cell>
          <cell r="C1954">
            <v>13</v>
          </cell>
          <cell r="D1954">
            <v>2</v>
          </cell>
          <cell r="E1954" t="str">
            <v>CVCTE</v>
          </cell>
          <cell r="F1954" t="str">
            <v>Rampart Village</v>
          </cell>
          <cell r="G1954">
            <v>0</v>
          </cell>
          <cell r="H1954">
            <v>0</v>
          </cell>
          <cell r="I1954">
            <v>71.459999999999994</v>
          </cell>
          <cell r="J1954">
            <v>52.241942180000002</v>
          </cell>
          <cell r="K1954">
            <v>69.241942179999995</v>
          </cell>
          <cell r="L1954">
            <v>2.21836011937163</v>
          </cell>
          <cell r="M1954">
            <v>71.460302299371605</v>
          </cell>
          <cell r="N1954">
            <v>0.164383561643836</v>
          </cell>
          <cell r="O1954">
            <v>0</v>
          </cell>
          <cell r="P1954">
            <v>0.20547945205479501</v>
          </cell>
          <cell r="Q1954">
            <v>0.53571428571428603</v>
          </cell>
          <cell r="R1954">
            <v>0.230769230769231</v>
          </cell>
          <cell r="S1954">
            <v>0</v>
          </cell>
        </row>
        <row r="1955">
          <cell r="A1955">
            <v>208402</v>
          </cell>
          <cell r="B1955">
            <v>4</v>
          </cell>
          <cell r="C1955">
            <v>13</v>
          </cell>
          <cell r="D1955">
            <v>1</v>
          </cell>
          <cell r="E1955" t="str">
            <v>CVCTE</v>
          </cell>
          <cell r="F1955" t="str">
            <v>Echo Park</v>
          </cell>
          <cell r="G1955">
            <v>0</v>
          </cell>
          <cell r="H1955">
            <v>0</v>
          </cell>
          <cell r="I1955">
            <v>43.831000000000003</v>
          </cell>
          <cell r="J1955">
            <v>36.523489390000002</v>
          </cell>
          <cell r="K1955">
            <v>42.523489390000002</v>
          </cell>
          <cell r="L1955">
            <v>1.30752399303411</v>
          </cell>
          <cell r="M1955">
            <v>43.831013383034097</v>
          </cell>
          <cell r="N1955">
            <v>0.164383561643836</v>
          </cell>
          <cell r="O1955">
            <v>0</v>
          </cell>
          <cell r="P1955">
            <v>0.20547945205479501</v>
          </cell>
          <cell r="Q1955">
            <v>0.53571428571428603</v>
          </cell>
          <cell r="R1955">
            <v>0.230769230769231</v>
          </cell>
          <cell r="S1955">
            <v>0</v>
          </cell>
        </row>
        <row r="1956">
          <cell r="A1956">
            <v>208501</v>
          </cell>
          <cell r="B1956">
            <v>4</v>
          </cell>
          <cell r="C1956">
            <v>13</v>
          </cell>
          <cell r="D1956">
            <v>1</v>
          </cell>
          <cell r="E1956" t="str">
            <v>CVCTE</v>
          </cell>
          <cell r="F1956" t="str">
            <v>Echo Park</v>
          </cell>
          <cell r="G1956">
            <v>0</v>
          </cell>
          <cell r="H1956">
            <v>1</v>
          </cell>
          <cell r="I1956">
            <v>27.754000000000001</v>
          </cell>
          <cell r="J1956">
            <v>24.157385649999998</v>
          </cell>
          <cell r="K1956">
            <v>27.157385649999998</v>
          </cell>
          <cell r="L1956">
            <v>0.59673104220825801</v>
          </cell>
          <cell r="M1956">
            <v>27.754116692208299</v>
          </cell>
          <cell r="N1956">
            <v>0.164383561643836</v>
          </cell>
          <cell r="O1956">
            <v>0</v>
          </cell>
          <cell r="P1956">
            <v>0.20547945205479501</v>
          </cell>
          <cell r="Q1956">
            <v>0.53571428571428603</v>
          </cell>
          <cell r="R1956">
            <v>0.230769230769231</v>
          </cell>
          <cell r="S1956">
            <v>4.3333333333333304</v>
          </cell>
        </row>
        <row r="1957">
          <cell r="A1957">
            <v>188100</v>
          </cell>
          <cell r="B1957">
            <v>4</v>
          </cell>
          <cell r="C1957">
            <v>13</v>
          </cell>
          <cell r="D1957">
            <v>3</v>
          </cell>
          <cell r="E1957" t="str">
            <v>CVCTE</v>
          </cell>
          <cell r="F1957" t="str">
            <v>Atwater Village</v>
          </cell>
          <cell r="G1957">
            <v>0</v>
          </cell>
          <cell r="H1957">
            <v>0</v>
          </cell>
          <cell r="I1957">
            <v>38.29</v>
          </cell>
          <cell r="J1957">
            <v>34.493066339999999</v>
          </cell>
          <cell r="K1957">
            <v>36.493066339999999</v>
          </cell>
          <cell r="L1957">
            <v>1.7963543499640899</v>
          </cell>
          <cell r="M1957">
            <v>38.289420689964103</v>
          </cell>
          <cell r="N1957">
            <v>0.164383561643836</v>
          </cell>
          <cell r="O1957">
            <v>0</v>
          </cell>
          <cell r="P1957">
            <v>0.20547945205479501</v>
          </cell>
          <cell r="Q1957">
            <v>0.53571428571428603</v>
          </cell>
          <cell r="R1957">
            <v>0.230769230769231</v>
          </cell>
          <cell r="S1957">
            <v>0</v>
          </cell>
        </row>
        <row r="1958">
          <cell r="A1958">
            <v>187102</v>
          </cell>
          <cell r="B1958">
            <v>4</v>
          </cell>
          <cell r="C1958">
            <v>13</v>
          </cell>
          <cell r="D1958">
            <v>1</v>
          </cell>
          <cell r="E1958" t="str">
            <v>CVCTE</v>
          </cell>
          <cell r="F1958" t="str">
            <v>Atwater Village</v>
          </cell>
          <cell r="G1958">
            <v>0</v>
          </cell>
          <cell r="H1958">
            <v>1</v>
          </cell>
          <cell r="I1958">
            <v>18.239999999999998</v>
          </cell>
          <cell r="J1958">
            <v>8.9139477300000003</v>
          </cell>
          <cell r="K1958">
            <v>17.91394773</v>
          </cell>
          <cell r="L1958">
            <v>0.32536718344703802</v>
          </cell>
          <cell r="M1958">
            <v>18.239314913447</v>
          </cell>
          <cell r="N1958">
            <v>0.164383561643836</v>
          </cell>
          <cell r="O1958">
            <v>0</v>
          </cell>
          <cell r="P1958">
            <v>0.20547945205479501</v>
          </cell>
          <cell r="Q1958">
            <v>0.53571428571428603</v>
          </cell>
          <cell r="R1958">
            <v>0.230769230769231</v>
          </cell>
          <cell r="S1958">
            <v>4.3333333333333304</v>
          </cell>
        </row>
        <row r="1959">
          <cell r="A1959">
            <v>187300</v>
          </cell>
          <cell r="B1959">
            <v>4</v>
          </cell>
          <cell r="C1959">
            <v>13</v>
          </cell>
          <cell r="D1959">
            <v>1</v>
          </cell>
          <cell r="E1959" t="str">
            <v>CVCTE</v>
          </cell>
          <cell r="F1959" t="str">
            <v>Silver Lake</v>
          </cell>
          <cell r="G1959">
            <v>0</v>
          </cell>
          <cell r="H1959">
            <v>0</v>
          </cell>
          <cell r="I1959">
            <v>18.606999999999999</v>
          </cell>
          <cell r="J1959">
            <v>16.728839149999999</v>
          </cell>
          <cell r="K1959">
            <v>17.728839149999999</v>
          </cell>
          <cell r="L1959">
            <v>0.87791135570915602</v>
          </cell>
          <cell r="M1959">
            <v>18.606750505709201</v>
          </cell>
          <cell r="N1959">
            <v>0.164383561643836</v>
          </cell>
          <cell r="O1959">
            <v>0</v>
          </cell>
          <cell r="P1959">
            <v>0.20547945205479501</v>
          </cell>
          <cell r="Q1959">
            <v>0.53571428571428603</v>
          </cell>
          <cell r="R1959">
            <v>0.230769230769231</v>
          </cell>
          <cell r="S1959">
            <v>0</v>
          </cell>
        </row>
        <row r="1960">
          <cell r="A1960">
            <v>192620</v>
          </cell>
          <cell r="B1960">
            <v>4</v>
          </cell>
          <cell r="C1960">
            <v>13</v>
          </cell>
          <cell r="D1960">
            <v>2</v>
          </cell>
          <cell r="E1960" t="str">
            <v>CVCTE</v>
          </cell>
          <cell r="F1960" t="str">
            <v>Wilshire Center-Koreatown</v>
          </cell>
          <cell r="G1960">
            <v>1</v>
          </cell>
          <cell r="H1960">
            <v>1</v>
          </cell>
          <cell r="I1960">
            <v>31.512</v>
          </cell>
          <cell r="J1960">
            <v>26.221142520000001</v>
          </cell>
          <cell r="K1960">
            <v>31.221142520000001</v>
          </cell>
          <cell r="L1960">
            <v>0.29048772850987398</v>
          </cell>
          <cell r="M1960">
            <v>31.511630248509899</v>
          </cell>
          <cell r="N1960">
            <v>0.164383561643836</v>
          </cell>
          <cell r="O1960">
            <v>6.0833333333333304</v>
          </cell>
          <cell r="P1960">
            <v>0.20547945205479501</v>
          </cell>
          <cell r="Q1960">
            <v>0.53571428571428603</v>
          </cell>
        </row>
        <row r="1961">
          <cell r="A1961">
            <v>195804</v>
          </cell>
          <cell r="B1961">
            <v>4</v>
          </cell>
          <cell r="C1961">
            <v>13</v>
          </cell>
          <cell r="D1961">
            <v>1</v>
          </cell>
          <cell r="E1961" t="str">
            <v>CVCTE</v>
          </cell>
          <cell r="F1961" t="str">
            <v>Silver Lake</v>
          </cell>
          <cell r="G1961">
            <v>0</v>
          </cell>
          <cell r="H1961">
            <v>0</v>
          </cell>
          <cell r="I1961">
            <v>30.765000000000001</v>
          </cell>
          <cell r="J1961">
            <v>28.40145133</v>
          </cell>
          <cell r="K1961">
            <v>30.40145133</v>
          </cell>
          <cell r="L1961">
            <v>0.36374001944344703</v>
          </cell>
          <cell r="M1961">
            <v>30.765191349443398</v>
          </cell>
          <cell r="N1961">
            <v>0.164383561643836</v>
          </cell>
          <cell r="O1961">
            <v>0</v>
          </cell>
          <cell r="P1961">
            <v>0.20547945205479501</v>
          </cell>
          <cell r="Q1961">
            <v>0.53571428571428603</v>
          </cell>
          <cell r="R1961">
            <v>0.230769230769231</v>
          </cell>
          <cell r="S1961">
            <v>0</v>
          </cell>
        </row>
        <row r="1962">
          <cell r="A1962">
            <v>195720</v>
          </cell>
          <cell r="B1962">
            <v>4</v>
          </cell>
          <cell r="C1962">
            <v>13</v>
          </cell>
          <cell r="D1962">
            <v>1</v>
          </cell>
          <cell r="E1962" t="str">
            <v>CVCTE</v>
          </cell>
          <cell r="F1962" t="str">
            <v>Echo Park</v>
          </cell>
          <cell r="G1962">
            <v>0</v>
          </cell>
          <cell r="H1962">
            <v>0</v>
          </cell>
          <cell r="I1962">
            <v>30.321000000000002</v>
          </cell>
          <cell r="J1962">
            <v>27.170837460000001</v>
          </cell>
          <cell r="K1962">
            <v>29.170837460000001</v>
          </cell>
          <cell r="L1962">
            <v>1.15003719441652</v>
          </cell>
          <cell r="M1962">
            <v>30.3208746544165</v>
          </cell>
          <cell r="N1962">
            <v>0.164383561643836</v>
          </cell>
          <cell r="O1962">
            <v>0</v>
          </cell>
          <cell r="P1962">
            <v>0.20547945205479501</v>
          </cell>
          <cell r="Q1962">
            <v>0.53571428571428603</v>
          </cell>
          <cell r="R1962">
            <v>0.230769230769231</v>
          </cell>
          <cell r="S1962">
            <v>0</v>
          </cell>
        </row>
        <row r="1963">
          <cell r="A1963">
            <v>195903</v>
          </cell>
          <cell r="B1963">
            <v>4</v>
          </cell>
          <cell r="C1963">
            <v>13</v>
          </cell>
          <cell r="D1963">
            <v>1</v>
          </cell>
          <cell r="E1963" t="str">
            <v>CVCTE</v>
          </cell>
          <cell r="F1963" t="str">
            <v>Silver Lake</v>
          </cell>
          <cell r="G1963">
            <v>0</v>
          </cell>
          <cell r="H1963">
            <v>0</v>
          </cell>
          <cell r="I1963">
            <v>13.612</v>
          </cell>
          <cell r="J1963">
            <v>12.738874900000001</v>
          </cell>
          <cell r="K1963">
            <v>12.738874900000001</v>
          </cell>
          <cell r="L1963">
            <v>0.87349618515260297</v>
          </cell>
          <cell r="M1963">
            <v>13.612371085152599</v>
          </cell>
          <cell r="N1963">
            <v>0.164383561643836</v>
          </cell>
          <cell r="O1963">
            <v>0</v>
          </cell>
          <cell r="P1963">
            <v>0.20547945205479501</v>
          </cell>
          <cell r="Q1963">
            <v>0.53571428571428603</v>
          </cell>
          <cell r="R1963">
            <v>0.230769230769231</v>
          </cell>
          <cell r="S1963">
            <v>0</v>
          </cell>
        </row>
        <row r="1964">
          <cell r="A1964">
            <v>195400</v>
          </cell>
          <cell r="B1964">
            <v>4</v>
          </cell>
          <cell r="C1964">
            <v>13</v>
          </cell>
          <cell r="D1964">
            <v>1</v>
          </cell>
          <cell r="E1964" t="str">
            <v>CVCTE</v>
          </cell>
          <cell r="F1964" t="str">
            <v>Silver Lake</v>
          </cell>
          <cell r="G1964">
            <v>0</v>
          </cell>
          <cell r="H1964">
            <v>0</v>
          </cell>
          <cell r="I1964">
            <v>27.939</v>
          </cell>
          <cell r="J1964">
            <v>27.53407722</v>
          </cell>
          <cell r="K1964">
            <v>27.53407722</v>
          </cell>
          <cell r="L1964">
            <v>0.40426015892280098</v>
          </cell>
          <cell r="M1964">
            <v>27.9383373789228</v>
          </cell>
          <cell r="N1964">
            <v>0.164383561643836</v>
          </cell>
          <cell r="O1964">
            <v>0</v>
          </cell>
          <cell r="P1964">
            <v>0.20547945205479501</v>
          </cell>
          <cell r="Q1964">
            <v>0.53571428571428603</v>
          </cell>
          <cell r="R1964">
            <v>0.230769230769231</v>
          </cell>
          <cell r="S1964">
            <v>0</v>
          </cell>
        </row>
        <row r="1965">
          <cell r="A1965">
            <v>211121</v>
          </cell>
          <cell r="B1965">
            <v>4</v>
          </cell>
          <cell r="C1965">
            <v>13</v>
          </cell>
          <cell r="D1965">
            <v>2</v>
          </cell>
          <cell r="E1965" t="str">
            <v>CVCTE</v>
          </cell>
          <cell r="F1965" t="str">
            <v>Rampart Village</v>
          </cell>
          <cell r="G1965">
            <v>1</v>
          </cell>
          <cell r="H1965">
            <v>1</v>
          </cell>
          <cell r="I1965">
            <v>33.06</v>
          </cell>
          <cell r="J1965">
            <v>25.58371138</v>
          </cell>
          <cell r="K1965">
            <v>32.583711379999997</v>
          </cell>
          <cell r="L1965">
            <v>0.47567460077199297</v>
          </cell>
          <cell r="M1965">
            <v>33.059385980771999</v>
          </cell>
          <cell r="N1965">
            <v>0.164383561643836</v>
          </cell>
          <cell r="O1965">
            <v>6.0833333333333304</v>
          </cell>
          <cell r="P1965">
            <v>0.20547945205479501</v>
          </cell>
          <cell r="Q1965">
            <v>0.53571428571428603</v>
          </cell>
        </row>
        <row r="1966">
          <cell r="A1966">
            <v>187200</v>
          </cell>
          <cell r="B1966">
            <v>4</v>
          </cell>
          <cell r="C1966">
            <v>13</v>
          </cell>
          <cell r="D1966">
            <v>1</v>
          </cell>
          <cell r="E1966" t="str">
            <v>CVCTE</v>
          </cell>
          <cell r="F1966" t="str">
            <v>Elysian Valley</v>
          </cell>
          <cell r="G1966">
            <v>0</v>
          </cell>
          <cell r="H1966">
            <v>1</v>
          </cell>
          <cell r="I1966">
            <v>14.038</v>
          </cell>
          <cell r="J1966">
            <v>13.477690689999999</v>
          </cell>
          <cell r="K1966">
            <v>13.477690689999999</v>
          </cell>
          <cell r="L1966">
            <v>0.56092655998204699</v>
          </cell>
          <cell r="M1966">
            <v>14.038617249982</v>
          </cell>
          <cell r="N1966">
            <v>0.164383561643836</v>
          </cell>
          <cell r="O1966">
            <v>0</v>
          </cell>
          <cell r="P1966">
            <v>0.20547945205479501</v>
          </cell>
          <cell r="Q1966">
            <v>0.53571428571428603</v>
          </cell>
          <cell r="R1966">
            <v>0.230769230769231</v>
          </cell>
          <cell r="S1966">
            <v>4.3333333333333304</v>
          </cell>
        </row>
        <row r="1967">
          <cell r="A1967">
            <v>195600</v>
          </cell>
          <cell r="B1967">
            <v>4</v>
          </cell>
          <cell r="C1967">
            <v>13</v>
          </cell>
          <cell r="D1967">
            <v>1</v>
          </cell>
          <cell r="E1967" t="str">
            <v>CVCTE</v>
          </cell>
          <cell r="F1967" t="str">
            <v>Echo Park</v>
          </cell>
          <cell r="G1967">
            <v>0</v>
          </cell>
          <cell r="H1967">
            <v>0</v>
          </cell>
          <cell r="I1967">
            <v>34.442</v>
          </cell>
          <cell r="J1967">
            <v>21.879750390000002</v>
          </cell>
          <cell r="K1967">
            <v>33.879750389999998</v>
          </cell>
          <cell r="L1967">
            <v>0.56202493667863596</v>
          </cell>
          <cell r="M1967">
            <v>34.441775326678602</v>
          </cell>
          <cell r="N1967">
            <v>0.164383561643836</v>
          </cell>
          <cell r="O1967">
            <v>0</v>
          </cell>
          <cell r="P1967">
            <v>0.20547945205479501</v>
          </cell>
          <cell r="Q1967">
            <v>0.53571428571428603</v>
          </cell>
          <cell r="R1967">
            <v>0.230769230769231</v>
          </cell>
          <cell r="S1967">
            <v>0</v>
          </cell>
        </row>
        <row r="1968">
          <cell r="A1968">
            <v>190700</v>
          </cell>
          <cell r="B1968">
            <v>11</v>
          </cell>
          <cell r="C1968">
            <v>13</v>
          </cell>
          <cell r="D1968">
            <v>3</v>
          </cell>
          <cell r="E1968" t="str">
            <v>CVCTE</v>
          </cell>
          <cell r="F1968" t="str">
            <v>Hollywood</v>
          </cell>
          <cell r="G1968">
            <v>0</v>
          </cell>
          <cell r="H1968">
            <v>0</v>
          </cell>
          <cell r="I1968">
            <v>83.406000000000006</v>
          </cell>
          <cell r="J1968">
            <v>54.658331459999999</v>
          </cell>
          <cell r="K1968">
            <v>82.658331459999999</v>
          </cell>
          <cell r="L1968">
            <v>0.74726445739676794</v>
          </cell>
          <cell r="M1968">
            <v>83.405595917396795</v>
          </cell>
          <cell r="N1968">
            <v>0.46666666666666701</v>
          </cell>
          <cell r="O1968">
            <v>0</v>
          </cell>
          <cell r="P1968">
            <v>0.86666666666666703</v>
          </cell>
          <cell r="Q1968">
            <v>0.46428571428571402</v>
          </cell>
        </row>
        <row r="1969">
          <cell r="A1969">
            <v>190801</v>
          </cell>
          <cell r="B1969">
            <v>11</v>
          </cell>
          <cell r="C1969">
            <v>13</v>
          </cell>
          <cell r="D1969">
            <v>3</v>
          </cell>
          <cell r="E1969" t="str">
            <v>CVCTE</v>
          </cell>
          <cell r="F1969" t="str">
            <v>Hollywood</v>
          </cell>
          <cell r="G1969">
            <v>1</v>
          </cell>
          <cell r="H1969">
            <v>1</v>
          </cell>
          <cell r="I1969">
            <v>139.22300000000001</v>
          </cell>
          <cell r="J1969">
            <v>93.567048560000003</v>
          </cell>
          <cell r="K1969">
            <v>135.56704855999999</v>
          </cell>
          <cell r="L1969">
            <v>3.6551863459964098</v>
          </cell>
          <cell r="M1969">
            <v>139.222234905996</v>
          </cell>
          <cell r="N1969">
            <v>0.46666666666666701</v>
          </cell>
          <cell r="O1969">
            <v>2.1428571428571401</v>
          </cell>
          <cell r="P1969">
            <v>0.86666666666666703</v>
          </cell>
          <cell r="Q1969">
            <v>0.46428571428571402</v>
          </cell>
        </row>
        <row r="1970">
          <cell r="A1970">
            <v>190802</v>
          </cell>
          <cell r="B1970">
            <v>11</v>
          </cell>
          <cell r="C1970">
            <v>13</v>
          </cell>
          <cell r="D1970">
            <v>3</v>
          </cell>
          <cell r="E1970" t="str">
            <v>CVCTE</v>
          </cell>
          <cell r="F1970" t="str">
            <v>Hollywood</v>
          </cell>
          <cell r="G1970">
            <v>0</v>
          </cell>
          <cell r="H1970">
            <v>0</v>
          </cell>
          <cell r="I1970">
            <v>38.219000000000001</v>
          </cell>
          <cell r="J1970">
            <v>26.14989795</v>
          </cell>
          <cell r="K1970">
            <v>37.149897950000003</v>
          </cell>
          <cell r="L1970">
            <v>1.06924865867145</v>
          </cell>
          <cell r="M1970">
            <v>38.219146608671501</v>
          </cell>
          <cell r="N1970">
            <v>0.46666666666666701</v>
          </cell>
          <cell r="O1970">
            <v>0</v>
          </cell>
          <cell r="P1970">
            <v>0.86666666666666703</v>
          </cell>
          <cell r="Q1970">
            <v>0.46428571428571402</v>
          </cell>
        </row>
        <row r="1971">
          <cell r="A1971">
            <v>190901</v>
          </cell>
          <cell r="B1971">
            <v>11</v>
          </cell>
          <cell r="C1971">
            <v>13</v>
          </cell>
          <cell r="D1971">
            <v>3</v>
          </cell>
          <cell r="E1971" t="str">
            <v>CVCTE</v>
          </cell>
          <cell r="F1971" t="str">
            <v>Hollywood</v>
          </cell>
          <cell r="G1971">
            <v>0</v>
          </cell>
          <cell r="H1971">
            <v>0</v>
          </cell>
          <cell r="I1971">
            <v>71.058999999999997</v>
          </cell>
          <cell r="J1971">
            <v>35.400430630000002</v>
          </cell>
          <cell r="K1971">
            <v>70.400430630000002</v>
          </cell>
          <cell r="L1971">
            <v>0.65836050457809703</v>
          </cell>
          <cell r="M1971">
            <v>71.058791134578101</v>
          </cell>
          <cell r="N1971">
            <v>0.46666666666666701</v>
          </cell>
          <cell r="O1971">
            <v>0</v>
          </cell>
          <cell r="P1971">
            <v>0.86666666666666703</v>
          </cell>
          <cell r="Q1971">
            <v>0.46428571428571402</v>
          </cell>
        </row>
        <row r="1972">
          <cell r="A1972">
            <v>191000</v>
          </cell>
          <cell r="B1972">
            <v>11</v>
          </cell>
          <cell r="C1972">
            <v>13</v>
          </cell>
          <cell r="D1972">
            <v>3</v>
          </cell>
          <cell r="E1972" t="str">
            <v>CVCTE</v>
          </cell>
          <cell r="F1972" t="str">
            <v>Hollywood</v>
          </cell>
          <cell r="G1972">
            <v>0</v>
          </cell>
          <cell r="H1972">
            <v>0</v>
          </cell>
          <cell r="I1972">
            <v>52.250999999999998</v>
          </cell>
          <cell r="J1972">
            <v>33.667298459999998</v>
          </cell>
          <cell r="K1972">
            <v>51.667298459999998</v>
          </cell>
          <cell r="L1972">
            <v>0.58337499429084405</v>
          </cell>
          <cell r="M1972">
            <v>52.250673454290798</v>
          </cell>
          <cell r="N1972">
            <v>0.46666666666666701</v>
          </cell>
          <cell r="O1972">
            <v>0</v>
          </cell>
          <cell r="P1972">
            <v>0.86666666666666703</v>
          </cell>
          <cell r="Q1972">
            <v>0.46428571428571402</v>
          </cell>
        </row>
        <row r="1973">
          <cell r="A1973">
            <v>191120</v>
          </cell>
          <cell r="B1973">
            <v>11</v>
          </cell>
          <cell r="C1973">
            <v>13</v>
          </cell>
          <cell r="D1973">
            <v>3</v>
          </cell>
          <cell r="E1973" t="str">
            <v>CVCTE</v>
          </cell>
          <cell r="F1973" t="str">
            <v>Hollywood</v>
          </cell>
          <cell r="G1973">
            <v>0</v>
          </cell>
          <cell r="H1973">
            <v>0</v>
          </cell>
          <cell r="I1973">
            <v>22.388999999999999</v>
          </cell>
          <cell r="J1973">
            <v>15.536151869999999</v>
          </cell>
          <cell r="K1973">
            <v>21.536151870000001</v>
          </cell>
          <cell r="L1973">
            <v>0.85148300816876099</v>
          </cell>
          <cell r="M1973">
            <v>22.3876348781688</v>
          </cell>
          <cell r="N1973">
            <v>0.46666666666666701</v>
          </cell>
          <cell r="O1973">
            <v>0</v>
          </cell>
          <cell r="P1973">
            <v>0.86666666666666703</v>
          </cell>
          <cell r="Q1973">
            <v>0.46428571428571402</v>
          </cell>
        </row>
        <row r="1974">
          <cell r="A1974">
            <v>191301</v>
          </cell>
          <cell r="B1974">
            <v>11</v>
          </cell>
          <cell r="C1974">
            <v>13</v>
          </cell>
          <cell r="D1974">
            <v>3</v>
          </cell>
          <cell r="E1974" t="str">
            <v>CVCTE</v>
          </cell>
          <cell r="F1974" t="str">
            <v>Hollywood</v>
          </cell>
          <cell r="G1974">
            <v>0</v>
          </cell>
          <cell r="H1974">
            <v>0</v>
          </cell>
          <cell r="I1974">
            <v>50.807000000000002</v>
          </cell>
          <cell r="J1974">
            <v>45.038885919999998</v>
          </cell>
          <cell r="K1974">
            <v>50.038885919999998</v>
          </cell>
          <cell r="L1974">
            <v>0.76843149147217205</v>
          </cell>
          <cell r="M1974">
            <v>50.807317411472198</v>
          </cell>
          <cell r="N1974">
            <v>0.46666666666666701</v>
          </cell>
          <cell r="O1974">
            <v>0</v>
          </cell>
          <cell r="P1974">
            <v>0.86666666666666703</v>
          </cell>
          <cell r="Q1974">
            <v>0.46428571428571402</v>
          </cell>
        </row>
        <row r="1975">
          <cell r="A1975">
            <v>191500</v>
          </cell>
          <cell r="B1975">
            <v>11</v>
          </cell>
          <cell r="C1975">
            <v>13</v>
          </cell>
          <cell r="D1975">
            <v>3</v>
          </cell>
          <cell r="E1975" t="str">
            <v>CVCTE</v>
          </cell>
          <cell r="F1975" t="str">
            <v>Hollywood</v>
          </cell>
          <cell r="G1975">
            <v>1</v>
          </cell>
          <cell r="H1975">
            <v>1</v>
          </cell>
          <cell r="I1975">
            <v>16.808</v>
          </cell>
          <cell r="J1975">
            <v>1.73313217</v>
          </cell>
          <cell r="K1975">
            <v>16.733132170000001</v>
          </cell>
          <cell r="L1975">
            <v>7.4985510287253102E-2</v>
          </cell>
          <cell r="M1975">
            <v>16.8081176802873</v>
          </cell>
          <cell r="N1975">
            <v>0.46666666666666701</v>
          </cell>
          <cell r="O1975">
            <v>2.1428571428571401</v>
          </cell>
          <cell r="P1975">
            <v>0.86666666666666703</v>
          </cell>
          <cell r="Q1975">
            <v>0.46428571428571402</v>
          </cell>
        </row>
        <row r="1976">
          <cell r="A1976">
            <v>191620</v>
          </cell>
          <cell r="B1976">
            <v>11</v>
          </cell>
          <cell r="C1976">
            <v>13</v>
          </cell>
          <cell r="D1976">
            <v>3</v>
          </cell>
          <cell r="E1976" t="str">
            <v>CVCTE</v>
          </cell>
          <cell r="F1976" t="str">
            <v>Hollywood</v>
          </cell>
          <cell r="G1976">
            <v>1</v>
          </cell>
          <cell r="H1976">
            <v>1</v>
          </cell>
          <cell r="I1976">
            <v>38.517000000000003</v>
          </cell>
          <cell r="J1976">
            <v>36.664918550000003</v>
          </cell>
          <cell r="K1976">
            <v>36.664918550000003</v>
          </cell>
          <cell r="L1976">
            <v>1.8520819263016199</v>
          </cell>
          <cell r="M1976">
            <v>38.517000476301597</v>
          </cell>
          <cell r="N1976">
            <v>0.46666666666666701</v>
          </cell>
          <cell r="O1976">
            <v>2.1428571428571401</v>
          </cell>
          <cell r="P1976">
            <v>0.86666666666666703</v>
          </cell>
          <cell r="Q1976">
            <v>0.46428571428571402</v>
          </cell>
        </row>
        <row r="1977">
          <cell r="A1977">
            <v>191610</v>
          </cell>
          <cell r="B1977">
            <v>11</v>
          </cell>
          <cell r="C1977">
            <v>13</v>
          </cell>
          <cell r="D1977">
            <v>2</v>
          </cell>
          <cell r="E1977" t="str">
            <v>CVCTE</v>
          </cell>
          <cell r="F1977" t="str">
            <v>Hollywood</v>
          </cell>
          <cell r="G1977">
            <v>1</v>
          </cell>
          <cell r="H1977">
            <v>1</v>
          </cell>
          <cell r="I1977">
            <v>79.066999999999993</v>
          </cell>
          <cell r="J1977">
            <v>52.339987389999997</v>
          </cell>
          <cell r="K1977">
            <v>76.339987390000005</v>
          </cell>
          <cell r="L1977">
            <v>2.7269491887073598</v>
          </cell>
          <cell r="M1977">
            <v>79.066936578707399</v>
          </cell>
          <cell r="N1977">
            <v>0.46666666666666701</v>
          </cell>
          <cell r="O1977">
            <v>2.1428571428571401</v>
          </cell>
          <cell r="P1977">
            <v>0.86666666666666703</v>
          </cell>
          <cell r="Q1977">
            <v>0.46428571428571402</v>
          </cell>
        </row>
        <row r="1978">
          <cell r="A1978">
            <v>191810</v>
          </cell>
          <cell r="B1978">
            <v>11</v>
          </cell>
          <cell r="C1978">
            <v>13</v>
          </cell>
          <cell r="D1978">
            <v>3</v>
          </cell>
          <cell r="E1978" t="str">
            <v>CVCTE</v>
          </cell>
          <cell r="F1978" t="str">
            <v>Hollywood</v>
          </cell>
          <cell r="G1978">
            <v>1</v>
          </cell>
          <cell r="H1978">
            <v>1</v>
          </cell>
          <cell r="I1978">
            <v>48.704000000000001</v>
          </cell>
          <cell r="J1978">
            <v>41.20096358</v>
          </cell>
          <cell r="K1978">
            <v>47.20096358</v>
          </cell>
          <cell r="L1978">
            <v>1.5034523473249599</v>
          </cell>
          <cell r="M1978">
            <v>48.704415927325002</v>
          </cell>
          <cell r="N1978">
            <v>0.46666666666666701</v>
          </cell>
          <cell r="O1978">
            <v>2.1428571428571401</v>
          </cell>
          <cell r="P1978">
            <v>0.86666666666666703</v>
          </cell>
          <cell r="Q1978">
            <v>0.46428571428571402</v>
          </cell>
        </row>
        <row r="1979">
          <cell r="A1979">
            <v>191820</v>
          </cell>
          <cell r="B1979">
            <v>11</v>
          </cell>
          <cell r="C1979">
            <v>13</v>
          </cell>
          <cell r="D1979">
            <v>3</v>
          </cell>
          <cell r="E1979" t="str">
            <v>CVCTE</v>
          </cell>
          <cell r="F1979" t="str">
            <v>Hollywood</v>
          </cell>
          <cell r="G1979">
            <v>0</v>
          </cell>
          <cell r="H1979">
            <v>0</v>
          </cell>
          <cell r="I1979">
            <v>44.003999999999998</v>
          </cell>
          <cell r="J1979">
            <v>38.335781480000001</v>
          </cell>
          <cell r="K1979">
            <v>42.335781480000001</v>
          </cell>
          <cell r="L1979">
            <v>1.66825463222621</v>
          </cell>
          <cell r="M1979">
            <v>44.004036112226203</v>
          </cell>
          <cell r="N1979">
            <v>0.46666666666666701</v>
          </cell>
          <cell r="O1979">
            <v>0</v>
          </cell>
          <cell r="P1979">
            <v>0.86666666666666703</v>
          </cell>
          <cell r="Q1979">
            <v>0.46428571428571402</v>
          </cell>
        </row>
        <row r="1980">
          <cell r="A1980">
            <v>192700</v>
          </cell>
          <cell r="B1980">
            <v>11</v>
          </cell>
          <cell r="C1980">
            <v>13</v>
          </cell>
          <cell r="D1980">
            <v>2</v>
          </cell>
          <cell r="E1980" t="str">
            <v>CVCTE</v>
          </cell>
          <cell r="F1980" t="str">
            <v>Hollywood</v>
          </cell>
          <cell r="G1980">
            <v>0</v>
          </cell>
          <cell r="H1980">
            <v>0</v>
          </cell>
          <cell r="I1980">
            <v>117.051</v>
          </cell>
          <cell r="J1980">
            <v>97.206460849999999</v>
          </cell>
          <cell r="K1980">
            <v>115.20646085</v>
          </cell>
          <cell r="L1980">
            <v>1.84391523438061</v>
          </cell>
          <cell r="M1980">
            <v>117.050376084381</v>
          </cell>
          <cell r="N1980">
            <v>0.46666666666666701</v>
          </cell>
          <cell r="O1980">
            <v>0</v>
          </cell>
          <cell r="P1980">
            <v>0.86666666666666703</v>
          </cell>
          <cell r="Q1980">
            <v>0.46428571428571402</v>
          </cell>
        </row>
        <row r="1981">
          <cell r="A1981">
            <v>195802</v>
          </cell>
          <cell r="B1981">
            <v>4</v>
          </cell>
          <cell r="C1981">
            <v>13</v>
          </cell>
          <cell r="D1981">
            <v>1</v>
          </cell>
          <cell r="E1981" t="str">
            <v>FAMILY</v>
          </cell>
          <cell r="F1981" t="str">
            <v>Rampart Village</v>
          </cell>
          <cell r="G1981">
            <v>1</v>
          </cell>
          <cell r="H1981">
            <v>1</v>
          </cell>
          <cell r="I1981">
            <v>53.527000000000001</v>
          </cell>
          <cell r="J1981">
            <v>45.356121049999999</v>
          </cell>
          <cell r="K1981">
            <v>52.356121049999999</v>
          </cell>
          <cell r="L1981">
            <v>4.16979266903052</v>
          </cell>
          <cell r="M1981">
            <v>56.525913719030498</v>
          </cell>
          <cell r="N1981">
            <v>1</v>
          </cell>
          <cell r="O1981">
            <v>1</v>
          </cell>
        </row>
        <row r="1982">
          <cell r="A1982">
            <v>187101</v>
          </cell>
          <cell r="B1982">
            <v>4</v>
          </cell>
          <cell r="C1982">
            <v>13</v>
          </cell>
          <cell r="D1982">
            <v>1</v>
          </cell>
          <cell r="E1982" t="str">
            <v>FAMILY</v>
          </cell>
          <cell r="F1982" t="str">
            <v>Atwater Village</v>
          </cell>
          <cell r="G1982">
            <v>1</v>
          </cell>
          <cell r="H1982">
            <v>1</v>
          </cell>
          <cell r="I1982">
            <v>10.397</v>
          </cell>
          <cell r="J1982">
            <v>8.8728602300000006</v>
          </cell>
          <cell r="K1982">
            <v>9.8728602300000006</v>
          </cell>
          <cell r="L1982">
            <v>4.5237682294793498</v>
          </cell>
          <cell r="M1982">
            <v>14.3966284594794</v>
          </cell>
          <cell r="N1982">
            <v>1</v>
          </cell>
          <cell r="O1982">
            <v>1</v>
          </cell>
        </row>
        <row r="1983">
          <cell r="A1983">
            <v>195710</v>
          </cell>
          <cell r="B1983">
            <v>4</v>
          </cell>
          <cell r="C1983">
            <v>13</v>
          </cell>
          <cell r="D1983">
            <v>1</v>
          </cell>
          <cell r="E1983" t="str">
            <v>FAMILY</v>
          </cell>
          <cell r="F1983" t="str">
            <v>Echo Park</v>
          </cell>
          <cell r="G1983">
            <v>1</v>
          </cell>
          <cell r="H1983">
            <v>1</v>
          </cell>
          <cell r="I1983">
            <v>45.046999999999997</v>
          </cell>
          <cell r="J1983">
            <v>26.402027289999999</v>
          </cell>
          <cell r="K1983">
            <v>44.402027289999999</v>
          </cell>
          <cell r="L1983">
            <v>0.64404795411131099</v>
          </cell>
          <cell r="M1983">
            <v>45.0460752441113</v>
          </cell>
          <cell r="N1983">
            <v>1</v>
          </cell>
          <cell r="O1983">
            <v>1</v>
          </cell>
        </row>
        <row r="1984">
          <cell r="A1984">
            <v>186401</v>
          </cell>
          <cell r="B1984">
            <v>4</v>
          </cell>
          <cell r="C1984">
            <v>13</v>
          </cell>
          <cell r="D1984">
            <v>1</v>
          </cell>
          <cell r="E1984" t="str">
            <v>INDIV</v>
          </cell>
          <cell r="F1984" t="str">
            <v>Glassell Park</v>
          </cell>
          <cell r="G1984">
            <v>0</v>
          </cell>
          <cell r="H1984">
            <v>0</v>
          </cell>
          <cell r="I1984">
            <v>19.350000000000001</v>
          </cell>
          <cell r="J1984">
            <v>17.308793850000001</v>
          </cell>
          <cell r="K1984">
            <v>18.308793850000001</v>
          </cell>
          <cell r="L1984">
            <v>1.04083281719928</v>
          </cell>
          <cell r="M1984">
            <v>19.349626667199299</v>
          </cell>
          <cell r="N1984">
            <v>8.5106382978723402E-2</v>
          </cell>
          <cell r="O1984">
            <v>0</v>
          </cell>
          <cell r="P1984">
            <v>0.12765957446808501</v>
          </cell>
          <cell r="Q1984">
            <v>0.6</v>
          </cell>
        </row>
        <row r="1985">
          <cell r="A1985">
            <v>211120</v>
          </cell>
          <cell r="B1985">
            <v>4</v>
          </cell>
          <cell r="C1985">
            <v>13</v>
          </cell>
          <cell r="D1985">
            <v>2</v>
          </cell>
          <cell r="E1985" t="str">
            <v>INDIV</v>
          </cell>
          <cell r="F1985" t="str">
            <v>Rampart Village</v>
          </cell>
          <cell r="G1985">
            <v>0</v>
          </cell>
          <cell r="H1985">
            <v>0</v>
          </cell>
          <cell r="I1985">
            <v>49.304000000000002</v>
          </cell>
          <cell r="J1985">
            <v>17.819423019999999</v>
          </cell>
          <cell r="K1985">
            <v>48.819423020000002</v>
          </cell>
          <cell r="L1985">
            <v>0.48458720141831202</v>
          </cell>
          <cell r="M1985">
            <v>49.304010221418302</v>
          </cell>
          <cell r="N1985">
            <v>8.5106382978723402E-2</v>
          </cell>
          <cell r="O1985">
            <v>0</v>
          </cell>
          <cell r="P1985">
            <v>0.12765957446808501</v>
          </cell>
          <cell r="Q1985">
            <v>0.6</v>
          </cell>
        </row>
        <row r="1986">
          <cell r="A1986">
            <v>208401</v>
          </cell>
          <cell r="B1986">
            <v>4</v>
          </cell>
          <cell r="C1986">
            <v>13</v>
          </cell>
          <cell r="D1986">
            <v>1</v>
          </cell>
          <cell r="E1986" t="str">
            <v>INDIV</v>
          </cell>
          <cell r="F1986" t="str">
            <v>Echo Park</v>
          </cell>
          <cell r="G1986">
            <v>0</v>
          </cell>
          <cell r="H1986">
            <v>0</v>
          </cell>
          <cell r="I1986">
            <v>5.6289999999999996</v>
          </cell>
          <cell r="J1986">
            <v>3.5861715599999999</v>
          </cell>
          <cell r="K1986">
            <v>5.5861715600000004</v>
          </cell>
          <cell r="L1986">
            <v>4.2117253842010802E-2</v>
          </cell>
          <cell r="M1986">
            <v>5.6282888138420102</v>
          </cell>
          <cell r="N1986">
            <v>8.5106382978723402E-2</v>
          </cell>
          <cell r="O1986">
            <v>0</v>
          </cell>
          <cell r="P1986">
            <v>0.12765957446808501</v>
          </cell>
          <cell r="Q1986">
            <v>0.6</v>
          </cell>
        </row>
        <row r="1987">
          <cell r="A1987">
            <v>195902</v>
          </cell>
          <cell r="B1987">
            <v>4</v>
          </cell>
          <cell r="C1987">
            <v>13</v>
          </cell>
          <cell r="D1987">
            <v>1</v>
          </cell>
          <cell r="E1987" t="str">
            <v>INDIV</v>
          </cell>
          <cell r="F1987" t="str">
            <v>Silver Lake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8.5106382978723402E-2</v>
          </cell>
          <cell r="O1987">
            <v>0</v>
          </cell>
          <cell r="P1987">
            <v>0.12765957446808501</v>
          </cell>
          <cell r="Q1987">
            <v>0.6</v>
          </cell>
        </row>
        <row r="1988">
          <cell r="A1988">
            <v>190201</v>
          </cell>
          <cell r="B1988">
            <v>4</v>
          </cell>
          <cell r="C1988">
            <v>13</v>
          </cell>
          <cell r="D1988">
            <v>3</v>
          </cell>
          <cell r="E1988" t="str">
            <v>INDIV</v>
          </cell>
          <cell r="F1988" t="str">
            <v>Hollywood Hills West</v>
          </cell>
          <cell r="G1988">
            <v>0</v>
          </cell>
          <cell r="H1988">
            <v>0</v>
          </cell>
          <cell r="I1988">
            <v>16.850999999999999</v>
          </cell>
          <cell r="J1988">
            <v>3.8097598800000001</v>
          </cell>
          <cell r="K1988">
            <v>16.809759880000001</v>
          </cell>
          <cell r="L1988">
            <v>4.1250644165170602E-2</v>
          </cell>
          <cell r="M1988">
            <v>16.851010524165201</v>
          </cell>
          <cell r="N1988">
            <v>8.5106382978723402E-2</v>
          </cell>
          <cell r="O1988">
            <v>0</v>
          </cell>
          <cell r="P1988">
            <v>0.12765957446808501</v>
          </cell>
          <cell r="Q1988">
            <v>0.6</v>
          </cell>
        </row>
        <row r="1989">
          <cell r="A1989">
            <v>190202</v>
          </cell>
          <cell r="B1989">
            <v>4</v>
          </cell>
          <cell r="C1989">
            <v>13</v>
          </cell>
          <cell r="D1989">
            <v>3</v>
          </cell>
          <cell r="E1989" t="str">
            <v>INDIV</v>
          </cell>
          <cell r="F1989" t="str">
            <v>Hollywood Hills West</v>
          </cell>
          <cell r="G1989">
            <v>1</v>
          </cell>
          <cell r="H1989">
            <v>1</v>
          </cell>
          <cell r="I1989">
            <v>38.213999999999999</v>
          </cell>
          <cell r="J1989">
            <v>9.5665461599999997</v>
          </cell>
          <cell r="K1989">
            <v>37.566546160000001</v>
          </cell>
          <cell r="L1989">
            <v>0.64705866872531403</v>
          </cell>
          <cell r="M1989">
            <v>38.213604828725302</v>
          </cell>
          <cell r="N1989">
            <v>8.5106382978723402E-2</v>
          </cell>
          <cell r="O1989">
            <v>11.75</v>
          </cell>
          <cell r="P1989">
            <v>0.12765957446808501</v>
          </cell>
          <cell r="Q1989">
            <v>0.6</v>
          </cell>
        </row>
        <row r="1990">
          <cell r="A1990">
            <v>190100</v>
          </cell>
          <cell r="B1990">
            <v>11</v>
          </cell>
          <cell r="C1990">
            <v>13</v>
          </cell>
          <cell r="D1990">
            <v>3</v>
          </cell>
          <cell r="E1990" t="str">
            <v>INDIV</v>
          </cell>
          <cell r="F1990" t="str">
            <v>Hollywood</v>
          </cell>
          <cell r="G1990">
            <v>1</v>
          </cell>
          <cell r="H1990">
            <v>1</v>
          </cell>
          <cell r="I1990">
            <v>36.389000000000003</v>
          </cell>
          <cell r="J1990">
            <v>16.434903550000001</v>
          </cell>
          <cell r="K1990">
            <v>35.434903550000001</v>
          </cell>
          <cell r="L1990">
            <v>0.95437785156193899</v>
          </cell>
          <cell r="M1990">
            <v>36.389281401561902</v>
          </cell>
          <cell r="N1990">
            <v>0.2</v>
          </cell>
          <cell r="O1990">
            <v>5</v>
          </cell>
          <cell r="P1990">
            <v>0.8</v>
          </cell>
          <cell r="Q1990">
            <v>0.4</v>
          </cell>
        </row>
        <row r="1991">
          <cell r="A1991">
            <v>190510</v>
          </cell>
          <cell r="B1991">
            <v>11</v>
          </cell>
          <cell r="C1991">
            <v>13</v>
          </cell>
          <cell r="D1991">
            <v>3</v>
          </cell>
          <cell r="E1991" t="str">
            <v>INDIV</v>
          </cell>
          <cell r="F1991" t="str">
            <v>Hollywood</v>
          </cell>
          <cell r="G1991">
            <v>0</v>
          </cell>
          <cell r="H1991">
            <v>0</v>
          </cell>
          <cell r="I1991">
            <v>10.926</v>
          </cell>
          <cell r="J1991">
            <v>1.90487994</v>
          </cell>
          <cell r="K1991">
            <v>10.904879940000001</v>
          </cell>
          <cell r="L1991">
            <v>2.0625322082585301E-2</v>
          </cell>
          <cell r="M1991">
            <v>10.9255052620826</v>
          </cell>
          <cell r="N1991">
            <v>0.2</v>
          </cell>
          <cell r="O1991">
            <v>0</v>
          </cell>
          <cell r="P1991">
            <v>0.8</v>
          </cell>
          <cell r="Q1991">
            <v>0.4</v>
          </cell>
        </row>
        <row r="1992">
          <cell r="A1992">
            <v>191110</v>
          </cell>
          <cell r="B1992">
            <v>11</v>
          </cell>
          <cell r="C1992">
            <v>13</v>
          </cell>
          <cell r="D1992">
            <v>3</v>
          </cell>
          <cell r="E1992" t="str">
            <v>INDIV</v>
          </cell>
          <cell r="F1992" t="str">
            <v>Hollywood</v>
          </cell>
          <cell r="G1992">
            <v>0</v>
          </cell>
          <cell r="H1992">
            <v>0</v>
          </cell>
          <cell r="I1992">
            <v>24.213999999999999</v>
          </cell>
          <cell r="J1992">
            <v>5.0957154100000004</v>
          </cell>
          <cell r="K1992">
            <v>24.09571541</v>
          </cell>
          <cell r="L1992">
            <v>0.11796937380610401</v>
          </cell>
          <cell r="M1992">
            <v>24.213684783806102</v>
          </cell>
          <cell r="N1992">
            <v>0.2</v>
          </cell>
          <cell r="O1992">
            <v>0</v>
          </cell>
          <cell r="P1992">
            <v>0.8</v>
          </cell>
          <cell r="Q1992">
            <v>0.4</v>
          </cell>
        </row>
        <row r="1993">
          <cell r="A1993">
            <v>191201</v>
          </cell>
          <cell r="B1993">
            <v>11</v>
          </cell>
          <cell r="C1993">
            <v>13</v>
          </cell>
          <cell r="D1993">
            <v>3</v>
          </cell>
          <cell r="E1993" t="str">
            <v>INDIV</v>
          </cell>
          <cell r="F1993" t="str">
            <v>Hollywood</v>
          </cell>
          <cell r="G1993">
            <v>0</v>
          </cell>
          <cell r="H1993">
            <v>0</v>
          </cell>
          <cell r="I1993">
            <v>29.959</v>
          </cell>
          <cell r="J1993">
            <v>14.79186288</v>
          </cell>
          <cell r="K1993">
            <v>29.79186288</v>
          </cell>
          <cell r="L1993">
            <v>0.166735796014363</v>
          </cell>
          <cell r="M1993">
            <v>29.9585986760144</v>
          </cell>
          <cell r="N1993">
            <v>0.2</v>
          </cell>
          <cell r="O1993">
            <v>0</v>
          </cell>
          <cell r="P1993">
            <v>0.8</v>
          </cell>
          <cell r="Q1993">
            <v>0.4</v>
          </cell>
        </row>
        <row r="1994">
          <cell r="A1994">
            <v>208301</v>
          </cell>
          <cell r="B1994">
            <v>4</v>
          </cell>
          <cell r="C1994">
            <v>13</v>
          </cell>
          <cell r="D1994">
            <v>1</v>
          </cell>
          <cell r="E1994" t="str">
            <v>NON-HS</v>
          </cell>
          <cell r="F1994" t="str">
            <v>Westlake</v>
          </cell>
          <cell r="G1994">
            <v>0</v>
          </cell>
          <cell r="H1994">
            <v>0</v>
          </cell>
          <cell r="I1994">
            <v>2.8079999999999998</v>
          </cell>
          <cell r="J1994">
            <v>1.73313217</v>
          </cell>
          <cell r="K1994">
            <v>2.7331321700000002</v>
          </cell>
          <cell r="L1994">
            <v>7.4985510287253102E-2</v>
          </cell>
          <cell r="M1994">
            <v>2.8081176802872498</v>
          </cell>
          <cell r="N1994">
            <v>2.6315789473684199E-2</v>
          </cell>
          <cell r="O1994">
            <v>0</v>
          </cell>
          <cell r="P1994">
            <v>0.144736842105263</v>
          </cell>
          <cell r="Q1994">
            <v>0.6875</v>
          </cell>
          <cell r="R1994">
            <v>9.0909090909090898E-2</v>
          </cell>
          <cell r="S1994">
            <v>0</v>
          </cell>
        </row>
        <row r="1995">
          <cell r="A1995">
            <v>208302</v>
          </cell>
          <cell r="B1995">
            <v>4</v>
          </cell>
          <cell r="C1995">
            <v>13</v>
          </cell>
          <cell r="D1995">
            <v>1</v>
          </cell>
          <cell r="E1995" t="str">
            <v>NON-HS</v>
          </cell>
          <cell r="F1995" t="str">
            <v>Westlake</v>
          </cell>
          <cell r="G1995">
            <v>0</v>
          </cell>
          <cell r="H1995">
            <v>0</v>
          </cell>
          <cell r="I1995">
            <v>3.6859999999999999</v>
          </cell>
          <cell r="J1995">
            <v>3.4228962300000001</v>
          </cell>
          <cell r="K1995">
            <v>3.4228962300000001</v>
          </cell>
          <cell r="L1995">
            <v>0.26262460752244199</v>
          </cell>
          <cell r="M1995">
            <v>3.6855208375224402</v>
          </cell>
          <cell r="N1995">
            <v>2.6315789473684199E-2</v>
          </cell>
          <cell r="O1995">
            <v>0</v>
          </cell>
          <cell r="P1995">
            <v>0.144736842105263</v>
          </cell>
          <cell r="Q1995">
            <v>0.6875</v>
          </cell>
          <cell r="R1995">
            <v>9.0909090909090898E-2</v>
          </cell>
          <cell r="S1995">
            <v>0</v>
          </cell>
        </row>
        <row r="1996">
          <cell r="A1996">
            <v>208502</v>
          </cell>
          <cell r="B1996">
            <v>4</v>
          </cell>
          <cell r="C1996">
            <v>13</v>
          </cell>
          <cell r="D1996">
            <v>1</v>
          </cell>
          <cell r="E1996" t="str">
            <v>NON-HS</v>
          </cell>
          <cell r="F1996" t="str">
            <v>Echo Park</v>
          </cell>
          <cell r="G1996">
            <v>0</v>
          </cell>
          <cell r="H1996">
            <v>0</v>
          </cell>
          <cell r="I1996">
            <v>19.106999999999999</v>
          </cell>
          <cell r="J1996">
            <v>16.103738750000002</v>
          </cell>
          <cell r="K1996">
            <v>18.103738750000002</v>
          </cell>
          <cell r="L1996">
            <v>1.00222750775583</v>
          </cell>
          <cell r="M1996">
            <v>19.105966257755799</v>
          </cell>
          <cell r="N1996">
            <v>2.6315789473684199E-2</v>
          </cell>
          <cell r="O1996">
            <v>0</v>
          </cell>
          <cell r="P1996">
            <v>0.144736842105263</v>
          </cell>
          <cell r="Q1996">
            <v>0.6875</v>
          </cell>
          <cell r="R1996">
            <v>9.0909090909090898E-2</v>
          </cell>
          <cell r="S1996">
            <v>0</v>
          </cell>
        </row>
        <row r="1997">
          <cell r="A1997">
            <v>208610</v>
          </cell>
          <cell r="B1997">
            <v>4</v>
          </cell>
          <cell r="C1997">
            <v>13</v>
          </cell>
          <cell r="D1997">
            <v>1</v>
          </cell>
          <cell r="E1997" t="str">
            <v>NON-HS</v>
          </cell>
          <cell r="F1997" t="str">
            <v>Rampart Village</v>
          </cell>
          <cell r="G1997">
            <v>0</v>
          </cell>
          <cell r="H1997">
            <v>1</v>
          </cell>
          <cell r="I1997">
            <v>21.806000000000001</v>
          </cell>
          <cell r="J1997">
            <v>15.18596148</v>
          </cell>
          <cell r="K1997">
            <v>21.18596148</v>
          </cell>
          <cell r="L1997">
            <v>0.61947219251346497</v>
          </cell>
          <cell r="M1997">
            <v>21.805433672513502</v>
          </cell>
          <cell r="N1997">
            <v>2.6315789473684199E-2</v>
          </cell>
          <cell r="O1997">
            <v>0</v>
          </cell>
          <cell r="P1997">
            <v>0.144736842105263</v>
          </cell>
          <cell r="Q1997">
            <v>0.6875</v>
          </cell>
          <cell r="R1997">
            <v>9.0909090909090898E-2</v>
          </cell>
          <cell r="S1997">
            <v>11</v>
          </cell>
        </row>
        <row r="1998">
          <cell r="A1998">
            <v>208620</v>
          </cell>
          <cell r="B1998">
            <v>4</v>
          </cell>
          <cell r="C1998">
            <v>13</v>
          </cell>
          <cell r="D1998">
            <v>1</v>
          </cell>
          <cell r="E1998" t="str">
            <v>NON-HS</v>
          </cell>
          <cell r="F1998" t="str">
            <v>Rampart Village</v>
          </cell>
          <cell r="G1998">
            <v>0</v>
          </cell>
          <cell r="H1998">
            <v>0</v>
          </cell>
          <cell r="I1998">
            <v>8.8190000000000008</v>
          </cell>
          <cell r="J1998">
            <v>7.5535708799999997</v>
          </cell>
          <cell r="K1998">
            <v>8.5535708800000005</v>
          </cell>
          <cell r="L1998">
            <v>0.26446245660682199</v>
          </cell>
          <cell r="M1998">
            <v>8.8180333366068204</v>
          </cell>
          <cell r="N1998">
            <v>2.6315789473684199E-2</v>
          </cell>
          <cell r="O1998">
            <v>0</v>
          </cell>
          <cell r="P1998">
            <v>0.144736842105263</v>
          </cell>
          <cell r="Q1998">
            <v>0.6875</v>
          </cell>
          <cell r="R1998">
            <v>9.0909090909090898E-2</v>
          </cell>
          <cell r="S1998">
            <v>0</v>
          </cell>
        </row>
        <row r="1999">
          <cell r="A1999">
            <v>211201</v>
          </cell>
          <cell r="B1999">
            <v>4</v>
          </cell>
          <cell r="C1999">
            <v>13</v>
          </cell>
          <cell r="D1999">
            <v>2</v>
          </cell>
          <cell r="E1999" t="str">
            <v>NON-HS</v>
          </cell>
          <cell r="F1999" t="str">
            <v>Wilshire Center-Koreatown</v>
          </cell>
          <cell r="G1999">
            <v>0</v>
          </cell>
          <cell r="H1999">
            <v>0</v>
          </cell>
          <cell r="I1999">
            <v>1.9259999999999999</v>
          </cell>
          <cell r="J1999">
            <v>1.90487994</v>
          </cell>
          <cell r="K1999">
            <v>1.90487994</v>
          </cell>
          <cell r="L1999">
            <v>2.0625322082585301E-2</v>
          </cell>
          <cell r="M1999">
            <v>1.9255052620825901</v>
          </cell>
          <cell r="N1999">
            <v>2.6315789473684199E-2</v>
          </cell>
          <cell r="O1999">
            <v>0</v>
          </cell>
          <cell r="P1999">
            <v>0.144736842105263</v>
          </cell>
          <cell r="Q1999">
            <v>0.6875</v>
          </cell>
          <cell r="R1999">
            <v>9.0909090909090898E-2</v>
          </cell>
          <cell r="S1999">
            <v>0</v>
          </cell>
        </row>
        <row r="2000">
          <cell r="A2000">
            <v>211202</v>
          </cell>
          <cell r="B2000">
            <v>4</v>
          </cell>
          <cell r="C2000">
            <v>13</v>
          </cell>
          <cell r="D2000">
            <v>2</v>
          </cell>
          <cell r="E2000" t="str">
            <v>NON-HS</v>
          </cell>
          <cell r="F2000" t="str">
            <v>Wilshire Center-Koreatown</v>
          </cell>
          <cell r="G2000">
            <v>0</v>
          </cell>
          <cell r="H2000">
            <v>0</v>
          </cell>
          <cell r="I2000">
            <v>2.9260000000000002</v>
          </cell>
          <cell r="J2000">
            <v>1.90487994</v>
          </cell>
          <cell r="K2000">
            <v>2.9048799399999998</v>
          </cell>
          <cell r="L2000">
            <v>2.0625322082585301E-2</v>
          </cell>
          <cell r="M2000">
            <v>2.9255052620825901</v>
          </cell>
          <cell r="N2000">
            <v>2.6315789473684199E-2</v>
          </cell>
          <cell r="O2000">
            <v>0</v>
          </cell>
          <cell r="P2000">
            <v>0.144736842105263</v>
          </cell>
          <cell r="Q2000">
            <v>0.6875</v>
          </cell>
          <cell r="R2000">
            <v>9.0909090909090898E-2</v>
          </cell>
          <cell r="S2000">
            <v>0</v>
          </cell>
        </row>
        <row r="2001">
          <cell r="A2001">
            <v>211310</v>
          </cell>
          <cell r="B2001">
            <v>4</v>
          </cell>
          <cell r="C2001">
            <v>13</v>
          </cell>
          <cell r="D2001">
            <v>2</v>
          </cell>
          <cell r="E2001" t="str">
            <v>NON-HS</v>
          </cell>
          <cell r="F2001" t="str">
            <v>Wilshire Center-Koreatown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2.6315789473684199E-2</v>
          </cell>
          <cell r="O2001">
            <v>0</v>
          </cell>
          <cell r="P2001">
            <v>0.144736842105263</v>
          </cell>
          <cell r="Q2001">
            <v>0.6875</v>
          </cell>
          <cell r="R2001">
            <v>9.0909090909090898E-2</v>
          </cell>
          <cell r="S2001">
            <v>0</v>
          </cell>
        </row>
        <row r="2002">
          <cell r="A2002">
            <v>211320</v>
          </cell>
          <cell r="B2002">
            <v>4</v>
          </cell>
          <cell r="C2002">
            <v>13</v>
          </cell>
          <cell r="D2002">
            <v>2</v>
          </cell>
          <cell r="E2002" t="str">
            <v>NON-HS</v>
          </cell>
          <cell r="F2002" t="str">
            <v>Wilshire Center-Koreatown</v>
          </cell>
          <cell r="G2002">
            <v>0</v>
          </cell>
          <cell r="H2002">
            <v>0</v>
          </cell>
          <cell r="I2002">
            <v>7.6120000000000001</v>
          </cell>
          <cell r="J2002">
            <v>5.3277761699999999</v>
          </cell>
          <cell r="K2002">
            <v>7.3277761699999999</v>
          </cell>
          <cell r="L2002">
            <v>0.28324992960502698</v>
          </cell>
          <cell r="M2002">
            <v>7.6110260996050298</v>
          </cell>
          <cell r="N2002">
            <v>2.6315789473684199E-2</v>
          </cell>
          <cell r="O2002">
            <v>0</v>
          </cell>
          <cell r="P2002">
            <v>0.144736842105263</v>
          </cell>
          <cell r="Q2002">
            <v>0.6875</v>
          </cell>
          <cell r="R2002">
            <v>9.0909090909090898E-2</v>
          </cell>
          <cell r="S2002">
            <v>0</v>
          </cell>
        </row>
        <row r="2003">
          <cell r="A2003">
            <v>186301</v>
          </cell>
          <cell r="B2003">
            <v>4</v>
          </cell>
          <cell r="C2003">
            <v>13</v>
          </cell>
          <cell r="D2003">
            <v>1</v>
          </cell>
          <cell r="E2003" t="str">
            <v>NON-HS</v>
          </cell>
          <cell r="F2003" t="str">
            <v>Glassell Park</v>
          </cell>
          <cell r="G2003">
            <v>0</v>
          </cell>
          <cell r="H2003">
            <v>0</v>
          </cell>
          <cell r="I2003">
            <v>2.9260000000000002</v>
          </cell>
          <cell r="J2003">
            <v>1.90487994</v>
          </cell>
          <cell r="K2003">
            <v>2.9048799399999998</v>
          </cell>
          <cell r="L2003">
            <v>2.0625322082585301E-2</v>
          </cell>
          <cell r="M2003">
            <v>2.9255052620825901</v>
          </cell>
          <cell r="N2003">
            <v>2.6315789473684199E-2</v>
          </cell>
          <cell r="O2003">
            <v>0</v>
          </cell>
          <cell r="P2003">
            <v>0.144736842105263</v>
          </cell>
          <cell r="Q2003">
            <v>0.6875</v>
          </cell>
          <cell r="R2003">
            <v>9.0909090909090898E-2</v>
          </cell>
          <cell r="S2003">
            <v>0</v>
          </cell>
        </row>
        <row r="2004">
          <cell r="A2004">
            <v>190401</v>
          </cell>
          <cell r="B2004">
            <v>4</v>
          </cell>
          <cell r="C2004">
            <v>13</v>
          </cell>
          <cell r="D2004">
            <v>3</v>
          </cell>
          <cell r="E2004" t="str">
            <v>NON-HS</v>
          </cell>
          <cell r="F2004" t="str">
            <v>Los Feliz</v>
          </cell>
          <cell r="G2004">
            <v>0</v>
          </cell>
          <cell r="H2004">
            <v>0</v>
          </cell>
          <cell r="I2004">
            <v>5.1079999999999997</v>
          </cell>
          <cell r="J2004">
            <v>5.0438748599999998</v>
          </cell>
          <cell r="K2004">
            <v>5.0438748599999998</v>
          </cell>
          <cell r="L2004">
            <v>6.4475795278276501E-2</v>
          </cell>
          <cell r="M2004">
            <v>5.1083506552782803</v>
          </cell>
          <cell r="N2004">
            <v>2.6315789473684199E-2</v>
          </cell>
          <cell r="O2004">
            <v>0</v>
          </cell>
          <cell r="P2004">
            <v>0.144736842105263</v>
          </cell>
          <cell r="Q2004">
            <v>0.6875</v>
          </cell>
          <cell r="R2004">
            <v>9.0909090909090898E-2</v>
          </cell>
          <cell r="S2004">
            <v>0</v>
          </cell>
        </row>
        <row r="2005">
          <cell r="A2005">
            <v>190402</v>
          </cell>
          <cell r="B2005">
            <v>4</v>
          </cell>
          <cell r="C2005">
            <v>13</v>
          </cell>
          <cell r="D2005">
            <v>3</v>
          </cell>
          <cell r="E2005" t="str">
            <v>NON-HS</v>
          </cell>
          <cell r="F2005" t="str">
            <v>Los Feliz</v>
          </cell>
          <cell r="G2005">
            <v>0</v>
          </cell>
          <cell r="H2005">
            <v>0</v>
          </cell>
          <cell r="I2005">
            <v>6.8079999999999998</v>
          </cell>
          <cell r="J2005">
            <v>1.73313217</v>
          </cell>
          <cell r="K2005">
            <v>6.7331321700000002</v>
          </cell>
          <cell r="L2005">
            <v>7.4985510287253102E-2</v>
          </cell>
          <cell r="M2005">
            <v>6.8081176802872498</v>
          </cell>
          <cell r="N2005">
            <v>2.6315789473684199E-2</v>
          </cell>
          <cell r="O2005">
            <v>0</v>
          </cell>
          <cell r="P2005">
            <v>0.144736842105263</v>
          </cell>
          <cell r="Q2005">
            <v>0.6875</v>
          </cell>
          <cell r="R2005">
            <v>9.0909090909090898E-2</v>
          </cell>
          <cell r="S2005">
            <v>0</v>
          </cell>
        </row>
        <row r="2006">
          <cell r="A2006">
            <v>188300</v>
          </cell>
          <cell r="B2006">
            <v>4</v>
          </cell>
          <cell r="C2006">
            <v>13</v>
          </cell>
          <cell r="D2006">
            <v>3</v>
          </cell>
          <cell r="E2006" t="str">
            <v>NON-HS</v>
          </cell>
          <cell r="F2006" t="str">
            <v>Atwater Village</v>
          </cell>
          <cell r="G2006">
            <v>0</v>
          </cell>
          <cell r="H2006">
            <v>1</v>
          </cell>
          <cell r="I2006">
            <v>6.2759999999999998</v>
          </cell>
          <cell r="J2006">
            <v>4.8620928000000001</v>
          </cell>
          <cell r="K2006">
            <v>5.8620928000000001</v>
          </cell>
          <cell r="L2006">
            <v>0.414076613662478</v>
          </cell>
          <cell r="M2006">
            <v>6.2761694136624797</v>
          </cell>
          <cell r="N2006">
            <v>2.6315789473684199E-2</v>
          </cell>
          <cell r="O2006">
            <v>0</v>
          </cell>
          <cell r="P2006">
            <v>0.144736842105263</v>
          </cell>
          <cell r="Q2006">
            <v>0.6875</v>
          </cell>
          <cell r="R2006">
            <v>9.0909090909090898E-2</v>
          </cell>
          <cell r="S2006">
            <v>11</v>
          </cell>
        </row>
        <row r="2007">
          <cell r="A2007">
            <v>192510</v>
          </cell>
          <cell r="B2007">
            <v>4</v>
          </cell>
          <cell r="C2007">
            <v>13</v>
          </cell>
          <cell r="D2007">
            <v>2</v>
          </cell>
          <cell r="E2007" t="str">
            <v>NON-HS</v>
          </cell>
          <cell r="F2007" t="str">
            <v>Wilshire Center-Koreatown</v>
          </cell>
          <cell r="G2007">
            <v>0</v>
          </cell>
          <cell r="H2007">
            <v>0</v>
          </cell>
          <cell r="I2007">
            <v>14.574</v>
          </cell>
          <cell r="J2007">
            <v>12.059297300000001</v>
          </cell>
          <cell r="K2007">
            <v>14.059297300000001</v>
          </cell>
          <cell r="L2007">
            <v>0.51475099910233402</v>
          </cell>
          <cell r="M2007">
            <v>14.5740482991023</v>
          </cell>
          <cell r="N2007">
            <v>2.6315789473684199E-2</v>
          </cell>
          <cell r="O2007">
            <v>0</v>
          </cell>
          <cell r="P2007">
            <v>0.144736842105263</v>
          </cell>
          <cell r="Q2007">
            <v>0.6875</v>
          </cell>
          <cell r="R2007">
            <v>9.0909090909090898E-2</v>
          </cell>
          <cell r="S2007">
            <v>0</v>
          </cell>
        </row>
        <row r="2008">
          <cell r="A2008">
            <v>192520</v>
          </cell>
          <cell r="B2008">
            <v>4</v>
          </cell>
          <cell r="C2008">
            <v>13</v>
          </cell>
          <cell r="D2008">
            <v>2</v>
          </cell>
          <cell r="E2008" t="str">
            <v>NON-HS</v>
          </cell>
          <cell r="F2008" t="str">
            <v>Wilshire Center-Koreatown</v>
          </cell>
          <cell r="G2008">
            <v>0</v>
          </cell>
          <cell r="H2008">
            <v>0</v>
          </cell>
          <cell r="I2008">
            <v>1</v>
          </cell>
          <cell r="J2008">
            <v>0</v>
          </cell>
          <cell r="K2008">
            <v>1</v>
          </cell>
          <cell r="L2008">
            <v>0</v>
          </cell>
          <cell r="M2008">
            <v>1</v>
          </cell>
          <cell r="N2008">
            <v>2.6315789473684199E-2</v>
          </cell>
          <cell r="O2008">
            <v>0</v>
          </cell>
          <cell r="P2008">
            <v>0.144736842105263</v>
          </cell>
          <cell r="Q2008">
            <v>0.6875</v>
          </cell>
          <cell r="R2008">
            <v>9.0909090909090898E-2</v>
          </cell>
          <cell r="S2008">
            <v>0</v>
          </cell>
        </row>
        <row r="2009">
          <cell r="A2009">
            <v>195500</v>
          </cell>
          <cell r="B2009">
            <v>4</v>
          </cell>
          <cell r="C2009">
            <v>13</v>
          </cell>
          <cell r="D2009">
            <v>1</v>
          </cell>
          <cell r="E2009" t="str">
            <v>NON-HS</v>
          </cell>
          <cell r="F2009" t="str">
            <v>Silver Lake</v>
          </cell>
          <cell r="G2009">
            <v>0</v>
          </cell>
          <cell r="H2009">
            <v>0</v>
          </cell>
          <cell r="I2009">
            <v>21.867999999999999</v>
          </cell>
          <cell r="J2009">
            <v>18.43834743</v>
          </cell>
          <cell r="K2009">
            <v>21.43834743</v>
          </cell>
          <cell r="L2009">
            <v>0.428493793859964</v>
          </cell>
          <cell r="M2009">
            <v>21.86684122386</v>
          </cell>
          <cell r="N2009">
            <v>2.6315789473684199E-2</v>
          </cell>
          <cell r="O2009">
            <v>0</v>
          </cell>
          <cell r="P2009">
            <v>0.144736842105263</v>
          </cell>
          <cell r="Q2009">
            <v>0.6875</v>
          </cell>
          <cell r="R2009">
            <v>9.0909090909090898E-2</v>
          </cell>
          <cell r="S2009">
            <v>0</v>
          </cell>
        </row>
        <row r="2010">
          <cell r="A2010">
            <v>195803</v>
          </cell>
          <cell r="B2010">
            <v>4</v>
          </cell>
          <cell r="C2010">
            <v>13</v>
          </cell>
          <cell r="D2010">
            <v>1</v>
          </cell>
          <cell r="E2010" t="str">
            <v>NON-HS</v>
          </cell>
          <cell r="F2010" t="str">
            <v>Silver Lake</v>
          </cell>
          <cell r="G2010">
            <v>0</v>
          </cell>
          <cell r="H2010">
            <v>0</v>
          </cell>
          <cell r="I2010">
            <v>6.19</v>
          </cell>
          <cell r="J2010">
            <v>3.9673993200000002</v>
          </cell>
          <cell r="K2010">
            <v>5.9673993200000002</v>
          </cell>
          <cell r="L2010">
            <v>0.22234520276481101</v>
          </cell>
          <cell r="M2010">
            <v>6.1897445227648102</v>
          </cell>
          <cell r="N2010">
            <v>2.6315789473684199E-2</v>
          </cell>
          <cell r="O2010">
            <v>0</v>
          </cell>
          <cell r="P2010">
            <v>0.144736842105263</v>
          </cell>
          <cell r="Q2010">
            <v>0.6875</v>
          </cell>
          <cell r="R2010">
            <v>9.0909090909090898E-2</v>
          </cell>
          <cell r="S2010">
            <v>0</v>
          </cell>
        </row>
        <row r="2011">
          <cell r="A2011">
            <v>195901</v>
          </cell>
          <cell r="B2011">
            <v>4</v>
          </cell>
          <cell r="C2011">
            <v>13</v>
          </cell>
          <cell r="D2011">
            <v>1</v>
          </cell>
          <cell r="E2011" t="str">
            <v>NON-HS</v>
          </cell>
          <cell r="F2011" t="str">
            <v>Silver Lake</v>
          </cell>
          <cell r="G2011">
            <v>0</v>
          </cell>
          <cell r="H2011">
            <v>0</v>
          </cell>
          <cell r="I2011">
            <v>7.4939999999999998</v>
          </cell>
          <cell r="J2011">
            <v>5.1560284000000003</v>
          </cell>
          <cell r="K2011">
            <v>7.1560284000000003</v>
          </cell>
          <cell r="L2011">
            <v>0.33761011780969502</v>
          </cell>
          <cell r="M2011">
            <v>7.4936385178096998</v>
          </cell>
          <cell r="N2011">
            <v>2.6315789473684199E-2</v>
          </cell>
          <cell r="O2011">
            <v>0</v>
          </cell>
          <cell r="P2011">
            <v>0.144736842105263</v>
          </cell>
          <cell r="Q2011">
            <v>0.6875</v>
          </cell>
          <cell r="R2011">
            <v>9.0909090909090898E-2</v>
          </cell>
          <cell r="S2011">
            <v>0</v>
          </cell>
        </row>
        <row r="2012">
          <cell r="A2012">
            <v>197200</v>
          </cell>
          <cell r="B2012">
            <v>4</v>
          </cell>
          <cell r="C2012">
            <v>13</v>
          </cell>
          <cell r="D2012">
            <v>1</v>
          </cell>
          <cell r="E2012" t="str">
            <v>NON-HS</v>
          </cell>
          <cell r="F2012" t="str">
            <v>Elysian Valley</v>
          </cell>
          <cell r="G2012">
            <v>0</v>
          </cell>
          <cell r="H2012">
            <v>0</v>
          </cell>
          <cell r="I2012">
            <v>20.446999999999999</v>
          </cell>
          <cell r="J2012">
            <v>12.35201125</v>
          </cell>
          <cell r="K2012">
            <v>19.35201125</v>
          </cell>
          <cell r="L2012">
            <v>1.09487014850987</v>
          </cell>
          <cell r="M2012">
            <v>20.446881398509898</v>
          </cell>
          <cell r="N2012">
            <v>2.6315789473684199E-2</v>
          </cell>
          <cell r="O2012">
            <v>0</v>
          </cell>
          <cell r="P2012">
            <v>0.144736842105263</v>
          </cell>
          <cell r="Q2012">
            <v>0.6875</v>
          </cell>
          <cell r="R2012">
            <v>9.0909090909090898E-2</v>
          </cell>
          <cell r="S2012">
            <v>0</v>
          </cell>
        </row>
        <row r="2013">
          <cell r="A2013">
            <v>197300</v>
          </cell>
          <cell r="B2013">
            <v>4</v>
          </cell>
          <cell r="C2013">
            <v>13</v>
          </cell>
          <cell r="D2013">
            <v>1</v>
          </cell>
          <cell r="E2013" t="str">
            <v>NON-HS</v>
          </cell>
          <cell r="F2013" t="str">
            <v>Echo Park</v>
          </cell>
          <cell r="G2013">
            <v>0</v>
          </cell>
          <cell r="H2013">
            <v>0</v>
          </cell>
          <cell r="I2013">
            <v>1.7030000000000001</v>
          </cell>
          <cell r="J2013">
            <v>1.6812916200000001</v>
          </cell>
          <cell r="K2013">
            <v>1.6812916200000001</v>
          </cell>
          <cell r="L2013">
            <v>2.14919317594255E-2</v>
          </cell>
          <cell r="M2013">
            <v>1.7027835517594301</v>
          </cell>
          <cell r="N2013">
            <v>2.6315789473684199E-2</v>
          </cell>
          <cell r="O2013">
            <v>0</v>
          </cell>
          <cell r="P2013">
            <v>0.144736842105263</v>
          </cell>
          <cell r="Q2013">
            <v>0.6875</v>
          </cell>
          <cell r="R2013">
            <v>9.0909090909090898E-2</v>
          </cell>
          <cell r="S2013">
            <v>0</v>
          </cell>
        </row>
        <row r="2014">
          <cell r="A2014">
            <v>197410</v>
          </cell>
          <cell r="B2014">
            <v>4</v>
          </cell>
          <cell r="C2014">
            <v>13</v>
          </cell>
          <cell r="D2014">
            <v>1</v>
          </cell>
          <cell r="E2014" t="str">
            <v>NON-HS</v>
          </cell>
          <cell r="F2014" t="str">
            <v>Echo Park</v>
          </cell>
          <cell r="G2014">
            <v>0</v>
          </cell>
          <cell r="H2014">
            <v>0</v>
          </cell>
          <cell r="I2014">
            <v>8.4939999999999998</v>
          </cell>
          <cell r="J2014">
            <v>5.1560284000000003</v>
          </cell>
          <cell r="K2014">
            <v>8.1560284000000003</v>
          </cell>
          <cell r="L2014">
            <v>0.33761011780969502</v>
          </cell>
          <cell r="M2014">
            <v>8.4936385178096891</v>
          </cell>
          <cell r="N2014">
            <v>2.6315789473684199E-2</v>
          </cell>
          <cell r="O2014">
            <v>0</v>
          </cell>
          <cell r="P2014">
            <v>0.144736842105263</v>
          </cell>
          <cell r="Q2014">
            <v>0.6875</v>
          </cell>
          <cell r="R2014">
            <v>9.0909090909090898E-2</v>
          </cell>
          <cell r="S2014">
            <v>0</v>
          </cell>
        </row>
        <row r="2015">
          <cell r="A2015">
            <v>197420</v>
          </cell>
          <cell r="B2015">
            <v>4</v>
          </cell>
          <cell r="C2015">
            <v>13</v>
          </cell>
          <cell r="D2015">
            <v>1</v>
          </cell>
          <cell r="E2015" t="str">
            <v>NON-HS</v>
          </cell>
          <cell r="F2015" t="str">
            <v>Echo Park</v>
          </cell>
          <cell r="G2015">
            <v>0</v>
          </cell>
          <cell r="H2015">
            <v>0</v>
          </cell>
          <cell r="I2015">
            <v>4</v>
          </cell>
          <cell r="J2015">
            <v>0</v>
          </cell>
          <cell r="K2015">
            <v>4</v>
          </cell>
          <cell r="L2015">
            <v>0</v>
          </cell>
          <cell r="M2015">
            <v>4</v>
          </cell>
          <cell r="N2015">
            <v>2.6315789473684199E-2</v>
          </cell>
          <cell r="O2015">
            <v>0</v>
          </cell>
          <cell r="P2015">
            <v>0.144736842105263</v>
          </cell>
          <cell r="Q2015">
            <v>0.6875</v>
          </cell>
          <cell r="R2015">
            <v>9.0909090909090898E-2</v>
          </cell>
          <cell r="S2015">
            <v>0</v>
          </cell>
        </row>
        <row r="2016">
          <cell r="A2016">
            <v>190301</v>
          </cell>
          <cell r="B2016">
            <v>11</v>
          </cell>
          <cell r="C2016">
            <v>13</v>
          </cell>
          <cell r="D2016">
            <v>3</v>
          </cell>
          <cell r="E2016" t="str">
            <v>NON-HS</v>
          </cell>
          <cell r="F2016" t="str">
            <v>Hollywood</v>
          </cell>
          <cell r="G2016">
            <v>0</v>
          </cell>
          <cell r="H2016">
            <v>0</v>
          </cell>
          <cell r="I2016">
            <v>5.9260000000000002</v>
          </cell>
          <cell r="J2016">
            <v>1.90487994</v>
          </cell>
          <cell r="K2016">
            <v>5.9048799399999998</v>
          </cell>
          <cell r="L2016">
            <v>2.0625322082585301E-2</v>
          </cell>
          <cell r="M2016">
            <v>5.9255052620825897</v>
          </cell>
          <cell r="N2016">
            <v>7.69230769230769E-2</v>
          </cell>
          <cell r="O2016">
            <v>0</v>
          </cell>
          <cell r="P2016">
            <v>0.76923076923076905</v>
          </cell>
          <cell r="Q2016">
            <v>0.3125</v>
          </cell>
        </row>
        <row r="2017">
          <cell r="A2017">
            <v>190520</v>
          </cell>
          <cell r="B2017">
            <v>11</v>
          </cell>
          <cell r="C2017">
            <v>13</v>
          </cell>
          <cell r="D2017">
            <v>3</v>
          </cell>
          <cell r="E2017" t="str">
            <v>NON-HS</v>
          </cell>
          <cell r="F2017" t="str">
            <v>Hollywood</v>
          </cell>
          <cell r="G2017">
            <v>0</v>
          </cell>
          <cell r="H2017">
            <v>0</v>
          </cell>
          <cell r="I2017">
            <v>1.8080000000000001</v>
          </cell>
          <cell r="J2017">
            <v>1.73313217</v>
          </cell>
          <cell r="K2017">
            <v>1.73313217</v>
          </cell>
          <cell r="L2017">
            <v>7.4985510287253102E-2</v>
          </cell>
          <cell r="M2017">
            <v>1.8081176802872501</v>
          </cell>
          <cell r="N2017">
            <v>7.69230769230769E-2</v>
          </cell>
          <cell r="O2017">
            <v>0</v>
          </cell>
          <cell r="P2017">
            <v>0.76923076923076905</v>
          </cell>
          <cell r="Q2017">
            <v>0.3125</v>
          </cell>
        </row>
        <row r="2018">
          <cell r="A2018">
            <v>190902</v>
          </cell>
          <cell r="B2018">
            <v>11</v>
          </cell>
          <cell r="C2018">
            <v>13</v>
          </cell>
          <cell r="D2018">
            <v>3</v>
          </cell>
          <cell r="E2018" t="str">
            <v>NON-HS</v>
          </cell>
          <cell r="F2018" t="str">
            <v>Hollywood</v>
          </cell>
          <cell r="G2018">
            <v>1</v>
          </cell>
          <cell r="H2018">
            <v>1</v>
          </cell>
          <cell r="I2018">
            <v>28.312000000000001</v>
          </cell>
          <cell r="J2018">
            <v>24.03006495</v>
          </cell>
          <cell r="K2018">
            <v>27.03006495</v>
          </cell>
          <cell r="L2018">
            <v>1.2807707478096999</v>
          </cell>
          <cell r="M2018">
            <v>28.310835697809701</v>
          </cell>
          <cell r="N2018">
            <v>7.69230769230769E-2</v>
          </cell>
          <cell r="O2018">
            <v>13</v>
          </cell>
          <cell r="P2018">
            <v>0.76923076923076905</v>
          </cell>
          <cell r="Q2018">
            <v>0.3125</v>
          </cell>
        </row>
        <row r="2019">
          <cell r="A2019">
            <v>191203</v>
          </cell>
          <cell r="B2019">
            <v>11</v>
          </cell>
          <cell r="C2019">
            <v>13</v>
          </cell>
          <cell r="D2019">
            <v>3</v>
          </cell>
          <cell r="E2019" t="str">
            <v>NON-HS</v>
          </cell>
          <cell r="F2019" t="str">
            <v>Hollywood</v>
          </cell>
          <cell r="G2019">
            <v>0</v>
          </cell>
          <cell r="H2019">
            <v>0</v>
          </cell>
          <cell r="I2019">
            <v>24.521999999999998</v>
          </cell>
          <cell r="J2019">
            <v>19.325627430000001</v>
          </cell>
          <cell r="K2019">
            <v>23.325627430000001</v>
          </cell>
          <cell r="L2019">
            <v>1.1964111436265701</v>
          </cell>
          <cell r="M2019">
            <v>24.522038573626599</v>
          </cell>
          <cell r="N2019">
            <v>7.69230769230769E-2</v>
          </cell>
          <cell r="O2019">
            <v>0</v>
          </cell>
          <cell r="P2019">
            <v>0.76923076923076905</v>
          </cell>
          <cell r="Q2019">
            <v>0.3125</v>
          </cell>
        </row>
        <row r="2020">
          <cell r="A2020">
            <v>191204</v>
          </cell>
          <cell r="B2020">
            <v>11</v>
          </cell>
          <cell r="C2020">
            <v>13</v>
          </cell>
          <cell r="D2020">
            <v>3</v>
          </cell>
          <cell r="E2020" t="str">
            <v>NON-HS</v>
          </cell>
          <cell r="F2020" t="str">
            <v>Hollywood</v>
          </cell>
          <cell r="G2020">
            <v>0</v>
          </cell>
          <cell r="H2020">
            <v>0</v>
          </cell>
          <cell r="I2020">
            <v>6.9889999999999999</v>
          </cell>
          <cell r="J2020">
            <v>4.6115253100000002</v>
          </cell>
          <cell r="K2020">
            <v>6.6115253100000002</v>
          </cell>
          <cell r="L2020">
            <v>0.377889522567325</v>
          </cell>
          <cell r="M2020">
            <v>6.9894148325673298</v>
          </cell>
          <cell r="N2020">
            <v>7.69230769230769E-2</v>
          </cell>
          <cell r="O2020">
            <v>0</v>
          </cell>
          <cell r="P2020">
            <v>0.76923076923076905</v>
          </cell>
          <cell r="Q2020">
            <v>0.3125</v>
          </cell>
        </row>
        <row r="2021">
          <cell r="A2021">
            <v>191302</v>
          </cell>
          <cell r="B2021">
            <v>11</v>
          </cell>
          <cell r="C2021">
            <v>13</v>
          </cell>
          <cell r="D2021">
            <v>3</v>
          </cell>
          <cell r="E2021" t="str">
            <v>NON-HS</v>
          </cell>
          <cell r="F2021" t="str">
            <v>Hollywood</v>
          </cell>
          <cell r="G2021">
            <v>0</v>
          </cell>
          <cell r="H2021">
            <v>0</v>
          </cell>
          <cell r="I2021">
            <v>24.010999999999999</v>
          </cell>
          <cell r="J2021">
            <v>14.698934830000001</v>
          </cell>
          <cell r="K2021">
            <v>23.698934829999999</v>
          </cell>
          <cell r="L2021">
            <v>0.31164326351885102</v>
          </cell>
          <cell r="M2021">
            <v>24.010578093518799</v>
          </cell>
          <cell r="N2021">
            <v>7.69230769230769E-2</v>
          </cell>
          <cell r="O2021">
            <v>0</v>
          </cell>
          <cell r="P2021">
            <v>0.76923076923076905</v>
          </cell>
          <cell r="Q2021">
            <v>0.3125</v>
          </cell>
        </row>
        <row r="2022">
          <cell r="A2022">
            <v>191410</v>
          </cell>
          <cell r="B2022">
            <v>11</v>
          </cell>
          <cell r="C2022">
            <v>13</v>
          </cell>
          <cell r="D2022">
            <v>3</v>
          </cell>
          <cell r="E2022" t="str">
            <v>NON-HS</v>
          </cell>
          <cell r="F2022" t="str">
            <v>Hollywood</v>
          </cell>
          <cell r="G2022">
            <v>0</v>
          </cell>
          <cell r="H2022">
            <v>0</v>
          </cell>
          <cell r="I2022">
            <v>12.11</v>
          </cell>
          <cell r="J2022">
            <v>8.6222927400000007</v>
          </cell>
          <cell r="K2022">
            <v>11.622292740000001</v>
          </cell>
          <cell r="L2022">
            <v>0.48758113838420097</v>
          </cell>
          <cell r="M2022">
            <v>12.109873878384199</v>
          </cell>
          <cell r="N2022">
            <v>7.69230769230769E-2</v>
          </cell>
          <cell r="O2022">
            <v>0</v>
          </cell>
          <cell r="P2022">
            <v>0.76923076923076905</v>
          </cell>
          <cell r="Q2022">
            <v>0.3125</v>
          </cell>
        </row>
        <row r="2023">
          <cell r="A2023">
            <v>191420</v>
          </cell>
          <cell r="B2023">
            <v>11</v>
          </cell>
          <cell r="C2023">
            <v>13</v>
          </cell>
          <cell r="D2023">
            <v>2</v>
          </cell>
          <cell r="E2023" t="str">
            <v>NON-HS</v>
          </cell>
          <cell r="F2023" t="str">
            <v>Hollywood</v>
          </cell>
          <cell r="G2023">
            <v>0</v>
          </cell>
          <cell r="H2023">
            <v>0</v>
          </cell>
          <cell r="I2023">
            <v>6</v>
          </cell>
          <cell r="J2023">
            <v>0</v>
          </cell>
          <cell r="K2023">
            <v>6</v>
          </cell>
          <cell r="L2023">
            <v>0</v>
          </cell>
          <cell r="M2023">
            <v>6</v>
          </cell>
          <cell r="N2023">
            <v>7.69230769230769E-2</v>
          </cell>
          <cell r="O2023">
            <v>0</v>
          </cell>
          <cell r="P2023">
            <v>0.76923076923076905</v>
          </cell>
          <cell r="Q2023">
            <v>0.3125</v>
          </cell>
        </row>
        <row r="2024">
          <cell r="A2024">
            <v>191710</v>
          </cell>
          <cell r="B2024">
            <v>11</v>
          </cell>
          <cell r="C2024">
            <v>13</v>
          </cell>
          <cell r="D2024">
            <v>3</v>
          </cell>
          <cell r="E2024" t="str">
            <v>NON-HS</v>
          </cell>
          <cell r="F2024" t="str">
            <v>Hollywood</v>
          </cell>
          <cell r="G2024">
            <v>0</v>
          </cell>
          <cell r="H2024">
            <v>0</v>
          </cell>
          <cell r="I2024">
            <v>12.819000000000001</v>
          </cell>
          <cell r="J2024">
            <v>7.5535708799999997</v>
          </cell>
          <cell r="K2024">
            <v>12.553570880000001</v>
          </cell>
          <cell r="L2024">
            <v>0.26446245660682199</v>
          </cell>
          <cell r="M2024">
            <v>12.818033336606801</v>
          </cell>
          <cell r="N2024">
            <v>7.69230769230769E-2</v>
          </cell>
          <cell r="O2024">
            <v>0</v>
          </cell>
          <cell r="P2024">
            <v>0.76923076923076905</v>
          </cell>
          <cell r="Q2024">
            <v>0.3125</v>
          </cell>
        </row>
        <row r="2025">
          <cell r="A2025">
            <v>191720</v>
          </cell>
          <cell r="B2025">
            <v>11</v>
          </cell>
          <cell r="C2025">
            <v>13</v>
          </cell>
          <cell r="D2025">
            <v>3</v>
          </cell>
          <cell r="E2025" t="str">
            <v>NON-HS</v>
          </cell>
          <cell r="F2025" t="str">
            <v>Hollywood</v>
          </cell>
          <cell r="G2025">
            <v>0</v>
          </cell>
          <cell r="H2025">
            <v>0</v>
          </cell>
          <cell r="I2025">
            <v>6.923</v>
          </cell>
          <cell r="J2025">
            <v>6.70665975</v>
          </cell>
          <cell r="K2025">
            <v>6.70665975</v>
          </cell>
          <cell r="L2025">
            <v>0.21506119174147201</v>
          </cell>
          <cell r="M2025">
            <v>6.9217209417414702</v>
          </cell>
          <cell r="N2025">
            <v>7.69230769230769E-2</v>
          </cell>
          <cell r="O2025">
            <v>0</v>
          </cell>
          <cell r="P2025">
            <v>0.76923076923076905</v>
          </cell>
          <cell r="Q2025">
            <v>0.3125</v>
          </cell>
        </row>
        <row r="2026">
          <cell r="A2026">
            <v>203300</v>
          </cell>
          <cell r="B2026">
            <v>4</v>
          </cell>
          <cell r="C2026">
            <v>14</v>
          </cell>
          <cell r="D2026">
            <v>1</v>
          </cell>
          <cell r="E2026" t="str">
            <v>CVCTE</v>
          </cell>
          <cell r="F2026" t="str">
            <v>Lincoln Heights</v>
          </cell>
          <cell r="G2026">
            <v>1</v>
          </cell>
          <cell r="H2026">
            <v>1</v>
          </cell>
          <cell r="I2026">
            <v>22.343</v>
          </cell>
          <cell r="J2026">
            <v>14.666319769999999</v>
          </cell>
          <cell r="K2026">
            <v>21.666319770000001</v>
          </cell>
          <cell r="L2026">
            <v>0.67619147502693</v>
          </cell>
          <cell r="M2026">
            <v>22.342511245026898</v>
          </cell>
          <cell r="N2026">
            <v>0.164383561643836</v>
          </cell>
          <cell r="O2026">
            <v>6.0833333333333304</v>
          </cell>
          <cell r="P2026">
            <v>0.219178082191781</v>
          </cell>
          <cell r="Q2026">
            <v>1</v>
          </cell>
        </row>
        <row r="2027">
          <cell r="A2027">
            <v>205120</v>
          </cell>
          <cell r="B2027">
            <v>4</v>
          </cell>
          <cell r="C2027">
            <v>14</v>
          </cell>
          <cell r="D2027">
            <v>1</v>
          </cell>
          <cell r="E2027" t="str">
            <v>CVCTE</v>
          </cell>
          <cell r="F2027" t="str">
            <v>Boyle Heights</v>
          </cell>
          <cell r="G2027">
            <v>0</v>
          </cell>
          <cell r="H2027">
            <v>0</v>
          </cell>
          <cell r="I2027">
            <v>35.090000000000003</v>
          </cell>
          <cell r="J2027">
            <v>28.201486899999999</v>
          </cell>
          <cell r="K2027">
            <v>34.201486899999999</v>
          </cell>
          <cell r="L2027">
            <v>0.88900970125673295</v>
          </cell>
          <cell r="M2027">
            <v>35.090496601256703</v>
          </cell>
          <cell r="N2027">
            <v>0.164383561643836</v>
          </cell>
          <cell r="O2027">
            <v>0</v>
          </cell>
          <cell r="P2027">
            <v>0.219178082191781</v>
          </cell>
          <cell r="Q2027">
            <v>1</v>
          </cell>
          <cell r="R2027">
            <v>0.38461538461538503</v>
          </cell>
          <cell r="S2027">
            <v>0</v>
          </cell>
        </row>
        <row r="2028">
          <cell r="A2028">
            <v>181400</v>
          </cell>
          <cell r="B2028">
            <v>4</v>
          </cell>
          <cell r="C2028">
            <v>14</v>
          </cell>
          <cell r="D2028">
            <v>1</v>
          </cell>
          <cell r="E2028" t="str">
            <v>CVCTE</v>
          </cell>
          <cell r="F2028" t="str">
            <v>Eagle Rock</v>
          </cell>
          <cell r="G2028">
            <v>0</v>
          </cell>
          <cell r="H2028">
            <v>1</v>
          </cell>
          <cell r="I2028">
            <v>27.459</v>
          </cell>
          <cell r="J2028">
            <v>23.478867009999998</v>
          </cell>
          <cell r="K2028">
            <v>26.478867009999998</v>
          </cell>
          <cell r="L2028">
            <v>0.98031896050269296</v>
          </cell>
          <cell r="M2028">
            <v>27.459185970502698</v>
          </cell>
          <cell r="N2028">
            <v>0.164383561643836</v>
          </cell>
          <cell r="O2028">
            <v>0</v>
          </cell>
          <cell r="P2028">
            <v>0.219178082191781</v>
          </cell>
          <cell r="Q2028">
            <v>1</v>
          </cell>
          <cell r="R2028">
            <v>0.38461538461538503</v>
          </cell>
          <cell r="S2028">
            <v>2.6</v>
          </cell>
        </row>
        <row r="2029">
          <cell r="A2029">
            <v>206031</v>
          </cell>
          <cell r="B2029">
            <v>4</v>
          </cell>
          <cell r="C2029">
            <v>14</v>
          </cell>
          <cell r="D2029">
            <v>1</v>
          </cell>
          <cell r="E2029" t="str">
            <v>CVCTE</v>
          </cell>
          <cell r="F2029" t="str">
            <v>Downtown Los Angeles</v>
          </cell>
          <cell r="G2029">
            <v>0</v>
          </cell>
          <cell r="H2029">
            <v>1</v>
          </cell>
          <cell r="I2029">
            <v>139.374</v>
          </cell>
          <cell r="J2029">
            <v>91.601353759999995</v>
          </cell>
          <cell r="K2029">
            <v>137.60135375999999</v>
          </cell>
          <cell r="L2029">
            <v>1.77422828197487</v>
          </cell>
          <cell r="M2029">
            <v>139.37558204197501</v>
          </cell>
          <cell r="N2029">
            <v>0.164383561643836</v>
          </cell>
          <cell r="O2029">
            <v>0</v>
          </cell>
          <cell r="P2029">
            <v>0.219178082191781</v>
          </cell>
          <cell r="Q2029">
            <v>1</v>
          </cell>
          <cell r="R2029">
            <v>0.38461538461538503</v>
          </cell>
          <cell r="S2029">
            <v>2.6</v>
          </cell>
        </row>
        <row r="2030">
          <cell r="A2030">
            <v>204920</v>
          </cell>
          <cell r="B2030">
            <v>4</v>
          </cell>
          <cell r="C2030">
            <v>14</v>
          </cell>
          <cell r="D2030">
            <v>1</v>
          </cell>
          <cell r="E2030" t="str">
            <v>CVCTE</v>
          </cell>
          <cell r="F2030" t="str">
            <v>Boyle Heights</v>
          </cell>
          <cell r="G2030">
            <v>0</v>
          </cell>
          <cell r="H2030">
            <v>0</v>
          </cell>
          <cell r="I2030">
            <v>32.918999999999997</v>
          </cell>
          <cell r="J2030">
            <v>29.210991809999999</v>
          </cell>
          <cell r="K2030">
            <v>31.210991809999999</v>
          </cell>
          <cell r="L2030">
            <v>1.70786842549372</v>
          </cell>
          <cell r="M2030">
            <v>32.918860235493703</v>
          </cell>
          <cell r="N2030">
            <v>0.164383561643836</v>
          </cell>
          <cell r="O2030">
            <v>0</v>
          </cell>
          <cell r="P2030">
            <v>0.219178082191781</v>
          </cell>
          <cell r="Q2030">
            <v>1</v>
          </cell>
          <cell r="R2030">
            <v>0.38461538461538503</v>
          </cell>
          <cell r="S2030">
            <v>0</v>
          </cell>
        </row>
        <row r="2031">
          <cell r="A2031">
            <v>204700</v>
          </cell>
          <cell r="B2031">
            <v>4</v>
          </cell>
          <cell r="C2031">
            <v>14</v>
          </cell>
          <cell r="D2031">
            <v>1</v>
          </cell>
          <cell r="E2031" t="str">
            <v>CVCTE</v>
          </cell>
          <cell r="F2031" t="str">
            <v>Boyle Heights</v>
          </cell>
          <cell r="G2031">
            <v>0</v>
          </cell>
          <cell r="H2031">
            <v>0</v>
          </cell>
          <cell r="I2031">
            <v>48.877000000000002</v>
          </cell>
          <cell r="J2031">
            <v>37.631018140000002</v>
          </cell>
          <cell r="K2031">
            <v>47.631018140000002</v>
          </cell>
          <cell r="L2031">
            <v>1.24649416969479</v>
          </cell>
          <cell r="M2031">
            <v>48.877512309694801</v>
          </cell>
          <cell r="N2031">
            <v>0.164383561643836</v>
          </cell>
          <cell r="O2031">
            <v>0</v>
          </cell>
          <cell r="P2031">
            <v>0.219178082191781</v>
          </cell>
          <cell r="Q2031">
            <v>1</v>
          </cell>
          <cell r="R2031">
            <v>0.38461538461538503</v>
          </cell>
          <cell r="S2031">
            <v>0</v>
          </cell>
        </row>
        <row r="2032">
          <cell r="A2032">
            <v>207400</v>
          </cell>
          <cell r="B2032">
            <v>4</v>
          </cell>
          <cell r="C2032">
            <v>14</v>
          </cell>
          <cell r="D2032">
            <v>1</v>
          </cell>
          <cell r="E2032" t="str">
            <v>CVCTE</v>
          </cell>
          <cell r="F2032" t="str">
            <v>Downtown Los Angeles</v>
          </cell>
          <cell r="G2032">
            <v>0</v>
          </cell>
          <cell r="H2032">
            <v>1</v>
          </cell>
          <cell r="I2032">
            <v>129.02500000000001</v>
          </cell>
          <cell r="J2032">
            <v>34.627600620000003</v>
          </cell>
          <cell r="K2032">
            <v>128.62760062000001</v>
          </cell>
          <cell r="L2032">
            <v>0.39794738730700202</v>
          </cell>
          <cell r="M2032">
            <v>129.02554800730701</v>
          </cell>
          <cell r="N2032">
            <v>0.164383561643836</v>
          </cell>
          <cell r="O2032">
            <v>0</v>
          </cell>
          <cell r="P2032">
            <v>0.219178082191781</v>
          </cell>
          <cell r="Q2032">
            <v>1</v>
          </cell>
          <cell r="R2032">
            <v>0.38461538461538503</v>
          </cell>
          <cell r="S2032">
            <v>2.6</v>
          </cell>
        </row>
        <row r="2033">
          <cell r="A2033">
            <v>224010</v>
          </cell>
          <cell r="B2033">
            <v>4</v>
          </cell>
          <cell r="C2033">
            <v>14</v>
          </cell>
          <cell r="D2033">
            <v>1</v>
          </cell>
          <cell r="E2033" t="str">
            <v>CVCTE</v>
          </cell>
          <cell r="F2033" t="str">
            <v>Downtown Los Angeles</v>
          </cell>
          <cell r="G2033">
            <v>0</v>
          </cell>
          <cell r="H2033">
            <v>1</v>
          </cell>
          <cell r="I2033">
            <v>60.512</v>
          </cell>
          <cell r="J2033">
            <v>20.282914380000001</v>
          </cell>
          <cell r="K2033">
            <v>60.282914380000001</v>
          </cell>
          <cell r="L2033">
            <v>0.22947837193895901</v>
          </cell>
          <cell r="M2033">
            <v>60.512392751938997</v>
          </cell>
          <cell r="N2033">
            <v>0.164383561643836</v>
          </cell>
          <cell r="O2033">
            <v>0</v>
          </cell>
          <cell r="P2033">
            <v>0.219178082191781</v>
          </cell>
          <cell r="Q2033">
            <v>1</v>
          </cell>
          <cell r="R2033">
            <v>0.38461538461538503</v>
          </cell>
          <cell r="S2033">
            <v>2.6</v>
          </cell>
        </row>
        <row r="2034">
          <cell r="A2034">
            <v>201602</v>
          </cell>
          <cell r="B2034">
            <v>4</v>
          </cell>
          <cell r="C2034">
            <v>14</v>
          </cell>
          <cell r="D2034">
            <v>1</v>
          </cell>
          <cell r="E2034" t="str">
            <v>CVCTE</v>
          </cell>
          <cell r="F2034" t="str">
            <v>El Sereno</v>
          </cell>
          <cell r="G2034">
            <v>0</v>
          </cell>
          <cell r="H2034">
            <v>1</v>
          </cell>
          <cell r="I2034">
            <v>33.561</v>
          </cell>
          <cell r="J2034">
            <v>21.245155799999999</v>
          </cell>
          <cell r="K2034">
            <v>32.245155799999999</v>
          </cell>
          <cell r="L2034">
            <v>1.3149608866965901</v>
          </cell>
          <cell r="M2034">
            <v>33.560116686696603</v>
          </cell>
          <cell r="N2034">
            <v>0.164383561643836</v>
          </cell>
          <cell r="O2034">
            <v>0</v>
          </cell>
          <cell r="P2034">
            <v>0.219178082191781</v>
          </cell>
          <cell r="Q2034">
            <v>1</v>
          </cell>
          <cell r="R2034">
            <v>0.38461538461538503</v>
          </cell>
          <cell r="S2034">
            <v>2.6</v>
          </cell>
        </row>
        <row r="2035">
          <cell r="A2035">
            <v>203500</v>
          </cell>
          <cell r="B2035">
            <v>4</v>
          </cell>
          <cell r="C2035">
            <v>14</v>
          </cell>
          <cell r="D2035">
            <v>1</v>
          </cell>
          <cell r="E2035" t="str">
            <v>CVCTE</v>
          </cell>
          <cell r="F2035" t="str">
            <v>Boyle Heights</v>
          </cell>
          <cell r="G2035">
            <v>0</v>
          </cell>
          <cell r="H2035">
            <v>0</v>
          </cell>
          <cell r="I2035">
            <v>41.838000000000001</v>
          </cell>
          <cell r="J2035">
            <v>37.00044467</v>
          </cell>
          <cell r="K2035">
            <v>40.00044467</v>
          </cell>
          <cell r="L2035">
            <v>1.83754587008977</v>
          </cell>
          <cell r="M2035">
            <v>41.837990540089798</v>
          </cell>
          <cell r="N2035">
            <v>0.164383561643836</v>
          </cell>
          <cell r="O2035">
            <v>0</v>
          </cell>
          <cell r="P2035">
            <v>0.219178082191781</v>
          </cell>
          <cell r="Q2035">
            <v>1</v>
          </cell>
          <cell r="R2035">
            <v>0.38461538461538503</v>
          </cell>
          <cell r="S2035">
            <v>0</v>
          </cell>
        </row>
        <row r="2036">
          <cell r="A2036">
            <v>201301</v>
          </cell>
          <cell r="B2036">
            <v>4</v>
          </cell>
          <cell r="C2036">
            <v>14</v>
          </cell>
          <cell r="D2036">
            <v>1</v>
          </cell>
          <cell r="E2036" t="str">
            <v>CVCTE</v>
          </cell>
          <cell r="F2036" t="str">
            <v>El Sereno</v>
          </cell>
          <cell r="G2036">
            <v>0</v>
          </cell>
          <cell r="H2036">
            <v>0</v>
          </cell>
          <cell r="I2036">
            <v>19.989000000000001</v>
          </cell>
          <cell r="J2036">
            <v>18.9631063</v>
          </cell>
          <cell r="K2036">
            <v>18.9631063</v>
          </cell>
          <cell r="L2036">
            <v>1.02527104818671</v>
          </cell>
          <cell r="M2036">
            <v>19.988377348186699</v>
          </cell>
          <cell r="N2036">
            <v>0.164383561643836</v>
          </cell>
          <cell r="O2036">
            <v>0</v>
          </cell>
          <cell r="P2036">
            <v>0.219178082191781</v>
          </cell>
          <cell r="Q2036">
            <v>1</v>
          </cell>
          <cell r="R2036">
            <v>0.38461538461538503</v>
          </cell>
          <cell r="S2036">
            <v>0</v>
          </cell>
        </row>
        <row r="2037">
          <cell r="A2037">
            <v>203200</v>
          </cell>
          <cell r="B2037">
            <v>4</v>
          </cell>
          <cell r="C2037">
            <v>14</v>
          </cell>
          <cell r="D2037">
            <v>1</v>
          </cell>
          <cell r="E2037" t="str">
            <v>CVCTE</v>
          </cell>
          <cell r="F2037" t="str">
            <v>Boyle Heights</v>
          </cell>
          <cell r="G2037">
            <v>0</v>
          </cell>
          <cell r="H2037">
            <v>0</v>
          </cell>
          <cell r="I2037">
            <v>2.9260000000000002</v>
          </cell>
          <cell r="J2037">
            <v>1.90487994</v>
          </cell>
          <cell r="K2037">
            <v>2.9048799399999998</v>
          </cell>
          <cell r="L2037">
            <v>2.0625322082585301E-2</v>
          </cell>
          <cell r="M2037">
            <v>2.9255052620825901</v>
          </cell>
          <cell r="N2037">
            <v>0.164383561643836</v>
          </cell>
          <cell r="O2037">
            <v>0</v>
          </cell>
          <cell r="P2037">
            <v>0.219178082191781</v>
          </cell>
          <cell r="Q2037">
            <v>1</v>
          </cell>
          <cell r="R2037">
            <v>0.38461538461538503</v>
          </cell>
          <cell r="S2037">
            <v>0</v>
          </cell>
        </row>
        <row r="2038">
          <cell r="A2038">
            <v>183701</v>
          </cell>
          <cell r="B2038">
            <v>4</v>
          </cell>
          <cell r="C2038">
            <v>14</v>
          </cell>
          <cell r="D2038">
            <v>1</v>
          </cell>
          <cell r="E2038" t="str">
            <v>CVCTE</v>
          </cell>
          <cell r="F2038" t="str">
            <v>Highland Park</v>
          </cell>
          <cell r="G2038">
            <v>0</v>
          </cell>
          <cell r="H2038">
            <v>0</v>
          </cell>
          <cell r="I2038">
            <v>37.000999999999998</v>
          </cell>
          <cell r="J2038">
            <v>21.385131600000001</v>
          </cell>
          <cell r="K2038">
            <v>36.385131600000001</v>
          </cell>
          <cell r="L2038">
            <v>0.61662585960502703</v>
          </cell>
          <cell r="M2038">
            <v>37.001757459605003</v>
          </cell>
          <cell r="N2038">
            <v>0.164383561643836</v>
          </cell>
          <cell r="O2038">
            <v>0</v>
          </cell>
          <cell r="P2038">
            <v>0.219178082191781</v>
          </cell>
          <cell r="Q2038">
            <v>1</v>
          </cell>
          <cell r="R2038">
            <v>0.38461538461538503</v>
          </cell>
          <cell r="S2038">
            <v>0</v>
          </cell>
        </row>
        <row r="2039">
          <cell r="A2039">
            <v>181300</v>
          </cell>
          <cell r="B2039">
            <v>4</v>
          </cell>
          <cell r="C2039">
            <v>14</v>
          </cell>
          <cell r="D2039">
            <v>1</v>
          </cell>
          <cell r="E2039" t="str">
            <v>CVCTE</v>
          </cell>
          <cell r="F2039" t="str">
            <v>Eagle Rock</v>
          </cell>
          <cell r="G2039">
            <v>1</v>
          </cell>
          <cell r="H2039">
            <v>1</v>
          </cell>
          <cell r="I2039">
            <v>24.077999999999999</v>
          </cell>
          <cell r="J2039">
            <v>22.39761451</v>
          </cell>
          <cell r="K2039">
            <v>23.39761451</v>
          </cell>
          <cell r="L2039">
            <v>0.67988968075403999</v>
          </cell>
          <cell r="M2039">
            <v>24.077504190753999</v>
          </cell>
          <cell r="N2039">
            <v>0.164383561643836</v>
          </cell>
          <cell r="O2039">
            <v>6.0833333333333304</v>
          </cell>
          <cell r="P2039">
            <v>0.219178082191781</v>
          </cell>
          <cell r="Q2039">
            <v>1</v>
          </cell>
        </row>
        <row r="2040">
          <cell r="A2040">
            <v>181000</v>
          </cell>
          <cell r="B2040">
            <v>4</v>
          </cell>
          <cell r="C2040">
            <v>14</v>
          </cell>
          <cell r="D2040">
            <v>1</v>
          </cell>
          <cell r="E2040" t="str">
            <v>CVCTE</v>
          </cell>
          <cell r="F2040" t="str">
            <v>Eagle Rock</v>
          </cell>
          <cell r="G2040">
            <v>1</v>
          </cell>
          <cell r="H2040">
            <v>1</v>
          </cell>
          <cell r="I2040">
            <v>39.377000000000002</v>
          </cell>
          <cell r="J2040">
            <v>32.307640370000001</v>
          </cell>
          <cell r="K2040">
            <v>38.307640370000001</v>
          </cell>
          <cell r="L2040">
            <v>1.06960552219031</v>
          </cell>
          <cell r="M2040">
            <v>39.377245892190302</v>
          </cell>
          <cell r="N2040">
            <v>0.164383561643836</v>
          </cell>
          <cell r="O2040">
            <v>6.0833333333333304</v>
          </cell>
          <cell r="P2040">
            <v>0.219178082191781</v>
          </cell>
          <cell r="Q2040">
            <v>1</v>
          </cell>
        </row>
        <row r="2041">
          <cell r="A2041">
            <v>207900</v>
          </cell>
          <cell r="B2041">
            <v>4</v>
          </cell>
          <cell r="C2041">
            <v>14</v>
          </cell>
          <cell r="D2041">
            <v>1</v>
          </cell>
          <cell r="E2041" t="str">
            <v>CVCTE</v>
          </cell>
          <cell r="F2041" t="str">
            <v>Downtown Los Angeles</v>
          </cell>
          <cell r="G2041">
            <v>0</v>
          </cell>
          <cell r="H2041">
            <v>0</v>
          </cell>
          <cell r="I2041">
            <v>81.412000000000006</v>
          </cell>
          <cell r="J2041">
            <v>28.801526020000001</v>
          </cell>
          <cell r="K2041">
            <v>80.801526019999997</v>
          </cell>
          <cell r="L2041">
            <v>0.61007235326750497</v>
          </cell>
          <cell r="M2041">
            <v>81.411598373267495</v>
          </cell>
          <cell r="N2041">
            <v>0.164383561643836</v>
          </cell>
          <cell r="O2041">
            <v>0</v>
          </cell>
          <cell r="P2041">
            <v>0.219178082191781</v>
          </cell>
          <cell r="Q2041">
            <v>1</v>
          </cell>
          <cell r="R2041">
            <v>0.38461538461538503</v>
          </cell>
          <cell r="S2041">
            <v>0</v>
          </cell>
        </row>
        <row r="2042">
          <cell r="A2042">
            <v>183101</v>
          </cell>
          <cell r="B2042">
            <v>4</v>
          </cell>
          <cell r="C2042">
            <v>14</v>
          </cell>
          <cell r="D2042">
            <v>1</v>
          </cell>
          <cell r="E2042" t="str">
            <v>FAMILY</v>
          </cell>
          <cell r="F2042" t="str">
            <v>Highland Park</v>
          </cell>
          <cell r="G2042">
            <v>1</v>
          </cell>
          <cell r="H2042">
            <v>1</v>
          </cell>
          <cell r="I2042">
            <v>19.524000000000001</v>
          </cell>
          <cell r="J2042">
            <v>14.86504671</v>
          </cell>
          <cell r="K2042">
            <v>18.865046710000001</v>
          </cell>
          <cell r="L2042">
            <v>0.65888498759425496</v>
          </cell>
          <cell r="M2042">
            <v>19.5239316975943</v>
          </cell>
          <cell r="N2042">
            <v>1</v>
          </cell>
          <cell r="O2042">
            <v>1</v>
          </cell>
        </row>
        <row r="2043">
          <cell r="A2043">
            <v>226002</v>
          </cell>
          <cell r="B2043">
            <v>4</v>
          </cell>
          <cell r="C2043">
            <v>14</v>
          </cell>
          <cell r="D2043">
            <v>2</v>
          </cell>
          <cell r="E2043" t="str">
            <v>FAMILY</v>
          </cell>
          <cell r="F2043" t="str">
            <v>Downtown Los Angeles</v>
          </cell>
          <cell r="G2043">
            <v>1</v>
          </cell>
          <cell r="H2043">
            <v>1</v>
          </cell>
          <cell r="I2043">
            <v>489.60500000000002</v>
          </cell>
          <cell r="J2043">
            <v>326.93036359000001</v>
          </cell>
          <cell r="K2043">
            <v>483.93036359000001</v>
          </cell>
          <cell r="L2043">
            <v>8.6723665109874304</v>
          </cell>
          <cell r="M2043">
            <v>492.602730100987</v>
          </cell>
          <cell r="N2043">
            <v>1</v>
          </cell>
          <cell r="O2043">
            <v>1</v>
          </cell>
        </row>
        <row r="2044">
          <cell r="A2044">
            <v>206032</v>
          </cell>
          <cell r="B2044">
            <v>4</v>
          </cell>
          <cell r="C2044">
            <v>14</v>
          </cell>
          <cell r="D2044">
            <v>1</v>
          </cell>
          <cell r="E2044" t="str">
            <v>FAMILY</v>
          </cell>
          <cell r="F2044" t="str">
            <v>Boyle Heights</v>
          </cell>
          <cell r="G2044">
            <v>1</v>
          </cell>
          <cell r="H2044">
            <v>1</v>
          </cell>
          <cell r="I2044">
            <v>83.272999999999996</v>
          </cell>
          <cell r="J2044">
            <v>72.667884650000005</v>
          </cell>
          <cell r="K2044">
            <v>80.667884650000005</v>
          </cell>
          <cell r="L2044">
            <v>4.6040563110412904</v>
          </cell>
          <cell r="M2044">
            <v>85.271940961041295</v>
          </cell>
          <cell r="N2044">
            <v>1</v>
          </cell>
          <cell r="O2044">
            <v>1</v>
          </cell>
        </row>
        <row r="2045">
          <cell r="A2045">
            <v>183620</v>
          </cell>
          <cell r="B2045">
            <v>4</v>
          </cell>
          <cell r="C2045">
            <v>14</v>
          </cell>
          <cell r="D2045">
            <v>1</v>
          </cell>
          <cell r="E2045" t="str">
            <v>INDIV</v>
          </cell>
          <cell r="F2045" t="str">
            <v>Highland Park</v>
          </cell>
          <cell r="G2045">
            <v>0</v>
          </cell>
          <cell r="H2045">
            <v>0</v>
          </cell>
          <cell r="I2045">
            <v>5.2069999999999999</v>
          </cell>
          <cell r="J2045">
            <v>4.9054609100000004</v>
          </cell>
          <cell r="K2045">
            <v>4.9054609100000004</v>
          </cell>
          <cell r="L2045">
            <v>0.30142302671454202</v>
          </cell>
          <cell r="M2045">
            <v>5.2068839367145401</v>
          </cell>
          <cell r="N2045">
            <v>8.5106382978723402E-2</v>
          </cell>
          <cell r="O2045">
            <v>0</v>
          </cell>
          <cell r="P2045">
            <v>0.21276595744680901</v>
          </cell>
          <cell r="Q2045">
            <v>1</v>
          </cell>
          <cell r="R2045">
            <v>0.4</v>
          </cell>
          <cell r="S2045">
            <v>0</v>
          </cell>
        </row>
        <row r="2046">
          <cell r="A2046">
            <v>204600</v>
          </cell>
          <cell r="B2046">
            <v>4</v>
          </cell>
          <cell r="C2046">
            <v>14</v>
          </cell>
          <cell r="D2046">
            <v>1</v>
          </cell>
          <cell r="E2046" t="str">
            <v>INDIV</v>
          </cell>
          <cell r="F2046" t="str">
            <v>Boyle Heights</v>
          </cell>
          <cell r="G2046">
            <v>0</v>
          </cell>
          <cell r="H2046">
            <v>1</v>
          </cell>
          <cell r="I2046">
            <v>29.532</v>
          </cell>
          <cell r="J2046">
            <v>17.97266406</v>
          </cell>
          <cell r="K2046">
            <v>28.97266406</v>
          </cell>
          <cell r="L2046">
            <v>0.55932047791741502</v>
          </cell>
          <cell r="M2046">
            <v>29.531984537917399</v>
          </cell>
          <cell r="N2046">
            <v>8.5106382978723402E-2</v>
          </cell>
          <cell r="O2046">
            <v>0</v>
          </cell>
          <cell r="P2046">
            <v>0.21276595744680901</v>
          </cell>
          <cell r="Q2046">
            <v>1</v>
          </cell>
          <cell r="R2046">
            <v>0.4</v>
          </cell>
          <cell r="S2046">
            <v>2.5</v>
          </cell>
        </row>
        <row r="2047">
          <cell r="A2047">
            <v>204300</v>
          </cell>
          <cell r="B2047">
            <v>4</v>
          </cell>
          <cell r="C2047">
            <v>14</v>
          </cell>
          <cell r="D2047">
            <v>1</v>
          </cell>
          <cell r="E2047" t="str">
            <v>INDIV</v>
          </cell>
          <cell r="F2047" t="str">
            <v>Boyle Heights</v>
          </cell>
          <cell r="G2047">
            <v>0</v>
          </cell>
          <cell r="H2047">
            <v>0</v>
          </cell>
          <cell r="I2047">
            <v>11.994999999999999</v>
          </cell>
          <cell r="J2047">
            <v>11.401062980000001</v>
          </cell>
          <cell r="K2047">
            <v>11.401062980000001</v>
          </cell>
          <cell r="L2047">
            <v>0.59466142610412898</v>
          </cell>
          <cell r="M2047">
            <v>11.995724406104101</v>
          </cell>
          <cell r="N2047">
            <v>8.5106382978723402E-2</v>
          </cell>
          <cell r="O2047">
            <v>0</v>
          </cell>
          <cell r="P2047">
            <v>0.21276595744680901</v>
          </cell>
          <cell r="Q2047">
            <v>1</v>
          </cell>
          <cell r="R2047">
            <v>0.4</v>
          </cell>
          <cell r="S2047">
            <v>0</v>
          </cell>
        </row>
        <row r="2048">
          <cell r="A2048">
            <v>204110</v>
          </cell>
          <cell r="B2048">
            <v>4</v>
          </cell>
          <cell r="C2048">
            <v>14</v>
          </cell>
          <cell r="D2048">
            <v>1</v>
          </cell>
          <cell r="E2048" t="str">
            <v>INDIV</v>
          </cell>
          <cell r="F2048" t="str">
            <v>Boyle Heights</v>
          </cell>
          <cell r="G2048">
            <v>0</v>
          </cell>
          <cell r="H2048">
            <v>0</v>
          </cell>
          <cell r="I2048">
            <v>15.19</v>
          </cell>
          <cell r="J2048">
            <v>3.9673993200000002</v>
          </cell>
          <cell r="K2048">
            <v>14.96739932</v>
          </cell>
          <cell r="L2048">
            <v>0.22234520276481101</v>
          </cell>
          <cell r="M2048">
            <v>15.1897445227648</v>
          </cell>
          <cell r="N2048">
            <v>8.5106382978723402E-2</v>
          </cell>
          <cell r="O2048">
            <v>0</v>
          </cell>
          <cell r="P2048">
            <v>0.21276595744680901</v>
          </cell>
          <cell r="Q2048">
            <v>1</v>
          </cell>
          <cell r="R2048">
            <v>0.4</v>
          </cell>
          <cell r="S2048">
            <v>0</v>
          </cell>
        </row>
        <row r="2049">
          <cell r="A2049">
            <v>203600</v>
          </cell>
          <cell r="B2049">
            <v>4</v>
          </cell>
          <cell r="C2049">
            <v>14</v>
          </cell>
          <cell r="D2049">
            <v>1</v>
          </cell>
          <cell r="E2049" t="str">
            <v>INDIV</v>
          </cell>
          <cell r="F2049" t="str">
            <v>Boyle Heights</v>
          </cell>
          <cell r="G2049">
            <v>0</v>
          </cell>
          <cell r="H2049">
            <v>0</v>
          </cell>
          <cell r="I2049">
            <v>3</v>
          </cell>
          <cell r="J2049">
            <v>0</v>
          </cell>
          <cell r="K2049">
            <v>3</v>
          </cell>
          <cell r="L2049">
            <v>0</v>
          </cell>
          <cell r="M2049">
            <v>3</v>
          </cell>
          <cell r="N2049">
            <v>8.5106382978723402E-2</v>
          </cell>
          <cell r="O2049">
            <v>0</v>
          </cell>
          <cell r="P2049">
            <v>0.21276595744680901</v>
          </cell>
          <cell r="Q2049">
            <v>1</v>
          </cell>
          <cell r="R2049">
            <v>0.4</v>
          </cell>
          <cell r="S2049">
            <v>0</v>
          </cell>
        </row>
        <row r="2050">
          <cell r="A2050">
            <v>207501</v>
          </cell>
          <cell r="B2050">
            <v>4</v>
          </cell>
          <cell r="C2050">
            <v>14</v>
          </cell>
          <cell r="D2050">
            <v>1</v>
          </cell>
          <cell r="E2050" t="str">
            <v>INDIV</v>
          </cell>
          <cell r="F2050" t="str">
            <v>Downtown Los Angeles</v>
          </cell>
          <cell r="G2050">
            <v>0</v>
          </cell>
          <cell r="H2050">
            <v>0</v>
          </cell>
          <cell r="I2050">
            <v>18.925999999999998</v>
          </cell>
          <cell r="J2050">
            <v>1.90487994</v>
          </cell>
          <cell r="K2050">
            <v>18.904879940000001</v>
          </cell>
          <cell r="L2050">
            <v>2.0625322082585301E-2</v>
          </cell>
          <cell r="M2050">
            <v>18.925505262082599</v>
          </cell>
          <cell r="N2050">
            <v>8.5106382978723402E-2</v>
          </cell>
          <cell r="O2050">
            <v>0</v>
          </cell>
          <cell r="P2050">
            <v>0.21276595744680901</v>
          </cell>
          <cell r="Q2050">
            <v>1</v>
          </cell>
          <cell r="R2050">
            <v>0.4</v>
          </cell>
          <cell r="S2050">
            <v>0</v>
          </cell>
        </row>
        <row r="2051">
          <cell r="A2051">
            <v>206050</v>
          </cell>
          <cell r="B2051">
            <v>4</v>
          </cell>
          <cell r="C2051">
            <v>14</v>
          </cell>
          <cell r="D2051">
            <v>1</v>
          </cell>
          <cell r="E2051" t="str">
            <v>INDIV</v>
          </cell>
          <cell r="F2051" t="str">
            <v>Boyle Heights</v>
          </cell>
          <cell r="G2051">
            <v>0</v>
          </cell>
          <cell r="H2051">
            <v>1</v>
          </cell>
          <cell r="I2051">
            <v>41.411000000000001</v>
          </cell>
          <cell r="J2051">
            <v>14.62295166</v>
          </cell>
          <cell r="K2051">
            <v>40.622951659999998</v>
          </cell>
          <cell r="L2051">
            <v>0.78884506197486504</v>
          </cell>
          <cell r="M2051">
            <v>41.411796721974902</v>
          </cell>
          <cell r="N2051">
            <v>8.5106382978723402E-2</v>
          </cell>
          <cell r="O2051">
            <v>0</v>
          </cell>
          <cell r="P2051">
            <v>0.21276595744680901</v>
          </cell>
          <cell r="Q2051">
            <v>1</v>
          </cell>
          <cell r="R2051">
            <v>0.4</v>
          </cell>
          <cell r="S2051">
            <v>2.5</v>
          </cell>
        </row>
        <row r="2052">
          <cell r="A2052">
            <v>206020</v>
          </cell>
          <cell r="B2052">
            <v>4</v>
          </cell>
          <cell r="C2052">
            <v>14</v>
          </cell>
          <cell r="D2052">
            <v>1</v>
          </cell>
          <cell r="E2052" t="str">
            <v>INDIV</v>
          </cell>
          <cell r="F2052" t="str">
            <v>Chinatown</v>
          </cell>
          <cell r="G2052">
            <v>0</v>
          </cell>
          <cell r="H2052">
            <v>1</v>
          </cell>
          <cell r="I2052">
            <v>22.478999999999999</v>
          </cell>
          <cell r="J2052">
            <v>13.33415958</v>
          </cell>
          <cell r="K2052">
            <v>22.334159580000001</v>
          </cell>
          <cell r="L2052">
            <v>0.144377254578097</v>
          </cell>
          <cell r="M2052">
            <v>22.478536834578101</v>
          </cell>
          <cell r="N2052">
            <v>8.5106382978723402E-2</v>
          </cell>
          <cell r="O2052">
            <v>0</v>
          </cell>
          <cell r="P2052">
            <v>0.21276595744680901</v>
          </cell>
          <cell r="Q2052">
            <v>1</v>
          </cell>
          <cell r="R2052">
            <v>0.4</v>
          </cell>
          <cell r="S2052">
            <v>2.5</v>
          </cell>
        </row>
        <row r="2053">
          <cell r="A2053">
            <v>207502</v>
          </cell>
          <cell r="B2053">
            <v>4</v>
          </cell>
          <cell r="C2053">
            <v>14</v>
          </cell>
          <cell r="D2053">
            <v>1</v>
          </cell>
          <cell r="E2053" t="str">
            <v>INDIV</v>
          </cell>
          <cell r="F2053" t="str">
            <v>Downtown Los Angeles</v>
          </cell>
          <cell r="G2053">
            <v>0</v>
          </cell>
          <cell r="H2053">
            <v>0</v>
          </cell>
          <cell r="I2053">
            <v>54.844999999999999</v>
          </cell>
          <cell r="J2053">
            <v>19.612149420000001</v>
          </cell>
          <cell r="K2053">
            <v>54.612149420000001</v>
          </cell>
          <cell r="L2053">
            <v>0.23207820096947901</v>
          </cell>
          <cell r="M2053">
            <v>54.844227620969498</v>
          </cell>
          <cell r="N2053">
            <v>8.5106382978723402E-2</v>
          </cell>
          <cell r="O2053">
            <v>0</v>
          </cell>
          <cell r="P2053">
            <v>0.21276595744680901</v>
          </cell>
          <cell r="Q2053">
            <v>1</v>
          </cell>
          <cell r="R2053">
            <v>0.4</v>
          </cell>
          <cell r="S2053">
            <v>0</v>
          </cell>
        </row>
        <row r="2054">
          <cell r="A2054">
            <v>207710</v>
          </cell>
          <cell r="B2054">
            <v>4</v>
          </cell>
          <cell r="C2054">
            <v>14</v>
          </cell>
          <cell r="D2054">
            <v>1</v>
          </cell>
          <cell r="E2054" t="str">
            <v>INDIV</v>
          </cell>
          <cell r="F2054" t="str">
            <v>Downtown Los Angeles</v>
          </cell>
          <cell r="G2054">
            <v>0</v>
          </cell>
          <cell r="H2054">
            <v>1</v>
          </cell>
          <cell r="I2054">
            <v>100.845</v>
          </cell>
          <cell r="J2054">
            <v>13.67392128</v>
          </cell>
          <cell r="K2054">
            <v>100.67392128</v>
          </cell>
          <cell r="L2054">
            <v>0.17106884439856401</v>
          </cell>
          <cell r="M2054">
            <v>100.844990124399</v>
          </cell>
          <cell r="N2054">
            <v>8.5106382978723402E-2</v>
          </cell>
          <cell r="O2054">
            <v>0</v>
          </cell>
          <cell r="P2054">
            <v>0.21276595744680901</v>
          </cell>
          <cell r="Q2054">
            <v>1</v>
          </cell>
          <cell r="R2054">
            <v>0.4</v>
          </cell>
          <cell r="S2054">
            <v>2.5</v>
          </cell>
        </row>
        <row r="2055">
          <cell r="A2055">
            <v>201504</v>
          </cell>
          <cell r="B2055">
            <v>4</v>
          </cell>
          <cell r="C2055">
            <v>14</v>
          </cell>
          <cell r="D2055">
            <v>1</v>
          </cell>
          <cell r="E2055" t="str">
            <v>NON-HS</v>
          </cell>
          <cell r="F2055" t="str">
            <v>El Sereno</v>
          </cell>
          <cell r="G2055">
            <v>0</v>
          </cell>
          <cell r="H2055">
            <v>0</v>
          </cell>
          <cell r="I2055">
            <v>11.266</v>
          </cell>
          <cell r="J2055">
            <v>9.4736181100000003</v>
          </cell>
          <cell r="K2055">
            <v>10.47361811</v>
          </cell>
          <cell r="L2055">
            <v>0.79196613622980205</v>
          </cell>
          <cell r="M2055">
            <v>11.2655842462298</v>
          </cell>
          <cell r="N2055">
            <v>2.6315789473684199E-2</v>
          </cell>
          <cell r="O2055">
            <v>0</v>
          </cell>
          <cell r="P2055">
            <v>0.24342105263157901</v>
          </cell>
          <cell r="Q2055">
            <v>1</v>
          </cell>
          <cell r="R2055">
            <v>2.8571428571428598E-2</v>
          </cell>
          <cell r="S2055">
            <v>0</v>
          </cell>
        </row>
        <row r="2056">
          <cell r="A2056">
            <v>201200</v>
          </cell>
          <cell r="B2056">
            <v>4</v>
          </cell>
          <cell r="C2056">
            <v>14</v>
          </cell>
          <cell r="D2056">
            <v>1</v>
          </cell>
          <cell r="E2056" t="str">
            <v>NON-HS</v>
          </cell>
          <cell r="F2056" t="str">
            <v>El Sereno</v>
          </cell>
          <cell r="G2056">
            <v>0</v>
          </cell>
          <cell r="H2056">
            <v>0</v>
          </cell>
          <cell r="I2056">
            <v>12.305</v>
          </cell>
          <cell r="J2056">
            <v>9.8396785799999993</v>
          </cell>
          <cell r="K2056">
            <v>11.839678579999999</v>
          </cell>
          <cell r="L2056">
            <v>0.46531572761220802</v>
          </cell>
          <cell r="M2056">
            <v>12.304994307612199</v>
          </cell>
          <cell r="N2056">
            <v>2.6315789473684199E-2</v>
          </cell>
          <cell r="O2056">
            <v>0</v>
          </cell>
          <cell r="P2056">
            <v>0.24342105263157901</v>
          </cell>
          <cell r="Q2056">
            <v>1</v>
          </cell>
          <cell r="R2056">
            <v>2.8571428571428598E-2</v>
          </cell>
          <cell r="S2056">
            <v>0</v>
          </cell>
        </row>
        <row r="2057">
          <cell r="A2057">
            <v>186100</v>
          </cell>
          <cell r="B2057">
            <v>4</v>
          </cell>
          <cell r="C2057">
            <v>14</v>
          </cell>
          <cell r="D2057">
            <v>1</v>
          </cell>
          <cell r="E2057" t="str">
            <v>NON-HS</v>
          </cell>
          <cell r="F2057" t="str">
            <v>Glassell Park</v>
          </cell>
          <cell r="G2057">
            <v>0</v>
          </cell>
          <cell r="H2057">
            <v>0</v>
          </cell>
          <cell r="I2057">
            <v>10.082000000000001</v>
          </cell>
          <cell r="J2057">
            <v>9.61609026</v>
          </cell>
          <cell r="K2057">
            <v>9.61609026</v>
          </cell>
          <cell r="L2057">
            <v>0.46618233728904801</v>
          </cell>
          <cell r="M2057">
            <v>10.082272597289</v>
          </cell>
          <cell r="N2057">
            <v>2.6315789473684199E-2</v>
          </cell>
          <cell r="O2057">
            <v>0</v>
          </cell>
          <cell r="P2057">
            <v>0.24342105263157901</v>
          </cell>
          <cell r="Q2057">
            <v>1</v>
          </cell>
          <cell r="R2057">
            <v>2.8571428571428598E-2</v>
          </cell>
          <cell r="S2057">
            <v>0</v>
          </cell>
        </row>
        <row r="2058">
          <cell r="A2058">
            <v>183104</v>
          </cell>
          <cell r="B2058">
            <v>4</v>
          </cell>
          <cell r="C2058">
            <v>14</v>
          </cell>
          <cell r="D2058">
            <v>1</v>
          </cell>
          <cell r="E2058" t="str">
            <v>NON-HS</v>
          </cell>
          <cell r="F2058" t="str">
            <v>Highland Park</v>
          </cell>
          <cell r="G2058">
            <v>0</v>
          </cell>
          <cell r="H2058">
            <v>0</v>
          </cell>
          <cell r="I2058">
            <v>2.0950000000000002</v>
          </cell>
          <cell r="J2058">
            <v>1.9836996600000001</v>
          </cell>
          <cell r="K2058">
            <v>1.9836996600000001</v>
          </cell>
          <cell r="L2058">
            <v>0.11117260138240601</v>
          </cell>
          <cell r="M2058">
            <v>2.09487226138241</v>
          </cell>
          <cell r="N2058">
            <v>2.6315789473684199E-2</v>
          </cell>
          <cell r="O2058">
            <v>0</v>
          </cell>
          <cell r="P2058">
            <v>0.24342105263157901</v>
          </cell>
          <cell r="Q2058">
            <v>1</v>
          </cell>
          <cell r="R2058">
            <v>2.8571428571428598E-2</v>
          </cell>
          <cell r="S2058">
            <v>0</v>
          </cell>
        </row>
        <row r="2059">
          <cell r="A2059">
            <v>183220</v>
          </cell>
          <cell r="B2059">
            <v>4</v>
          </cell>
          <cell r="C2059">
            <v>14</v>
          </cell>
          <cell r="D2059">
            <v>1</v>
          </cell>
          <cell r="E2059" t="str">
            <v>NON-HS</v>
          </cell>
          <cell r="F2059" t="str">
            <v>Highland Park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2.6315789473684199E-2</v>
          </cell>
          <cell r="O2059">
            <v>0</v>
          </cell>
          <cell r="P2059">
            <v>0.24342105263157901</v>
          </cell>
          <cell r="Q2059">
            <v>1</v>
          </cell>
          <cell r="R2059">
            <v>2.8571428571428598E-2</v>
          </cell>
          <cell r="S2059">
            <v>0</v>
          </cell>
        </row>
        <row r="2060">
          <cell r="A2060">
            <v>204820</v>
          </cell>
          <cell r="B2060">
            <v>4</v>
          </cell>
          <cell r="C2060">
            <v>14</v>
          </cell>
          <cell r="D2060">
            <v>1</v>
          </cell>
          <cell r="E2060" t="str">
            <v>NON-HS</v>
          </cell>
          <cell r="F2060" t="str">
            <v>Boyle Heights</v>
          </cell>
          <cell r="G2060">
            <v>0</v>
          </cell>
          <cell r="H2060">
            <v>0</v>
          </cell>
          <cell r="I2060">
            <v>9.7970000000000006</v>
          </cell>
          <cell r="J2060">
            <v>9.6032194200000003</v>
          </cell>
          <cell r="K2060">
            <v>9.6032194200000003</v>
          </cell>
          <cell r="L2060">
            <v>0.19367388971274699</v>
          </cell>
          <cell r="M2060">
            <v>9.7968933097127504</v>
          </cell>
          <cell r="N2060">
            <v>2.6315789473684199E-2</v>
          </cell>
          <cell r="O2060">
            <v>0</v>
          </cell>
          <cell r="P2060">
            <v>0.24342105263157901</v>
          </cell>
          <cell r="Q2060">
            <v>1</v>
          </cell>
          <cell r="R2060">
            <v>2.8571428571428598E-2</v>
          </cell>
          <cell r="S2060">
            <v>0</v>
          </cell>
        </row>
        <row r="2061">
          <cell r="A2061">
            <v>201601</v>
          </cell>
          <cell r="B2061">
            <v>4</v>
          </cell>
          <cell r="C2061">
            <v>14</v>
          </cell>
          <cell r="D2061">
            <v>1</v>
          </cell>
          <cell r="E2061" t="str">
            <v>NON-HS</v>
          </cell>
          <cell r="F2061" t="str">
            <v>El Sereno</v>
          </cell>
          <cell r="G2061">
            <v>0</v>
          </cell>
          <cell r="H2061">
            <v>0</v>
          </cell>
          <cell r="I2061">
            <v>9.5890000000000004</v>
          </cell>
          <cell r="J2061">
            <v>7.1397280600000004</v>
          </cell>
          <cell r="K2061">
            <v>9.1397280599999995</v>
          </cell>
          <cell r="L2061">
            <v>0.448782719192101</v>
          </cell>
          <cell r="M2061">
            <v>9.5885107791921005</v>
          </cell>
          <cell r="N2061">
            <v>2.6315789473684199E-2</v>
          </cell>
          <cell r="O2061">
            <v>0</v>
          </cell>
          <cell r="P2061">
            <v>0.24342105263157901</v>
          </cell>
          <cell r="Q2061">
            <v>1</v>
          </cell>
          <cell r="R2061">
            <v>2.8571428571428598E-2</v>
          </cell>
          <cell r="S2061">
            <v>0</v>
          </cell>
        </row>
        <row r="2062">
          <cell r="A2062">
            <v>203100</v>
          </cell>
          <cell r="B2062">
            <v>4</v>
          </cell>
          <cell r="C2062">
            <v>14</v>
          </cell>
          <cell r="D2062">
            <v>1</v>
          </cell>
          <cell r="E2062" t="str">
            <v>NON-HS</v>
          </cell>
          <cell r="F2062" t="str">
            <v>Boyle Heights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2.6315789473684199E-2</v>
          </cell>
          <cell r="O2062">
            <v>0</v>
          </cell>
          <cell r="P2062">
            <v>0.24342105263157901</v>
          </cell>
          <cell r="Q2062">
            <v>1</v>
          </cell>
          <cell r="R2062">
            <v>2.8571428571428598E-2</v>
          </cell>
          <cell r="S2062">
            <v>0</v>
          </cell>
        </row>
        <row r="2063">
          <cell r="A2063">
            <v>201503</v>
          </cell>
          <cell r="B2063">
            <v>4</v>
          </cell>
          <cell r="C2063">
            <v>14</v>
          </cell>
          <cell r="D2063">
            <v>1</v>
          </cell>
          <cell r="E2063" t="str">
            <v>NON-HS</v>
          </cell>
          <cell r="F2063" t="str">
            <v>El Sereno</v>
          </cell>
          <cell r="G2063">
            <v>0</v>
          </cell>
          <cell r="H2063">
            <v>0</v>
          </cell>
          <cell r="I2063">
            <v>2</v>
          </cell>
          <cell r="J2063">
            <v>0</v>
          </cell>
          <cell r="K2063">
            <v>2</v>
          </cell>
          <cell r="L2063">
            <v>0</v>
          </cell>
          <cell r="M2063">
            <v>2</v>
          </cell>
          <cell r="N2063">
            <v>2.6315789473684199E-2</v>
          </cell>
          <cell r="O2063">
            <v>0</v>
          </cell>
          <cell r="P2063">
            <v>0.24342105263157901</v>
          </cell>
          <cell r="Q2063">
            <v>1</v>
          </cell>
          <cell r="R2063">
            <v>2.8571428571428598E-2</v>
          </cell>
          <cell r="S2063">
            <v>0</v>
          </cell>
        </row>
        <row r="2064">
          <cell r="A2064">
            <v>201402</v>
          </cell>
          <cell r="B2064">
            <v>4</v>
          </cell>
          <cell r="C2064">
            <v>14</v>
          </cell>
          <cell r="D2064">
            <v>1</v>
          </cell>
          <cell r="E2064" t="str">
            <v>NON-HS</v>
          </cell>
          <cell r="F2064" t="str">
            <v>El Sereno</v>
          </cell>
          <cell r="G2064">
            <v>0</v>
          </cell>
          <cell r="H2064">
            <v>1</v>
          </cell>
          <cell r="I2064">
            <v>6.4939999999999998</v>
          </cell>
          <cell r="J2064">
            <v>5.1560284000000003</v>
          </cell>
          <cell r="K2064">
            <v>6.1560284000000003</v>
          </cell>
          <cell r="L2064">
            <v>0.33761011780969502</v>
          </cell>
          <cell r="M2064">
            <v>6.4936385178096998</v>
          </cell>
          <cell r="N2064">
            <v>2.6315789473684199E-2</v>
          </cell>
          <cell r="O2064">
            <v>0</v>
          </cell>
          <cell r="P2064">
            <v>0.24342105263157901</v>
          </cell>
          <cell r="Q2064">
            <v>1</v>
          </cell>
          <cell r="R2064">
            <v>2.8571428571428598E-2</v>
          </cell>
          <cell r="S2064">
            <v>35</v>
          </cell>
        </row>
        <row r="2065">
          <cell r="A2065">
            <v>203710</v>
          </cell>
          <cell r="B2065">
            <v>4</v>
          </cell>
          <cell r="C2065">
            <v>14</v>
          </cell>
          <cell r="D2065">
            <v>1</v>
          </cell>
          <cell r="E2065" t="str">
            <v>NON-HS</v>
          </cell>
          <cell r="F2065" t="str">
            <v>Boyle Heights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2.6315789473684199E-2</v>
          </cell>
          <cell r="O2065">
            <v>0</v>
          </cell>
          <cell r="P2065">
            <v>0.24342105263157901</v>
          </cell>
          <cell r="Q2065">
            <v>1</v>
          </cell>
          <cell r="R2065">
            <v>2.8571428571428598E-2</v>
          </cell>
          <cell r="S2065">
            <v>0</v>
          </cell>
        </row>
        <row r="2066">
          <cell r="A2066">
            <v>203800</v>
          </cell>
          <cell r="B2066">
            <v>4</v>
          </cell>
          <cell r="C2066">
            <v>14</v>
          </cell>
          <cell r="D2066">
            <v>1</v>
          </cell>
          <cell r="E2066" t="str">
            <v>NON-HS</v>
          </cell>
          <cell r="F2066" t="str">
            <v>Boyle Heights</v>
          </cell>
          <cell r="G2066">
            <v>0</v>
          </cell>
          <cell r="H2066">
            <v>0</v>
          </cell>
          <cell r="I2066">
            <v>4.1900000000000004</v>
          </cell>
          <cell r="J2066">
            <v>3.9673993200000002</v>
          </cell>
          <cell r="K2066">
            <v>3.9673993200000002</v>
          </cell>
          <cell r="L2066">
            <v>0.22234520276481101</v>
          </cell>
          <cell r="M2066">
            <v>4.1897445227648102</v>
          </cell>
          <cell r="N2066">
            <v>2.6315789473684199E-2</v>
          </cell>
          <cell r="O2066">
            <v>0</v>
          </cell>
          <cell r="P2066">
            <v>0.24342105263157901</v>
          </cell>
          <cell r="Q2066">
            <v>1</v>
          </cell>
          <cell r="R2066">
            <v>2.8571428571428598E-2</v>
          </cell>
          <cell r="S2066">
            <v>0</v>
          </cell>
        </row>
        <row r="2067">
          <cell r="A2067">
            <v>203900</v>
          </cell>
          <cell r="B2067">
            <v>4</v>
          </cell>
          <cell r="C2067">
            <v>14</v>
          </cell>
          <cell r="D2067">
            <v>1</v>
          </cell>
          <cell r="E2067" t="str">
            <v>NON-HS</v>
          </cell>
          <cell r="F2067" t="str">
            <v>Boyle Heights</v>
          </cell>
          <cell r="G2067">
            <v>0</v>
          </cell>
          <cell r="H2067">
            <v>0</v>
          </cell>
          <cell r="I2067">
            <v>17.122</v>
          </cell>
          <cell r="J2067">
            <v>11.42186616</v>
          </cell>
          <cell r="K2067">
            <v>16.42186616</v>
          </cell>
          <cell r="L2067">
            <v>0.69993787136445196</v>
          </cell>
          <cell r="M2067">
            <v>17.121804031364501</v>
          </cell>
          <cell r="N2067">
            <v>2.6315789473684199E-2</v>
          </cell>
          <cell r="O2067">
            <v>0</v>
          </cell>
          <cell r="P2067">
            <v>0.24342105263157901</v>
          </cell>
          <cell r="Q2067">
            <v>1</v>
          </cell>
          <cell r="R2067">
            <v>2.8571428571428598E-2</v>
          </cell>
          <cell r="S2067">
            <v>0</v>
          </cell>
        </row>
        <row r="2068">
          <cell r="A2068">
            <v>204120</v>
          </cell>
          <cell r="B2068">
            <v>4</v>
          </cell>
          <cell r="C2068">
            <v>14</v>
          </cell>
          <cell r="D2068">
            <v>1</v>
          </cell>
          <cell r="E2068" t="str">
            <v>NON-HS</v>
          </cell>
          <cell r="F2068" t="str">
            <v>Boyle Heights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2.6315789473684199E-2</v>
          </cell>
          <cell r="O2068">
            <v>0</v>
          </cell>
          <cell r="P2068">
            <v>0.24342105263157901</v>
          </cell>
          <cell r="Q2068">
            <v>1</v>
          </cell>
          <cell r="R2068">
            <v>2.8571428571428598E-2</v>
          </cell>
          <cell r="S2068">
            <v>0</v>
          </cell>
        </row>
        <row r="2069">
          <cell r="A2069">
            <v>204410</v>
          </cell>
          <cell r="B2069">
            <v>4</v>
          </cell>
          <cell r="C2069">
            <v>14</v>
          </cell>
          <cell r="D2069">
            <v>1</v>
          </cell>
          <cell r="E2069" t="str">
            <v>NON-HS</v>
          </cell>
          <cell r="F2069" t="str">
            <v>Boyle Heights</v>
          </cell>
          <cell r="G2069">
            <v>0</v>
          </cell>
          <cell r="H2069">
            <v>0</v>
          </cell>
          <cell r="I2069">
            <v>6.9980000000000002</v>
          </cell>
          <cell r="J2069">
            <v>5.7005314900000004</v>
          </cell>
          <cell r="K2069">
            <v>6.7005314900000004</v>
          </cell>
          <cell r="L2069">
            <v>0.29733071305206499</v>
          </cell>
          <cell r="M2069">
            <v>6.9978622030520699</v>
          </cell>
          <cell r="N2069">
            <v>2.6315789473684199E-2</v>
          </cell>
          <cell r="O2069">
            <v>0</v>
          </cell>
          <cell r="P2069">
            <v>0.24342105263157901</v>
          </cell>
          <cell r="Q2069">
            <v>1</v>
          </cell>
          <cell r="R2069">
            <v>2.8571428571428598E-2</v>
          </cell>
          <cell r="S2069">
            <v>0</v>
          </cell>
        </row>
        <row r="2070">
          <cell r="A2070">
            <v>204420</v>
          </cell>
          <cell r="B2070">
            <v>4</v>
          </cell>
          <cell r="C2070">
            <v>14</v>
          </cell>
          <cell r="D2070">
            <v>1</v>
          </cell>
          <cell r="E2070" t="str">
            <v>NON-HS</v>
          </cell>
          <cell r="F2070" t="str">
            <v>Boyle Heights</v>
          </cell>
          <cell r="G2070">
            <v>0</v>
          </cell>
          <cell r="H2070">
            <v>0</v>
          </cell>
          <cell r="I2070">
            <v>3</v>
          </cell>
          <cell r="J2070">
            <v>0</v>
          </cell>
          <cell r="K2070">
            <v>3</v>
          </cell>
          <cell r="L2070">
            <v>0</v>
          </cell>
          <cell r="M2070">
            <v>3</v>
          </cell>
          <cell r="N2070">
            <v>2.6315789473684199E-2</v>
          </cell>
          <cell r="O2070">
            <v>0</v>
          </cell>
          <cell r="P2070">
            <v>0.24342105263157901</v>
          </cell>
          <cell r="Q2070">
            <v>1</v>
          </cell>
          <cell r="R2070">
            <v>2.8571428571428598E-2</v>
          </cell>
          <cell r="S2070">
            <v>0</v>
          </cell>
        </row>
        <row r="2071">
          <cell r="A2071">
            <v>204810</v>
          </cell>
          <cell r="B2071">
            <v>4</v>
          </cell>
          <cell r="C2071">
            <v>14</v>
          </cell>
          <cell r="D2071">
            <v>1</v>
          </cell>
          <cell r="E2071" t="str">
            <v>NON-HS</v>
          </cell>
          <cell r="F2071" t="str">
            <v>Boyle Heights</v>
          </cell>
          <cell r="G2071">
            <v>0</v>
          </cell>
          <cell r="H2071">
            <v>0</v>
          </cell>
          <cell r="I2071">
            <v>11.44</v>
          </cell>
          <cell r="J2071">
            <v>10.949487939999999</v>
          </cell>
          <cell r="K2071">
            <v>10.949487939999999</v>
          </cell>
          <cell r="L2071">
            <v>0.49003336335727099</v>
          </cell>
          <cell r="M2071">
            <v>11.439521303357299</v>
          </cell>
          <cell r="N2071">
            <v>2.6315789473684199E-2</v>
          </cell>
          <cell r="O2071">
            <v>0</v>
          </cell>
          <cell r="P2071">
            <v>0.24342105263157901</v>
          </cell>
          <cell r="Q2071">
            <v>1</v>
          </cell>
          <cell r="R2071">
            <v>2.8571428571428598E-2</v>
          </cell>
          <cell r="S2071">
            <v>0</v>
          </cell>
        </row>
        <row r="2072">
          <cell r="A2072">
            <v>204910</v>
          </cell>
          <cell r="B2072">
            <v>4</v>
          </cell>
          <cell r="C2072">
            <v>14</v>
          </cell>
          <cell r="D2072">
            <v>1</v>
          </cell>
          <cell r="E2072" t="str">
            <v>NON-HS</v>
          </cell>
          <cell r="F2072" t="str">
            <v>Boyle Heights</v>
          </cell>
          <cell r="G2072">
            <v>0</v>
          </cell>
          <cell r="H2072">
            <v>0</v>
          </cell>
          <cell r="I2072">
            <v>3</v>
          </cell>
          <cell r="J2072">
            <v>0</v>
          </cell>
          <cell r="K2072">
            <v>3</v>
          </cell>
          <cell r="L2072">
            <v>0</v>
          </cell>
          <cell r="M2072">
            <v>3</v>
          </cell>
          <cell r="N2072">
            <v>2.6315789473684199E-2</v>
          </cell>
          <cell r="O2072">
            <v>0</v>
          </cell>
          <cell r="P2072">
            <v>0.24342105263157901</v>
          </cell>
          <cell r="Q2072">
            <v>1</v>
          </cell>
          <cell r="R2072">
            <v>2.8571428571428598E-2</v>
          </cell>
          <cell r="S2072">
            <v>0</v>
          </cell>
        </row>
        <row r="2073">
          <cell r="A2073">
            <v>205110</v>
          </cell>
          <cell r="B2073">
            <v>4</v>
          </cell>
          <cell r="C2073">
            <v>14</v>
          </cell>
          <cell r="D2073">
            <v>1</v>
          </cell>
          <cell r="E2073" t="str">
            <v>NON-HS</v>
          </cell>
          <cell r="F2073" t="str">
            <v>Boyle Heights</v>
          </cell>
          <cell r="G2073">
            <v>0</v>
          </cell>
          <cell r="H2073">
            <v>0</v>
          </cell>
          <cell r="I2073">
            <v>5.5910000000000002</v>
          </cell>
          <cell r="J2073">
            <v>1.43919657</v>
          </cell>
          <cell r="K2073">
            <v>5.43919657</v>
          </cell>
          <cell r="L2073">
            <v>0.15145200614003601</v>
          </cell>
          <cell r="M2073">
            <v>5.5906485761400404</v>
          </cell>
          <cell r="N2073">
            <v>2.6315789473684199E-2</v>
          </cell>
          <cell r="O2073">
            <v>0</v>
          </cell>
          <cell r="P2073">
            <v>0.24342105263157901</v>
          </cell>
          <cell r="Q2073">
            <v>1</v>
          </cell>
          <cell r="R2073">
            <v>2.8571428571428598E-2</v>
          </cell>
          <cell r="S2073">
            <v>0</v>
          </cell>
        </row>
        <row r="2074">
          <cell r="A2074">
            <v>199110</v>
          </cell>
          <cell r="B2074">
            <v>4</v>
          </cell>
          <cell r="C2074">
            <v>14</v>
          </cell>
          <cell r="D2074">
            <v>1</v>
          </cell>
          <cell r="E2074" t="str">
            <v>NON-HS</v>
          </cell>
          <cell r="F2074" t="str">
            <v>El Sereno</v>
          </cell>
          <cell r="G2074">
            <v>0</v>
          </cell>
          <cell r="H2074">
            <v>0</v>
          </cell>
          <cell r="I2074">
            <v>2.0950000000000002</v>
          </cell>
          <cell r="J2074">
            <v>1.9836996600000001</v>
          </cell>
          <cell r="K2074">
            <v>1.9836996600000001</v>
          </cell>
          <cell r="L2074">
            <v>0.11117260138240601</v>
          </cell>
          <cell r="M2074">
            <v>2.09487226138241</v>
          </cell>
          <cell r="N2074">
            <v>2.6315789473684199E-2</v>
          </cell>
          <cell r="O2074">
            <v>0</v>
          </cell>
          <cell r="P2074">
            <v>0.24342105263157901</v>
          </cell>
          <cell r="Q2074">
            <v>1</v>
          </cell>
          <cell r="R2074">
            <v>2.8571428571428598E-2</v>
          </cell>
          <cell r="S2074">
            <v>0</v>
          </cell>
        </row>
        <row r="2075">
          <cell r="A2075">
            <v>181500</v>
          </cell>
          <cell r="B2075">
            <v>4</v>
          </cell>
          <cell r="C2075">
            <v>14</v>
          </cell>
          <cell r="D2075">
            <v>1</v>
          </cell>
          <cell r="E2075" t="str">
            <v>NON-HS</v>
          </cell>
          <cell r="F2075" t="str">
            <v>Eagle Rock</v>
          </cell>
          <cell r="G2075">
            <v>0</v>
          </cell>
          <cell r="H2075">
            <v>0</v>
          </cell>
          <cell r="I2075">
            <v>9.7070000000000007</v>
          </cell>
          <cell r="J2075">
            <v>7.31147583</v>
          </cell>
          <cell r="K2075">
            <v>9.3114758299999991</v>
          </cell>
          <cell r="L2075">
            <v>0.39442253098743302</v>
          </cell>
          <cell r="M2075">
            <v>9.7058983609874296</v>
          </cell>
          <cell r="N2075">
            <v>2.6315789473684199E-2</v>
          </cell>
          <cell r="O2075">
            <v>0</v>
          </cell>
          <cell r="P2075">
            <v>0.24342105263157901</v>
          </cell>
          <cell r="Q2075">
            <v>1</v>
          </cell>
          <cell r="R2075">
            <v>2.8571428571428598E-2</v>
          </cell>
          <cell r="S2075">
            <v>0</v>
          </cell>
        </row>
        <row r="2076">
          <cell r="A2076">
            <v>181600</v>
          </cell>
          <cell r="B2076">
            <v>4</v>
          </cell>
          <cell r="C2076">
            <v>14</v>
          </cell>
          <cell r="D2076">
            <v>1</v>
          </cell>
          <cell r="E2076" t="str">
            <v>NON-HS</v>
          </cell>
          <cell r="F2076" t="str">
            <v>Eagle Rock</v>
          </cell>
          <cell r="G2076">
            <v>0</v>
          </cell>
          <cell r="H2076">
            <v>0</v>
          </cell>
          <cell r="I2076">
            <v>4.1900000000000004</v>
          </cell>
          <cell r="J2076">
            <v>3.9673993200000002</v>
          </cell>
          <cell r="K2076">
            <v>3.9673993200000002</v>
          </cell>
          <cell r="L2076">
            <v>0.22234520276481101</v>
          </cell>
          <cell r="M2076">
            <v>4.1897445227648102</v>
          </cell>
          <cell r="N2076">
            <v>2.6315789473684199E-2</v>
          </cell>
          <cell r="O2076">
            <v>0</v>
          </cell>
          <cell r="P2076">
            <v>0.24342105263157901</v>
          </cell>
          <cell r="Q2076">
            <v>1</v>
          </cell>
          <cell r="R2076">
            <v>2.8571428571428598E-2</v>
          </cell>
          <cell r="S2076">
            <v>0</v>
          </cell>
        </row>
        <row r="2077">
          <cell r="A2077">
            <v>183103</v>
          </cell>
          <cell r="B2077">
            <v>4</v>
          </cell>
          <cell r="C2077">
            <v>14</v>
          </cell>
          <cell r="D2077">
            <v>1</v>
          </cell>
          <cell r="E2077" t="str">
            <v>NON-HS</v>
          </cell>
          <cell r="F2077" t="str">
            <v>Highland Park</v>
          </cell>
          <cell r="G2077">
            <v>0</v>
          </cell>
          <cell r="H2077">
            <v>0</v>
          </cell>
          <cell r="I2077">
            <v>1</v>
          </cell>
          <cell r="J2077">
            <v>0</v>
          </cell>
          <cell r="K2077">
            <v>1</v>
          </cell>
          <cell r="L2077">
            <v>0</v>
          </cell>
          <cell r="M2077">
            <v>1</v>
          </cell>
          <cell r="N2077">
            <v>2.6315789473684199E-2</v>
          </cell>
          <cell r="O2077">
            <v>0</v>
          </cell>
          <cell r="P2077">
            <v>0.24342105263157901</v>
          </cell>
          <cell r="Q2077">
            <v>1</v>
          </cell>
          <cell r="R2077">
            <v>2.8571428571428598E-2</v>
          </cell>
          <cell r="S2077">
            <v>0</v>
          </cell>
        </row>
        <row r="2078">
          <cell r="A2078">
            <v>183221</v>
          </cell>
          <cell r="B2078">
            <v>4</v>
          </cell>
          <cell r="C2078">
            <v>14</v>
          </cell>
          <cell r="D2078">
            <v>1</v>
          </cell>
          <cell r="E2078" t="str">
            <v>NON-HS</v>
          </cell>
          <cell r="F2078" t="str">
            <v>Highland Park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2.6315789473684199E-2</v>
          </cell>
          <cell r="O2078">
            <v>0</v>
          </cell>
          <cell r="P2078">
            <v>0.24342105263157901</v>
          </cell>
          <cell r="Q2078">
            <v>1</v>
          </cell>
          <cell r="R2078">
            <v>2.8571428571428598E-2</v>
          </cell>
          <cell r="S2078">
            <v>0</v>
          </cell>
        </row>
        <row r="2079">
          <cell r="A2079">
            <v>204200</v>
          </cell>
          <cell r="B2079">
            <v>4</v>
          </cell>
          <cell r="C2079">
            <v>14</v>
          </cell>
          <cell r="D2079">
            <v>1</v>
          </cell>
          <cell r="E2079" t="str">
            <v>NON-HS</v>
          </cell>
          <cell r="F2079" t="str">
            <v>Boyle Heights</v>
          </cell>
          <cell r="G2079">
            <v>0</v>
          </cell>
          <cell r="H2079">
            <v>0</v>
          </cell>
          <cell r="I2079">
            <v>3</v>
          </cell>
          <cell r="J2079">
            <v>0</v>
          </cell>
          <cell r="K2079">
            <v>3</v>
          </cell>
          <cell r="L2079">
            <v>0</v>
          </cell>
          <cell r="M2079">
            <v>3</v>
          </cell>
          <cell r="N2079">
            <v>2.6315789473684199E-2</v>
          </cell>
          <cell r="O2079">
            <v>0</v>
          </cell>
          <cell r="P2079">
            <v>0.24342105263157901</v>
          </cell>
          <cell r="Q2079">
            <v>1</v>
          </cell>
          <cell r="R2079">
            <v>2.8571428571428598E-2</v>
          </cell>
          <cell r="S2079">
            <v>0</v>
          </cell>
        </row>
        <row r="2080">
          <cell r="A2080">
            <v>183222</v>
          </cell>
          <cell r="B2080">
            <v>4</v>
          </cell>
          <cell r="C2080">
            <v>14</v>
          </cell>
          <cell r="D2080">
            <v>1</v>
          </cell>
          <cell r="E2080" t="str">
            <v>NON-HS</v>
          </cell>
          <cell r="F2080" t="str">
            <v>Highland Park</v>
          </cell>
          <cell r="G2080">
            <v>0</v>
          </cell>
          <cell r="H2080">
            <v>0</v>
          </cell>
          <cell r="I2080">
            <v>3.6160000000000001</v>
          </cell>
          <cell r="J2080">
            <v>3.4662643399999999</v>
          </cell>
          <cell r="K2080">
            <v>3.4662643399999999</v>
          </cell>
          <cell r="L2080">
            <v>0.14997102057450601</v>
          </cell>
          <cell r="M2080">
            <v>3.6162353605745099</v>
          </cell>
          <cell r="N2080">
            <v>2.6315789473684199E-2</v>
          </cell>
          <cell r="O2080">
            <v>0</v>
          </cell>
          <cell r="P2080">
            <v>0.24342105263157901</v>
          </cell>
          <cell r="Q2080">
            <v>1</v>
          </cell>
          <cell r="R2080">
            <v>2.8571428571428598E-2</v>
          </cell>
          <cell r="S2080">
            <v>0</v>
          </cell>
        </row>
        <row r="2081">
          <cell r="A2081">
            <v>183300</v>
          </cell>
          <cell r="B2081">
            <v>4</v>
          </cell>
          <cell r="C2081">
            <v>14</v>
          </cell>
          <cell r="D2081">
            <v>1</v>
          </cell>
          <cell r="E2081" t="str">
            <v>NON-HS</v>
          </cell>
          <cell r="F2081" t="str">
            <v>Highland Park</v>
          </cell>
          <cell r="G2081">
            <v>0</v>
          </cell>
          <cell r="H2081">
            <v>0</v>
          </cell>
          <cell r="I2081">
            <v>8.093</v>
          </cell>
          <cell r="J2081">
            <v>7.6842311499999996</v>
          </cell>
          <cell r="K2081">
            <v>7.6842311499999996</v>
          </cell>
          <cell r="L2081">
            <v>0.40850331443447002</v>
          </cell>
          <cell r="M2081">
            <v>8.0927344644344696</v>
          </cell>
          <cell r="N2081">
            <v>2.6315789473684199E-2</v>
          </cell>
          <cell r="O2081">
            <v>0</v>
          </cell>
          <cell r="P2081">
            <v>0.24342105263157901</v>
          </cell>
          <cell r="Q2081">
            <v>1</v>
          </cell>
          <cell r="R2081">
            <v>2.8571428571428598E-2</v>
          </cell>
          <cell r="S2081">
            <v>0</v>
          </cell>
        </row>
        <row r="2082">
          <cell r="A2082">
            <v>183401</v>
          </cell>
          <cell r="B2082">
            <v>4</v>
          </cell>
          <cell r="C2082">
            <v>14</v>
          </cell>
          <cell r="D2082">
            <v>1</v>
          </cell>
          <cell r="E2082" t="str">
            <v>NON-HS</v>
          </cell>
          <cell r="F2082" t="str">
            <v>Highland Park</v>
          </cell>
          <cell r="G2082">
            <v>0</v>
          </cell>
          <cell r="H2082">
            <v>0</v>
          </cell>
          <cell r="I2082">
            <v>14.494999999999999</v>
          </cell>
          <cell r="J2082">
            <v>13.807077899999999</v>
          </cell>
          <cell r="K2082">
            <v>13.807077899999999</v>
          </cell>
          <cell r="L2082">
            <v>0.68766093037702003</v>
          </cell>
          <cell r="M2082">
            <v>14.494738830377001</v>
          </cell>
          <cell r="N2082">
            <v>2.6315789473684199E-2</v>
          </cell>
          <cell r="O2082">
            <v>0</v>
          </cell>
          <cell r="P2082">
            <v>0.24342105263157901</v>
          </cell>
          <cell r="Q2082">
            <v>1</v>
          </cell>
          <cell r="R2082">
            <v>2.8571428571428598E-2</v>
          </cell>
          <cell r="S2082">
            <v>0</v>
          </cell>
        </row>
        <row r="2083">
          <cell r="A2083">
            <v>183402</v>
          </cell>
          <cell r="B2083">
            <v>4</v>
          </cell>
          <cell r="C2083">
            <v>14</v>
          </cell>
          <cell r="D2083">
            <v>1</v>
          </cell>
          <cell r="E2083" t="str">
            <v>NON-HS</v>
          </cell>
          <cell r="F2083" t="str">
            <v>Eagle Rock</v>
          </cell>
          <cell r="G2083">
            <v>1</v>
          </cell>
          <cell r="H2083">
            <v>1</v>
          </cell>
          <cell r="I2083">
            <v>19.28</v>
          </cell>
          <cell r="J2083">
            <v>17.35216196</v>
          </cell>
          <cell r="K2083">
            <v>18.35216196</v>
          </cell>
          <cell r="L2083">
            <v>0.92817923025134597</v>
          </cell>
          <cell r="M2083">
            <v>19.280341190251299</v>
          </cell>
          <cell r="N2083">
            <v>2.6315789473684199E-2</v>
          </cell>
          <cell r="O2083">
            <v>38</v>
          </cell>
          <cell r="P2083">
            <v>0.24342105263157901</v>
          </cell>
          <cell r="Q2083">
            <v>1</v>
          </cell>
        </row>
        <row r="2084">
          <cell r="A2084">
            <v>183702</v>
          </cell>
          <cell r="B2084">
            <v>4</v>
          </cell>
          <cell r="C2084">
            <v>14</v>
          </cell>
          <cell r="D2084">
            <v>1</v>
          </cell>
          <cell r="E2084" t="str">
            <v>NON-HS</v>
          </cell>
          <cell r="F2084" t="str">
            <v>Eagle Rock</v>
          </cell>
          <cell r="G2084">
            <v>0</v>
          </cell>
          <cell r="H2084">
            <v>0</v>
          </cell>
          <cell r="I2084">
            <v>6.4240000000000004</v>
          </cell>
          <cell r="J2084">
            <v>5.1993965099999997</v>
          </cell>
          <cell r="K2084">
            <v>6.1993965099999997</v>
          </cell>
          <cell r="L2084">
            <v>0.22495653086175901</v>
          </cell>
          <cell r="M2084">
            <v>6.4243530408617602</v>
          </cell>
          <cell r="N2084">
            <v>2.6315789473684199E-2</v>
          </cell>
          <cell r="O2084">
            <v>0</v>
          </cell>
          <cell r="P2084">
            <v>0.24342105263157901</v>
          </cell>
          <cell r="Q2084">
            <v>1</v>
          </cell>
          <cell r="R2084">
            <v>2.8571428571428598E-2</v>
          </cell>
          <cell r="S2084">
            <v>0</v>
          </cell>
        </row>
        <row r="2085">
          <cell r="A2085">
            <v>203720</v>
          </cell>
          <cell r="B2085">
            <v>4</v>
          </cell>
          <cell r="C2085">
            <v>14</v>
          </cell>
          <cell r="D2085">
            <v>1</v>
          </cell>
          <cell r="E2085" t="str">
            <v>NON-HS</v>
          </cell>
          <cell r="F2085" t="str">
            <v>Boyle Heights</v>
          </cell>
          <cell r="G2085">
            <v>0</v>
          </cell>
          <cell r="H2085">
            <v>0</v>
          </cell>
          <cell r="I2085">
            <v>3</v>
          </cell>
          <cell r="J2085">
            <v>0</v>
          </cell>
          <cell r="K2085">
            <v>3</v>
          </cell>
          <cell r="L2085">
            <v>0</v>
          </cell>
          <cell r="M2085">
            <v>3</v>
          </cell>
          <cell r="N2085">
            <v>2.6315789473684199E-2</v>
          </cell>
          <cell r="O2085">
            <v>0</v>
          </cell>
          <cell r="P2085">
            <v>0.24342105263157901</v>
          </cell>
          <cell r="Q2085">
            <v>1</v>
          </cell>
          <cell r="R2085">
            <v>2.8571428571428598E-2</v>
          </cell>
          <cell r="S2085">
            <v>0</v>
          </cell>
        </row>
        <row r="2086">
          <cell r="A2086">
            <v>201110</v>
          </cell>
          <cell r="B2086">
            <v>4</v>
          </cell>
          <cell r="C2086">
            <v>14</v>
          </cell>
          <cell r="D2086">
            <v>1</v>
          </cell>
          <cell r="E2086" t="str">
            <v>NON-HS</v>
          </cell>
          <cell r="F2086" t="str">
            <v>El Sereno</v>
          </cell>
          <cell r="G2086">
            <v>0</v>
          </cell>
          <cell r="H2086">
            <v>0</v>
          </cell>
          <cell r="I2086">
            <v>14.324999999999999</v>
          </cell>
          <cell r="J2086">
            <v>13.728258179999999</v>
          </cell>
          <cell r="K2086">
            <v>13.728258179999999</v>
          </cell>
          <cell r="L2086">
            <v>0.59711365107719905</v>
          </cell>
          <cell r="M2086">
            <v>14.3253718310772</v>
          </cell>
          <cell r="N2086">
            <v>2.6315789473684199E-2</v>
          </cell>
          <cell r="O2086">
            <v>0</v>
          </cell>
          <cell r="P2086">
            <v>0.24342105263157901</v>
          </cell>
          <cell r="Q2086">
            <v>1</v>
          </cell>
          <cell r="R2086">
            <v>2.8571428571428598E-2</v>
          </cell>
          <cell r="S2086">
            <v>0</v>
          </cell>
        </row>
        <row r="2087">
          <cell r="A2087">
            <v>201120</v>
          </cell>
          <cell r="B2087">
            <v>4</v>
          </cell>
          <cell r="C2087">
            <v>14</v>
          </cell>
          <cell r="D2087">
            <v>1</v>
          </cell>
          <cell r="E2087" t="str">
            <v>NON-HS</v>
          </cell>
          <cell r="F2087" t="str">
            <v>El Sereno</v>
          </cell>
          <cell r="G2087">
            <v>0</v>
          </cell>
          <cell r="H2087">
            <v>0</v>
          </cell>
          <cell r="I2087">
            <v>14.664</v>
          </cell>
          <cell r="J2087">
            <v>13.88589762</v>
          </cell>
          <cell r="K2087">
            <v>13.88589762</v>
          </cell>
          <cell r="L2087">
            <v>0.77820820967684001</v>
          </cell>
          <cell r="M2087">
            <v>14.664105829676799</v>
          </cell>
          <cell r="N2087">
            <v>2.6315789473684199E-2</v>
          </cell>
          <cell r="O2087">
            <v>0</v>
          </cell>
          <cell r="P2087">
            <v>0.24342105263157901</v>
          </cell>
          <cell r="Q2087">
            <v>1</v>
          </cell>
          <cell r="R2087">
            <v>2.8571428571428598E-2</v>
          </cell>
          <cell r="S2087">
            <v>0</v>
          </cell>
        </row>
        <row r="2088">
          <cell r="A2088">
            <v>201302</v>
          </cell>
          <cell r="B2088">
            <v>4</v>
          </cell>
          <cell r="C2088">
            <v>14</v>
          </cell>
          <cell r="D2088">
            <v>1</v>
          </cell>
          <cell r="E2088" t="str">
            <v>NON-HS</v>
          </cell>
          <cell r="F2088" t="str">
            <v>Eagle Rock</v>
          </cell>
          <cell r="G2088">
            <v>1</v>
          </cell>
          <cell r="H2088">
            <v>1</v>
          </cell>
          <cell r="I2088">
            <v>3.6859999999999999</v>
          </cell>
          <cell r="J2088">
            <v>3.4228962300000001</v>
          </cell>
          <cell r="K2088">
            <v>3.4228962300000001</v>
          </cell>
          <cell r="L2088">
            <v>0.26262460752244199</v>
          </cell>
          <cell r="M2088">
            <v>3.6855208375224402</v>
          </cell>
          <cell r="N2088">
            <v>2.6315789473684199E-2</v>
          </cell>
          <cell r="O2088">
            <v>38</v>
          </cell>
          <cell r="P2088">
            <v>0.24342105263157901</v>
          </cell>
          <cell r="Q2088">
            <v>1</v>
          </cell>
        </row>
        <row r="2089">
          <cell r="A2089">
            <v>201401</v>
          </cell>
          <cell r="B2089">
            <v>4</v>
          </cell>
          <cell r="C2089">
            <v>14</v>
          </cell>
          <cell r="D2089">
            <v>1</v>
          </cell>
          <cell r="E2089" t="str">
            <v>NON-HS</v>
          </cell>
          <cell r="F2089" t="str">
            <v>El Sereno</v>
          </cell>
          <cell r="G2089">
            <v>0</v>
          </cell>
          <cell r="H2089">
            <v>0</v>
          </cell>
          <cell r="I2089">
            <v>12.983000000000001</v>
          </cell>
          <cell r="J2089">
            <v>12.17356863</v>
          </cell>
          <cell r="K2089">
            <v>12.17356863</v>
          </cell>
          <cell r="L2089">
            <v>0.80849914464991002</v>
          </cell>
          <cell r="M2089">
            <v>12.9820677746499</v>
          </cell>
          <cell r="N2089">
            <v>2.6315789473684199E-2</v>
          </cell>
          <cell r="O2089">
            <v>0</v>
          </cell>
          <cell r="P2089">
            <v>0.24342105263157901</v>
          </cell>
          <cell r="Q2089">
            <v>1</v>
          </cell>
          <cell r="R2089">
            <v>2.8571428571428598E-2</v>
          </cell>
          <cell r="S2089">
            <v>0</v>
          </cell>
        </row>
        <row r="2090">
          <cell r="A2090">
            <v>201501</v>
          </cell>
          <cell r="B2090">
            <v>4</v>
          </cell>
          <cell r="C2090">
            <v>14</v>
          </cell>
          <cell r="D2090">
            <v>1</v>
          </cell>
          <cell r="E2090" t="str">
            <v>NON-HS</v>
          </cell>
          <cell r="F2090" t="str">
            <v>El Sereno</v>
          </cell>
          <cell r="G2090">
            <v>0</v>
          </cell>
          <cell r="H2090">
            <v>0</v>
          </cell>
          <cell r="I2090">
            <v>14.569000000000001</v>
          </cell>
          <cell r="J2090">
            <v>11.902197960000001</v>
          </cell>
          <cell r="K2090">
            <v>13.902197960000001</v>
          </cell>
          <cell r="L2090">
            <v>0.66703560829443398</v>
          </cell>
          <cell r="M2090">
            <v>14.569233568294401</v>
          </cell>
          <cell r="N2090">
            <v>2.6315789473684199E-2</v>
          </cell>
          <cell r="O2090">
            <v>0</v>
          </cell>
          <cell r="P2090">
            <v>0.24342105263157901</v>
          </cell>
          <cell r="Q2090">
            <v>1</v>
          </cell>
          <cell r="R2090">
            <v>2.8571428571428598E-2</v>
          </cell>
          <cell r="S2090">
            <v>0</v>
          </cell>
        </row>
        <row r="2091">
          <cell r="A2091">
            <v>201700</v>
          </cell>
          <cell r="B2091">
            <v>4</v>
          </cell>
          <cell r="C2091">
            <v>14</v>
          </cell>
          <cell r="D2091">
            <v>1</v>
          </cell>
          <cell r="E2091" t="str">
            <v>NON-HS</v>
          </cell>
          <cell r="F2091" t="str">
            <v>El Sereno</v>
          </cell>
          <cell r="G2091">
            <v>0</v>
          </cell>
          <cell r="H2091">
            <v>0</v>
          </cell>
          <cell r="I2091">
            <v>7.8760000000000003</v>
          </cell>
          <cell r="J2091">
            <v>7.3902955500000003</v>
          </cell>
          <cell r="K2091">
            <v>7.3902955500000003</v>
          </cell>
          <cell r="L2091">
            <v>0.484969810287253</v>
          </cell>
          <cell r="M2091">
            <v>7.8752653602872504</v>
          </cell>
          <cell r="N2091">
            <v>2.6315789473684199E-2</v>
          </cell>
          <cell r="O2091">
            <v>0</v>
          </cell>
          <cell r="P2091">
            <v>0.24342105263157901</v>
          </cell>
          <cell r="Q2091">
            <v>1</v>
          </cell>
          <cell r="R2091">
            <v>2.8571428571428598E-2</v>
          </cell>
          <cell r="S2091">
            <v>0</v>
          </cell>
        </row>
        <row r="2092">
          <cell r="A2092">
            <v>206200</v>
          </cell>
          <cell r="B2092">
            <v>9</v>
          </cell>
          <cell r="C2092">
            <v>14</v>
          </cell>
          <cell r="D2092">
            <v>1</v>
          </cell>
          <cell r="E2092" t="str">
            <v>SKIDROW</v>
          </cell>
          <cell r="F2092" t="str">
            <v>Skid Row</v>
          </cell>
          <cell r="G2092">
            <v>1</v>
          </cell>
          <cell r="H2092">
            <v>1</v>
          </cell>
          <cell r="I2092">
            <v>519.49599999999998</v>
          </cell>
          <cell r="J2092">
            <v>372.63396153000002</v>
          </cell>
          <cell r="K2092">
            <v>514.63396152999997</v>
          </cell>
          <cell r="L2092">
            <v>4.8670707393716297</v>
          </cell>
          <cell r="M2092">
            <v>519.50103226937199</v>
          </cell>
          <cell r="N2092">
            <v>1</v>
          </cell>
          <cell r="O2092">
            <v>1</v>
          </cell>
        </row>
        <row r="2093">
          <cell r="A2093">
            <v>206300</v>
          </cell>
          <cell r="B2093">
            <v>9</v>
          </cell>
          <cell r="C2093">
            <v>14</v>
          </cell>
          <cell r="D2093">
            <v>2</v>
          </cell>
          <cell r="E2093" t="str">
            <v>SKIDROW</v>
          </cell>
          <cell r="F2093" t="str">
            <v>Skid Row</v>
          </cell>
          <cell r="G2093">
            <v>1</v>
          </cell>
          <cell r="H2093">
            <v>1</v>
          </cell>
          <cell r="I2093">
            <v>1211.0440000000001</v>
          </cell>
          <cell r="J2093">
            <v>701.46323719999998</v>
          </cell>
          <cell r="K2093">
            <v>1199.4632372000001</v>
          </cell>
          <cell r="L2093">
            <v>11.585002561328499</v>
          </cell>
          <cell r="M2093">
            <v>1211.04823976133</v>
          </cell>
          <cell r="N2093">
            <v>1</v>
          </cell>
          <cell r="O2093">
            <v>1</v>
          </cell>
        </row>
        <row r="2094">
          <cell r="A2094">
            <v>207301</v>
          </cell>
          <cell r="B2094">
            <v>9</v>
          </cell>
          <cell r="C2094">
            <v>14</v>
          </cell>
          <cell r="D2094">
            <v>1</v>
          </cell>
          <cell r="E2094" t="str">
            <v>SKIDROW</v>
          </cell>
          <cell r="F2094" t="str">
            <v>Skid Row</v>
          </cell>
          <cell r="G2094">
            <v>1</v>
          </cell>
          <cell r="H2094">
            <v>1</v>
          </cell>
          <cell r="I2094">
            <v>148.43799999999999</v>
          </cell>
          <cell r="J2094">
            <v>28.126022460000002</v>
          </cell>
          <cell r="K2094">
            <v>148.12602246</v>
          </cell>
          <cell r="L2094">
            <v>0.31111305059246003</v>
          </cell>
          <cell r="M2094">
            <v>148.43713551059199</v>
          </cell>
          <cell r="N2094">
            <v>1</v>
          </cell>
          <cell r="O2094">
            <v>1</v>
          </cell>
        </row>
        <row r="2095">
          <cell r="A2095">
            <v>207302</v>
          </cell>
          <cell r="B2095">
            <v>9</v>
          </cell>
          <cell r="C2095">
            <v>14</v>
          </cell>
          <cell r="D2095">
            <v>1</v>
          </cell>
          <cell r="E2095" t="str">
            <v>SKIDROW</v>
          </cell>
          <cell r="F2095" t="str">
            <v>Skid Row</v>
          </cell>
          <cell r="G2095">
            <v>1</v>
          </cell>
          <cell r="H2095">
            <v>1</v>
          </cell>
          <cell r="I2095">
            <v>59.552999999999997</v>
          </cell>
          <cell r="J2095">
            <v>11.429279640000001</v>
          </cell>
          <cell r="K2095">
            <v>59.429279639999997</v>
          </cell>
          <cell r="L2095">
            <v>0.123751932495512</v>
          </cell>
          <cell r="M2095">
            <v>59.553031572495499</v>
          </cell>
          <cell r="N2095">
            <v>1</v>
          </cell>
          <cell r="O2095">
            <v>1</v>
          </cell>
        </row>
        <row r="2096">
          <cell r="A2096">
            <v>243100</v>
          </cell>
          <cell r="B2096">
            <v>6</v>
          </cell>
          <cell r="C2096">
            <v>15</v>
          </cell>
          <cell r="D2096">
            <v>2</v>
          </cell>
          <cell r="E2096" t="str">
            <v>CVCTE</v>
          </cell>
          <cell r="F2096" t="str">
            <v>Watts</v>
          </cell>
          <cell r="G2096">
            <v>0</v>
          </cell>
          <cell r="H2096">
            <v>0</v>
          </cell>
          <cell r="I2096">
            <v>34.19</v>
          </cell>
          <cell r="J2096">
            <v>3.9673993200000002</v>
          </cell>
          <cell r="K2096">
            <v>33.967399319999998</v>
          </cell>
          <cell r="L2096">
            <v>0.22234520276481101</v>
          </cell>
          <cell r="M2096">
            <v>34.189744522764798</v>
          </cell>
          <cell r="N2096">
            <v>0.16393442622950799</v>
          </cell>
          <cell r="O2096">
            <v>0</v>
          </cell>
          <cell r="P2096">
            <v>8.1967213114754106E-2</v>
          </cell>
          <cell r="Q2096">
            <v>0.15625</v>
          </cell>
        </row>
        <row r="2097">
          <cell r="A2097">
            <v>241001</v>
          </cell>
          <cell r="B2097">
            <v>6</v>
          </cell>
          <cell r="C2097">
            <v>15</v>
          </cell>
          <cell r="D2097">
            <v>2</v>
          </cell>
          <cell r="E2097" t="str">
            <v>CVCTE</v>
          </cell>
          <cell r="F2097" t="str">
            <v>Green Meadows</v>
          </cell>
          <cell r="G2097">
            <v>0</v>
          </cell>
          <cell r="H2097">
            <v>0</v>
          </cell>
          <cell r="I2097">
            <v>76.403000000000006</v>
          </cell>
          <cell r="J2097">
            <v>62.204711410000002</v>
          </cell>
          <cell r="K2097">
            <v>73.204711410000002</v>
          </cell>
          <cell r="L2097">
            <v>3.19826366138241</v>
          </cell>
          <cell r="M2097">
            <v>76.4029750713824</v>
          </cell>
          <cell r="N2097">
            <v>0.16393442622950799</v>
          </cell>
          <cell r="O2097">
            <v>0</v>
          </cell>
          <cell r="P2097">
            <v>8.1967213114754106E-2</v>
          </cell>
          <cell r="Q2097">
            <v>0.15625</v>
          </cell>
        </row>
        <row r="2098">
          <cell r="A2098">
            <v>241002</v>
          </cell>
          <cell r="B2098">
            <v>6</v>
          </cell>
          <cell r="C2098">
            <v>15</v>
          </cell>
          <cell r="D2098">
            <v>2</v>
          </cell>
          <cell r="E2098" t="str">
            <v>CVCTE</v>
          </cell>
          <cell r="F2098" t="str">
            <v>Green Meadows</v>
          </cell>
          <cell r="G2098">
            <v>1</v>
          </cell>
          <cell r="H2098">
            <v>1</v>
          </cell>
          <cell r="I2098">
            <v>61.451000000000001</v>
          </cell>
          <cell r="J2098">
            <v>55.569326760000003</v>
          </cell>
          <cell r="K2098">
            <v>57.569326760000003</v>
          </cell>
          <cell r="L2098">
            <v>3.8820469535008999</v>
          </cell>
          <cell r="M2098">
            <v>61.451373713500899</v>
          </cell>
          <cell r="N2098">
            <v>0.16393442622950799</v>
          </cell>
          <cell r="O2098">
            <v>6.1</v>
          </cell>
          <cell r="P2098">
            <v>8.1967213114754106E-2</v>
          </cell>
          <cell r="Q2098">
            <v>0.15625</v>
          </cell>
        </row>
        <row r="2099">
          <cell r="A2099">
            <v>241400</v>
          </cell>
          <cell r="B2099">
            <v>6</v>
          </cell>
          <cell r="C2099">
            <v>15</v>
          </cell>
          <cell r="D2099">
            <v>2</v>
          </cell>
          <cell r="E2099" t="str">
            <v>CVCTE</v>
          </cell>
          <cell r="F2099" t="str">
            <v>Green Meadows</v>
          </cell>
          <cell r="G2099">
            <v>0</v>
          </cell>
          <cell r="H2099">
            <v>0</v>
          </cell>
          <cell r="I2099">
            <v>81.366</v>
          </cell>
          <cell r="J2099">
            <v>80.124539409999997</v>
          </cell>
          <cell r="K2099">
            <v>80.124539409999997</v>
          </cell>
          <cell r="L2099">
            <v>1.2412424911131099</v>
          </cell>
          <cell r="M2099">
            <v>81.365781901113095</v>
          </cell>
          <cell r="N2099">
            <v>0.16393442622950799</v>
          </cell>
          <cell r="O2099">
            <v>0</v>
          </cell>
          <cell r="P2099">
            <v>8.1967213114754106E-2</v>
          </cell>
          <cell r="Q2099">
            <v>0.15625</v>
          </cell>
        </row>
        <row r="2100">
          <cell r="A2100">
            <v>242600</v>
          </cell>
          <cell r="B2100">
            <v>6</v>
          </cell>
          <cell r="C2100">
            <v>15</v>
          </cell>
          <cell r="D2100">
            <v>2</v>
          </cell>
          <cell r="E2100" t="str">
            <v>CVCTE</v>
          </cell>
          <cell r="F2100" t="str">
            <v>Watts</v>
          </cell>
          <cell r="G2100">
            <v>1</v>
          </cell>
          <cell r="H2100">
            <v>1</v>
          </cell>
          <cell r="I2100">
            <v>97.022000000000006</v>
          </cell>
          <cell r="J2100">
            <v>34.767452089999999</v>
          </cell>
          <cell r="K2100">
            <v>95.767452090000006</v>
          </cell>
          <cell r="L2100">
            <v>1.25527066535009</v>
          </cell>
          <cell r="M2100">
            <v>97.022722755350102</v>
          </cell>
          <cell r="N2100">
            <v>0.16393442622950799</v>
          </cell>
          <cell r="O2100">
            <v>6.1</v>
          </cell>
          <cell r="P2100">
            <v>8.1967213114754106E-2</v>
          </cell>
          <cell r="Q2100">
            <v>0.15625</v>
          </cell>
        </row>
        <row r="2101">
          <cell r="A2101">
            <v>609900</v>
          </cell>
          <cell r="B2101">
            <v>8</v>
          </cell>
          <cell r="C2101">
            <v>15</v>
          </cell>
          <cell r="D2101">
            <v>4</v>
          </cell>
          <cell r="E2101" t="str">
            <v>CVCTE</v>
          </cell>
          <cell r="F2101" t="str">
            <v>La Rambla</v>
          </cell>
          <cell r="G2101">
            <v>0</v>
          </cell>
          <cell r="H2101">
            <v>0</v>
          </cell>
          <cell r="I2101">
            <v>23.222999999999999</v>
          </cell>
          <cell r="J2101">
            <v>20.195103490000001</v>
          </cell>
          <cell r="K2101">
            <v>22.195103490000001</v>
          </cell>
          <cell r="L2101">
            <v>1.02788237628366</v>
          </cell>
          <cell r="M2101">
            <v>23.2229858662837</v>
          </cell>
          <cell r="N2101">
            <v>0.27272727272727298</v>
          </cell>
          <cell r="O2101">
            <v>0</v>
          </cell>
          <cell r="P2101">
            <v>0.35064935064935099</v>
          </cell>
          <cell r="Q2101">
            <v>0.84375</v>
          </cell>
          <cell r="R2101">
            <v>5.2631578947368397E-2</v>
          </cell>
          <cell r="S2101">
            <v>0</v>
          </cell>
        </row>
        <row r="2102">
          <cell r="A2102">
            <v>291120</v>
          </cell>
          <cell r="B2102">
            <v>8</v>
          </cell>
          <cell r="C2102">
            <v>15</v>
          </cell>
          <cell r="D2102">
            <v>2</v>
          </cell>
          <cell r="E2102" t="str">
            <v>CVCTE</v>
          </cell>
          <cell r="F2102" t="str">
            <v>Harbor Gateway</v>
          </cell>
          <cell r="G2102">
            <v>0</v>
          </cell>
          <cell r="H2102">
            <v>0</v>
          </cell>
          <cell r="I2102">
            <v>25.995999999999999</v>
          </cell>
          <cell r="J2102">
            <v>22.384240779999999</v>
          </cell>
          <cell r="K2102">
            <v>24.384240779999999</v>
          </cell>
          <cell r="L2102">
            <v>1.61110213317774</v>
          </cell>
          <cell r="M2102">
            <v>25.995342913177701</v>
          </cell>
          <cell r="N2102">
            <v>0.27272727272727298</v>
          </cell>
          <cell r="O2102">
            <v>0</v>
          </cell>
          <cell r="P2102">
            <v>0.35064935064935099</v>
          </cell>
          <cell r="Q2102">
            <v>0.84375</v>
          </cell>
          <cell r="R2102">
            <v>5.2631578947368397E-2</v>
          </cell>
          <cell r="S2102">
            <v>0</v>
          </cell>
        </row>
        <row r="2103">
          <cell r="A2103">
            <v>291130</v>
          </cell>
          <cell r="B2103">
            <v>8</v>
          </cell>
          <cell r="C2103">
            <v>15</v>
          </cell>
          <cell r="D2103">
            <v>2</v>
          </cell>
          <cell r="E2103" t="str">
            <v>CVCTE</v>
          </cell>
          <cell r="F2103" t="str">
            <v>Harbor Gateway</v>
          </cell>
          <cell r="G2103">
            <v>1</v>
          </cell>
          <cell r="H2103">
            <v>1</v>
          </cell>
          <cell r="I2103">
            <v>5.19</v>
          </cell>
          <cell r="J2103">
            <v>3.9673993200000002</v>
          </cell>
          <cell r="K2103">
            <v>4.9673993200000002</v>
          </cell>
          <cell r="L2103">
            <v>0.22234520276481101</v>
          </cell>
          <cell r="M2103">
            <v>5.1897445227648102</v>
          </cell>
          <cell r="N2103">
            <v>0.27272727272727298</v>
          </cell>
          <cell r="O2103">
            <v>3.6666666666666701</v>
          </cell>
          <cell r="P2103">
            <v>0.35064935064935099</v>
          </cell>
          <cell r="Q2103">
            <v>0.84375</v>
          </cell>
        </row>
        <row r="2104">
          <cell r="A2104">
            <v>291220</v>
          </cell>
          <cell r="B2104">
            <v>8</v>
          </cell>
          <cell r="C2104">
            <v>15</v>
          </cell>
          <cell r="D2104">
            <v>2</v>
          </cell>
          <cell r="E2104" t="str">
            <v>CVCTE</v>
          </cell>
          <cell r="F2104" t="str">
            <v>Harbor Gateway</v>
          </cell>
          <cell r="G2104">
            <v>0</v>
          </cell>
          <cell r="H2104">
            <v>0</v>
          </cell>
          <cell r="I2104">
            <v>8.3680000000000003</v>
          </cell>
          <cell r="J2104">
            <v>7.1538363900000004</v>
          </cell>
          <cell r="K2104">
            <v>8.1538363900000004</v>
          </cell>
          <cell r="L2104">
            <v>0.213327972387792</v>
          </cell>
          <cell r="M2104">
            <v>8.3671643623877898</v>
          </cell>
          <cell r="N2104">
            <v>0.27272727272727298</v>
          </cell>
          <cell r="O2104">
            <v>0</v>
          </cell>
          <cell r="P2104">
            <v>0.35064935064935099</v>
          </cell>
          <cell r="Q2104">
            <v>0.84375</v>
          </cell>
          <cell r="R2104">
            <v>5.2631578947368397E-2</v>
          </cell>
          <cell r="S2104">
            <v>0</v>
          </cell>
        </row>
        <row r="2105">
          <cell r="A2105">
            <v>291300</v>
          </cell>
          <cell r="B2105">
            <v>8</v>
          </cell>
          <cell r="C2105">
            <v>15</v>
          </cell>
          <cell r="D2105">
            <v>2</v>
          </cell>
          <cell r="E2105" t="str">
            <v>CVCTE</v>
          </cell>
          <cell r="F2105" t="str">
            <v>Harbor Gateway</v>
          </cell>
          <cell r="G2105">
            <v>0</v>
          </cell>
          <cell r="H2105">
            <v>0</v>
          </cell>
          <cell r="I2105">
            <v>65.119</v>
          </cell>
          <cell r="J2105">
            <v>53.004397570000002</v>
          </cell>
          <cell r="K2105">
            <v>64.004397569999995</v>
          </cell>
          <cell r="L2105">
            <v>1.1147636315439899</v>
          </cell>
          <cell r="M2105">
            <v>65.119161201544003</v>
          </cell>
          <cell r="N2105">
            <v>0.27272727272727298</v>
          </cell>
          <cell r="O2105">
            <v>0</v>
          </cell>
          <cell r="P2105">
            <v>0.35064935064935099</v>
          </cell>
          <cell r="Q2105">
            <v>0.84375</v>
          </cell>
          <cell r="R2105">
            <v>5.2631578947368397E-2</v>
          </cell>
          <cell r="S2105">
            <v>0</v>
          </cell>
        </row>
        <row r="2106">
          <cell r="A2106">
            <v>292000</v>
          </cell>
          <cell r="B2106">
            <v>8</v>
          </cell>
          <cell r="C2106">
            <v>15</v>
          </cell>
          <cell r="D2106">
            <v>4</v>
          </cell>
          <cell r="E2106" t="str">
            <v>CVCTE</v>
          </cell>
          <cell r="F2106" t="str">
            <v>Harbor Gateway</v>
          </cell>
          <cell r="G2106">
            <v>1</v>
          </cell>
          <cell r="H2106">
            <v>1</v>
          </cell>
          <cell r="I2106">
            <v>20.661999999999999</v>
          </cell>
          <cell r="J2106">
            <v>19.586429110000001</v>
          </cell>
          <cell r="K2106">
            <v>19.586429110000001</v>
          </cell>
          <cell r="L2106">
            <v>1.0755389227289001</v>
          </cell>
          <cell r="M2106">
            <v>20.6619680327289</v>
          </cell>
          <cell r="N2106">
            <v>0.27272727272727298</v>
          </cell>
          <cell r="O2106">
            <v>3.6666666666666701</v>
          </cell>
          <cell r="P2106">
            <v>0.35064935064935099</v>
          </cell>
          <cell r="Q2106">
            <v>0.84375</v>
          </cell>
        </row>
        <row r="2107">
          <cell r="A2107">
            <v>293304</v>
          </cell>
          <cell r="B2107">
            <v>8</v>
          </cell>
          <cell r="C2107">
            <v>15</v>
          </cell>
          <cell r="D2107">
            <v>4</v>
          </cell>
          <cell r="E2107" t="str">
            <v>CVCTE</v>
          </cell>
          <cell r="F2107" t="str">
            <v>Harbor City</v>
          </cell>
          <cell r="G2107">
            <v>0</v>
          </cell>
          <cell r="H2107">
            <v>0</v>
          </cell>
          <cell r="I2107">
            <v>28.972000000000001</v>
          </cell>
          <cell r="J2107">
            <v>26.903540830000001</v>
          </cell>
          <cell r="K2107">
            <v>27.903540830000001</v>
          </cell>
          <cell r="L2107">
            <v>1.0683595414362701</v>
          </cell>
          <cell r="M2107">
            <v>28.971900371436298</v>
          </cell>
          <cell r="N2107">
            <v>0.27272727272727298</v>
          </cell>
          <cell r="O2107">
            <v>0</v>
          </cell>
          <cell r="P2107">
            <v>0.35064935064935099</v>
          </cell>
          <cell r="Q2107">
            <v>0.84375</v>
          </cell>
          <cell r="R2107">
            <v>5.2631578947368397E-2</v>
          </cell>
          <cell r="S2107">
            <v>0</v>
          </cell>
        </row>
        <row r="2108">
          <cell r="A2108">
            <v>294301</v>
          </cell>
          <cell r="B2108">
            <v>8</v>
          </cell>
          <cell r="C2108">
            <v>15</v>
          </cell>
          <cell r="D2108">
            <v>4</v>
          </cell>
          <cell r="E2108" t="str">
            <v>CVCTE</v>
          </cell>
          <cell r="F2108" t="str">
            <v>Wilmington</v>
          </cell>
          <cell r="G2108">
            <v>0</v>
          </cell>
          <cell r="H2108">
            <v>0</v>
          </cell>
          <cell r="I2108">
            <v>12.205</v>
          </cell>
          <cell r="J2108">
            <v>10.6059924</v>
          </cell>
          <cell r="K2108">
            <v>11.6059924</v>
          </cell>
          <cell r="L2108">
            <v>0.59875373976660695</v>
          </cell>
          <cell r="M2108">
            <v>12.2047461397666</v>
          </cell>
          <cell r="N2108">
            <v>0.27272727272727298</v>
          </cell>
          <cell r="O2108">
            <v>0</v>
          </cell>
          <cell r="P2108">
            <v>0.35064935064935099</v>
          </cell>
          <cell r="Q2108">
            <v>0.84375</v>
          </cell>
          <cell r="R2108">
            <v>5.2631578947368397E-2</v>
          </cell>
          <cell r="S2108">
            <v>0</v>
          </cell>
        </row>
        <row r="2109">
          <cell r="A2109">
            <v>294120</v>
          </cell>
          <cell r="B2109">
            <v>8</v>
          </cell>
          <cell r="C2109">
            <v>15</v>
          </cell>
          <cell r="D2109">
            <v>4</v>
          </cell>
          <cell r="E2109" t="str">
            <v>CVCTE</v>
          </cell>
          <cell r="F2109" t="str">
            <v>Wilmington</v>
          </cell>
          <cell r="G2109">
            <v>0</v>
          </cell>
          <cell r="H2109">
            <v>0</v>
          </cell>
          <cell r="I2109">
            <v>23.622</v>
          </cell>
          <cell r="J2109">
            <v>22.47893058</v>
          </cell>
          <cell r="K2109">
            <v>22.47893058</v>
          </cell>
          <cell r="L2109">
            <v>1.14298818820467</v>
          </cell>
          <cell r="M2109">
            <v>23.621918768204701</v>
          </cell>
          <cell r="N2109">
            <v>0.27272727272727298</v>
          </cell>
          <cell r="O2109">
            <v>0</v>
          </cell>
          <cell r="P2109">
            <v>0.35064935064935099</v>
          </cell>
          <cell r="Q2109">
            <v>0.84375</v>
          </cell>
          <cell r="R2109">
            <v>5.2631578947368397E-2</v>
          </cell>
          <cell r="S2109">
            <v>0</v>
          </cell>
        </row>
        <row r="2110">
          <cell r="A2110">
            <v>294410</v>
          </cell>
          <cell r="B2110">
            <v>8</v>
          </cell>
          <cell r="C2110">
            <v>15</v>
          </cell>
          <cell r="D2110">
            <v>4</v>
          </cell>
          <cell r="E2110" t="str">
            <v>CVCTE</v>
          </cell>
          <cell r="F2110" t="str">
            <v>Harbor City</v>
          </cell>
          <cell r="G2110">
            <v>0</v>
          </cell>
          <cell r="H2110">
            <v>0</v>
          </cell>
          <cell r="I2110">
            <v>42.677</v>
          </cell>
          <cell r="J2110">
            <v>26.225022190000001</v>
          </cell>
          <cell r="K2110">
            <v>41.225022189999997</v>
          </cell>
          <cell r="L2110">
            <v>1.4519474597307001</v>
          </cell>
          <cell r="M2110">
            <v>42.676969649730701</v>
          </cell>
          <cell r="N2110">
            <v>0.27272727272727298</v>
          </cell>
          <cell r="O2110">
            <v>0</v>
          </cell>
          <cell r="P2110">
            <v>0.35064935064935099</v>
          </cell>
          <cell r="Q2110">
            <v>0.84375</v>
          </cell>
          <cell r="R2110">
            <v>5.2631578947368397E-2</v>
          </cell>
          <cell r="S2110">
            <v>0</v>
          </cell>
        </row>
        <row r="2111">
          <cell r="A2111">
            <v>294421</v>
          </cell>
          <cell r="B2111">
            <v>8</v>
          </cell>
          <cell r="C2111">
            <v>15</v>
          </cell>
          <cell r="D2111">
            <v>4</v>
          </cell>
          <cell r="E2111" t="str">
            <v>CVCTE</v>
          </cell>
          <cell r="F2111" t="str">
            <v>Harbor City</v>
          </cell>
          <cell r="G2111">
            <v>0</v>
          </cell>
          <cell r="H2111">
            <v>0</v>
          </cell>
          <cell r="I2111">
            <v>27.777999999999999</v>
          </cell>
          <cell r="J2111">
            <v>25.45870837</v>
          </cell>
          <cell r="K2111">
            <v>26.45870837</v>
          </cell>
          <cell r="L2111">
            <v>1.3185094475763</v>
          </cell>
          <cell r="M2111">
            <v>27.7772178175763</v>
          </cell>
          <cell r="N2111">
            <v>0.27272727272727298</v>
          </cell>
          <cell r="O2111">
            <v>0</v>
          </cell>
          <cell r="P2111">
            <v>0.35064935064935099</v>
          </cell>
          <cell r="Q2111">
            <v>0.84375</v>
          </cell>
          <cell r="R2111">
            <v>5.2631578947368397E-2</v>
          </cell>
          <cell r="S2111">
            <v>0</v>
          </cell>
        </row>
        <row r="2112">
          <cell r="A2112">
            <v>294520</v>
          </cell>
          <cell r="B2112">
            <v>8</v>
          </cell>
          <cell r="C2112">
            <v>15</v>
          </cell>
          <cell r="D2112">
            <v>4</v>
          </cell>
          <cell r="E2112" t="str">
            <v>CVCTE</v>
          </cell>
          <cell r="F2112" t="str">
            <v>Wilmington</v>
          </cell>
          <cell r="G2112">
            <v>0</v>
          </cell>
          <cell r="H2112">
            <v>1</v>
          </cell>
          <cell r="I2112">
            <v>37.301000000000002</v>
          </cell>
          <cell r="J2112">
            <v>30.20530819</v>
          </cell>
          <cell r="K2112">
            <v>35.205308189999997</v>
          </cell>
          <cell r="L2112">
            <v>2.0954235609515299</v>
          </cell>
          <cell r="M2112">
            <v>37.300731750951499</v>
          </cell>
          <cell r="N2112">
            <v>0.27272727272727298</v>
          </cell>
          <cell r="O2112">
            <v>0</v>
          </cell>
          <cell r="P2112">
            <v>0.35064935064935099</v>
          </cell>
          <cell r="Q2112">
            <v>0.84375</v>
          </cell>
          <cell r="R2112">
            <v>5.2631578947368397E-2</v>
          </cell>
          <cell r="S2112">
            <v>19</v>
          </cell>
        </row>
        <row r="2113">
          <cell r="A2113">
            <v>294620</v>
          </cell>
          <cell r="B2113">
            <v>8</v>
          </cell>
          <cell r="C2113">
            <v>15</v>
          </cell>
          <cell r="D2113">
            <v>4</v>
          </cell>
          <cell r="E2113" t="str">
            <v>CVCTE</v>
          </cell>
          <cell r="F2113" t="str">
            <v>Wilmington</v>
          </cell>
          <cell r="G2113">
            <v>0</v>
          </cell>
          <cell r="H2113">
            <v>0</v>
          </cell>
          <cell r="I2113">
            <v>68.376999999999995</v>
          </cell>
          <cell r="J2113">
            <v>60.177643639999999</v>
          </cell>
          <cell r="K2113">
            <v>65.177643639999999</v>
          </cell>
          <cell r="L2113">
            <v>3.19974464694794</v>
          </cell>
          <cell r="M2113">
            <v>68.377388286947905</v>
          </cell>
          <cell r="N2113">
            <v>0.27272727272727298</v>
          </cell>
          <cell r="O2113">
            <v>0</v>
          </cell>
          <cell r="P2113">
            <v>0.35064935064935099</v>
          </cell>
          <cell r="Q2113">
            <v>0.84375</v>
          </cell>
          <cell r="R2113">
            <v>5.2631578947368397E-2</v>
          </cell>
          <cell r="S2113">
            <v>0</v>
          </cell>
        </row>
        <row r="2114">
          <cell r="A2114">
            <v>294701</v>
          </cell>
          <cell r="B2114">
            <v>8</v>
          </cell>
          <cell r="C2114">
            <v>15</v>
          </cell>
          <cell r="D2114">
            <v>4</v>
          </cell>
          <cell r="E2114" t="str">
            <v>CVCTE</v>
          </cell>
          <cell r="F2114" t="str">
            <v>Wilmington</v>
          </cell>
          <cell r="G2114">
            <v>1</v>
          </cell>
          <cell r="H2114">
            <v>1</v>
          </cell>
          <cell r="I2114">
            <v>62.127000000000002</v>
          </cell>
          <cell r="J2114">
            <v>42.333893809999999</v>
          </cell>
          <cell r="K2114">
            <v>60.333893809999999</v>
          </cell>
          <cell r="L2114">
            <v>1.7922415695332099</v>
          </cell>
          <cell r="M2114">
            <v>62.126135379533203</v>
          </cell>
          <cell r="N2114">
            <v>0.27272727272727298</v>
          </cell>
          <cell r="O2114">
            <v>3.6666666666666701</v>
          </cell>
          <cell r="P2114">
            <v>0.35064935064935099</v>
          </cell>
          <cell r="Q2114">
            <v>0.84375</v>
          </cell>
        </row>
        <row r="2115">
          <cell r="A2115">
            <v>294820</v>
          </cell>
          <cell r="B2115">
            <v>8</v>
          </cell>
          <cell r="C2115">
            <v>15</v>
          </cell>
          <cell r="D2115">
            <v>4</v>
          </cell>
          <cell r="E2115" t="str">
            <v>CVCTE</v>
          </cell>
          <cell r="F2115" t="str">
            <v>Wilmington</v>
          </cell>
          <cell r="G2115">
            <v>0</v>
          </cell>
          <cell r="H2115">
            <v>0</v>
          </cell>
          <cell r="I2115">
            <v>26.143000000000001</v>
          </cell>
          <cell r="J2115">
            <v>12.630779560000001</v>
          </cell>
          <cell r="K2115">
            <v>25.630779560000001</v>
          </cell>
          <cell r="L2115">
            <v>0.51152529511669698</v>
          </cell>
          <cell r="M2115">
            <v>26.142304855116699</v>
          </cell>
          <cell r="N2115">
            <v>0.27272727272727298</v>
          </cell>
          <cell r="O2115">
            <v>0</v>
          </cell>
          <cell r="P2115">
            <v>0.35064935064935099</v>
          </cell>
          <cell r="Q2115">
            <v>0.84375</v>
          </cell>
          <cell r="R2115">
            <v>5.2631578947368397E-2</v>
          </cell>
          <cell r="S2115">
            <v>0</v>
          </cell>
        </row>
        <row r="2116">
          <cell r="A2116">
            <v>980014</v>
          </cell>
          <cell r="B2116">
            <v>8</v>
          </cell>
          <cell r="C2116">
            <v>15</v>
          </cell>
          <cell r="D2116">
            <v>4</v>
          </cell>
          <cell r="E2116" t="str">
            <v>CVCTE</v>
          </cell>
          <cell r="F2116" t="str">
            <v>Wilmington</v>
          </cell>
          <cell r="G2116">
            <v>0</v>
          </cell>
          <cell r="H2116">
            <v>0</v>
          </cell>
          <cell r="I2116">
            <v>148.84399999999999</v>
          </cell>
          <cell r="J2116">
            <v>107.38708871</v>
          </cell>
          <cell r="K2116">
            <v>142.38708871</v>
          </cell>
          <cell r="L2116">
            <v>6.4578177981508098</v>
          </cell>
          <cell r="M2116">
            <v>148.84490650815101</v>
          </cell>
          <cell r="N2116">
            <v>0.27272727272727298</v>
          </cell>
          <cell r="O2116">
            <v>0</v>
          </cell>
          <cell r="P2116">
            <v>0.35064935064935099</v>
          </cell>
          <cell r="Q2116">
            <v>0.84375</v>
          </cell>
          <cell r="R2116">
            <v>5.2631578947368397E-2</v>
          </cell>
          <cell r="S2116">
            <v>0</v>
          </cell>
        </row>
        <row r="2117">
          <cell r="A2117">
            <v>294830</v>
          </cell>
          <cell r="B2117">
            <v>8</v>
          </cell>
          <cell r="C2117">
            <v>15</v>
          </cell>
          <cell r="D2117">
            <v>4</v>
          </cell>
          <cell r="E2117" t="str">
            <v>CVCTE</v>
          </cell>
          <cell r="F2117" t="str">
            <v>Wilmington</v>
          </cell>
          <cell r="G2117">
            <v>0</v>
          </cell>
          <cell r="H2117">
            <v>0</v>
          </cell>
          <cell r="I2117">
            <v>93.602000000000004</v>
          </cell>
          <cell r="J2117">
            <v>67.967868050000007</v>
          </cell>
          <cell r="K2117">
            <v>90.967868050000007</v>
          </cell>
          <cell r="L2117">
            <v>2.6341750936086199</v>
          </cell>
          <cell r="M2117">
            <v>93.602043143608597</v>
          </cell>
          <cell r="N2117">
            <v>0.27272727272727298</v>
          </cell>
          <cell r="O2117">
            <v>0</v>
          </cell>
          <cell r="P2117">
            <v>0.35064935064935099</v>
          </cell>
          <cell r="Q2117">
            <v>0.84375</v>
          </cell>
          <cell r="R2117">
            <v>5.2631578947368397E-2</v>
          </cell>
          <cell r="S2117">
            <v>0</v>
          </cell>
        </row>
        <row r="2118">
          <cell r="A2118">
            <v>295103</v>
          </cell>
          <cell r="B2118">
            <v>8</v>
          </cell>
          <cell r="C2118">
            <v>15</v>
          </cell>
          <cell r="D2118">
            <v>4</v>
          </cell>
          <cell r="E2118" t="str">
            <v>CVCTE</v>
          </cell>
          <cell r="F2118" t="str">
            <v>San Pedro</v>
          </cell>
          <cell r="G2118">
            <v>1</v>
          </cell>
          <cell r="H2118">
            <v>1</v>
          </cell>
          <cell r="I2118">
            <v>24.693000000000001</v>
          </cell>
          <cell r="J2118">
            <v>22.900705739999999</v>
          </cell>
          <cell r="K2118">
            <v>23.900705739999999</v>
          </cell>
          <cell r="L2118">
            <v>0.79143592330341095</v>
          </cell>
          <cell r="M2118">
            <v>24.692141663303399</v>
          </cell>
          <cell r="N2118">
            <v>0.27272727272727298</v>
          </cell>
          <cell r="O2118">
            <v>3.6666666666666701</v>
          </cell>
          <cell r="P2118">
            <v>0.35064935064935099</v>
          </cell>
          <cell r="Q2118">
            <v>0.84375</v>
          </cell>
        </row>
        <row r="2119">
          <cell r="A2119">
            <v>296300</v>
          </cell>
          <cell r="B2119">
            <v>8</v>
          </cell>
          <cell r="C2119">
            <v>15</v>
          </cell>
          <cell r="D2119">
            <v>4</v>
          </cell>
          <cell r="E2119" t="str">
            <v>CVCTE</v>
          </cell>
          <cell r="F2119" t="str">
            <v>San Pedro</v>
          </cell>
          <cell r="G2119">
            <v>0</v>
          </cell>
          <cell r="H2119">
            <v>0</v>
          </cell>
          <cell r="I2119">
            <v>43.491999999999997</v>
          </cell>
          <cell r="J2119">
            <v>33.507741260000003</v>
          </cell>
          <cell r="K2119">
            <v>41.507741260000003</v>
          </cell>
          <cell r="L2119">
            <v>1.98390031653501</v>
          </cell>
          <cell r="M2119">
            <v>43.491641576535002</v>
          </cell>
          <cell r="N2119">
            <v>0.27272727272727298</v>
          </cell>
          <cell r="O2119">
            <v>0</v>
          </cell>
          <cell r="P2119">
            <v>0.35064935064935099</v>
          </cell>
          <cell r="Q2119">
            <v>0.84375</v>
          </cell>
          <cell r="R2119">
            <v>5.2631578947368397E-2</v>
          </cell>
          <cell r="S2119">
            <v>0</v>
          </cell>
        </row>
        <row r="2120">
          <cell r="A2120">
            <v>296402</v>
          </cell>
          <cell r="B2120">
            <v>8</v>
          </cell>
          <cell r="C2120">
            <v>15</v>
          </cell>
          <cell r="D2120">
            <v>4</v>
          </cell>
          <cell r="E2120" t="str">
            <v>CVCTE</v>
          </cell>
          <cell r="F2120" t="str">
            <v>San Pedro</v>
          </cell>
          <cell r="G2120">
            <v>0</v>
          </cell>
          <cell r="H2120">
            <v>0</v>
          </cell>
          <cell r="I2120">
            <v>9.3789999999999996</v>
          </cell>
          <cell r="J2120">
            <v>7.9347986400000003</v>
          </cell>
          <cell r="K2120">
            <v>8.9347986400000003</v>
          </cell>
          <cell r="L2120">
            <v>0.44469040552962302</v>
          </cell>
          <cell r="M2120">
            <v>9.3794890455296205</v>
          </cell>
          <cell r="N2120">
            <v>0.27272727272727298</v>
          </cell>
          <cell r="O2120">
            <v>0</v>
          </cell>
          <cell r="P2120">
            <v>0.35064935064935099</v>
          </cell>
          <cell r="Q2120">
            <v>0.84375</v>
          </cell>
          <cell r="R2120">
            <v>5.2631578947368397E-2</v>
          </cell>
          <cell r="S2120">
            <v>0</v>
          </cell>
        </row>
        <row r="2121">
          <cell r="A2121">
            <v>296500</v>
          </cell>
          <cell r="B2121">
            <v>8</v>
          </cell>
          <cell r="C2121">
            <v>15</v>
          </cell>
          <cell r="D2121">
            <v>4</v>
          </cell>
          <cell r="E2121" t="str">
            <v>CVCTE</v>
          </cell>
          <cell r="F2121" t="str">
            <v>San Pedro</v>
          </cell>
          <cell r="G2121">
            <v>0</v>
          </cell>
          <cell r="H2121">
            <v>0</v>
          </cell>
          <cell r="I2121">
            <v>15.75</v>
          </cell>
          <cell r="J2121">
            <v>14.780591100000001</v>
          </cell>
          <cell r="K2121">
            <v>14.780591100000001</v>
          </cell>
          <cell r="L2121">
            <v>0.969939620574506</v>
          </cell>
          <cell r="M2121">
            <v>15.750530720574501</v>
          </cell>
          <cell r="N2121">
            <v>0.27272727272727298</v>
          </cell>
          <cell r="O2121">
            <v>0</v>
          </cell>
          <cell r="P2121">
            <v>0.35064935064935099</v>
          </cell>
          <cell r="Q2121">
            <v>0.84375</v>
          </cell>
          <cell r="R2121">
            <v>5.2631578947368397E-2</v>
          </cell>
          <cell r="S2121">
            <v>0</v>
          </cell>
        </row>
        <row r="2122">
          <cell r="A2122">
            <v>297110</v>
          </cell>
          <cell r="B2122">
            <v>8</v>
          </cell>
          <cell r="C2122">
            <v>15</v>
          </cell>
          <cell r="D2122">
            <v>4</v>
          </cell>
          <cell r="E2122" t="str">
            <v>CVCTE</v>
          </cell>
          <cell r="F2122" t="str">
            <v>San Pedro</v>
          </cell>
          <cell r="G2122">
            <v>1</v>
          </cell>
          <cell r="H2122">
            <v>1</v>
          </cell>
          <cell r="I2122">
            <v>88.263999999999996</v>
          </cell>
          <cell r="J2122">
            <v>54.369188790000003</v>
          </cell>
          <cell r="K2122">
            <v>85.369188789999995</v>
          </cell>
          <cell r="L2122">
            <v>2.8947044770377</v>
          </cell>
          <cell r="M2122">
            <v>88.263893267037702</v>
          </cell>
          <cell r="N2122">
            <v>0.27272727272727298</v>
          </cell>
          <cell r="O2122">
            <v>3.6666666666666701</v>
          </cell>
          <cell r="P2122">
            <v>0.35064935064935099</v>
          </cell>
          <cell r="Q2122">
            <v>0.84375</v>
          </cell>
        </row>
        <row r="2123">
          <cell r="A2123">
            <v>297120</v>
          </cell>
          <cell r="B2123">
            <v>8</v>
          </cell>
          <cell r="C2123">
            <v>15</v>
          </cell>
          <cell r="D2123">
            <v>4</v>
          </cell>
          <cell r="E2123" t="str">
            <v>CVCTE</v>
          </cell>
          <cell r="F2123" t="str">
            <v>San Pedro</v>
          </cell>
          <cell r="G2123">
            <v>1</v>
          </cell>
          <cell r="H2123">
            <v>1</v>
          </cell>
          <cell r="I2123">
            <v>21.574999999999999</v>
          </cell>
          <cell r="J2123">
            <v>17.45178486</v>
          </cell>
          <cell r="K2123">
            <v>20.45178486</v>
          </cell>
          <cell r="L2123">
            <v>1.12400295481149</v>
          </cell>
          <cell r="M2123">
            <v>21.575787814811498</v>
          </cell>
          <cell r="N2123">
            <v>0.27272727272727298</v>
          </cell>
          <cell r="O2123">
            <v>3.6666666666666701</v>
          </cell>
          <cell r="P2123">
            <v>0.35064935064935099</v>
          </cell>
          <cell r="Q2123">
            <v>0.84375</v>
          </cell>
        </row>
        <row r="2124">
          <cell r="A2124">
            <v>296902</v>
          </cell>
          <cell r="B2124">
            <v>8</v>
          </cell>
          <cell r="C2124">
            <v>15</v>
          </cell>
          <cell r="D2124">
            <v>4</v>
          </cell>
          <cell r="E2124" t="str">
            <v>CVCTE</v>
          </cell>
          <cell r="F2124" t="str">
            <v>San Pedro</v>
          </cell>
          <cell r="G2124">
            <v>0</v>
          </cell>
          <cell r="H2124">
            <v>0</v>
          </cell>
          <cell r="I2124">
            <v>19.393000000000001</v>
          </cell>
          <cell r="J2124">
            <v>18.145470790000001</v>
          </cell>
          <cell r="K2124">
            <v>18.145470790000001</v>
          </cell>
          <cell r="L2124">
            <v>1.24729339405745</v>
          </cell>
          <cell r="M2124">
            <v>19.392764184057398</v>
          </cell>
          <cell r="N2124">
            <v>0.27272727272727298</v>
          </cell>
          <cell r="O2124">
            <v>0</v>
          </cell>
          <cell r="P2124">
            <v>0.35064935064935099</v>
          </cell>
          <cell r="Q2124">
            <v>0.84375</v>
          </cell>
          <cell r="R2124">
            <v>5.2631578947368397E-2</v>
          </cell>
          <cell r="S2124">
            <v>0</v>
          </cell>
        </row>
        <row r="2125">
          <cell r="A2125">
            <v>296220</v>
          </cell>
          <cell r="B2125">
            <v>8</v>
          </cell>
          <cell r="C2125">
            <v>15</v>
          </cell>
          <cell r="D2125">
            <v>4</v>
          </cell>
          <cell r="E2125" t="str">
            <v>CVCTE</v>
          </cell>
          <cell r="F2125" t="str">
            <v>San Pedro</v>
          </cell>
          <cell r="G2125">
            <v>1</v>
          </cell>
          <cell r="H2125">
            <v>1</v>
          </cell>
          <cell r="I2125">
            <v>41.12</v>
          </cell>
          <cell r="J2125">
            <v>30.234027869999998</v>
          </cell>
          <cell r="K2125">
            <v>39.234027869999998</v>
          </cell>
          <cell r="L2125">
            <v>1.8848455530161601</v>
          </cell>
          <cell r="M2125">
            <v>41.118873423016197</v>
          </cell>
          <cell r="N2125">
            <v>0.27272727272727298</v>
          </cell>
          <cell r="O2125">
            <v>3.6666666666666701</v>
          </cell>
          <cell r="P2125">
            <v>0.35064935064935099</v>
          </cell>
          <cell r="Q2125">
            <v>0.84375</v>
          </cell>
        </row>
        <row r="2126">
          <cell r="A2126">
            <v>294810</v>
          </cell>
          <cell r="B2126">
            <v>8</v>
          </cell>
          <cell r="C2126">
            <v>15</v>
          </cell>
          <cell r="D2126">
            <v>4</v>
          </cell>
          <cell r="E2126" t="str">
            <v>CVCTE</v>
          </cell>
          <cell r="F2126" t="str">
            <v>Wilmington</v>
          </cell>
          <cell r="G2126">
            <v>1</v>
          </cell>
          <cell r="H2126">
            <v>1</v>
          </cell>
          <cell r="I2126">
            <v>24.707999999999998</v>
          </cell>
          <cell r="J2126">
            <v>21.58245951</v>
          </cell>
          <cell r="K2126">
            <v>23.58245951</v>
          </cell>
          <cell r="L2126">
            <v>1.12584080389587</v>
          </cell>
          <cell r="M2126">
            <v>24.708300313895901</v>
          </cell>
          <cell r="N2126">
            <v>0.27272727272727298</v>
          </cell>
          <cell r="O2126">
            <v>3.6666666666666701</v>
          </cell>
          <cell r="P2126">
            <v>0.35064935064935099</v>
          </cell>
          <cell r="Q2126">
            <v>0.84375</v>
          </cell>
        </row>
        <row r="2127">
          <cell r="A2127">
            <v>294510</v>
          </cell>
          <cell r="B2127">
            <v>8</v>
          </cell>
          <cell r="C2127">
            <v>15</v>
          </cell>
          <cell r="D2127">
            <v>4</v>
          </cell>
          <cell r="E2127" t="str">
            <v>CVCTE</v>
          </cell>
          <cell r="F2127" t="str">
            <v>Wilmington</v>
          </cell>
          <cell r="G2127">
            <v>0</v>
          </cell>
          <cell r="H2127">
            <v>0</v>
          </cell>
          <cell r="I2127">
            <v>14.653</v>
          </cell>
          <cell r="J2127">
            <v>13.10493537</v>
          </cell>
          <cell r="K2127">
            <v>14.10493537</v>
          </cell>
          <cell r="L2127">
            <v>0.54684577653500899</v>
          </cell>
          <cell r="M2127">
            <v>14.651781146535001</v>
          </cell>
          <cell r="N2127">
            <v>0.27272727272727298</v>
          </cell>
          <cell r="O2127">
            <v>0</v>
          </cell>
          <cell r="P2127">
            <v>0.35064935064935099</v>
          </cell>
          <cell r="Q2127">
            <v>0.84375</v>
          </cell>
          <cell r="R2127">
            <v>5.2631578947368397E-2</v>
          </cell>
          <cell r="S2127">
            <v>0</v>
          </cell>
        </row>
        <row r="2128">
          <cell r="A2128">
            <v>296600</v>
          </cell>
          <cell r="B2128">
            <v>8</v>
          </cell>
          <cell r="C2128">
            <v>15</v>
          </cell>
          <cell r="D2128">
            <v>4</v>
          </cell>
          <cell r="E2128" t="str">
            <v>FAMILY</v>
          </cell>
          <cell r="F2128" t="str">
            <v>San Pedro</v>
          </cell>
          <cell r="G2128">
            <v>1</v>
          </cell>
          <cell r="H2128">
            <v>1</v>
          </cell>
          <cell r="I2128">
            <v>54.578000000000003</v>
          </cell>
          <cell r="J2128">
            <v>24.862883589999999</v>
          </cell>
          <cell r="K2128">
            <v>52.862883590000003</v>
          </cell>
          <cell r="L2128">
            <v>1.7142492103590701</v>
          </cell>
          <cell r="M2128">
            <v>54.577132800359102</v>
          </cell>
          <cell r="N2128">
            <v>1</v>
          </cell>
          <cell r="O2128">
            <v>1</v>
          </cell>
        </row>
        <row r="2129">
          <cell r="A2129">
            <v>241300</v>
          </cell>
          <cell r="B2129">
            <v>6</v>
          </cell>
          <cell r="C2129">
            <v>15</v>
          </cell>
          <cell r="D2129">
            <v>2</v>
          </cell>
          <cell r="E2129" t="str">
            <v>INDIV</v>
          </cell>
          <cell r="F2129" t="str">
            <v>Harbor Gateway</v>
          </cell>
          <cell r="G2129">
            <v>0</v>
          </cell>
          <cell r="H2129">
            <v>0</v>
          </cell>
          <cell r="I2129">
            <v>34.19</v>
          </cell>
          <cell r="J2129">
            <v>3.9673993200000002</v>
          </cell>
          <cell r="K2129">
            <v>33.967399319999998</v>
          </cell>
          <cell r="L2129">
            <v>0.22234520276481101</v>
          </cell>
          <cell r="M2129">
            <v>34.189744522764798</v>
          </cell>
          <cell r="N2129">
            <v>3.2258064516128997E-2</v>
          </cell>
          <cell r="O2129">
            <v>0</v>
          </cell>
          <cell r="P2129">
            <v>6.4516129032258104E-2</v>
          </cell>
          <cell r="Q2129">
            <v>0.28571428571428598</v>
          </cell>
        </row>
        <row r="2130">
          <cell r="A2130">
            <v>242300</v>
          </cell>
          <cell r="B2130">
            <v>6</v>
          </cell>
          <cell r="C2130">
            <v>15</v>
          </cell>
          <cell r="D2130">
            <v>2</v>
          </cell>
          <cell r="E2130" t="str">
            <v>INDIV</v>
          </cell>
          <cell r="F2130" t="str">
            <v>Watts</v>
          </cell>
          <cell r="G2130">
            <v>0</v>
          </cell>
          <cell r="H2130">
            <v>0</v>
          </cell>
          <cell r="I2130">
            <v>12.579000000000001</v>
          </cell>
          <cell r="J2130">
            <v>9.0715871700000008</v>
          </cell>
          <cell r="K2130">
            <v>12.071587170000001</v>
          </cell>
          <cell r="L2130">
            <v>0.50646174204667904</v>
          </cell>
          <cell r="M2130">
            <v>12.5780489120467</v>
          </cell>
          <cell r="N2130">
            <v>3.2258064516128997E-2</v>
          </cell>
          <cell r="O2130">
            <v>0</v>
          </cell>
          <cell r="P2130">
            <v>6.4516129032258104E-2</v>
          </cell>
          <cell r="Q2130">
            <v>0.28571428571428598</v>
          </cell>
        </row>
        <row r="2131">
          <cell r="A2131">
            <v>980015</v>
          </cell>
          <cell r="B2131">
            <v>8</v>
          </cell>
          <cell r="C2131">
            <v>15</v>
          </cell>
          <cell r="D2131">
            <v>4</v>
          </cell>
          <cell r="E2131" t="str">
            <v>INDIV</v>
          </cell>
          <cell r="F2131" t="str">
            <v>San Pedro</v>
          </cell>
          <cell r="G2131">
            <v>0</v>
          </cell>
          <cell r="H2131">
            <v>0</v>
          </cell>
          <cell r="I2131">
            <v>23.57</v>
          </cell>
          <cell r="J2131">
            <v>7.9825809899999998</v>
          </cell>
          <cell r="K2131">
            <v>22.982580989999999</v>
          </cell>
          <cell r="L2131">
            <v>0.587020551561939</v>
          </cell>
          <cell r="M2131">
            <v>23.569601541561902</v>
          </cell>
          <cell r="N2131">
            <v>6.8181818181818205E-2</v>
          </cell>
          <cell r="O2131">
            <v>0</v>
          </cell>
          <cell r="P2131">
            <v>0.11363636363636399</v>
          </cell>
          <cell r="Q2131">
            <v>0.71428571428571397</v>
          </cell>
          <cell r="R2131">
            <v>0.2</v>
          </cell>
          <cell r="S2131">
            <v>0</v>
          </cell>
        </row>
        <row r="2132">
          <cell r="A2132">
            <v>293202</v>
          </cell>
          <cell r="B2132">
            <v>8</v>
          </cell>
          <cell r="C2132">
            <v>15</v>
          </cell>
          <cell r="D2132">
            <v>4</v>
          </cell>
          <cell r="E2132" t="str">
            <v>INDIV</v>
          </cell>
          <cell r="F2132" t="str">
            <v>Harbor Gateway</v>
          </cell>
          <cell r="G2132">
            <v>0</v>
          </cell>
          <cell r="H2132">
            <v>0</v>
          </cell>
          <cell r="I2132">
            <v>14.585000000000001</v>
          </cell>
          <cell r="J2132">
            <v>7.4477719899999997</v>
          </cell>
          <cell r="K2132">
            <v>14.44777199</v>
          </cell>
          <cell r="L2132">
            <v>0.13686147653500899</v>
          </cell>
          <cell r="M2132">
            <v>14.584633466534999</v>
          </cell>
          <cell r="N2132">
            <v>6.8181818181818205E-2</v>
          </cell>
          <cell r="O2132">
            <v>0</v>
          </cell>
          <cell r="P2132">
            <v>0.11363636363636399</v>
          </cell>
          <cell r="Q2132">
            <v>0.71428571428571397</v>
          </cell>
          <cell r="R2132">
            <v>0.2</v>
          </cell>
          <cell r="S2132">
            <v>0</v>
          </cell>
        </row>
        <row r="2133">
          <cell r="A2133">
            <v>294200</v>
          </cell>
          <cell r="B2133">
            <v>8</v>
          </cell>
          <cell r="C2133">
            <v>15</v>
          </cell>
          <cell r="D2133">
            <v>4</v>
          </cell>
          <cell r="E2133" t="str">
            <v>INDIV</v>
          </cell>
          <cell r="F2133" t="str">
            <v>Wilmington</v>
          </cell>
          <cell r="G2133">
            <v>0</v>
          </cell>
          <cell r="H2133">
            <v>1</v>
          </cell>
          <cell r="I2133">
            <v>13</v>
          </cell>
          <cell r="J2133">
            <v>0</v>
          </cell>
          <cell r="K2133">
            <v>13</v>
          </cell>
          <cell r="L2133">
            <v>0</v>
          </cell>
          <cell r="M2133">
            <v>13</v>
          </cell>
          <cell r="N2133">
            <v>6.8181818181818205E-2</v>
          </cell>
          <cell r="O2133">
            <v>0</v>
          </cell>
          <cell r="P2133">
            <v>0.11363636363636399</v>
          </cell>
          <cell r="Q2133">
            <v>0.71428571428571397</v>
          </cell>
          <cell r="R2133">
            <v>0.2</v>
          </cell>
          <cell r="S2133">
            <v>5</v>
          </cell>
        </row>
        <row r="2134">
          <cell r="A2134">
            <v>294302</v>
          </cell>
          <cell r="B2134">
            <v>8</v>
          </cell>
          <cell r="C2134">
            <v>15</v>
          </cell>
          <cell r="D2134">
            <v>4</v>
          </cell>
          <cell r="E2134" t="str">
            <v>INDIV</v>
          </cell>
          <cell r="F2134" t="str">
            <v>Wilmington</v>
          </cell>
          <cell r="G2134">
            <v>0</v>
          </cell>
          <cell r="H2134">
            <v>0</v>
          </cell>
          <cell r="I2134">
            <v>10.19</v>
          </cell>
          <cell r="J2134">
            <v>3.9673993200000002</v>
          </cell>
          <cell r="K2134">
            <v>9.9673993200000002</v>
          </cell>
          <cell r="L2134">
            <v>0.22234520276481101</v>
          </cell>
          <cell r="M2134">
            <v>10.1897445227648</v>
          </cell>
          <cell r="N2134">
            <v>6.8181818181818205E-2</v>
          </cell>
          <cell r="O2134">
            <v>0</v>
          </cell>
          <cell r="P2134">
            <v>0.11363636363636399</v>
          </cell>
          <cell r="Q2134">
            <v>0.71428571428571397</v>
          </cell>
          <cell r="R2134">
            <v>0.2</v>
          </cell>
          <cell r="S2134">
            <v>0</v>
          </cell>
        </row>
        <row r="2135">
          <cell r="A2135">
            <v>297400</v>
          </cell>
          <cell r="B2135">
            <v>8</v>
          </cell>
          <cell r="C2135">
            <v>15</v>
          </cell>
          <cell r="D2135">
            <v>4</v>
          </cell>
          <cell r="E2135" t="str">
            <v>INDIV</v>
          </cell>
          <cell r="F2135" t="str">
            <v>San Pedro</v>
          </cell>
          <cell r="G2135">
            <v>0</v>
          </cell>
          <cell r="H2135">
            <v>0</v>
          </cell>
          <cell r="I2135">
            <v>4.5910000000000002</v>
          </cell>
          <cell r="J2135">
            <v>1.43919657</v>
          </cell>
          <cell r="K2135">
            <v>4.43919657</v>
          </cell>
          <cell r="L2135">
            <v>0.15145200614003601</v>
          </cell>
          <cell r="M2135">
            <v>4.5906485761400404</v>
          </cell>
          <cell r="N2135">
            <v>6.8181818181818205E-2</v>
          </cell>
          <cell r="O2135">
            <v>0</v>
          </cell>
          <cell r="P2135">
            <v>0.11363636363636399</v>
          </cell>
          <cell r="Q2135">
            <v>0.71428571428571397</v>
          </cell>
          <cell r="R2135">
            <v>0.2</v>
          </cell>
          <cell r="S2135">
            <v>0</v>
          </cell>
        </row>
        <row r="2136">
          <cell r="A2136">
            <v>242000</v>
          </cell>
          <cell r="B2136">
            <v>6</v>
          </cell>
          <cell r="C2136">
            <v>15</v>
          </cell>
          <cell r="D2136">
            <v>2</v>
          </cell>
          <cell r="E2136" t="str">
            <v>NON-HS</v>
          </cell>
          <cell r="F2136" t="str">
            <v>Watts</v>
          </cell>
          <cell r="G2136">
            <v>0</v>
          </cell>
          <cell r="H2136">
            <v>0</v>
          </cell>
          <cell r="I2136">
            <v>8.9979999999999993</v>
          </cell>
          <cell r="J2136">
            <v>5.7005314900000004</v>
          </cell>
          <cell r="K2136">
            <v>8.7005314899999995</v>
          </cell>
          <cell r="L2136">
            <v>0.29733071305206499</v>
          </cell>
          <cell r="M2136">
            <v>8.9978622030520601</v>
          </cell>
          <cell r="N2136">
            <v>2.34375E-2</v>
          </cell>
          <cell r="O2136">
            <v>0</v>
          </cell>
          <cell r="P2136">
            <v>3.90625E-2</v>
          </cell>
          <cell r="Q2136">
            <v>0.19230769230769201</v>
          </cell>
        </row>
        <row r="2137">
          <cell r="A2137">
            <v>242100</v>
          </cell>
          <cell r="B2137">
            <v>6</v>
          </cell>
          <cell r="C2137">
            <v>15</v>
          </cell>
          <cell r="D2137">
            <v>2</v>
          </cell>
          <cell r="E2137" t="str">
            <v>NON-HS</v>
          </cell>
          <cell r="F2137" t="str">
            <v>Watts</v>
          </cell>
          <cell r="G2137">
            <v>0</v>
          </cell>
          <cell r="H2137">
            <v>0</v>
          </cell>
          <cell r="I2137">
            <v>12.276</v>
          </cell>
          <cell r="J2137">
            <v>4.8620928000000001</v>
          </cell>
          <cell r="K2137">
            <v>11.862092799999999</v>
          </cell>
          <cell r="L2137">
            <v>0.414076613662478</v>
          </cell>
          <cell r="M2137">
            <v>12.276169413662499</v>
          </cell>
          <cell r="N2137">
            <v>2.34375E-2</v>
          </cell>
          <cell r="O2137">
            <v>0</v>
          </cell>
          <cell r="P2137">
            <v>3.90625E-2</v>
          </cell>
          <cell r="Q2137">
            <v>0.19230769230769201</v>
          </cell>
        </row>
        <row r="2138">
          <cell r="A2138">
            <v>242200</v>
          </cell>
          <cell r="B2138">
            <v>6</v>
          </cell>
          <cell r="C2138">
            <v>15</v>
          </cell>
          <cell r="D2138">
            <v>2</v>
          </cell>
          <cell r="E2138" t="str">
            <v>NON-HS</v>
          </cell>
          <cell r="F2138" t="str">
            <v>Watts</v>
          </cell>
          <cell r="G2138">
            <v>0</v>
          </cell>
          <cell r="H2138">
            <v>0</v>
          </cell>
          <cell r="I2138">
            <v>9.7110000000000003</v>
          </cell>
          <cell r="J2138">
            <v>5.4499639999999996</v>
          </cell>
          <cell r="K2138">
            <v>9.4499639999999996</v>
          </cell>
          <cell r="L2138">
            <v>0.26114362195691199</v>
          </cell>
          <cell r="M2138">
            <v>9.7111076219569092</v>
          </cell>
          <cell r="N2138">
            <v>2.34375E-2</v>
          </cell>
          <cell r="O2138">
            <v>0</v>
          </cell>
          <cell r="P2138">
            <v>3.90625E-2</v>
          </cell>
          <cell r="Q2138">
            <v>0.19230769230769201</v>
          </cell>
        </row>
        <row r="2139">
          <cell r="A2139">
            <v>242700</v>
          </cell>
          <cell r="B2139">
            <v>6</v>
          </cell>
          <cell r="C2139">
            <v>15</v>
          </cell>
          <cell r="D2139">
            <v>2</v>
          </cell>
          <cell r="E2139" t="str">
            <v>NON-HS</v>
          </cell>
          <cell r="F2139" t="str">
            <v>Watts</v>
          </cell>
          <cell r="G2139">
            <v>0</v>
          </cell>
          <cell r="H2139">
            <v>0</v>
          </cell>
          <cell r="I2139">
            <v>10.19</v>
          </cell>
          <cell r="J2139">
            <v>3.9673993200000002</v>
          </cell>
          <cell r="K2139">
            <v>9.9673993200000002</v>
          </cell>
          <cell r="L2139">
            <v>0.22234520276481101</v>
          </cell>
          <cell r="M2139">
            <v>10.1897445227648</v>
          </cell>
          <cell r="N2139">
            <v>2.34375E-2</v>
          </cell>
          <cell r="O2139">
            <v>0</v>
          </cell>
          <cell r="P2139">
            <v>3.90625E-2</v>
          </cell>
          <cell r="Q2139">
            <v>0.19230769230769201</v>
          </cell>
        </row>
        <row r="2140">
          <cell r="A2140">
            <v>243000</v>
          </cell>
          <cell r="B2140">
            <v>6</v>
          </cell>
          <cell r="C2140">
            <v>15</v>
          </cell>
          <cell r="D2140">
            <v>2</v>
          </cell>
          <cell r="E2140" t="str">
            <v>NON-HS</v>
          </cell>
          <cell r="F2140" t="str">
            <v>Watts</v>
          </cell>
          <cell r="G2140">
            <v>0</v>
          </cell>
          <cell r="H2140">
            <v>0</v>
          </cell>
          <cell r="I2140">
            <v>22.343</v>
          </cell>
          <cell r="J2140">
            <v>14.666319769999999</v>
          </cell>
          <cell r="K2140">
            <v>21.666319770000001</v>
          </cell>
          <cell r="L2140">
            <v>0.67619147502693</v>
          </cell>
          <cell r="M2140">
            <v>22.342511245026898</v>
          </cell>
          <cell r="N2140">
            <v>2.34375E-2</v>
          </cell>
          <cell r="O2140">
            <v>0</v>
          </cell>
          <cell r="P2140">
            <v>3.90625E-2</v>
          </cell>
          <cell r="Q2140">
            <v>0.19230769230769201</v>
          </cell>
        </row>
        <row r="2141">
          <cell r="A2141">
            <v>297602</v>
          </cell>
          <cell r="B2141">
            <v>8</v>
          </cell>
          <cell r="C2141">
            <v>15</v>
          </cell>
          <cell r="D2141">
            <v>4</v>
          </cell>
          <cell r="E2141" t="str">
            <v>NON-HS</v>
          </cell>
          <cell r="F2141" t="str">
            <v>San Pedro</v>
          </cell>
          <cell r="G2141">
            <v>0</v>
          </cell>
          <cell r="H2141">
            <v>0</v>
          </cell>
          <cell r="I2141">
            <v>1.8080000000000001</v>
          </cell>
          <cell r="J2141">
            <v>1.73313217</v>
          </cell>
          <cell r="K2141">
            <v>1.73313217</v>
          </cell>
          <cell r="L2141">
            <v>7.4985510287253102E-2</v>
          </cell>
          <cell r="M2141">
            <v>1.8081176802872501</v>
          </cell>
          <cell r="N2141">
            <v>3.3333333333333298E-2</v>
          </cell>
          <cell r="O2141">
            <v>0</v>
          </cell>
          <cell r="P2141">
            <v>0.17499999999999999</v>
          </cell>
          <cell r="Q2141">
            <v>0.80769230769230804</v>
          </cell>
          <cell r="R2141">
            <v>4.7619047619047603E-2</v>
          </cell>
          <cell r="S2141">
            <v>0</v>
          </cell>
        </row>
        <row r="2142">
          <cell r="A2142">
            <v>297202</v>
          </cell>
          <cell r="B2142">
            <v>8</v>
          </cell>
          <cell r="C2142">
            <v>15</v>
          </cell>
          <cell r="D2142">
            <v>4</v>
          </cell>
          <cell r="E2142" t="str">
            <v>NON-HS</v>
          </cell>
          <cell r="F2142" t="str">
            <v>San Pedro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3.3333333333333298E-2</v>
          </cell>
          <cell r="O2142">
            <v>0</v>
          </cell>
          <cell r="P2142">
            <v>0.17499999999999999</v>
          </cell>
          <cell r="Q2142">
            <v>0.80769230769230804</v>
          </cell>
          <cell r="R2142">
            <v>4.7619047619047603E-2</v>
          </cell>
          <cell r="S2142">
            <v>0</v>
          </cell>
        </row>
        <row r="2143">
          <cell r="A2143">
            <v>291110</v>
          </cell>
          <cell r="B2143">
            <v>8</v>
          </cell>
          <cell r="C2143">
            <v>15</v>
          </cell>
          <cell r="D2143">
            <v>2</v>
          </cell>
          <cell r="E2143" t="str">
            <v>NON-HS</v>
          </cell>
          <cell r="F2143" t="str">
            <v>Harbor Gateway</v>
          </cell>
          <cell r="G2143">
            <v>0</v>
          </cell>
          <cell r="H2143">
            <v>0</v>
          </cell>
          <cell r="I2143">
            <v>5.4420000000000002</v>
          </cell>
          <cell r="J2143">
            <v>5.2489564499999997</v>
          </cell>
          <cell r="K2143">
            <v>5.2489564499999997</v>
          </cell>
          <cell r="L2143">
            <v>0.192702650305207</v>
          </cell>
          <cell r="M2143">
            <v>5.4416591003052099</v>
          </cell>
          <cell r="N2143">
            <v>3.3333333333333298E-2</v>
          </cell>
          <cell r="O2143">
            <v>0</v>
          </cell>
          <cell r="P2143">
            <v>0.17499999999999999</v>
          </cell>
          <cell r="Q2143">
            <v>0.80769230769230804</v>
          </cell>
          <cell r="R2143">
            <v>4.7619047619047603E-2</v>
          </cell>
          <cell r="S2143">
            <v>0</v>
          </cell>
        </row>
        <row r="2144">
          <cell r="A2144">
            <v>291210</v>
          </cell>
          <cell r="B2144">
            <v>8</v>
          </cell>
          <cell r="C2144">
            <v>15</v>
          </cell>
          <cell r="D2144">
            <v>2</v>
          </cell>
          <cell r="E2144" t="str">
            <v>NON-HS</v>
          </cell>
          <cell r="F2144" t="str">
            <v>Harbor Gateway</v>
          </cell>
          <cell r="G2144">
            <v>0</v>
          </cell>
          <cell r="H2144">
            <v>0</v>
          </cell>
          <cell r="I2144">
            <v>7.9459999999999997</v>
          </cell>
          <cell r="J2144">
            <v>5.7934595399999997</v>
          </cell>
          <cell r="K2144">
            <v>7.7934595399999997</v>
          </cell>
          <cell r="L2144">
            <v>0.152423245547576</v>
          </cell>
          <cell r="M2144">
            <v>7.94588278554758</v>
          </cell>
          <cell r="N2144">
            <v>3.3333333333333298E-2</v>
          </cell>
          <cell r="O2144">
            <v>0</v>
          </cell>
          <cell r="P2144">
            <v>0.17499999999999999</v>
          </cell>
          <cell r="Q2144">
            <v>0.80769230769230804</v>
          </cell>
          <cell r="R2144">
            <v>4.7619047619047603E-2</v>
          </cell>
          <cell r="S2144">
            <v>0</v>
          </cell>
        </row>
        <row r="2145">
          <cell r="A2145">
            <v>293201</v>
          </cell>
          <cell r="B2145">
            <v>8</v>
          </cell>
          <cell r="C2145">
            <v>15</v>
          </cell>
          <cell r="D2145">
            <v>4</v>
          </cell>
          <cell r="E2145" t="str">
            <v>NON-HS</v>
          </cell>
          <cell r="F2145" t="str">
            <v>Harbor Gateway</v>
          </cell>
          <cell r="G2145">
            <v>0</v>
          </cell>
          <cell r="H2145">
            <v>0</v>
          </cell>
          <cell r="I2145">
            <v>10.462999999999999</v>
          </cell>
          <cell r="J2145">
            <v>9.1375360499999996</v>
          </cell>
          <cell r="K2145">
            <v>10.13753605</v>
          </cell>
          <cell r="L2145">
            <v>0.32450057377019698</v>
          </cell>
          <cell r="M2145">
            <v>10.462036623770199</v>
          </cell>
          <cell r="N2145">
            <v>3.3333333333333298E-2</v>
          </cell>
          <cell r="O2145">
            <v>0</v>
          </cell>
          <cell r="P2145">
            <v>0.17499999999999999</v>
          </cell>
          <cell r="Q2145">
            <v>0.80769230769230804</v>
          </cell>
          <cell r="R2145">
            <v>4.7619047619047603E-2</v>
          </cell>
          <cell r="S2145">
            <v>0</v>
          </cell>
        </row>
        <row r="2146">
          <cell r="A2146">
            <v>293301</v>
          </cell>
          <cell r="B2146">
            <v>8</v>
          </cell>
          <cell r="C2146">
            <v>15</v>
          </cell>
          <cell r="D2146">
            <v>4</v>
          </cell>
          <cell r="E2146" t="str">
            <v>NON-HS</v>
          </cell>
          <cell r="F2146" t="str">
            <v>Harbor City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3.3333333333333298E-2</v>
          </cell>
          <cell r="O2146">
            <v>0</v>
          </cell>
          <cell r="P2146">
            <v>0.17499999999999999</v>
          </cell>
          <cell r="Q2146">
            <v>0.80769230769230804</v>
          </cell>
          <cell r="R2146">
            <v>4.7619047619047603E-2</v>
          </cell>
          <cell r="S2146">
            <v>0</v>
          </cell>
        </row>
        <row r="2147">
          <cell r="A2147">
            <v>296401</v>
          </cell>
          <cell r="B2147">
            <v>8</v>
          </cell>
          <cell r="C2147">
            <v>15</v>
          </cell>
          <cell r="D2147">
            <v>4</v>
          </cell>
          <cell r="E2147" t="str">
            <v>NON-HS</v>
          </cell>
          <cell r="F2147" t="str">
            <v>San Pedro</v>
          </cell>
          <cell r="G2147">
            <v>0</v>
          </cell>
          <cell r="H2147">
            <v>0</v>
          </cell>
          <cell r="I2147">
            <v>1.8080000000000001</v>
          </cell>
          <cell r="J2147">
            <v>1.73313217</v>
          </cell>
          <cell r="K2147">
            <v>1.73313217</v>
          </cell>
          <cell r="L2147">
            <v>7.4985510287253102E-2</v>
          </cell>
          <cell r="M2147">
            <v>1.8081176802872501</v>
          </cell>
          <cell r="N2147">
            <v>3.3333333333333298E-2</v>
          </cell>
          <cell r="O2147">
            <v>0</v>
          </cell>
          <cell r="P2147">
            <v>0.17499999999999999</v>
          </cell>
          <cell r="Q2147">
            <v>0.80769230769230804</v>
          </cell>
          <cell r="R2147">
            <v>4.7619047619047603E-2</v>
          </cell>
          <cell r="S2147">
            <v>0</v>
          </cell>
        </row>
        <row r="2148">
          <cell r="A2148">
            <v>293302</v>
          </cell>
          <cell r="B2148">
            <v>8</v>
          </cell>
          <cell r="C2148">
            <v>15</v>
          </cell>
          <cell r="D2148">
            <v>4</v>
          </cell>
          <cell r="E2148" t="str">
            <v>NON-HS</v>
          </cell>
          <cell r="F2148" t="str">
            <v>Harbor City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3.3333333333333298E-2</v>
          </cell>
          <cell r="O2148">
            <v>0</v>
          </cell>
          <cell r="P2148">
            <v>0.17499999999999999</v>
          </cell>
          <cell r="Q2148">
            <v>0.80769230769230804</v>
          </cell>
          <cell r="R2148">
            <v>4.7619047619047603E-2</v>
          </cell>
          <cell r="S2148">
            <v>0</v>
          </cell>
        </row>
        <row r="2149">
          <cell r="A2149">
            <v>293306</v>
          </cell>
          <cell r="B2149">
            <v>8</v>
          </cell>
          <cell r="C2149">
            <v>15</v>
          </cell>
          <cell r="D2149">
            <v>4</v>
          </cell>
          <cell r="E2149" t="str">
            <v>NON-HS</v>
          </cell>
          <cell r="F2149" t="str">
            <v>Harbor City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3.3333333333333298E-2</v>
          </cell>
          <cell r="O2149">
            <v>0</v>
          </cell>
          <cell r="P2149">
            <v>0.17499999999999999</v>
          </cell>
          <cell r="Q2149">
            <v>0.80769230769230804</v>
          </cell>
          <cell r="R2149">
            <v>4.7619047619047603E-2</v>
          </cell>
          <cell r="S2149">
            <v>0</v>
          </cell>
        </row>
        <row r="2150">
          <cell r="A2150">
            <v>293307</v>
          </cell>
          <cell r="B2150">
            <v>8</v>
          </cell>
          <cell r="C2150">
            <v>15</v>
          </cell>
          <cell r="D2150">
            <v>4</v>
          </cell>
          <cell r="E2150" t="str">
            <v>NON-HS</v>
          </cell>
          <cell r="F2150" t="str">
            <v>Harbor City</v>
          </cell>
          <cell r="G2150">
            <v>0</v>
          </cell>
          <cell r="H2150">
            <v>0</v>
          </cell>
          <cell r="I2150">
            <v>10.952999999999999</v>
          </cell>
          <cell r="J2150">
            <v>8.6633802400000004</v>
          </cell>
          <cell r="K2150">
            <v>10.66338024</v>
          </cell>
          <cell r="L2150">
            <v>0.28918009235188502</v>
          </cell>
          <cell r="M2150">
            <v>10.952560332351901</v>
          </cell>
          <cell r="N2150">
            <v>3.3333333333333298E-2</v>
          </cell>
          <cell r="O2150">
            <v>0</v>
          </cell>
          <cell r="P2150">
            <v>0.17499999999999999</v>
          </cell>
          <cell r="Q2150">
            <v>0.80769230769230804</v>
          </cell>
          <cell r="R2150">
            <v>4.7619047619047603E-2</v>
          </cell>
          <cell r="S2150">
            <v>0</v>
          </cell>
        </row>
        <row r="2151">
          <cell r="A2151">
            <v>294110</v>
          </cell>
          <cell r="B2151">
            <v>8</v>
          </cell>
          <cell r="C2151">
            <v>15</v>
          </cell>
          <cell r="D2151">
            <v>4</v>
          </cell>
          <cell r="E2151" t="str">
            <v>NON-HS</v>
          </cell>
          <cell r="F2151" t="str">
            <v>Wilmington</v>
          </cell>
          <cell r="G2151">
            <v>0</v>
          </cell>
          <cell r="H2151">
            <v>0</v>
          </cell>
          <cell r="I2151">
            <v>1</v>
          </cell>
          <cell r="J2151">
            <v>0</v>
          </cell>
          <cell r="K2151">
            <v>1</v>
          </cell>
          <cell r="L2151">
            <v>0</v>
          </cell>
          <cell r="M2151">
            <v>1</v>
          </cell>
          <cell r="N2151">
            <v>3.3333333333333298E-2</v>
          </cell>
          <cell r="O2151">
            <v>0</v>
          </cell>
          <cell r="P2151">
            <v>0.17499999999999999</v>
          </cell>
          <cell r="Q2151">
            <v>0.80769230769230804</v>
          </cell>
          <cell r="R2151">
            <v>4.7619047619047603E-2</v>
          </cell>
          <cell r="S2151">
            <v>0</v>
          </cell>
        </row>
        <row r="2152">
          <cell r="A2152">
            <v>294610</v>
          </cell>
          <cell r="B2152">
            <v>8</v>
          </cell>
          <cell r="C2152">
            <v>15</v>
          </cell>
          <cell r="D2152">
            <v>4</v>
          </cell>
          <cell r="E2152" t="str">
            <v>NON-HS</v>
          </cell>
          <cell r="F2152" t="str">
            <v>Wilmington</v>
          </cell>
          <cell r="G2152">
            <v>0</v>
          </cell>
          <cell r="H2152">
            <v>0</v>
          </cell>
          <cell r="I2152">
            <v>8.9979999999999993</v>
          </cell>
          <cell r="J2152">
            <v>5.7005314900000004</v>
          </cell>
          <cell r="K2152">
            <v>8.7005314899999995</v>
          </cell>
          <cell r="L2152">
            <v>0.29733071305206499</v>
          </cell>
          <cell r="M2152">
            <v>8.9978622030520601</v>
          </cell>
          <cell r="N2152">
            <v>3.3333333333333298E-2</v>
          </cell>
          <cell r="O2152">
            <v>0</v>
          </cell>
          <cell r="P2152">
            <v>0.17499999999999999</v>
          </cell>
          <cell r="Q2152">
            <v>0.80769230769230804</v>
          </cell>
          <cell r="R2152">
            <v>4.7619047619047603E-2</v>
          </cell>
          <cell r="S2152">
            <v>0</v>
          </cell>
        </row>
        <row r="2153">
          <cell r="A2153">
            <v>294900</v>
          </cell>
          <cell r="B2153">
            <v>8</v>
          </cell>
          <cell r="C2153">
            <v>15</v>
          </cell>
          <cell r="D2153">
            <v>4</v>
          </cell>
          <cell r="E2153" t="str">
            <v>NON-HS</v>
          </cell>
          <cell r="F2153" t="str">
            <v>Wilmington</v>
          </cell>
          <cell r="G2153">
            <v>0</v>
          </cell>
          <cell r="H2153">
            <v>1</v>
          </cell>
          <cell r="I2153">
            <v>3.0950000000000002</v>
          </cell>
          <cell r="J2153">
            <v>1.9836996600000001</v>
          </cell>
          <cell r="K2153">
            <v>2.9836996600000001</v>
          </cell>
          <cell r="L2153">
            <v>0.11117260138240601</v>
          </cell>
          <cell r="M2153">
            <v>3.09487226138241</v>
          </cell>
          <cell r="N2153">
            <v>3.3333333333333298E-2</v>
          </cell>
          <cell r="O2153">
            <v>0</v>
          </cell>
          <cell r="P2153">
            <v>0.17499999999999999</v>
          </cell>
          <cell r="Q2153">
            <v>0.80769230769230804</v>
          </cell>
          <cell r="R2153">
            <v>4.7619047619047603E-2</v>
          </cell>
          <cell r="S2153">
            <v>21</v>
          </cell>
        </row>
        <row r="2154">
          <cell r="A2154">
            <v>296210</v>
          </cell>
          <cell r="B2154">
            <v>8</v>
          </cell>
          <cell r="C2154">
            <v>15</v>
          </cell>
          <cell r="D2154">
            <v>4</v>
          </cell>
          <cell r="E2154" t="str">
            <v>NON-HS</v>
          </cell>
          <cell r="F2154" t="str">
            <v>San Pedro</v>
          </cell>
          <cell r="G2154">
            <v>0</v>
          </cell>
          <cell r="H2154">
            <v>0</v>
          </cell>
          <cell r="I2154">
            <v>13.77</v>
          </cell>
          <cell r="J2154">
            <v>10.0181212</v>
          </cell>
          <cell r="K2154">
            <v>13.0181212</v>
          </cell>
          <cell r="L2154">
            <v>0.75168673147217202</v>
          </cell>
          <cell r="M2154">
            <v>13.769807931472201</v>
          </cell>
          <cell r="N2154">
            <v>3.3333333333333298E-2</v>
          </cell>
          <cell r="O2154">
            <v>0</v>
          </cell>
          <cell r="P2154">
            <v>0.17499999999999999</v>
          </cell>
          <cell r="Q2154">
            <v>0.80769230769230804</v>
          </cell>
          <cell r="R2154">
            <v>4.7619047619047603E-2</v>
          </cell>
          <cell r="S2154">
            <v>0</v>
          </cell>
        </row>
        <row r="2155">
          <cell r="A2155">
            <v>296901</v>
          </cell>
          <cell r="B2155">
            <v>8</v>
          </cell>
          <cell r="C2155">
            <v>15</v>
          </cell>
          <cell r="D2155">
            <v>4</v>
          </cell>
          <cell r="E2155" t="str">
            <v>NON-HS</v>
          </cell>
          <cell r="F2155" t="str">
            <v>San Pedro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3.3333333333333298E-2</v>
          </cell>
          <cell r="O2155">
            <v>0</v>
          </cell>
          <cell r="P2155">
            <v>0.17499999999999999</v>
          </cell>
          <cell r="Q2155">
            <v>0.80769230769230804</v>
          </cell>
          <cell r="R2155">
            <v>4.7619047619047603E-2</v>
          </cell>
          <cell r="S2155">
            <v>0</v>
          </cell>
        </row>
        <row r="2156">
          <cell r="A2156">
            <v>297000</v>
          </cell>
          <cell r="B2156">
            <v>8</v>
          </cell>
          <cell r="C2156">
            <v>15</v>
          </cell>
          <cell r="D2156">
            <v>4</v>
          </cell>
          <cell r="E2156" t="str">
            <v>NON-HS</v>
          </cell>
          <cell r="F2156" t="str">
            <v>San Pedro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3.3333333333333298E-2</v>
          </cell>
          <cell r="O2156">
            <v>0</v>
          </cell>
          <cell r="P2156">
            <v>0.17499999999999999</v>
          </cell>
          <cell r="Q2156">
            <v>0.80769230769230804</v>
          </cell>
          <cell r="R2156">
            <v>4.7619047619047603E-2</v>
          </cell>
          <cell r="S2156">
            <v>0</v>
          </cell>
        </row>
        <row r="2157">
          <cell r="A2157">
            <v>297201</v>
          </cell>
          <cell r="B2157">
            <v>8</v>
          </cell>
          <cell r="C2157">
            <v>15</v>
          </cell>
          <cell r="D2157">
            <v>4</v>
          </cell>
          <cell r="E2157" t="str">
            <v>NON-HS</v>
          </cell>
          <cell r="F2157" t="str">
            <v>San Pedro</v>
          </cell>
          <cell r="G2157">
            <v>0</v>
          </cell>
          <cell r="H2157">
            <v>0</v>
          </cell>
          <cell r="I2157">
            <v>4</v>
          </cell>
          <cell r="J2157">
            <v>0</v>
          </cell>
          <cell r="K2157">
            <v>4</v>
          </cell>
          <cell r="L2157">
            <v>0</v>
          </cell>
          <cell r="M2157">
            <v>4</v>
          </cell>
          <cell r="N2157">
            <v>3.3333333333333298E-2</v>
          </cell>
          <cell r="O2157">
            <v>0</v>
          </cell>
          <cell r="P2157">
            <v>0.17499999999999999</v>
          </cell>
          <cell r="Q2157">
            <v>0.80769230769230804</v>
          </cell>
          <cell r="R2157">
            <v>4.7619047619047603E-2</v>
          </cell>
          <cell r="S2157">
            <v>0</v>
          </cell>
        </row>
        <row r="2158">
          <cell r="A2158">
            <v>297300</v>
          </cell>
          <cell r="B2158">
            <v>8</v>
          </cell>
          <cell r="C2158">
            <v>15</v>
          </cell>
          <cell r="D2158">
            <v>4</v>
          </cell>
          <cell r="E2158" t="str">
            <v>NON-HS</v>
          </cell>
          <cell r="F2158" t="str">
            <v>San Pedro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3.3333333333333298E-2</v>
          </cell>
          <cell r="O2158">
            <v>0</v>
          </cell>
          <cell r="P2158">
            <v>0.17499999999999999</v>
          </cell>
          <cell r="Q2158">
            <v>0.80769230769230804</v>
          </cell>
          <cell r="R2158">
            <v>4.7619047619047603E-2</v>
          </cell>
          <cell r="S2158">
            <v>0</v>
          </cell>
        </row>
        <row r="2159">
          <cell r="A2159">
            <v>297500</v>
          </cell>
          <cell r="B2159">
            <v>8</v>
          </cell>
          <cell r="C2159">
            <v>15</v>
          </cell>
          <cell r="D2159">
            <v>4</v>
          </cell>
          <cell r="E2159" t="str">
            <v>NON-HS</v>
          </cell>
          <cell r="F2159" t="str">
            <v>San Pedro</v>
          </cell>
          <cell r="G2159">
            <v>0</v>
          </cell>
          <cell r="H2159">
            <v>0</v>
          </cell>
          <cell r="I2159">
            <v>8.3789999999999996</v>
          </cell>
          <cell r="J2159">
            <v>7.9347986400000003</v>
          </cell>
          <cell r="K2159">
            <v>7.9347986400000003</v>
          </cell>
          <cell r="L2159">
            <v>0.44469040552962302</v>
          </cell>
          <cell r="M2159">
            <v>8.3794890455296205</v>
          </cell>
          <cell r="N2159">
            <v>3.3333333333333298E-2</v>
          </cell>
          <cell r="O2159">
            <v>0</v>
          </cell>
          <cell r="P2159">
            <v>0.17499999999999999</v>
          </cell>
          <cell r="Q2159">
            <v>0.80769230769230804</v>
          </cell>
          <cell r="R2159">
            <v>4.7619047619047603E-2</v>
          </cell>
          <cell r="S2159">
            <v>0</v>
          </cell>
        </row>
        <row r="2160">
          <cell r="A2160">
            <v>297601</v>
          </cell>
          <cell r="B2160">
            <v>8</v>
          </cell>
          <cell r="C2160">
            <v>15</v>
          </cell>
          <cell r="D2160">
            <v>4</v>
          </cell>
          <cell r="E2160" t="str">
            <v>NON-HS</v>
          </cell>
          <cell r="F2160" t="str">
            <v>San Pedro</v>
          </cell>
          <cell r="G2160">
            <v>0</v>
          </cell>
          <cell r="H2160">
            <v>0</v>
          </cell>
          <cell r="I2160">
            <v>5.19</v>
          </cell>
          <cell r="J2160">
            <v>3.9673993200000002</v>
          </cell>
          <cell r="K2160">
            <v>4.9673993200000002</v>
          </cell>
          <cell r="L2160">
            <v>0.22234520276481101</v>
          </cell>
          <cell r="M2160">
            <v>5.1897445227648102</v>
          </cell>
          <cell r="N2160">
            <v>3.3333333333333298E-2</v>
          </cell>
          <cell r="O2160">
            <v>0</v>
          </cell>
          <cell r="P2160">
            <v>0.17499999999999999</v>
          </cell>
          <cell r="Q2160">
            <v>0.80769230769230804</v>
          </cell>
          <cell r="R2160">
            <v>4.7619047619047603E-2</v>
          </cell>
          <cell r="S2160">
            <v>0</v>
          </cell>
        </row>
        <row r="2161">
          <cell r="A2161">
            <v>980031</v>
          </cell>
          <cell r="B2161">
            <v>8</v>
          </cell>
          <cell r="C2161">
            <v>15</v>
          </cell>
          <cell r="D2161">
            <v>4</v>
          </cell>
          <cell r="E2161" t="str">
            <v>NON-HS</v>
          </cell>
          <cell r="F2161" t="str">
            <v>Wilmington</v>
          </cell>
          <cell r="G2161">
            <v>0</v>
          </cell>
          <cell r="H2161">
            <v>0</v>
          </cell>
          <cell r="I2161">
            <v>10.474</v>
          </cell>
          <cell r="J2161">
            <v>9.9184982999999995</v>
          </cell>
          <cell r="K2161">
            <v>9.9184982999999995</v>
          </cell>
          <cell r="L2161">
            <v>0.55586300691202895</v>
          </cell>
          <cell r="M2161">
            <v>10.474361306912</v>
          </cell>
          <cell r="N2161">
            <v>3.3333333333333298E-2</v>
          </cell>
          <cell r="O2161">
            <v>0</v>
          </cell>
          <cell r="P2161">
            <v>0.17499999999999999</v>
          </cell>
          <cell r="Q2161">
            <v>0.80769230769230804</v>
          </cell>
          <cell r="R2161">
            <v>4.7619047619047603E-2</v>
          </cell>
          <cell r="S2161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3082.921987615744" createdVersion="6" refreshedVersion="6" minRefreshableVersion="3" recordCount="2160">
  <cacheSource type="worksheet">
    <worksheetSource ref="A1:U2161" sheet="Data"/>
  </cacheSource>
  <cacheFields count="21">
    <cacheField name="Tract" numFmtId="0">
      <sharedItems containsSemiMixedTypes="0" containsString="0" containsNumber="1" containsInteger="1" minValue="101110" maxValue="980031"/>
    </cacheField>
    <cacheField name="SPA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CD" numFmtId="0">
      <sharedItems containsSemiMixedTypes="0" containsString="0" containsNumber="1" containsInteger="1" minValue="0" maxValue="15" count="16">
        <n v="0"/>
        <n v="2"/>
        <n v="3"/>
        <n v="4"/>
        <n v="6"/>
        <n v="7"/>
        <n v="12"/>
        <n v="5"/>
        <n v="1"/>
        <n v="9"/>
        <n v="10"/>
        <n v="13"/>
        <n v="14"/>
        <n v="11"/>
        <n v="8"/>
        <n v="15"/>
      </sharedItems>
    </cacheField>
    <cacheField name="SD" numFmtId="0">
      <sharedItems containsSemiMixedTypes="0" containsString="0" containsNumber="1" containsInteger="1" minValue="1" maxValue="5"/>
    </cacheField>
    <cacheField name="nstrata" numFmtId="0">
      <sharedItems count="6">
        <s v="CVCTE"/>
        <s v="FAMILY"/>
        <s v="INDIV"/>
        <s v="NON-HS"/>
        <s v="SKIDROW"/>
        <s v="VENICE"/>
      </sharedItems>
    </cacheField>
    <cacheField name="Community_Name" numFmtId="0">
      <sharedItems/>
    </cacheField>
    <cacheField name="selected_spa" numFmtId="0">
      <sharedItems containsSemiMixedTypes="0" containsString="0" containsNumber="1" containsInteger="1" minValue="0" maxValue="1"/>
    </cacheField>
    <cacheField name="selected_cd" numFmtId="0">
      <sharedItems containsSemiMixedTypes="0" containsString="0" containsNumber="1" containsInteger="1" minValue="0" maxValue="1"/>
    </cacheField>
    <cacheField name="Total_2017_CT_Population" numFmtId="0">
      <sharedItems containsSemiMixedTypes="0" containsString="0" containsNumber="1" minValue="0" maxValue="1211.0440000000001"/>
    </cacheField>
    <cacheField name="totcvctep" numFmtId="0">
      <sharedItems containsSemiMixedTypes="0" containsString="0" containsNumber="1" minValue="0" maxValue="701.46323719999998"/>
    </cacheField>
    <cacheField name="totestind" numFmtId="0">
      <sharedItems containsSemiMixedTypes="0" containsString="0" containsNumber="1" minValue="0" maxValue="1199.4632372000001"/>
    </cacheField>
    <cacheField name="totestfammem" numFmtId="0">
      <sharedItems containsSemiMixedTypes="0" containsString="0" containsNumber="1" minValue="0" maxValue="35.567577013931803"/>
    </cacheField>
    <cacheField name="totestpeo" numFmtId="0">
      <sharedItems containsSemiMixedTypes="0" containsString="0" containsNumber="1" minValue="0" maxValue="1211.04823976133"/>
    </cacheField>
    <cacheField name="SelectionProb_SPA" numFmtId="0">
      <sharedItems containsSemiMixedTypes="0" containsString="0" containsNumber="1" minValue="0.02" maxValue="1"/>
    </cacheField>
    <cacheField name="SamplingWeight_SPA" numFmtId="0">
      <sharedItems containsSemiMixedTypes="0" containsString="0" containsNumber="1" minValue="0" maxValue="50"/>
    </cacheField>
    <cacheField name="perc_of_spa_strata" numFmtId="0">
      <sharedItems containsSemiMixedTypes="0" containsString="0" containsNumber="1" minValue="0" maxValue="1"/>
    </cacheField>
    <cacheField name="perc_of_cd_strata" numFmtId="0">
      <sharedItems containsSemiMixedTypes="0" containsString="0" containsNumber="1" minValue="0" maxValue="1"/>
    </cacheField>
    <cacheField name="SelectionProb_addCD" numFmtId="0">
      <sharedItems containsSemiMixedTypes="0" containsString="0" containsNumber="1" minValue="0" maxValue="1"/>
    </cacheField>
    <cacheField name="SamplingWeight_addCD" numFmtId="0">
      <sharedItems containsSemiMixedTypes="0" containsString="0" containsNumber="1" minValue="0" maxValue="35"/>
    </cacheField>
    <cacheField name="Selection Prob_CD" numFmtId="0">
      <sharedItems containsSemiMixedTypes="0" containsString="0" containsNumber="1" minValue="0.02" maxValue="1"/>
    </cacheField>
    <cacheField name="SamplingWeight_CD" numFmtId="0">
      <sharedItems containsSemiMixedTypes="0" containsString="0" containsNumb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0">
  <r>
    <n v="900806"/>
    <x v="0"/>
    <x v="0"/>
    <n v="5"/>
    <x v="0"/>
    <s v="Lancaster"/>
    <n v="1"/>
    <n v="1"/>
    <n v="39.655000000000001"/>
    <n v="16.282900000000001"/>
    <n v="39.282899999999998"/>
    <n v="0.371681380682226"/>
    <n v="39.654581380682203"/>
    <n v="0.55000000000000004"/>
    <n v="1.8181818181818199"/>
    <n v="1"/>
    <n v="0"/>
    <n v="0"/>
    <n v="0"/>
    <n v="0.55000000000000004"/>
    <n v="1.8181818181818181"/>
  </r>
  <r>
    <n v="900300"/>
    <x v="0"/>
    <x v="0"/>
    <n v="5"/>
    <x v="0"/>
    <s v="Unincorporated Antelope Valley"/>
    <n v="1"/>
    <n v="1"/>
    <n v="40.488999999999997"/>
    <n v="37.826908529999997"/>
    <n v="39.826908529999997"/>
    <n v="0.661438604506284"/>
    <n v="40.488347134506299"/>
    <n v="0.55000000000000004"/>
    <n v="1.8181818181818199"/>
    <n v="1"/>
    <n v="0"/>
    <n v="0"/>
    <n v="0"/>
    <n v="0.55000000000000004"/>
    <n v="1.8181818181818181"/>
  </r>
  <r>
    <n v="900103"/>
    <x v="0"/>
    <x v="0"/>
    <n v="5"/>
    <x v="0"/>
    <s v="Unincorporated Antelope Valley"/>
    <n v="1"/>
    <n v="1"/>
    <n v="97.194999999999993"/>
    <n v="91.171364639999993"/>
    <n v="92.171364639999993"/>
    <n v="5.0233923842908403"/>
    <n v="97.194757024290894"/>
    <n v="0.55000000000000004"/>
    <n v="1.8181818181818199"/>
    <n v="1"/>
    <n v="0"/>
    <n v="0"/>
    <n v="0"/>
    <n v="0.55000000000000004"/>
    <n v="1.8181818181818181"/>
  </r>
  <r>
    <n v="910401"/>
    <x v="0"/>
    <x v="0"/>
    <n v="5"/>
    <x v="0"/>
    <s v="Palmdale"/>
    <n v="0"/>
    <n v="0"/>
    <n v="5.5170000000000003"/>
    <n v="3.3440765099999998"/>
    <n v="5.3440765099999998"/>
    <n v="0.17207732822262101"/>
    <n v="5.5161538382226203"/>
    <n v="0.55000000000000004"/>
    <n v="0"/>
    <n v="1"/>
    <n v="0"/>
    <n v="0"/>
    <n v="0"/>
    <n v="0.55000000000000004"/>
    <n v="0"/>
  </r>
  <r>
    <n v="900900"/>
    <x v="0"/>
    <x v="0"/>
    <n v="5"/>
    <x v="0"/>
    <s v="Unincorporated Antelope Valley"/>
    <n v="1"/>
    <n v="1"/>
    <n v="14.664"/>
    <n v="13.88589762"/>
    <n v="13.88589762"/>
    <n v="0.77820820967684001"/>
    <n v="14.664105829676799"/>
    <n v="0.55000000000000004"/>
    <n v="1.8181818181818199"/>
    <n v="1"/>
    <n v="0"/>
    <n v="0"/>
    <n v="0"/>
    <n v="0.55000000000000004"/>
    <n v="1.8181818181818181"/>
  </r>
  <r>
    <n v="900609"/>
    <x v="0"/>
    <x v="0"/>
    <n v="5"/>
    <x v="0"/>
    <s v="Lancaster"/>
    <n v="1"/>
    <n v="1"/>
    <n v="75.650000000000006"/>
    <n v="73.843141020000004"/>
    <n v="74.843141020000004"/>
    <n v="0.80612078057450598"/>
    <n v="75.649261800574493"/>
    <n v="0.55000000000000004"/>
    <n v="1.8181818181818199"/>
    <n v="1"/>
    <n v="0"/>
    <n v="0"/>
    <n v="0"/>
    <n v="0.55000000000000004"/>
    <n v="1.8181818181818181"/>
  </r>
  <r>
    <n v="901209"/>
    <x v="0"/>
    <x v="0"/>
    <n v="5"/>
    <x v="0"/>
    <s v="Unincorporated Antelope Valley"/>
    <n v="0"/>
    <n v="0"/>
    <n v="6.7809999999999997"/>
    <n v="5.4065958900000002"/>
    <n v="6.4065958900000002"/>
    <n v="0.37379720890484702"/>
    <n v="6.7803930989048498"/>
    <n v="0.55000000000000004"/>
    <n v="0"/>
    <n v="1"/>
    <n v="0"/>
    <n v="0"/>
    <n v="0"/>
    <n v="0.55000000000000004"/>
    <n v="0"/>
  </r>
  <r>
    <n v="900607"/>
    <x v="0"/>
    <x v="0"/>
    <n v="5"/>
    <x v="0"/>
    <s v="Lancaster"/>
    <n v="0"/>
    <n v="0"/>
    <n v="46.170999999999999"/>
    <n v="35.61962055"/>
    <n v="45.61962055"/>
    <n v="0.55113261280071801"/>
    <n v="46.1707531628007"/>
    <n v="0.55000000000000004"/>
    <n v="0"/>
    <n v="1"/>
    <n v="0"/>
    <n v="0"/>
    <n v="0"/>
    <n v="0.55000000000000004"/>
    <n v="0"/>
  </r>
  <r>
    <n v="910403"/>
    <x v="0"/>
    <x v="0"/>
    <n v="5"/>
    <x v="0"/>
    <s v="Palmdale"/>
    <n v="1"/>
    <n v="1"/>
    <n v="60.744"/>
    <n v="51.57562969"/>
    <n v="59.57562969"/>
    <n v="1.16863085123878"/>
    <n v="60.744260541238802"/>
    <n v="0.55000000000000004"/>
    <n v="1.8181818181818199"/>
    <n v="1"/>
    <n v="0"/>
    <n v="0"/>
    <n v="0"/>
    <n v="0.55000000000000004"/>
    <n v="1.8181818181818181"/>
  </r>
  <r>
    <n v="900602"/>
    <x v="0"/>
    <x v="0"/>
    <n v="5"/>
    <x v="0"/>
    <s v="Lancaster"/>
    <n v="1"/>
    <n v="1"/>
    <n v="9.6859999999999999"/>
    <n v="3.4228962300000001"/>
    <n v="9.4228962299999992"/>
    <n v="0.26262460752244199"/>
    <n v="9.6855208375224393"/>
    <n v="0.55000000000000004"/>
    <n v="1.8181818181818199"/>
    <n v="1"/>
    <n v="0"/>
    <n v="0"/>
    <n v="0"/>
    <n v="0.55000000000000004"/>
    <n v="1.8181818181818181"/>
  </r>
  <r>
    <n v="910501"/>
    <x v="0"/>
    <x v="0"/>
    <n v="5"/>
    <x v="0"/>
    <s v="Palmdale"/>
    <n v="1"/>
    <n v="1"/>
    <n v="22.483000000000001"/>
    <n v="13.026115649999999"/>
    <n v="22.026115650000001"/>
    <n v="0.456298497235189"/>
    <n v="22.4824141472352"/>
    <n v="0.55000000000000004"/>
    <n v="1.8181818181818199"/>
    <n v="1"/>
    <n v="0"/>
    <n v="0"/>
    <n v="0"/>
    <n v="0.55000000000000004"/>
    <n v="1.8181818181818181"/>
  </r>
  <r>
    <n v="901008"/>
    <x v="0"/>
    <x v="0"/>
    <n v="5"/>
    <x v="0"/>
    <s v="Lancaster"/>
    <n v="1"/>
    <n v="1"/>
    <n v="15.217000000000001"/>
    <n v="10.08774972"/>
    <n v="15.08774972"/>
    <n v="0.128951590556553"/>
    <n v="15.2167013105566"/>
    <n v="0.55000000000000004"/>
    <n v="1.8181818181818199"/>
    <n v="1"/>
    <n v="0"/>
    <n v="0"/>
    <n v="0"/>
    <n v="0.55000000000000004"/>
    <n v="1.8181818181818181"/>
  </r>
  <r>
    <n v="900501"/>
    <x v="0"/>
    <x v="0"/>
    <n v="5"/>
    <x v="0"/>
    <s v="Lancaster"/>
    <n v="0"/>
    <n v="0"/>
    <n v="21.324999999999999"/>
    <n v="5.07720868"/>
    <n v="21.077208679999998"/>
    <n v="0.24706283850987401"/>
    <n v="21.324271518509899"/>
    <n v="0.55000000000000004"/>
    <n v="0"/>
    <n v="1"/>
    <n v="0"/>
    <n v="0"/>
    <n v="0"/>
    <n v="0.55000000000000004"/>
    <n v="0"/>
  </r>
  <r>
    <n v="900703"/>
    <x v="0"/>
    <x v="0"/>
    <n v="5"/>
    <x v="0"/>
    <s v="Lancaster"/>
    <n v="1"/>
    <n v="1"/>
    <n v="65.837000000000003"/>
    <n v="48.827896819999999"/>
    <n v="64.827896820000007"/>
    <n v="1.00976769678636"/>
    <n v="65.837664516786404"/>
    <n v="0.55000000000000004"/>
    <n v="1.8181818181818199"/>
    <n v="1"/>
    <n v="0"/>
    <n v="0"/>
    <n v="0"/>
    <n v="0.55000000000000004"/>
    <n v="1.8181818181818181"/>
  </r>
  <r>
    <n v="900605"/>
    <x v="0"/>
    <x v="0"/>
    <n v="5"/>
    <x v="0"/>
    <s v="Lancaster"/>
    <n v="0"/>
    <n v="0"/>
    <n v="3.181"/>
    <n v="2.87839314"/>
    <n v="2.87839314"/>
    <n v="0.30290401228007202"/>
    <n v="3.1812971522800702"/>
    <n v="0.55000000000000004"/>
    <n v="0"/>
    <n v="1"/>
    <n v="0"/>
    <n v="0"/>
    <n v="0"/>
    <n v="0.55000000000000004"/>
    <n v="0"/>
  </r>
  <r>
    <n v="900104"/>
    <x v="0"/>
    <x v="0"/>
    <n v="5"/>
    <x v="0"/>
    <s v="Unincorporated Antelope Valley"/>
    <n v="0"/>
    <n v="0"/>
    <n v="117.57599999999999"/>
    <n v="108.22235605"/>
    <n v="112.22235605"/>
    <n v="5.3539277505385998"/>
    <n v="117.576283800539"/>
    <n v="0.55000000000000004"/>
    <n v="0"/>
    <n v="1"/>
    <n v="0"/>
    <n v="0"/>
    <n v="0"/>
    <n v="0.55000000000000004"/>
    <n v="0"/>
  </r>
  <r>
    <n v="910812"/>
    <x v="0"/>
    <x v="0"/>
    <n v="5"/>
    <x v="0"/>
    <s v="Unincorporated Antelope Valley"/>
    <n v="0"/>
    <n v="0"/>
    <n v="82.486000000000004"/>
    <n v="79.241247479999998"/>
    <n v="80.241247479999998"/>
    <n v="2.2455088853860001"/>
    <n v="82.486756365386"/>
    <n v="0.55000000000000004"/>
    <n v="0"/>
    <n v="1"/>
    <n v="0"/>
    <n v="0"/>
    <n v="0"/>
    <n v="0.55000000000000004"/>
    <n v="0"/>
  </r>
  <r>
    <n v="910805"/>
    <x v="0"/>
    <x v="0"/>
    <n v="5"/>
    <x v="0"/>
    <s v="Unincorporated Antelope Valley"/>
    <n v="0"/>
    <n v="0"/>
    <n v="263.99299999999999"/>
    <n v="246.9753493"/>
    <n v="250.9753493"/>
    <n v="13.0188499999282"/>
    <n v="263.99419929992803"/>
    <n v="0.55000000000000004"/>
    <n v="0"/>
    <n v="1"/>
    <n v="0"/>
    <n v="0"/>
    <n v="0"/>
    <n v="0.55000000000000004"/>
    <n v="0"/>
  </r>
  <r>
    <n v="910002"/>
    <x v="0"/>
    <x v="0"/>
    <n v="5"/>
    <x v="0"/>
    <s v="Unincorporated Antelope Valley"/>
    <n v="1"/>
    <n v="1"/>
    <n v="0"/>
    <n v="0"/>
    <n v="0"/>
    <n v="0"/>
    <n v="0"/>
    <n v="0.55000000000000004"/>
    <n v="1.8181818181818199"/>
    <n v="1"/>
    <n v="0"/>
    <n v="0"/>
    <n v="0"/>
    <n v="0.55000000000000004"/>
    <n v="1.8181818181818181"/>
  </r>
  <r>
    <n v="910202"/>
    <x v="0"/>
    <x v="0"/>
    <n v="5"/>
    <x v="0"/>
    <s v="Palmdale"/>
    <n v="0"/>
    <n v="0"/>
    <n v="552.55799999999999"/>
    <n v="512.99724968999999"/>
    <n v="523.99724968999999"/>
    <n v="28.562341324901301"/>
    <n v="552.559591014901"/>
    <n v="0.55000000000000004"/>
    <n v="0"/>
    <n v="1"/>
    <n v="0"/>
    <n v="0"/>
    <n v="0"/>
    <n v="0.55000000000000004"/>
    <n v="0"/>
  </r>
  <r>
    <n v="911001"/>
    <x v="0"/>
    <x v="0"/>
    <n v="5"/>
    <x v="1"/>
    <s v="Unincorporated Antelope Valley"/>
    <n v="1"/>
    <n v="1"/>
    <n v="465.37599999999998"/>
    <n v="424.81247237000002"/>
    <n v="443.81247237000002"/>
    <n v="35.567577013931803"/>
    <n v="479.38004938393198"/>
    <n v="1"/>
    <n v="1"/>
    <n v="0"/>
    <n v="0"/>
    <n v="0"/>
    <n v="0"/>
    <n v="1"/>
    <n v="1"/>
  </r>
  <r>
    <n v="900201"/>
    <x v="0"/>
    <x v="0"/>
    <n v="5"/>
    <x v="1"/>
    <s v="Unincorporated Antelope Valley"/>
    <n v="1"/>
    <n v="1"/>
    <n v="127.97"/>
    <n v="122.13469274000001"/>
    <n v="122.13469274000001"/>
    <n v="5.83581049319569"/>
    <n v="127.970503233196"/>
    <n v="1"/>
    <n v="1"/>
    <n v="0"/>
    <n v="0"/>
    <n v="0"/>
    <n v="0"/>
    <n v="1"/>
    <n v="1"/>
  </r>
  <r>
    <n v="900704"/>
    <x v="0"/>
    <x v="0"/>
    <n v="5"/>
    <x v="1"/>
    <s v="Lancaster"/>
    <n v="1"/>
    <n v="1"/>
    <n v="7.7069999999999999"/>
    <n v="7.31147583"/>
    <n v="7.31147583"/>
    <n v="0.39442253098743302"/>
    <n v="7.7058983609874296"/>
    <n v="1"/>
    <n v="1"/>
    <n v="0"/>
    <n v="0"/>
    <n v="0"/>
    <n v="0"/>
    <n v="1"/>
    <n v="1"/>
  </r>
  <r>
    <n v="900102"/>
    <x v="0"/>
    <x v="0"/>
    <n v="5"/>
    <x v="1"/>
    <s v="Unincorporated Antelope Valley"/>
    <n v="1"/>
    <n v="1"/>
    <n v="367.36399999999998"/>
    <n v="345.45162646"/>
    <n v="354.45162646"/>
    <n v="12.912518897971299"/>
    <n v="367.36414535797098"/>
    <n v="1"/>
    <n v="1"/>
    <n v="0"/>
    <n v="0"/>
    <n v="0"/>
    <n v="0"/>
    <n v="1"/>
    <n v="1"/>
  </r>
  <r>
    <n v="910201"/>
    <x v="0"/>
    <x v="0"/>
    <n v="5"/>
    <x v="1"/>
    <s v="Palmdale"/>
    <n v="1"/>
    <n v="1"/>
    <n v="8.7769999999999992"/>
    <n v="5.7146398200000004"/>
    <n v="8.7146398200000004"/>
    <n v="6.18759662477558E-2"/>
    <n v="8.7765157862477494"/>
    <n v="1"/>
    <n v="1"/>
    <n v="0"/>
    <n v="0"/>
    <n v="0"/>
    <n v="0"/>
    <n v="1"/>
    <n v="1"/>
  </r>
  <r>
    <n v="900606"/>
    <x v="0"/>
    <x v="0"/>
    <n v="5"/>
    <x v="1"/>
    <s v="Lancaster"/>
    <n v="1"/>
    <n v="1"/>
    <n v="29.771999999999998"/>
    <n v="4.31758971"/>
    <n v="29.31758971"/>
    <n v="0.45435601842010798"/>
    <n v="29.7719457284201"/>
    <n v="1"/>
    <n v="1"/>
    <n v="0"/>
    <n v="0"/>
    <n v="0"/>
    <n v="0"/>
    <n v="1"/>
    <n v="1"/>
  </r>
  <r>
    <n v="900705"/>
    <x v="0"/>
    <x v="0"/>
    <n v="5"/>
    <x v="1"/>
    <s v="Lancaster"/>
    <n v="1"/>
    <n v="1"/>
    <n v="25.88"/>
    <n v="15.29969271"/>
    <n v="25.299692709999999"/>
    <n v="0.57984117026930004"/>
    <n v="25.8795338802693"/>
    <n v="1"/>
    <n v="1"/>
    <n v="0"/>
    <n v="0"/>
    <n v="0"/>
    <n v="0"/>
    <n v="1"/>
    <n v="1"/>
  </r>
  <r>
    <n v="900504"/>
    <x v="0"/>
    <x v="0"/>
    <n v="5"/>
    <x v="1"/>
    <s v="Lancaster"/>
    <n v="1"/>
    <n v="1"/>
    <n v="39.384999999999998"/>
    <n v="34.950114450000001"/>
    <n v="37.950114450000001"/>
    <n v="1.43424686436266"/>
    <n v="39.3843613143627"/>
    <n v="1"/>
    <n v="1"/>
    <n v="0"/>
    <n v="0"/>
    <n v="0"/>
    <n v="0"/>
    <n v="1"/>
    <n v="1"/>
  </r>
  <r>
    <n v="910402"/>
    <x v="0"/>
    <x v="0"/>
    <n v="5"/>
    <x v="1"/>
    <s v="Palmdale"/>
    <n v="1"/>
    <n v="1"/>
    <n v="70.965999999999994"/>
    <n v="65.512649100000004"/>
    <n v="69.512649100000004"/>
    <n v="1.45319738470377"/>
    <n v="70.965846484703803"/>
    <n v="1"/>
    <n v="1"/>
    <n v="0"/>
    <n v="0"/>
    <n v="0"/>
    <n v="0"/>
    <n v="1"/>
    <n v="1"/>
  </r>
  <r>
    <n v="910706"/>
    <x v="0"/>
    <x v="0"/>
    <n v="5"/>
    <x v="2"/>
    <s v="Palmdale"/>
    <n v="0"/>
    <n v="0"/>
    <n v="21.741"/>
    <n v="15.158982310000001"/>
    <n v="21.158982309999999"/>
    <n v="0.58241849174147198"/>
    <n v="21.741400801741499"/>
    <n v="0.2"/>
    <n v="0"/>
    <n v="1"/>
    <n v="0"/>
    <n v="0"/>
    <n v="0"/>
    <n v="0.2"/>
    <n v="0"/>
  </r>
  <r>
    <n v="910811"/>
    <x v="0"/>
    <x v="0"/>
    <n v="5"/>
    <x v="2"/>
    <s v="Unincorporated Antelope Valley"/>
    <n v="0"/>
    <n v="0"/>
    <n v="26.68"/>
    <n v="13.92520753"/>
    <n v="25.925207530000002"/>
    <n v="0.75439119023339296"/>
    <n v="26.6795987202334"/>
    <n v="0.2"/>
    <n v="0"/>
    <n v="1"/>
    <n v="0"/>
    <n v="0"/>
    <n v="0"/>
    <n v="0.2"/>
    <n v="0"/>
  </r>
  <r>
    <n v="900701"/>
    <x v="0"/>
    <x v="0"/>
    <n v="5"/>
    <x v="2"/>
    <s v="Lancaster"/>
    <n v="0"/>
    <n v="0"/>
    <n v="33.799999999999997"/>
    <n v="23.646756480000001"/>
    <n v="32.646756480000001"/>
    <n v="1.15297665798923"/>
    <n v="33.7997331379892"/>
    <n v="0.2"/>
    <n v="0"/>
    <n v="1"/>
    <n v="0"/>
    <n v="0"/>
    <n v="0"/>
    <n v="0.2"/>
    <n v="0"/>
  </r>
  <r>
    <n v="910502"/>
    <x v="0"/>
    <x v="0"/>
    <n v="5"/>
    <x v="2"/>
    <s v="Palmdale"/>
    <n v="1"/>
    <n v="1"/>
    <n v="10.021000000000001"/>
    <n v="3.8885795999999999"/>
    <n v="9.8885795999999999"/>
    <n v="0.131797923464991"/>
    <n v="10.020377523464999"/>
    <n v="0.2"/>
    <n v="5"/>
    <n v="1"/>
    <n v="0"/>
    <n v="0"/>
    <n v="0"/>
    <n v="0.2"/>
    <n v="5"/>
  </r>
  <r>
    <n v="900803"/>
    <x v="0"/>
    <x v="0"/>
    <n v="5"/>
    <x v="2"/>
    <s v="Lancaster"/>
    <n v="0"/>
    <n v="0"/>
    <n v="33.798000000000002"/>
    <n v="14.096955299999999"/>
    <n v="33.096955299999998"/>
    <n v="0.70003100202872504"/>
    <n v="33.796986302028699"/>
    <n v="0.2"/>
    <n v="0"/>
    <n v="1"/>
    <n v="0"/>
    <n v="0"/>
    <n v="0"/>
    <n v="0.2"/>
    <n v="0"/>
  </r>
  <r>
    <n v="910712"/>
    <x v="0"/>
    <x v="0"/>
    <n v="5"/>
    <x v="3"/>
    <s v="Palmdale"/>
    <n v="0"/>
    <n v="0"/>
    <n v="2.0950000000000002"/>
    <n v="1.9836996600000001"/>
    <n v="1.9836996600000001"/>
    <n v="0.11117260138240601"/>
    <n v="2.09487226138241"/>
    <n v="0.02"/>
    <n v="0"/>
    <n v="1"/>
    <n v="0"/>
    <n v="0"/>
    <n v="0"/>
    <n v="0.02"/>
    <n v="0"/>
  </r>
  <r>
    <n v="980004"/>
    <x v="0"/>
    <x v="0"/>
    <n v="5"/>
    <x v="3"/>
    <s v="Palmdale"/>
    <n v="1"/>
    <n v="1"/>
    <n v="0"/>
    <n v="0"/>
    <n v="0"/>
    <n v="0"/>
    <n v="0"/>
    <n v="0.02"/>
    <n v="50"/>
    <n v="1"/>
    <n v="0"/>
    <n v="0"/>
    <n v="0"/>
    <n v="0.02"/>
    <n v="50"/>
  </r>
  <r>
    <n v="901010"/>
    <x v="0"/>
    <x v="0"/>
    <n v="5"/>
    <x v="3"/>
    <s v="Lancaster"/>
    <n v="0"/>
    <n v="0"/>
    <n v="24.587"/>
    <n v="24.31626258"/>
    <n v="24.31626258"/>
    <n v="0.26986240642728898"/>
    <n v="24.586124986427301"/>
    <n v="0.02"/>
    <n v="0"/>
    <n v="1"/>
    <n v="0"/>
    <n v="0"/>
    <n v="0"/>
    <n v="0.02"/>
    <n v="0"/>
  </r>
  <r>
    <n v="901101"/>
    <x v="0"/>
    <x v="0"/>
    <n v="5"/>
    <x v="3"/>
    <s v="Lancaster"/>
    <n v="0"/>
    <n v="0"/>
    <n v="0"/>
    <n v="0"/>
    <n v="0"/>
    <n v="0"/>
    <n v="0"/>
    <n v="0.02"/>
    <n v="0"/>
    <n v="1"/>
    <n v="0"/>
    <n v="0"/>
    <n v="0"/>
    <n v="0.02"/>
    <n v="0"/>
  </r>
  <r>
    <n v="910711"/>
    <x v="0"/>
    <x v="0"/>
    <n v="5"/>
    <x v="3"/>
    <s v="Palmdale"/>
    <n v="0"/>
    <n v="0"/>
    <n v="7.19"/>
    <n v="3.9673993200000002"/>
    <n v="6.9673993200000002"/>
    <n v="0.22234520276481101"/>
    <n v="7.1897445227648102"/>
    <n v="0.02"/>
    <n v="0"/>
    <n v="1"/>
    <n v="0"/>
    <n v="0"/>
    <n v="0"/>
    <n v="0.02"/>
    <n v="0"/>
  </r>
  <r>
    <n v="900608"/>
    <x v="0"/>
    <x v="0"/>
    <n v="5"/>
    <x v="3"/>
    <s v="Lancaster"/>
    <n v="0"/>
    <n v="0"/>
    <n v="0"/>
    <n v="0"/>
    <n v="0"/>
    <n v="0"/>
    <n v="0"/>
    <n v="0.02"/>
    <n v="0"/>
    <n v="1"/>
    <n v="0"/>
    <n v="0"/>
    <n v="0"/>
    <n v="0.02"/>
    <n v="0"/>
  </r>
  <r>
    <n v="920012"/>
    <x v="0"/>
    <x v="0"/>
    <n v="5"/>
    <x v="3"/>
    <s v="Unincorporated Antelope Valley"/>
    <n v="0"/>
    <n v="0"/>
    <n v="0"/>
    <n v="0"/>
    <n v="0"/>
    <n v="0"/>
    <n v="0"/>
    <n v="0.02"/>
    <n v="0"/>
    <n v="1"/>
    <n v="0"/>
    <n v="0"/>
    <n v="0"/>
    <n v="0.02"/>
    <n v="0"/>
  </r>
  <r>
    <n v="910603"/>
    <x v="0"/>
    <x v="0"/>
    <n v="5"/>
    <x v="3"/>
    <s v="Palmdale"/>
    <n v="0"/>
    <n v="0"/>
    <n v="7.7720000000000002"/>
    <n v="4.31758971"/>
    <n v="7.31758971"/>
    <n v="0.45435601842010798"/>
    <n v="7.7719457284201097"/>
    <n v="0.02"/>
    <n v="0"/>
    <n v="1"/>
    <n v="0"/>
    <n v="0"/>
    <n v="0"/>
    <n v="0.02"/>
    <n v="0"/>
  </r>
  <r>
    <n v="910709"/>
    <x v="0"/>
    <x v="0"/>
    <n v="5"/>
    <x v="3"/>
    <s v="Palmdale"/>
    <n v="0"/>
    <n v="0"/>
    <n v="12.007999999999999"/>
    <n v="11.520970200000001"/>
    <n v="11.520970200000001"/>
    <n v="0.48680765937163401"/>
    <n v="12.0077778593716"/>
    <n v="0.02"/>
    <n v="0"/>
    <n v="1"/>
    <n v="0"/>
    <n v="0"/>
    <n v="0"/>
    <n v="0.02"/>
    <n v="0"/>
  </r>
  <r>
    <n v="910504"/>
    <x v="0"/>
    <x v="0"/>
    <n v="5"/>
    <x v="3"/>
    <s v="Palmdale"/>
    <n v="0"/>
    <n v="0"/>
    <n v="20.216000000000001"/>
    <n v="16.025977860000001"/>
    <n v="20.025977860000001"/>
    <n v="0.189960947127469"/>
    <n v="20.2159388071275"/>
    <n v="0.02"/>
    <n v="0"/>
    <n v="1"/>
    <n v="0"/>
    <n v="0"/>
    <n v="0"/>
    <n v="0.02"/>
    <n v="0"/>
  </r>
  <r>
    <n v="910606"/>
    <x v="0"/>
    <x v="0"/>
    <n v="5"/>
    <x v="3"/>
    <s v="Palmdale"/>
    <n v="0"/>
    <n v="0"/>
    <n v="3"/>
    <n v="0"/>
    <n v="3"/>
    <n v="0"/>
    <n v="3"/>
    <n v="0.02"/>
    <n v="0"/>
    <n v="1"/>
    <n v="0"/>
    <n v="0"/>
    <n v="0"/>
    <n v="0.02"/>
    <n v="0"/>
  </r>
  <r>
    <n v="900505"/>
    <x v="0"/>
    <x v="0"/>
    <n v="5"/>
    <x v="3"/>
    <s v="Lancaster"/>
    <n v="0"/>
    <n v="0"/>
    <n v="1.591"/>
    <n v="1.43919657"/>
    <n v="1.43919657"/>
    <n v="0.15145200614003601"/>
    <n v="1.59064857614004"/>
    <n v="0.02"/>
    <n v="0"/>
    <n v="1"/>
    <n v="0"/>
    <n v="0"/>
    <n v="0"/>
    <n v="0.02"/>
    <n v="0"/>
  </r>
  <r>
    <n v="910209"/>
    <x v="0"/>
    <x v="0"/>
    <n v="5"/>
    <x v="3"/>
    <s v="Palmdale"/>
    <n v="0"/>
    <n v="0"/>
    <n v="0"/>
    <n v="0"/>
    <n v="0"/>
    <n v="0"/>
    <n v="0"/>
    <n v="0.02"/>
    <n v="0"/>
    <n v="1"/>
    <n v="0"/>
    <n v="0"/>
    <n v="0"/>
    <n v="0.02"/>
    <n v="0"/>
  </r>
  <r>
    <n v="910605"/>
    <x v="0"/>
    <x v="0"/>
    <n v="5"/>
    <x v="3"/>
    <s v="Palmdale"/>
    <n v="0"/>
    <n v="0"/>
    <n v="0"/>
    <n v="0"/>
    <n v="0"/>
    <n v="0"/>
    <n v="0"/>
    <n v="0.02"/>
    <n v="0"/>
    <n v="1"/>
    <n v="0"/>
    <n v="0"/>
    <n v="0"/>
    <n v="0.02"/>
    <n v="0"/>
  </r>
  <r>
    <n v="910715"/>
    <x v="0"/>
    <x v="0"/>
    <n v="5"/>
    <x v="3"/>
    <s v="Palmdale"/>
    <n v="0"/>
    <n v="0"/>
    <n v="1"/>
    <n v="0"/>
    <n v="1"/>
    <n v="0"/>
    <n v="1"/>
    <n v="0.02"/>
    <n v="0"/>
    <n v="1"/>
    <n v="0"/>
    <n v="0"/>
    <n v="0"/>
    <n v="0.02"/>
    <n v="0"/>
  </r>
  <r>
    <n v="910716"/>
    <x v="0"/>
    <x v="0"/>
    <n v="5"/>
    <x v="3"/>
    <s v="Palmdale"/>
    <n v="0"/>
    <n v="0"/>
    <n v="0"/>
    <n v="0"/>
    <n v="0"/>
    <n v="0"/>
    <n v="0"/>
    <n v="0.02"/>
    <n v="0"/>
    <n v="1"/>
    <n v="0"/>
    <n v="0"/>
    <n v="0"/>
    <n v="0.02"/>
    <n v="0"/>
  </r>
  <r>
    <n v="901009"/>
    <x v="0"/>
    <x v="0"/>
    <n v="5"/>
    <x v="3"/>
    <s v="Lancaster"/>
    <n v="0"/>
    <n v="0"/>
    <n v="11.628"/>
    <n v="9.5243997"/>
    <n v="11.5243997"/>
    <n v="0.10312661041292601"/>
    <n v="11.6275263104129"/>
    <n v="0.02"/>
    <n v="0"/>
    <n v="1"/>
    <n v="0"/>
    <n v="0"/>
    <n v="0"/>
    <n v="0.02"/>
    <n v="0"/>
  </r>
  <r>
    <n v="910205"/>
    <x v="0"/>
    <x v="0"/>
    <n v="5"/>
    <x v="3"/>
    <s v="Unincorporated Antelope Valley"/>
    <n v="0"/>
    <n v="0"/>
    <n v="5.7240000000000002"/>
    <n v="5.5698712199999996"/>
    <n v="5.5698712199999996"/>
    <n v="0.15328985522441699"/>
    <n v="5.7231610752244197"/>
    <n v="0.02"/>
    <n v="0"/>
    <n v="1"/>
    <n v="0"/>
    <n v="0"/>
    <n v="0"/>
    <n v="0.02"/>
    <n v="0"/>
  </r>
  <r>
    <n v="900506"/>
    <x v="0"/>
    <x v="0"/>
    <n v="5"/>
    <x v="3"/>
    <s v="Lancaster"/>
    <n v="0"/>
    <n v="0"/>
    <n v="4.9260000000000002"/>
    <n v="1.90487994"/>
    <n v="4.9048799399999998"/>
    <n v="2.0625322082585301E-2"/>
    <n v="4.9255052620825897"/>
    <n v="0.02"/>
    <n v="0"/>
    <n v="1"/>
    <n v="0"/>
    <n v="0"/>
    <n v="0"/>
    <n v="0.02"/>
    <n v="0"/>
  </r>
  <r>
    <n v="901210"/>
    <x v="0"/>
    <x v="0"/>
    <n v="5"/>
    <x v="3"/>
    <s v="Unincorporated Antelope Valley"/>
    <n v="0"/>
    <n v="0"/>
    <n v="0"/>
    <n v="0"/>
    <n v="0"/>
    <n v="0"/>
    <n v="0"/>
    <n v="0.02"/>
    <n v="0"/>
    <n v="1"/>
    <n v="0"/>
    <n v="0"/>
    <n v="0"/>
    <n v="0.02"/>
    <n v="0"/>
  </r>
  <r>
    <n v="910713"/>
    <x v="0"/>
    <x v="0"/>
    <n v="5"/>
    <x v="3"/>
    <s v="Palmdale"/>
    <n v="0"/>
    <n v="0"/>
    <n v="2.0950000000000002"/>
    <n v="1.9836996600000001"/>
    <n v="1.9836996600000001"/>
    <n v="0.11117260138240601"/>
    <n v="2.09487226138241"/>
    <n v="0.02"/>
    <n v="0"/>
    <n v="1"/>
    <n v="0"/>
    <n v="0"/>
    <n v="0"/>
    <n v="0.02"/>
    <n v="0"/>
  </r>
  <r>
    <n v="910210"/>
    <x v="0"/>
    <x v="0"/>
    <n v="5"/>
    <x v="3"/>
    <s v="Palmdale"/>
    <n v="0"/>
    <n v="0"/>
    <n v="0"/>
    <n v="0"/>
    <n v="0"/>
    <n v="0"/>
    <n v="0"/>
    <n v="0.02"/>
    <n v="0"/>
    <n v="1"/>
    <n v="0"/>
    <n v="0"/>
    <n v="0"/>
    <n v="0.02"/>
    <n v="0"/>
  </r>
  <r>
    <n v="901003"/>
    <x v="0"/>
    <x v="0"/>
    <n v="5"/>
    <x v="3"/>
    <s v="Lancaster"/>
    <n v="0"/>
    <n v="0"/>
    <n v="0"/>
    <n v="0"/>
    <n v="0"/>
    <n v="0"/>
    <n v="0"/>
    <n v="0.02"/>
    <n v="0"/>
    <n v="1"/>
    <n v="0"/>
    <n v="0"/>
    <n v="0"/>
    <n v="0.02"/>
    <n v="0"/>
  </r>
  <r>
    <n v="910804"/>
    <x v="0"/>
    <x v="0"/>
    <n v="5"/>
    <x v="3"/>
    <s v="Unincorporated Antelope Valley"/>
    <n v="0"/>
    <n v="0"/>
    <n v="15.156000000000001"/>
    <n v="13.649438460000001"/>
    <n v="14.649438460000001"/>
    <n v="0.50656637177737895"/>
    <n v="15.1560048317774"/>
    <n v="0.02"/>
    <n v="0"/>
    <n v="1"/>
    <n v="0"/>
    <n v="0"/>
    <n v="0"/>
    <n v="0.02"/>
    <n v="0"/>
  </r>
  <r>
    <n v="910505"/>
    <x v="0"/>
    <x v="0"/>
    <n v="5"/>
    <x v="3"/>
    <s v="Palmdale"/>
    <n v="0"/>
    <n v="0"/>
    <n v="11.896000000000001"/>
    <n v="11.278875149999999"/>
    <n v="11.278875149999999"/>
    <n v="0.61676773375224403"/>
    <n v="11.895642883752201"/>
    <n v="0.02"/>
    <n v="0"/>
    <n v="1"/>
    <n v="0"/>
    <n v="0"/>
    <n v="0"/>
    <n v="0.02"/>
    <n v="0"/>
  </r>
  <r>
    <n v="910101"/>
    <x v="0"/>
    <x v="0"/>
    <n v="5"/>
    <x v="3"/>
    <s v="Palmdale"/>
    <n v="0"/>
    <n v="0"/>
    <n v="1.9259999999999999"/>
    <n v="1.90487994"/>
    <n v="1.90487994"/>
    <n v="2.0625322082585301E-2"/>
    <n v="1.9255052620825901"/>
    <n v="0.02"/>
    <n v="0"/>
    <n v="1"/>
    <n v="0"/>
    <n v="0"/>
    <n v="0"/>
    <n v="0.02"/>
    <n v="0"/>
  </r>
  <r>
    <n v="910301"/>
    <x v="0"/>
    <x v="0"/>
    <n v="5"/>
    <x v="3"/>
    <s v="Palmdale"/>
    <n v="0"/>
    <n v="0"/>
    <n v="0"/>
    <n v="0"/>
    <n v="0"/>
    <n v="0"/>
    <n v="0"/>
    <n v="0.02"/>
    <n v="0"/>
    <n v="1"/>
    <n v="0"/>
    <n v="0"/>
    <n v="0"/>
    <n v="0.02"/>
    <n v="0"/>
  </r>
  <r>
    <n v="900508"/>
    <x v="0"/>
    <x v="0"/>
    <n v="5"/>
    <x v="3"/>
    <s v="Lancaster"/>
    <n v="0"/>
    <n v="0"/>
    <n v="11.967000000000001"/>
    <n v="9.6820391400000005"/>
    <n v="11.682039140000001"/>
    <n v="0.284221169012567"/>
    <n v="11.966260309012601"/>
    <n v="0.02"/>
    <n v="0"/>
    <n v="1"/>
    <n v="0"/>
    <n v="0"/>
    <n v="0"/>
    <n v="0.02"/>
    <n v="0"/>
  </r>
  <r>
    <n v="901205"/>
    <x v="0"/>
    <x v="0"/>
    <n v="5"/>
    <x v="3"/>
    <s v="Lancaster"/>
    <n v="0"/>
    <n v="0"/>
    <n v="0"/>
    <n v="0"/>
    <n v="0"/>
    <n v="0"/>
    <n v="0"/>
    <n v="0.02"/>
    <n v="0"/>
    <n v="1"/>
    <n v="0"/>
    <n v="0"/>
    <n v="0"/>
    <n v="0.02"/>
    <n v="0"/>
  </r>
  <r>
    <n v="910207"/>
    <x v="0"/>
    <x v="0"/>
    <n v="5"/>
    <x v="3"/>
    <s v="Palmdale"/>
    <n v="0"/>
    <n v="0"/>
    <n v="0"/>
    <n v="0"/>
    <n v="0"/>
    <n v="0"/>
    <n v="0"/>
    <n v="0.02"/>
    <n v="0"/>
    <n v="1"/>
    <n v="0"/>
    <n v="0"/>
    <n v="0"/>
    <n v="0.02"/>
    <n v="0"/>
  </r>
  <r>
    <n v="910302"/>
    <x v="0"/>
    <x v="0"/>
    <n v="5"/>
    <x v="3"/>
    <s v="Palmdale"/>
    <n v="0"/>
    <n v="0"/>
    <n v="0"/>
    <n v="0"/>
    <n v="0"/>
    <n v="0"/>
    <n v="0"/>
    <n v="0.02"/>
    <n v="0"/>
    <n v="1"/>
    <n v="0"/>
    <n v="0"/>
    <n v="0"/>
    <n v="0.02"/>
    <n v="0"/>
  </r>
  <r>
    <n v="910705"/>
    <x v="0"/>
    <x v="0"/>
    <n v="5"/>
    <x v="3"/>
    <s v="Palmdale"/>
    <n v="0"/>
    <n v="0"/>
    <n v="3.851"/>
    <n v="3.8097598800000001"/>
    <n v="3.8097598800000001"/>
    <n v="4.1250644165170602E-2"/>
    <n v="3.85101052416517"/>
    <n v="0.02"/>
    <n v="0"/>
    <n v="1"/>
    <n v="0"/>
    <n v="0"/>
    <n v="0"/>
    <n v="0.02"/>
    <n v="0"/>
  </r>
  <r>
    <n v="910206"/>
    <x v="0"/>
    <x v="0"/>
    <n v="5"/>
    <x v="3"/>
    <s v="Palmdale"/>
    <n v="0"/>
    <n v="0"/>
    <n v="10.379"/>
    <n v="7.9347986400000003"/>
    <n v="9.9347986400000003"/>
    <n v="0.44469040552962302"/>
    <n v="10.379489045529599"/>
    <n v="0.02"/>
    <n v="0"/>
    <n v="1"/>
    <n v="0"/>
    <n v="0"/>
    <n v="0"/>
    <n v="0.02"/>
    <n v="0"/>
  </r>
  <r>
    <n v="901102"/>
    <x v="0"/>
    <x v="0"/>
    <n v="5"/>
    <x v="3"/>
    <s v="Lancaster"/>
    <n v="0"/>
    <n v="0"/>
    <n v="11.553000000000001"/>
    <n v="11.429279640000001"/>
    <n v="11.429279640000001"/>
    <n v="0.123751932495512"/>
    <n v="11.553031572495501"/>
    <n v="0.02"/>
    <n v="0"/>
    <n v="1"/>
    <n v="0"/>
    <n v="0"/>
    <n v="0"/>
    <n v="0.02"/>
    <n v="0"/>
  </r>
  <r>
    <n v="910601"/>
    <x v="0"/>
    <x v="0"/>
    <n v="5"/>
    <x v="3"/>
    <s v="Palmdale"/>
    <n v="0"/>
    <n v="0"/>
    <n v="0"/>
    <n v="0"/>
    <n v="0"/>
    <n v="0"/>
    <n v="0"/>
    <n v="0.02"/>
    <n v="0"/>
    <n v="1"/>
    <n v="0"/>
    <n v="0"/>
    <n v="0"/>
    <n v="0.02"/>
    <n v="0"/>
  </r>
  <r>
    <n v="910714"/>
    <x v="0"/>
    <x v="0"/>
    <n v="5"/>
    <x v="3"/>
    <s v="Palmdale"/>
    <n v="0"/>
    <n v="0"/>
    <n v="0"/>
    <n v="0"/>
    <n v="0"/>
    <n v="0"/>
    <n v="0"/>
    <n v="0.02"/>
    <n v="0"/>
    <n v="1"/>
    <n v="0"/>
    <n v="0"/>
    <n v="0"/>
    <n v="0.02"/>
    <n v="0"/>
  </r>
  <r>
    <n v="900804"/>
    <x v="0"/>
    <x v="0"/>
    <n v="5"/>
    <x v="3"/>
    <s v="Lancaster"/>
    <n v="0"/>
    <n v="0"/>
    <n v="19.59"/>
    <n v="17.809388729999998"/>
    <n v="18.809388729999998"/>
    <n v="0.77982783159784597"/>
    <n v="19.589216561597802"/>
    <n v="0.02"/>
    <n v="0"/>
    <n v="1"/>
    <n v="0"/>
    <n v="0"/>
    <n v="0"/>
    <n v="0.02"/>
    <n v="0"/>
  </r>
  <r>
    <n v="910404"/>
    <x v="0"/>
    <x v="0"/>
    <n v="5"/>
    <x v="3"/>
    <s v="Palmdale"/>
    <n v="0"/>
    <n v="0"/>
    <n v="27.233000000000001"/>
    <n v="25.78809558"/>
    <n v="25.78809558"/>
    <n v="1.4452438179712701"/>
    <n v="27.233339397971299"/>
    <n v="0.02"/>
    <n v="0"/>
    <n v="1"/>
    <n v="0"/>
    <n v="0"/>
    <n v="0"/>
    <n v="0.02"/>
    <n v="0"/>
  </r>
  <r>
    <n v="901213"/>
    <x v="0"/>
    <x v="0"/>
    <n v="5"/>
    <x v="3"/>
    <s v="Palmdale"/>
    <n v="0"/>
    <n v="0"/>
    <n v="22.875"/>
    <n v="21.74187654"/>
    <n v="21.74187654"/>
    <n v="1.1323513359066399"/>
    <n v="22.874227875906598"/>
    <n v="0.02"/>
    <n v="0"/>
    <n v="1"/>
    <n v="0"/>
    <n v="0"/>
    <n v="0"/>
    <n v="0.02"/>
    <n v="0"/>
  </r>
  <r>
    <n v="901007"/>
    <x v="0"/>
    <x v="0"/>
    <n v="5"/>
    <x v="3"/>
    <s v="Lancaster"/>
    <n v="0"/>
    <n v="0"/>
    <n v="1"/>
    <n v="0"/>
    <n v="1"/>
    <n v="0"/>
    <n v="1"/>
    <n v="0.02"/>
    <n v="0"/>
    <n v="1"/>
    <n v="0"/>
    <n v="0"/>
    <n v="0"/>
    <n v="0.02"/>
    <n v="0"/>
  </r>
  <r>
    <n v="980003"/>
    <x v="0"/>
    <x v="0"/>
    <n v="5"/>
    <x v="3"/>
    <s v="Unincorporated Antelope Valley"/>
    <n v="0"/>
    <n v="0"/>
    <n v="0"/>
    <n v="0"/>
    <n v="0"/>
    <n v="0"/>
    <n v="0"/>
    <n v="0.02"/>
    <n v="0"/>
    <n v="1"/>
    <n v="0"/>
    <n v="0"/>
    <n v="0"/>
    <n v="0.02"/>
    <n v="0"/>
  </r>
  <r>
    <n v="901011"/>
    <x v="0"/>
    <x v="0"/>
    <n v="5"/>
    <x v="3"/>
    <s v="Lancaster"/>
    <n v="0"/>
    <n v="0"/>
    <n v="0"/>
    <n v="0"/>
    <n v="0"/>
    <n v="0"/>
    <n v="0"/>
    <n v="0.02"/>
    <n v="0"/>
    <n v="1"/>
    <n v="0"/>
    <n v="0"/>
    <n v="0"/>
    <n v="0.02"/>
    <n v="0"/>
  </r>
  <r>
    <n v="910208"/>
    <x v="0"/>
    <x v="0"/>
    <n v="5"/>
    <x v="3"/>
    <s v="Palmdale"/>
    <n v="0"/>
    <n v="0"/>
    <n v="33.518000000000001"/>
    <n v="31.739194560000001"/>
    <n v="31.739194560000001"/>
    <n v="1.7787616221184901"/>
    <n v="33.517956182118503"/>
    <n v="0.02"/>
    <n v="0"/>
    <n v="1"/>
    <n v="0"/>
    <n v="0"/>
    <n v="0"/>
    <n v="0.02"/>
    <n v="0"/>
  </r>
  <r>
    <n v="900507"/>
    <x v="0"/>
    <x v="0"/>
    <n v="5"/>
    <x v="3"/>
    <s v="Lancaster"/>
    <n v="0"/>
    <n v="0"/>
    <n v="4.851"/>
    <n v="3.8097598800000001"/>
    <n v="4.8097598799999997"/>
    <n v="4.1250644165170602E-2"/>
    <n v="4.8510105241651704"/>
    <n v="0.02"/>
    <n v="0"/>
    <n v="1"/>
    <n v="0"/>
    <n v="0"/>
    <n v="0"/>
    <n v="0.02"/>
    <n v="0"/>
  </r>
  <r>
    <n v="910602"/>
    <x v="0"/>
    <x v="0"/>
    <n v="5"/>
    <x v="3"/>
    <s v="Palmdale"/>
    <n v="0"/>
    <n v="0"/>
    <n v="1"/>
    <n v="0"/>
    <n v="1"/>
    <n v="0"/>
    <n v="1"/>
    <n v="0.02"/>
    <n v="0"/>
    <n v="1"/>
    <n v="0"/>
    <n v="0"/>
    <n v="0"/>
    <n v="0.02"/>
    <n v="0"/>
  </r>
  <r>
    <n v="910707"/>
    <x v="0"/>
    <x v="0"/>
    <n v="5"/>
    <x v="3"/>
    <s v="Palmdale"/>
    <n v="0"/>
    <n v="0"/>
    <n v="10.305"/>
    <n v="9.8396785799999993"/>
    <n v="9.8396785799999993"/>
    <n v="0.46531572761220802"/>
    <n v="10.304994307612199"/>
    <n v="0.02"/>
    <n v="0"/>
    <n v="1"/>
    <n v="0"/>
    <n v="0"/>
    <n v="0"/>
    <n v="0.02"/>
    <n v="0"/>
  </r>
  <r>
    <n v="900805"/>
    <x v="0"/>
    <x v="0"/>
    <n v="5"/>
    <x v="3"/>
    <s v="Lancaster"/>
    <n v="0"/>
    <n v="0"/>
    <n v="1.9259999999999999"/>
    <n v="1.90487994"/>
    <n v="1.90487994"/>
    <n v="2.0625322082585301E-2"/>
    <n v="1.9255052620825901"/>
    <n v="0.02"/>
    <n v="0"/>
    <n v="1"/>
    <n v="0"/>
    <n v="0"/>
    <n v="0"/>
    <n v="0.02"/>
    <n v="0"/>
  </r>
  <r>
    <n v="910001"/>
    <x v="0"/>
    <x v="0"/>
    <n v="5"/>
    <x v="3"/>
    <s v="Unincorporated Antelope Valley"/>
    <n v="0"/>
    <n v="0"/>
    <n v="1"/>
    <n v="0"/>
    <n v="1"/>
    <n v="0"/>
    <n v="1"/>
    <n v="0.02"/>
    <n v="0"/>
    <n v="1"/>
    <n v="0"/>
    <n v="0"/>
    <n v="0"/>
    <n v="0.02"/>
    <n v="0"/>
  </r>
  <r>
    <n v="901004"/>
    <x v="0"/>
    <x v="0"/>
    <n v="5"/>
    <x v="3"/>
    <s v="Lancaster"/>
    <n v="0"/>
    <n v="0"/>
    <n v="5.2140000000000004"/>
    <n v="5.0957154100000004"/>
    <n v="5.0957154100000004"/>
    <n v="0.11796937380610401"/>
    <n v="5.2136847838060998"/>
    <n v="0.02"/>
    <n v="0"/>
    <n v="1"/>
    <n v="0"/>
    <n v="0"/>
    <n v="0"/>
    <n v="0.02"/>
    <n v="0"/>
  </r>
  <r>
    <n v="910813"/>
    <x v="0"/>
    <x v="0"/>
    <n v="5"/>
    <x v="3"/>
    <s v="Unincorporated Antelope Valley"/>
    <n v="0"/>
    <n v="0"/>
    <n v="6.2850000000000001"/>
    <n v="5.9510989800000003"/>
    <n v="5.9510989800000003"/>
    <n v="0.33351780414721699"/>
    <n v="6.2846167841472198"/>
    <n v="0.02"/>
    <n v="0"/>
    <n v="1"/>
    <n v="0"/>
    <n v="0"/>
    <n v="0"/>
    <n v="0.02"/>
    <n v="0"/>
  </r>
  <r>
    <n v="800102"/>
    <x v="1"/>
    <x v="0"/>
    <n v="3"/>
    <x v="0"/>
    <s v="Topanga"/>
    <n v="1"/>
    <n v="1"/>
    <n v="124.69"/>
    <n v="70.248496000000003"/>
    <n v="121.248496"/>
    <n v="3.4422692591920998"/>
    <n v="124.69076525919201"/>
    <n v="0.17910447761194001"/>
    <n v="5.5833333333333304"/>
    <n v="0.104477611940299"/>
    <n v="0"/>
    <n v="0"/>
    <n v="0"/>
    <n v="0.17910447761194001"/>
    <n v="5.5833333333333419"/>
  </r>
  <r>
    <n v="310900"/>
    <x v="1"/>
    <x v="0"/>
    <n v="5"/>
    <x v="0"/>
    <s v="Burbank"/>
    <n v="0"/>
    <n v="0"/>
    <n v="23.233000000000001"/>
    <n v="20.86075129"/>
    <n v="22.86075129"/>
    <n v="0.37178601041292603"/>
    <n v="23.232537300412901"/>
    <n v="0.17910447761194001"/>
    <n v="0"/>
    <n v="0.104477611940299"/>
    <n v="0"/>
    <n v="0"/>
    <n v="0"/>
    <n v="0.17910447761194001"/>
    <n v="0"/>
  </r>
  <r>
    <n v="920023"/>
    <x v="1"/>
    <x v="0"/>
    <n v="5"/>
    <x v="0"/>
    <s v="Santa Clarita"/>
    <n v="1"/>
    <n v="1"/>
    <n v="26.373000000000001"/>
    <n v="25.036393109999999"/>
    <n v="25.036393109999999"/>
    <n v="1.3366825446858199"/>
    <n v="26.373075654685799"/>
    <n v="0.17910447761194001"/>
    <n v="5.5833333333333304"/>
    <n v="0.104477611940299"/>
    <n v="0"/>
    <n v="0"/>
    <n v="0"/>
    <n v="0.17910447761194001"/>
    <n v="5.5833333333333419"/>
  </r>
  <r>
    <n v="800331"/>
    <x v="1"/>
    <x v="0"/>
    <n v="3"/>
    <x v="0"/>
    <s v="Agoura Hills"/>
    <n v="1"/>
    <n v="1"/>
    <n v="25.498000000000001"/>
    <n v="16.985042530000001"/>
    <n v="24.985042530000001"/>
    <n v="0.51249653452423705"/>
    <n v="25.497539064524201"/>
    <n v="0.17910447761194001"/>
    <n v="5.5833333333333304"/>
    <n v="0.104477611940299"/>
    <n v="0"/>
    <n v="0"/>
    <n v="0"/>
    <n v="0.17910447761194001"/>
    <n v="5.5833333333333419"/>
  </r>
  <r>
    <n v="920314"/>
    <x v="1"/>
    <x v="0"/>
    <n v="5"/>
    <x v="0"/>
    <s v="Santa Clarita"/>
    <n v="0"/>
    <n v="0"/>
    <n v="38.238"/>
    <n v="35.798263200000001"/>
    <n v="35.798263200000001"/>
    <n v="2.4397373205206501"/>
    <n v="38.2380005205207"/>
    <n v="0.17910447761194001"/>
    <n v="0"/>
    <n v="0.104477611940299"/>
    <n v="0"/>
    <n v="0"/>
    <n v="0"/>
    <n v="0.17910447761194001"/>
    <n v="0"/>
  </r>
  <r>
    <n v="920102"/>
    <x v="1"/>
    <x v="0"/>
    <n v="5"/>
    <x v="0"/>
    <s v="Agua Dulce"/>
    <n v="0"/>
    <n v="0"/>
    <n v="17.081"/>
    <n v="11.39700478"/>
    <n v="16.39700478"/>
    <n v="0.68349799360861796"/>
    <n v="17.0805027736086"/>
    <n v="0.17910447761194001"/>
    <n v="0"/>
    <n v="0.104477611940299"/>
    <n v="0"/>
    <n v="0"/>
    <n v="0"/>
    <n v="0.17910447761194001"/>
    <n v="0"/>
  </r>
  <r>
    <n v="920035"/>
    <x v="1"/>
    <x v="0"/>
    <n v="5"/>
    <x v="0"/>
    <s v="Santa Clarita"/>
    <n v="0"/>
    <n v="0"/>
    <n v="0"/>
    <n v="0"/>
    <n v="0"/>
    <n v="0"/>
    <n v="0"/>
    <n v="0.17910447761194001"/>
    <n v="0"/>
    <n v="0.104477611940299"/>
    <n v="0"/>
    <n v="0"/>
    <n v="0"/>
    <n v="0.17910447761194001"/>
    <n v="0"/>
  </r>
  <r>
    <n v="310701"/>
    <x v="1"/>
    <x v="0"/>
    <n v="5"/>
    <x v="0"/>
    <s v="Burbank"/>
    <n v="1"/>
    <n v="1"/>
    <n v="31.359000000000002"/>
    <n v="28.656757420000002"/>
    <n v="30.656757420000002"/>
    <n v="0.701486242244165"/>
    <n v="31.358243662244199"/>
    <n v="0.17910447761194001"/>
    <n v="5.5833333333333304"/>
    <n v="0.104477611940299"/>
    <n v="0"/>
    <n v="0"/>
    <n v="0"/>
    <n v="0.17910447761194001"/>
    <n v="5.5833333333333419"/>
  </r>
  <r>
    <n v="920031"/>
    <x v="1"/>
    <x v="0"/>
    <n v="5"/>
    <x v="0"/>
    <s v="Santa Clarita"/>
    <n v="0"/>
    <n v="0"/>
    <n v="7.4939999999999998"/>
    <n v="5.1560284000000003"/>
    <n v="7.1560284000000003"/>
    <n v="0.33761011780969502"/>
    <n v="7.4936385178096998"/>
    <n v="0.17910447761194001"/>
    <n v="0"/>
    <n v="0.104477611940299"/>
    <n v="0"/>
    <n v="0"/>
    <n v="0"/>
    <n v="0.17910447761194001"/>
    <n v="0"/>
  </r>
  <r>
    <n v="920115"/>
    <x v="1"/>
    <x v="0"/>
    <n v="5"/>
    <x v="0"/>
    <s v="Santa Clarita"/>
    <n v="0"/>
    <n v="0"/>
    <n v="0"/>
    <n v="0"/>
    <n v="0"/>
    <n v="0"/>
    <n v="0"/>
    <n v="0.17910447761194001"/>
    <n v="0"/>
    <n v="0.104477611940299"/>
    <n v="0"/>
    <n v="0"/>
    <n v="0"/>
    <n v="0.17910447761194001"/>
    <n v="0"/>
  </r>
  <r>
    <n v="310702"/>
    <x v="1"/>
    <x v="0"/>
    <n v="5"/>
    <x v="0"/>
    <s v="Burbank"/>
    <n v="0"/>
    <n v="0"/>
    <n v="22.795000000000002"/>
    <n v="12.04518897"/>
    <n v="22.045188970000002"/>
    <n v="0.75020574590664302"/>
    <n v="22.7953947159066"/>
    <n v="0.17910447761194001"/>
    <n v="0"/>
    <n v="0.104477611940299"/>
    <n v="0"/>
    <n v="0"/>
    <n v="0"/>
    <n v="0.17910447761194001"/>
    <n v="0"/>
  </r>
  <r>
    <n v="920337"/>
    <x v="1"/>
    <x v="0"/>
    <n v="5"/>
    <x v="0"/>
    <s v="Santa Clarita"/>
    <n v="1"/>
    <n v="1"/>
    <n v="1.8080000000000001"/>
    <n v="1.73313217"/>
    <n v="1.73313217"/>
    <n v="7.4985510287253102E-2"/>
    <n v="1.8081176802872501"/>
    <n v="0.17910447761194001"/>
    <n v="5.5833333333333304"/>
    <n v="0.104477611940299"/>
    <n v="0"/>
    <n v="0"/>
    <n v="0"/>
    <n v="0.17910447761194001"/>
    <n v="5.5833333333333419"/>
  </r>
  <r>
    <n v="930200"/>
    <x v="1"/>
    <x v="0"/>
    <n v="5"/>
    <x v="0"/>
    <s v="Angeles National Forest"/>
    <n v="0"/>
    <n v="0"/>
    <n v="29.187999999999999"/>
    <n v="16.18027786"/>
    <n v="28.18027786"/>
    <n v="1.00702732797127"/>
    <n v="29.187305187971301"/>
    <n v="0.17910447761194001"/>
    <n v="0"/>
    <n v="0.104477611940299"/>
    <n v="0"/>
    <n v="0"/>
    <n v="0"/>
    <n v="0.17910447761194001"/>
    <n v="0"/>
  </r>
  <r>
    <n v="310501"/>
    <x v="1"/>
    <x v="0"/>
    <n v="5"/>
    <x v="0"/>
    <s v="Burbank"/>
    <n v="1"/>
    <n v="1"/>
    <n v="15.803000000000001"/>
    <n v="13.13419515"/>
    <n v="15.13419515"/>
    <n v="0.66964693639138195"/>
    <n v="15.8038420863914"/>
    <n v="0.17910447761194001"/>
    <n v="5.5833333333333304"/>
    <n v="0.104477611940299"/>
    <n v="0"/>
    <n v="0"/>
    <n v="0"/>
    <n v="0.17910447761194001"/>
    <n v="5.5833333333333419"/>
  </r>
  <r>
    <n v="125320"/>
    <x v="1"/>
    <x v="1"/>
    <n v="3"/>
    <x v="0"/>
    <s v="North Hollywood"/>
    <n v="0"/>
    <n v="1"/>
    <n v="46.438000000000002"/>
    <n v="37.172748380000002"/>
    <n v="44.172748380000002"/>
    <n v="2.2651873005565499"/>
    <n v="46.437935680556599"/>
    <n v="0.17910447761194001"/>
    <n v="0"/>
    <n v="0.20895522388059701"/>
    <n v="1"/>
    <n v="0.36363636363636398"/>
    <n v="2.75"/>
    <n v="0.47761194029850751"/>
    <n v="2.09375"/>
  </r>
  <r>
    <n v="123010"/>
    <x v="1"/>
    <x v="1"/>
    <n v="3"/>
    <x v="0"/>
    <s v="Sun Valley"/>
    <n v="0"/>
    <n v="0"/>
    <n v="26.966000000000001"/>
    <n v="20.775058189999999"/>
    <n v="25.775058189999999"/>
    <n v="1.19080383777379"/>
    <n v="26.965862027773799"/>
    <n v="0.17910447761194001"/>
    <n v="0"/>
    <n v="0.20895522388059701"/>
    <n v="1"/>
    <n v="0.36363636363636398"/>
    <n v="0"/>
    <n v="0.47761194029850751"/>
    <n v="0"/>
  </r>
  <r>
    <n v="125310"/>
    <x v="1"/>
    <x v="1"/>
    <n v="3"/>
    <x v="0"/>
    <s v="North Hollywood"/>
    <n v="1"/>
    <n v="1"/>
    <n v="32.241"/>
    <n v="30.672716229999999"/>
    <n v="30.672716229999999"/>
    <n v="1.5683427173069999"/>
    <n v="32.241058947307003"/>
    <n v="0.17910447761194001"/>
    <n v="5.5833333333333304"/>
    <n v="0.20895522388059701"/>
    <n v="1"/>
    <n v="0"/>
    <n v="0"/>
    <n v="0.17910447761194001"/>
    <n v="5.5833333333333419"/>
  </r>
  <r>
    <n v="123303"/>
    <x v="1"/>
    <x v="1"/>
    <n v="3"/>
    <x v="0"/>
    <s v="North Hollywood"/>
    <n v="1"/>
    <n v="1"/>
    <n v="16.09"/>
    <n v="13.38476264"/>
    <n v="15.38476264"/>
    <n v="0.70583402748653501"/>
    <n v="16.090596667486501"/>
    <n v="0.17910447761194001"/>
    <n v="5.5833333333333304"/>
    <n v="0.20895522388059701"/>
    <n v="1"/>
    <n v="0"/>
    <n v="0"/>
    <n v="0.17910447761194001"/>
    <n v="5.5833333333333419"/>
  </r>
  <r>
    <n v="123204"/>
    <x v="1"/>
    <x v="1"/>
    <n v="3"/>
    <x v="0"/>
    <s v="North Hollywood"/>
    <n v="0"/>
    <n v="1"/>
    <n v="16.565000000000001"/>
    <n v="12.52375902"/>
    <n v="15.52375902"/>
    <n v="1.0405099603052099"/>
    <n v="16.564268980305201"/>
    <n v="0.17910447761194001"/>
    <n v="0"/>
    <n v="0.20895522388059701"/>
    <n v="1"/>
    <n v="0.36363636363636398"/>
    <n v="2.75"/>
    <n v="0.47761194029850751"/>
    <n v="2.09375"/>
  </r>
  <r>
    <n v="123205"/>
    <x v="1"/>
    <x v="1"/>
    <n v="3"/>
    <x v="0"/>
    <s v="North Hollywood"/>
    <n v="0"/>
    <n v="0"/>
    <n v="17.963999999999999"/>
    <n v="15.38257063"/>
    <n v="17.38257063"/>
    <n v="0.58155188206463204"/>
    <n v="17.964122512064598"/>
    <n v="0.17910447761194001"/>
    <n v="0"/>
    <n v="0.20895522388059701"/>
    <n v="1"/>
    <n v="0.36363636363636398"/>
    <n v="0"/>
    <n v="0.47761194029850751"/>
    <n v="0"/>
  </r>
  <r>
    <n v="122200"/>
    <x v="1"/>
    <x v="1"/>
    <n v="5"/>
    <x v="0"/>
    <s v="Sun Valley"/>
    <n v="1"/>
    <n v="1"/>
    <n v="23.61"/>
    <n v="19.679357159999999"/>
    <n v="22.679357159999999"/>
    <n v="0.93063145522441604"/>
    <n v="23.609988615224399"/>
    <n v="0.17910447761194001"/>
    <n v="5.5833333333333304"/>
    <n v="0.20895522388059701"/>
    <n v="1"/>
    <n v="0"/>
    <n v="0"/>
    <n v="0.17910447761194001"/>
    <n v="5.5833333333333419"/>
  </r>
  <r>
    <n v="143400"/>
    <x v="1"/>
    <x v="1"/>
    <n v="3"/>
    <x v="0"/>
    <s v="Studio City"/>
    <n v="1"/>
    <n v="1"/>
    <n v="7.7770000000000001"/>
    <n v="5.7146398200000004"/>
    <n v="7.7146398200000004"/>
    <n v="6.18759662477558E-2"/>
    <n v="7.7765157862477601"/>
    <n v="0.17910447761194001"/>
    <n v="5.5833333333333304"/>
    <n v="0.20895522388059701"/>
    <n v="1"/>
    <n v="0"/>
    <n v="0"/>
    <n v="0.17910447761194001"/>
    <n v="5.5833333333333419"/>
  </r>
  <r>
    <n v="122410"/>
    <x v="1"/>
    <x v="1"/>
    <n v="3"/>
    <x v="0"/>
    <s v="North Hollywood"/>
    <n v="0"/>
    <n v="0"/>
    <n v="13.654999999999999"/>
    <n v="12.79689144"/>
    <n v="12.79689144"/>
    <n v="0.85876701919209997"/>
    <n v="13.6556584591921"/>
    <n v="0.17910447761194001"/>
    <n v="0"/>
    <n v="0.20895522388059701"/>
    <n v="1"/>
    <n v="0.36363636363636398"/>
    <n v="0"/>
    <n v="0.47761194029850751"/>
    <n v="0"/>
  </r>
  <r>
    <n v="125200"/>
    <x v="1"/>
    <x v="1"/>
    <n v="3"/>
    <x v="0"/>
    <s v="Valley Village"/>
    <n v="1"/>
    <n v="1"/>
    <n v="89.037999999999997"/>
    <n v="62.303128370000003"/>
    <n v="86.303128369999996"/>
    <n v="2.7352430964093402"/>
    <n v="89.038371466409302"/>
    <n v="0.17910447761194001"/>
    <n v="5.5833333333333304"/>
    <n v="0.20895522388059701"/>
    <n v="1"/>
    <n v="0"/>
    <n v="0"/>
    <n v="0.17910447761194001"/>
    <n v="5.5833333333333419"/>
  </r>
  <r>
    <n v="123520"/>
    <x v="1"/>
    <x v="1"/>
    <n v="3"/>
    <x v="0"/>
    <s v="Van Nuys"/>
    <n v="0"/>
    <n v="0"/>
    <n v="7.5890000000000004"/>
    <n v="7.1397280600000004"/>
    <n v="7.1397280600000004"/>
    <n v="0.448782719192101"/>
    <n v="7.5885107791920996"/>
    <n v="0.17910447761194001"/>
    <n v="0"/>
    <n v="0.20895522388059701"/>
    <n v="1"/>
    <n v="0.36363636363636398"/>
    <n v="0"/>
    <n v="0.47761194029850751"/>
    <n v="0"/>
  </r>
  <r>
    <n v="143602"/>
    <x v="1"/>
    <x v="1"/>
    <n v="3"/>
    <x v="0"/>
    <s v="Studio City"/>
    <n v="0"/>
    <n v="0"/>
    <n v="5.8079999999999998"/>
    <n v="1.73313217"/>
    <n v="5.7331321700000002"/>
    <n v="7.4985510287253102E-2"/>
    <n v="5.8081176802872498"/>
    <n v="0.17910447761194001"/>
    <n v="0"/>
    <n v="0.20895522388059701"/>
    <n v="1"/>
    <n v="0.36363636363636398"/>
    <n v="0"/>
    <n v="0.47761194029850751"/>
    <n v="0"/>
  </r>
  <r>
    <n v="123304"/>
    <x v="1"/>
    <x v="1"/>
    <n v="3"/>
    <x v="0"/>
    <s v="North Hollywood"/>
    <n v="0"/>
    <n v="0"/>
    <n v="41.369"/>
    <n v="35.197505319999998"/>
    <n v="39.197505319999998"/>
    <n v="2.1715394137702"/>
    <n v="41.369044733770203"/>
    <n v="0.17910447761194001"/>
    <n v="0"/>
    <n v="0.20895522388059701"/>
    <n v="1"/>
    <n v="0.36363636363636398"/>
    <n v="0"/>
    <n v="0.47761194029850751"/>
    <n v="0"/>
  </r>
  <r>
    <n v="123800"/>
    <x v="1"/>
    <x v="1"/>
    <n v="3"/>
    <x v="0"/>
    <s v="North Hollywood"/>
    <n v="0"/>
    <n v="0"/>
    <n v="47.375999999999998"/>
    <n v="38.884018410000003"/>
    <n v="45.884018410000003"/>
    <n v="1.49256326123878"/>
    <n v="47.376581671238803"/>
    <n v="0.17910447761194001"/>
    <n v="0"/>
    <n v="0.20895522388059701"/>
    <n v="1"/>
    <n v="0.36363636363636398"/>
    <n v="0"/>
    <n v="0.47761194029850751"/>
    <n v="0"/>
  </r>
  <r>
    <n v="123020"/>
    <x v="1"/>
    <x v="1"/>
    <n v="3"/>
    <x v="0"/>
    <s v="Sun Valley"/>
    <n v="0"/>
    <n v="0"/>
    <n v="26.085999999999999"/>
    <n v="24.785825620000001"/>
    <n v="24.785825620000001"/>
    <n v="1.3004954535906601"/>
    <n v="26.0863210735907"/>
    <n v="0.17910447761194001"/>
    <n v="0"/>
    <n v="0.20895522388059701"/>
    <n v="1"/>
    <n v="0.36363636363636398"/>
    <n v="0"/>
    <n v="0.47761194029850751"/>
    <n v="0"/>
  </r>
  <r>
    <n v="122000"/>
    <x v="1"/>
    <x v="1"/>
    <n v="3"/>
    <x v="0"/>
    <s v="North Hollywood"/>
    <n v="0"/>
    <n v="1"/>
    <n v="38.378999999999998"/>
    <n v="34.997556600000003"/>
    <n v="36.997556600000003"/>
    <n v="1.3813791607899499"/>
    <n v="38.378935760789901"/>
    <n v="0.17910447761194001"/>
    <n v="0"/>
    <n v="0.20895522388059701"/>
    <n v="1"/>
    <n v="0.36363636363636398"/>
    <n v="2.75"/>
    <n v="0.47761194029850751"/>
    <n v="2.09375"/>
  </r>
  <r>
    <n v="123510"/>
    <x v="1"/>
    <x v="1"/>
    <n v="3"/>
    <x v="0"/>
    <s v="Van Nuys"/>
    <n v="0"/>
    <n v="0"/>
    <n v="16.574000000000002"/>
    <n v="15.317859240000001"/>
    <n v="16.317859240000001"/>
    <n v="0.255549855960503"/>
    <n v="16.5734090959605"/>
    <n v="0.17910447761194001"/>
    <n v="0"/>
    <n v="0.20895522388059701"/>
    <n v="1"/>
    <n v="0.36363636363636398"/>
    <n v="0"/>
    <n v="0.47761194029850751"/>
    <n v="0"/>
  </r>
  <r>
    <n v="123902"/>
    <x v="1"/>
    <x v="1"/>
    <n v="3"/>
    <x v="0"/>
    <s v="North Hollywood"/>
    <n v="0"/>
    <n v="0"/>
    <n v="30.658000000000001"/>
    <n v="27.619088900000001"/>
    <n v="28.619088900000001"/>
    <n v="2.03925953028725"/>
    <n v="30.658348430287301"/>
    <n v="0.17910447761194001"/>
    <n v="0"/>
    <n v="0.20895522388059701"/>
    <n v="1"/>
    <n v="0.36363636363636398"/>
    <n v="0"/>
    <n v="0.47761194029850751"/>
    <n v="0"/>
  </r>
  <r>
    <n v="123301"/>
    <x v="1"/>
    <x v="1"/>
    <n v="3"/>
    <x v="0"/>
    <s v="North Hollywood"/>
    <n v="1"/>
    <n v="1"/>
    <n v="49.442999999999998"/>
    <n v="46.090738469999998"/>
    <n v="47.090738469999998"/>
    <n v="2.3530954656193899"/>
    <n v="49.443833935619402"/>
    <n v="0.17910447761194001"/>
    <n v="5.5833333333333304"/>
    <n v="0.20895522388059701"/>
    <n v="1"/>
    <n v="0"/>
    <n v="0"/>
    <n v="0.17910447761194001"/>
    <n v="5.5833333333333419"/>
  </r>
  <r>
    <n v="127103"/>
    <x v="1"/>
    <x v="1"/>
    <n v="3"/>
    <x v="0"/>
    <s v="Van Nuys"/>
    <n v="0"/>
    <n v="0"/>
    <n v="30.181000000000001"/>
    <n v="25.44741522"/>
    <n v="29.44741522"/>
    <n v="0.73323565522441703"/>
    <n v="30.180650875224401"/>
    <n v="0.17910447761194001"/>
    <n v="0"/>
    <n v="0.20895522388059701"/>
    <n v="1"/>
    <n v="0.36363636363636398"/>
    <n v="0"/>
    <n v="0.47761194029850751"/>
    <n v="0"/>
  </r>
  <r>
    <n v="123103"/>
    <x v="1"/>
    <x v="1"/>
    <n v="3"/>
    <x v="0"/>
    <s v="North Hollywood"/>
    <n v="0"/>
    <n v="0"/>
    <n v="41.735999999999997"/>
    <n v="30.793179389999999"/>
    <n v="39.793179389999999"/>
    <n v="1.94249056924596"/>
    <n v="41.735669959246003"/>
    <n v="0.17910447761194001"/>
    <n v="0"/>
    <n v="0.20895522388059701"/>
    <n v="1"/>
    <n v="0.36363636363636398"/>
    <n v="0"/>
    <n v="0.47761194029850751"/>
    <n v="0"/>
  </r>
  <r>
    <n v="124102"/>
    <x v="1"/>
    <x v="1"/>
    <n v="3"/>
    <x v="0"/>
    <s v="North Hollywood"/>
    <n v="0"/>
    <n v="1"/>
    <n v="8.484"/>
    <n v="7.0878875099999998"/>
    <n v="8.0878875099999998"/>
    <n v="0.39528914066427301"/>
    <n v="8.4831766506642694"/>
    <n v="0.17910447761194001"/>
    <n v="0"/>
    <n v="0.20895522388059701"/>
    <n v="1"/>
    <n v="0.36363636363636398"/>
    <n v="2.75"/>
    <n v="0.47761194029850751"/>
    <n v="2.09375"/>
  </r>
  <r>
    <n v="125501"/>
    <x v="1"/>
    <x v="1"/>
    <n v="3"/>
    <x v="0"/>
    <s v="North Hollywood"/>
    <n v="0"/>
    <n v="1"/>
    <n v="19.535"/>
    <n v="12.9331876"/>
    <n v="18.9331876"/>
    <n v="0.60120596473967702"/>
    <n v="19.534393564739698"/>
    <n v="0.17910447761194001"/>
    <n v="0"/>
    <n v="0.20895522388059701"/>
    <n v="1"/>
    <n v="0.36363636363636398"/>
    <n v="2.75"/>
    <n v="0.47761194029850751"/>
    <n v="2.09375"/>
  </r>
  <r>
    <n v="124400"/>
    <x v="1"/>
    <x v="1"/>
    <n v="3"/>
    <x v="0"/>
    <s v="Valley Village"/>
    <n v="0"/>
    <n v="0"/>
    <n v="15.073"/>
    <n v="14.465312219999999"/>
    <n v="14.465312219999999"/>
    <n v="0.60775050337522396"/>
    <n v="15.0730627233752"/>
    <n v="0.17910447761194001"/>
    <n v="0"/>
    <n v="0.20895522388059701"/>
    <n v="1"/>
    <n v="0.36363636363636398"/>
    <n v="0"/>
    <n v="0.47761194029850751"/>
    <n v="0"/>
  </r>
  <r>
    <n v="123206"/>
    <x v="1"/>
    <x v="1"/>
    <n v="3"/>
    <x v="0"/>
    <s v="North Hollywood"/>
    <n v="0"/>
    <n v="0"/>
    <n v="17.654"/>
    <n v="16.943955030000001"/>
    <n v="16.943955030000001"/>
    <n v="0.71089758055655305"/>
    <n v="17.6548526105565"/>
    <n v="0.17910447761194001"/>
    <n v="0"/>
    <n v="0.20895522388059701"/>
    <n v="1"/>
    <n v="0.36363636363636398"/>
    <n v="0"/>
    <n v="0.47761194029850751"/>
    <n v="0"/>
  </r>
  <r>
    <n v="143604"/>
    <x v="1"/>
    <x v="1"/>
    <n v="3"/>
    <x v="0"/>
    <s v="Studio City"/>
    <n v="0"/>
    <n v="1"/>
    <n v="22.706"/>
    <n v="18.86963815"/>
    <n v="21.86963815"/>
    <n v="0.83679934789946098"/>
    <n v="22.7064374978995"/>
    <n v="0.17910447761194001"/>
    <n v="0"/>
    <n v="0.20895522388059701"/>
    <n v="1"/>
    <n v="0.36363636363636398"/>
    <n v="2.75"/>
    <n v="0.47761194029850751"/>
    <n v="2.09375"/>
  </r>
  <r>
    <n v="143603"/>
    <x v="1"/>
    <x v="1"/>
    <n v="3"/>
    <x v="0"/>
    <s v="Studio City"/>
    <n v="0"/>
    <n v="1"/>
    <n v="7.702"/>
    <n v="7.6195197600000002"/>
    <n v="7.6195197600000002"/>
    <n v="8.2501288330341094E-2"/>
    <n v="7.70202104833034"/>
    <n v="0.17910447761194001"/>
    <n v="0"/>
    <n v="0.20895522388059701"/>
    <n v="1"/>
    <n v="0.36363636363636398"/>
    <n v="2.75"/>
    <n v="0.47761194029850751"/>
    <n v="2.09375"/>
  </r>
  <r>
    <n v="123601"/>
    <x v="1"/>
    <x v="1"/>
    <n v="3"/>
    <x v="0"/>
    <s v="Van Nuys"/>
    <n v="0"/>
    <n v="1"/>
    <n v="34.186999999999998"/>
    <n v="28.978390950000001"/>
    <n v="32.978390949999998"/>
    <n v="1.20920870190305"/>
    <n v="34.187599651903099"/>
    <n v="0.17910447761194001"/>
    <n v="0"/>
    <n v="0.20895522388059701"/>
    <n v="1"/>
    <n v="0.36363636363636398"/>
    <n v="2.75"/>
    <n v="0.47761194029850751"/>
    <n v="2.09375"/>
  </r>
  <r>
    <n v="132501"/>
    <x v="1"/>
    <x v="2"/>
    <n v="3"/>
    <x v="0"/>
    <s v="Reseda"/>
    <n v="0"/>
    <n v="1"/>
    <n v="35.494"/>
    <n v="21.148672439999999"/>
    <n v="35.148672439999999"/>
    <n v="0.34498402170556502"/>
    <n v="35.493656461705598"/>
    <n v="0.17910447761194001"/>
    <n v="0"/>
    <n v="0.134328358208955"/>
    <n v="1"/>
    <n v="0.76470588235294101"/>
    <n v="1.3076923076923099"/>
    <n v="0.80684811237927989"/>
    <n v="1.2393906420021765"/>
  </r>
  <r>
    <n v="134520"/>
    <x v="1"/>
    <x v="2"/>
    <n v="3"/>
    <x v="0"/>
    <s v="Canoga Park"/>
    <n v="0"/>
    <n v="1"/>
    <n v="36.350999999999999"/>
    <n v="34.838339470000001"/>
    <n v="34.838339470000001"/>
    <n v="1.51304994696589"/>
    <n v="36.351389416965901"/>
    <n v="0.17910447761194001"/>
    <n v="0"/>
    <n v="0.134328358208955"/>
    <n v="1"/>
    <n v="0.76470588235294101"/>
    <n v="1.3076923076923099"/>
    <n v="0.80684811237927989"/>
    <n v="1.2393906420021765"/>
  </r>
  <r>
    <n v="139301"/>
    <x v="1"/>
    <x v="2"/>
    <n v="3"/>
    <x v="0"/>
    <s v="Tarzana"/>
    <n v="0"/>
    <n v="1"/>
    <n v="16.155999999999999"/>
    <n v="13.649438460000001"/>
    <n v="15.649438460000001"/>
    <n v="0.50656637177737895"/>
    <n v="16.156004831777398"/>
    <n v="0.17910447761194001"/>
    <n v="0"/>
    <n v="0.134328358208955"/>
    <n v="1"/>
    <n v="0.76470588235294101"/>
    <n v="1.3076923076923099"/>
    <n v="0.80684811237927989"/>
    <n v="1.2393906420021765"/>
  </r>
  <r>
    <n v="134905"/>
    <x v="1"/>
    <x v="2"/>
    <n v="3"/>
    <x v="0"/>
    <s v="Woodland Hills"/>
    <n v="0"/>
    <n v="0"/>
    <n v="11.994999999999999"/>
    <n v="11.401062980000001"/>
    <n v="11.401062980000001"/>
    <n v="0.59466142610412898"/>
    <n v="11.995724406104101"/>
    <n v="0.17910447761194001"/>
    <n v="0"/>
    <n v="0.134328358208955"/>
    <n v="1"/>
    <n v="0.76470588235294101"/>
    <n v="0"/>
    <n v="0.80684811237927989"/>
    <n v="0"/>
  </r>
  <r>
    <n v="132700"/>
    <x v="1"/>
    <x v="2"/>
    <n v="3"/>
    <x v="0"/>
    <s v="Reseda"/>
    <n v="0"/>
    <n v="1"/>
    <n v="16.672999999999998"/>
    <n v="13.73495303"/>
    <n v="15.73495303"/>
    <n v="0.93784484314183103"/>
    <n v="16.6727978731418"/>
    <n v="0.17910447761194001"/>
    <n v="0"/>
    <n v="0.134328358208955"/>
    <n v="1"/>
    <n v="0.76470588235294101"/>
    <n v="1.3076923076923099"/>
    <n v="0.80684811237927989"/>
    <n v="1.2393906420021765"/>
  </r>
  <r>
    <n v="134303"/>
    <x v="1"/>
    <x v="2"/>
    <n v="3"/>
    <x v="0"/>
    <s v="Canoga Park"/>
    <n v="0"/>
    <n v="0"/>
    <n v="31.971"/>
    <n v="20.932157530000001"/>
    <n v="30.932157530000001"/>
    <n v="1.03851922858169"/>
    <n v="31.9706767585817"/>
    <n v="0.17910447761194001"/>
    <n v="0"/>
    <n v="0.134328358208955"/>
    <n v="1"/>
    <n v="0.76470588235294101"/>
    <n v="0"/>
    <n v="0.80684811237927989"/>
    <n v="0"/>
  </r>
  <r>
    <n v="134903"/>
    <x v="1"/>
    <x v="2"/>
    <n v="3"/>
    <x v="0"/>
    <s v="Woodland Hills"/>
    <n v="0"/>
    <n v="0"/>
    <n v="18.276"/>
    <n v="16.76145421"/>
    <n v="17.76145421"/>
    <n v="0.51336314420107698"/>
    <n v="18.274817354201101"/>
    <n v="0.17910447761194001"/>
    <n v="0"/>
    <n v="0.134328358208955"/>
    <n v="1"/>
    <n v="0.76470588235294101"/>
    <n v="0"/>
    <n v="0.80684811237927989"/>
    <n v="0"/>
  </r>
  <r>
    <n v="113233"/>
    <x v="1"/>
    <x v="2"/>
    <n v="5"/>
    <x v="0"/>
    <s v="Canoga Park"/>
    <n v="0"/>
    <n v="1"/>
    <n v="4.851"/>
    <n v="3.8097598800000001"/>
    <n v="4.8097598799999997"/>
    <n v="4.1250644165170602E-2"/>
    <n v="4.8510105241651704"/>
    <n v="0.17910447761194001"/>
    <n v="0"/>
    <n v="0.134328358208955"/>
    <n v="1"/>
    <n v="0.76470588235294101"/>
    <n v="1.3076923076923099"/>
    <n v="0.80684811237927989"/>
    <n v="1.2393906420021765"/>
  </r>
  <r>
    <n v="134521"/>
    <x v="1"/>
    <x v="2"/>
    <n v="3"/>
    <x v="0"/>
    <s v="Canoga Park"/>
    <n v="0"/>
    <n v="1"/>
    <n v="36.746000000000002"/>
    <n v="29.440216020000001"/>
    <n v="35.440216020000001"/>
    <n v="1.3053999035368"/>
    <n v="36.745615923536803"/>
    <n v="0.17910447761194001"/>
    <n v="0"/>
    <n v="0.134328358208955"/>
    <n v="1"/>
    <n v="0.76470588235294101"/>
    <n v="1.3076923076923099"/>
    <n v="0.80684811237927989"/>
    <n v="1.2393906420021765"/>
  </r>
  <r>
    <n v="133100"/>
    <x v="1"/>
    <x v="2"/>
    <n v="3"/>
    <x v="0"/>
    <s v="Tarzana"/>
    <n v="0"/>
    <n v="1"/>
    <n v="19.059000000000001"/>
    <n v="17.366270289999999"/>
    <n v="18.366270289999999"/>
    <n v="0.69272448344703796"/>
    <n v="19.058994773447001"/>
    <n v="0.17910447761194001"/>
    <n v="0"/>
    <n v="0.134328358208955"/>
    <n v="1"/>
    <n v="0.76470588235294101"/>
    <n v="1.3076923076923099"/>
    <n v="0.80684811237927989"/>
    <n v="1.2393906420021765"/>
  </r>
  <r>
    <n v="132300"/>
    <x v="1"/>
    <x v="2"/>
    <n v="3"/>
    <x v="0"/>
    <s v="Reseda"/>
    <n v="0"/>
    <n v="1"/>
    <n v="18.853999999999999"/>
    <n v="17.85329694"/>
    <n v="17.85329694"/>
    <n v="1.00055341244165"/>
    <n v="18.8538503524417"/>
    <n v="0.17910447761194001"/>
    <n v="0"/>
    <n v="0.134328358208955"/>
    <n v="1"/>
    <n v="0.76470588235294101"/>
    <n v="1.3076923076923099"/>
    <n v="0.80684811237927989"/>
    <n v="1.2393906420021765"/>
  </r>
  <r>
    <n v="113234"/>
    <x v="1"/>
    <x v="2"/>
    <n v="3"/>
    <x v="0"/>
    <s v="Canoga Park"/>
    <n v="0"/>
    <n v="1"/>
    <n v="8.093"/>
    <n v="7.6842311499999996"/>
    <n v="7.6842311499999996"/>
    <n v="0.40850331443447002"/>
    <n v="8.0927344644344696"/>
    <n v="0.17910447761194001"/>
    <n v="0"/>
    <n v="0.134328358208955"/>
    <n v="1"/>
    <n v="0.76470588235294101"/>
    <n v="1.3076923076923099"/>
    <n v="0.80684811237927989"/>
    <n v="1.2393906420021765"/>
  </r>
  <r>
    <n v="131702"/>
    <x v="1"/>
    <x v="2"/>
    <n v="3"/>
    <x v="0"/>
    <s v="Reseda"/>
    <n v="0"/>
    <n v="1"/>
    <n v="17.16"/>
    <n v="13.341394530000001"/>
    <n v="16.341394529999999"/>
    <n v="0.81848761443447005"/>
    <n v="17.159882144434501"/>
    <n v="0.17910447761194001"/>
    <n v="0"/>
    <n v="0.134328358208955"/>
    <n v="1"/>
    <n v="0.76470588235294101"/>
    <n v="1.3076923076923099"/>
    <n v="0.80684811237927989"/>
    <n v="1.2393906420021765"/>
  </r>
  <r>
    <n v="135114"/>
    <x v="1"/>
    <x v="2"/>
    <n v="3"/>
    <x v="0"/>
    <s v="Woodland Hills"/>
    <n v="1"/>
    <n v="1"/>
    <n v="12.4"/>
    <n v="11.82337824"/>
    <n v="11.82337824"/>
    <n v="0.576488328994614"/>
    <n v="12.3998665689946"/>
    <n v="0.17910447761194001"/>
    <n v="5.5833333333333304"/>
    <n v="0.134328358208955"/>
    <n v="1"/>
    <n v="0"/>
    <n v="0"/>
    <n v="0.17910447761194001"/>
    <n v="5.5833333333333419"/>
  </r>
  <r>
    <n v="134201"/>
    <x v="1"/>
    <x v="2"/>
    <n v="3"/>
    <x v="0"/>
    <s v="Canoga Park"/>
    <n v="0"/>
    <n v="0"/>
    <n v="21.896000000000001"/>
    <n v="20.818426299999999"/>
    <n v="20.818426299999999"/>
    <n v="1.07815025082585"/>
    <n v="21.896576550825898"/>
    <n v="0.17910447761194001"/>
    <n v="0"/>
    <n v="0.134328358208955"/>
    <n v="1"/>
    <n v="0.76470588235294101"/>
    <n v="0"/>
    <n v="0.80684811237927989"/>
    <n v="0"/>
  </r>
  <r>
    <n v="131800"/>
    <x v="1"/>
    <x v="2"/>
    <n v="3"/>
    <x v="0"/>
    <s v="Reseda"/>
    <n v="0"/>
    <n v="1"/>
    <n v="18.923999999999999"/>
    <n v="16.483907550000001"/>
    <n v="18.483907550000001"/>
    <n v="0.44012235233393199"/>
    <n v="18.924029902333899"/>
    <n v="0.17910447761194001"/>
    <n v="0"/>
    <n v="0.134328358208955"/>
    <n v="1"/>
    <n v="0.76470588235294101"/>
    <n v="1.3076923076923099"/>
    <n v="0.80684811237927989"/>
    <n v="1.2393906420021765"/>
  </r>
  <r>
    <n v="113421"/>
    <x v="1"/>
    <x v="2"/>
    <n v="3"/>
    <x v="0"/>
    <s v="Winnetka"/>
    <n v="0"/>
    <n v="1"/>
    <n v="35.109000000000002"/>
    <n v="33.178391130000001"/>
    <n v="33.178391130000001"/>
    <n v="1.93021362825853"/>
    <n v="35.108604758258501"/>
    <n v="0.17910447761194001"/>
    <n v="0"/>
    <n v="0.134328358208955"/>
    <n v="1"/>
    <n v="0.76470588235294101"/>
    <n v="1.3076923076923099"/>
    <n v="0.80684811237927989"/>
    <n v="1.2393906420021765"/>
  </r>
  <r>
    <n v="134800"/>
    <x v="1"/>
    <x v="2"/>
    <n v="3"/>
    <x v="0"/>
    <s v="Winnetka"/>
    <n v="0"/>
    <n v="1"/>
    <n v="3"/>
    <n v="0"/>
    <n v="3"/>
    <n v="0"/>
    <n v="3"/>
    <n v="0.17910447761194001"/>
    <n v="0"/>
    <n v="0.134328358208955"/>
    <n v="1"/>
    <n v="0.76470588235294101"/>
    <n v="1.3076923076923099"/>
    <n v="0.80684811237927989"/>
    <n v="1.2393906420021765"/>
  </r>
  <r>
    <n v="128601"/>
    <x v="1"/>
    <x v="3"/>
    <n v="3"/>
    <x v="0"/>
    <s v="Van Nuys"/>
    <n v="0"/>
    <n v="1"/>
    <n v="25.398"/>
    <n v="25.103200919999999"/>
    <n v="25.103200919999999"/>
    <n v="0.29482077689407499"/>
    <n v="25.398021696894101"/>
    <n v="0.17910447761194001"/>
    <n v="0"/>
    <n v="2.2388059701492501E-2"/>
    <n v="0.375"/>
    <n v="0.6"/>
    <n v="1.6666666666666701"/>
    <n v="0.67164179104477595"/>
    <n v="1.4888888888888894"/>
  </r>
  <r>
    <n v="128400"/>
    <x v="1"/>
    <x v="3"/>
    <n v="3"/>
    <x v="0"/>
    <s v="Van Nuys"/>
    <n v="0"/>
    <n v="1"/>
    <n v="62.661999999999999"/>
    <n v="54.060285800000003"/>
    <n v="60.060285800000003"/>
    <n v="2.6024739335368001"/>
    <n v="62.662759733536802"/>
    <n v="0.17910447761194001"/>
    <n v="0"/>
    <n v="2.2388059701492501E-2"/>
    <n v="0.375"/>
    <n v="0.6"/>
    <n v="1.6666666666666701"/>
    <n v="0.67164179104477595"/>
    <n v="1.4888888888888894"/>
  </r>
  <r>
    <n v="143700"/>
    <x v="1"/>
    <x v="3"/>
    <n v="3"/>
    <x v="0"/>
    <s v="Hollywood Hills West"/>
    <n v="0"/>
    <n v="1"/>
    <n v="27.620999999999999"/>
    <n v="19.3885611"/>
    <n v="27.3885611"/>
    <n v="0.23294481064632"/>
    <n v="27.621505910646299"/>
    <n v="0.17910447761194001"/>
    <n v="0"/>
    <n v="2.2388059701492501E-2"/>
    <n v="0.375"/>
    <n v="0.6"/>
    <n v="1.6666666666666701"/>
    <n v="0.67164179104477595"/>
    <n v="1.4888888888888894"/>
  </r>
  <r>
    <n v="117407"/>
    <x v="1"/>
    <x v="4"/>
    <n v="3"/>
    <x v="0"/>
    <s v="North Hills"/>
    <n v="0"/>
    <n v="1"/>
    <n v="9"/>
    <n v="0"/>
    <n v="9"/>
    <n v="0"/>
    <n v="9"/>
    <n v="0.17910447761194001"/>
    <n v="0"/>
    <n v="0.21641791044776101"/>
    <n v="1"/>
    <n v="0.33333333333333298"/>
    <n v="3"/>
    <n v="0.45273631840795969"/>
    <n v="2.2087912087912112"/>
  </r>
  <r>
    <n v="120030"/>
    <x v="1"/>
    <x v="4"/>
    <n v="3"/>
    <x v="0"/>
    <s v="Panorama City"/>
    <n v="1"/>
    <n v="1"/>
    <n v="20.164999999999999"/>
    <n v="13.498493870000001"/>
    <n v="19.498493870000001"/>
    <n v="0.66620300524236997"/>
    <n v="20.164696875242399"/>
    <n v="0.17910447761194001"/>
    <n v="5.5833333333333304"/>
    <n v="0.21641791044776101"/>
    <n v="1"/>
    <n v="0"/>
    <n v="0"/>
    <n v="0.17910447761194001"/>
    <n v="5.5833333333333419"/>
  </r>
  <r>
    <n v="120104"/>
    <x v="1"/>
    <x v="4"/>
    <n v="3"/>
    <x v="0"/>
    <s v="Panorama City"/>
    <n v="0"/>
    <n v="1"/>
    <n v="23.158999999999999"/>
    <n v="16.827403090000001"/>
    <n v="22.827403090000001"/>
    <n v="0.33140197592459603"/>
    <n v="23.1588050659246"/>
    <n v="0.17910447761194001"/>
    <n v="0"/>
    <n v="0.21641791044776101"/>
    <n v="1"/>
    <n v="0.33333333333333298"/>
    <n v="3"/>
    <n v="0.45273631840795969"/>
    <n v="2.2087912087912112"/>
  </r>
  <r>
    <n v="119800"/>
    <x v="1"/>
    <x v="4"/>
    <n v="3"/>
    <x v="0"/>
    <s v="Arleta"/>
    <n v="0"/>
    <n v="1"/>
    <n v="20.212"/>
    <n v="16.97217169"/>
    <n v="19.97217169"/>
    <n v="0.239988086947935"/>
    <n v="20.2121597769479"/>
    <n v="0.17910447761194001"/>
    <n v="0"/>
    <n v="0.21641791044776101"/>
    <n v="1"/>
    <n v="0.33333333333333298"/>
    <n v="3"/>
    <n v="0.45273631840795969"/>
    <n v="2.2087912087912112"/>
  </r>
  <r>
    <n v="119201"/>
    <x v="1"/>
    <x v="4"/>
    <n v="3"/>
    <x v="0"/>
    <s v="Arleta"/>
    <n v="0"/>
    <n v="1"/>
    <n v="16.210999999999999"/>
    <n v="7.8559789200000001"/>
    <n v="15.85597892"/>
    <n v="0.35414312622980199"/>
    <n v="16.210122046229799"/>
    <n v="0.17910447761194001"/>
    <n v="0"/>
    <n v="0.21641791044776101"/>
    <n v="1"/>
    <n v="0.33333333333333298"/>
    <n v="3"/>
    <n v="0.45273631840795969"/>
    <n v="2.2087912087912112"/>
  </r>
  <r>
    <n v="127210"/>
    <x v="1"/>
    <x v="4"/>
    <n v="3"/>
    <x v="0"/>
    <s v="Van Nuys"/>
    <n v="0"/>
    <n v="0"/>
    <n v="29.768000000000001"/>
    <n v="27.19465572"/>
    <n v="29.19465572"/>
    <n v="0.572766418707361"/>
    <n v="29.767422138707399"/>
    <n v="0.17910447761194001"/>
    <n v="0"/>
    <n v="0.21641791044776101"/>
    <n v="1"/>
    <n v="0.33333333333333298"/>
    <n v="0"/>
    <n v="0.45273631840795969"/>
    <n v="0"/>
  </r>
  <r>
    <n v="121900"/>
    <x v="1"/>
    <x v="4"/>
    <n v="3"/>
    <x v="0"/>
    <s v="Sun Valley"/>
    <n v="0"/>
    <n v="0"/>
    <n v="29.957000000000001"/>
    <n v="22.944613950000001"/>
    <n v="28.944613950000001"/>
    <n v="1.0121615041472201"/>
    <n v="29.956775454147198"/>
    <n v="0.17910447761194001"/>
    <n v="0"/>
    <n v="0.21641791044776101"/>
    <n v="1"/>
    <n v="0.33333333333333298"/>
    <n v="0"/>
    <n v="0.45273631840795969"/>
    <n v="0"/>
  </r>
  <r>
    <n v="119002"/>
    <x v="1"/>
    <x v="4"/>
    <n v="3"/>
    <x v="0"/>
    <s v="Arleta"/>
    <n v="1"/>
    <n v="1"/>
    <n v="19.422000000000001"/>
    <n v="17.991170790000002"/>
    <n v="18.991170790000002"/>
    <n v="0.43022701321364498"/>
    <n v="19.421397803213601"/>
    <n v="0.17910447761194001"/>
    <n v="5.5833333333333304"/>
    <n v="0.21641791044776101"/>
    <n v="1"/>
    <n v="0"/>
    <n v="0"/>
    <n v="0.17910447761194001"/>
    <n v="5.5833333333333419"/>
  </r>
  <r>
    <n v="127803"/>
    <x v="1"/>
    <x v="4"/>
    <n v="3"/>
    <x v="0"/>
    <s v="Van Nuys"/>
    <n v="1"/>
    <n v="1"/>
    <n v="21.622"/>
    <n v="13.450332960000001"/>
    <n v="21.450332960000001"/>
    <n v="0.171935454075404"/>
    <n v="21.6222684140754"/>
    <n v="0.17910447761194001"/>
    <n v="5.5833333333333304"/>
    <n v="0.21641791044776101"/>
    <n v="1"/>
    <n v="0"/>
    <n v="0"/>
    <n v="0.17910447761194001"/>
    <n v="5.5833333333333419"/>
  </r>
  <r>
    <n v="117408"/>
    <x v="1"/>
    <x v="4"/>
    <n v="3"/>
    <x v="0"/>
    <s v="North Hills"/>
    <n v="0"/>
    <n v="0"/>
    <n v="57.393000000000001"/>
    <n v="29.02913418"/>
    <n v="57.02913418"/>
    <n v="0.36362962055655301"/>
    <n v="57.392763800556601"/>
    <n v="0.17910447761194001"/>
    <n v="0"/>
    <n v="0.21641791044776101"/>
    <n v="1"/>
    <n v="0.33333333333333298"/>
    <n v="0"/>
    <n v="0.45273631840795969"/>
    <n v="0"/>
  </r>
  <r>
    <n v="128210"/>
    <x v="1"/>
    <x v="4"/>
    <n v="3"/>
    <x v="0"/>
    <s v="Van Nuys"/>
    <n v="0"/>
    <n v="0"/>
    <n v="47.017000000000003"/>
    <n v="34.837799369999999"/>
    <n v="45.837799369999999"/>
    <n v="1.1796707791741501"/>
    <n v="47.017470149174102"/>
    <n v="0.17910447761194001"/>
    <n v="0"/>
    <n v="0.21641791044776101"/>
    <n v="1"/>
    <n v="0.33333333333333298"/>
    <n v="0"/>
    <n v="0.45273631840795969"/>
    <n v="0"/>
  </r>
  <r>
    <n v="120020"/>
    <x v="1"/>
    <x v="4"/>
    <n v="3"/>
    <x v="0"/>
    <s v="Panorama City"/>
    <n v="0"/>
    <n v="0"/>
    <n v="17.712"/>
    <n v="16.11962467"/>
    <n v="17.11962467"/>
    <n v="0.59218873436265695"/>
    <n v="17.711813404362701"/>
    <n v="0.17910447761194001"/>
    <n v="0"/>
    <n v="0.21641791044776101"/>
    <n v="1"/>
    <n v="0.33333333333333298"/>
    <n v="0"/>
    <n v="0.45273631840795969"/>
    <n v="0"/>
  </r>
  <r>
    <n v="127910"/>
    <x v="1"/>
    <x v="4"/>
    <n v="3"/>
    <x v="0"/>
    <s v="Van Nuys"/>
    <n v="0"/>
    <n v="0"/>
    <n v="9.6289999999999996"/>
    <n v="3.5861715599999999"/>
    <n v="9.5861715600000004"/>
    <n v="4.2117253842010802E-2"/>
    <n v="9.6282888138420102"/>
    <n v="0.17910447761194001"/>
    <n v="0"/>
    <n v="0.21641791044776101"/>
    <n v="1"/>
    <n v="0.33333333333333298"/>
    <n v="0"/>
    <n v="0.45273631840795969"/>
    <n v="0"/>
  </r>
  <r>
    <n v="122122"/>
    <x v="1"/>
    <x v="4"/>
    <n v="3"/>
    <x v="0"/>
    <s v="Sun Valley"/>
    <n v="0"/>
    <n v="0"/>
    <n v="97.873999999999995"/>
    <n v="60.339891690000002"/>
    <n v="95.339891690000002"/>
    <n v="2.5341490906822299"/>
    <n v="97.874040780682193"/>
    <n v="0.17910447761194001"/>
    <n v="0"/>
    <n v="0.21641791044776101"/>
    <n v="1"/>
    <n v="0.33333333333333298"/>
    <n v="0"/>
    <n v="0.45273631840795969"/>
    <n v="0"/>
  </r>
  <r>
    <n v="117530"/>
    <x v="1"/>
    <x v="4"/>
    <n v="3"/>
    <x v="0"/>
    <s v="North Hills"/>
    <n v="0"/>
    <n v="0"/>
    <n v="70.838999999999999"/>
    <n v="23.538082679999999"/>
    <n v="70.538082680000002"/>
    <n v="0.30088704463195698"/>
    <n v="70.838969724631994"/>
    <n v="0.17910447761194001"/>
    <n v="0"/>
    <n v="0.21641791044776101"/>
    <n v="1"/>
    <n v="0.33333333333333298"/>
    <n v="0"/>
    <n v="0.45273631840795969"/>
    <n v="0"/>
  </r>
  <r>
    <n v="119202"/>
    <x v="1"/>
    <x v="4"/>
    <n v="3"/>
    <x v="0"/>
    <s v="Arleta"/>
    <n v="0"/>
    <n v="0"/>
    <n v="2.0950000000000002"/>
    <n v="1.9836996600000001"/>
    <n v="1.9836996600000001"/>
    <n v="0.11117260138240601"/>
    <n v="2.09487226138241"/>
    <n v="0.17910447761194001"/>
    <n v="0"/>
    <n v="0.21641791044776101"/>
    <n v="1"/>
    <n v="0.33333333333333298"/>
    <n v="0"/>
    <n v="0.45273631840795969"/>
    <n v="0"/>
  </r>
  <r>
    <n v="127220"/>
    <x v="1"/>
    <x v="4"/>
    <n v="3"/>
    <x v="0"/>
    <s v="Van Nuys"/>
    <n v="0"/>
    <n v="0"/>
    <n v="22.026"/>
    <n v="16.552314419999998"/>
    <n v="21.552314419999998"/>
    <n v="0.47397285667863598"/>
    <n v="22.026287276678602"/>
    <n v="0.17910447761194001"/>
    <n v="0"/>
    <n v="0.21641791044776101"/>
    <n v="1"/>
    <n v="0.33333333333333298"/>
    <n v="0"/>
    <n v="0.45273631840795969"/>
    <n v="0"/>
  </r>
  <r>
    <n v="119001"/>
    <x v="1"/>
    <x v="4"/>
    <n v="3"/>
    <x v="0"/>
    <s v="Arleta"/>
    <n v="0"/>
    <n v="1"/>
    <n v="3.6859999999999999"/>
    <n v="3.4228962300000001"/>
    <n v="3.4228962300000001"/>
    <n v="0.26262460752244199"/>
    <n v="3.6855208375224402"/>
    <n v="0.17910447761194001"/>
    <n v="0"/>
    <n v="0.21641791044776101"/>
    <n v="1"/>
    <n v="0.33333333333333298"/>
    <n v="3"/>
    <n v="0.45273631840795969"/>
    <n v="2.2087912087912112"/>
  </r>
  <r>
    <n v="127605"/>
    <x v="1"/>
    <x v="4"/>
    <n v="3"/>
    <x v="0"/>
    <s v="Lake Balboa"/>
    <n v="0"/>
    <n v="1"/>
    <n v="30.155000000000001"/>
    <n v="23.502506740000001"/>
    <n v="28.502506740000001"/>
    <n v="1.65334448351885"/>
    <n v="30.155851223518901"/>
    <n v="0.17910447761194001"/>
    <n v="0"/>
    <n v="0.21641791044776101"/>
    <n v="1"/>
    <n v="0.33333333333333298"/>
    <n v="3"/>
    <n v="0.45273631840795969"/>
    <n v="2.2087912087912112"/>
  </r>
  <r>
    <n v="121222"/>
    <x v="1"/>
    <x v="4"/>
    <n v="3"/>
    <x v="0"/>
    <s v="Sun Valley"/>
    <n v="0"/>
    <n v="0"/>
    <n v="28.477"/>
    <n v="26.86914818"/>
    <n v="26.86914818"/>
    <n v="1.60749177953321"/>
    <n v="28.476639959533198"/>
    <n v="0.17910447761194001"/>
    <n v="0"/>
    <n v="0.21641791044776101"/>
    <n v="1"/>
    <n v="0.33333333333333298"/>
    <n v="0"/>
    <n v="0.45273631840795969"/>
    <n v="0"/>
  </r>
  <r>
    <n v="127520"/>
    <x v="1"/>
    <x v="4"/>
    <n v="3"/>
    <x v="0"/>
    <s v="North Hills"/>
    <n v="0"/>
    <n v="1"/>
    <n v="51.731000000000002"/>
    <n v="18.49420782"/>
    <n v="51.49420782"/>
    <n v="0.23641124935367999"/>
    <n v="51.7306190693537"/>
    <n v="0.17910447761194001"/>
    <n v="0"/>
    <n v="0.21641791044776101"/>
    <n v="1"/>
    <n v="0.33333333333333298"/>
    <n v="3"/>
    <n v="0.45273631840795969"/>
    <n v="2.2087912087912112"/>
  </r>
  <r>
    <n v="121010"/>
    <x v="1"/>
    <x v="4"/>
    <n v="3"/>
    <x v="0"/>
    <s v="Sun Valley"/>
    <n v="0"/>
    <n v="0"/>
    <n v="35.116999999999997"/>
    <n v="26.081491079999999"/>
    <n v="34.081491079999999"/>
    <n v="1.0353981543267501"/>
    <n v="35.116889234326798"/>
    <n v="0.17910447761194001"/>
    <n v="0"/>
    <n v="0.21641791044776101"/>
    <n v="1"/>
    <n v="0.33333333333333298"/>
    <n v="0"/>
    <n v="0.45273631840795969"/>
    <n v="0"/>
  </r>
  <r>
    <n v="127400"/>
    <x v="1"/>
    <x v="4"/>
    <n v="3"/>
    <x v="0"/>
    <s v="Lake Balboa"/>
    <n v="0"/>
    <n v="0"/>
    <n v="35.220999999999997"/>
    <n v="33.420486179999997"/>
    <n v="33.420486179999997"/>
    <n v="1.8002535538779201"/>
    <n v="35.220739733877899"/>
    <n v="0.17910447761194001"/>
    <n v="0"/>
    <n v="0.21641791044776101"/>
    <n v="1"/>
    <n v="0.33333333333333298"/>
    <n v="0"/>
    <n v="0.45273631840795969"/>
    <n v="0"/>
  </r>
  <r>
    <n v="980024"/>
    <x v="1"/>
    <x v="4"/>
    <n v="3"/>
    <x v="0"/>
    <s v="Lake Balboa"/>
    <n v="1"/>
    <n v="1"/>
    <n v="253.64699999999999"/>
    <n v="227.01261133"/>
    <n v="250.01261133"/>
    <n v="3.6317295063554802"/>
    <n v="253.64434083635501"/>
    <n v="0.17910447761194001"/>
    <n v="5.5833333333333304"/>
    <n v="0.21641791044776101"/>
    <n v="1"/>
    <n v="0"/>
    <n v="0"/>
    <n v="0.17910447761194001"/>
    <n v="5.5833333333333419"/>
  </r>
  <r>
    <n v="127606"/>
    <x v="1"/>
    <x v="4"/>
    <n v="3"/>
    <x v="0"/>
    <s v="Lake Balboa"/>
    <n v="0"/>
    <n v="1"/>
    <n v="18.853999999999999"/>
    <n v="16.61334617"/>
    <n v="17.61334617"/>
    <n v="1.2407488554218999"/>
    <n v="18.854095025421898"/>
    <n v="0.17910447761194001"/>
    <n v="0"/>
    <n v="0.21641791044776101"/>
    <n v="1"/>
    <n v="0.33333333333333298"/>
    <n v="3"/>
    <n v="0.45273631840795969"/>
    <n v="2.2087912087912112"/>
  </r>
  <r>
    <n v="127806"/>
    <x v="1"/>
    <x v="4"/>
    <n v="3"/>
    <x v="0"/>
    <s v="Van Nuys"/>
    <n v="0"/>
    <n v="0"/>
    <n v="33.905999999999999"/>
    <n v="31.91603812"/>
    <n v="32.916038120000003"/>
    <n v="0.98942035384201099"/>
    <n v="33.905458473842003"/>
    <n v="0.17910447761194001"/>
    <n v="0"/>
    <n v="0.21641791044776101"/>
    <n v="1"/>
    <n v="0.33333333333333298"/>
    <n v="0"/>
    <n v="0.45273631840795969"/>
    <n v="0"/>
  </r>
  <r>
    <n v="127300"/>
    <x v="1"/>
    <x v="4"/>
    <n v="3"/>
    <x v="0"/>
    <s v="Van Nuys"/>
    <n v="0"/>
    <n v="0"/>
    <n v="50.994999999999997"/>
    <n v="44.001595829999999"/>
    <n v="50.001595829999999"/>
    <n v="0.99408979897666105"/>
    <n v="50.995685628976702"/>
    <n v="0.17910447761194001"/>
    <n v="0"/>
    <n v="0.21641791044776101"/>
    <n v="1"/>
    <n v="0.33333333333333298"/>
    <n v="0"/>
    <n v="0.45273631840795969"/>
    <n v="0"/>
  </r>
  <r>
    <n v="121102"/>
    <x v="1"/>
    <x v="4"/>
    <n v="3"/>
    <x v="0"/>
    <s v="Sun Valley"/>
    <n v="1"/>
    <n v="1"/>
    <n v="57.58"/>
    <n v="52.283429480000002"/>
    <n v="55.283429480000002"/>
    <n v="2.2963217097127502"/>
    <n v="57.579751189712802"/>
    <n v="0.17910447761194001"/>
    <n v="5.5833333333333304"/>
    <n v="0.21641791044776101"/>
    <n v="1"/>
    <n v="0"/>
    <n v="0"/>
    <n v="0.17910447761194001"/>
    <n v="5.5833333333333419"/>
  </r>
  <r>
    <n v="121210"/>
    <x v="1"/>
    <x v="4"/>
    <n v="3"/>
    <x v="0"/>
    <s v="Sun Valley"/>
    <n v="0"/>
    <n v="0"/>
    <n v="25.138000000000002"/>
    <n v="23.804395920000001"/>
    <n v="23.804395920000001"/>
    <n v="1.33407121658887"/>
    <n v="25.138467136588901"/>
    <n v="0.17910447761194001"/>
    <n v="0"/>
    <n v="0.21641791044776101"/>
    <n v="1"/>
    <n v="0.33333333333333298"/>
    <n v="0"/>
    <n v="0.45273631840795969"/>
    <n v="0"/>
  </r>
  <r>
    <n v="104404"/>
    <x v="1"/>
    <x v="5"/>
    <n v="3"/>
    <x v="0"/>
    <s v="Pacoima"/>
    <n v="0"/>
    <n v="1"/>
    <n v="13.795"/>
    <n v="12.04518897"/>
    <n v="13.04518897"/>
    <n v="0.75020574590664302"/>
    <n v="13.7953947159066"/>
    <n v="0.17910447761194001"/>
    <n v="0"/>
    <n v="0.20895522388059701"/>
    <n v="1"/>
    <n v="0.40909090909090901"/>
    <n v="2.4444444444444402"/>
    <n v="0.51492537313432807"/>
    <n v="1.9420289855072475"/>
  </r>
  <r>
    <n v="104204"/>
    <x v="1"/>
    <x v="5"/>
    <n v="3"/>
    <x v="0"/>
    <s v="Foothill Trails"/>
    <n v="0"/>
    <n v="0"/>
    <n v="16.568999999999999"/>
    <n v="11.902197960000001"/>
    <n v="15.902197960000001"/>
    <n v="0.66703560829443398"/>
    <n v="16.569233568294401"/>
    <n v="0.17910447761194001"/>
    <n v="0"/>
    <n v="0.20895522388059701"/>
    <n v="1"/>
    <n v="0.40909090909090901"/>
    <n v="0"/>
    <n v="0.51492537313432807"/>
    <n v="0"/>
  </r>
  <r>
    <n v="109400"/>
    <x v="1"/>
    <x v="5"/>
    <n v="3"/>
    <x v="0"/>
    <s v="Mission Hills"/>
    <n v="0"/>
    <n v="0"/>
    <n v="24.81"/>
    <n v="23.095358640000001"/>
    <n v="24.095358640000001"/>
    <n v="0.71434355249551196"/>
    <n v="24.8097021924955"/>
    <n v="0.17910447761194001"/>
    <n v="0"/>
    <n v="0.20895522388059701"/>
    <n v="1"/>
    <n v="0.40909090909090901"/>
    <n v="0"/>
    <n v="0.51492537313432807"/>
    <n v="0"/>
  </r>
  <r>
    <n v="106510"/>
    <x v="1"/>
    <x v="5"/>
    <n v="3"/>
    <x v="0"/>
    <s v="Sylmar"/>
    <n v="0"/>
    <n v="1"/>
    <n v="12.282"/>
    <n v="11.651630470000001"/>
    <n v="11.651630470000001"/>
    <n v="0.63084851719928203"/>
    <n v="12.282478987199299"/>
    <n v="0.17910447761194001"/>
    <n v="0"/>
    <n v="0.20895522388059701"/>
    <n v="1"/>
    <n v="0.40909090909090901"/>
    <n v="2.4444444444444402"/>
    <n v="0.51492537313432807"/>
    <n v="1.9420289855072475"/>
  </r>
  <r>
    <n v="104201"/>
    <x v="1"/>
    <x v="5"/>
    <n v="3"/>
    <x v="0"/>
    <s v="Pacoima"/>
    <n v="0"/>
    <n v="0"/>
    <n v="24.114000000000001"/>
    <n v="16.304243280000001"/>
    <n v="23.304243280000001"/>
    <n v="0.81033699373429102"/>
    <n v="24.114580273734301"/>
    <n v="0.17910447761194001"/>
    <n v="0"/>
    <n v="0.20895522388059701"/>
    <n v="1"/>
    <n v="0.40909090909090901"/>
    <n v="0"/>
    <n v="0.51492537313432807"/>
    <n v="0"/>
  </r>
  <r>
    <n v="104822"/>
    <x v="1"/>
    <x v="5"/>
    <n v="3"/>
    <x v="0"/>
    <s v="Pacoima"/>
    <n v="0"/>
    <n v="0"/>
    <n v="25.738"/>
    <n v="18.146692439999999"/>
    <n v="25.146692439999999"/>
    <n v="0.59070774879712795"/>
    <n v="25.7374001887971"/>
    <n v="0.17910447761194001"/>
    <n v="0"/>
    <n v="0.20895522388059701"/>
    <n v="1"/>
    <n v="0.40909090909090901"/>
    <n v="0"/>
    <n v="0.51492537313432807"/>
    <n v="0"/>
  </r>
  <r>
    <n v="106112"/>
    <x v="1"/>
    <x v="5"/>
    <n v="3"/>
    <x v="0"/>
    <s v="Sylmar"/>
    <n v="0"/>
    <n v="0"/>
    <n v="12.781000000000001"/>
    <n v="5.4065958900000002"/>
    <n v="12.40659589"/>
    <n v="0.37379720890484702"/>
    <n v="12.780393098904799"/>
    <n v="0.17910447761194001"/>
    <n v="0"/>
    <n v="0.20895522388059701"/>
    <n v="1"/>
    <n v="0.40909090909090901"/>
    <n v="0"/>
    <n v="0.51492537313432807"/>
    <n v="0"/>
  </r>
  <r>
    <n v="109604"/>
    <x v="1"/>
    <x v="5"/>
    <n v="3"/>
    <x v="0"/>
    <s v="Mission Hills"/>
    <n v="0"/>
    <n v="0"/>
    <n v="34.066000000000003"/>
    <n v="19.575135960000001"/>
    <n v="33.575135959999997"/>
    <n v="0.49026513037702002"/>
    <n v="34.065401090377001"/>
    <n v="0.17910447761194001"/>
    <n v="0"/>
    <n v="0.20895522388059701"/>
    <n v="1"/>
    <n v="0.40909090909090901"/>
    <n v="0"/>
    <n v="0.51492537313432807"/>
    <n v="0"/>
  </r>
  <r>
    <n v="104403"/>
    <x v="1"/>
    <x v="5"/>
    <n v="3"/>
    <x v="0"/>
    <s v="Pacoima"/>
    <n v="0"/>
    <n v="1"/>
    <n v="20.465"/>
    <n v="12.97655571"/>
    <n v="19.97655571"/>
    <n v="0.48855237779174099"/>
    <n v="20.465108087791702"/>
    <n v="0.17910447761194001"/>
    <n v="0"/>
    <n v="0.20895522388059701"/>
    <n v="1"/>
    <n v="0.40909090909090901"/>
    <n v="2.4444444444444402"/>
    <n v="0.51492537313432807"/>
    <n v="1.9420289855072475"/>
  </r>
  <r>
    <n v="104401"/>
    <x v="1"/>
    <x v="5"/>
    <n v="3"/>
    <x v="0"/>
    <s v="Pacoima"/>
    <n v="0"/>
    <n v="0"/>
    <n v="1.9259999999999999"/>
    <n v="1.90487994"/>
    <n v="1.90487994"/>
    <n v="2.0625322082585301E-2"/>
    <n v="1.9255052620825901"/>
    <n v="0.17910447761194001"/>
    <n v="0"/>
    <n v="0.20895522388059701"/>
    <n v="1"/>
    <n v="0.40909090909090901"/>
    <n v="0"/>
    <n v="0.51492537313432807"/>
    <n v="0"/>
  </r>
  <r>
    <n v="106113"/>
    <x v="1"/>
    <x v="5"/>
    <n v="3"/>
    <x v="0"/>
    <s v="Sylmar"/>
    <n v="0"/>
    <n v="1"/>
    <n v="49.881"/>
    <n v="39.20107488"/>
    <n v="48.20107488"/>
    <n v="1.6801683518491899"/>
    <n v="49.881243231849197"/>
    <n v="0.17910447761194001"/>
    <n v="0"/>
    <n v="0.20895522388059701"/>
    <n v="1"/>
    <n v="0.40909090909090901"/>
    <n v="2.4444444444444402"/>
    <n v="0.51492537313432807"/>
    <n v="1.9420289855072475"/>
  </r>
  <r>
    <n v="106020"/>
    <x v="1"/>
    <x v="5"/>
    <n v="3"/>
    <x v="0"/>
    <s v="Sylmar"/>
    <n v="0"/>
    <n v="0"/>
    <n v="43.392000000000003"/>
    <n v="40.910404630000002"/>
    <n v="40.910404630000002"/>
    <n v="2.48104708872531"/>
    <n v="43.3914517187253"/>
    <n v="0.17910447761194001"/>
    <n v="0"/>
    <n v="0.20895522388059701"/>
    <n v="1"/>
    <n v="0.40909090909090901"/>
    <n v="0"/>
    <n v="0.51492537313432807"/>
    <n v="0"/>
  </r>
  <r>
    <n v="103101"/>
    <x v="1"/>
    <x v="5"/>
    <n v="5"/>
    <x v="0"/>
    <s v="Sunland-Tujunga"/>
    <n v="0"/>
    <n v="0"/>
    <n v="6.7809999999999997"/>
    <n v="5.4065958900000002"/>
    <n v="6.4065958900000002"/>
    <n v="0.37379720890484702"/>
    <n v="6.7803930989048498"/>
    <n v="0.17910447761194001"/>
    <n v="0"/>
    <n v="0.20895522388059701"/>
    <n v="1"/>
    <n v="0.40909090909090901"/>
    <n v="0"/>
    <n v="0.51492537313432807"/>
    <n v="0"/>
  </r>
  <r>
    <n v="106520"/>
    <x v="1"/>
    <x v="5"/>
    <n v="3"/>
    <x v="0"/>
    <s v="Sylmar"/>
    <n v="0"/>
    <n v="1"/>
    <n v="44.462000000000003"/>
    <n v="41.906298700000001"/>
    <n v="41.906298700000001"/>
    <n v="2.5558368794075399"/>
    <n v="44.462135579407501"/>
    <n v="0.17910447761194001"/>
    <n v="0"/>
    <n v="0.20895522388059701"/>
    <n v="1"/>
    <n v="0.40909090909090901"/>
    <n v="2.4444444444444402"/>
    <n v="0.51492537313432807"/>
    <n v="1.9420289855072475"/>
  </r>
  <r>
    <n v="103200"/>
    <x v="1"/>
    <x v="5"/>
    <n v="5"/>
    <x v="0"/>
    <s v="Foothill Trails"/>
    <n v="0"/>
    <n v="1"/>
    <n v="55.271000000000001"/>
    <n v="31.97229291"/>
    <n v="53.97229291"/>
    <n v="1.29789766535009"/>
    <n v="55.270190575350099"/>
    <n v="0.17910447761194001"/>
    <n v="0"/>
    <n v="0.20895522388059701"/>
    <n v="1"/>
    <n v="0.40909090909090901"/>
    <n v="2.4444444444444402"/>
    <n v="0.51492537313432807"/>
    <n v="1.9420289855072475"/>
  </r>
  <r>
    <n v="117101"/>
    <x v="1"/>
    <x v="5"/>
    <n v="3"/>
    <x v="0"/>
    <s v="North Hills"/>
    <n v="1"/>
    <n v="1"/>
    <n v="16.274000000000001"/>
    <n v="15.86270253"/>
    <n v="15.86270253"/>
    <n v="0.41046830080789898"/>
    <n v="16.273170830807899"/>
    <n v="0.17910447761194001"/>
    <n v="5.5833333333333304"/>
    <n v="0.20895522388059701"/>
    <n v="1"/>
    <n v="0"/>
    <n v="0"/>
    <n v="0.17910447761194001"/>
    <n v="5.5833333333333419"/>
  </r>
  <r>
    <n v="109100"/>
    <x v="1"/>
    <x v="5"/>
    <n v="3"/>
    <x v="0"/>
    <s v="Mission Hills"/>
    <n v="1"/>
    <n v="1"/>
    <n v="35.436"/>
    <n v="21.92719254"/>
    <n v="34.92719254"/>
    <n v="0.50915723310592498"/>
    <n v="35.436349773105903"/>
    <n v="0.17910447761194001"/>
    <n v="5.5833333333333304"/>
    <n v="0.20895522388059701"/>
    <n v="1"/>
    <n v="0"/>
    <n v="0"/>
    <n v="0.17910447761194001"/>
    <n v="5.5833333333333419"/>
  </r>
  <r>
    <n v="109603"/>
    <x v="1"/>
    <x v="5"/>
    <n v="3"/>
    <x v="0"/>
    <s v="Mission Hills"/>
    <n v="0"/>
    <n v="1"/>
    <n v="50.078000000000003"/>
    <n v="44.21954839"/>
    <n v="47.21954839"/>
    <n v="2.8588774872531402"/>
    <n v="50.078425877253103"/>
    <n v="0.17910447761194001"/>
    <n v="0"/>
    <n v="0.20895522388059701"/>
    <n v="1"/>
    <n v="0.40909090909090901"/>
    <n v="2.4444444444444402"/>
    <n v="0.51492537313432807"/>
    <n v="1.9420289855072475"/>
  </r>
  <r>
    <n v="104620"/>
    <x v="1"/>
    <x v="5"/>
    <n v="3"/>
    <x v="0"/>
    <s v="Pacoima"/>
    <n v="0"/>
    <n v="0"/>
    <n v="19.28"/>
    <n v="16.11221119"/>
    <n v="18.11221119"/>
    <n v="1.1683746732316"/>
    <n v="19.2805858632316"/>
    <n v="0.17910447761194001"/>
    <n v="0"/>
    <n v="0.20895522388059701"/>
    <n v="1"/>
    <n v="0.40909090909090901"/>
    <n v="0"/>
    <n v="0.51492537313432807"/>
    <n v="0"/>
  </r>
  <r>
    <n v="109500"/>
    <x v="1"/>
    <x v="5"/>
    <n v="3"/>
    <x v="0"/>
    <s v="Mission Hills"/>
    <n v="0"/>
    <n v="0"/>
    <n v="81.167000000000002"/>
    <n v="60.338475539999997"/>
    <n v="78.338475540000005"/>
    <n v="2.8283561981148999"/>
    <n v="81.166831738114894"/>
    <n v="0.17910447761194001"/>
    <n v="0"/>
    <n v="0.20895522388059701"/>
    <n v="1"/>
    <n v="0.40909090909090901"/>
    <n v="0"/>
    <n v="0.51492537313432807"/>
    <n v="0"/>
  </r>
  <r>
    <n v="101400"/>
    <x v="1"/>
    <x v="5"/>
    <n v="5"/>
    <x v="0"/>
    <s v="Sunland-Tujunga"/>
    <n v="1"/>
    <n v="1"/>
    <n v="11.994999999999999"/>
    <n v="11.401062980000001"/>
    <n v="11.401062980000001"/>
    <n v="0.59466142610412898"/>
    <n v="11.995724406104101"/>
    <n v="0.17910447761194001"/>
    <n v="5.5833333333333304"/>
    <n v="0.20895522388059701"/>
    <n v="1"/>
    <n v="0"/>
    <n v="0"/>
    <n v="0.17910447761194001"/>
    <n v="5.5833333333333419"/>
  </r>
  <r>
    <n v="106114"/>
    <x v="1"/>
    <x v="5"/>
    <n v="3"/>
    <x v="0"/>
    <s v="Sylmar"/>
    <n v="0"/>
    <n v="1"/>
    <n v="22.036000000000001"/>
    <n v="19.178222179999999"/>
    <n v="21.178222179999999"/>
    <n v="0.85825727303411103"/>
    <n v="22.036479453034101"/>
    <n v="0.17910447761194001"/>
    <n v="0"/>
    <n v="0.20895522388059701"/>
    <n v="1"/>
    <n v="0.40909090909090901"/>
    <n v="2.4444444444444402"/>
    <n v="0.51492537313432807"/>
    <n v="1.9420289855072475"/>
  </r>
  <r>
    <n v="106406"/>
    <x v="1"/>
    <x v="5"/>
    <n v="3"/>
    <x v="0"/>
    <s v="Sylmar"/>
    <n v="0"/>
    <n v="0"/>
    <n v="9.3789999999999996"/>
    <n v="7.9347986400000003"/>
    <n v="8.9347986400000003"/>
    <n v="0.44469040552962302"/>
    <n v="9.3794890455296205"/>
    <n v="0.17910447761194001"/>
    <n v="0"/>
    <n v="0.20895522388059701"/>
    <n v="1"/>
    <n v="0.40909090909090901"/>
    <n v="0"/>
    <n v="0.51492537313432807"/>
    <n v="0"/>
  </r>
  <r>
    <n v="104103"/>
    <x v="1"/>
    <x v="5"/>
    <n v="3"/>
    <x v="0"/>
    <s v="Foothill Trails"/>
    <n v="1"/>
    <n v="1"/>
    <n v="33.106000000000002"/>
    <n v="22.858559280000001"/>
    <n v="32.858559280000001"/>
    <n v="0.247503864991023"/>
    <n v="33.106063144990998"/>
    <n v="0.17910447761194001"/>
    <n v="5.5833333333333304"/>
    <n v="0.20895522388059701"/>
    <n v="1"/>
    <n v="0"/>
    <n v="0"/>
    <n v="0.17910447761194001"/>
    <n v="5.5833333333333419"/>
  </r>
  <r>
    <n v="101110"/>
    <x v="1"/>
    <x v="5"/>
    <n v="5"/>
    <x v="0"/>
    <s v="Sunland-Tujunga"/>
    <n v="1"/>
    <n v="1"/>
    <n v="1"/>
    <n v="0"/>
    <n v="1"/>
    <n v="0"/>
    <n v="1"/>
    <n v="0.17910447761194001"/>
    <n v="5.5833333333333304"/>
    <n v="0.20895522388059701"/>
    <n v="1"/>
    <n v="0"/>
    <n v="0"/>
    <n v="0.17910447761194001"/>
    <n v="5.5833333333333419"/>
  </r>
  <r>
    <n v="104703"/>
    <x v="1"/>
    <x v="5"/>
    <n v="3"/>
    <x v="0"/>
    <s v="Pacoima"/>
    <n v="1"/>
    <n v="1"/>
    <n v="61.689"/>
    <n v="52.601345010000003"/>
    <n v="58.601345010000003"/>
    <n v="3.0880785864811502"/>
    <n v="61.689423596481099"/>
    <n v="0.17910447761194001"/>
    <n v="5.5833333333333304"/>
    <n v="0.20895522388059701"/>
    <n v="1"/>
    <n v="0"/>
    <n v="0"/>
    <n v="0.17910447761194001"/>
    <n v="5.5833333333333419"/>
  </r>
  <r>
    <n v="103102"/>
    <x v="1"/>
    <x v="5"/>
    <n v="5"/>
    <x v="0"/>
    <s v="Sunland-Tujunga"/>
    <n v="0"/>
    <n v="1"/>
    <n v="12.4"/>
    <n v="11.82337824"/>
    <n v="11.82337824"/>
    <n v="0.576488328994614"/>
    <n v="12.3998665689946"/>
    <n v="0.17910447761194001"/>
    <n v="0"/>
    <n v="0.20895522388059701"/>
    <n v="1"/>
    <n v="0.40909090909090901"/>
    <n v="2.4444444444444402"/>
    <n v="0.51492537313432807"/>
    <n v="1.9420289855072475"/>
  </r>
  <r>
    <n v="103400"/>
    <x v="1"/>
    <x v="5"/>
    <n v="5"/>
    <x v="0"/>
    <s v="Sunland-Tujunga"/>
    <n v="0"/>
    <n v="0"/>
    <n v="17.795000000000002"/>
    <n v="15.30375091"/>
    <n v="17.303750910000002"/>
    <n v="0.491004602764812"/>
    <n v="17.794755512764802"/>
    <n v="0.17910447761194001"/>
    <n v="0"/>
    <n v="0.20895522388059701"/>
    <n v="1"/>
    <n v="0.40909090909090901"/>
    <n v="0"/>
    <n v="0.51492537313432807"/>
    <n v="0"/>
  </r>
  <r>
    <n v="113237"/>
    <x v="1"/>
    <x v="6"/>
    <n v="5"/>
    <x v="0"/>
    <s v="Chatsworth"/>
    <n v="0"/>
    <n v="1"/>
    <n v="46.734000000000002"/>
    <n v="44.506610479999999"/>
    <n v="44.506610479999999"/>
    <n v="2.2279237123877902"/>
    <n v="46.734534192387798"/>
    <n v="0.17910447761194001"/>
    <n v="0"/>
    <n v="0.104477611940299"/>
    <n v="1"/>
    <n v="1"/>
    <n v="1"/>
    <n v="1"/>
    <n v="1"/>
  </r>
  <r>
    <n v="113213"/>
    <x v="1"/>
    <x v="6"/>
    <n v="5"/>
    <x v="0"/>
    <s v="Chatsworth"/>
    <n v="0"/>
    <n v="1"/>
    <n v="13.368"/>
    <n v="12.54632395"/>
    <n v="12.54632395"/>
    <n v="0.82257992809694802"/>
    <n v="13.3689038780969"/>
    <n v="0.17910447761194001"/>
    <n v="0"/>
    <n v="0.104477611940299"/>
    <n v="1"/>
    <n v="1"/>
    <n v="1"/>
    <n v="1"/>
    <n v="1"/>
  </r>
  <r>
    <n v="113102"/>
    <x v="1"/>
    <x v="6"/>
    <n v="5"/>
    <x v="0"/>
    <s v="Chatsworth"/>
    <n v="0"/>
    <n v="1"/>
    <n v="14.664"/>
    <n v="13.88589762"/>
    <n v="13.88589762"/>
    <n v="0.77820820967684001"/>
    <n v="14.664105829676799"/>
    <n v="0.17910447761194001"/>
    <n v="0"/>
    <n v="0.104477611940299"/>
    <n v="1"/>
    <n v="1"/>
    <n v="1"/>
    <n v="1"/>
    <n v="1"/>
  </r>
  <r>
    <n v="117202"/>
    <x v="1"/>
    <x v="6"/>
    <n v="3"/>
    <x v="0"/>
    <s v="North Hills"/>
    <n v="0"/>
    <n v="1"/>
    <n v="5"/>
    <n v="0"/>
    <n v="5"/>
    <n v="0"/>
    <n v="5"/>
    <n v="0.17910447761194001"/>
    <n v="0"/>
    <n v="0.104477611940299"/>
    <n v="1"/>
    <n v="1"/>
    <n v="1"/>
    <n v="1"/>
    <n v="1"/>
  </r>
  <r>
    <n v="113321"/>
    <x v="1"/>
    <x v="6"/>
    <n v="5"/>
    <x v="0"/>
    <s v="Chatsworth"/>
    <n v="0"/>
    <n v="1"/>
    <n v="14.16"/>
    <n v="13.341394530000001"/>
    <n v="13.341394530000001"/>
    <n v="0.81848761443447005"/>
    <n v="14.1598821444345"/>
    <n v="0.17910447761194001"/>
    <n v="0"/>
    <n v="0.104477611940299"/>
    <n v="1"/>
    <n v="1"/>
    <n v="1"/>
    <n v="1"/>
    <n v="1"/>
  </r>
  <r>
    <n v="135201"/>
    <x v="1"/>
    <x v="6"/>
    <n v="3"/>
    <x v="0"/>
    <s v="West Hills"/>
    <n v="0"/>
    <n v="1"/>
    <n v="21.51"/>
    <n v="20.445670979999999"/>
    <n v="20.445670979999999"/>
    <n v="1.06406946737882"/>
    <n v="21.5097404473788"/>
    <n v="0.17910447761194001"/>
    <n v="0"/>
    <n v="0.104477611940299"/>
    <n v="1"/>
    <n v="1"/>
    <n v="1"/>
    <n v="1"/>
    <n v="1"/>
  </r>
  <r>
    <n v="113301"/>
    <x v="1"/>
    <x v="6"/>
    <n v="5"/>
    <x v="0"/>
    <s v="Northridge"/>
    <n v="0"/>
    <n v="1"/>
    <n v="14.791"/>
    <n v="13.906700799999999"/>
    <n v="13.906700799999999"/>
    <n v="0.88348465493716299"/>
    <n v="14.7901854549372"/>
    <n v="0.17910447761194001"/>
    <n v="0"/>
    <n v="0.104477611940299"/>
    <n v="1"/>
    <n v="1"/>
    <n v="1"/>
    <n v="1"/>
    <n v="1"/>
  </r>
  <r>
    <n v="115202"/>
    <x v="1"/>
    <x v="6"/>
    <n v="3"/>
    <x v="0"/>
    <s v="Northridge"/>
    <n v="0"/>
    <n v="1"/>
    <n v="25.673999999999999"/>
    <n v="21.747852630000001"/>
    <n v="24.747852630000001"/>
    <n v="0.92594727323159798"/>
    <n v="25.6737999032316"/>
    <n v="0.17910447761194001"/>
    <n v="0"/>
    <n v="0.104477611940299"/>
    <n v="1"/>
    <n v="1"/>
    <n v="1"/>
    <n v="1"/>
    <n v="1"/>
  </r>
  <r>
    <n v="134422"/>
    <x v="1"/>
    <x v="6"/>
    <n v="3"/>
    <x v="0"/>
    <s v="West Hills"/>
    <n v="0"/>
    <n v="1"/>
    <n v="25.53"/>
    <n v="24.334250579999999"/>
    <n v="24.334250579999999"/>
    <n v="1.19586739084381"/>
    <n v="25.530117970843801"/>
    <n v="0.17910447761194001"/>
    <n v="0"/>
    <n v="0.104477611940299"/>
    <n v="1"/>
    <n v="1"/>
    <n v="1"/>
    <n v="1"/>
    <n v="1"/>
  </r>
  <r>
    <n v="117404"/>
    <x v="1"/>
    <x v="6"/>
    <n v="3"/>
    <x v="0"/>
    <s v="North Hills"/>
    <n v="0"/>
    <n v="1"/>
    <n v="34.101999999999997"/>
    <n v="19.442898"/>
    <n v="33.442898"/>
    <n v="0.65898961732495498"/>
    <n v="34.101887617324998"/>
    <n v="0.17910447761194001"/>
    <n v="0"/>
    <n v="0.104477611940299"/>
    <n v="1"/>
    <n v="1"/>
    <n v="1"/>
    <n v="1"/>
    <n v="1"/>
  </r>
  <r>
    <n v="115302"/>
    <x v="1"/>
    <x v="6"/>
    <n v="3"/>
    <x v="0"/>
    <s v="Northridge"/>
    <n v="0"/>
    <n v="1"/>
    <n v="16.898"/>
    <n v="15.117894809999999"/>
    <n v="16.117894809999999"/>
    <n v="0.78081953777378799"/>
    <n v="16.898714347773801"/>
    <n v="0.17910447761194001"/>
    <n v="0"/>
    <n v="0.104477611940299"/>
    <n v="1"/>
    <n v="1"/>
    <n v="1"/>
    <n v="1"/>
    <n v="1"/>
  </r>
  <r>
    <n v="117303"/>
    <x v="1"/>
    <x v="6"/>
    <n v="3"/>
    <x v="0"/>
    <s v="North Hills"/>
    <n v="0"/>
    <n v="1"/>
    <n v="49.22"/>
    <n v="37.457708519999997"/>
    <n v="47.457708519999997"/>
    <n v="1.7622421535547601"/>
    <n v="49.219950673554798"/>
    <n v="0.17910447761194001"/>
    <n v="0"/>
    <n v="0.104477611940299"/>
    <n v="1"/>
    <n v="1"/>
    <n v="1"/>
    <n v="1"/>
    <n v="1"/>
  </r>
  <r>
    <n v="115104"/>
    <x v="1"/>
    <x v="6"/>
    <n v="3"/>
    <x v="0"/>
    <s v="Northridge"/>
    <n v="0"/>
    <n v="1"/>
    <n v="12.361000000000001"/>
    <n v="11.45731777"/>
    <n v="11.45731777"/>
    <n v="0.90313873761220798"/>
    <n v="12.3604565076122"/>
    <n v="0.17910447761194001"/>
    <n v="0"/>
    <n v="0.104477611940299"/>
    <n v="1"/>
    <n v="1"/>
    <n v="1"/>
    <n v="1"/>
    <n v="1"/>
  </r>
  <r>
    <n v="113303"/>
    <x v="1"/>
    <x v="6"/>
    <n v="5"/>
    <x v="0"/>
    <s v="Chatsworth"/>
    <n v="0"/>
    <n v="1"/>
    <n v="50.502000000000002"/>
    <n v="47.751782849999998"/>
    <n v="47.751782849999998"/>
    <n v="2.75131257078995"/>
    <n v="50.503095420789897"/>
    <n v="0.17910447761194001"/>
    <n v="0"/>
    <n v="0.104477611940299"/>
    <n v="1"/>
    <n v="1"/>
    <n v="1"/>
    <n v="1"/>
    <n v="1"/>
  </r>
  <r>
    <n v="121600"/>
    <x v="1"/>
    <x v="1"/>
    <n v="3"/>
    <x v="1"/>
    <s v="North Hollywood"/>
    <n v="1"/>
    <n v="1"/>
    <n v="5"/>
    <n v="0"/>
    <n v="5"/>
    <n v="0"/>
    <n v="5"/>
    <n v="1"/>
    <n v="1"/>
    <n v="0"/>
    <n v="0"/>
    <n v="0"/>
    <n v="0"/>
    <n v="1"/>
    <n v="1"/>
  </r>
  <r>
    <n v="131020"/>
    <x v="1"/>
    <x v="2"/>
    <n v="3"/>
    <x v="1"/>
    <s v="Reseda"/>
    <n v="1"/>
    <n v="1"/>
    <n v="9.6839999999999993"/>
    <n v="9.1234277200000005"/>
    <n v="9.1234277200000005"/>
    <n v="0.55995532057450603"/>
    <n v="9.68338304057451"/>
    <n v="1"/>
    <n v="1"/>
    <n v="0"/>
    <n v="0"/>
    <n v="0"/>
    <n v="0"/>
    <n v="1"/>
    <n v="1"/>
  </r>
  <r>
    <n v="128303"/>
    <x v="1"/>
    <x v="4"/>
    <n v="3"/>
    <x v="1"/>
    <s v="Van Nuys"/>
    <n v="1"/>
    <n v="1"/>
    <n v="8.7240000000000002"/>
    <n v="5.5698712199999996"/>
    <n v="8.5698712199999996"/>
    <n v="0.15328985522441699"/>
    <n v="8.7231610752244197"/>
    <n v="1"/>
    <n v="1"/>
    <n v="0"/>
    <n v="0"/>
    <n v="0"/>
    <n v="0"/>
    <n v="1"/>
    <n v="1"/>
  </r>
  <r>
    <n v="121802"/>
    <x v="1"/>
    <x v="4"/>
    <n v="3"/>
    <x v="1"/>
    <s v="North Hollywood"/>
    <n v="1"/>
    <n v="1"/>
    <n v="41.444000000000003"/>
    <n v="32.404123730000002"/>
    <n v="39.404123730000002"/>
    <n v="2.0395823871813299"/>
    <n v="41.4437061171813"/>
    <n v="1"/>
    <n v="1"/>
    <n v="0"/>
    <n v="0"/>
    <n v="0"/>
    <n v="0"/>
    <n v="1"/>
    <n v="1"/>
  </r>
  <r>
    <n v="119900"/>
    <x v="1"/>
    <x v="4"/>
    <n v="3"/>
    <x v="1"/>
    <s v="Panorama City"/>
    <n v="1"/>
    <n v="1"/>
    <n v="9.8019999999999996"/>
    <n v="9.2951754900000001"/>
    <n v="9.2951754900000001"/>
    <n v="0.505595132369838"/>
    <n v="9.8007706223698392"/>
    <n v="1"/>
    <n v="1"/>
    <n v="0"/>
    <n v="0"/>
    <n v="0"/>
    <n v="0"/>
    <n v="1"/>
    <n v="1"/>
  </r>
  <r>
    <n v="106604"/>
    <x v="1"/>
    <x v="5"/>
    <n v="3"/>
    <x v="1"/>
    <s v="Sylmar"/>
    <n v="1"/>
    <n v="1"/>
    <n v="14.673"/>
    <n v="13.73495303"/>
    <n v="13.73495303"/>
    <n v="0.93784484314183103"/>
    <n v="14.6727978731418"/>
    <n v="1"/>
    <n v="1"/>
    <n v="0"/>
    <n v="0"/>
    <n v="0"/>
    <n v="0"/>
    <n v="1"/>
    <n v="1"/>
  </r>
  <r>
    <n v="980021"/>
    <x v="1"/>
    <x v="5"/>
    <n v="3"/>
    <x v="1"/>
    <s v="Pacoima"/>
    <n v="1"/>
    <n v="1"/>
    <n v="62.676000000000002"/>
    <n v="42.595214349999999"/>
    <n v="60.595214349999999"/>
    <n v="2.0803232851885101"/>
    <n v="62.675537635188498"/>
    <n v="1"/>
    <n v="1"/>
    <n v="0"/>
    <n v="0"/>
    <n v="0"/>
    <n v="0"/>
    <n v="1"/>
    <n v="1"/>
  </r>
  <r>
    <n v="109300"/>
    <x v="1"/>
    <x v="6"/>
    <n v="3"/>
    <x v="1"/>
    <s v="Granada Hills"/>
    <n v="1"/>
    <n v="1"/>
    <n v="52.286999999999999"/>
    <n v="35.124877429999998"/>
    <n v="50.124877429999998"/>
    <n v="5.1613918408617598"/>
    <n v="55.286269270861801"/>
    <n v="1"/>
    <n v="1"/>
    <n v="0"/>
    <n v="0"/>
    <n v="0"/>
    <n v="0"/>
    <n v="1"/>
    <n v="1"/>
  </r>
  <r>
    <n v="910809"/>
    <x v="1"/>
    <x v="0"/>
    <n v="5"/>
    <x v="2"/>
    <s v="Santa Clarita"/>
    <n v="0"/>
    <n v="0"/>
    <n v="4.1900000000000004"/>
    <n v="3.9673993200000002"/>
    <n v="3.9673993200000002"/>
    <n v="0.22234520276481101"/>
    <n v="4.1897445227648102"/>
    <n v="4.8387096774193498E-2"/>
    <n v="0"/>
    <n v="0.27419354838709697"/>
    <n v="0"/>
    <n v="0"/>
    <n v="0"/>
    <n v="4.8387096774193498E-2"/>
    <n v="0"/>
  </r>
  <r>
    <n v="310602"/>
    <x v="1"/>
    <x v="0"/>
    <n v="5"/>
    <x v="2"/>
    <s v="Burbank"/>
    <n v="0"/>
    <n v="0"/>
    <n v="2"/>
    <n v="0"/>
    <n v="2"/>
    <n v="0"/>
    <n v="2"/>
    <n v="4.8387096774193498E-2"/>
    <n v="0"/>
    <n v="0.27419354838709697"/>
    <n v="0"/>
    <n v="0"/>
    <n v="0"/>
    <n v="4.8387096774193498E-2"/>
    <n v="0"/>
  </r>
  <r>
    <n v="920104"/>
    <x v="1"/>
    <x v="0"/>
    <n v="5"/>
    <x v="2"/>
    <s v="Agua Dulce"/>
    <n v="0"/>
    <n v="0"/>
    <n v="18.995000000000001"/>
    <n v="10.502311300000001"/>
    <n v="18.502311299999999"/>
    <n v="0.49176658271095203"/>
    <n v="18.994077882711"/>
    <n v="4.8387096774193498E-2"/>
    <n v="0"/>
    <n v="0.27419354838709697"/>
    <n v="0"/>
    <n v="0"/>
    <n v="0"/>
    <n v="4.8387096774193498E-2"/>
    <n v="0"/>
  </r>
  <r>
    <n v="920040"/>
    <x v="1"/>
    <x v="0"/>
    <n v="5"/>
    <x v="2"/>
    <s v="Santa Clarita"/>
    <n v="0"/>
    <n v="0"/>
    <n v="13.77"/>
    <n v="10.0181212"/>
    <n v="13.0181212"/>
    <n v="0.75168673147217202"/>
    <n v="13.769807931472201"/>
    <n v="4.8387096774193498E-2"/>
    <n v="0"/>
    <n v="0.27419354838709697"/>
    <n v="0"/>
    <n v="0"/>
    <n v="0"/>
    <n v="4.8387096774193498E-2"/>
    <n v="0"/>
  </r>
  <r>
    <n v="320300"/>
    <x v="1"/>
    <x v="0"/>
    <n v="3"/>
    <x v="2"/>
    <s v="San Fernando"/>
    <n v="0"/>
    <n v="0"/>
    <n v="11.707000000000001"/>
    <n v="7.31147583"/>
    <n v="11.311475829999999"/>
    <n v="0.39442253098743302"/>
    <n v="11.705898360987399"/>
    <n v="4.8387096774193498E-2"/>
    <n v="0"/>
    <n v="0.27419354838709697"/>
    <n v="0"/>
    <n v="0"/>
    <n v="0"/>
    <n v="4.8387096774193498E-2"/>
    <n v="0"/>
  </r>
  <r>
    <n v="920336"/>
    <x v="1"/>
    <x v="0"/>
    <n v="5"/>
    <x v="2"/>
    <s v="Santa Clarita"/>
    <n v="0"/>
    <n v="0"/>
    <n v="0"/>
    <n v="0"/>
    <n v="0"/>
    <n v="0"/>
    <n v="0"/>
    <n v="4.8387096774193498E-2"/>
    <n v="0"/>
    <n v="0.27419354838709697"/>
    <n v="0"/>
    <n v="0"/>
    <n v="0"/>
    <n v="4.8387096774193498E-2"/>
    <n v="0"/>
  </r>
  <r>
    <n v="920036"/>
    <x v="1"/>
    <x v="0"/>
    <n v="5"/>
    <x v="2"/>
    <s v="Santa Clarita"/>
    <n v="0"/>
    <n v="0"/>
    <n v="0"/>
    <n v="0"/>
    <n v="0"/>
    <n v="0"/>
    <n v="0"/>
    <n v="4.8387096774193498E-2"/>
    <n v="0"/>
    <n v="0.27419354838709697"/>
    <n v="0"/>
    <n v="0"/>
    <n v="0"/>
    <n v="4.8387096774193498E-2"/>
    <n v="0"/>
  </r>
  <r>
    <n v="311400"/>
    <x v="1"/>
    <x v="0"/>
    <n v="5"/>
    <x v="2"/>
    <s v="Burbank"/>
    <n v="0"/>
    <n v="0"/>
    <n v="10.276"/>
    <n v="4.8620928000000001"/>
    <n v="9.8620927999999992"/>
    <n v="0.414076613662478"/>
    <n v="10.276169413662499"/>
    <n v="4.8387096774193498E-2"/>
    <n v="0"/>
    <n v="0.27419354838709697"/>
    <n v="0"/>
    <n v="0"/>
    <n v="0"/>
    <n v="4.8387096774193498E-2"/>
    <n v="0"/>
  </r>
  <r>
    <n v="311000"/>
    <x v="1"/>
    <x v="0"/>
    <n v="5"/>
    <x v="2"/>
    <s v="Burbank"/>
    <n v="0"/>
    <n v="0"/>
    <n v="5.5170000000000003"/>
    <n v="3.3440765099999998"/>
    <n v="5.3440765099999998"/>
    <n v="0.17207732822262101"/>
    <n v="5.5161538382226203"/>
    <n v="4.8387096774193498E-2"/>
    <n v="0"/>
    <n v="0.27419354838709697"/>
    <n v="0"/>
    <n v="0"/>
    <n v="0"/>
    <n v="4.8387096774193498E-2"/>
    <n v="0"/>
  </r>
  <r>
    <n v="800202"/>
    <x v="1"/>
    <x v="0"/>
    <n v="3"/>
    <x v="2"/>
    <s v="Calabasas"/>
    <n v="0"/>
    <n v="0"/>
    <n v="5.5910000000000002"/>
    <n v="1.43919657"/>
    <n v="5.43919657"/>
    <n v="0.15145200614003601"/>
    <n v="5.5906485761400404"/>
    <n v="4.8387096774193498E-2"/>
    <n v="0"/>
    <n v="0.27419354838709697"/>
    <n v="0"/>
    <n v="0"/>
    <n v="0"/>
    <n v="4.8387096774193498E-2"/>
    <n v="0"/>
  </r>
  <r>
    <n v="311700"/>
    <x v="1"/>
    <x v="0"/>
    <n v="5"/>
    <x v="2"/>
    <s v="Burbank"/>
    <n v="0"/>
    <n v="0"/>
    <n v="3"/>
    <n v="0"/>
    <n v="3"/>
    <n v="0"/>
    <n v="3"/>
    <n v="4.8387096774193498E-2"/>
    <n v="0"/>
    <n v="0.27419354838709697"/>
    <n v="0"/>
    <n v="0"/>
    <n v="0"/>
    <n v="4.8387096774193498E-2"/>
    <n v="0"/>
  </r>
  <r>
    <n v="310800"/>
    <x v="1"/>
    <x v="0"/>
    <n v="5"/>
    <x v="2"/>
    <s v="Burbank"/>
    <n v="0"/>
    <n v="0"/>
    <n v="20.399000000000001"/>
    <n v="3.1723287400000002"/>
    <n v="20.172328740000001"/>
    <n v="0.22643751642728899"/>
    <n v="20.398766256427301"/>
    <n v="4.8387096774193498E-2"/>
    <n v="0"/>
    <n v="0.27419354838709697"/>
    <n v="0"/>
    <n v="0"/>
    <n v="0"/>
    <n v="4.8387096774193498E-2"/>
    <n v="0"/>
  </r>
  <r>
    <n v="320202"/>
    <x v="1"/>
    <x v="0"/>
    <n v="3"/>
    <x v="2"/>
    <s v="San Fernando"/>
    <n v="0"/>
    <n v="0"/>
    <n v="8.2759999999999998"/>
    <n v="4.8620928000000001"/>
    <n v="7.8620928000000001"/>
    <n v="0.414076613662478"/>
    <n v="8.2761694136624797"/>
    <n v="4.8387096774193498E-2"/>
    <n v="0"/>
    <n v="0.27419354838709697"/>
    <n v="0"/>
    <n v="0"/>
    <n v="0"/>
    <n v="4.8387096774193498E-2"/>
    <n v="0"/>
  </r>
  <r>
    <n v="310703"/>
    <x v="1"/>
    <x v="0"/>
    <n v="5"/>
    <x v="2"/>
    <s v="Burbank"/>
    <n v="1"/>
    <n v="1"/>
    <n v="5.19"/>
    <n v="3.9673993200000002"/>
    <n v="4.9673993200000002"/>
    <n v="0.22234520276481101"/>
    <n v="5.1897445227648102"/>
    <n v="4.8387096774193498E-2"/>
    <n v="20.6666666666667"/>
    <n v="0.27419354838709697"/>
    <n v="0"/>
    <n v="0"/>
    <n v="0"/>
    <n v="4.8387096774193498E-2"/>
    <n v="20.666666666666689"/>
  </r>
  <r>
    <n v="920042"/>
    <x v="1"/>
    <x v="0"/>
    <n v="5"/>
    <x v="2"/>
    <s v="Santa Clarita"/>
    <n v="0"/>
    <n v="0"/>
    <n v="6.7720000000000002"/>
    <n v="4.31758971"/>
    <n v="6.31758971"/>
    <n v="0.45435601842010798"/>
    <n v="6.7719457284201097"/>
    <n v="4.8387096774193498E-2"/>
    <n v="0"/>
    <n v="0.27419354838709697"/>
    <n v="0"/>
    <n v="0"/>
    <n v="0"/>
    <n v="4.8387096774193498E-2"/>
    <n v="0"/>
  </r>
  <r>
    <n v="311802"/>
    <x v="1"/>
    <x v="0"/>
    <n v="5"/>
    <x v="2"/>
    <s v="Burbank"/>
    <n v="0"/>
    <n v="0"/>
    <n v="8"/>
    <n v="0"/>
    <n v="8"/>
    <n v="0"/>
    <n v="8"/>
    <n v="4.8387096774193498E-2"/>
    <n v="0"/>
    <n v="0.27419354838709697"/>
    <n v="0"/>
    <n v="0"/>
    <n v="0"/>
    <n v="4.8387096774193498E-2"/>
    <n v="0"/>
  </r>
  <r>
    <n v="920037"/>
    <x v="1"/>
    <x v="0"/>
    <n v="5"/>
    <x v="2"/>
    <s v="Santa Clarita"/>
    <n v="0"/>
    <n v="0"/>
    <n v="0"/>
    <n v="0"/>
    <n v="0"/>
    <n v="0"/>
    <n v="0"/>
    <n v="4.8387096774193498E-2"/>
    <n v="0"/>
    <n v="0.27419354838709697"/>
    <n v="0"/>
    <n v="0"/>
    <n v="0"/>
    <n v="4.8387096774193498E-2"/>
    <n v="0"/>
  </r>
  <r>
    <n v="122420"/>
    <x v="1"/>
    <x v="1"/>
    <n v="3"/>
    <x v="2"/>
    <s v="North Hollywood"/>
    <n v="0"/>
    <n v="0"/>
    <n v="17"/>
    <n v="0"/>
    <n v="17"/>
    <n v="0"/>
    <n v="17"/>
    <n v="4.8387096774193498E-2"/>
    <n v="0"/>
    <n v="0.17741935483870999"/>
    <n v="1"/>
    <n v="0.18181818181818199"/>
    <n v="0"/>
    <n v="0.22140762463343122"/>
    <n v="0"/>
  </r>
  <r>
    <n v="143901"/>
    <x v="1"/>
    <x v="1"/>
    <n v="3"/>
    <x v="2"/>
    <s v="Studio City"/>
    <n v="0"/>
    <n v="0"/>
    <n v="7.6159999999999997"/>
    <n v="3.4662643399999999"/>
    <n v="7.4662643400000004"/>
    <n v="0.14997102057450601"/>
    <n v="7.6162353605745103"/>
    <n v="4.8387096774193498E-2"/>
    <n v="0"/>
    <n v="0.17741935483870999"/>
    <n v="1"/>
    <n v="0.18181818181818199"/>
    <n v="0"/>
    <n v="0.22140762463343122"/>
    <n v="0"/>
  </r>
  <r>
    <n v="125402"/>
    <x v="1"/>
    <x v="1"/>
    <n v="3"/>
    <x v="2"/>
    <s v="North Hollywood"/>
    <n v="0"/>
    <n v="0"/>
    <n v="8.5540000000000003"/>
    <n v="5.4910515000000002"/>
    <n v="8.4910514999999993"/>
    <n v="6.2742575924596006E-2"/>
    <n v="8.5537940759245892"/>
    <n v="4.8387096774193498E-2"/>
    <n v="0"/>
    <n v="0.17741935483870999"/>
    <n v="1"/>
    <n v="0.18181818181818199"/>
    <n v="0"/>
    <n v="0.22140762463343122"/>
    <n v="0"/>
  </r>
  <r>
    <n v="123901"/>
    <x v="1"/>
    <x v="1"/>
    <n v="3"/>
    <x v="2"/>
    <s v="North Hollywood"/>
    <n v="0"/>
    <n v="0"/>
    <n v="17.780999999999999"/>
    <n v="5.4065958900000002"/>
    <n v="17.406595889999998"/>
    <n v="0.37379720890484702"/>
    <n v="17.780393098904799"/>
    <n v="4.8387096774193498E-2"/>
    <n v="0"/>
    <n v="0.17741935483870999"/>
    <n v="1"/>
    <n v="0.18181818181818199"/>
    <n v="0"/>
    <n v="0.22140762463343122"/>
    <n v="0"/>
  </r>
  <r>
    <n v="125100"/>
    <x v="1"/>
    <x v="1"/>
    <n v="3"/>
    <x v="2"/>
    <s v="Valley Village"/>
    <n v="0"/>
    <n v="0"/>
    <n v="4.9260000000000002"/>
    <n v="1.90487994"/>
    <n v="4.9048799399999998"/>
    <n v="2.0625322082585301E-2"/>
    <n v="4.9255052620825897"/>
    <n v="4.8387096774193498E-2"/>
    <n v="0"/>
    <n v="0.17741935483870999"/>
    <n v="1"/>
    <n v="0.18181818181818199"/>
    <n v="0"/>
    <n v="0.22140762463343122"/>
    <n v="0"/>
  </r>
  <r>
    <n v="123410"/>
    <x v="1"/>
    <x v="1"/>
    <n v="3"/>
    <x v="2"/>
    <s v="North Hollywood"/>
    <n v="0"/>
    <n v="0"/>
    <n v="9.7810000000000006"/>
    <n v="5.4065958900000002"/>
    <n v="9.4065958900000002"/>
    <n v="0.37379720890484702"/>
    <n v="9.7803930989048506"/>
    <n v="4.8387096774193498E-2"/>
    <n v="0"/>
    <n v="0.17741935483870999"/>
    <n v="1"/>
    <n v="0.18181818181818199"/>
    <n v="0"/>
    <n v="0.22140762463343122"/>
    <n v="0"/>
  </r>
  <r>
    <n v="124104"/>
    <x v="1"/>
    <x v="1"/>
    <n v="3"/>
    <x v="2"/>
    <s v="North Hollywood"/>
    <n v="0"/>
    <n v="0"/>
    <n v="13.978999999999999"/>
    <n v="9.2230506200000004"/>
    <n v="13.22305062"/>
    <n v="0.75577904513465"/>
    <n v="13.9788296651347"/>
    <n v="4.8387096774193498E-2"/>
    <n v="0"/>
    <n v="0.17741935483870999"/>
    <n v="1"/>
    <n v="0.18181818181818199"/>
    <n v="0"/>
    <n v="0.22140762463343122"/>
    <n v="0"/>
  </r>
  <r>
    <n v="127104"/>
    <x v="1"/>
    <x v="1"/>
    <n v="3"/>
    <x v="2"/>
    <s v="Van Nuys"/>
    <n v="0"/>
    <n v="1"/>
    <n v="0"/>
    <n v="0"/>
    <n v="0"/>
    <n v="0"/>
    <n v="0"/>
    <n v="4.8387096774193498E-2"/>
    <n v="0"/>
    <n v="0.17741935483870999"/>
    <n v="1"/>
    <n v="0.18181818181818199"/>
    <n v="5.5"/>
    <n v="0.22140762463343122"/>
    <n v="4.5165562913907253"/>
  </r>
  <r>
    <n v="124105"/>
    <x v="1"/>
    <x v="1"/>
    <n v="3"/>
    <x v="2"/>
    <s v="North Hollywood"/>
    <n v="0"/>
    <n v="1"/>
    <n v="6.0949999999999998"/>
    <n v="1.9836996600000001"/>
    <n v="5.9836996600000001"/>
    <n v="0.11117260138240601"/>
    <n v="6.0948722613824096"/>
    <n v="4.8387096774193498E-2"/>
    <n v="0"/>
    <n v="0.17741935483870999"/>
    <n v="1"/>
    <n v="0.18181818181818199"/>
    <n v="5.5"/>
    <n v="0.22140762463343122"/>
    <n v="4.5165562913907253"/>
  </r>
  <r>
    <n v="125401"/>
    <x v="1"/>
    <x v="1"/>
    <n v="3"/>
    <x v="2"/>
    <s v="North Hollywood"/>
    <n v="0"/>
    <n v="0"/>
    <n v="11.494"/>
    <n v="5.1560284000000003"/>
    <n v="11.1560284"/>
    <n v="0.33761011780969502"/>
    <n v="11.4936385178097"/>
    <n v="4.8387096774193498E-2"/>
    <n v="0"/>
    <n v="0.17741935483870999"/>
    <n v="1"/>
    <n v="0.18181818181818199"/>
    <n v="0"/>
    <n v="0.22140762463343122"/>
    <n v="0"/>
  </r>
  <r>
    <n v="128102"/>
    <x v="1"/>
    <x v="1"/>
    <n v="3"/>
    <x v="2"/>
    <s v="Van Nuys"/>
    <n v="0"/>
    <n v="0"/>
    <n v="14.686"/>
    <n v="3.4228962300000001"/>
    <n v="14.422896229999999"/>
    <n v="0.26262460752244199"/>
    <n v="14.6855208375224"/>
    <n v="4.8387096774193498E-2"/>
    <n v="0"/>
    <n v="0.17741935483870999"/>
    <n v="1"/>
    <n v="0.18181818181818199"/>
    <n v="0"/>
    <n v="0.22140762463343122"/>
    <n v="0"/>
  </r>
  <r>
    <n v="137401"/>
    <x v="1"/>
    <x v="2"/>
    <n v="3"/>
    <x v="2"/>
    <s v="Woodland Hills"/>
    <n v="0"/>
    <n v="0"/>
    <n v="2.5910000000000002"/>
    <n v="1.43919657"/>
    <n v="2.43919657"/>
    <n v="0.15145200614003601"/>
    <n v="2.59064857614004"/>
    <n v="4.8387096774193498E-2"/>
    <n v="0"/>
    <n v="9.6774193548387094E-2"/>
    <n v="1"/>
    <n v="0.2"/>
    <n v="0"/>
    <n v="0.23870967741935481"/>
    <n v="0"/>
  </r>
  <r>
    <n v="139402"/>
    <x v="1"/>
    <x v="2"/>
    <n v="3"/>
    <x v="2"/>
    <s v="Tarzana"/>
    <n v="0"/>
    <n v="1"/>
    <n v="17.925999999999998"/>
    <n v="1.90487994"/>
    <n v="17.904879940000001"/>
    <n v="2.0625322082585301E-2"/>
    <n v="17.925505262082599"/>
    <n v="4.8387096774193498E-2"/>
    <n v="0"/>
    <n v="9.6774193548387094E-2"/>
    <n v="1"/>
    <n v="0.2"/>
    <n v="5"/>
    <n v="0.23870967741935481"/>
    <n v="4.1891891891891895"/>
  </r>
  <r>
    <n v="137402"/>
    <x v="1"/>
    <x v="2"/>
    <n v="3"/>
    <x v="2"/>
    <s v="Woodland Hills"/>
    <n v="1"/>
    <n v="1"/>
    <n v="7.19"/>
    <n v="3.9673993200000002"/>
    <n v="6.9673993200000002"/>
    <n v="0.22234520276481101"/>
    <n v="7.1897445227648102"/>
    <n v="4.8387096774193498E-2"/>
    <n v="20.6666666666667"/>
    <n v="9.6774193548387094E-2"/>
    <n v="1"/>
    <n v="0"/>
    <n v="0"/>
    <n v="4.8387096774193498E-2"/>
    <n v="20.666666666666689"/>
  </r>
  <r>
    <n v="134305"/>
    <x v="1"/>
    <x v="2"/>
    <n v="3"/>
    <x v="2"/>
    <s v="Canoga Park"/>
    <n v="0"/>
    <n v="0"/>
    <n v="5.9260000000000002"/>
    <n v="1.90487994"/>
    <n v="5.9048799399999998"/>
    <n v="2.0625322082585301E-2"/>
    <n v="5.9255052620825897"/>
    <n v="4.8387096774193498E-2"/>
    <n v="0"/>
    <n v="9.6774193548387094E-2"/>
    <n v="1"/>
    <n v="0.2"/>
    <n v="0"/>
    <n v="0.23870967741935481"/>
    <n v="0"/>
  </r>
  <r>
    <n v="137502"/>
    <x v="1"/>
    <x v="2"/>
    <n v="3"/>
    <x v="2"/>
    <s v="Woodland Hills"/>
    <n v="0"/>
    <n v="0"/>
    <n v="10.811"/>
    <n v="6.7251664800000004"/>
    <n v="10.72516648"/>
    <n v="8.5967727037702002E-2"/>
    <n v="10.8111342070377"/>
    <n v="4.8387096774193498E-2"/>
    <n v="0"/>
    <n v="9.6774193548387094E-2"/>
    <n v="1"/>
    <n v="0.2"/>
    <n v="0"/>
    <n v="0.23870967741935481"/>
    <n v="0"/>
  </r>
  <r>
    <n v="139401"/>
    <x v="1"/>
    <x v="2"/>
    <n v="3"/>
    <x v="2"/>
    <s v="Tarzana"/>
    <n v="0"/>
    <n v="0"/>
    <n v="13.797000000000001"/>
    <n v="9.6032194200000003"/>
    <n v="13.60321942"/>
    <n v="0.19367388971274699"/>
    <n v="13.796893309712701"/>
    <n v="4.8387096774193498E-2"/>
    <n v="0"/>
    <n v="9.6774193548387094E-2"/>
    <n v="1"/>
    <n v="0.2"/>
    <n v="0"/>
    <n v="0.23870967741935481"/>
    <n v="0"/>
  </r>
  <r>
    <n v="141304"/>
    <x v="1"/>
    <x v="3"/>
    <n v="3"/>
    <x v="2"/>
    <s v="Sherman Oaks"/>
    <n v="0"/>
    <n v="1"/>
    <n v="4"/>
    <n v="0"/>
    <n v="4"/>
    <n v="0"/>
    <n v="4"/>
    <n v="4.8387096774193498E-2"/>
    <n v="0"/>
    <n v="9.6774193548387094E-2"/>
    <n v="0.375"/>
    <n v="0.14285714285714299"/>
    <n v="7"/>
    <n v="0.18433179723502313"/>
    <n v="5.4249999999999972"/>
  </r>
  <r>
    <n v="143100"/>
    <x v="1"/>
    <x v="3"/>
    <n v="3"/>
    <x v="2"/>
    <s v="North Hollywood"/>
    <n v="0"/>
    <n v="0"/>
    <n v="14.42"/>
    <n v="7.0609083400000001"/>
    <n v="14.060908339999999"/>
    <n v="0.35823543989228002"/>
    <n v="14.4191437798923"/>
    <n v="4.8387096774193498E-2"/>
    <n v="0"/>
    <n v="9.6774193548387094E-2"/>
    <n v="0.375"/>
    <n v="0.14285714285714299"/>
    <n v="0"/>
    <n v="0.18433179723502313"/>
    <n v="0"/>
  </r>
  <r>
    <n v="141303"/>
    <x v="1"/>
    <x v="3"/>
    <n v="3"/>
    <x v="2"/>
    <s v="Sherman Oaks"/>
    <n v="0"/>
    <n v="0"/>
    <n v="3.0950000000000002"/>
    <n v="1.9836996600000001"/>
    <n v="2.9836996600000001"/>
    <n v="0.11117260138240601"/>
    <n v="3.09487226138241"/>
    <n v="4.8387096774193498E-2"/>
    <n v="0"/>
    <n v="9.6774193548387094E-2"/>
    <n v="0.375"/>
    <n v="0.14285714285714299"/>
    <n v="0"/>
    <n v="0.18433179723502313"/>
    <n v="0"/>
  </r>
  <r>
    <n v="141202"/>
    <x v="1"/>
    <x v="3"/>
    <n v="3"/>
    <x v="2"/>
    <s v="Sherman Oaks"/>
    <n v="0"/>
    <n v="0"/>
    <n v="1"/>
    <n v="0"/>
    <n v="1"/>
    <n v="0"/>
    <n v="1"/>
    <n v="4.8387096774193498E-2"/>
    <n v="0"/>
    <n v="9.6774193548387094E-2"/>
    <n v="0.375"/>
    <n v="0.14285714285714299"/>
    <n v="0"/>
    <n v="0.18433179723502313"/>
    <n v="0"/>
  </r>
  <r>
    <n v="141201"/>
    <x v="1"/>
    <x v="3"/>
    <n v="3"/>
    <x v="2"/>
    <s v="Sherman Oaks"/>
    <n v="0"/>
    <n v="1"/>
    <n v="15.891999999999999"/>
    <n v="8.3283571399999996"/>
    <n v="15.32835714"/>
    <n v="0.56404763423698401"/>
    <n v="15.892404774237001"/>
    <n v="4.8387096774193498E-2"/>
    <n v="0"/>
    <n v="9.6774193548387094E-2"/>
    <n v="0.375"/>
    <n v="0.14285714285714299"/>
    <n v="7"/>
    <n v="0.18433179723502313"/>
    <n v="5.4249999999999972"/>
  </r>
  <r>
    <n v="124700"/>
    <x v="1"/>
    <x v="3"/>
    <n v="3"/>
    <x v="2"/>
    <s v="Sherman Oaks"/>
    <n v="0"/>
    <n v="0"/>
    <n v="15.622999999999999"/>
    <n v="8.1273495899999997"/>
    <n v="15.12734959"/>
    <n v="0.49560666258527802"/>
    <n v="15.622956252585301"/>
    <n v="4.8387096774193498E-2"/>
    <n v="0"/>
    <n v="9.6774193548387094E-2"/>
    <n v="0.375"/>
    <n v="0.14285714285714299"/>
    <n v="0"/>
    <n v="0.18433179723502313"/>
    <n v="0"/>
  </r>
  <r>
    <n v="139701"/>
    <x v="1"/>
    <x v="7"/>
    <n v="3"/>
    <x v="2"/>
    <s v="Encino"/>
    <n v="0"/>
    <n v="0"/>
    <n v="9.0210000000000008"/>
    <n v="3.8885795999999999"/>
    <n v="8.8885795999999999"/>
    <n v="0.131797923464991"/>
    <n v="9.0203775234649903"/>
    <n v="4.8387096774193498E-2"/>
    <n v="0"/>
    <n v="1.6129032258064498E-2"/>
    <n v="0.11111111111111099"/>
    <n v="0"/>
    <n v="0"/>
    <n v="4.8387096774193498E-2"/>
    <n v="0"/>
  </r>
  <r>
    <n v="119700"/>
    <x v="1"/>
    <x v="4"/>
    <n v="3"/>
    <x v="2"/>
    <s v="Arleta"/>
    <n v="0"/>
    <n v="0"/>
    <n v="9.1159999999999997"/>
    <n v="5.87227926"/>
    <n v="8.8722792599999991"/>
    <n v="0.24297052484739701"/>
    <n v="9.1152497848473999"/>
    <n v="4.8387096774193498E-2"/>
    <n v="0"/>
    <n v="0.12903225806451599"/>
    <n v="1"/>
    <n v="0"/>
    <n v="0"/>
    <n v="4.8387096774193498E-2"/>
    <n v="0"/>
  </r>
  <r>
    <n v="122120"/>
    <x v="1"/>
    <x v="4"/>
    <n v="3"/>
    <x v="2"/>
    <s v="Sun Valley"/>
    <n v="0"/>
    <n v="0"/>
    <n v="16.187000000000001"/>
    <n v="9.6679308099999997"/>
    <n v="15.66793081"/>
    <n v="0.519675915816876"/>
    <n v="16.187606725816899"/>
    <n v="4.8387096774193498E-2"/>
    <n v="0"/>
    <n v="0.12903225806451599"/>
    <n v="1"/>
    <n v="0"/>
    <n v="0"/>
    <n v="4.8387096774193498E-2"/>
    <n v="0"/>
  </r>
  <r>
    <n v="120107"/>
    <x v="1"/>
    <x v="4"/>
    <n v="3"/>
    <x v="2"/>
    <s v="Panorama City"/>
    <n v="0"/>
    <n v="0"/>
    <n v="7"/>
    <n v="0"/>
    <n v="7"/>
    <n v="0"/>
    <n v="7"/>
    <n v="4.8387096774193498E-2"/>
    <n v="0"/>
    <n v="0.12903225806451599"/>
    <n v="1"/>
    <n v="0"/>
    <n v="0"/>
    <n v="4.8387096774193498E-2"/>
    <n v="0"/>
  </r>
  <r>
    <n v="132002"/>
    <x v="1"/>
    <x v="4"/>
    <n v="3"/>
    <x v="2"/>
    <s v="Lake Balboa"/>
    <n v="0"/>
    <n v="0"/>
    <n v="6.5910000000000002"/>
    <n v="1.43919657"/>
    <n v="6.43919657"/>
    <n v="0.15145200614003601"/>
    <n v="6.5906485761400404"/>
    <n v="4.8387096774193498E-2"/>
    <n v="0"/>
    <n v="0.12903225806451599"/>
    <n v="1"/>
    <n v="0"/>
    <n v="0"/>
    <n v="4.8387096774193498E-2"/>
    <n v="0"/>
  </r>
  <r>
    <n v="131100"/>
    <x v="1"/>
    <x v="4"/>
    <n v="3"/>
    <x v="2"/>
    <s v="Lake Balboa"/>
    <n v="1"/>
    <n v="1"/>
    <n v="3"/>
    <n v="0"/>
    <n v="3"/>
    <n v="0"/>
    <n v="3"/>
    <n v="4.8387096774193498E-2"/>
    <n v="20.6666666666667"/>
    <n v="0.12903225806451599"/>
    <n v="1"/>
    <n v="0"/>
    <n v="0"/>
    <n v="4.8387096774193498E-2"/>
    <n v="20.666666666666689"/>
  </r>
  <r>
    <n v="980008"/>
    <x v="1"/>
    <x v="4"/>
    <n v="3"/>
    <x v="2"/>
    <s v="Lake Balboa"/>
    <n v="0"/>
    <n v="0"/>
    <n v="4.1900000000000004"/>
    <n v="3.9673993200000002"/>
    <n v="3.9673993200000002"/>
    <n v="0.22234520276481101"/>
    <n v="4.1897445227648102"/>
    <n v="4.8387096774193498E-2"/>
    <n v="0"/>
    <n v="0.12903225806451599"/>
    <n v="1"/>
    <n v="0"/>
    <n v="0"/>
    <n v="4.8387096774193498E-2"/>
    <n v="0"/>
  </r>
  <r>
    <n v="117520"/>
    <x v="1"/>
    <x v="4"/>
    <n v="3"/>
    <x v="2"/>
    <s v="North Hills"/>
    <n v="0"/>
    <n v="0"/>
    <n v="20.289000000000001"/>
    <n v="7.6616662199999999"/>
    <n v="19.661666220000001"/>
    <n v="0.62643334664272898"/>
    <n v="20.2880995666427"/>
    <n v="4.8387096774193498E-2"/>
    <n v="0"/>
    <n v="0.12903225806451599"/>
    <n v="1"/>
    <n v="0"/>
    <n v="0"/>
    <n v="4.8387096774193498E-2"/>
    <n v="0"/>
  </r>
  <r>
    <n v="120108"/>
    <x v="1"/>
    <x v="4"/>
    <n v="3"/>
    <x v="2"/>
    <s v="Panorama City"/>
    <n v="0"/>
    <n v="0"/>
    <n v="19.513000000000002"/>
    <n v="8.14585632"/>
    <n v="19.14585632"/>
    <n v="0.36651319788150799"/>
    <n v="19.512369517881499"/>
    <n v="4.8387096774193498E-2"/>
    <n v="0"/>
    <n v="0.12903225806451599"/>
    <n v="1"/>
    <n v="0"/>
    <n v="0"/>
    <n v="4.8387096774193498E-2"/>
    <n v="0"/>
  </r>
  <r>
    <n v="103300"/>
    <x v="1"/>
    <x v="5"/>
    <n v="5"/>
    <x v="2"/>
    <s v="Foothill Trails"/>
    <n v="0"/>
    <n v="1"/>
    <n v="14.775"/>
    <n v="11.41517131"/>
    <n v="14.41517131"/>
    <n v="0.35920667929981998"/>
    <n v="14.774377989299801"/>
    <n v="4.8387096774193498E-2"/>
    <n v="0"/>
    <n v="0.14516129032258099"/>
    <n v="1"/>
    <n v="0.22222222222222199"/>
    <n v="4.5"/>
    <n v="0.25985663082437249"/>
    <n v="3.8482758620689697"/>
  </r>
  <r>
    <n v="101300"/>
    <x v="1"/>
    <x v="5"/>
    <n v="5"/>
    <x v="2"/>
    <s v="Sunland-Tujunga"/>
    <n v="0"/>
    <n v="1"/>
    <n v="20.108000000000001"/>
    <n v="5.0438748599999998"/>
    <n v="20.043874859999999"/>
    <n v="6.4475795278276501E-2"/>
    <n v="20.108350655278301"/>
    <n v="4.8387096774193498E-2"/>
    <n v="0"/>
    <n v="0.14516129032258099"/>
    <n v="1"/>
    <n v="0.22222222222222199"/>
    <n v="4.5"/>
    <n v="0.25985663082437249"/>
    <n v="3.8482758620689697"/>
  </r>
  <r>
    <n v="101220"/>
    <x v="1"/>
    <x v="5"/>
    <n v="5"/>
    <x v="2"/>
    <s v="Sunland-Tujunga"/>
    <n v="0"/>
    <n v="0"/>
    <n v="34"/>
    <n v="0"/>
    <n v="34"/>
    <n v="0"/>
    <n v="34"/>
    <n v="4.8387096774193498E-2"/>
    <n v="0"/>
    <n v="0.14516129032258099"/>
    <n v="1"/>
    <n v="0.22222222222222199"/>
    <n v="0"/>
    <n v="0.25985663082437249"/>
    <n v="0"/>
  </r>
  <r>
    <n v="104704"/>
    <x v="1"/>
    <x v="5"/>
    <n v="3"/>
    <x v="2"/>
    <s v="Pacoima"/>
    <n v="0"/>
    <n v="0"/>
    <n v="9"/>
    <n v="0"/>
    <n v="9"/>
    <n v="0"/>
    <n v="9"/>
    <n v="4.8387096774193498E-2"/>
    <n v="0"/>
    <n v="0.14516129032258099"/>
    <n v="1"/>
    <n v="0.22222222222222199"/>
    <n v="0"/>
    <n v="0.25985663082437249"/>
    <n v="0"/>
  </r>
  <r>
    <n v="107010"/>
    <x v="1"/>
    <x v="5"/>
    <n v="3"/>
    <x v="2"/>
    <s v="Sylmar"/>
    <n v="0"/>
    <n v="0"/>
    <n v="3.5910000000000002"/>
    <n v="1.43919657"/>
    <n v="3.43919657"/>
    <n v="0.15145200614003601"/>
    <n v="3.59064857614004"/>
    <n v="4.8387096774193498E-2"/>
    <n v="0"/>
    <n v="0.14516129032258099"/>
    <n v="1"/>
    <n v="0.22222222222222199"/>
    <n v="0"/>
    <n v="0.25985663082437249"/>
    <n v="0"/>
  </r>
  <r>
    <n v="117510"/>
    <x v="1"/>
    <x v="5"/>
    <n v="3"/>
    <x v="2"/>
    <s v="North Hills"/>
    <n v="0"/>
    <n v="0"/>
    <n v="14.946"/>
    <n v="5.7934595399999997"/>
    <n v="14.793459540000001"/>
    <n v="0.152423245547576"/>
    <n v="14.9458827855476"/>
    <n v="4.8387096774193498E-2"/>
    <n v="0"/>
    <n v="0.14516129032258099"/>
    <n v="1"/>
    <n v="0.22222222222222199"/>
    <n v="0"/>
    <n v="0.25985663082437249"/>
    <n v="0"/>
  </r>
  <r>
    <n v="106403"/>
    <x v="1"/>
    <x v="5"/>
    <n v="3"/>
    <x v="2"/>
    <s v="Sylmar"/>
    <n v="0"/>
    <n v="0"/>
    <n v="4"/>
    <n v="0"/>
    <n v="4"/>
    <n v="0"/>
    <n v="4"/>
    <n v="4.8387096774193498E-2"/>
    <n v="0"/>
    <n v="0.14516129032258099"/>
    <n v="1"/>
    <n v="0.22222222222222199"/>
    <n v="0"/>
    <n v="0.25985663082437249"/>
    <n v="0"/>
  </r>
  <r>
    <n v="117102"/>
    <x v="1"/>
    <x v="5"/>
    <n v="3"/>
    <x v="2"/>
    <s v="North Hills"/>
    <n v="0"/>
    <n v="0"/>
    <n v="12.327"/>
    <n v="8.91622834"/>
    <n v="11.91622834"/>
    <n v="0.411114642531418"/>
    <n v="12.3273429825314"/>
    <n v="4.8387096774193498E-2"/>
    <n v="0"/>
    <n v="0.14516129032258099"/>
    <n v="1"/>
    <n v="0.22222222222222199"/>
    <n v="0"/>
    <n v="0.25985663082437249"/>
    <n v="0"/>
  </r>
  <r>
    <n v="101210"/>
    <x v="1"/>
    <x v="5"/>
    <n v="5"/>
    <x v="2"/>
    <s v="Sunland-Tujunga"/>
    <n v="0"/>
    <n v="0"/>
    <n v="5.0949999999999998"/>
    <n v="1.9836996600000001"/>
    <n v="4.9836996600000001"/>
    <n v="0.11117260138240601"/>
    <n v="5.0948722613824096"/>
    <n v="4.8387096774193498E-2"/>
    <n v="0"/>
    <n v="0.14516129032258099"/>
    <n v="1"/>
    <n v="0.22222222222222199"/>
    <n v="0"/>
    <n v="0.25985663082437249"/>
    <n v="0"/>
  </r>
  <r>
    <n v="113401"/>
    <x v="1"/>
    <x v="6"/>
    <n v="3"/>
    <x v="2"/>
    <s v="Northridge"/>
    <n v="0"/>
    <n v="0"/>
    <n v="9.19"/>
    <n v="3.9673993200000002"/>
    <n v="8.9673993200000002"/>
    <n v="0.22234520276481101"/>
    <n v="9.1897445227648102"/>
    <n v="4.8387096774193498E-2"/>
    <n v="0"/>
    <n v="6.4516129032258104E-2"/>
    <n v="1"/>
    <n v="0.25"/>
    <n v="0"/>
    <n v="0.28629032258064513"/>
    <n v="0"/>
  </r>
  <r>
    <n v="115101"/>
    <x v="1"/>
    <x v="6"/>
    <n v="3"/>
    <x v="2"/>
    <s v="Northridge"/>
    <n v="0"/>
    <n v="1"/>
    <n v="5"/>
    <n v="0"/>
    <n v="5"/>
    <n v="0"/>
    <n v="5"/>
    <n v="4.8387096774193498E-2"/>
    <n v="0"/>
    <n v="6.4516129032258104E-2"/>
    <n v="1"/>
    <n v="0.25"/>
    <n v="4"/>
    <n v="0.28629032258064513"/>
    <n v="3.4929577464788735"/>
  </r>
  <r>
    <n v="111301"/>
    <x v="1"/>
    <x v="6"/>
    <n v="5"/>
    <x v="2"/>
    <s v="Granada Hills"/>
    <n v="0"/>
    <n v="0"/>
    <n v="10.532"/>
    <n v="7.3030033899999998"/>
    <n v="10.303003390000001"/>
    <n v="0.22827536551166999"/>
    <n v="10.5312787555117"/>
    <n v="4.8387096774193498E-2"/>
    <n v="0"/>
    <n v="6.4516129032258104E-2"/>
    <n v="1"/>
    <n v="0.25"/>
    <n v="0"/>
    <n v="0.28629032258064513"/>
    <n v="0"/>
  </r>
  <r>
    <n v="109700"/>
    <x v="1"/>
    <x v="6"/>
    <n v="3"/>
    <x v="2"/>
    <s v="Granada Hills"/>
    <n v="0"/>
    <n v="0"/>
    <n v="13.202"/>
    <n v="6.7669727399999999"/>
    <n v="12.76697274"/>
    <n v="0.434701935745063"/>
    <n v="13.2016746757451"/>
    <n v="4.8387096774193498E-2"/>
    <n v="0"/>
    <n v="6.4516129032258104E-2"/>
    <n v="1"/>
    <n v="0.25"/>
    <n v="0"/>
    <n v="0.28629032258064513"/>
    <n v="0"/>
  </r>
  <r>
    <n v="920013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310400"/>
    <x v="1"/>
    <x v="0"/>
    <n v="5"/>
    <x v="3"/>
    <s v="Burbank"/>
    <n v="0"/>
    <n v="0"/>
    <n v="7.42"/>
    <n v="7.0609083400000001"/>
    <n v="7.0609083400000001"/>
    <n v="0.35823543989228002"/>
    <n v="7.4191437798922797"/>
    <n v="2.2140221402214E-2"/>
    <n v="0"/>
    <n v="0.30627306273062699"/>
    <n v="0"/>
    <n v="0"/>
    <n v="0"/>
    <n v="2.2140221402214E-2"/>
    <n v="0"/>
  </r>
  <r>
    <n v="920200"/>
    <x v="1"/>
    <x v="0"/>
    <n v="5"/>
    <x v="3"/>
    <s v="Agua Dulce"/>
    <n v="0"/>
    <n v="0"/>
    <n v="2.0950000000000002"/>
    <n v="1.9836996600000001"/>
    <n v="1.9836996600000001"/>
    <n v="0.11117260138240601"/>
    <n v="2.09487226138241"/>
    <n v="2.2140221402214E-2"/>
    <n v="0"/>
    <n v="0.30627306273062699"/>
    <n v="0"/>
    <n v="0"/>
    <n v="0"/>
    <n v="2.2140221402214E-2"/>
    <n v="0"/>
  </r>
  <r>
    <n v="310201"/>
    <x v="1"/>
    <x v="0"/>
    <n v="5"/>
    <x v="3"/>
    <s v="Burbank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29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10810"/>
    <x v="1"/>
    <x v="0"/>
    <n v="5"/>
    <x v="3"/>
    <s v="Canyon Country"/>
    <n v="0"/>
    <n v="0"/>
    <n v="4.7720000000000002"/>
    <n v="4.31758971"/>
    <n v="4.31758971"/>
    <n v="0.45435601842010798"/>
    <n v="4.7719457284201097"/>
    <n v="2.2140221402214E-2"/>
    <n v="0"/>
    <n v="0.30627306273062699"/>
    <n v="0"/>
    <n v="0"/>
    <n v="0"/>
    <n v="2.2140221402214E-2"/>
    <n v="0"/>
  </r>
  <r>
    <n v="920331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119"/>
    <x v="1"/>
    <x v="0"/>
    <n v="5"/>
    <x v="3"/>
    <s v="Agua Dulc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800332"/>
    <x v="1"/>
    <x v="0"/>
    <n v="3"/>
    <x v="3"/>
    <s v="Agoura Hills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33"/>
    <x v="1"/>
    <x v="0"/>
    <n v="5"/>
    <x v="3"/>
    <s v="Canyon Country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334"/>
    <x v="1"/>
    <x v="0"/>
    <n v="5"/>
    <x v="3"/>
    <s v="Santa Clarita"/>
    <n v="1"/>
    <n v="1"/>
    <n v="0"/>
    <n v="0"/>
    <n v="0"/>
    <n v="0"/>
    <n v="0"/>
    <n v="2.2140221402214E-2"/>
    <n v="45.1666666666667"/>
    <n v="0.30627306273062699"/>
    <n v="0"/>
    <n v="0"/>
    <n v="0"/>
    <n v="2.2140221402214E-2"/>
    <n v="45.166666666666714"/>
  </r>
  <r>
    <n v="920108"/>
    <x v="1"/>
    <x v="0"/>
    <n v="5"/>
    <x v="3"/>
    <s v="Santa Clarita"/>
    <n v="0"/>
    <n v="0"/>
    <n v="3.6859999999999999"/>
    <n v="3.4228962300000001"/>
    <n v="3.4228962300000001"/>
    <n v="0.26262460752244199"/>
    <n v="3.6855208375224402"/>
    <n v="2.2140221402214E-2"/>
    <n v="0"/>
    <n v="0.30627306273062699"/>
    <n v="0"/>
    <n v="0"/>
    <n v="0"/>
    <n v="2.2140221402214E-2"/>
    <n v="0"/>
  </r>
  <r>
    <n v="920020"/>
    <x v="1"/>
    <x v="0"/>
    <n v="5"/>
    <x v="3"/>
    <s v="Santa Clarita"/>
    <n v="0"/>
    <n v="0"/>
    <n v="3.0950000000000002"/>
    <n v="1.9836996600000001"/>
    <n v="2.9836996600000001"/>
    <n v="0.11117260138240601"/>
    <n v="3.09487226138241"/>
    <n v="2.2140221402214E-2"/>
    <n v="0"/>
    <n v="0.30627306273062699"/>
    <n v="0"/>
    <n v="0"/>
    <n v="0"/>
    <n v="2.2140221402214E-2"/>
    <n v="0"/>
  </r>
  <r>
    <n v="460502"/>
    <x v="1"/>
    <x v="0"/>
    <n v="5"/>
    <x v="3"/>
    <s v="La Cañada Flintridg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460700"/>
    <x v="1"/>
    <x v="0"/>
    <n v="5"/>
    <x v="3"/>
    <s v="La Cañada Flintridg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329"/>
    <x v="1"/>
    <x v="0"/>
    <n v="5"/>
    <x v="3"/>
    <s v="Santa Clarita"/>
    <n v="0"/>
    <n v="0"/>
    <n v="2.8079999999999998"/>
    <n v="1.73313217"/>
    <n v="2.7331321700000002"/>
    <n v="7.4985510287253102E-2"/>
    <n v="2.8081176802872498"/>
    <n v="2.2140221402214E-2"/>
    <n v="0"/>
    <n v="0.30627306273062699"/>
    <n v="0"/>
    <n v="0"/>
    <n v="0"/>
    <n v="2.2140221402214E-2"/>
    <n v="0"/>
  </r>
  <r>
    <n v="320000"/>
    <x v="1"/>
    <x v="0"/>
    <n v="3"/>
    <x v="3"/>
    <s v="Universal City"/>
    <n v="0"/>
    <n v="0"/>
    <n v="4.851"/>
    <n v="3.8097598800000001"/>
    <n v="4.8097598799999997"/>
    <n v="4.1250644165170602E-2"/>
    <n v="4.8510105241651704"/>
    <n v="2.2140221402214E-2"/>
    <n v="0"/>
    <n v="0.30627306273062699"/>
    <n v="0"/>
    <n v="0"/>
    <n v="0"/>
    <n v="2.2140221402214E-2"/>
    <n v="0"/>
  </r>
  <r>
    <n v="800330"/>
    <x v="1"/>
    <x v="0"/>
    <n v="3"/>
    <x v="3"/>
    <s v="Malibu Lake"/>
    <n v="0"/>
    <n v="0"/>
    <n v="6.3630000000000004"/>
    <n v="5.75678628"/>
    <n v="5.75678628"/>
    <n v="0.60580802456014404"/>
    <n v="6.3625943045601403"/>
    <n v="2.2140221402214E-2"/>
    <n v="0"/>
    <n v="0.30627306273062699"/>
    <n v="0"/>
    <n v="0"/>
    <n v="0"/>
    <n v="2.2140221402214E-2"/>
    <n v="0"/>
  </r>
  <r>
    <n v="920028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311801"/>
    <x v="1"/>
    <x v="0"/>
    <n v="5"/>
    <x v="3"/>
    <s v="Burbank"/>
    <n v="1"/>
    <n v="1"/>
    <n v="4.1900000000000004"/>
    <n v="3.9673993200000002"/>
    <n v="3.9673993200000002"/>
    <n v="0.22234520276481101"/>
    <n v="4.1897445227648102"/>
    <n v="2.2140221402214E-2"/>
    <n v="45.1666666666667"/>
    <n v="0.30627306273062699"/>
    <n v="0"/>
    <n v="0"/>
    <n v="0"/>
    <n v="2.2140221402214E-2"/>
    <n v="45.166666666666714"/>
  </r>
  <r>
    <n v="920116"/>
    <x v="1"/>
    <x v="0"/>
    <n v="5"/>
    <x v="3"/>
    <s v="Agua Dulc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300100"/>
    <x v="1"/>
    <x v="0"/>
    <n v="5"/>
    <x v="3"/>
    <s v="La Crescenta-Montros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17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800329"/>
    <x v="1"/>
    <x v="0"/>
    <n v="3"/>
    <x v="3"/>
    <s v="Malibu Lak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45"/>
    <x v="1"/>
    <x v="0"/>
    <n v="5"/>
    <x v="3"/>
    <s v="Santa Clarita"/>
    <n v="0"/>
    <n v="0"/>
    <n v="6.2850000000000001"/>
    <n v="5.9510989800000003"/>
    <n v="5.9510989800000003"/>
    <n v="0.33351780414721699"/>
    <n v="6.2846167841472198"/>
    <n v="2.2140221402214E-2"/>
    <n v="0"/>
    <n v="0.30627306273062699"/>
    <n v="0"/>
    <n v="0"/>
    <n v="0"/>
    <n v="2.2140221402214E-2"/>
    <n v="0"/>
  </r>
  <r>
    <n v="300501"/>
    <x v="1"/>
    <x v="0"/>
    <n v="5"/>
    <x v="3"/>
    <s v="La Crescenta-Montros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39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111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311200"/>
    <x v="1"/>
    <x v="0"/>
    <n v="5"/>
    <x v="3"/>
    <s v="Burbank"/>
    <n v="0"/>
    <n v="0"/>
    <n v="5.19"/>
    <n v="3.9673993200000002"/>
    <n v="4.9673993200000002"/>
    <n v="0.22234520276481101"/>
    <n v="5.1897445227648102"/>
    <n v="2.2140221402214E-2"/>
    <n v="0"/>
    <n v="0.30627306273062699"/>
    <n v="0"/>
    <n v="0"/>
    <n v="0"/>
    <n v="2.2140221402214E-2"/>
    <n v="0"/>
  </r>
  <r>
    <n v="800328"/>
    <x v="1"/>
    <x v="0"/>
    <n v="3"/>
    <x v="3"/>
    <s v="Agoura Hills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112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110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326"/>
    <x v="1"/>
    <x v="0"/>
    <n v="5"/>
    <x v="3"/>
    <s v="Stevenson Ranch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32"/>
    <x v="1"/>
    <x v="0"/>
    <n v="5"/>
    <x v="3"/>
    <s v="Santa Clarita"/>
    <n v="0"/>
    <n v="0"/>
    <n v="10.888"/>
    <n v="10.189868969999999"/>
    <n v="10.189868969999999"/>
    <n v="0.69732654326750498"/>
    <n v="10.8871955132675"/>
    <n v="2.2140221402214E-2"/>
    <n v="0"/>
    <n v="0.30627306273062699"/>
    <n v="0"/>
    <n v="0"/>
    <n v="0"/>
    <n v="2.2140221402214E-2"/>
    <n v="0"/>
  </r>
  <r>
    <n v="460600"/>
    <x v="1"/>
    <x v="0"/>
    <n v="5"/>
    <x v="3"/>
    <s v="La Cañada Flintridg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11"/>
    <x v="1"/>
    <x v="0"/>
    <n v="5"/>
    <x v="3"/>
    <s v="Agua Dulce"/>
    <n v="0"/>
    <n v="0"/>
    <n v="1.9259999999999999"/>
    <n v="1.90487994"/>
    <n v="1.90487994"/>
    <n v="2.0625322082585301E-2"/>
    <n v="1.9255052620825901"/>
    <n v="2.2140221402214E-2"/>
    <n v="0"/>
    <n v="0.30627306273062699"/>
    <n v="0"/>
    <n v="0"/>
    <n v="0"/>
    <n v="2.2140221402214E-2"/>
    <n v="0"/>
  </r>
  <r>
    <n v="800326"/>
    <x v="1"/>
    <x v="0"/>
    <n v="3"/>
    <x v="3"/>
    <s v="Westlake Village"/>
    <n v="0"/>
    <n v="0"/>
    <n v="3.5910000000000002"/>
    <n v="1.43919657"/>
    <n v="3.43919657"/>
    <n v="0.15145200614003601"/>
    <n v="3.59064857614004"/>
    <n v="2.2140221402214E-2"/>
    <n v="0"/>
    <n v="0.30627306273062699"/>
    <n v="0"/>
    <n v="0"/>
    <n v="0"/>
    <n v="2.2140221402214E-2"/>
    <n v="0"/>
  </r>
  <r>
    <n v="920114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320100"/>
    <x v="1"/>
    <x v="0"/>
    <n v="3"/>
    <x v="3"/>
    <s v="San Fernando"/>
    <n v="0"/>
    <n v="0"/>
    <n v="5.19"/>
    <n v="3.9673993200000002"/>
    <n v="4.9673993200000002"/>
    <n v="0.22234520276481101"/>
    <n v="5.1897445227648102"/>
    <n v="2.2140221402214E-2"/>
    <n v="0"/>
    <n v="0.30627306273062699"/>
    <n v="0"/>
    <n v="0"/>
    <n v="0"/>
    <n v="2.2140221402214E-2"/>
    <n v="0"/>
  </r>
  <r>
    <n v="920038"/>
    <x v="1"/>
    <x v="0"/>
    <n v="5"/>
    <x v="3"/>
    <s v="Santa Clarita"/>
    <n v="0"/>
    <n v="0"/>
    <n v="1.591"/>
    <n v="1.43919657"/>
    <n v="1.43919657"/>
    <n v="0.15145200614003601"/>
    <n v="1.59064857614004"/>
    <n v="2.2140221402214E-2"/>
    <n v="0"/>
    <n v="0.30627306273062699"/>
    <n v="0"/>
    <n v="0"/>
    <n v="0"/>
    <n v="2.2140221402214E-2"/>
    <n v="0"/>
  </r>
  <r>
    <n v="310300"/>
    <x v="1"/>
    <x v="0"/>
    <n v="5"/>
    <x v="3"/>
    <s v="Burbank"/>
    <n v="0"/>
    <n v="0"/>
    <n v="1"/>
    <n v="0"/>
    <n v="1"/>
    <n v="0"/>
    <n v="1"/>
    <n v="2.2140221402214E-2"/>
    <n v="0"/>
    <n v="0.30627306273062699"/>
    <n v="0"/>
    <n v="0"/>
    <n v="0"/>
    <n v="2.2140221402214E-2"/>
    <n v="0"/>
  </r>
  <r>
    <n v="910807"/>
    <x v="1"/>
    <x v="0"/>
    <n v="5"/>
    <x v="3"/>
    <s v="Santa Clarita"/>
    <n v="0"/>
    <n v="0"/>
    <n v="3.399"/>
    <n v="3.1723287400000002"/>
    <n v="3.1723287400000002"/>
    <n v="0.22643751642728899"/>
    <n v="3.3987662564272898"/>
    <n v="2.2140221402214E-2"/>
    <n v="0"/>
    <n v="0.30627306273062699"/>
    <n v="0"/>
    <n v="0"/>
    <n v="0"/>
    <n v="2.2140221402214E-2"/>
    <n v="0"/>
  </r>
  <r>
    <n v="920322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118"/>
    <x v="1"/>
    <x v="0"/>
    <n v="5"/>
    <x v="3"/>
    <s v="Agua Dulc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15"/>
    <x v="1"/>
    <x v="0"/>
    <n v="5"/>
    <x v="3"/>
    <s v="Santa Clarita"/>
    <n v="0"/>
    <n v="0"/>
    <n v="7.2569999999999997"/>
    <n v="7.1723431199999998"/>
    <n v="7.1723431199999998"/>
    <n v="8.4234507684021506E-2"/>
    <n v="7.2565776276840204"/>
    <n v="2.2140221402214E-2"/>
    <n v="0"/>
    <n v="0.30627306273062699"/>
    <n v="0"/>
    <n v="0"/>
    <n v="0"/>
    <n v="2.2140221402214E-2"/>
    <n v="0"/>
  </r>
  <r>
    <n v="310601"/>
    <x v="1"/>
    <x v="0"/>
    <n v="5"/>
    <x v="3"/>
    <s v="Burbank"/>
    <n v="0"/>
    <n v="0"/>
    <n v="5.734"/>
    <n v="3.63801211"/>
    <n v="5.63801211"/>
    <n v="9.5610832369838403E-2"/>
    <n v="5.7336229423698404"/>
    <n v="2.2140221402214E-2"/>
    <n v="0"/>
    <n v="0.30627306273062699"/>
    <n v="0"/>
    <n v="0"/>
    <n v="0"/>
    <n v="2.2140221402214E-2"/>
    <n v="0"/>
  </r>
  <r>
    <n v="920044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328"/>
    <x v="1"/>
    <x v="0"/>
    <n v="5"/>
    <x v="3"/>
    <s v="Santa Clarita"/>
    <n v="0"/>
    <n v="0"/>
    <n v="2.0950000000000002"/>
    <n v="1.9836996600000001"/>
    <n v="1.9836996600000001"/>
    <n v="0.11117260138240601"/>
    <n v="2.09487226138241"/>
    <n v="2.2140221402214E-2"/>
    <n v="0"/>
    <n v="0.30627306273062699"/>
    <n v="0"/>
    <n v="0"/>
    <n v="0"/>
    <n v="2.2140221402214E-2"/>
    <n v="0"/>
  </r>
  <r>
    <n v="920338"/>
    <x v="1"/>
    <x v="0"/>
    <n v="5"/>
    <x v="3"/>
    <s v="Stevenson Ranch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339"/>
    <x v="1"/>
    <x v="0"/>
    <n v="5"/>
    <x v="3"/>
    <s v="Stevenson Ranch"/>
    <n v="0"/>
    <n v="0"/>
    <n v="1.591"/>
    <n v="1.43919657"/>
    <n v="1.43919657"/>
    <n v="0.15145200614003601"/>
    <n v="1.59064857614004"/>
    <n v="2.2140221402214E-2"/>
    <n v="0"/>
    <n v="0.30627306273062699"/>
    <n v="0"/>
    <n v="0"/>
    <n v="0"/>
    <n v="2.2140221402214E-2"/>
    <n v="0"/>
  </r>
  <r>
    <n v="800204"/>
    <x v="1"/>
    <x v="0"/>
    <n v="3"/>
    <x v="3"/>
    <s v="Calabasas and Hidden Hills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311300"/>
    <x v="1"/>
    <x v="0"/>
    <n v="5"/>
    <x v="3"/>
    <s v="Burbank"/>
    <n v="0"/>
    <n v="0"/>
    <n v="4.0949999999999998"/>
    <n v="1.9836996600000001"/>
    <n v="3.9836996600000001"/>
    <n v="0.11117260138240601"/>
    <n v="4.0948722613824096"/>
    <n v="2.2140221402214E-2"/>
    <n v="0"/>
    <n v="0.30627306273062699"/>
    <n v="0"/>
    <n v="0"/>
    <n v="0"/>
    <n v="2.2140221402214E-2"/>
    <n v="0"/>
  </r>
  <r>
    <n v="800101"/>
    <x v="1"/>
    <x v="0"/>
    <n v="3"/>
    <x v="3"/>
    <s v="Calabasas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10808"/>
    <x v="1"/>
    <x v="0"/>
    <n v="5"/>
    <x v="3"/>
    <s v="Canyon Country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18"/>
    <x v="1"/>
    <x v="0"/>
    <n v="5"/>
    <x v="3"/>
    <s v="Santa Clarita"/>
    <n v="0"/>
    <n v="0"/>
    <n v="1.591"/>
    <n v="1.43919657"/>
    <n v="1.43919657"/>
    <n v="0.15145200614003601"/>
    <n v="1.59064857614004"/>
    <n v="2.2140221402214E-2"/>
    <n v="0"/>
    <n v="0.30627306273062699"/>
    <n v="0"/>
    <n v="0"/>
    <n v="0"/>
    <n v="2.2140221402214E-2"/>
    <n v="0"/>
  </r>
  <r>
    <n v="311500"/>
    <x v="1"/>
    <x v="0"/>
    <n v="5"/>
    <x v="3"/>
    <s v="Burbank"/>
    <n v="0"/>
    <n v="0"/>
    <n v="4.399"/>
    <n v="3.1723287400000002"/>
    <n v="4.1723287400000002"/>
    <n v="0.22643751642728899"/>
    <n v="4.3987662564272902"/>
    <n v="2.2140221402214E-2"/>
    <n v="0"/>
    <n v="0.30627306273062699"/>
    <n v="0"/>
    <n v="0"/>
    <n v="0"/>
    <n v="2.2140221402214E-2"/>
    <n v="0"/>
  </r>
  <r>
    <n v="920026"/>
    <x v="1"/>
    <x v="0"/>
    <n v="5"/>
    <x v="3"/>
    <s v="Canyon Country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330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800324"/>
    <x v="1"/>
    <x v="0"/>
    <n v="3"/>
    <x v="3"/>
    <s v="Agoura Hills"/>
    <n v="0"/>
    <n v="0"/>
    <n v="4.181"/>
    <n v="2.87839314"/>
    <n v="3.87839314"/>
    <n v="0.30290401228007202"/>
    <n v="4.1812971522800702"/>
    <n v="2.2140221402214E-2"/>
    <n v="0"/>
    <n v="0.30627306273062699"/>
    <n v="0"/>
    <n v="0"/>
    <n v="0"/>
    <n v="2.2140221402214E-2"/>
    <n v="0"/>
  </r>
  <r>
    <n v="800327"/>
    <x v="1"/>
    <x v="0"/>
    <n v="3"/>
    <x v="3"/>
    <s v="Agoura Hills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313"/>
    <x v="1"/>
    <x v="0"/>
    <n v="5"/>
    <x v="3"/>
    <s v="Santa Clarita"/>
    <n v="0"/>
    <n v="0"/>
    <n v="3.6859999999999999"/>
    <n v="3.4228962300000001"/>
    <n v="3.4228962300000001"/>
    <n v="0.26262460752244199"/>
    <n v="3.6855208375224402"/>
    <n v="2.2140221402214E-2"/>
    <n v="0"/>
    <n v="0.30627306273062699"/>
    <n v="0"/>
    <n v="0"/>
    <n v="0"/>
    <n v="2.2140221402214E-2"/>
    <n v="0"/>
  </r>
  <r>
    <n v="920303"/>
    <x v="1"/>
    <x v="0"/>
    <n v="5"/>
    <x v="3"/>
    <s v="Santa Susana Mountains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320201"/>
    <x v="1"/>
    <x v="0"/>
    <n v="3"/>
    <x v="3"/>
    <s v="San Fernando"/>
    <n v="0"/>
    <n v="0"/>
    <n v="9.1790000000000003"/>
    <n v="8.5789246299999995"/>
    <n v="8.5789246299999995"/>
    <n v="0.60023472533213695"/>
    <n v="9.1791593553321391"/>
    <n v="2.2140221402214E-2"/>
    <n v="0"/>
    <n v="0.30627306273062699"/>
    <n v="0"/>
    <n v="0"/>
    <n v="0"/>
    <n v="2.2140221402214E-2"/>
    <n v="0"/>
  </r>
  <r>
    <n v="800325"/>
    <x v="1"/>
    <x v="0"/>
    <n v="3"/>
    <x v="3"/>
    <s v="Westlake Villag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800203"/>
    <x v="1"/>
    <x v="0"/>
    <n v="3"/>
    <x v="3"/>
    <s v="Calabasas and Hidden Hills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41"/>
    <x v="1"/>
    <x v="0"/>
    <n v="5"/>
    <x v="3"/>
    <s v="Santa Clarita"/>
    <n v="0"/>
    <n v="0"/>
    <n v="2.0950000000000002"/>
    <n v="1.9836996600000001"/>
    <n v="1.9836996600000001"/>
    <n v="0.11117260138240601"/>
    <n v="2.09487226138241"/>
    <n v="2.2140221402214E-2"/>
    <n v="0"/>
    <n v="0.30627306273062699"/>
    <n v="0"/>
    <n v="0"/>
    <n v="0"/>
    <n v="2.2140221402214E-2"/>
    <n v="0"/>
  </r>
  <r>
    <n v="311100"/>
    <x v="1"/>
    <x v="0"/>
    <n v="5"/>
    <x v="3"/>
    <s v="Burbank"/>
    <n v="0"/>
    <n v="0"/>
    <n v="7.0839999999999996"/>
    <n v="6.5952249700000003"/>
    <n v="6.5952249700000003"/>
    <n v="0.48906212394973098"/>
    <n v="7.0842870939497304"/>
    <n v="2.2140221402214E-2"/>
    <n v="0"/>
    <n v="0.30627306273062699"/>
    <n v="0"/>
    <n v="0"/>
    <n v="0"/>
    <n v="2.2140221402214E-2"/>
    <n v="0"/>
  </r>
  <r>
    <n v="300502"/>
    <x v="1"/>
    <x v="0"/>
    <n v="5"/>
    <x v="3"/>
    <s v="La Crescenta-Montros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16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30"/>
    <x v="1"/>
    <x v="0"/>
    <n v="5"/>
    <x v="3"/>
    <s v="Santa Clarita"/>
    <n v="0"/>
    <n v="0"/>
    <n v="6.2759999999999998"/>
    <n v="4.8620928000000001"/>
    <n v="5.8620928000000001"/>
    <n v="0.414076613662478"/>
    <n v="6.2761694136624797"/>
    <n v="2.2140221402214E-2"/>
    <n v="0"/>
    <n v="0.30627306273062699"/>
    <n v="0"/>
    <n v="0"/>
    <n v="0"/>
    <n v="2.2140221402214E-2"/>
    <n v="0"/>
  </r>
  <r>
    <n v="310202"/>
    <x v="1"/>
    <x v="0"/>
    <n v="5"/>
    <x v="3"/>
    <s v="Burbank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310100"/>
    <x v="1"/>
    <x v="0"/>
    <n v="5"/>
    <x v="3"/>
    <s v="Burbank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107"/>
    <x v="1"/>
    <x v="0"/>
    <n v="5"/>
    <x v="3"/>
    <s v="Santa Clarita"/>
    <n v="0"/>
    <n v="0"/>
    <n v="5.4939999999999998"/>
    <n v="5.1560284000000003"/>
    <n v="5.1560284000000003"/>
    <n v="0.33761011780969502"/>
    <n v="5.4936385178096998"/>
    <n v="2.2140221402214E-2"/>
    <n v="0"/>
    <n v="0.30627306273062699"/>
    <n v="0"/>
    <n v="0"/>
    <n v="0"/>
    <n v="2.2140221402214E-2"/>
    <n v="0"/>
  </r>
  <r>
    <n v="300200"/>
    <x v="1"/>
    <x v="0"/>
    <n v="5"/>
    <x v="3"/>
    <s v="La Crescenta-Montrose"/>
    <n v="0"/>
    <n v="0"/>
    <n v="2.0950000000000002"/>
    <n v="1.9836996600000001"/>
    <n v="1.9836996600000001"/>
    <n v="0.11117260138240601"/>
    <n v="2.09487226138241"/>
    <n v="2.2140221402214E-2"/>
    <n v="0"/>
    <n v="0.30627306273062699"/>
    <n v="0"/>
    <n v="0"/>
    <n v="0"/>
    <n v="2.2140221402214E-2"/>
    <n v="0"/>
  </r>
  <r>
    <n v="311600"/>
    <x v="1"/>
    <x v="0"/>
    <n v="5"/>
    <x v="3"/>
    <s v="Burbank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43"/>
    <x v="1"/>
    <x v="0"/>
    <n v="5"/>
    <x v="3"/>
    <s v="Santa Clarita"/>
    <n v="0"/>
    <n v="0"/>
    <n v="4.9889999999999999"/>
    <n v="4.6115253100000002"/>
    <n v="4.6115253100000002"/>
    <n v="0.377889522567325"/>
    <n v="4.9894148325673298"/>
    <n v="2.2140221402214E-2"/>
    <n v="0"/>
    <n v="0.30627306273062699"/>
    <n v="0"/>
    <n v="0"/>
    <n v="0"/>
    <n v="2.2140221402214E-2"/>
    <n v="0"/>
  </r>
  <r>
    <n v="920109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920034"/>
    <x v="1"/>
    <x v="0"/>
    <n v="5"/>
    <x v="3"/>
    <s v="Santa Clarita"/>
    <n v="0"/>
    <n v="0"/>
    <n v="1.591"/>
    <n v="1.43919657"/>
    <n v="1.43919657"/>
    <n v="0.15145200614003601"/>
    <n v="1.59064857614004"/>
    <n v="2.2140221402214E-2"/>
    <n v="0"/>
    <n v="0.30627306273062699"/>
    <n v="0"/>
    <n v="0"/>
    <n v="0"/>
    <n v="2.2140221402214E-2"/>
    <n v="0"/>
  </r>
  <r>
    <n v="980001"/>
    <x v="1"/>
    <x v="0"/>
    <n v="5"/>
    <x v="3"/>
    <s v="Burbank"/>
    <n v="0"/>
    <n v="0"/>
    <n v="1.591"/>
    <n v="1.43919657"/>
    <n v="1.43919657"/>
    <n v="0.15145200614003601"/>
    <n v="1.59064857614004"/>
    <n v="2.2140221402214E-2"/>
    <n v="0"/>
    <n v="0.30627306273062699"/>
    <n v="0"/>
    <n v="0"/>
    <n v="0"/>
    <n v="2.2140221402214E-2"/>
    <n v="0"/>
  </r>
  <r>
    <n v="920106"/>
    <x v="1"/>
    <x v="0"/>
    <n v="5"/>
    <x v="3"/>
    <s v="Agua Dulce"/>
    <n v="0"/>
    <n v="0"/>
    <n v="5.6120000000000001"/>
    <n v="5.3277761699999999"/>
    <n v="5.3277761699999999"/>
    <n v="0.28324992960502698"/>
    <n v="5.6110260996050298"/>
    <n v="2.2140221402214E-2"/>
    <n v="0"/>
    <n v="0.30627306273062699"/>
    <n v="0"/>
    <n v="0"/>
    <n v="0"/>
    <n v="2.2140221402214E-2"/>
    <n v="0"/>
  </r>
  <r>
    <n v="920332"/>
    <x v="1"/>
    <x v="0"/>
    <n v="5"/>
    <x v="3"/>
    <s v="Santa Clarita"/>
    <n v="0"/>
    <n v="0"/>
    <n v="2.0950000000000002"/>
    <n v="1.9836996600000001"/>
    <n v="1.9836996600000001"/>
    <n v="0.11117260138240601"/>
    <n v="2.09487226138241"/>
    <n v="2.2140221402214E-2"/>
    <n v="0"/>
    <n v="0.30627306273062699"/>
    <n v="0"/>
    <n v="0"/>
    <n v="0"/>
    <n v="2.2140221402214E-2"/>
    <n v="0"/>
  </r>
  <r>
    <n v="920312"/>
    <x v="1"/>
    <x v="0"/>
    <n v="5"/>
    <x v="3"/>
    <s v="Santa Clarita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460501"/>
    <x v="1"/>
    <x v="0"/>
    <n v="5"/>
    <x v="3"/>
    <s v="La Cañada Flintridge"/>
    <n v="0"/>
    <n v="0"/>
    <n v="0"/>
    <n v="0"/>
    <n v="0"/>
    <n v="0"/>
    <n v="0"/>
    <n v="2.2140221402214E-2"/>
    <n v="0"/>
    <n v="0.30627306273062699"/>
    <n v="0"/>
    <n v="0"/>
    <n v="0"/>
    <n v="2.2140221402214E-2"/>
    <n v="0"/>
  </r>
  <r>
    <n v="124902"/>
    <x v="1"/>
    <x v="1"/>
    <n v="3"/>
    <x v="3"/>
    <s v="Valley Village"/>
    <n v="0"/>
    <n v="1"/>
    <n v="5.7240000000000002"/>
    <n v="5.5698712199999996"/>
    <n v="5.5698712199999996"/>
    <n v="0.15328985522441699"/>
    <n v="5.7231610752244197"/>
    <n v="2.2140221402214E-2"/>
    <n v="0"/>
    <n v="0.10332103321033199"/>
    <n v="1"/>
    <n v="7.4074074074074098E-2"/>
    <n v="13.5"/>
    <n v="9.4574279076124104E-2"/>
    <n v="10.573699421965317"/>
  </r>
  <r>
    <n v="121020"/>
    <x v="1"/>
    <x v="1"/>
    <n v="3"/>
    <x v="3"/>
    <s v="North Hollywood"/>
    <n v="0"/>
    <n v="0"/>
    <n v="0"/>
    <n v="0"/>
    <n v="0"/>
    <n v="0"/>
    <n v="0"/>
    <n v="2.2140221402214E-2"/>
    <n v="0"/>
    <n v="0.10332103321033199"/>
    <n v="1"/>
    <n v="7.4074074074074098E-2"/>
    <n v="0"/>
    <n v="9.4574279076124104E-2"/>
    <n v="0"/>
  </r>
  <r>
    <n v="124500"/>
    <x v="1"/>
    <x v="1"/>
    <n v="3"/>
    <x v="3"/>
    <s v="Sherman Oaks"/>
    <n v="0"/>
    <n v="0"/>
    <n v="0"/>
    <n v="0"/>
    <n v="0"/>
    <n v="0"/>
    <n v="0"/>
    <n v="2.2140221402214E-2"/>
    <n v="0"/>
    <n v="0.10332103321033199"/>
    <n v="1"/>
    <n v="7.4074074074074098E-2"/>
    <n v="0"/>
    <n v="9.4574279076124104E-2"/>
    <n v="0"/>
  </r>
  <r>
    <n v="124300"/>
    <x v="1"/>
    <x v="1"/>
    <n v="3"/>
    <x v="3"/>
    <s v="North Hollywood"/>
    <n v="0"/>
    <n v="0"/>
    <n v="9.8759999999999994"/>
    <n v="7.3902955500000003"/>
    <n v="9.3902955499999994"/>
    <n v="0.484969810287253"/>
    <n v="9.8752653602872495"/>
    <n v="2.2140221402214E-2"/>
    <n v="0"/>
    <n v="0.10332103321033199"/>
    <n v="1"/>
    <n v="7.4074074074074098E-2"/>
    <n v="0"/>
    <n v="9.4574279076124104E-2"/>
    <n v="0"/>
  </r>
  <r>
    <n v="124201"/>
    <x v="1"/>
    <x v="1"/>
    <n v="3"/>
    <x v="3"/>
    <s v="North Hollywood"/>
    <n v="1"/>
    <n v="1"/>
    <n v="9.093"/>
    <n v="7.6842311499999996"/>
    <n v="8.6842311500000005"/>
    <n v="0.40850331443447002"/>
    <n v="9.0927344644344696"/>
    <n v="2.2140221402214E-2"/>
    <n v="45.1666666666667"/>
    <n v="0.10332103321033199"/>
    <n v="1"/>
    <n v="0"/>
    <n v="0"/>
    <n v="2.2140221402214E-2"/>
    <n v="45.166666666666714"/>
  </r>
  <r>
    <n v="125502"/>
    <x v="1"/>
    <x v="1"/>
    <n v="3"/>
    <x v="3"/>
    <s v="North Hollywood"/>
    <n v="0"/>
    <n v="0"/>
    <n v="1.8080000000000001"/>
    <n v="1.73313217"/>
    <n v="1.73313217"/>
    <n v="7.4985510287253102E-2"/>
    <n v="1.8081176802872501"/>
    <n v="2.2140221402214E-2"/>
    <n v="0"/>
    <n v="0.10332103321033199"/>
    <n v="1"/>
    <n v="7.4074074074074098E-2"/>
    <n v="0"/>
    <n v="9.4574279076124104E-2"/>
    <n v="0"/>
  </r>
  <r>
    <n v="124203"/>
    <x v="1"/>
    <x v="1"/>
    <n v="3"/>
    <x v="3"/>
    <s v="North Hollywood"/>
    <n v="0"/>
    <n v="1"/>
    <n v="3.6160000000000001"/>
    <n v="3.4662643399999999"/>
    <n v="3.4662643399999999"/>
    <n v="0.14997102057450601"/>
    <n v="3.6162353605745099"/>
    <n v="2.2140221402214E-2"/>
    <n v="0"/>
    <n v="0.10332103321033199"/>
    <n v="1"/>
    <n v="7.4074074074074098E-2"/>
    <n v="13.5"/>
    <n v="9.4574279076124104E-2"/>
    <n v="10.573699421965317"/>
  </r>
  <r>
    <n v="143800"/>
    <x v="1"/>
    <x v="1"/>
    <n v="3"/>
    <x v="3"/>
    <s v="Studio City"/>
    <n v="0"/>
    <n v="0"/>
    <n v="0"/>
    <n v="0"/>
    <n v="0"/>
    <n v="0"/>
    <n v="0"/>
    <n v="2.2140221402214E-2"/>
    <n v="0"/>
    <n v="0.10332103321033199"/>
    <n v="1"/>
    <n v="7.4074074074074098E-2"/>
    <n v="0"/>
    <n v="9.4574279076124104E-2"/>
    <n v="0"/>
  </r>
  <r>
    <n v="123602"/>
    <x v="1"/>
    <x v="1"/>
    <n v="3"/>
    <x v="3"/>
    <s v="Van Nuys"/>
    <n v="0"/>
    <n v="0"/>
    <n v="1"/>
    <n v="0"/>
    <n v="1"/>
    <n v="0"/>
    <n v="1"/>
    <n v="2.2140221402214E-2"/>
    <n v="0"/>
    <n v="0.10332103321033199"/>
    <n v="1"/>
    <n v="7.4074074074074098E-2"/>
    <n v="0"/>
    <n v="9.4574279076124104E-2"/>
    <n v="0"/>
  </r>
  <r>
    <n v="143200"/>
    <x v="1"/>
    <x v="1"/>
    <n v="3"/>
    <x v="3"/>
    <s v="Studio City"/>
    <n v="0"/>
    <n v="0"/>
    <n v="10.186999999999999"/>
    <n v="8.7691791299999995"/>
    <n v="9.7691791299999995"/>
    <n v="0.416781072423698"/>
    <n v="10.185960202423701"/>
    <n v="2.2140221402214E-2"/>
    <n v="0"/>
    <n v="0.10332103321033199"/>
    <n v="1"/>
    <n v="7.4074074074074098E-2"/>
    <n v="0"/>
    <n v="9.4574279076124104E-2"/>
    <n v="0"/>
  </r>
  <r>
    <n v="124103"/>
    <x v="1"/>
    <x v="1"/>
    <n v="3"/>
    <x v="3"/>
    <s v="North Hollywood"/>
    <n v="0"/>
    <n v="0"/>
    <n v="4.9029999999999996"/>
    <n v="3.7168318299999998"/>
    <n v="4.7168318300000003"/>
    <n v="0.18615811166965901"/>
    <n v="4.9029899416696603"/>
    <n v="2.2140221402214E-2"/>
    <n v="0"/>
    <n v="0.10332103321033199"/>
    <n v="1"/>
    <n v="7.4074074074074098E-2"/>
    <n v="0"/>
    <n v="9.4574279076124104E-2"/>
    <n v="0"/>
  </r>
  <r>
    <n v="102103"/>
    <x v="1"/>
    <x v="1"/>
    <n v="5"/>
    <x v="3"/>
    <s v="Sun Valley"/>
    <n v="0"/>
    <n v="0"/>
    <n v="8.093"/>
    <n v="7.6842311499999996"/>
    <n v="7.6842311499999996"/>
    <n v="0.40850331443447002"/>
    <n v="8.0927344644344696"/>
    <n v="2.2140221402214E-2"/>
    <n v="0"/>
    <n v="0.10332103321033199"/>
    <n v="1"/>
    <n v="7.4074074074074098E-2"/>
    <n v="0"/>
    <n v="9.4574279076124104E-2"/>
    <n v="0"/>
  </r>
  <r>
    <n v="124204"/>
    <x v="1"/>
    <x v="1"/>
    <n v="3"/>
    <x v="3"/>
    <s v="North Hollywood"/>
    <n v="0"/>
    <n v="0"/>
    <n v="6.9980000000000002"/>
    <n v="5.7005314900000004"/>
    <n v="6.7005314900000004"/>
    <n v="0.29733071305206499"/>
    <n v="6.9978622030520699"/>
    <n v="2.2140221402214E-2"/>
    <n v="0"/>
    <n v="0.10332103321033199"/>
    <n v="1"/>
    <n v="7.4074074074074098E-2"/>
    <n v="0"/>
    <n v="9.4574279076124104E-2"/>
    <n v="0"/>
  </r>
  <r>
    <n v="124903"/>
    <x v="1"/>
    <x v="1"/>
    <n v="3"/>
    <x v="3"/>
    <s v="Valley Village"/>
    <n v="0"/>
    <n v="0"/>
    <n v="3.9260000000000002"/>
    <n v="1.90487994"/>
    <n v="3.9048799399999998"/>
    <n v="2.0625322082585301E-2"/>
    <n v="3.9255052620825901"/>
    <n v="2.2140221402214E-2"/>
    <n v="0"/>
    <n v="0.10332103321033199"/>
    <n v="1"/>
    <n v="7.4074074074074098E-2"/>
    <n v="0"/>
    <n v="9.4574279076124104E-2"/>
    <n v="0"/>
  </r>
  <r>
    <n v="124000"/>
    <x v="1"/>
    <x v="1"/>
    <n v="3"/>
    <x v="3"/>
    <s v="Valley Village"/>
    <n v="0"/>
    <n v="0"/>
    <n v="9.42"/>
    <n v="7.0609083400000001"/>
    <n v="9.0609083399999992"/>
    <n v="0.35823543989228002"/>
    <n v="9.4191437798922806"/>
    <n v="2.2140221402214E-2"/>
    <n v="0"/>
    <n v="0.10332103321033199"/>
    <n v="1"/>
    <n v="7.4074074074074098E-2"/>
    <n v="0"/>
    <n v="9.4574279076124104E-2"/>
    <n v="0"/>
  </r>
  <r>
    <n v="143500"/>
    <x v="1"/>
    <x v="1"/>
    <n v="3"/>
    <x v="3"/>
    <s v="Studio City"/>
    <n v="0"/>
    <n v="0"/>
    <n v="1"/>
    <n v="0"/>
    <n v="1"/>
    <n v="0"/>
    <n v="1"/>
    <n v="2.2140221402214E-2"/>
    <n v="0"/>
    <n v="0.10332103321033199"/>
    <n v="1"/>
    <n v="7.4074074074074098E-2"/>
    <n v="0"/>
    <n v="9.4574279076124104E-2"/>
    <n v="0"/>
  </r>
  <r>
    <n v="127102"/>
    <x v="1"/>
    <x v="1"/>
    <n v="3"/>
    <x v="3"/>
    <s v="Van Nuys"/>
    <n v="0"/>
    <n v="0"/>
    <n v="3.9260000000000002"/>
    <n v="1.90487994"/>
    <n v="3.9048799399999998"/>
    <n v="2.0625322082585301E-2"/>
    <n v="3.9255052620825901"/>
    <n v="2.2140221402214E-2"/>
    <n v="0"/>
    <n v="0.10332103321033199"/>
    <n v="1"/>
    <n v="7.4074074074074098E-2"/>
    <n v="0"/>
    <n v="9.4574279076124104E-2"/>
    <n v="0"/>
  </r>
  <r>
    <n v="128101"/>
    <x v="1"/>
    <x v="1"/>
    <n v="3"/>
    <x v="3"/>
    <s v="Van Nuys"/>
    <n v="0"/>
    <n v="0"/>
    <n v="4.1900000000000004"/>
    <n v="3.9673993200000002"/>
    <n v="3.9673993200000002"/>
    <n v="0.22234520276481101"/>
    <n v="4.1897445227648102"/>
    <n v="2.2140221402214E-2"/>
    <n v="0"/>
    <n v="0.10332103321033199"/>
    <n v="1"/>
    <n v="7.4074074074074098E-2"/>
    <n v="0"/>
    <n v="9.4574279076124104E-2"/>
    <n v="0"/>
  </r>
  <r>
    <n v="122121"/>
    <x v="1"/>
    <x v="1"/>
    <n v="3"/>
    <x v="3"/>
    <s v="Sun Valley"/>
    <n v="0"/>
    <n v="0"/>
    <n v="0"/>
    <n v="0"/>
    <n v="0"/>
    <n v="0"/>
    <n v="0"/>
    <n v="2.2140221402214E-2"/>
    <n v="0"/>
    <n v="0.10332103321033199"/>
    <n v="1"/>
    <n v="7.4074074074074098E-2"/>
    <n v="0"/>
    <n v="9.4574279076124104E-2"/>
    <n v="0"/>
  </r>
  <r>
    <n v="102105"/>
    <x v="1"/>
    <x v="1"/>
    <n v="5"/>
    <x v="3"/>
    <s v="Sun Valley"/>
    <n v="0"/>
    <n v="0"/>
    <n v="9.8019999999999996"/>
    <n v="9.2951754900000001"/>
    <n v="9.2951754900000001"/>
    <n v="0.505595132369838"/>
    <n v="9.8007706223698392"/>
    <n v="2.2140221402214E-2"/>
    <n v="0"/>
    <n v="0.10332103321033199"/>
    <n v="1"/>
    <n v="7.4074074074074098E-2"/>
    <n v="0"/>
    <n v="9.4574279076124104E-2"/>
    <n v="0"/>
  </r>
  <r>
    <n v="143300"/>
    <x v="1"/>
    <x v="1"/>
    <n v="3"/>
    <x v="3"/>
    <s v="Studio City"/>
    <n v="0"/>
    <n v="0"/>
    <n v="10.885"/>
    <n v="10.758514679999999"/>
    <n v="10.758514679999999"/>
    <n v="0.126351761526032"/>
    <n v="10.884866441526"/>
    <n v="2.2140221402214E-2"/>
    <n v="0"/>
    <n v="0.10332103321033199"/>
    <n v="1"/>
    <n v="7.4074074074074098E-2"/>
    <n v="0"/>
    <n v="9.4574279076124104E-2"/>
    <n v="0"/>
  </r>
  <r>
    <n v="123203"/>
    <x v="1"/>
    <x v="1"/>
    <n v="3"/>
    <x v="3"/>
    <s v="North Hollywood"/>
    <n v="0"/>
    <n v="0"/>
    <n v="10.561999999999999"/>
    <n v="9.2597238799999992"/>
    <n v="10.259723879999999"/>
    <n v="0.30239426612208298"/>
    <n v="10.562118146122099"/>
    <n v="2.2140221402214E-2"/>
    <n v="0"/>
    <n v="0.10332103321033199"/>
    <n v="1"/>
    <n v="7.4074074074074098E-2"/>
    <n v="0"/>
    <n v="9.4574279076124104E-2"/>
    <n v="0"/>
  </r>
  <r>
    <n v="123700"/>
    <x v="1"/>
    <x v="1"/>
    <n v="3"/>
    <x v="3"/>
    <s v="North Hollywood"/>
    <n v="0"/>
    <n v="0"/>
    <n v="3.5910000000000002"/>
    <n v="1.43919657"/>
    <n v="3.43919657"/>
    <n v="0.15145200614003601"/>
    <n v="3.59064857614004"/>
    <n v="2.2140221402214E-2"/>
    <n v="0"/>
    <n v="0.10332103321033199"/>
    <n v="1"/>
    <n v="7.4074074074074098E-2"/>
    <n v="0"/>
    <n v="9.4574279076124104E-2"/>
    <n v="0"/>
  </r>
  <r>
    <n v="102104"/>
    <x v="1"/>
    <x v="1"/>
    <n v="5"/>
    <x v="3"/>
    <s v="Sun Valley"/>
    <n v="0"/>
    <n v="0"/>
    <n v="0"/>
    <n v="0"/>
    <n v="0"/>
    <n v="0"/>
    <n v="0"/>
    <n v="2.2140221402214E-2"/>
    <n v="0"/>
    <n v="0.10332103321033199"/>
    <n v="1"/>
    <n v="7.4074074074074098E-2"/>
    <n v="0"/>
    <n v="9.4574279076124104E-2"/>
    <n v="0"/>
  </r>
  <r>
    <n v="123420"/>
    <x v="1"/>
    <x v="1"/>
    <n v="3"/>
    <x v="3"/>
    <s v="North Hollywood"/>
    <n v="0"/>
    <n v="0"/>
    <n v="6.6589999999999998"/>
    <n v="5.5428920499999998"/>
    <n v="6.5428920499999998"/>
    <n v="0.116236154452424"/>
    <n v="6.6591282044524203"/>
    <n v="2.2140221402214E-2"/>
    <n v="0"/>
    <n v="0.10332103321033199"/>
    <n v="1"/>
    <n v="7.4074074074074098E-2"/>
    <n v="0"/>
    <n v="9.4574279076124104E-2"/>
    <n v="0"/>
  </r>
  <r>
    <n v="128220"/>
    <x v="1"/>
    <x v="1"/>
    <n v="3"/>
    <x v="3"/>
    <s v="Van Nuys"/>
    <n v="0"/>
    <n v="0"/>
    <n v="0"/>
    <n v="0"/>
    <n v="0"/>
    <n v="0"/>
    <n v="0"/>
    <n v="2.2140221402214E-2"/>
    <n v="0"/>
    <n v="0.10332103321033199"/>
    <n v="1"/>
    <n v="7.4074074074074098E-2"/>
    <n v="0"/>
    <n v="9.4574279076124104E-2"/>
    <n v="0"/>
  </r>
  <r>
    <n v="127920"/>
    <x v="1"/>
    <x v="1"/>
    <n v="3"/>
    <x v="3"/>
    <s v="Van Nuys"/>
    <n v="0"/>
    <n v="0"/>
    <n v="0"/>
    <n v="0"/>
    <n v="0"/>
    <n v="0"/>
    <n v="0"/>
    <n v="2.2140221402214E-2"/>
    <n v="0"/>
    <n v="0.10332103321033199"/>
    <n v="1"/>
    <n v="7.4074074074074098E-2"/>
    <n v="0"/>
    <n v="9.4574279076124104E-2"/>
    <n v="0"/>
  </r>
  <r>
    <n v="123104"/>
    <x v="1"/>
    <x v="1"/>
    <n v="3"/>
    <x v="3"/>
    <s v="North Hollywood"/>
    <n v="0"/>
    <n v="0"/>
    <n v="6.19"/>
    <n v="3.9673993200000002"/>
    <n v="5.9673993200000002"/>
    <n v="0.22234520276481101"/>
    <n v="6.1897445227648102"/>
    <n v="2.2140221402214E-2"/>
    <n v="0"/>
    <n v="0.10332103321033199"/>
    <n v="1"/>
    <n v="7.4074074074074098E-2"/>
    <n v="0"/>
    <n v="9.4574279076124104E-2"/>
    <n v="0"/>
  </r>
  <r>
    <n v="137301"/>
    <x v="1"/>
    <x v="2"/>
    <n v="3"/>
    <x v="3"/>
    <s v="Woodland Hills"/>
    <n v="0"/>
    <n v="0"/>
    <n v="1"/>
    <n v="0"/>
    <n v="1"/>
    <n v="0"/>
    <n v="1"/>
    <n v="2.2140221402214E-2"/>
    <n v="0"/>
    <n v="0.12915129151291499"/>
    <n v="1"/>
    <n v="0.25714285714285701"/>
    <n v="0"/>
    <n v="0.27358987875593027"/>
    <n v="0"/>
  </r>
  <r>
    <n v="134901"/>
    <x v="1"/>
    <x v="2"/>
    <n v="3"/>
    <x v="3"/>
    <s v="Tarzana"/>
    <n v="0"/>
    <n v="1"/>
    <n v="7.2850000000000001"/>
    <n v="5.9510989800000003"/>
    <n v="6.9510989800000003"/>
    <n v="0.33351780414721699"/>
    <n v="7.2846167841472198"/>
    <n v="2.2140221402214E-2"/>
    <n v="0"/>
    <n v="0.12915129151291499"/>
    <n v="1"/>
    <n v="0.25714285714285701"/>
    <n v="3.8888888888888902"/>
    <n v="0.27358987875593027"/>
    <n v="3.6551059730250501"/>
  </r>
  <r>
    <n v="137103"/>
    <x v="1"/>
    <x v="2"/>
    <n v="3"/>
    <x v="3"/>
    <s v="Woodland Hills"/>
    <n v="0"/>
    <n v="0"/>
    <n v="4.5170000000000003"/>
    <n v="3.3440765099999998"/>
    <n v="4.3440765099999998"/>
    <n v="0.17207732822262101"/>
    <n v="4.5161538382226203"/>
    <n v="2.2140221402214E-2"/>
    <n v="0"/>
    <n v="0.12915129151291499"/>
    <n v="1"/>
    <n v="0.25714285714285701"/>
    <n v="0"/>
    <n v="0.27358987875593027"/>
    <n v="0"/>
  </r>
  <r>
    <n v="134001"/>
    <x v="1"/>
    <x v="2"/>
    <n v="3"/>
    <x v="3"/>
    <s v="Winnetka"/>
    <n v="0"/>
    <n v="0"/>
    <n v="6.7809999999999997"/>
    <n v="5.4065958900000002"/>
    <n v="6.4065958900000002"/>
    <n v="0.37379720890484702"/>
    <n v="6.7803930989048498"/>
    <n v="2.2140221402214E-2"/>
    <n v="0"/>
    <n v="0.12915129151291499"/>
    <n v="1"/>
    <n v="0.25714285714285701"/>
    <n v="0"/>
    <n v="0.27358987875593027"/>
    <n v="0"/>
  </r>
  <r>
    <n v="113422"/>
    <x v="1"/>
    <x v="2"/>
    <n v="3"/>
    <x v="3"/>
    <s v="Winnetka"/>
    <n v="0"/>
    <n v="1"/>
    <n v="0"/>
    <n v="0"/>
    <n v="0"/>
    <n v="0"/>
    <n v="0"/>
    <n v="2.2140221402214E-2"/>
    <n v="0"/>
    <n v="0.12915129151291499"/>
    <n v="1"/>
    <n v="0.25714285714285701"/>
    <n v="3.8888888888888902"/>
    <n v="0.27358987875593027"/>
    <n v="3.6551059730250501"/>
  </r>
  <r>
    <n v="139303"/>
    <x v="1"/>
    <x v="2"/>
    <n v="3"/>
    <x v="3"/>
    <s v="Tarzana"/>
    <n v="0"/>
    <n v="0"/>
    <n v="1"/>
    <n v="0"/>
    <n v="1"/>
    <n v="0"/>
    <n v="1"/>
    <n v="2.2140221402214E-2"/>
    <n v="0"/>
    <n v="0.12915129151291499"/>
    <n v="1"/>
    <n v="0.25714285714285701"/>
    <n v="0"/>
    <n v="0.27358987875593027"/>
    <n v="0"/>
  </r>
  <r>
    <n v="137302"/>
    <x v="1"/>
    <x v="2"/>
    <n v="3"/>
    <x v="3"/>
    <s v="Woodland Hills"/>
    <n v="0"/>
    <n v="0"/>
    <n v="6.2850000000000001"/>
    <n v="5.9510989800000003"/>
    <n v="5.9510989800000003"/>
    <n v="0.33351780414721699"/>
    <n v="6.2846167841472198"/>
    <n v="2.2140221402214E-2"/>
    <n v="0"/>
    <n v="0.12915129151291499"/>
    <n v="1"/>
    <n v="0.25714285714285701"/>
    <n v="0"/>
    <n v="0.27358987875593027"/>
    <n v="0"/>
  </r>
  <r>
    <n v="134710"/>
    <x v="1"/>
    <x v="2"/>
    <n v="3"/>
    <x v="3"/>
    <s v="Winnetka"/>
    <n v="0"/>
    <n v="0"/>
    <n v="0"/>
    <n v="0"/>
    <n v="0"/>
    <n v="0"/>
    <n v="0"/>
    <n v="2.2140221402214E-2"/>
    <n v="0"/>
    <n v="0.12915129151291499"/>
    <n v="1"/>
    <n v="0.25714285714285701"/>
    <n v="0"/>
    <n v="0.27358987875593027"/>
    <n v="0"/>
  </r>
  <r>
    <n v="930401"/>
    <x v="1"/>
    <x v="2"/>
    <n v="3"/>
    <x v="3"/>
    <s v="Woodland Hills"/>
    <n v="0"/>
    <n v="0"/>
    <n v="2"/>
    <n v="0"/>
    <n v="2"/>
    <n v="0"/>
    <n v="2"/>
    <n v="2.2140221402214E-2"/>
    <n v="0"/>
    <n v="0.12915129151291499"/>
    <n v="1"/>
    <n v="0.25714285714285701"/>
    <n v="0"/>
    <n v="0.27358987875593027"/>
    <n v="0"/>
  </r>
  <r>
    <n v="139801"/>
    <x v="1"/>
    <x v="2"/>
    <n v="3"/>
    <x v="3"/>
    <s v="Tarzana"/>
    <n v="0"/>
    <n v="0"/>
    <n v="0"/>
    <n v="0"/>
    <n v="0"/>
    <n v="0"/>
    <n v="0"/>
    <n v="2.2140221402214E-2"/>
    <n v="0"/>
    <n v="0.12915129151291499"/>
    <n v="1"/>
    <n v="0.25714285714285701"/>
    <n v="0"/>
    <n v="0.27358987875593027"/>
    <n v="0"/>
  </r>
  <r>
    <n v="133000"/>
    <x v="1"/>
    <x v="2"/>
    <n v="3"/>
    <x v="3"/>
    <s v="Reseda"/>
    <n v="0"/>
    <n v="0"/>
    <n v="10.214"/>
    <n v="9.5665461599999997"/>
    <n v="9.5665461599999997"/>
    <n v="0.64705866872531403"/>
    <n v="10.2136048287253"/>
    <n v="2.2140221402214E-2"/>
    <n v="0"/>
    <n v="0.12915129151291499"/>
    <n v="1"/>
    <n v="0.25714285714285701"/>
    <n v="0"/>
    <n v="0.27358987875593027"/>
    <n v="0"/>
  </r>
  <r>
    <n v="137501"/>
    <x v="1"/>
    <x v="2"/>
    <n v="3"/>
    <x v="3"/>
    <s v="Woodland Hills"/>
    <n v="0"/>
    <n v="0"/>
    <n v="5.0209999999999999"/>
    <n v="3.8885795999999999"/>
    <n v="4.8885795999999999"/>
    <n v="0.131797923464991"/>
    <n v="5.0203775234649903"/>
    <n v="2.2140221402214E-2"/>
    <n v="0"/>
    <n v="0.12915129151291499"/>
    <n v="1"/>
    <n v="0.25714285714285701"/>
    <n v="0"/>
    <n v="0.27358987875593027"/>
    <n v="0"/>
  </r>
  <r>
    <n v="139703"/>
    <x v="1"/>
    <x v="2"/>
    <n v="3"/>
    <x v="3"/>
    <s v="Encino"/>
    <n v="0"/>
    <n v="0"/>
    <n v="3.181"/>
    <n v="2.87839314"/>
    <n v="2.87839314"/>
    <n v="0.30290401228007202"/>
    <n v="3.1812971522800702"/>
    <n v="2.2140221402214E-2"/>
    <n v="0"/>
    <n v="0.12915129151291499"/>
    <n v="1"/>
    <n v="0.25714285714285701"/>
    <n v="0"/>
    <n v="0.27358987875593027"/>
    <n v="0"/>
  </r>
  <r>
    <n v="134522"/>
    <x v="1"/>
    <x v="2"/>
    <n v="3"/>
    <x v="3"/>
    <s v="Canoga Park"/>
    <n v="0"/>
    <n v="0"/>
    <n v="2.0950000000000002"/>
    <n v="1.9836996600000001"/>
    <n v="1.9836996600000001"/>
    <n v="0.11117260138240601"/>
    <n v="2.09487226138241"/>
    <n v="2.2140221402214E-2"/>
    <n v="0"/>
    <n v="0.12915129151291499"/>
    <n v="1"/>
    <n v="0.25714285714285701"/>
    <n v="0"/>
    <n v="0.27358987875593027"/>
    <n v="0"/>
  </r>
  <r>
    <n v="138000"/>
    <x v="1"/>
    <x v="2"/>
    <n v="3"/>
    <x v="3"/>
    <s v="Woodland Hills"/>
    <n v="0"/>
    <n v="0"/>
    <n v="2.0950000000000002"/>
    <n v="1.9836996600000001"/>
    <n v="1.9836996600000001"/>
    <n v="0.11117260138240601"/>
    <n v="2.09487226138241"/>
    <n v="2.2140221402214E-2"/>
    <n v="0"/>
    <n v="0.12915129151291499"/>
    <n v="1"/>
    <n v="0.25714285714285701"/>
    <n v="0"/>
    <n v="0.27358987875593027"/>
    <n v="0"/>
  </r>
  <r>
    <n v="137504"/>
    <x v="1"/>
    <x v="2"/>
    <n v="3"/>
    <x v="3"/>
    <s v="Woodland Hills"/>
    <n v="0"/>
    <n v="1"/>
    <n v="0"/>
    <n v="0"/>
    <n v="0"/>
    <n v="0"/>
    <n v="0"/>
    <n v="2.2140221402214E-2"/>
    <n v="0"/>
    <n v="0.12915129151291499"/>
    <n v="1"/>
    <n v="0.25714285714285701"/>
    <n v="3.8888888888888902"/>
    <n v="0.27358987875593027"/>
    <n v="3.6551059730250501"/>
  </r>
  <r>
    <n v="134904"/>
    <x v="1"/>
    <x v="2"/>
    <n v="3"/>
    <x v="3"/>
    <s v="Winnetka"/>
    <n v="0"/>
    <n v="0"/>
    <n v="8.0410000000000004"/>
    <n v="7.7771591999999998"/>
    <n v="7.7771591999999998"/>
    <n v="0.263595846929982"/>
    <n v="8.0407550469299807"/>
    <n v="2.2140221402214E-2"/>
    <n v="0"/>
    <n v="0.12915129151291499"/>
    <n v="1"/>
    <n v="0.25714285714285701"/>
    <n v="0"/>
    <n v="0.27358987875593027"/>
    <n v="0"/>
  </r>
  <r>
    <n v="134103"/>
    <x v="1"/>
    <x v="2"/>
    <n v="3"/>
    <x v="3"/>
    <s v="Winnetka"/>
    <n v="0"/>
    <n v="0"/>
    <n v="9.093"/>
    <n v="7.6842311499999996"/>
    <n v="8.6842311500000005"/>
    <n v="0.40850331443447002"/>
    <n v="9.0927344644344696"/>
    <n v="2.2140221402214E-2"/>
    <n v="0"/>
    <n v="0.12915129151291499"/>
    <n v="1"/>
    <n v="0.25714285714285701"/>
    <n v="0"/>
    <n v="0.27358987875593027"/>
    <n v="0"/>
  </r>
  <r>
    <n v="137104"/>
    <x v="1"/>
    <x v="2"/>
    <n v="3"/>
    <x v="3"/>
    <s v="Woodland Hills"/>
    <n v="0"/>
    <n v="1"/>
    <n v="3.0950000000000002"/>
    <n v="1.9836996600000001"/>
    <n v="2.9836996600000001"/>
    <n v="0.11117260138240601"/>
    <n v="3.09487226138241"/>
    <n v="2.2140221402214E-2"/>
    <n v="0"/>
    <n v="0.12915129151291499"/>
    <n v="1"/>
    <n v="0.25714285714285701"/>
    <n v="3.8888888888888902"/>
    <n v="0.27358987875593027"/>
    <n v="3.6551059730250501"/>
  </r>
  <r>
    <n v="131701"/>
    <x v="1"/>
    <x v="2"/>
    <n v="3"/>
    <x v="3"/>
    <s v="Reseda"/>
    <n v="0"/>
    <n v="0"/>
    <n v="0"/>
    <n v="0"/>
    <n v="0"/>
    <n v="0"/>
    <n v="0"/>
    <n v="2.2140221402214E-2"/>
    <n v="0"/>
    <n v="0.12915129151291499"/>
    <n v="1"/>
    <n v="0.25714285714285701"/>
    <n v="0"/>
    <n v="0.27358987875593027"/>
    <n v="0"/>
  </r>
  <r>
    <n v="131600"/>
    <x v="1"/>
    <x v="2"/>
    <n v="3"/>
    <x v="3"/>
    <s v="Reseda"/>
    <n v="0"/>
    <n v="0"/>
    <n v="7.2850000000000001"/>
    <n v="5.9510989800000003"/>
    <n v="6.9510989800000003"/>
    <n v="0.33351780414721699"/>
    <n v="7.2846167841472198"/>
    <n v="2.2140221402214E-2"/>
    <n v="0"/>
    <n v="0.12915129151291499"/>
    <n v="1"/>
    <n v="0.25714285714285701"/>
    <n v="0"/>
    <n v="0.27358987875593027"/>
    <n v="0"/>
  </r>
  <r>
    <n v="137201"/>
    <x v="1"/>
    <x v="2"/>
    <n v="3"/>
    <x v="3"/>
    <s v="Woodland Hills"/>
    <n v="0"/>
    <n v="1"/>
    <n v="1"/>
    <n v="0"/>
    <n v="1"/>
    <n v="0"/>
    <n v="1"/>
    <n v="2.2140221402214E-2"/>
    <n v="0"/>
    <n v="0.12915129151291499"/>
    <n v="1"/>
    <n v="0.25714285714285701"/>
    <n v="3.8888888888888902"/>
    <n v="0.27358987875593027"/>
    <n v="3.6551059730250501"/>
  </r>
  <r>
    <n v="113235"/>
    <x v="1"/>
    <x v="2"/>
    <n v="5"/>
    <x v="3"/>
    <s v="Chatsworth"/>
    <n v="0"/>
    <n v="1"/>
    <n v="0"/>
    <n v="0"/>
    <n v="0"/>
    <n v="0"/>
    <n v="0"/>
    <n v="2.2140221402214E-2"/>
    <n v="0"/>
    <n v="0.12915129151291499"/>
    <n v="1"/>
    <n v="0.25714285714285701"/>
    <n v="3.8888888888888902"/>
    <n v="0.27358987875593027"/>
    <n v="3.6551059730250501"/>
  </r>
  <r>
    <n v="134002"/>
    <x v="1"/>
    <x v="2"/>
    <n v="3"/>
    <x v="3"/>
    <s v="Winnetka"/>
    <n v="0"/>
    <n v="1"/>
    <n v="7.9240000000000004"/>
    <n v="7.6054114300000002"/>
    <n v="7.6054114300000002"/>
    <n v="0.31795603513464998"/>
    <n v="7.9233674651346497"/>
    <n v="2.2140221402214E-2"/>
    <n v="0"/>
    <n v="0.12915129151291499"/>
    <n v="1"/>
    <n v="0.25714285714285701"/>
    <n v="3.8888888888888902"/>
    <n v="0.27358987875593027"/>
    <n v="3.6551059730250501"/>
  </r>
  <r>
    <n v="139302"/>
    <x v="1"/>
    <x v="2"/>
    <n v="3"/>
    <x v="3"/>
    <s v="Tarzana"/>
    <n v="0"/>
    <n v="0"/>
    <n v="4.0209999999999999"/>
    <n v="3.8885795999999999"/>
    <n v="3.8885795999999999"/>
    <n v="0.131797923464991"/>
    <n v="4.0203775234649903"/>
    <n v="2.2140221402214E-2"/>
    <n v="0"/>
    <n v="0.12915129151291499"/>
    <n v="1"/>
    <n v="0.25714285714285701"/>
    <n v="0"/>
    <n v="0.27358987875593027"/>
    <n v="0"/>
  </r>
  <r>
    <n v="134101"/>
    <x v="1"/>
    <x v="2"/>
    <n v="3"/>
    <x v="3"/>
    <s v="Winnetka"/>
    <n v="0"/>
    <n v="1"/>
    <n v="0"/>
    <n v="0"/>
    <n v="0"/>
    <n v="0"/>
    <n v="0"/>
    <n v="2.2140221402214E-2"/>
    <n v="0"/>
    <n v="0.12915129151291499"/>
    <n v="1"/>
    <n v="0.25714285714285701"/>
    <n v="3.8888888888888902"/>
    <n v="0.27358987875593027"/>
    <n v="3.6551059730250501"/>
  </r>
  <r>
    <n v="134104"/>
    <x v="1"/>
    <x v="2"/>
    <n v="3"/>
    <x v="3"/>
    <s v="Winnetka"/>
    <n v="0"/>
    <n v="0"/>
    <n v="2.8079999999999998"/>
    <n v="1.73313217"/>
    <n v="2.7331321700000002"/>
    <n v="7.4985510287253102E-2"/>
    <n v="2.8081176802872498"/>
    <n v="2.2140221402214E-2"/>
    <n v="0"/>
    <n v="0.12915129151291499"/>
    <n v="1"/>
    <n v="0.25714285714285701"/>
    <n v="0"/>
    <n v="0.27358987875593027"/>
    <n v="0"/>
  </r>
  <r>
    <n v="134304"/>
    <x v="1"/>
    <x v="2"/>
    <n v="3"/>
    <x v="3"/>
    <s v="Canoga Park"/>
    <n v="0"/>
    <n v="0"/>
    <n v="1"/>
    <n v="0"/>
    <n v="1"/>
    <n v="0"/>
    <n v="1"/>
    <n v="2.2140221402214E-2"/>
    <n v="0"/>
    <n v="0.12915129151291499"/>
    <n v="1"/>
    <n v="0.25714285714285701"/>
    <n v="0"/>
    <n v="0.27358987875593027"/>
    <n v="0"/>
  </r>
  <r>
    <n v="135111"/>
    <x v="1"/>
    <x v="2"/>
    <n v="3"/>
    <x v="3"/>
    <s v="Woodland Hills"/>
    <n v="0"/>
    <n v="1"/>
    <n v="6.2850000000000001"/>
    <n v="5.9510989800000003"/>
    <n v="5.9510989800000003"/>
    <n v="0.33351780414721699"/>
    <n v="6.2846167841472198"/>
    <n v="2.2140221402214E-2"/>
    <n v="0"/>
    <n v="0.12915129151291499"/>
    <n v="1"/>
    <n v="0.25714285714285701"/>
    <n v="3.8888888888888902"/>
    <n v="0.27358987875593027"/>
    <n v="3.6551059730250501"/>
  </r>
  <r>
    <n v="137000"/>
    <x v="1"/>
    <x v="2"/>
    <n v="3"/>
    <x v="3"/>
    <s v="Woodland Hills"/>
    <n v="0"/>
    <n v="0"/>
    <n v="0"/>
    <n v="0"/>
    <n v="0"/>
    <n v="0"/>
    <n v="0"/>
    <n v="2.2140221402214E-2"/>
    <n v="0"/>
    <n v="0.12915129151291499"/>
    <n v="1"/>
    <n v="0.25714285714285701"/>
    <n v="0"/>
    <n v="0.27358987875593027"/>
    <n v="0"/>
  </r>
  <r>
    <n v="134306"/>
    <x v="1"/>
    <x v="2"/>
    <n v="3"/>
    <x v="3"/>
    <s v="Canoga Park"/>
    <n v="0"/>
    <n v="0"/>
    <n v="9.5370000000000008"/>
    <n v="7.2326561099999997"/>
    <n v="9.2326561100000006"/>
    <n v="0.30387525168761198"/>
    <n v="9.5365313616876097"/>
    <n v="2.2140221402214E-2"/>
    <n v="0"/>
    <n v="0.12915129151291499"/>
    <n v="1"/>
    <n v="0.25714285714285701"/>
    <n v="0"/>
    <n v="0.27358987875593027"/>
    <n v="0"/>
  </r>
  <r>
    <n v="135113"/>
    <x v="1"/>
    <x v="2"/>
    <n v="3"/>
    <x v="3"/>
    <s v="Woodland Hills"/>
    <n v="0"/>
    <n v="0"/>
    <n v="2.0950000000000002"/>
    <n v="1.9836996600000001"/>
    <n v="1.9836996600000001"/>
    <n v="0.11117260138240601"/>
    <n v="2.09487226138241"/>
    <n v="2.2140221402214E-2"/>
    <n v="0"/>
    <n v="0.12915129151291499"/>
    <n v="1"/>
    <n v="0.25714285714285701"/>
    <n v="0"/>
    <n v="0.27358987875593027"/>
    <n v="0"/>
  </r>
  <r>
    <n v="139802"/>
    <x v="1"/>
    <x v="2"/>
    <n v="3"/>
    <x v="3"/>
    <s v="Tarzana"/>
    <n v="0"/>
    <n v="0"/>
    <n v="0"/>
    <n v="0"/>
    <n v="0"/>
    <n v="0"/>
    <n v="0"/>
    <n v="2.2140221402214E-2"/>
    <n v="0"/>
    <n v="0.12915129151291499"/>
    <n v="1"/>
    <n v="0.25714285714285701"/>
    <n v="0"/>
    <n v="0.27358987875593027"/>
    <n v="0"/>
  </r>
  <r>
    <n v="132502"/>
    <x v="1"/>
    <x v="2"/>
    <n v="3"/>
    <x v="3"/>
    <s v="Reseda"/>
    <n v="0"/>
    <n v="0"/>
    <n v="9.6319999999999997"/>
    <n v="9.2163557699999998"/>
    <n v="9.2163557699999998"/>
    <n v="0.41504785307001801"/>
    <n v="9.6314036230700193"/>
    <n v="2.2140221402214E-2"/>
    <n v="0"/>
    <n v="0.12915129151291499"/>
    <n v="1"/>
    <n v="0.25714285714285701"/>
    <n v="0"/>
    <n v="0.27358987875593027"/>
    <n v="0"/>
  </r>
  <r>
    <n v="134720"/>
    <x v="1"/>
    <x v="2"/>
    <n v="3"/>
    <x v="3"/>
    <s v="Winnetka"/>
    <n v="0"/>
    <n v="0"/>
    <n v="6.2850000000000001"/>
    <n v="5.9510989800000003"/>
    <n v="5.9510989800000003"/>
    <n v="0.33351780414721699"/>
    <n v="6.2846167841472198"/>
    <n v="2.2140221402214E-2"/>
    <n v="0"/>
    <n v="0.12915129151291499"/>
    <n v="1"/>
    <n v="0.25714285714285701"/>
    <n v="0"/>
    <n v="0.27358987875593027"/>
    <n v="0"/>
  </r>
  <r>
    <n v="141700"/>
    <x v="1"/>
    <x v="3"/>
    <n v="3"/>
    <x v="3"/>
    <s v="Sherman Oaks"/>
    <n v="0"/>
    <n v="0"/>
    <n v="0"/>
    <n v="0"/>
    <n v="0"/>
    <n v="0"/>
    <n v="0"/>
    <n v="2.2140221402214E-2"/>
    <n v="0"/>
    <n v="5.1660516605166101E-2"/>
    <n v="0.31818181818181801"/>
    <n v="9.3023255813953501E-2"/>
    <n v="0"/>
    <n v="0.11310392173689178"/>
    <n v="0"/>
  </r>
  <r>
    <n v="141600"/>
    <x v="1"/>
    <x v="3"/>
    <n v="3"/>
    <x v="3"/>
    <s v="Sherman Oaks"/>
    <n v="0"/>
    <n v="0"/>
    <n v="0"/>
    <n v="0"/>
    <n v="0"/>
    <n v="0"/>
    <n v="0"/>
    <n v="2.2140221402214E-2"/>
    <n v="0"/>
    <n v="5.1660516605166101E-2"/>
    <n v="0.31818181818181801"/>
    <n v="9.3023255813953501E-2"/>
    <n v="0"/>
    <n v="0.11310392173689178"/>
    <n v="0"/>
  </r>
  <r>
    <n v="128500"/>
    <x v="1"/>
    <x v="3"/>
    <n v="3"/>
    <x v="3"/>
    <s v="Sherman Oaks"/>
    <n v="0"/>
    <n v="0"/>
    <n v="2.7029999999999998"/>
    <n v="1.6812916200000001"/>
    <n v="2.6812916200000001"/>
    <n v="2.14919317594255E-2"/>
    <n v="2.7027835517594299"/>
    <n v="2.2140221402214E-2"/>
    <n v="0"/>
    <n v="5.1660516605166101E-2"/>
    <n v="0.31818181818181801"/>
    <n v="9.3023255813953501E-2"/>
    <n v="0"/>
    <n v="0.11310392173689178"/>
    <n v="0"/>
  </r>
  <r>
    <n v="124600"/>
    <x v="1"/>
    <x v="3"/>
    <n v="3"/>
    <x v="3"/>
    <s v="Sherman Oaks"/>
    <n v="0"/>
    <n v="0"/>
    <n v="4.851"/>
    <n v="3.8097598800000001"/>
    <n v="4.8097598799999997"/>
    <n v="4.1250644165170602E-2"/>
    <n v="4.8510105241651704"/>
    <n v="2.2140221402214E-2"/>
    <n v="0"/>
    <n v="5.1660516605166101E-2"/>
    <n v="0.31818181818181801"/>
    <n v="9.3023255813953501E-2"/>
    <n v="0"/>
    <n v="0.11310392173689178"/>
    <n v="0"/>
  </r>
  <r>
    <n v="128910"/>
    <x v="1"/>
    <x v="3"/>
    <n v="3"/>
    <x v="3"/>
    <s v="Sherman Oaks"/>
    <n v="0"/>
    <n v="0"/>
    <n v="13.391999999999999"/>
    <n v="10.73437206"/>
    <n v="12.73437206"/>
    <n v="0.65704713850987395"/>
    <n v="13.391419198509899"/>
    <n v="2.2140221402214E-2"/>
    <n v="0"/>
    <n v="5.1660516605166101E-2"/>
    <n v="0.31818181818181801"/>
    <n v="9.3023255813953501E-2"/>
    <n v="0"/>
    <n v="0.11310392173689178"/>
    <n v="0"/>
  </r>
  <r>
    <n v="141101"/>
    <x v="1"/>
    <x v="3"/>
    <n v="3"/>
    <x v="3"/>
    <s v="Sherman Oaks"/>
    <n v="0"/>
    <n v="0"/>
    <n v="0"/>
    <n v="0"/>
    <n v="0"/>
    <n v="0"/>
    <n v="0"/>
    <n v="2.2140221402214E-2"/>
    <n v="0"/>
    <n v="5.1660516605166101E-2"/>
    <n v="0.31818181818181801"/>
    <n v="9.3023255813953501E-2"/>
    <n v="0"/>
    <n v="0.11310392173689178"/>
    <n v="0"/>
  </r>
  <r>
    <n v="128702"/>
    <x v="1"/>
    <x v="3"/>
    <n v="3"/>
    <x v="3"/>
    <s v="Sherman Oaks"/>
    <n v="0"/>
    <n v="0"/>
    <n v="0"/>
    <n v="0"/>
    <n v="0"/>
    <n v="0"/>
    <n v="0"/>
    <n v="2.2140221402214E-2"/>
    <n v="0"/>
    <n v="5.1660516605166101E-2"/>
    <n v="0.31818181818181801"/>
    <n v="9.3023255813953501E-2"/>
    <n v="0"/>
    <n v="0.11310392173689178"/>
    <n v="0"/>
  </r>
  <r>
    <n v="128802"/>
    <x v="1"/>
    <x v="3"/>
    <n v="3"/>
    <x v="3"/>
    <s v="Sherman Oaks"/>
    <n v="0"/>
    <n v="1"/>
    <n v="1.8080000000000001"/>
    <n v="1.73313217"/>
    <n v="1.73313217"/>
    <n v="7.4985510287253102E-2"/>
    <n v="1.8081176802872501"/>
    <n v="2.2140221402214E-2"/>
    <n v="0"/>
    <n v="5.1660516605166101E-2"/>
    <n v="0.31818181818181801"/>
    <n v="9.3023255813953501E-2"/>
    <n v="10.75"/>
    <n v="0.11310392173689178"/>
    <n v="8.8414264036418828"/>
  </r>
  <r>
    <n v="128801"/>
    <x v="1"/>
    <x v="3"/>
    <n v="3"/>
    <x v="3"/>
    <s v="Sherman Oaks"/>
    <n v="0"/>
    <n v="0"/>
    <n v="1"/>
    <n v="0"/>
    <n v="1"/>
    <n v="0"/>
    <n v="1"/>
    <n v="2.2140221402214E-2"/>
    <n v="0"/>
    <n v="5.1660516605166101E-2"/>
    <n v="0.31818181818181801"/>
    <n v="9.3023255813953501E-2"/>
    <n v="0"/>
    <n v="0.11310392173689178"/>
    <n v="0"/>
  </r>
  <r>
    <n v="141102"/>
    <x v="1"/>
    <x v="3"/>
    <n v="3"/>
    <x v="3"/>
    <s v="Sherman Oaks"/>
    <n v="0"/>
    <n v="0"/>
    <n v="1"/>
    <n v="0"/>
    <n v="1"/>
    <n v="0"/>
    <n v="1"/>
    <n v="2.2140221402214E-2"/>
    <n v="0"/>
    <n v="5.1660516605166101E-2"/>
    <n v="0.31818181818181801"/>
    <n v="9.3023255813953501E-2"/>
    <n v="0"/>
    <n v="0.11310392173689178"/>
    <n v="0"/>
  </r>
  <r>
    <n v="143902"/>
    <x v="1"/>
    <x v="3"/>
    <n v="3"/>
    <x v="3"/>
    <s v="Studio City"/>
    <n v="0"/>
    <n v="0"/>
    <n v="4.4059999999999997"/>
    <n v="3.3625832400000002"/>
    <n v="4.3625832400000002"/>
    <n v="4.2983863518851001E-2"/>
    <n v="4.4055671035188499"/>
    <n v="2.2140221402214E-2"/>
    <n v="0"/>
    <n v="5.1660516605166101E-2"/>
    <n v="0.31818181818181801"/>
    <n v="9.3023255813953501E-2"/>
    <n v="0"/>
    <n v="0.11310392173689178"/>
    <n v="0"/>
  </r>
  <r>
    <n v="141302"/>
    <x v="1"/>
    <x v="3"/>
    <n v="3"/>
    <x v="3"/>
    <s v="Sherman Oaks"/>
    <n v="0"/>
    <n v="0"/>
    <n v="6.8289999999999997"/>
    <n v="5.6217117700000001"/>
    <n v="6.6217117700000001"/>
    <n v="0.20678343375224401"/>
    <n v="6.8284952037522402"/>
    <n v="2.2140221402214E-2"/>
    <n v="0"/>
    <n v="5.1660516605166101E-2"/>
    <n v="0.31818181818181801"/>
    <n v="9.3023255813953501E-2"/>
    <n v="0"/>
    <n v="0.11310392173689178"/>
    <n v="0"/>
  </r>
  <r>
    <n v="128602"/>
    <x v="1"/>
    <x v="3"/>
    <n v="3"/>
    <x v="3"/>
    <s v="Sherman Oaks"/>
    <n v="0"/>
    <n v="0"/>
    <n v="2"/>
    <n v="0"/>
    <n v="2"/>
    <n v="0"/>
    <n v="2"/>
    <n v="2.2140221402214E-2"/>
    <n v="0"/>
    <n v="5.1660516605166101E-2"/>
    <n v="0.31818181818181801"/>
    <n v="9.3023255813953501E-2"/>
    <n v="0"/>
    <n v="0.11310392173689178"/>
    <n v="0"/>
  </r>
  <r>
    <n v="125600"/>
    <x v="1"/>
    <x v="3"/>
    <n v="3"/>
    <x v="3"/>
    <s v="North Hollywood"/>
    <n v="0"/>
    <n v="0"/>
    <n v="7.2320000000000002"/>
    <n v="6.9325286799999999"/>
    <n v="6.9325286799999999"/>
    <n v="0.29994204114901302"/>
    <n v="7.23247072114901"/>
    <n v="2.2140221402214E-2"/>
    <n v="0"/>
    <n v="5.1660516605166101E-2"/>
    <n v="0.31818181818181801"/>
    <n v="9.3023255813953501E-2"/>
    <n v="0"/>
    <n v="0.11310392173689178"/>
    <n v="0"/>
  </r>
  <r>
    <n v="139200"/>
    <x v="1"/>
    <x v="7"/>
    <n v="3"/>
    <x v="3"/>
    <s v="Encino"/>
    <n v="0"/>
    <n v="0"/>
    <n v="0"/>
    <n v="0"/>
    <n v="0"/>
    <n v="0"/>
    <n v="0"/>
    <n v="2.2140221402214E-2"/>
    <n v="0"/>
    <n v="3.6900369003690002E-2"/>
    <n v="0.19607843137254899"/>
    <n v="5.8823529411764698E-2"/>
    <n v="0"/>
    <n v="7.9661384849142591E-2"/>
    <n v="0"/>
  </r>
  <r>
    <n v="141500"/>
    <x v="1"/>
    <x v="7"/>
    <n v="3"/>
    <x v="3"/>
    <s v="Encino"/>
    <n v="0"/>
    <n v="0"/>
    <n v="0"/>
    <n v="0"/>
    <n v="0"/>
    <n v="0"/>
    <n v="0"/>
    <n v="2.2140221402214E-2"/>
    <n v="0"/>
    <n v="3.6900369003690002E-2"/>
    <n v="0.19607843137254899"/>
    <n v="5.8823529411764698E-2"/>
    <n v="0"/>
    <n v="7.9661384849142591E-2"/>
    <n v="0"/>
  </r>
  <r>
    <n v="139502"/>
    <x v="1"/>
    <x v="7"/>
    <n v="3"/>
    <x v="3"/>
    <s v="Encino"/>
    <n v="0"/>
    <n v="0"/>
    <n v="2.9260000000000002"/>
    <n v="1.90487994"/>
    <n v="2.9048799399999998"/>
    <n v="2.0625322082585301E-2"/>
    <n v="2.9255052620825901"/>
    <n v="2.2140221402214E-2"/>
    <n v="0"/>
    <n v="3.6900369003690002E-2"/>
    <n v="0.19607843137254899"/>
    <n v="5.8823529411764698E-2"/>
    <n v="0"/>
    <n v="7.9661384849142591E-2"/>
    <n v="0"/>
  </r>
  <r>
    <n v="139702"/>
    <x v="1"/>
    <x v="7"/>
    <n v="3"/>
    <x v="3"/>
    <s v="Encino"/>
    <n v="0"/>
    <n v="0"/>
    <n v="0"/>
    <n v="0"/>
    <n v="0"/>
    <n v="0"/>
    <n v="0"/>
    <n v="2.2140221402214E-2"/>
    <n v="0"/>
    <n v="3.6900369003690002E-2"/>
    <n v="0.19607843137254899"/>
    <n v="5.8823529411764698E-2"/>
    <n v="0"/>
    <n v="7.9661384849142591E-2"/>
    <n v="0"/>
  </r>
  <r>
    <n v="141400"/>
    <x v="1"/>
    <x v="7"/>
    <n v="3"/>
    <x v="3"/>
    <s v="Encino"/>
    <n v="0"/>
    <n v="0"/>
    <n v="11.627000000000001"/>
    <n v="9.2867030499999998"/>
    <n v="11.28670305"/>
    <n v="0.33944796689407503"/>
    <n v="11.6261510168941"/>
    <n v="2.2140221402214E-2"/>
    <n v="0"/>
    <n v="3.6900369003690002E-2"/>
    <n v="0.19607843137254899"/>
    <n v="5.8823529411764698E-2"/>
    <n v="0"/>
    <n v="7.9661384849142591E-2"/>
    <n v="0"/>
  </r>
  <r>
    <n v="139001"/>
    <x v="1"/>
    <x v="7"/>
    <n v="3"/>
    <x v="3"/>
    <s v="Encino"/>
    <n v="0"/>
    <n v="0"/>
    <n v="0"/>
    <n v="0"/>
    <n v="0"/>
    <n v="0"/>
    <n v="0"/>
    <n v="2.2140221402214E-2"/>
    <n v="0"/>
    <n v="3.6900369003690002E-2"/>
    <n v="0.19607843137254899"/>
    <n v="5.8823529411764698E-2"/>
    <n v="0"/>
    <n v="7.9661384849142591E-2"/>
    <n v="0"/>
  </r>
  <r>
    <n v="132900"/>
    <x v="1"/>
    <x v="7"/>
    <n v="3"/>
    <x v="3"/>
    <s v="Tarzana"/>
    <n v="0"/>
    <n v="0"/>
    <n v="10.474"/>
    <n v="9.9184982999999995"/>
    <n v="9.9184982999999995"/>
    <n v="0.55586300691202895"/>
    <n v="10.474361306912"/>
    <n v="2.2140221402214E-2"/>
    <n v="0"/>
    <n v="3.6900369003690002E-2"/>
    <n v="0.19607843137254899"/>
    <n v="5.8823529411764698E-2"/>
    <n v="0"/>
    <n v="7.9661384849142591E-2"/>
    <n v="0"/>
  </r>
  <r>
    <n v="139503"/>
    <x v="1"/>
    <x v="7"/>
    <n v="3"/>
    <x v="3"/>
    <s v="Encino"/>
    <n v="0"/>
    <n v="0"/>
    <n v="0"/>
    <n v="0"/>
    <n v="0"/>
    <n v="0"/>
    <n v="0"/>
    <n v="2.2140221402214E-2"/>
    <n v="0"/>
    <n v="3.6900369003690002E-2"/>
    <n v="0.19607843137254899"/>
    <n v="5.8823529411764698E-2"/>
    <n v="0"/>
    <n v="7.9661384849142591E-2"/>
    <n v="0"/>
  </r>
  <r>
    <n v="139504"/>
    <x v="1"/>
    <x v="7"/>
    <n v="3"/>
    <x v="3"/>
    <s v="Encino"/>
    <n v="0"/>
    <n v="0"/>
    <n v="1"/>
    <n v="0"/>
    <n v="1"/>
    <n v="0"/>
    <n v="1"/>
    <n v="2.2140221402214E-2"/>
    <n v="0"/>
    <n v="3.6900369003690002E-2"/>
    <n v="0.19607843137254899"/>
    <n v="5.8823529411764698E-2"/>
    <n v="0"/>
    <n v="7.9661384849142591E-2"/>
    <n v="0"/>
  </r>
  <r>
    <n v="139600"/>
    <x v="1"/>
    <x v="7"/>
    <n v="3"/>
    <x v="3"/>
    <s v="Encino"/>
    <n v="0"/>
    <n v="0"/>
    <n v="6.9459999999999997"/>
    <n v="5.7934595399999997"/>
    <n v="6.7934595399999997"/>
    <n v="0.152423245547576"/>
    <n v="6.94588278554758"/>
    <n v="2.2140221402214E-2"/>
    <n v="0"/>
    <n v="3.6900369003690002E-2"/>
    <n v="0.19607843137254899"/>
    <n v="5.8823529411764698E-2"/>
    <n v="0"/>
    <n v="7.9661384849142591E-2"/>
    <n v="0"/>
  </r>
  <r>
    <n v="119400"/>
    <x v="1"/>
    <x v="4"/>
    <n v="3"/>
    <x v="3"/>
    <s v="Arleta"/>
    <n v="0"/>
    <n v="0"/>
    <n v="0"/>
    <n v="0"/>
    <n v="0"/>
    <n v="0"/>
    <n v="0"/>
    <n v="2.2140221402214E-2"/>
    <n v="0"/>
    <n v="9.5940959409594101E-2"/>
    <n v="1"/>
    <n v="0"/>
    <n v="0"/>
    <n v="2.2140221402214E-2"/>
    <n v="0"/>
  </r>
  <r>
    <n v="127712"/>
    <x v="1"/>
    <x v="4"/>
    <n v="3"/>
    <x v="3"/>
    <s v="Van Nuys"/>
    <n v="1"/>
    <n v="1"/>
    <n v="0"/>
    <n v="0"/>
    <n v="0"/>
    <n v="0"/>
    <n v="0"/>
    <n v="2.2140221402214E-2"/>
    <n v="45.1666666666667"/>
    <n v="9.5940959409594101E-2"/>
    <n v="1"/>
    <n v="0"/>
    <n v="0"/>
    <n v="2.2140221402214E-2"/>
    <n v="45.166666666666714"/>
  </r>
  <r>
    <n v="121221"/>
    <x v="1"/>
    <x v="4"/>
    <n v="3"/>
    <x v="3"/>
    <s v="Sun Valley"/>
    <n v="0"/>
    <n v="0"/>
    <n v="9.6839999999999993"/>
    <n v="9.1234277200000005"/>
    <n v="9.1234277200000005"/>
    <n v="0.55995532057450603"/>
    <n v="9.68338304057451"/>
    <n v="2.2140221402214E-2"/>
    <n v="0"/>
    <n v="9.5940959409594101E-2"/>
    <n v="1"/>
    <n v="0"/>
    <n v="0"/>
    <n v="2.2140221402214E-2"/>
    <n v="0"/>
  </r>
  <r>
    <n v="131900"/>
    <x v="1"/>
    <x v="4"/>
    <n v="3"/>
    <x v="3"/>
    <s v="Lake Balboa"/>
    <n v="0"/>
    <n v="0"/>
    <n v="0"/>
    <n v="0"/>
    <n v="0"/>
    <n v="0"/>
    <n v="0"/>
    <n v="2.2140221402214E-2"/>
    <n v="0"/>
    <n v="9.5940959409594101E-2"/>
    <n v="1"/>
    <n v="0"/>
    <n v="0"/>
    <n v="2.2140221402214E-2"/>
    <n v="0"/>
  </r>
  <r>
    <n v="120300"/>
    <x v="1"/>
    <x v="4"/>
    <n v="3"/>
    <x v="3"/>
    <s v="Panorama City"/>
    <n v="0"/>
    <n v="0"/>
    <n v="12.718"/>
    <n v="10.111049250000001"/>
    <n v="12.111049250000001"/>
    <n v="0.606779263967684"/>
    <n v="12.717828513967699"/>
    <n v="2.2140221402214E-2"/>
    <n v="0"/>
    <n v="9.5940959409594101E-2"/>
    <n v="1"/>
    <n v="0"/>
    <n v="0"/>
    <n v="2.2140221402214E-2"/>
    <n v="0"/>
  </r>
  <r>
    <n v="119340"/>
    <x v="1"/>
    <x v="4"/>
    <n v="3"/>
    <x v="3"/>
    <s v="Panorama City"/>
    <n v="0"/>
    <n v="0"/>
    <n v="1.591"/>
    <n v="1.43919657"/>
    <n v="1.43919657"/>
    <n v="0.15145200614003601"/>
    <n v="1.59064857614004"/>
    <n v="2.2140221402214E-2"/>
    <n v="0"/>
    <n v="9.5940959409594101E-2"/>
    <n v="1"/>
    <n v="0"/>
    <n v="0"/>
    <n v="2.2140221402214E-2"/>
    <n v="0"/>
  </r>
  <r>
    <n v="120010"/>
    <x v="1"/>
    <x v="4"/>
    <n v="3"/>
    <x v="3"/>
    <s v="Panorama City"/>
    <n v="0"/>
    <n v="0"/>
    <n v="7.2759999999999998"/>
    <n v="4.8620928000000001"/>
    <n v="6.8620928000000001"/>
    <n v="0.414076613662478"/>
    <n v="7.2761694136624797"/>
    <n v="2.2140221402214E-2"/>
    <n v="0"/>
    <n v="9.5940959409594101E-2"/>
    <n v="1"/>
    <n v="0"/>
    <n v="0"/>
    <n v="2.2140221402214E-2"/>
    <n v="0"/>
  </r>
  <r>
    <n v="119341"/>
    <x v="1"/>
    <x v="4"/>
    <n v="3"/>
    <x v="3"/>
    <s v="Panorama City"/>
    <n v="0"/>
    <n v="0"/>
    <n v="7.8289999999999997"/>
    <n v="5.6217117700000001"/>
    <n v="7.6217117700000001"/>
    <n v="0.20678343375224401"/>
    <n v="7.8284952037522402"/>
    <n v="2.2140221402214E-2"/>
    <n v="0"/>
    <n v="9.5940959409594101E-2"/>
    <n v="1"/>
    <n v="0"/>
    <n v="0"/>
    <n v="2.2140221402214E-2"/>
    <n v="0"/>
  </r>
  <r>
    <n v="120106"/>
    <x v="1"/>
    <x v="4"/>
    <n v="3"/>
    <x v="3"/>
    <s v="Panorama City"/>
    <n v="0"/>
    <n v="0"/>
    <n v="2.0950000000000002"/>
    <n v="1.9836996600000001"/>
    <n v="1.9836996600000001"/>
    <n v="0.11117260138240601"/>
    <n v="2.09487226138241"/>
    <n v="2.2140221402214E-2"/>
    <n v="0"/>
    <n v="9.5940959409594101E-2"/>
    <n v="1"/>
    <n v="0"/>
    <n v="0"/>
    <n v="2.2140221402214E-2"/>
    <n v="0"/>
  </r>
  <r>
    <n v="127604"/>
    <x v="1"/>
    <x v="4"/>
    <n v="3"/>
    <x v="3"/>
    <s v="Lake Balboa"/>
    <n v="0"/>
    <n v="0"/>
    <n v="1"/>
    <n v="0"/>
    <n v="1"/>
    <n v="0"/>
    <n v="1"/>
    <n v="2.2140221402214E-2"/>
    <n v="0"/>
    <n v="9.5940959409594101E-2"/>
    <n v="1"/>
    <n v="0"/>
    <n v="0"/>
    <n v="2.2140221402214E-2"/>
    <n v="0"/>
  </r>
  <r>
    <n v="127711"/>
    <x v="1"/>
    <x v="4"/>
    <n v="3"/>
    <x v="3"/>
    <s v="Van Nuys"/>
    <n v="0"/>
    <n v="0"/>
    <n v="9.7970000000000006"/>
    <n v="9.6032194200000003"/>
    <n v="9.6032194200000003"/>
    <n v="0.19367388971274699"/>
    <n v="9.7968933097127504"/>
    <n v="2.2140221402214E-2"/>
    <n v="0"/>
    <n v="9.5940959409594101E-2"/>
    <n v="1"/>
    <n v="0"/>
    <n v="0"/>
    <n v="2.2140221402214E-2"/>
    <n v="0"/>
  </r>
  <r>
    <n v="120103"/>
    <x v="1"/>
    <x v="4"/>
    <n v="3"/>
    <x v="3"/>
    <s v="Panorama City"/>
    <n v="0"/>
    <n v="0"/>
    <n v="5.2939999999999996"/>
    <n v="3.1204881900000001"/>
    <n v="5.1204881899999997"/>
    <n v="0.172943937899461"/>
    <n v="5.29343212789946"/>
    <n v="2.2140221402214E-2"/>
    <n v="0"/>
    <n v="9.5940959409594101E-2"/>
    <n v="1"/>
    <n v="0"/>
    <n v="0"/>
    <n v="2.2140221402214E-2"/>
    <n v="0"/>
  </r>
  <r>
    <n v="119320"/>
    <x v="1"/>
    <x v="4"/>
    <n v="3"/>
    <x v="3"/>
    <s v="Panorama City"/>
    <n v="0"/>
    <n v="0"/>
    <n v="3.181"/>
    <n v="2.87839314"/>
    <n v="2.87839314"/>
    <n v="0.30290401228007202"/>
    <n v="3.1812971522800702"/>
    <n v="2.2140221402214E-2"/>
    <n v="0"/>
    <n v="9.5940959409594101E-2"/>
    <n v="1"/>
    <n v="0"/>
    <n v="0"/>
    <n v="2.2140221402214E-2"/>
    <n v="0"/>
  </r>
  <r>
    <n v="127805"/>
    <x v="1"/>
    <x v="4"/>
    <n v="3"/>
    <x v="3"/>
    <s v="Van Nuys"/>
    <n v="0"/>
    <n v="0"/>
    <n v="2.9260000000000002"/>
    <n v="1.90487994"/>
    <n v="2.9048799399999998"/>
    <n v="2.0625322082585301E-2"/>
    <n v="2.9255052620825901"/>
    <n v="2.2140221402214E-2"/>
    <n v="0"/>
    <n v="9.5940959409594101E-2"/>
    <n v="1"/>
    <n v="0"/>
    <n v="0"/>
    <n v="2.2140221402214E-2"/>
    <n v="0"/>
  </r>
  <r>
    <n v="132001"/>
    <x v="1"/>
    <x v="4"/>
    <n v="3"/>
    <x v="3"/>
    <s v="Lake Balboa"/>
    <n v="0"/>
    <n v="0"/>
    <n v="4.1900000000000004"/>
    <n v="3.9673993200000002"/>
    <n v="3.9673993200000002"/>
    <n v="0.22234520276481101"/>
    <n v="4.1897445227648102"/>
    <n v="2.2140221402214E-2"/>
    <n v="0"/>
    <n v="9.5940959409594101E-2"/>
    <n v="1"/>
    <n v="0"/>
    <n v="0"/>
    <n v="2.2140221402214E-2"/>
    <n v="0"/>
  </r>
  <r>
    <n v="132102"/>
    <x v="1"/>
    <x v="4"/>
    <n v="3"/>
    <x v="3"/>
    <s v="Lake Balboa"/>
    <n v="0"/>
    <n v="0"/>
    <n v="12.057"/>
    <n v="10.268688689999999"/>
    <n v="11.268688689999999"/>
    <n v="0.78787382256732497"/>
    <n v="12.0565625125673"/>
    <n v="2.2140221402214E-2"/>
    <n v="0"/>
    <n v="9.5940959409594101E-2"/>
    <n v="1"/>
    <n v="0"/>
    <n v="0"/>
    <n v="2.2140221402214E-2"/>
    <n v="0"/>
  </r>
  <r>
    <n v="120105"/>
    <x v="1"/>
    <x v="4"/>
    <n v="3"/>
    <x v="3"/>
    <s v="Panorama City"/>
    <n v="0"/>
    <n v="0"/>
    <n v="6.1159999999999997"/>
    <n v="5.87227926"/>
    <n v="5.87227926"/>
    <n v="0.24297052484739701"/>
    <n v="6.1152497848473999"/>
    <n v="2.2140221402214E-2"/>
    <n v="0"/>
    <n v="9.5940959409594101E-2"/>
    <n v="1"/>
    <n v="0"/>
    <n v="0"/>
    <n v="2.2140221402214E-2"/>
    <n v="0"/>
  </r>
  <r>
    <n v="121101"/>
    <x v="1"/>
    <x v="4"/>
    <n v="5"/>
    <x v="3"/>
    <s v="Sun Valley"/>
    <n v="0"/>
    <n v="0"/>
    <n v="11.967000000000001"/>
    <n v="9.6820391400000005"/>
    <n v="11.682039140000001"/>
    <n v="0.284221169012567"/>
    <n v="11.966260309012601"/>
    <n v="2.2140221402214E-2"/>
    <n v="0"/>
    <n v="9.5940959409594101E-2"/>
    <n v="1"/>
    <n v="0"/>
    <n v="0"/>
    <n v="2.2140221402214E-2"/>
    <n v="0"/>
  </r>
  <r>
    <n v="121801"/>
    <x v="1"/>
    <x v="4"/>
    <n v="3"/>
    <x v="3"/>
    <s v="North Hollywood"/>
    <n v="0"/>
    <n v="0"/>
    <n v="2"/>
    <n v="0"/>
    <n v="2"/>
    <n v="0"/>
    <n v="2"/>
    <n v="2.2140221402214E-2"/>
    <n v="0"/>
    <n v="9.5940959409594101E-2"/>
    <n v="1"/>
    <n v="0"/>
    <n v="0"/>
    <n v="2.2140221402214E-2"/>
    <n v="0"/>
  </r>
  <r>
    <n v="120400"/>
    <x v="1"/>
    <x v="4"/>
    <n v="3"/>
    <x v="3"/>
    <s v="Panorama City"/>
    <n v="0"/>
    <n v="0"/>
    <n v="5.7770000000000001"/>
    <n v="5.7146398200000004"/>
    <n v="5.7146398200000004"/>
    <n v="6.18759662477558E-2"/>
    <n v="5.7765157862477601"/>
    <n v="2.2140221402214E-2"/>
    <n v="0"/>
    <n v="9.5940959409594101E-2"/>
    <n v="1"/>
    <n v="0"/>
    <n v="0"/>
    <n v="2.2140221402214E-2"/>
    <n v="0"/>
  </r>
  <r>
    <n v="128302"/>
    <x v="1"/>
    <x v="4"/>
    <n v="3"/>
    <x v="3"/>
    <s v="Van Nuys"/>
    <n v="0"/>
    <n v="0"/>
    <n v="11.785"/>
    <n v="11.29738188"/>
    <n v="11.29738188"/>
    <n v="0.487674269048474"/>
    <n v="11.785056149048501"/>
    <n v="2.2140221402214E-2"/>
    <n v="0"/>
    <n v="9.5940959409594101E-2"/>
    <n v="1"/>
    <n v="0"/>
    <n v="0"/>
    <n v="2.2140221402214E-2"/>
    <n v="0"/>
  </r>
  <r>
    <n v="127804"/>
    <x v="1"/>
    <x v="4"/>
    <n v="3"/>
    <x v="3"/>
    <s v="Van Nuys"/>
    <n v="0"/>
    <n v="0"/>
    <n v="0"/>
    <n v="0"/>
    <n v="0"/>
    <n v="0"/>
    <n v="0"/>
    <n v="2.2140221402214E-2"/>
    <n v="0"/>
    <n v="9.5940959409594101E-2"/>
    <n v="1"/>
    <n v="0"/>
    <n v="0"/>
    <n v="2.2140221402214E-2"/>
    <n v="0"/>
  </r>
  <r>
    <n v="119310"/>
    <x v="1"/>
    <x v="4"/>
    <n v="3"/>
    <x v="3"/>
    <s v="Panorama City"/>
    <n v="1"/>
    <n v="1"/>
    <n v="1.591"/>
    <n v="1.43919657"/>
    <n v="1.43919657"/>
    <n v="0.15145200614003601"/>
    <n v="1.59064857614004"/>
    <n v="2.2140221402214E-2"/>
    <n v="45.1666666666667"/>
    <n v="9.5940959409594101E-2"/>
    <n v="1"/>
    <n v="0"/>
    <n v="0"/>
    <n v="2.2140221402214E-2"/>
    <n v="45.166666666666714"/>
  </r>
  <r>
    <n v="119342"/>
    <x v="1"/>
    <x v="4"/>
    <n v="3"/>
    <x v="3"/>
    <s v="Panorama City"/>
    <n v="0"/>
    <n v="0"/>
    <n v="0"/>
    <n v="0"/>
    <n v="0"/>
    <n v="0"/>
    <n v="0"/>
    <n v="2.2140221402214E-2"/>
    <n v="0"/>
    <n v="9.5940959409594101E-2"/>
    <n v="1"/>
    <n v="0"/>
    <n v="0"/>
    <n v="2.2140221402214E-2"/>
    <n v="0"/>
  </r>
  <r>
    <n v="127603"/>
    <x v="1"/>
    <x v="4"/>
    <n v="3"/>
    <x v="3"/>
    <s v="Lake Balboa"/>
    <n v="0"/>
    <n v="0"/>
    <n v="0"/>
    <n v="0"/>
    <n v="0"/>
    <n v="0"/>
    <n v="0"/>
    <n v="2.2140221402214E-2"/>
    <n v="0"/>
    <n v="9.5940959409594101E-2"/>
    <n v="1"/>
    <n v="0"/>
    <n v="0"/>
    <n v="2.2140221402214E-2"/>
    <n v="0"/>
  </r>
  <r>
    <n v="132101"/>
    <x v="1"/>
    <x v="4"/>
    <n v="3"/>
    <x v="3"/>
    <s v="Lake Balboa"/>
    <n v="0"/>
    <n v="0"/>
    <n v="1"/>
    <n v="0"/>
    <n v="1"/>
    <n v="0"/>
    <n v="1"/>
    <n v="2.2140221402214E-2"/>
    <n v="0"/>
    <n v="9.5940959409594101E-2"/>
    <n v="1"/>
    <n v="0"/>
    <n v="0"/>
    <n v="2.2140221402214E-2"/>
    <n v="0"/>
  </r>
  <r>
    <n v="980026"/>
    <x v="1"/>
    <x v="5"/>
    <n v="5"/>
    <x v="3"/>
    <s v="Sunland-Tujunga"/>
    <n v="0"/>
    <n v="0"/>
    <n v="0"/>
    <n v="0"/>
    <n v="0"/>
    <n v="0"/>
    <n v="0"/>
    <n v="2.2140221402214E-2"/>
    <n v="0"/>
    <n v="9.5940959409594101E-2"/>
    <n v="1"/>
    <n v="0.04"/>
    <n v="0"/>
    <n v="6.1254612546125443E-2"/>
    <n v="0"/>
  </r>
  <r>
    <n v="104320"/>
    <x v="1"/>
    <x v="5"/>
    <n v="3"/>
    <x v="3"/>
    <s v="Pacoima"/>
    <n v="0"/>
    <n v="0"/>
    <n v="2.5910000000000002"/>
    <n v="1.43919657"/>
    <n v="2.43919657"/>
    <n v="0.15145200614003601"/>
    <n v="2.59064857614004"/>
    <n v="2.2140221402214E-2"/>
    <n v="0"/>
    <n v="9.5940959409594101E-2"/>
    <n v="1"/>
    <n v="0.04"/>
    <n v="0"/>
    <n v="6.1254612546125443E-2"/>
    <n v="0"/>
  </r>
  <r>
    <n v="106408"/>
    <x v="1"/>
    <x v="5"/>
    <n v="3"/>
    <x v="3"/>
    <s v="Sylmar"/>
    <n v="0"/>
    <n v="0"/>
    <n v="2"/>
    <n v="0"/>
    <n v="2"/>
    <n v="0"/>
    <n v="2"/>
    <n v="2.2140221402214E-2"/>
    <n v="0"/>
    <n v="9.5940959409594101E-2"/>
    <n v="1"/>
    <n v="0.04"/>
    <n v="0"/>
    <n v="6.1254612546125443E-2"/>
    <n v="0"/>
  </r>
  <r>
    <n v="980020"/>
    <x v="1"/>
    <x v="5"/>
    <n v="5"/>
    <x v="3"/>
    <s v="Foothill Trails"/>
    <n v="0"/>
    <n v="0"/>
    <n v="0"/>
    <n v="0"/>
    <n v="0"/>
    <n v="0"/>
    <n v="0"/>
    <n v="2.2140221402214E-2"/>
    <n v="0"/>
    <n v="9.5940959409594101E-2"/>
    <n v="1"/>
    <n v="0.04"/>
    <n v="0"/>
    <n v="6.1254612546125443E-2"/>
    <n v="0"/>
  </r>
  <r>
    <n v="106010"/>
    <x v="1"/>
    <x v="5"/>
    <n v="5"/>
    <x v="3"/>
    <s v="Sylmar"/>
    <n v="0"/>
    <n v="0"/>
    <n v="0"/>
    <n v="0"/>
    <n v="0"/>
    <n v="0"/>
    <n v="0"/>
    <n v="2.2140221402214E-2"/>
    <n v="0"/>
    <n v="9.5940959409594101E-2"/>
    <n v="1"/>
    <n v="0.04"/>
    <n v="0"/>
    <n v="6.1254612546125443E-2"/>
    <n v="0"/>
  </r>
  <r>
    <n v="104821"/>
    <x v="1"/>
    <x v="5"/>
    <n v="3"/>
    <x v="3"/>
    <s v="Pacoima"/>
    <n v="0"/>
    <n v="0"/>
    <n v="2.9260000000000002"/>
    <n v="1.90487994"/>
    <n v="2.9048799399999998"/>
    <n v="2.0625322082585301E-2"/>
    <n v="2.9255052620825901"/>
    <n v="2.2140221402214E-2"/>
    <n v="0"/>
    <n v="9.5940959409594101E-2"/>
    <n v="1"/>
    <n v="0.04"/>
    <n v="0"/>
    <n v="6.1254612546125443E-2"/>
    <n v="0"/>
  </r>
  <r>
    <n v="106648"/>
    <x v="1"/>
    <x v="5"/>
    <n v="3"/>
    <x v="3"/>
    <s v="Sylmar"/>
    <n v="0"/>
    <n v="1"/>
    <n v="0"/>
    <n v="0"/>
    <n v="0"/>
    <n v="0"/>
    <n v="0"/>
    <n v="2.2140221402214E-2"/>
    <n v="0"/>
    <n v="9.5940959409594101E-2"/>
    <n v="1"/>
    <n v="0.04"/>
    <n v="25"/>
    <n v="6.1254612546125443E-2"/>
    <n v="16.325301204819283"/>
  </r>
  <r>
    <n v="104108"/>
    <x v="1"/>
    <x v="5"/>
    <n v="3"/>
    <x v="3"/>
    <s v="Pacoima"/>
    <n v="0"/>
    <n v="0"/>
    <n v="6.1159999999999997"/>
    <n v="5.87227926"/>
    <n v="5.87227926"/>
    <n v="0.24297052484739701"/>
    <n v="6.1152497848473999"/>
    <n v="2.2140221402214E-2"/>
    <n v="0"/>
    <n v="9.5940959409594101E-2"/>
    <n v="1"/>
    <n v="0.04"/>
    <n v="0"/>
    <n v="6.1254612546125443E-2"/>
    <n v="0"/>
  </r>
  <r>
    <n v="104203"/>
    <x v="1"/>
    <x v="5"/>
    <n v="3"/>
    <x v="3"/>
    <s v="Pacoima"/>
    <n v="0"/>
    <n v="0"/>
    <n v="1.591"/>
    <n v="1.43919657"/>
    <n v="1.43919657"/>
    <n v="0.15145200614003601"/>
    <n v="1.59064857614004"/>
    <n v="2.2140221402214E-2"/>
    <n v="0"/>
    <n v="9.5940959409594101E-2"/>
    <n v="1"/>
    <n v="0.04"/>
    <n v="0"/>
    <n v="6.1254612546125443E-2"/>
    <n v="0"/>
  </r>
  <r>
    <n v="107020"/>
    <x v="1"/>
    <x v="5"/>
    <n v="3"/>
    <x v="3"/>
    <s v="Sylmar"/>
    <n v="0"/>
    <n v="0"/>
    <n v="1.591"/>
    <n v="1.43919657"/>
    <n v="1.43919657"/>
    <n v="0.15145200614003601"/>
    <n v="1.59064857614004"/>
    <n v="2.2140221402214E-2"/>
    <n v="0"/>
    <n v="9.5940959409594101E-2"/>
    <n v="1"/>
    <n v="0.04"/>
    <n v="0"/>
    <n v="6.1254612546125443E-2"/>
    <n v="0"/>
  </r>
  <r>
    <n v="104124"/>
    <x v="1"/>
    <x v="5"/>
    <n v="3"/>
    <x v="3"/>
    <s v="Angeles National Forest"/>
    <n v="0"/>
    <n v="0"/>
    <n v="0"/>
    <n v="0"/>
    <n v="0"/>
    <n v="0"/>
    <n v="0"/>
    <n v="2.2140221402214E-2"/>
    <n v="0"/>
    <n v="9.5940959409594101E-2"/>
    <n v="1"/>
    <n v="0.04"/>
    <n v="0"/>
    <n v="6.1254612546125443E-2"/>
    <n v="0"/>
  </r>
  <r>
    <n v="102107"/>
    <x v="1"/>
    <x v="5"/>
    <n v="5"/>
    <x v="3"/>
    <s v="Foothill Trails"/>
    <n v="0"/>
    <n v="0"/>
    <n v="4.6159999999999997"/>
    <n v="3.4662643399999999"/>
    <n v="4.4662643400000004"/>
    <n v="0.14997102057450601"/>
    <n v="4.6162353605745103"/>
    <n v="2.2140221402214E-2"/>
    <n v="0"/>
    <n v="9.5940959409594101E-2"/>
    <n v="1"/>
    <n v="0.04"/>
    <n v="0"/>
    <n v="6.1254612546125443E-2"/>
    <n v="0"/>
  </r>
  <r>
    <n v="104500"/>
    <x v="1"/>
    <x v="5"/>
    <n v="3"/>
    <x v="3"/>
    <s v="Pacoima"/>
    <n v="0"/>
    <n v="0"/>
    <n v="1.9259999999999999"/>
    <n v="1.90487994"/>
    <n v="1.90487994"/>
    <n v="2.0625322082585301E-2"/>
    <n v="1.9255052620825901"/>
    <n v="2.2140221402214E-2"/>
    <n v="0"/>
    <n v="9.5940959409594101E-2"/>
    <n v="1"/>
    <n v="0.04"/>
    <n v="0"/>
    <n v="6.1254612546125443E-2"/>
    <n v="0"/>
  </r>
  <r>
    <n v="104310"/>
    <x v="1"/>
    <x v="5"/>
    <n v="3"/>
    <x v="3"/>
    <s v="Pacoima"/>
    <n v="0"/>
    <n v="0"/>
    <n v="5.7809999999999997"/>
    <n v="5.4065958900000002"/>
    <n v="5.4065958900000002"/>
    <n v="0.37379720890484702"/>
    <n v="5.7803930989048498"/>
    <n v="2.2140221402214E-2"/>
    <n v="0"/>
    <n v="9.5940959409594101E-2"/>
    <n v="1"/>
    <n v="0.04"/>
    <n v="0"/>
    <n v="6.1254612546125443E-2"/>
    <n v="0"/>
  </r>
  <r>
    <n v="117405"/>
    <x v="1"/>
    <x v="5"/>
    <n v="3"/>
    <x v="3"/>
    <s v="North Hills"/>
    <n v="0"/>
    <n v="0"/>
    <n v="2"/>
    <n v="0"/>
    <n v="2"/>
    <n v="0"/>
    <n v="2"/>
    <n v="2.2140221402214E-2"/>
    <n v="0"/>
    <n v="9.5940959409594101E-2"/>
    <n v="1"/>
    <n v="0.04"/>
    <n v="0"/>
    <n v="6.1254612546125443E-2"/>
    <n v="0"/>
  </r>
  <r>
    <n v="106405"/>
    <x v="1"/>
    <x v="5"/>
    <n v="3"/>
    <x v="3"/>
    <s v="Sylmar"/>
    <n v="0"/>
    <n v="0"/>
    <n v="3.0950000000000002"/>
    <n v="1.9836996600000001"/>
    <n v="2.9836996600000001"/>
    <n v="0.11117260138240601"/>
    <n v="3.09487226138241"/>
    <n v="2.2140221402214E-2"/>
    <n v="0"/>
    <n v="9.5940959409594101E-2"/>
    <n v="1"/>
    <n v="0.04"/>
    <n v="0"/>
    <n v="6.1254612546125443E-2"/>
    <n v="0"/>
  </r>
  <r>
    <n v="104701"/>
    <x v="1"/>
    <x v="5"/>
    <n v="3"/>
    <x v="3"/>
    <s v="Pacoima"/>
    <n v="0"/>
    <n v="0"/>
    <n v="1.8080000000000001"/>
    <n v="1.73313217"/>
    <n v="1.73313217"/>
    <n v="7.4985510287253102E-2"/>
    <n v="1.8081176802872501"/>
    <n v="2.2140221402214E-2"/>
    <n v="0"/>
    <n v="9.5940959409594101E-2"/>
    <n v="1"/>
    <n v="0.04"/>
    <n v="0"/>
    <n v="6.1254612546125443E-2"/>
    <n v="0"/>
  </r>
  <r>
    <n v="104105"/>
    <x v="1"/>
    <x v="5"/>
    <n v="3"/>
    <x v="3"/>
    <s v="Pacoima"/>
    <n v="0"/>
    <n v="0"/>
    <n v="6.7809999999999997"/>
    <n v="5.4065958900000002"/>
    <n v="6.4065958900000002"/>
    <n v="0.37379720890484702"/>
    <n v="6.7803930989048498"/>
    <n v="2.2140221402214E-2"/>
    <n v="0"/>
    <n v="9.5940959409594101E-2"/>
    <n v="1"/>
    <n v="0.04"/>
    <n v="0"/>
    <n v="6.1254612546125443E-2"/>
    <n v="0"/>
  </r>
  <r>
    <n v="104810"/>
    <x v="1"/>
    <x v="5"/>
    <n v="3"/>
    <x v="3"/>
    <s v="Pacoima"/>
    <n v="0"/>
    <n v="0"/>
    <n v="0"/>
    <n v="0"/>
    <n v="0"/>
    <n v="0"/>
    <n v="0"/>
    <n v="2.2140221402214E-2"/>
    <n v="0"/>
    <n v="9.5940959409594101E-2"/>
    <n v="1"/>
    <n v="0.04"/>
    <n v="0"/>
    <n v="6.1254612546125443E-2"/>
    <n v="0"/>
  </r>
  <r>
    <n v="109601"/>
    <x v="1"/>
    <x v="5"/>
    <n v="3"/>
    <x v="3"/>
    <s v="Mission Hills"/>
    <n v="0"/>
    <n v="0"/>
    <n v="4.0209999999999999"/>
    <n v="3.8885795999999999"/>
    <n v="3.8885795999999999"/>
    <n v="0.131797923464991"/>
    <n v="4.0203775234649903"/>
    <n v="2.2140221402214E-2"/>
    <n v="0"/>
    <n v="9.5940959409594101E-2"/>
    <n v="1"/>
    <n v="0.04"/>
    <n v="0"/>
    <n v="6.1254612546125443E-2"/>
    <n v="0"/>
  </r>
  <r>
    <n v="106649"/>
    <x v="1"/>
    <x v="5"/>
    <n v="3"/>
    <x v="3"/>
    <s v="Sylmar"/>
    <n v="0"/>
    <n v="0"/>
    <n v="0"/>
    <n v="0"/>
    <n v="0"/>
    <n v="0"/>
    <n v="0"/>
    <n v="2.2140221402214E-2"/>
    <n v="0"/>
    <n v="9.5940959409594101E-2"/>
    <n v="1"/>
    <n v="0.04"/>
    <n v="0"/>
    <n v="6.1254612546125443E-2"/>
    <n v="0"/>
  </r>
  <r>
    <n v="106407"/>
    <x v="1"/>
    <x v="5"/>
    <n v="3"/>
    <x v="3"/>
    <s v="Sylmar"/>
    <n v="0"/>
    <n v="0"/>
    <n v="0"/>
    <n v="0"/>
    <n v="0"/>
    <n v="0"/>
    <n v="0"/>
    <n v="2.2140221402214E-2"/>
    <n v="0"/>
    <n v="9.5940959409594101E-2"/>
    <n v="1"/>
    <n v="0.04"/>
    <n v="0"/>
    <n v="6.1254612546125443E-2"/>
    <n v="0"/>
  </r>
  <r>
    <n v="106111"/>
    <x v="1"/>
    <x v="5"/>
    <n v="3"/>
    <x v="3"/>
    <s v="Sylmar"/>
    <n v="0"/>
    <n v="0"/>
    <n v="2.0950000000000002"/>
    <n v="1.9836996600000001"/>
    <n v="1.9836996600000001"/>
    <n v="0.11117260138240601"/>
    <n v="2.09487226138241"/>
    <n v="2.2140221402214E-2"/>
    <n v="0"/>
    <n v="9.5940959409594101E-2"/>
    <n v="1"/>
    <n v="0.04"/>
    <n v="0"/>
    <n v="6.1254612546125443E-2"/>
    <n v="0"/>
  </r>
  <r>
    <n v="104610"/>
    <x v="1"/>
    <x v="5"/>
    <n v="3"/>
    <x v="3"/>
    <s v="Pacoima"/>
    <n v="0"/>
    <n v="0"/>
    <n v="3.0950000000000002"/>
    <n v="1.9836996600000001"/>
    <n v="2.9836996600000001"/>
    <n v="0.11117260138240601"/>
    <n v="3.09487226138241"/>
    <n v="2.2140221402214E-2"/>
    <n v="0"/>
    <n v="9.5940959409594101E-2"/>
    <n v="1"/>
    <n v="0.04"/>
    <n v="0"/>
    <n v="6.1254612546125443E-2"/>
    <n v="0"/>
  </r>
  <r>
    <n v="101122"/>
    <x v="1"/>
    <x v="5"/>
    <n v="5"/>
    <x v="3"/>
    <s v="Sunland-Tujunga"/>
    <n v="1"/>
    <n v="1"/>
    <n v="0"/>
    <n v="0"/>
    <n v="0"/>
    <n v="0"/>
    <n v="0"/>
    <n v="2.2140221402214E-2"/>
    <n v="45.1666666666667"/>
    <n v="9.5940959409594101E-2"/>
    <n v="1"/>
    <n v="0"/>
    <n v="0"/>
    <n v="2.2140221402214E-2"/>
    <n v="45.166666666666714"/>
  </r>
  <r>
    <n v="117201"/>
    <x v="1"/>
    <x v="5"/>
    <n v="3"/>
    <x v="3"/>
    <s v="North Hills"/>
    <n v="0"/>
    <n v="0"/>
    <n v="7.0339999999999998"/>
    <n v="6.9487547999999997"/>
    <n v="6.9487547999999997"/>
    <n v="8.5101117360861803E-2"/>
    <n v="7.0338559173608601"/>
    <n v="2.2140221402214E-2"/>
    <n v="0"/>
    <n v="9.5940959409594101E-2"/>
    <n v="1"/>
    <n v="0.04"/>
    <n v="0"/>
    <n v="6.1254612546125443E-2"/>
    <n v="0"/>
  </r>
  <r>
    <n v="115301"/>
    <x v="1"/>
    <x v="6"/>
    <n v="3"/>
    <x v="3"/>
    <s v="Northridge"/>
    <n v="0"/>
    <n v="1"/>
    <n v="0"/>
    <n v="0"/>
    <n v="0"/>
    <n v="0"/>
    <n v="0"/>
    <n v="2.2140221402214E-2"/>
    <n v="0"/>
    <n v="0.18081180811808101"/>
    <n v="1"/>
    <n v="0.30612244897959201"/>
    <n v="3.2666666666666702"/>
    <n v="0.3214850515852099"/>
    <n v="3.1105645350199094"/>
  </r>
  <r>
    <n v="108101"/>
    <x v="1"/>
    <x v="6"/>
    <n v="5"/>
    <x v="3"/>
    <s v="Porter Ranch"/>
    <n v="0"/>
    <n v="1"/>
    <n v="0"/>
    <n v="0"/>
    <n v="0"/>
    <n v="0"/>
    <n v="0"/>
    <n v="2.2140221402214E-2"/>
    <n v="0"/>
    <n v="0.18081180811808101"/>
    <n v="1"/>
    <n v="0.30612244897959201"/>
    <n v="3.2666666666666702"/>
    <n v="0.3214850515852099"/>
    <n v="3.1105645350199094"/>
  </r>
  <r>
    <n v="108103"/>
    <x v="1"/>
    <x v="6"/>
    <n v="5"/>
    <x v="3"/>
    <s v="Porter Ranch"/>
    <n v="0"/>
    <n v="1"/>
    <n v="0"/>
    <n v="0"/>
    <n v="0"/>
    <n v="0"/>
    <n v="0"/>
    <n v="2.2140221402214E-2"/>
    <n v="0"/>
    <n v="0.18081180811808101"/>
    <n v="1"/>
    <n v="0.30612244897959201"/>
    <n v="3.2666666666666702"/>
    <n v="0.3214850515852099"/>
    <n v="3.1105645350199094"/>
  </r>
  <r>
    <n v="117301"/>
    <x v="1"/>
    <x v="6"/>
    <n v="3"/>
    <x v="3"/>
    <s v="North Hills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15404"/>
    <x v="1"/>
    <x v="6"/>
    <n v="3"/>
    <x v="3"/>
    <s v="Northridge"/>
    <n v="0"/>
    <n v="0"/>
    <n v="2.0950000000000002"/>
    <n v="1.9836996600000001"/>
    <n v="1.9836996600000001"/>
    <n v="0.11117260138240601"/>
    <n v="2.09487226138241"/>
    <n v="2.2140221402214E-2"/>
    <n v="0"/>
    <n v="0.18081180811808101"/>
    <n v="1"/>
    <n v="0.30612244897959201"/>
    <n v="0"/>
    <n v="0.3214850515852099"/>
    <n v="0"/>
  </r>
  <r>
    <n v="115403"/>
    <x v="1"/>
    <x v="6"/>
    <n v="3"/>
    <x v="3"/>
    <s v="Northridge"/>
    <n v="0"/>
    <n v="0"/>
    <n v="10.379"/>
    <n v="7.9347986400000003"/>
    <n v="9.9347986400000003"/>
    <n v="0.44469040552962302"/>
    <n v="10.379489045529599"/>
    <n v="2.2140221402214E-2"/>
    <n v="0"/>
    <n v="0.18081180811808101"/>
    <n v="1"/>
    <n v="0.30612244897959201"/>
    <n v="0"/>
    <n v="0.3214850515852099"/>
    <n v="0"/>
  </r>
  <r>
    <n v="106643"/>
    <x v="1"/>
    <x v="6"/>
    <n v="5"/>
    <x v="3"/>
    <s v="Granada Hills"/>
    <n v="0"/>
    <n v="0"/>
    <n v="2.0950000000000002"/>
    <n v="1.9836996600000001"/>
    <n v="1.9836996600000001"/>
    <n v="0.11117260138240601"/>
    <n v="2.09487226138241"/>
    <n v="2.2140221402214E-2"/>
    <n v="0"/>
    <n v="0.18081180811808101"/>
    <n v="1"/>
    <n v="0.30612244897959201"/>
    <n v="0"/>
    <n v="0.3214850515852099"/>
    <n v="0"/>
  </r>
  <r>
    <n v="131200"/>
    <x v="1"/>
    <x v="6"/>
    <n v="3"/>
    <x v="3"/>
    <s v="Northridge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06646"/>
    <x v="1"/>
    <x v="6"/>
    <n v="5"/>
    <x v="3"/>
    <s v="Granada Hills"/>
    <n v="0"/>
    <n v="1"/>
    <n v="2.7029999999999998"/>
    <n v="1.6812916200000001"/>
    <n v="2.6812916200000001"/>
    <n v="2.14919317594255E-2"/>
    <n v="2.7027835517594299"/>
    <n v="2.2140221402214E-2"/>
    <n v="0"/>
    <n v="0.18081180811808101"/>
    <n v="1"/>
    <n v="0.30612244897959201"/>
    <n v="3.2666666666666702"/>
    <n v="0.3214850515852099"/>
    <n v="3.1105645350199094"/>
  </r>
  <r>
    <n v="106641"/>
    <x v="1"/>
    <x v="6"/>
    <n v="5"/>
    <x v="3"/>
    <s v="Granada Hills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13322"/>
    <x v="1"/>
    <x v="6"/>
    <n v="5"/>
    <x v="3"/>
    <s v="Chatsworth"/>
    <n v="0"/>
    <n v="0"/>
    <n v="10.186999999999999"/>
    <n v="9.6679308099999997"/>
    <n v="9.6679308099999997"/>
    <n v="0.519675915816876"/>
    <n v="10.187606725816901"/>
    <n v="2.2140221402214E-2"/>
    <n v="0"/>
    <n v="0.18081180811808101"/>
    <n v="1"/>
    <n v="0.30612244897959201"/>
    <n v="0"/>
    <n v="0.3214850515852099"/>
    <n v="0"/>
  </r>
  <r>
    <n v="115401"/>
    <x v="1"/>
    <x v="6"/>
    <n v="3"/>
    <x v="3"/>
    <s v="Northridge"/>
    <n v="0"/>
    <n v="1"/>
    <n v="1"/>
    <n v="0"/>
    <n v="1"/>
    <n v="0"/>
    <n v="1"/>
    <n v="2.2140221402214E-2"/>
    <n v="0"/>
    <n v="0.18081180811808101"/>
    <n v="1"/>
    <n v="0.30612244897959201"/>
    <n v="3.2666666666666702"/>
    <n v="0.3214850515852099"/>
    <n v="3.1105645350199094"/>
  </r>
  <r>
    <n v="131300"/>
    <x v="1"/>
    <x v="6"/>
    <n v="3"/>
    <x v="3"/>
    <s v="Reseda"/>
    <n v="0"/>
    <n v="0"/>
    <n v="3.5169999999999999"/>
    <n v="3.3440765099999998"/>
    <n v="3.3440765099999998"/>
    <n v="0.17207732822262101"/>
    <n v="3.5161538382226198"/>
    <n v="2.2140221402214E-2"/>
    <n v="0"/>
    <n v="0.18081180811808101"/>
    <n v="1"/>
    <n v="0.30612244897959201"/>
    <n v="0"/>
    <n v="0.3214850515852099"/>
    <n v="0"/>
  </r>
  <r>
    <n v="113101"/>
    <x v="1"/>
    <x v="6"/>
    <n v="5"/>
    <x v="3"/>
    <s v="Chatsworth"/>
    <n v="0"/>
    <n v="0"/>
    <n v="3.0950000000000002"/>
    <n v="1.9836996600000001"/>
    <n v="2.9836996600000001"/>
    <n v="0.11117260138240601"/>
    <n v="3.09487226138241"/>
    <n v="2.2140221402214E-2"/>
    <n v="0"/>
    <n v="0.18081180811808101"/>
    <n v="1"/>
    <n v="0.30612244897959201"/>
    <n v="0"/>
    <n v="0.3214850515852099"/>
    <n v="0"/>
  </r>
  <r>
    <n v="113211"/>
    <x v="1"/>
    <x v="6"/>
    <n v="5"/>
    <x v="3"/>
    <s v="Chatsworth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980023"/>
    <x v="1"/>
    <x v="6"/>
    <n v="5"/>
    <x v="3"/>
    <s v="Chatsworth"/>
    <n v="0"/>
    <n v="1"/>
    <n v="0"/>
    <n v="0"/>
    <n v="0"/>
    <n v="0"/>
    <n v="0"/>
    <n v="2.2140221402214E-2"/>
    <n v="0"/>
    <n v="0.18081180811808101"/>
    <n v="1"/>
    <n v="0.30612244897959201"/>
    <n v="3.2666666666666702"/>
    <n v="0.3214850515852099"/>
    <n v="3.1105645350199094"/>
  </r>
  <r>
    <n v="117302"/>
    <x v="1"/>
    <x v="6"/>
    <n v="3"/>
    <x v="3"/>
    <s v="Northridge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34424"/>
    <x v="1"/>
    <x v="6"/>
    <n v="5"/>
    <x v="3"/>
    <s v="West Hills"/>
    <n v="0"/>
    <n v="0"/>
    <n v="1.591"/>
    <n v="1.43919657"/>
    <n v="1.43919657"/>
    <n v="0.15145200614003601"/>
    <n v="1.59064857614004"/>
    <n v="2.2140221402214E-2"/>
    <n v="0"/>
    <n v="0.18081180811808101"/>
    <n v="1"/>
    <n v="0.30612244897959201"/>
    <n v="0"/>
    <n v="0.3214850515852099"/>
    <n v="0"/>
  </r>
  <r>
    <n v="108104"/>
    <x v="1"/>
    <x v="6"/>
    <n v="5"/>
    <x v="3"/>
    <s v="Porter Ranch"/>
    <n v="0"/>
    <n v="1"/>
    <n v="0"/>
    <n v="0"/>
    <n v="0"/>
    <n v="0"/>
    <n v="0"/>
    <n v="2.2140221402214E-2"/>
    <n v="0"/>
    <n v="0.18081180811808101"/>
    <n v="1"/>
    <n v="0.30612244897959201"/>
    <n v="3.2666666666666702"/>
    <n v="0.3214850515852099"/>
    <n v="3.1105645350199094"/>
  </r>
  <r>
    <n v="134421"/>
    <x v="1"/>
    <x v="6"/>
    <n v="3"/>
    <x v="3"/>
    <s v="West Hills"/>
    <n v="0"/>
    <n v="0"/>
    <n v="2.0950000000000002"/>
    <n v="1.9836996600000001"/>
    <n v="1.9836996600000001"/>
    <n v="0.11117260138240601"/>
    <n v="2.09487226138241"/>
    <n v="2.2140221402214E-2"/>
    <n v="0"/>
    <n v="0.18081180811808101"/>
    <n v="1"/>
    <n v="0.30612244897959201"/>
    <n v="0"/>
    <n v="0.3214850515852099"/>
    <n v="0"/>
  </r>
  <r>
    <n v="109800"/>
    <x v="1"/>
    <x v="6"/>
    <n v="3"/>
    <x v="3"/>
    <s v="North Hills"/>
    <n v="0"/>
    <n v="1"/>
    <n v="5.1020000000000003"/>
    <n v="4.8536203599999999"/>
    <n v="4.8536203599999999"/>
    <n v="0.247929448186715"/>
    <n v="5.1015498081867197"/>
    <n v="2.2140221402214E-2"/>
    <n v="0"/>
    <n v="0.18081180811808101"/>
    <n v="1"/>
    <n v="0.30612244897959201"/>
    <n v="3.2666666666666702"/>
    <n v="0.3214850515852099"/>
    <n v="3.1105645350199094"/>
  </r>
  <r>
    <n v="111201"/>
    <x v="1"/>
    <x v="6"/>
    <n v="5"/>
    <x v="3"/>
    <s v="Granada Hills"/>
    <n v="0"/>
    <n v="0"/>
    <n v="1.7030000000000001"/>
    <n v="1.6812916200000001"/>
    <n v="1.6812916200000001"/>
    <n v="2.14919317594255E-2"/>
    <n v="1.7027835517594301"/>
    <n v="2.2140221402214E-2"/>
    <n v="0"/>
    <n v="0.18081180811808101"/>
    <n v="1"/>
    <n v="0.30612244897959201"/>
    <n v="0"/>
    <n v="0.3214850515852099"/>
    <n v="0"/>
  </r>
  <r>
    <n v="108201"/>
    <x v="1"/>
    <x v="6"/>
    <n v="5"/>
    <x v="3"/>
    <s v="Porter Ranch"/>
    <n v="0"/>
    <n v="1"/>
    <n v="4.6859999999999999"/>
    <n v="3.4228962300000001"/>
    <n v="4.4228962300000001"/>
    <n v="0.26262460752244199"/>
    <n v="4.6855208375224402"/>
    <n v="2.2140221402214E-2"/>
    <n v="0"/>
    <n v="0.18081180811808101"/>
    <n v="1"/>
    <n v="0.30612244897959201"/>
    <n v="3.2666666666666702"/>
    <n v="0.3214850515852099"/>
    <n v="3.1105645350199094"/>
  </r>
  <r>
    <n v="115103"/>
    <x v="1"/>
    <x v="6"/>
    <n v="5"/>
    <x v="3"/>
    <s v="Northridge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11206"/>
    <x v="1"/>
    <x v="6"/>
    <n v="5"/>
    <x v="3"/>
    <s v="Northridge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34302"/>
    <x v="1"/>
    <x v="6"/>
    <n v="5"/>
    <x v="3"/>
    <s v="West Hills"/>
    <n v="0"/>
    <n v="0"/>
    <n v="1.8080000000000001"/>
    <n v="1.73313217"/>
    <n v="1.73313217"/>
    <n v="7.4985510287253102E-2"/>
    <n v="1.8081176802872501"/>
    <n v="2.2140221402214E-2"/>
    <n v="0"/>
    <n v="0.18081180811808101"/>
    <n v="1"/>
    <n v="0.30612244897959201"/>
    <n v="0"/>
    <n v="0.3214850515852099"/>
    <n v="0"/>
  </r>
  <r>
    <n v="113232"/>
    <x v="1"/>
    <x v="6"/>
    <n v="5"/>
    <x v="3"/>
    <s v="West Hills"/>
    <n v="0"/>
    <n v="0"/>
    <n v="6.2850000000000001"/>
    <n v="5.9510989800000003"/>
    <n v="5.9510989800000003"/>
    <n v="0.33351780414721699"/>
    <n v="6.2846167841472198"/>
    <n v="2.2140221402214E-2"/>
    <n v="0"/>
    <n v="0.18081180811808101"/>
    <n v="1"/>
    <n v="0.30612244897959201"/>
    <n v="0"/>
    <n v="0.3214850515852099"/>
    <n v="0"/>
  </r>
  <r>
    <n v="131010"/>
    <x v="1"/>
    <x v="6"/>
    <n v="3"/>
    <x v="3"/>
    <s v="Reseda"/>
    <n v="0"/>
    <n v="1"/>
    <n v="3.0950000000000002"/>
    <n v="1.9836996600000001"/>
    <n v="2.9836996600000001"/>
    <n v="0.11117260138240601"/>
    <n v="3.09487226138241"/>
    <n v="2.2140221402214E-2"/>
    <n v="0"/>
    <n v="0.18081180811808101"/>
    <n v="1"/>
    <n v="0.30612244897959201"/>
    <n v="3.2666666666666702"/>
    <n v="0.3214850515852099"/>
    <n v="3.1105645350199094"/>
  </r>
  <r>
    <n v="135203"/>
    <x v="1"/>
    <x v="6"/>
    <n v="3"/>
    <x v="3"/>
    <s v="West Hills"/>
    <n v="0"/>
    <n v="0"/>
    <n v="3.798"/>
    <n v="3.6649912800000002"/>
    <n v="3.6649912800000002"/>
    <n v="0.13266453314183099"/>
    <n v="3.7976558131418301"/>
    <n v="2.2140221402214E-2"/>
    <n v="0"/>
    <n v="0.18081180811808101"/>
    <n v="1"/>
    <n v="0.30612244897959201"/>
    <n v="0"/>
    <n v="0.3214850515852099"/>
    <n v="0"/>
  </r>
  <r>
    <n v="111202"/>
    <x v="1"/>
    <x v="6"/>
    <n v="5"/>
    <x v="3"/>
    <s v="Granada Hills"/>
    <n v="0"/>
    <n v="0"/>
    <n v="4.181"/>
    <n v="2.87839314"/>
    <n v="3.87839314"/>
    <n v="0.30290401228007202"/>
    <n v="4.1812971522800702"/>
    <n v="2.2140221402214E-2"/>
    <n v="0"/>
    <n v="0.18081180811808101"/>
    <n v="1"/>
    <n v="0.30612244897959201"/>
    <n v="0"/>
    <n v="0.3214850515852099"/>
    <n v="0"/>
  </r>
  <r>
    <n v="135102"/>
    <x v="1"/>
    <x v="6"/>
    <n v="3"/>
    <x v="3"/>
    <s v="West Hills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11100"/>
    <x v="1"/>
    <x v="6"/>
    <n v="5"/>
    <x v="3"/>
    <s v="Granada Hills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09200"/>
    <x v="1"/>
    <x v="6"/>
    <n v="3"/>
    <x v="3"/>
    <s v="Granada Hills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11204"/>
    <x v="1"/>
    <x v="6"/>
    <n v="5"/>
    <x v="3"/>
    <s v="Northridge"/>
    <n v="0"/>
    <n v="1"/>
    <n v="2.5910000000000002"/>
    <n v="1.43919657"/>
    <n v="2.43919657"/>
    <n v="0.15145200614003601"/>
    <n v="2.59064857614004"/>
    <n v="2.2140221402214E-2"/>
    <n v="0"/>
    <n v="0.18081180811808101"/>
    <n v="1"/>
    <n v="0.30612244897959201"/>
    <n v="3.2666666666666702"/>
    <n v="0.3214850515852099"/>
    <n v="3.1105645350199094"/>
  </r>
  <r>
    <n v="111205"/>
    <x v="1"/>
    <x v="6"/>
    <n v="5"/>
    <x v="3"/>
    <s v="Northridge"/>
    <n v="0"/>
    <n v="1"/>
    <n v="1.591"/>
    <n v="1.43919657"/>
    <n v="1.43919657"/>
    <n v="0.15145200614003601"/>
    <n v="1.59064857614004"/>
    <n v="2.2140221402214E-2"/>
    <n v="0"/>
    <n v="0.18081180811808101"/>
    <n v="1"/>
    <n v="0.30612244897959201"/>
    <n v="3.2666666666666702"/>
    <n v="0.3214850515852099"/>
    <n v="3.1105645350199094"/>
  </r>
  <r>
    <n v="108102"/>
    <x v="1"/>
    <x v="6"/>
    <n v="5"/>
    <x v="3"/>
    <s v="Porter Ranch"/>
    <n v="0"/>
    <n v="1"/>
    <n v="0"/>
    <n v="0"/>
    <n v="0"/>
    <n v="0"/>
    <n v="0"/>
    <n v="2.2140221402214E-2"/>
    <n v="0"/>
    <n v="0.18081180811808101"/>
    <n v="1"/>
    <n v="0.30612244897959201"/>
    <n v="3.2666666666666702"/>
    <n v="0.3214850515852099"/>
    <n v="3.1105645350199094"/>
  </r>
  <r>
    <n v="108202"/>
    <x v="1"/>
    <x v="6"/>
    <n v="5"/>
    <x v="3"/>
    <s v="Porter Ranch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980022"/>
    <x v="1"/>
    <x v="6"/>
    <n v="5"/>
    <x v="3"/>
    <s v="Granada Hills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06603"/>
    <x v="1"/>
    <x v="6"/>
    <n v="5"/>
    <x v="3"/>
    <s v="Granada Hills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35202"/>
    <x v="1"/>
    <x v="6"/>
    <n v="3"/>
    <x v="3"/>
    <s v="West Hills"/>
    <n v="0"/>
    <n v="0"/>
    <n v="4.0949999999999998"/>
    <n v="1.9836996600000001"/>
    <n v="3.9836996600000001"/>
    <n v="0.11117260138240601"/>
    <n v="4.0948722613824096"/>
    <n v="2.2140221402214E-2"/>
    <n v="0"/>
    <n v="0.18081180811808101"/>
    <n v="1"/>
    <n v="0.30612244897959201"/>
    <n v="0"/>
    <n v="0.3214850515852099"/>
    <n v="0"/>
  </r>
  <r>
    <n v="134423"/>
    <x v="1"/>
    <x v="6"/>
    <n v="5"/>
    <x v="3"/>
    <s v="West Hills"/>
    <n v="0"/>
    <n v="0"/>
    <n v="6.2850000000000001"/>
    <n v="5.9510989800000003"/>
    <n v="5.9510989800000003"/>
    <n v="0.33351780414721699"/>
    <n v="6.2846167841472198"/>
    <n v="2.2140221402214E-2"/>
    <n v="0"/>
    <n v="0.18081180811808101"/>
    <n v="1"/>
    <n v="0.30612244897959201"/>
    <n v="0"/>
    <n v="0.3214850515852099"/>
    <n v="0"/>
  </r>
  <r>
    <n v="131400"/>
    <x v="1"/>
    <x v="6"/>
    <n v="3"/>
    <x v="3"/>
    <s v="Reseda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13231"/>
    <x v="1"/>
    <x v="6"/>
    <n v="5"/>
    <x v="3"/>
    <s v="West Hills"/>
    <n v="0"/>
    <n v="1"/>
    <n v="11.56"/>
    <n v="10.81319178"/>
    <n v="10.81319178"/>
    <n v="0.74759441780969504"/>
    <n v="11.5607861978097"/>
    <n v="2.2140221402214E-2"/>
    <n v="0"/>
    <n v="0.18081180811808101"/>
    <n v="1"/>
    <n v="0.30612244897959201"/>
    <n v="3.2666666666666702"/>
    <n v="0.3214850515852099"/>
    <n v="3.1105645350199094"/>
  </r>
  <r>
    <n v="113212"/>
    <x v="1"/>
    <x v="6"/>
    <n v="5"/>
    <x v="3"/>
    <s v="Chatsworth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11302"/>
    <x v="1"/>
    <x v="6"/>
    <n v="5"/>
    <x v="3"/>
    <s v="Northridge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11400"/>
    <x v="1"/>
    <x v="6"/>
    <n v="5"/>
    <x v="3"/>
    <s v="Granada Hills"/>
    <n v="0"/>
    <n v="0"/>
    <n v="2"/>
    <n v="0"/>
    <n v="2"/>
    <n v="0"/>
    <n v="2"/>
    <n v="2.2140221402214E-2"/>
    <n v="0"/>
    <n v="0.18081180811808101"/>
    <n v="1"/>
    <n v="0.30612244897959201"/>
    <n v="0"/>
    <n v="0.3214850515852099"/>
    <n v="0"/>
  </r>
  <r>
    <n v="106645"/>
    <x v="1"/>
    <x v="6"/>
    <n v="5"/>
    <x v="3"/>
    <s v="Granada Hills"/>
    <n v="0"/>
    <n v="0"/>
    <n v="0"/>
    <n v="0"/>
    <n v="0"/>
    <n v="0"/>
    <n v="0"/>
    <n v="2.2140221402214E-2"/>
    <n v="0"/>
    <n v="0.18081180811808101"/>
    <n v="1"/>
    <n v="0.30612244897959201"/>
    <n v="0"/>
    <n v="0.3214850515852099"/>
    <n v="0"/>
  </r>
  <r>
    <n v="106642"/>
    <x v="1"/>
    <x v="6"/>
    <n v="5"/>
    <x v="3"/>
    <s v="Granada Hills"/>
    <n v="0"/>
    <n v="0"/>
    <n v="4.1900000000000004"/>
    <n v="3.9673993200000002"/>
    <n v="3.9673993200000002"/>
    <n v="0.22234520276481101"/>
    <n v="4.1897445227648102"/>
    <n v="2.2140221402214E-2"/>
    <n v="0"/>
    <n v="0.18081180811808101"/>
    <n v="1"/>
    <n v="0.30612244897959201"/>
    <n v="0"/>
    <n v="0.3214850515852099"/>
    <n v="0"/>
  </r>
  <r>
    <n v="115201"/>
    <x v="1"/>
    <x v="6"/>
    <n v="3"/>
    <x v="3"/>
    <s v="Northridge"/>
    <n v="0"/>
    <n v="1"/>
    <n v="3.0950000000000002"/>
    <n v="1.9836996600000001"/>
    <n v="2.9836996600000001"/>
    <n v="0.11117260138240601"/>
    <n v="3.09487226138241"/>
    <n v="2.2140221402214E-2"/>
    <n v="0"/>
    <n v="0.18081180811808101"/>
    <n v="1"/>
    <n v="0.30612244897959201"/>
    <n v="3.2666666666666702"/>
    <n v="0.3214850515852099"/>
    <n v="3.1105645350199094"/>
  </r>
  <r>
    <n v="402402"/>
    <x v="2"/>
    <x v="0"/>
    <n v="1"/>
    <x v="0"/>
    <s v="Pomona"/>
    <n v="0"/>
    <n v="0"/>
    <n v="35.807000000000002"/>
    <n v="25.276726409999998"/>
    <n v="34.276726410000002"/>
    <n v="1.5299289477737901"/>
    <n v="35.806655357773799"/>
    <n v="0.41176470588235298"/>
    <n v="0"/>
    <n v="1"/>
    <n v="0"/>
    <n v="0"/>
    <n v="0"/>
    <n v="0.41176470588235298"/>
    <n v="0"/>
  </r>
  <r>
    <n v="406000"/>
    <x v="2"/>
    <x v="0"/>
    <n v="5"/>
    <x v="0"/>
    <s v="Covina"/>
    <n v="1"/>
    <n v="1"/>
    <n v="17.417999999999999"/>
    <n v="12.76143983"/>
    <n v="16.76143983"/>
    <n v="0.65556615294434495"/>
    <n v="17.4170059829443"/>
    <n v="0.41176470588235298"/>
    <n v="2.4285714285714302"/>
    <n v="1"/>
    <n v="0"/>
    <n v="0"/>
    <n v="0"/>
    <n v="0.41176470588235298"/>
    <n v="2.4285714285714284"/>
  </r>
  <r>
    <n v="404803"/>
    <x v="2"/>
    <x v="0"/>
    <n v="1"/>
    <x v="0"/>
    <s v="Baldwin Park"/>
    <n v="0"/>
    <n v="0"/>
    <n v="22.2"/>
    <n v="12.467504229999999"/>
    <n v="21.467504229999999"/>
    <n v="0.73203264879712704"/>
    <n v="22.199536878797101"/>
    <n v="0.41176470588235298"/>
    <n v="0"/>
    <n v="1"/>
    <n v="0"/>
    <n v="0"/>
    <n v="0"/>
    <n v="0.41176470588235298"/>
    <n v="0"/>
  </r>
  <r>
    <n v="405800"/>
    <x v="2"/>
    <x v="0"/>
    <n v="5"/>
    <x v="0"/>
    <s v="Covina"/>
    <n v="0"/>
    <n v="0"/>
    <n v="20.123999999999999"/>
    <n v="14.685901299999999"/>
    <n v="18.685901300000001"/>
    <n v="1.4380535655475799"/>
    <n v="20.123954865547599"/>
    <n v="0.41176470588235298"/>
    <n v="0"/>
    <n v="1"/>
    <n v="0"/>
    <n v="0"/>
    <n v="0"/>
    <n v="0.41176470588235298"/>
    <n v="0"/>
  </r>
  <r>
    <n v="406500"/>
    <x v="2"/>
    <x v="0"/>
    <n v="1"/>
    <x v="0"/>
    <s v="West Covina"/>
    <n v="0"/>
    <n v="0"/>
    <n v="16.649000000000001"/>
    <n v="7.4747511600000003"/>
    <n v="16.47475116"/>
    <n v="0.17391517730700201"/>
    <n v="16.648666337306999"/>
    <n v="0.41176470588235298"/>
    <n v="0"/>
    <n v="1"/>
    <n v="0"/>
    <n v="0"/>
    <n v="0"/>
    <n v="0.41176470588235298"/>
    <n v="0"/>
  </r>
  <r>
    <n v="408401"/>
    <x v="2"/>
    <x v="0"/>
    <n v="4"/>
    <x v="0"/>
    <s v="Hacienda Heights"/>
    <n v="1"/>
    <n v="1"/>
    <n v="10.01"/>
    <n v="8.5001049099999992"/>
    <n v="9.5001049099999992"/>
    <n v="0.50968744603231597"/>
    <n v="10.0097923560323"/>
    <n v="0.41176470588235298"/>
    <n v="2.4285714285714302"/>
    <n v="1"/>
    <n v="0"/>
    <n v="0"/>
    <n v="0"/>
    <n v="0.41176470588235298"/>
    <n v="2.4285714285714284"/>
  </r>
  <r>
    <n v="406901"/>
    <x v="2"/>
    <x v="0"/>
    <n v="1"/>
    <x v="0"/>
    <s v="West Puente Valley"/>
    <n v="0"/>
    <n v="0"/>
    <n v="13.97"/>
    <n v="9.3739952100000004"/>
    <n v="13.37399521"/>
    <n v="0.59614241166965898"/>
    <n v="13.9701376216697"/>
    <n v="0.41176470588235298"/>
    <n v="0"/>
    <n v="1"/>
    <n v="0"/>
    <n v="0"/>
    <n v="0"/>
    <n v="0.41176470588235298"/>
    <n v="0"/>
  </r>
  <r>
    <n v="408140"/>
    <x v="2"/>
    <x v="0"/>
    <n v="1"/>
    <x v="0"/>
    <s v="South San Jose Hills"/>
    <n v="0"/>
    <n v="0"/>
    <n v="5.8289999999999997"/>
    <n v="5.6217117700000001"/>
    <n v="5.6217117700000001"/>
    <n v="0.20678343375224401"/>
    <n v="5.8284952037522402"/>
    <n v="0.41176470588235298"/>
    <n v="0"/>
    <n v="1"/>
    <n v="0"/>
    <n v="0"/>
    <n v="0"/>
    <n v="0.41176470588235298"/>
    <n v="0"/>
  </r>
  <r>
    <n v="401500"/>
    <x v="2"/>
    <x v="0"/>
    <n v="5"/>
    <x v="0"/>
    <s v="La Verne"/>
    <n v="0"/>
    <n v="0"/>
    <n v="7.202"/>
    <n v="6.7669727399999999"/>
    <n v="6.7669727399999999"/>
    <n v="0.434701935745063"/>
    <n v="7.2016746757450596"/>
    <n v="0.41176470588235298"/>
    <n v="0"/>
    <n v="1"/>
    <n v="0"/>
    <n v="0"/>
    <n v="0"/>
    <n v="0.41176470588235298"/>
    <n v="0"/>
  </r>
  <r>
    <n v="407802"/>
    <x v="2"/>
    <x v="0"/>
    <n v="1"/>
    <x v="0"/>
    <s v="Industry"/>
    <n v="0"/>
    <n v="0"/>
    <n v="4.1900000000000004"/>
    <n v="3.9673993200000002"/>
    <n v="3.9673993200000002"/>
    <n v="0.22234520276481101"/>
    <n v="4.1897445227648102"/>
    <n v="0.41176470588235298"/>
    <n v="0"/>
    <n v="1"/>
    <n v="0"/>
    <n v="0"/>
    <n v="0"/>
    <n v="0.41176470588235298"/>
    <n v="0"/>
  </r>
  <r>
    <n v="407102"/>
    <x v="2"/>
    <x v="0"/>
    <n v="1"/>
    <x v="0"/>
    <s v="La Puente"/>
    <n v="1"/>
    <n v="1"/>
    <n v="5.19"/>
    <n v="3.9673993200000002"/>
    <n v="4.9673993200000002"/>
    <n v="0.22234520276481101"/>
    <n v="5.1897445227648102"/>
    <n v="0.41176470588235298"/>
    <n v="2.4285714285714302"/>
    <n v="1"/>
    <n v="0"/>
    <n v="0"/>
    <n v="0"/>
    <n v="0.41176470588235298"/>
    <n v="2.4285714285714284"/>
  </r>
  <r>
    <n v="401202"/>
    <x v="2"/>
    <x v="0"/>
    <n v="5"/>
    <x v="0"/>
    <s v="Glendora"/>
    <n v="1"/>
    <n v="1"/>
    <n v="19.908000000000001"/>
    <n v="14.078448570000001"/>
    <n v="19.078448569999999"/>
    <n v="0.82912446673249596"/>
    <n v="19.907573036732501"/>
    <n v="0.41176470588235298"/>
    <n v="2.4285714285714302"/>
    <n v="1"/>
    <n v="0"/>
    <n v="0"/>
    <n v="0"/>
    <n v="0.41176470588235298"/>
    <n v="2.4285714285714284"/>
  </r>
  <r>
    <n v="402801"/>
    <x v="2"/>
    <x v="0"/>
    <n v="1"/>
    <x v="0"/>
    <s v="Pomona"/>
    <n v="0"/>
    <n v="0"/>
    <n v="32.106999999999999"/>
    <n v="16.920331139999998"/>
    <n v="31.920331139999998"/>
    <n v="0.18649450842010801"/>
    <n v="32.106825648420099"/>
    <n v="0.41176470588235298"/>
    <n v="0"/>
    <n v="1"/>
    <n v="0"/>
    <n v="0"/>
    <n v="0"/>
    <n v="0.41176470588235298"/>
    <n v="0"/>
  </r>
  <r>
    <n v="402902"/>
    <x v="2"/>
    <x v="0"/>
    <n v="1"/>
    <x v="0"/>
    <s v="Pomona"/>
    <n v="1"/>
    <n v="1"/>
    <n v="13.276"/>
    <n v="4.8620928000000001"/>
    <n v="12.862092799999999"/>
    <n v="0.414076613662478"/>
    <n v="13.276169413662499"/>
    <n v="0.41176470588235298"/>
    <n v="2.4285714285714302"/>
    <n v="1"/>
    <n v="0"/>
    <n v="0"/>
    <n v="0"/>
    <n v="0.41176470588235298"/>
    <n v="2.4285714285714284"/>
  </r>
  <r>
    <n v="433200"/>
    <x v="2"/>
    <x v="0"/>
    <n v="1"/>
    <x v="0"/>
    <s v="El Monte"/>
    <n v="1"/>
    <n v="1"/>
    <n v="33.274999999999999"/>
    <n v="17.074971340000001"/>
    <n v="32.074971339999998"/>
    <n v="1.19875873886894"/>
    <n v="33.273730078868901"/>
    <n v="0.41176470588235298"/>
    <n v="2.4285714285714302"/>
    <n v="1"/>
    <n v="0"/>
    <n v="0"/>
    <n v="0"/>
    <n v="0.41176470588235298"/>
    <n v="2.4285714285714284"/>
  </r>
  <r>
    <n v="433307"/>
    <x v="2"/>
    <x v="0"/>
    <n v="1"/>
    <x v="0"/>
    <s v="El Monte"/>
    <n v="0"/>
    <n v="0"/>
    <n v="1.8080000000000001"/>
    <n v="1.73313217"/>
    <n v="1.73313217"/>
    <n v="7.4985510287253102E-2"/>
    <n v="1.8081176802872501"/>
    <n v="0.41176470588235298"/>
    <n v="0"/>
    <n v="1"/>
    <n v="0"/>
    <n v="0"/>
    <n v="0"/>
    <n v="0.41176470588235298"/>
    <n v="0"/>
  </r>
  <r>
    <n v="433102"/>
    <x v="2"/>
    <x v="0"/>
    <n v="1"/>
    <x v="0"/>
    <s v="El Monte"/>
    <n v="0"/>
    <n v="0"/>
    <n v="36.436999999999998"/>
    <n v="34.064250600000001"/>
    <n v="36.064250600000001"/>
    <n v="0.37212240716337502"/>
    <n v="36.436373007163397"/>
    <n v="0.41176470588235298"/>
    <n v="0"/>
    <n v="1"/>
    <n v="0"/>
    <n v="0"/>
    <n v="0"/>
    <n v="0.41176470588235298"/>
    <n v="0"/>
  </r>
  <r>
    <n v="431100"/>
    <x v="2"/>
    <x v="0"/>
    <n v="5"/>
    <x v="0"/>
    <s v="Monrovia"/>
    <n v="0"/>
    <n v="0"/>
    <n v="8.1159999999999997"/>
    <n v="5.87227926"/>
    <n v="7.87227926"/>
    <n v="0.24297052484739701"/>
    <n v="8.1152497848473999"/>
    <n v="0.41176470588235298"/>
    <n v="0"/>
    <n v="1"/>
    <n v="0"/>
    <n v="0"/>
    <n v="0"/>
    <n v="0.41176470588235298"/>
    <n v="0"/>
  </r>
  <r>
    <n v="433501"/>
    <x v="2"/>
    <x v="0"/>
    <n v="1"/>
    <x v="0"/>
    <s v="South El Monte"/>
    <n v="1"/>
    <n v="1"/>
    <n v="25.878"/>
    <n v="21.898975879999998"/>
    <n v="24.898975879999998"/>
    <n v="0.98006672671454198"/>
    <n v="25.879042606714499"/>
    <n v="0.41176470588235298"/>
    <n v="2.4285714285714302"/>
    <n v="1"/>
    <n v="0"/>
    <n v="0"/>
    <n v="0"/>
    <n v="0.41176470588235298"/>
    <n v="2.4285714285714284"/>
  </r>
  <r>
    <n v="432401"/>
    <x v="2"/>
    <x v="0"/>
    <n v="1"/>
    <x v="0"/>
    <s v="El Monte"/>
    <n v="0"/>
    <n v="0"/>
    <n v="1"/>
    <n v="0"/>
    <n v="1"/>
    <n v="0"/>
    <n v="1"/>
    <n v="0.41176470588235298"/>
    <n v="0"/>
    <n v="1"/>
    <n v="0"/>
    <n v="0"/>
    <n v="0"/>
    <n v="0.41176470588235298"/>
    <n v="0"/>
  </r>
  <r>
    <n v="408501"/>
    <x v="2"/>
    <x v="0"/>
    <n v="4"/>
    <x v="0"/>
    <s v="Hacienda Heights"/>
    <n v="0"/>
    <n v="0"/>
    <n v="13.702"/>
    <n v="7.6195197600000002"/>
    <n v="13.619519759999999"/>
    <n v="8.2501288330341094E-2"/>
    <n v="13.7020210483303"/>
    <n v="0.41176470588235298"/>
    <n v="0"/>
    <n v="1"/>
    <n v="0"/>
    <n v="0"/>
    <n v="0"/>
    <n v="0.41176470588235298"/>
    <n v="0"/>
  </r>
  <r>
    <n v="405102"/>
    <x v="2"/>
    <x v="0"/>
    <n v="1"/>
    <x v="0"/>
    <s v="Baldwin Park"/>
    <n v="0"/>
    <n v="0"/>
    <n v="11.68"/>
    <n v="9.4314716500000007"/>
    <n v="11.431471650000001"/>
    <n v="0.248034077917415"/>
    <n v="11.6795057279174"/>
    <n v="0.41176470588235298"/>
    <n v="0"/>
    <n v="1"/>
    <n v="0"/>
    <n v="0"/>
    <n v="0"/>
    <n v="0.41176470588235298"/>
    <n v="0"/>
  </r>
  <r>
    <n v="408703"/>
    <x v="2"/>
    <x v="0"/>
    <n v="4"/>
    <x v="0"/>
    <s v="Rowland Heights"/>
    <n v="0"/>
    <n v="0"/>
    <n v="0"/>
    <n v="0"/>
    <n v="0"/>
    <n v="0"/>
    <n v="0"/>
    <n v="0.41176470588235298"/>
    <n v="0"/>
    <n v="1"/>
    <n v="0"/>
    <n v="0"/>
    <n v="0"/>
    <n v="0.41176470588235298"/>
    <n v="0"/>
  </r>
  <r>
    <n v="401304"/>
    <x v="2"/>
    <x v="0"/>
    <n v="5"/>
    <x v="0"/>
    <s v="San Dimas"/>
    <n v="0"/>
    <n v="0"/>
    <n v="0"/>
    <n v="0"/>
    <n v="0"/>
    <n v="0"/>
    <n v="0"/>
    <n v="0.41176470588235298"/>
    <n v="0"/>
    <n v="1"/>
    <n v="0"/>
    <n v="0"/>
    <n v="0"/>
    <n v="0.41176470588235298"/>
    <n v="0"/>
  </r>
  <r>
    <n v="403801"/>
    <x v="2"/>
    <x v="0"/>
    <n v="5"/>
    <x v="0"/>
    <s v="Charter Oak"/>
    <n v="1"/>
    <n v="1"/>
    <n v="5.2759999999999998"/>
    <n v="4.8620928000000001"/>
    <n v="4.8620928000000001"/>
    <n v="0.414076613662478"/>
    <n v="5.2761694136624797"/>
    <n v="0.41176470588235298"/>
    <n v="2.4285714285714302"/>
    <n v="1"/>
    <n v="0"/>
    <n v="0"/>
    <n v="0"/>
    <n v="0.41176470588235298"/>
    <n v="2.4285714285714284"/>
  </r>
  <r>
    <n v="407002"/>
    <x v="2"/>
    <x v="0"/>
    <n v="1"/>
    <x v="0"/>
    <s v="Industry"/>
    <n v="1"/>
    <n v="1"/>
    <n v="119.64"/>
    <n v="75.756779399999999"/>
    <n v="118.7567794"/>
    <n v="0.88272911132854603"/>
    <n v="119.639508511329"/>
    <n v="0.41176470588235298"/>
    <n v="2.4285714285714302"/>
    <n v="1"/>
    <n v="0"/>
    <n v="0"/>
    <n v="0"/>
    <n v="0.41176470588235298"/>
    <n v="2.4285714285714284"/>
  </r>
  <r>
    <n v="480802"/>
    <x v="2"/>
    <x v="0"/>
    <n v="5"/>
    <x v="0"/>
    <s v="Alhambra"/>
    <n v="0"/>
    <n v="0"/>
    <n v="7.9459999999999997"/>
    <n v="5.7934595399999997"/>
    <n v="7.7934595399999997"/>
    <n v="0.152423245547576"/>
    <n v="7.94588278554758"/>
    <n v="0.41176470588235298"/>
    <n v="0"/>
    <n v="1"/>
    <n v="0"/>
    <n v="0"/>
    <n v="0"/>
    <n v="0.41176470588235298"/>
    <n v="0"/>
  </r>
  <r>
    <n v="433700"/>
    <x v="2"/>
    <x v="0"/>
    <n v="1"/>
    <x v="0"/>
    <s v="South El Monte"/>
    <n v="1"/>
    <n v="1"/>
    <n v="19.937000000000001"/>
    <n v="19.056034350000001"/>
    <n v="19.056034350000001"/>
    <n v="0.88036358068222598"/>
    <n v="19.936397930682201"/>
    <n v="0.41176470588235298"/>
    <n v="2.4285714285714302"/>
    <n v="1"/>
    <n v="0"/>
    <n v="0"/>
    <n v="0"/>
    <n v="0.41176470588235298"/>
    <n v="2.4285714285714284"/>
  </r>
  <r>
    <n v="404802"/>
    <x v="2"/>
    <x v="0"/>
    <n v="1"/>
    <x v="0"/>
    <s v="Baldwin Park"/>
    <n v="1"/>
    <n v="1"/>
    <n v="15.507999999999999"/>
    <n v="11.79462148"/>
    <n v="14.79462148"/>
    <n v="0.71401865481148996"/>
    <n v="15.5086401348115"/>
    <n v="0.41176470588235298"/>
    <n v="2.4285714285714302"/>
    <n v="1"/>
    <n v="0"/>
    <n v="0"/>
    <n v="0"/>
    <n v="0.41176470588235298"/>
    <n v="2.4285714285714284"/>
  </r>
  <r>
    <n v="404401"/>
    <x v="2"/>
    <x v="0"/>
    <n v="1"/>
    <x v="0"/>
    <s v="Azusa"/>
    <n v="0"/>
    <n v="0"/>
    <n v="6.2759999999999998"/>
    <n v="4.8620928000000001"/>
    <n v="5.8620928000000001"/>
    <n v="0.414076613662478"/>
    <n v="6.2761694136624797"/>
    <n v="0.41176470588235298"/>
    <n v="0"/>
    <n v="1"/>
    <n v="0"/>
    <n v="0"/>
    <n v="0"/>
    <n v="0.41176470588235298"/>
    <n v="0"/>
  </r>
  <r>
    <n v="406300"/>
    <x v="2"/>
    <x v="0"/>
    <n v="1"/>
    <x v="0"/>
    <s v="West Covina"/>
    <n v="0"/>
    <n v="0"/>
    <n v="7.2759999999999998"/>
    <n v="4.8620928000000001"/>
    <n v="6.8620928000000001"/>
    <n v="0.414076613662478"/>
    <n v="7.2761694136624797"/>
    <n v="0.41176470588235298"/>
    <n v="0"/>
    <n v="1"/>
    <n v="0"/>
    <n v="0"/>
    <n v="0"/>
    <n v="0.41176470588235298"/>
    <n v="0"/>
  </r>
  <r>
    <n v="406101"/>
    <x v="2"/>
    <x v="0"/>
    <n v="5"/>
    <x v="0"/>
    <s v="Covina"/>
    <n v="1"/>
    <n v="1"/>
    <n v="16.202000000000002"/>
    <n v="6.7669727399999999"/>
    <n v="15.76697274"/>
    <n v="0.434701935745063"/>
    <n v="16.2016746757451"/>
    <n v="0.41176470588235298"/>
    <n v="2.4285714285714302"/>
    <n v="1"/>
    <n v="0"/>
    <n v="0"/>
    <n v="0"/>
    <n v="0.41176470588235298"/>
    <n v="2.4285714285714284"/>
  </r>
  <r>
    <n v="408402"/>
    <x v="2"/>
    <x v="0"/>
    <n v="4"/>
    <x v="0"/>
    <s v="Hacienda Heights"/>
    <n v="0"/>
    <n v="0"/>
    <n v="9.9529999999999994"/>
    <n v="7.19598285"/>
    <n v="9.19598285"/>
    <n v="0.75726003070018"/>
    <n v="9.9532428807001807"/>
    <n v="0.41176470588235298"/>
    <n v="0"/>
    <n v="1"/>
    <n v="0"/>
    <n v="0"/>
    <n v="0"/>
    <n v="0.41176470588235298"/>
    <n v="0"/>
  </r>
  <r>
    <n v="403721"/>
    <x v="2"/>
    <x v="0"/>
    <n v="5"/>
    <x v="0"/>
    <s v="Covina"/>
    <n v="0"/>
    <n v="0"/>
    <n v="6.4939999999999998"/>
    <n v="5.1560284000000003"/>
    <n v="6.1560284000000003"/>
    <n v="0.33761011780969502"/>
    <n v="6.4936385178096998"/>
    <n v="0.41176470588235298"/>
    <n v="0"/>
    <n v="1"/>
    <n v="0"/>
    <n v="0"/>
    <n v="0"/>
    <n v="0.41176470588235298"/>
    <n v="0"/>
  </r>
  <r>
    <n v="404703"/>
    <x v="2"/>
    <x v="0"/>
    <n v="1"/>
    <x v="0"/>
    <s v="Baldwin Park"/>
    <n v="0"/>
    <n v="0"/>
    <n v="5.4420000000000002"/>
    <n v="5.2489564499999997"/>
    <n v="5.2489564499999997"/>
    <n v="0.192702650305207"/>
    <n v="5.4416591003052099"/>
    <n v="0.41176470588235298"/>
    <n v="0"/>
    <n v="1"/>
    <n v="0"/>
    <n v="0"/>
    <n v="0"/>
    <n v="0.41176470588235298"/>
    <n v="0"/>
  </r>
  <r>
    <n v="482402"/>
    <x v="2"/>
    <x v="0"/>
    <n v="1"/>
    <x v="0"/>
    <s v="Rosemead"/>
    <n v="0"/>
    <n v="0"/>
    <n v="2.0950000000000002"/>
    <n v="1.9836996600000001"/>
    <n v="1.9836996600000001"/>
    <n v="0.11117260138240601"/>
    <n v="2.09487226138241"/>
    <n v="0.41176470588235298"/>
    <n v="0"/>
    <n v="1"/>
    <n v="0"/>
    <n v="0"/>
    <n v="0"/>
    <n v="0.41176470588235298"/>
    <n v="0"/>
  </r>
  <r>
    <n v="404701"/>
    <x v="2"/>
    <x v="0"/>
    <n v="1"/>
    <x v="0"/>
    <s v="Baldwin Park"/>
    <n v="0"/>
    <n v="0"/>
    <n v="13.176"/>
    <n v="8.8869685599999997"/>
    <n v="12.88696856"/>
    <n v="0.28831348267504497"/>
    <n v="13.175282042675001"/>
    <n v="0.41176470588235298"/>
    <n v="0"/>
    <n v="1"/>
    <n v="0"/>
    <n v="0"/>
    <n v="0"/>
    <n v="0.41176470588235298"/>
    <n v="0"/>
  </r>
  <r>
    <n v="407602"/>
    <x v="2"/>
    <x v="0"/>
    <n v="1"/>
    <x v="0"/>
    <s v="La Puente"/>
    <n v="0"/>
    <n v="0"/>
    <n v="11.776999999999999"/>
    <n v="5.7146398200000004"/>
    <n v="11.71463982"/>
    <n v="6.18759662477558E-2"/>
    <n v="11.776515786247799"/>
    <n v="0.41176470588235298"/>
    <n v="0"/>
    <n v="1"/>
    <n v="0"/>
    <n v="0"/>
    <n v="0"/>
    <n v="0.41176470588235298"/>
    <n v="0"/>
  </r>
  <r>
    <n v="432300"/>
    <x v="2"/>
    <x v="0"/>
    <n v="1"/>
    <x v="0"/>
    <s v="El Monte"/>
    <n v="1"/>
    <n v="1"/>
    <n v="10.707000000000001"/>
    <n v="7.31147583"/>
    <n v="10.311475829999999"/>
    <n v="0.39442253098743302"/>
    <n v="10.705898360987399"/>
    <n v="0.41176470588235298"/>
    <n v="2.4285714285714302"/>
    <n v="1"/>
    <n v="0"/>
    <n v="0"/>
    <n v="0"/>
    <n v="0.41176470588235298"/>
    <n v="2.4285714285714284"/>
  </r>
  <r>
    <n v="405203"/>
    <x v="2"/>
    <x v="0"/>
    <n v="1"/>
    <x v="0"/>
    <s v="Baldwin Park"/>
    <n v="0"/>
    <n v="0"/>
    <n v="7.806"/>
    <n v="7.4336636599999997"/>
    <n v="7.4336636599999997"/>
    <n v="0.37231622333931802"/>
    <n v="7.8059798833393197"/>
    <n v="0.41176470588235298"/>
    <n v="0"/>
    <n v="1"/>
    <n v="0"/>
    <n v="0"/>
    <n v="0"/>
    <n v="0.41176470588235298"/>
    <n v="0"/>
  </r>
  <r>
    <n v="405002"/>
    <x v="2"/>
    <x v="0"/>
    <n v="1"/>
    <x v="0"/>
    <s v="Baldwin Park"/>
    <n v="0"/>
    <n v="0"/>
    <n v="15.186999999999999"/>
    <n v="9.6679308099999997"/>
    <n v="14.66793081"/>
    <n v="0.519675915816876"/>
    <n v="15.187606725816901"/>
    <n v="0.41176470588235298"/>
    <n v="0"/>
    <n v="1"/>
    <n v="0"/>
    <n v="0"/>
    <n v="0"/>
    <n v="0.41176470588235298"/>
    <n v="0"/>
  </r>
  <r>
    <n v="433101"/>
    <x v="2"/>
    <x v="0"/>
    <n v="1"/>
    <x v="0"/>
    <s v="El Monte"/>
    <n v="1"/>
    <n v="1"/>
    <n v="2"/>
    <n v="0"/>
    <n v="2"/>
    <n v="0"/>
    <n v="2"/>
    <n v="0.41176470588235298"/>
    <n v="2.4285714285714302"/>
    <n v="1"/>
    <n v="0"/>
    <n v="0"/>
    <n v="0"/>
    <n v="0.41176470588235298"/>
    <n v="2.4285714285714284"/>
  </r>
  <r>
    <n v="401704"/>
    <x v="2"/>
    <x v="0"/>
    <n v="1"/>
    <x v="0"/>
    <s v="Pomona"/>
    <n v="1"/>
    <n v="1"/>
    <n v="11.589"/>
    <n v="7.1397280600000004"/>
    <n v="11.139728059999999"/>
    <n v="0.448782719192101"/>
    <n v="11.5885107791921"/>
    <n v="0.41176470588235298"/>
    <n v="2.4285714285714302"/>
    <n v="1"/>
    <n v="0"/>
    <n v="0"/>
    <n v="0"/>
    <n v="0.41176470588235298"/>
    <n v="2.4285714285714284"/>
  </r>
  <r>
    <n v="433601"/>
    <x v="2"/>
    <x v="0"/>
    <n v="1"/>
    <x v="0"/>
    <s v="Rosemead"/>
    <n v="0"/>
    <n v="0"/>
    <n v="5.5540000000000003"/>
    <n v="5.4910515000000002"/>
    <n v="5.4910515000000002"/>
    <n v="6.2742575924596006E-2"/>
    <n v="5.5537940759245998"/>
    <n v="0.41176470588235298"/>
    <n v="0"/>
    <n v="1"/>
    <n v="0"/>
    <n v="0"/>
    <n v="0"/>
    <n v="0.41176470588235298"/>
    <n v="0"/>
  </r>
  <r>
    <n v="432801"/>
    <x v="2"/>
    <x v="0"/>
    <n v="1"/>
    <x v="0"/>
    <s v="El Monte"/>
    <n v="1"/>
    <n v="1"/>
    <n v="50.546999999999997"/>
    <n v="25.5858293"/>
    <n v="48.5858293"/>
    <n v="1.9603408094614001"/>
    <n v="50.5461701094614"/>
    <n v="0.41176470588235298"/>
    <n v="2.4285714285714302"/>
    <n v="1"/>
    <n v="0"/>
    <n v="0"/>
    <n v="0"/>
    <n v="0.41176470588235298"/>
    <n v="2.4285714285714284"/>
  </r>
  <r>
    <n v="401800"/>
    <x v="2"/>
    <x v="0"/>
    <n v="1"/>
    <x v="0"/>
    <s v="Claremont"/>
    <n v="0"/>
    <n v="0"/>
    <n v="2"/>
    <n v="0"/>
    <n v="2"/>
    <n v="0"/>
    <n v="2"/>
    <n v="0.41176470588235298"/>
    <n v="0"/>
    <n v="1"/>
    <n v="0"/>
    <n v="0"/>
    <n v="0"/>
    <n v="0.41176470588235298"/>
    <n v="0"/>
  </r>
  <r>
    <n v="406902"/>
    <x v="2"/>
    <x v="0"/>
    <n v="1"/>
    <x v="0"/>
    <s v="West Puente Valley"/>
    <n v="0"/>
    <n v="0"/>
    <n v="8.093"/>
    <n v="7.6842311499999996"/>
    <n v="7.6842311499999996"/>
    <n v="0.40850331443447002"/>
    <n v="8.0927344644344696"/>
    <n v="0.41176470588235298"/>
    <n v="0"/>
    <n v="1"/>
    <n v="0"/>
    <n v="0"/>
    <n v="0"/>
    <n v="0.41176470588235298"/>
    <n v="0"/>
  </r>
  <r>
    <n v="480302"/>
    <x v="2"/>
    <x v="0"/>
    <n v="5"/>
    <x v="0"/>
    <s v="Alhambra"/>
    <n v="0"/>
    <n v="0"/>
    <n v="7.6589999999999998"/>
    <n v="5.5428920499999998"/>
    <n v="7.5428920499999998"/>
    <n v="0.116236154452424"/>
    <n v="7.6591282044524203"/>
    <n v="0.41176470588235298"/>
    <n v="0"/>
    <n v="1"/>
    <n v="0"/>
    <n v="0"/>
    <n v="0"/>
    <n v="0.41176470588235298"/>
    <n v="0"/>
  </r>
  <r>
    <n v="404801"/>
    <x v="2"/>
    <x v="0"/>
    <n v="1"/>
    <x v="0"/>
    <s v="Baldwin Park"/>
    <n v="0"/>
    <n v="0"/>
    <n v="6.6120000000000001"/>
    <n v="5.3277761699999999"/>
    <n v="6.3277761699999999"/>
    <n v="0.28324992960502698"/>
    <n v="6.6110260996050298"/>
    <n v="0.41176470588235298"/>
    <n v="0"/>
    <n v="1"/>
    <n v="0"/>
    <n v="0"/>
    <n v="0"/>
    <n v="0.41176470588235298"/>
    <n v="0"/>
  </r>
  <r>
    <n v="404202"/>
    <x v="2"/>
    <x v="0"/>
    <n v="1"/>
    <x v="0"/>
    <s v="Azusa"/>
    <n v="0"/>
    <n v="0"/>
    <n v="16.623000000000001"/>
    <n v="8.1273495899999997"/>
    <n v="16.127349590000001"/>
    <n v="0.49560666258527802"/>
    <n v="16.622956252585301"/>
    <n v="0.41176470588235298"/>
    <n v="0"/>
    <n v="1"/>
    <n v="0"/>
    <n v="0"/>
    <n v="0"/>
    <n v="0.41176470588235298"/>
    <n v="0"/>
  </r>
  <r>
    <n v="404600"/>
    <x v="2"/>
    <x v="0"/>
    <n v="1"/>
    <x v="0"/>
    <s v="Irwindale"/>
    <n v="1"/>
    <n v="1"/>
    <n v="49.503"/>
    <n v="34.520061349999999"/>
    <n v="47.520061349999999"/>
    <n v="1.9820305016158"/>
    <n v="49.502091851615802"/>
    <n v="0.41176470588235298"/>
    <n v="2.4285714285714302"/>
    <n v="1"/>
    <n v="0"/>
    <n v="0"/>
    <n v="0"/>
    <n v="0.41176470588235298"/>
    <n v="2.4285714285714284"/>
  </r>
  <r>
    <n v="431001"/>
    <x v="2"/>
    <x v="0"/>
    <n v="5"/>
    <x v="0"/>
    <s v="Monrovia"/>
    <n v="0"/>
    <n v="0"/>
    <n v="12.462999999999999"/>
    <n v="9.1375360499999996"/>
    <n v="12.13753605"/>
    <n v="0.32450057377019698"/>
    <n v="12.462036623770199"/>
    <n v="0.41176470588235298"/>
    <n v="0"/>
    <n v="1"/>
    <n v="0"/>
    <n v="0"/>
    <n v="0"/>
    <n v="0.41176470588235298"/>
    <n v="0"/>
  </r>
  <r>
    <n v="404504"/>
    <x v="2"/>
    <x v="0"/>
    <n v="1"/>
    <x v="0"/>
    <s v="Azusa"/>
    <n v="1"/>
    <n v="1"/>
    <n v="11.211"/>
    <n v="7.8559789200000001"/>
    <n v="10.85597892"/>
    <n v="0.35414312622980199"/>
    <n v="11.210122046229801"/>
    <n v="0.41176470588235298"/>
    <n v="2.4285714285714302"/>
    <n v="1"/>
    <n v="0"/>
    <n v="0"/>
    <n v="0"/>
    <n v="0.41176470588235298"/>
    <n v="2.4285714285714284"/>
  </r>
  <r>
    <n v="460200"/>
    <x v="2"/>
    <x v="0"/>
    <n v="5"/>
    <x v="0"/>
    <s v="Altadena"/>
    <n v="1"/>
    <n v="1"/>
    <n v="7.1970000000000001"/>
    <n v="6.8373200199999999"/>
    <n v="6.8373200199999999"/>
    <n v="0.35910204956912001"/>
    <n v="7.1964220695691203"/>
    <n v="0.41176470588235298"/>
    <n v="2.4285714285714302"/>
    <n v="1"/>
    <n v="0"/>
    <n v="0"/>
    <n v="0"/>
    <n v="0.41176470588235298"/>
    <n v="2.4285714285714284"/>
  </r>
  <r>
    <n v="404501"/>
    <x v="2"/>
    <x v="0"/>
    <n v="1"/>
    <x v="0"/>
    <s v="Azusa"/>
    <n v="0"/>
    <n v="0"/>
    <n v="12.988"/>
    <n v="7.6323905999999999"/>
    <n v="12.632390600000001"/>
    <n v="0.35500973590664298"/>
    <n v="12.987400335906599"/>
    <n v="0.41176470588235298"/>
    <n v="0"/>
    <n v="1"/>
    <n v="0"/>
    <n v="0"/>
    <n v="0"/>
    <n v="0.41176470588235298"/>
    <n v="0"/>
  </r>
  <r>
    <n v="482401"/>
    <x v="2"/>
    <x v="0"/>
    <n v="1"/>
    <x v="0"/>
    <s v="Rosemead"/>
    <n v="0"/>
    <n v="0"/>
    <n v="17.548999999999999"/>
    <n v="10.03222953"/>
    <n v="17.032229529999999"/>
    <n v="0.51623198466786402"/>
    <n v="17.548461514667899"/>
    <n v="0.41176470588235298"/>
    <n v="0"/>
    <n v="1"/>
    <n v="0"/>
    <n v="0"/>
    <n v="0"/>
    <n v="0.41176470588235298"/>
    <n v="0"/>
  </r>
  <r>
    <n v="481202"/>
    <x v="2"/>
    <x v="0"/>
    <n v="5"/>
    <x v="0"/>
    <s v="East San Gabriel"/>
    <n v="0"/>
    <n v="0"/>
    <n v="3.6160000000000001"/>
    <n v="3.4662643399999999"/>
    <n v="3.4662643399999999"/>
    <n v="0.14997102057450601"/>
    <n v="3.6162353605745099"/>
    <n v="0.41176470588235298"/>
    <n v="0"/>
    <n v="1"/>
    <n v="0"/>
    <n v="0"/>
    <n v="0"/>
    <n v="0.41176470588235298"/>
    <n v="0"/>
  </r>
  <r>
    <n v="480600"/>
    <x v="2"/>
    <x v="0"/>
    <n v="5"/>
    <x v="0"/>
    <s v="South Pasadena"/>
    <n v="1"/>
    <n v="1"/>
    <n v="9.1809999999999992"/>
    <n v="2.87839314"/>
    <n v="8.87839314"/>
    <n v="0.30290401228007202"/>
    <n v="9.1812971522800702"/>
    <n v="0.41176470588235298"/>
    <n v="2.4285714285714302"/>
    <n v="1"/>
    <n v="0"/>
    <n v="0"/>
    <n v="0"/>
    <n v="0.41176470588235298"/>
    <n v="2.4285714285714284"/>
  </r>
  <r>
    <n v="402303"/>
    <x v="2"/>
    <x v="0"/>
    <n v="1"/>
    <x v="0"/>
    <s v="Pomona"/>
    <n v="0"/>
    <n v="0"/>
    <n v="3"/>
    <n v="0"/>
    <n v="3"/>
    <n v="0"/>
    <n v="3"/>
    <n v="0.41176470588235298"/>
    <n v="0"/>
    <n v="1"/>
    <n v="0"/>
    <n v="0"/>
    <n v="0"/>
    <n v="0.41176470588235298"/>
    <n v="0"/>
  </r>
  <r>
    <n v="930301"/>
    <x v="2"/>
    <x v="0"/>
    <n v="5"/>
    <x v="0"/>
    <s v="Angeles National Forest"/>
    <n v="1"/>
    <n v="1"/>
    <n v="60.912999999999997"/>
    <n v="33.341466560000001"/>
    <n v="59.341466560000001"/>
    <n v="1.57152495639138"/>
    <n v="60.912991516391401"/>
    <n v="0.41176470588235298"/>
    <n v="2.4285714285714302"/>
    <n v="1"/>
    <n v="0"/>
    <n v="0"/>
    <n v="0"/>
    <n v="0.41176470588235298"/>
    <n v="2.4285714285714284"/>
  </r>
  <r>
    <n v="407302"/>
    <x v="2"/>
    <x v="0"/>
    <n v="1"/>
    <x v="0"/>
    <s v="West Puente Valley"/>
    <n v="0"/>
    <n v="0"/>
    <n v="4.9889999999999999"/>
    <n v="4.6115253100000002"/>
    <n v="4.6115253100000002"/>
    <n v="0.377889522567325"/>
    <n v="4.9894148325673298"/>
    <n v="0.41176470588235298"/>
    <n v="0"/>
    <n v="1"/>
    <n v="0"/>
    <n v="0"/>
    <n v="0"/>
    <n v="0.41176470588235298"/>
    <n v="0"/>
  </r>
  <r>
    <n v="930101"/>
    <x v="2"/>
    <x v="0"/>
    <n v="5"/>
    <x v="0"/>
    <s v="Angeles National Forest"/>
    <n v="0"/>
    <n v="0"/>
    <n v="43.985999999999997"/>
    <n v="25.405949159999999"/>
    <n v="43.405949159999999"/>
    <n v="0.57969929612208304"/>
    <n v="43.9856484561221"/>
    <n v="0.41176470588235298"/>
    <n v="0"/>
    <n v="1"/>
    <n v="0"/>
    <n v="0"/>
    <n v="0"/>
    <n v="0.41176470588235298"/>
    <n v="0"/>
  </r>
  <r>
    <n v="431502"/>
    <x v="2"/>
    <x v="0"/>
    <n v="5"/>
    <x v="0"/>
    <s v="North El Monte"/>
    <n v="1"/>
    <n v="1"/>
    <n v="0"/>
    <n v="0"/>
    <n v="0"/>
    <n v="0"/>
    <n v="0"/>
    <n v="0.41176470588235298"/>
    <n v="2.4285714285714302"/>
    <n v="1"/>
    <n v="0"/>
    <n v="0"/>
    <n v="0"/>
    <n v="0.41176470588235298"/>
    <n v="2.4285714285714284"/>
  </r>
  <r>
    <n v="434001"/>
    <x v="2"/>
    <x v="0"/>
    <n v="1"/>
    <x v="0"/>
    <s v="El Monte"/>
    <n v="1"/>
    <n v="1"/>
    <n v="1.9259999999999999"/>
    <n v="1.90487994"/>
    <n v="1.90487994"/>
    <n v="2.0625322082585301E-2"/>
    <n v="1.9255052620825901"/>
    <n v="0.41176470588235298"/>
    <n v="2.4285714285714302"/>
    <n v="1"/>
    <n v="0"/>
    <n v="0"/>
    <n v="0"/>
    <n v="0.41176470588235298"/>
    <n v="2.4285714285714284"/>
  </r>
  <r>
    <n v="433802"/>
    <x v="2"/>
    <x v="0"/>
    <n v="1"/>
    <x v="0"/>
    <s v="Whittier Narrows"/>
    <n v="0"/>
    <n v="0"/>
    <n v="85.631"/>
    <n v="62.061660670000002"/>
    <n v="84.061660669999995"/>
    <n v="1.5698763513285501"/>
    <n v="85.631537021328597"/>
    <n v="0.41176470588235298"/>
    <n v="0"/>
    <n v="1"/>
    <n v="0"/>
    <n v="0"/>
    <n v="0"/>
    <n v="0.41176470588235298"/>
    <n v="0"/>
  </r>
  <r>
    <n v="433302"/>
    <x v="2"/>
    <x v="0"/>
    <n v="1"/>
    <x v="0"/>
    <s v="El Monte"/>
    <n v="1"/>
    <n v="1"/>
    <n v="26.893999999999998"/>
    <n v="24.39050537"/>
    <n v="25.39050537"/>
    <n v="1.5043447023518799"/>
    <n v="26.8948500723519"/>
    <n v="0.41176470588235298"/>
    <n v="2.4285714285714302"/>
    <n v="1"/>
    <n v="0"/>
    <n v="0"/>
    <n v="0"/>
    <n v="0.41176470588235298"/>
    <n v="2.4285714285714284"/>
  </r>
  <r>
    <n v="407801"/>
    <x v="2"/>
    <x v="0"/>
    <n v="1"/>
    <x v="0"/>
    <s v="Industry"/>
    <n v="0"/>
    <n v="0"/>
    <n v="6.5540000000000003"/>
    <n v="5.4910515000000002"/>
    <n v="6.4910515000000002"/>
    <n v="6.2742575924596006E-2"/>
    <n v="6.5537940759245998"/>
    <n v="0.41176470588235298"/>
    <n v="0"/>
    <n v="1"/>
    <n v="0"/>
    <n v="0"/>
    <n v="0"/>
    <n v="0.41176470588235298"/>
    <n v="0"/>
  </r>
  <r>
    <n v="408723"/>
    <x v="2"/>
    <x v="0"/>
    <n v="4"/>
    <x v="0"/>
    <s v="Rowland Heights"/>
    <n v="1"/>
    <n v="1"/>
    <n v="7.6369999999999996"/>
    <n v="7.3548439400000003"/>
    <n v="7.3548439400000003"/>
    <n v="0.28176894403949698"/>
    <n v="7.6366128840394998"/>
    <n v="0.41176470588235298"/>
    <n v="2.4285714285714302"/>
    <n v="1"/>
    <n v="0"/>
    <n v="0"/>
    <n v="0"/>
    <n v="0.41176470588235298"/>
    <n v="2.4285714285714284"/>
  </r>
  <r>
    <n v="408704"/>
    <x v="2"/>
    <x v="0"/>
    <n v="4"/>
    <x v="0"/>
    <s v="Rowland Heights"/>
    <n v="1"/>
    <n v="1"/>
    <n v="7.0839999999999996"/>
    <n v="6.5952249700000003"/>
    <n v="6.5952249700000003"/>
    <n v="0.48906212394973098"/>
    <n v="7.0842870939497304"/>
    <n v="0.41176470588235298"/>
    <n v="2.4285714285714302"/>
    <n v="1"/>
    <n v="0"/>
    <n v="0"/>
    <n v="0"/>
    <n v="0.41176470588235298"/>
    <n v="2.4285714285714284"/>
  </r>
  <r>
    <n v="402200"/>
    <x v="2"/>
    <x v="0"/>
    <n v="1"/>
    <x v="0"/>
    <s v="Pomona"/>
    <n v="0"/>
    <n v="0"/>
    <n v="41.470999999999997"/>
    <n v="14.720278110000001"/>
    <n v="40.720278110000002"/>
    <n v="0.75029887657091598"/>
    <n v="41.470576986570897"/>
    <n v="0.41176470588235298"/>
    <n v="0"/>
    <n v="1"/>
    <n v="0"/>
    <n v="0"/>
    <n v="0"/>
    <n v="0.41176470588235298"/>
    <n v="0"/>
  </r>
  <r>
    <n v="408302"/>
    <x v="2"/>
    <x v="0"/>
    <n v="1"/>
    <x v="0"/>
    <s v="Avocado Heights"/>
    <n v="1"/>
    <n v="1"/>
    <n v="32.438000000000002"/>
    <n v="22.187794319999998"/>
    <n v="32.187794320000002"/>
    <n v="0.25010369402154398"/>
    <n v="32.437898014021499"/>
    <n v="0.41176470588235298"/>
    <n v="2.4285714285714302"/>
    <n v="1"/>
    <n v="0"/>
    <n v="0"/>
    <n v="0"/>
    <n v="0.41176470588235298"/>
    <n v="2.4285714285714284"/>
  </r>
  <r>
    <n v="430901"/>
    <x v="2"/>
    <x v="0"/>
    <n v="5"/>
    <x v="0"/>
    <s v="Monrovia"/>
    <n v="0"/>
    <n v="0"/>
    <n v="7.8289999999999997"/>
    <n v="5.6217117700000001"/>
    <n v="7.6217117700000001"/>
    <n v="0.20678343375224401"/>
    <n v="7.8284952037522402"/>
    <n v="0.41176470588235298"/>
    <n v="0"/>
    <n v="1"/>
    <n v="0"/>
    <n v="0"/>
    <n v="0"/>
    <n v="0.41176470588235298"/>
    <n v="0"/>
  </r>
  <r>
    <n v="433602"/>
    <x v="2"/>
    <x v="0"/>
    <n v="1"/>
    <x v="0"/>
    <s v="Rosemead"/>
    <n v="1"/>
    <n v="1"/>
    <n v="9.5909999999999993"/>
    <n v="1.43919657"/>
    <n v="9.43919657"/>
    <n v="0.15145200614003601"/>
    <n v="9.5906485761400404"/>
    <n v="0.41176470588235298"/>
    <n v="2.4285714285714302"/>
    <n v="1"/>
    <n v="0"/>
    <n v="0"/>
    <n v="0"/>
    <n v="0.41176470588235298"/>
    <n v="2.4285714285714284"/>
  </r>
  <r>
    <n v="431400"/>
    <x v="2"/>
    <x v="0"/>
    <n v="5"/>
    <x v="0"/>
    <s v="Mayflower Village"/>
    <n v="1"/>
    <n v="1"/>
    <n v="9.19"/>
    <n v="3.9673993200000002"/>
    <n v="8.9673993200000002"/>
    <n v="0.22234520276481101"/>
    <n v="9.1897445227648102"/>
    <n v="0.41176470588235298"/>
    <n v="2.4285714285714302"/>
    <n v="1"/>
    <n v="0"/>
    <n v="0"/>
    <n v="0"/>
    <n v="0.41176470588235298"/>
    <n v="2.4285714285714284"/>
  </r>
  <r>
    <n v="432802"/>
    <x v="2"/>
    <x v="0"/>
    <n v="1"/>
    <x v="0"/>
    <s v="El Monte"/>
    <n v="1"/>
    <n v="1"/>
    <n v="16.102"/>
    <n v="4.8536203599999999"/>
    <n v="15.853620360000001"/>
    <n v="0.247929448186715"/>
    <n v="16.1015498081867"/>
    <n v="0.41176470588235298"/>
    <n v="2.4285714285714302"/>
    <n v="1"/>
    <n v="0"/>
    <n v="0"/>
    <n v="0"/>
    <n v="0.41176470588235298"/>
    <n v="2.4285714285714284"/>
  </r>
  <r>
    <n v="408202"/>
    <x v="2"/>
    <x v="0"/>
    <n v="1"/>
    <x v="0"/>
    <s v="Industry"/>
    <n v="1"/>
    <n v="1"/>
    <n v="15.731999999999999"/>
    <n v="9.3385435999999995"/>
    <n v="15.3385436"/>
    <n v="0.39294154542190302"/>
    <n v="15.7314851454219"/>
    <n v="0.41176470588235298"/>
    <n v="2.4285714285714302"/>
    <n v="1"/>
    <n v="0"/>
    <n v="0"/>
    <n v="0"/>
    <n v="0.41176470588235298"/>
    <n v="2.4285714285714284"/>
  </r>
  <r>
    <n v="460301"/>
    <x v="2"/>
    <x v="0"/>
    <n v="5"/>
    <x v="0"/>
    <s v="Altadena"/>
    <n v="1"/>
    <n v="1"/>
    <n v="4.7720000000000002"/>
    <n v="4.31758971"/>
    <n v="4.31758971"/>
    <n v="0.45435601842010798"/>
    <n v="4.7719457284201097"/>
    <n v="0.41176470588235298"/>
    <n v="2.4285714285714302"/>
    <n v="1"/>
    <n v="0"/>
    <n v="0"/>
    <n v="0"/>
    <n v="0.41176470588235298"/>
    <n v="2.4285714285714284"/>
  </r>
  <r>
    <n v="408301"/>
    <x v="2"/>
    <x v="0"/>
    <n v="1"/>
    <x v="0"/>
    <s v="Avocado Heights"/>
    <n v="0"/>
    <n v="0"/>
    <n v="17.021999999999998"/>
    <n v="14.5811454"/>
    <n v="16.5811454"/>
    <n v="0.44011085326750399"/>
    <n v="17.021256253267499"/>
    <n v="0.41176470588235298"/>
    <n v="0"/>
    <n v="1"/>
    <n v="0"/>
    <n v="0"/>
    <n v="0"/>
    <n v="0.41176470588235298"/>
    <n v="0"/>
  </r>
  <r>
    <n v="402102"/>
    <x v="2"/>
    <x v="0"/>
    <n v="1"/>
    <x v="0"/>
    <s v="Pomona"/>
    <n v="0"/>
    <n v="0"/>
    <n v="18.265999999999998"/>
    <n v="9.4736181100000003"/>
    <n v="17.47361811"/>
    <n v="0.79196613622980205"/>
    <n v="18.2655842462298"/>
    <n v="0.41176470588235298"/>
    <n v="0"/>
    <n v="1"/>
    <n v="0"/>
    <n v="0"/>
    <n v="0"/>
    <n v="0.41176470588235298"/>
    <n v="0"/>
  </r>
  <r>
    <n v="405500"/>
    <x v="2"/>
    <x v="0"/>
    <n v="1"/>
    <x v="0"/>
    <s v="West Covina"/>
    <n v="1"/>
    <n v="1"/>
    <n v="9.5540000000000003"/>
    <n v="5.4910515000000002"/>
    <n v="9.4910514999999993"/>
    <n v="6.2742575924596006E-2"/>
    <n v="9.5537940759245892"/>
    <n v="0.41176470588235298"/>
    <n v="2.4285714285714302"/>
    <n v="1"/>
    <n v="0"/>
    <n v="0"/>
    <n v="0"/>
    <n v="0.41176470588235298"/>
    <n v="2.4285714285714284"/>
  </r>
  <r>
    <n v="432700"/>
    <x v="2"/>
    <x v="0"/>
    <n v="1"/>
    <x v="0"/>
    <s v="El Monte"/>
    <n v="1"/>
    <n v="1"/>
    <n v="6"/>
    <n v="0"/>
    <n v="6"/>
    <n v="0"/>
    <n v="6"/>
    <n v="0.41176470588235298"/>
    <n v="2.4285714285714302"/>
    <n v="1"/>
    <n v="0"/>
    <n v="0"/>
    <n v="0"/>
    <n v="0.41176470588235298"/>
    <n v="2.4285714285714284"/>
  </r>
  <r>
    <n v="406702"/>
    <x v="2"/>
    <x v="0"/>
    <n v="1"/>
    <x v="0"/>
    <s v="West Covina"/>
    <n v="0"/>
    <n v="0"/>
    <n v="88.826999999999998"/>
    <n v="41.302364070000003"/>
    <n v="87.302364069999996"/>
    <n v="1.52469204529623"/>
    <n v="88.827056115296202"/>
    <n v="0.41176470588235298"/>
    <n v="0"/>
    <n v="1"/>
    <n v="0"/>
    <n v="0"/>
    <n v="0"/>
    <n v="0.41176470588235298"/>
    <n v="0"/>
  </r>
  <r>
    <n v="405202"/>
    <x v="2"/>
    <x v="0"/>
    <n v="1"/>
    <x v="0"/>
    <s v="Baldwin Park"/>
    <n v="1"/>
    <n v="1"/>
    <n v="24.422000000000001"/>
    <n v="10.899927999999999"/>
    <n v="23.899927999999999"/>
    <n v="0.52228724391382397"/>
    <n v="24.422215243913801"/>
    <n v="0.41176470588235298"/>
    <n v="2.4285714285714302"/>
    <n v="1"/>
    <n v="0"/>
    <n v="0"/>
    <n v="0"/>
    <n v="0.41176470588235298"/>
    <n v="2.4285714285714284"/>
  </r>
  <r>
    <n v="402501"/>
    <x v="2"/>
    <x v="0"/>
    <n v="1"/>
    <x v="0"/>
    <s v="Pomona"/>
    <n v="0"/>
    <n v="0"/>
    <n v="34.143000000000001"/>
    <n v="11.99262966"/>
    <n v="33.992629659999999"/>
    <n v="0.149576912639138"/>
    <n v="34.142206572639097"/>
    <n v="0.41176470588235298"/>
    <n v="0"/>
    <n v="1"/>
    <n v="0"/>
    <n v="0"/>
    <n v="0"/>
    <n v="0.41176470588235298"/>
    <n v="0"/>
  </r>
  <r>
    <n v="407501"/>
    <x v="2"/>
    <x v="0"/>
    <n v="1"/>
    <x v="0"/>
    <s v="Valinda"/>
    <n v="0"/>
    <n v="0"/>
    <n v="16.196000000000002"/>
    <n v="12.77554816"/>
    <n v="15.77554816"/>
    <n v="0.420111406140036"/>
    <n v="16.195659566140002"/>
    <n v="0.41176470588235298"/>
    <n v="0"/>
    <n v="1"/>
    <n v="0"/>
    <n v="0"/>
    <n v="0"/>
    <n v="0.41176470588235298"/>
    <n v="0"/>
  </r>
  <r>
    <n v="404402"/>
    <x v="2"/>
    <x v="0"/>
    <n v="1"/>
    <x v="0"/>
    <s v="Azusa"/>
    <n v="1"/>
    <n v="1"/>
    <n v="28.78"/>
    <n v="19.758176880000001"/>
    <n v="27.758176880000001"/>
    <n v="1.02117873452424"/>
    <n v="28.779355614524199"/>
    <n v="0.41176470588235298"/>
    <n v="2.4285714285714302"/>
    <n v="1"/>
    <n v="0"/>
    <n v="0"/>
    <n v="0"/>
    <n v="0.41176470588235298"/>
    <n v="2.4285714285714284"/>
  </r>
  <r>
    <n v="482521"/>
    <x v="2"/>
    <x v="0"/>
    <n v="1"/>
    <x v="0"/>
    <s v="South San Gabriel"/>
    <n v="0"/>
    <n v="0"/>
    <n v="28.812999999999999"/>
    <n v="25.781363649999999"/>
    <n v="27.781363649999999"/>
    <n v="1.03146494378815"/>
    <n v="28.8128285937882"/>
    <n v="0.41176470588235298"/>
    <n v="0"/>
    <n v="1"/>
    <n v="0"/>
    <n v="0"/>
    <n v="0"/>
    <n v="0.41176470588235298"/>
    <n v="0"/>
  </r>
  <r>
    <n v="434004"/>
    <x v="2"/>
    <x v="0"/>
    <n v="1"/>
    <x v="0"/>
    <s v="El Monte"/>
    <n v="1"/>
    <n v="1"/>
    <n v="15.276"/>
    <n v="4.8620928000000001"/>
    <n v="14.862092799999999"/>
    <n v="0.414076613662478"/>
    <n v="15.276169413662499"/>
    <n v="0.41176470588235298"/>
    <n v="2.4285714285714302"/>
    <n v="1"/>
    <n v="0"/>
    <n v="0"/>
    <n v="0"/>
    <n v="0.41176470588235298"/>
    <n v="2.4285714285714284"/>
  </r>
  <r>
    <n v="430801"/>
    <x v="2"/>
    <x v="0"/>
    <n v="5"/>
    <x v="0"/>
    <s v="Arcadia"/>
    <n v="0"/>
    <n v="0"/>
    <n v="4.1900000000000004"/>
    <n v="3.9673993200000002"/>
    <n v="3.9673993200000002"/>
    <n v="0.22234520276481101"/>
    <n v="4.1897445227648102"/>
    <n v="0.41176470588235298"/>
    <n v="0"/>
    <n v="1"/>
    <n v="0"/>
    <n v="0"/>
    <n v="0"/>
    <n v="0.41176470588235298"/>
    <n v="0"/>
  </r>
  <r>
    <n v="403802"/>
    <x v="2"/>
    <x v="0"/>
    <n v="5"/>
    <x v="0"/>
    <s v="Charter Oak"/>
    <n v="0"/>
    <n v="0"/>
    <n v="26.207000000000001"/>
    <n v="23.98847443"/>
    <n v="24.98847443"/>
    <n v="1.21884030816876"/>
    <n v="26.207314738168801"/>
    <n v="0.41176470588235298"/>
    <n v="0"/>
    <n v="1"/>
    <n v="0"/>
    <n v="0"/>
    <n v="0"/>
    <n v="0.41176470588235298"/>
    <n v="0"/>
  </r>
  <r>
    <n v="432102"/>
    <x v="2"/>
    <x v="0"/>
    <n v="5"/>
    <x v="0"/>
    <s v="Temple City"/>
    <n v="0"/>
    <n v="0"/>
    <n v="0"/>
    <n v="0"/>
    <n v="0"/>
    <n v="0"/>
    <n v="0"/>
    <n v="0.41176470588235298"/>
    <n v="0"/>
    <n v="1"/>
    <n v="0"/>
    <n v="0"/>
    <n v="0"/>
    <n v="0.41176470588235298"/>
    <n v="0"/>
  </r>
  <r>
    <n v="407900"/>
    <x v="2"/>
    <x v="0"/>
    <n v="1"/>
    <x v="0"/>
    <s v="Valinda"/>
    <n v="0"/>
    <n v="0"/>
    <n v="17.062000000000001"/>
    <n v="11.6657388"/>
    <n v="16.6657388"/>
    <n v="0.39539377039497298"/>
    <n v="17.061132570394999"/>
    <n v="0.41176470588235298"/>
    <n v="0"/>
    <n v="1"/>
    <n v="0"/>
    <n v="0"/>
    <n v="0"/>
    <n v="0.41176470588235298"/>
    <n v="0"/>
  </r>
  <r>
    <n v="482701"/>
    <x v="2"/>
    <x v="0"/>
    <n v="1"/>
    <x v="0"/>
    <s v="Monterey Park"/>
    <n v="1"/>
    <n v="1"/>
    <n v="6.5110000000000001"/>
    <n v="3.4144237899999998"/>
    <n v="6.4144237899999998"/>
    <n v="9.6477442046678602E-2"/>
    <n v="6.5109012320466801"/>
    <n v="0.41176470588235298"/>
    <n v="2.4285714285714302"/>
    <n v="1"/>
    <n v="0"/>
    <n v="0"/>
    <n v="0"/>
    <n v="0.41176470588235298"/>
    <n v="2.4285714285714284"/>
  </r>
  <r>
    <n v="481901"/>
    <x v="2"/>
    <x v="0"/>
    <n v="5"/>
    <x v="0"/>
    <s v="Alhambra"/>
    <n v="0"/>
    <n v="0"/>
    <n v="33.914999999999999"/>
    <n v="16.948369270000001"/>
    <n v="32.948369270000001"/>
    <n v="0.96588131353680395"/>
    <n v="33.914250583536798"/>
    <n v="0.41176470588235298"/>
    <n v="0"/>
    <n v="1"/>
    <n v="0"/>
    <n v="0"/>
    <n v="0"/>
    <n v="0.41176470588235298"/>
    <n v="0"/>
  </r>
  <r>
    <n v="402304"/>
    <x v="2"/>
    <x v="0"/>
    <n v="1"/>
    <x v="0"/>
    <s v="Pomona"/>
    <n v="0"/>
    <n v="0"/>
    <n v="14.183"/>
    <n v="9.0772230599999997"/>
    <n v="14.07722306"/>
    <n v="0.104859829766607"/>
    <n v="14.182082889766599"/>
    <n v="0.41176470588235298"/>
    <n v="0"/>
    <n v="1"/>
    <n v="0"/>
    <n v="0"/>
    <n v="0"/>
    <n v="0.41176470588235298"/>
    <n v="0"/>
  </r>
  <r>
    <n v="408504"/>
    <x v="2"/>
    <x v="0"/>
    <n v="4"/>
    <x v="0"/>
    <s v="Hacienda Heights"/>
    <n v="0"/>
    <n v="0"/>
    <n v="4.7720000000000002"/>
    <n v="4.31758971"/>
    <n v="4.31758971"/>
    <n v="0.45435601842010798"/>
    <n v="4.7719457284201097"/>
    <n v="0.41176470588235298"/>
    <n v="0"/>
    <n v="1"/>
    <n v="0"/>
    <n v="0"/>
    <n v="0"/>
    <n v="0.41176470588235298"/>
    <n v="0"/>
  </r>
  <r>
    <n v="403000"/>
    <x v="2"/>
    <x v="0"/>
    <n v="1"/>
    <x v="0"/>
    <s v="Pomona"/>
    <n v="1"/>
    <n v="1"/>
    <n v="23.338000000000001"/>
    <n v="16.788433380000001"/>
    <n v="22.788433380000001"/>
    <n v="0.55041684497306997"/>
    <n v="23.3388502249731"/>
    <n v="0.41176470588235298"/>
    <n v="2.4285714285714302"/>
    <n v="1"/>
    <n v="0"/>
    <n v="0"/>
    <n v="0"/>
    <n v="0.41176470588235298"/>
    <n v="2.4285714285714284"/>
  </r>
  <r>
    <n v="400603"/>
    <x v="2"/>
    <x v="0"/>
    <n v="1"/>
    <x v="0"/>
    <s v="Azusa"/>
    <n v="0"/>
    <n v="0"/>
    <n v="38.475000000000001"/>
    <n v="16.430845349999998"/>
    <n v="37.430845349999998"/>
    <n v="1.0432144190664301"/>
    <n v="38.4740597690664"/>
    <n v="0.41176470588235298"/>
    <n v="0"/>
    <n v="1"/>
    <n v="0"/>
    <n v="0"/>
    <n v="0"/>
    <n v="0.41176470588235298"/>
    <n v="0"/>
  </r>
  <r>
    <n v="481201"/>
    <x v="2"/>
    <x v="0"/>
    <n v="5"/>
    <x v="0"/>
    <s v="Temple City"/>
    <n v="1"/>
    <n v="1"/>
    <n v="11.058"/>
    <n v="8.7152207900000001"/>
    <n v="10.71522079"/>
    <n v="0.34267367087971301"/>
    <n v="11.0578944608797"/>
    <n v="0.41176470588235298"/>
    <n v="2.4285714285714302"/>
    <n v="1"/>
    <n v="0"/>
    <n v="0"/>
    <n v="0"/>
    <n v="0.41176470588235298"/>
    <n v="2.4285714285714284"/>
  </r>
  <r>
    <n v="404702"/>
    <x v="2"/>
    <x v="0"/>
    <n v="1"/>
    <x v="0"/>
    <s v="Baldwin Park"/>
    <n v="1"/>
    <n v="1"/>
    <n v="12.285"/>
    <n v="5.9510989800000003"/>
    <n v="11.951098979999999"/>
    <n v="0.33351780414721699"/>
    <n v="12.2846167841472"/>
    <n v="0.41176470588235298"/>
    <n v="2.4285714285714302"/>
    <n v="1"/>
    <n v="0"/>
    <n v="0"/>
    <n v="0"/>
    <n v="0.41176470588235298"/>
    <n v="2.4285714285714284"/>
  </r>
  <r>
    <n v="463101"/>
    <x v="2"/>
    <x v="0"/>
    <n v="5"/>
    <x v="0"/>
    <s v="East Pasadena"/>
    <n v="0"/>
    <n v="0"/>
    <n v="16.934000000000001"/>
    <n v="14.55204844"/>
    <n v="16.55204844"/>
    <n v="0.382443329479354"/>
    <n v="16.934491769479401"/>
    <n v="0.41176470588235298"/>
    <n v="0"/>
    <n v="1"/>
    <n v="0"/>
    <n v="0"/>
    <n v="0"/>
    <n v="0.41176470588235298"/>
    <n v="0"/>
  </r>
  <r>
    <n v="461000"/>
    <x v="2"/>
    <x v="0"/>
    <n v="5"/>
    <x v="0"/>
    <s v="Altadena"/>
    <n v="1"/>
    <n v="1"/>
    <n v="12.305"/>
    <n v="9.8396785799999993"/>
    <n v="11.839678579999999"/>
    <n v="0.46531572761220802"/>
    <n v="12.304994307612199"/>
    <n v="0.41176470588235298"/>
    <n v="2.4285714285714302"/>
    <n v="1"/>
    <n v="0"/>
    <n v="0"/>
    <n v="0"/>
    <n v="0.41176470588235298"/>
    <n v="2.4285714285714284"/>
  </r>
  <r>
    <n v="461200"/>
    <x v="2"/>
    <x v="0"/>
    <n v="5"/>
    <x v="1"/>
    <s v="Altadena"/>
    <n v="1"/>
    <n v="1"/>
    <n v="0"/>
    <n v="0"/>
    <n v="0"/>
    <n v="0"/>
    <n v="0"/>
    <n v="1"/>
    <n v="1"/>
    <n v="0"/>
    <n v="0"/>
    <n v="0"/>
    <n v="0"/>
    <n v="1"/>
    <n v="1"/>
  </r>
  <r>
    <n v="430101"/>
    <x v="2"/>
    <x v="0"/>
    <n v="5"/>
    <x v="1"/>
    <s v="Duarte"/>
    <n v="1"/>
    <n v="1"/>
    <n v="19.728999999999999"/>
    <n v="15.039075090000001"/>
    <n v="19.039075090000001"/>
    <n v="6.6902722584739696"/>
    <n v="25.729347348474001"/>
    <n v="1"/>
    <n v="1"/>
    <n v="0"/>
    <n v="0"/>
    <n v="0"/>
    <n v="0"/>
    <n v="1"/>
    <n v="1"/>
  </r>
  <r>
    <n v="402702"/>
    <x v="2"/>
    <x v="0"/>
    <n v="1"/>
    <x v="1"/>
    <s v="Pomona"/>
    <n v="1"/>
    <n v="1"/>
    <n v="52.363999999999997"/>
    <n v="30.650831570000001"/>
    <n v="51.650831570000001"/>
    <n v="0.71261606305206504"/>
    <n v="52.363447633052097"/>
    <n v="1"/>
    <n v="1"/>
    <n v="0"/>
    <n v="0"/>
    <n v="0"/>
    <n v="0"/>
    <n v="1"/>
    <n v="1"/>
  </r>
  <r>
    <n v="403318"/>
    <x v="2"/>
    <x v="0"/>
    <n v="1"/>
    <x v="1"/>
    <s v="Pomona"/>
    <n v="1"/>
    <n v="1"/>
    <n v="10.537000000000001"/>
    <n v="7.2326561099999997"/>
    <n v="10.232656110000001"/>
    <n v="0.30387525168761198"/>
    <n v="10.536531361687601"/>
    <n v="1"/>
    <n v="1"/>
    <n v="0"/>
    <n v="0"/>
    <n v="0"/>
    <n v="0"/>
    <n v="1"/>
    <n v="1"/>
  </r>
  <r>
    <n v="461100"/>
    <x v="2"/>
    <x v="0"/>
    <n v="5"/>
    <x v="1"/>
    <s v="Altadena"/>
    <n v="1"/>
    <n v="1"/>
    <n v="4.0949999999999998"/>
    <n v="1.9836996600000001"/>
    <n v="3.9836996600000001"/>
    <n v="0.11117260138240601"/>
    <n v="4.0948722613824096"/>
    <n v="1"/>
    <n v="1"/>
    <n v="0"/>
    <n v="0"/>
    <n v="0"/>
    <n v="0"/>
    <n v="1"/>
    <n v="1"/>
  </r>
  <r>
    <n v="408800"/>
    <x v="2"/>
    <x v="0"/>
    <n v="1"/>
    <x v="1"/>
    <s v="Pomona"/>
    <n v="1"/>
    <n v="1"/>
    <n v="28.963000000000001"/>
    <n v="20.42204709"/>
    <n v="28.42204709"/>
    <n v="0.53966639524237003"/>
    <n v="28.961713485242399"/>
    <n v="1"/>
    <n v="1"/>
    <n v="0"/>
    <n v="0"/>
    <n v="0"/>
    <n v="0"/>
    <n v="1"/>
    <n v="1"/>
  </r>
  <r>
    <n v="400602"/>
    <x v="2"/>
    <x v="0"/>
    <n v="1"/>
    <x v="2"/>
    <s v="Azusa"/>
    <n v="1"/>
    <n v="1"/>
    <n v="11.095000000000001"/>
    <n v="1.9836996600000001"/>
    <n v="10.983699659999999"/>
    <n v="0.11117260138240601"/>
    <n v="11.094872261382401"/>
    <n v="8.9285714285714302E-2"/>
    <n v="11.2"/>
    <n v="1"/>
    <n v="0"/>
    <n v="0"/>
    <n v="0"/>
    <n v="8.9285714285714302E-2"/>
    <n v="11.199999999999998"/>
  </r>
  <r>
    <n v="481102"/>
    <x v="2"/>
    <x v="0"/>
    <n v="5"/>
    <x v="2"/>
    <s v="San Gabriel"/>
    <n v="0"/>
    <n v="0"/>
    <n v="3.9260000000000002"/>
    <n v="1.90487994"/>
    <n v="3.9048799399999998"/>
    <n v="2.0625322082585301E-2"/>
    <n v="3.9255052620825901"/>
    <n v="8.9285714285714302E-2"/>
    <n v="0"/>
    <n v="1"/>
    <n v="0"/>
    <n v="0"/>
    <n v="0"/>
    <n v="8.9285714285714302E-2"/>
    <n v="0"/>
  </r>
  <r>
    <n v="408212"/>
    <x v="2"/>
    <x v="0"/>
    <n v="4"/>
    <x v="2"/>
    <s v="Rowland Heights"/>
    <n v="0"/>
    <n v="0"/>
    <n v="3"/>
    <n v="0"/>
    <n v="3"/>
    <n v="0"/>
    <n v="3"/>
    <n v="8.9285714285714302E-2"/>
    <n v="0"/>
    <n v="1"/>
    <n v="0"/>
    <n v="0"/>
    <n v="0"/>
    <n v="8.9285714285714302E-2"/>
    <n v="0"/>
  </r>
  <r>
    <n v="400604"/>
    <x v="2"/>
    <x v="0"/>
    <n v="1"/>
    <x v="2"/>
    <s v="Azusa"/>
    <n v="0"/>
    <n v="0"/>
    <n v="7.2939999999999996"/>
    <n v="3.1204881900000001"/>
    <n v="7.1204881899999997"/>
    <n v="0.172943937899461"/>
    <n v="7.29343212789946"/>
    <n v="8.9285714285714302E-2"/>
    <n v="0"/>
    <n v="1"/>
    <n v="0"/>
    <n v="0"/>
    <n v="0"/>
    <n v="8.9285714285714302E-2"/>
    <n v="0"/>
  </r>
  <r>
    <n v="401311"/>
    <x v="2"/>
    <x v="0"/>
    <n v="5"/>
    <x v="2"/>
    <s v="San Dimas"/>
    <n v="0"/>
    <n v="0"/>
    <n v="4.5910000000000002"/>
    <n v="1.43919657"/>
    <n v="4.43919657"/>
    <n v="0.15145200614003601"/>
    <n v="4.5906485761400404"/>
    <n v="8.9285714285714302E-2"/>
    <n v="0"/>
    <n v="1"/>
    <n v="0"/>
    <n v="0"/>
    <n v="0"/>
    <n v="8.9285714285714302E-2"/>
    <n v="0"/>
  </r>
  <r>
    <n v="431900"/>
    <x v="2"/>
    <x v="0"/>
    <n v="5"/>
    <x v="2"/>
    <s v="Temple City"/>
    <n v="0"/>
    <n v="0"/>
    <n v="8.9260000000000002"/>
    <n v="1.90487994"/>
    <n v="8.9048799400000007"/>
    <n v="2.0625322082585301E-2"/>
    <n v="8.9255052620825897"/>
    <n v="8.9285714285714302E-2"/>
    <n v="0"/>
    <n v="1"/>
    <n v="0"/>
    <n v="0"/>
    <n v="0"/>
    <n v="8.9285714285714302E-2"/>
    <n v="0"/>
  </r>
  <r>
    <n v="404201"/>
    <x v="2"/>
    <x v="0"/>
    <n v="1"/>
    <x v="2"/>
    <s v="Azusa"/>
    <n v="0"/>
    <n v="0"/>
    <n v="1"/>
    <n v="0"/>
    <n v="1"/>
    <n v="0"/>
    <n v="1"/>
    <n v="8.9285714285714302E-2"/>
    <n v="0"/>
    <n v="1"/>
    <n v="0"/>
    <n v="0"/>
    <n v="0"/>
    <n v="8.9285714285714302E-2"/>
    <n v="0"/>
  </r>
  <r>
    <n v="404301"/>
    <x v="2"/>
    <x v="0"/>
    <n v="1"/>
    <x v="2"/>
    <s v="Azusa"/>
    <n v="0"/>
    <n v="0"/>
    <n v="3"/>
    <n v="0"/>
    <n v="3"/>
    <n v="0"/>
    <n v="3"/>
    <n v="8.9285714285714302E-2"/>
    <n v="0"/>
    <n v="1"/>
    <n v="0"/>
    <n v="0"/>
    <n v="0"/>
    <n v="8.9285714285714302E-2"/>
    <n v="0"/>
  </r>
  <r>
    <n v="402600"/>
    <x v="2"/>
    <x v="0"/>
    <n v="1"/>
    <x v="2"/>
    <s v="Pomona"/>
    <n v="0"/>
    <n v="0"/>
    <n v="14.021000000000001"/>
    <n v="3.8885795999999999"/>
    <n v="13.8885796"/>
    <n v="0.131797923464991"/>
    <n v="14.020377523464999"/>
    <n v="8.9285714285714302E-2"/>
    <n v="0"/>
    <n v="1"/>
    <n v="0"/>
    <n v="0"/>
    <n v="0"/>
    <n v="8.9285714285714302E-2"/>
    <n v="0"/>
  </r>
  <r>
    <n v="407101"/>
    <x v="2"/>
    <x v="0"/>
    <n v="1"/>
    <x v="2"/>
    <s v="La Puente"/>
    <n v="0"/>
    <n v="0"/>
    <n v="6.0949999999999998"/>
    <n v="1.9836996600000001"/>
    <n v="5.9836996600000001"/>
    <n v="0.11117260138240601"/>
    <n v="6.0948722613824096"/>
    <n v="8.9285714285714302E-2"/>
    <n v="0"/>
    <n v="1"/>
    <n v="0"/>
    <n v="0"/>
    <n v="0"/>
    <n v="8.9285714285714302E-2"/>
    <n v="0"/>
  </r>
  <r>
    <n v="405702"/>
    <x v="2"/>
    <x v="0"/>
    <n v="5"/>
    <x v="2"/>
    <s v="Covina"/>
    <n v="0"/>
    <n v="0"/>
    <n v="6"/>
    <n v="0"/>
    <n v="6"/>
    <n v="0"/>
    <n v="6"/>
    <n v="8.9285714285714302E-2"/>
    <n v="0"/>
    <n v="1"/>
    <n v="0"/>
    <n v="0"/>
    <n v="0"/>
    <n v="8.9285714285714302E-2"/>
    <n v="0"/>
  </r>
  <r>
    <n v="405900"/>
    <x v="2"/>
    <x v="0"/>
    <n v="5"/>
    <x v="2"/>
    <s v="Covina"/>
    <n v="0"/>
    <n v="0"/>
    <n v="3"/>
    <n v="0"/>
    <n v="3"/>
    <n v="0"/>
    <n v="3"/>
    <n v="8.9285714285714302E-2"/>
    <n v="0"/>
    <n v="1"/>
    <n v="0"/>
    <n v="0"/>
    <n v="0"/>
    <n v="8.9285714285714302E-2"/>
    <n v="0"/>
  </r>
  <r>
    <n v="406200"/>
    <x v="2"/>
    <x v="0"/>
    <n v="1"/>
    <x v="2"/>
    <s v="West Covina"/>
    <n v="0"/>
    <n v="0"/>
    <n v="6.5170000000000003"/>
    <n v="3.3440765099999998"/>
    <n v="6.3440765099999998"/>
    <n v="0.17207732822262101"/>
    <n v="6.5161538382226203"/>
    <n v="8.9285714285714302E-2"/>
    <n v="0"/>
    <n v="1"/>
    <n v="0"/>
    <n v="0"/>
    <n v="0"/>
    <n v="8.9285714285714302E-2"/>
    <n v="0"/>
  </r>
  <r>
    <n v="481402"/>
    <x v="2"/>
    <x v="0"/>
    <n v="5"/>
    <x v="2"/>
    <s v="San Gabriel"/>
    <n v="0"/>
    <n v="0"/>
    <n v="1"/>
    <n v="0"/>
    <n v="1"/>
    <n v="0"/>
    <n v="1"/>
    <n v="8.9285714285714302E-2"/>
    <n v="0"/>
    <n v="1"/>
    <n v="0"/>
    <n v="0"/>
    <n v="0"/>
    <n v="8.9285714285714302E-2"/>
    <n v="0"/>
  </r>
  <r>
    <n v="482600"/>
    <x v="2"/>
    <x v="0"/>
    <n v="1"/>
    <x v="2"/>
    <s v="Monterey Park"/>
    <n v="0"/>
    <n v="0"/>
    <n v="0"/>
    <n v="0"/>
    <n v="0"/>
    <n v="0"/>
    <n v="0"/>
    <n v="8.9285714285714302E-2"/>
    <n v="0"/>
    <n v="1"/>
    <n v="0"/>
    <n v="0"/>
    <n v="0"/>
    <n v="8.9285714285714302E-2"/>
    <n v="0"/>
  </r>
  <r>
    <n v="402706"/>
    <x v="2"/>
    <x v="0"/>
    <n v="1"/>
    <x v="2"/>
    <s v="Pomona"/>
    <n v="0"/>
    <n v="0"/>
    <n v="5.0949999999999998"/>
    <n v="1.9836996600000001"/>
    <n v="4.9836996600000001"/>
    <n v="0.11117260138240601"/>
    <n v="5.0948722613824096"/>
    <n v="8.9285714285714302E-2"/>
    <n v="0"/>
    <n v="1"/>
    <n v="0"/>
    <n v="0"/>
    <n v="0"/>
    <n v="8.9285714285714302E-2"/>
    <n v="0"/>
  </r>
  <r>
    <n v="400800"/>
    <x v="2"/>
    <x v="0"/>
    <n v="5"/>
    <x v="2"/>
    <s v="Glendora"/>
    <n v="1"/>
    <n v="1"/>
    <n v="0"/>
    <n v="0"/>
    <n v="0"/>
    <n v="0"/>
    <n v="0"/>
    <n v="8.9285714285714302E-2"/>
    <n v="11.2"/>
    <n v="1"/>
    <n v="0"/>
    <n v="0"/>
    <n v="0"/>
    <n v="8.9285714285714302E-2"/>
    <n v="11.199999999999998"/>
  </r>
  <r>
    <n v="405302"/>
    <x v="2"/>
    <x v="0"/>
    <n v="1"/>
    <x v="2"/>
    <s v="West Covina"/>
    <n v="0"/>
    <n v="0"/>
    <n v="5.5170000000000003"/>
    <n v="3.3440765099999998"/>
    <n v="5.3440765099999998"/>
    <n v="0.17207732822262101"/>
    <n v="5.5161538382226203"/>
    <n v="8.9285714285714302E-2"/>
    <n v="0"/>
    <n v="1"/>
    <n v="0"/>
    <n v="0"/>
    <n v="0"/>
    <n v="8.9285714285714302E-2"/>
    <n v="0"/>
  </r>
  <r>
    <n v="432201"/>
    <x v="2"/>
    <x v="0"/>
    <n v="1"/>
    <x v="2"/>
    <s v="Rosemead"/>
    <n v="0"/>
    <n v="0"/>
    <n v="0"/>
    <n v="0"/>
    <n v="0"/>
    <n v="0"/>
    <n v="0"/>
    <n v="8.9285714285714302E-2"/>
    <n v="0"/>
    <n v="1"/>
    <n v="0"/>
    <n v="0"/>
    <n v="0"/>
    <n v="8.9285714285714302E-2"/>
    <n v="0"/>
  </r>
  <r>
    <n v="405001"/>
    <x v="2"/>
    <x v="0"/>
    <n v="1"/>
    <x v="2"/>
    <s v="Baldwin Park"/>
    <n v="0"/>
    <n v="0"/>
    <n v="3.0950000000000002"/>
    <n v="1.9836996600000001"/>
    <n v="2.9836996600000001"/>
    <n v="0.11117260138240601"/>
    <n v="3.09487226138241"/>
    <n v="8.9285714285714302E-2"/>
    <n v="0"/>
    <n v="1"/>
    <n v="0"/>
    <n v="0"/>
    <n v="0"/>
    <n v="8.9285714285714302E-2"/>
    <n v="0"/>
  </r>
  <r>
    <n v="401102"/>
    <x v="2"/>
    <x v="0"/>
    <n v="5"/>
    <x v="2"/>
    <s v="Glendora"/>
    <n v="0"/>
    <n v="0"/>
    <n v="0"/>
    <n v="0"/>
    <n v="0"/>
    <n v="0"/>
    <n v="0"/>
    <n v="8.9285714285714302E-2"/>
    <n v="0"/>
    <n v="1"/>
    <n v="0"/>
    <n v="0"/>
    <n v="0"/>
    <n v="8.9285714285714302E-2"/>
    <n v="0"/>
  </r>
  <r>
    <n v="433401"/>
    <x v="2"/>
    <x v="0"/>
    <n v="1"/>
    <x v="2"/>
    <s v="El Monte"/>
    <n v="0"/>
    <n v="0"/>
    <n v="0"/>
    <n v="0"/>
    <n v="0"/>
    <n v="0"/>
    <n v="0"/>
    <n v="8.9285714285714302E-2"/>
    <n v="0"/>
    <n v="1"/>
    <n v="0"/>
    <n v="0"/>
    <n v="0"/>
    <n v="8.9285714285714302E-2"/>
    <n v="0"/>
  </r>
  <r>
    <n v="407200"/>
    <x v="2"/>
    <x v="0"/>
    <n v="1"/>
    <x v="2"/>
    <s v="La Puente"/>
    <n v="0"/>
    <n v="0"/>
    <n v="1"/>
    <n v="0"/>
    <n v="1"/>
    <n v="0"/>
    <n v="1"/>
    <n v="8.9285714285714302E-2"/>
    <n v="0"/>
    <n v="1"/>
    <n v="0"/>
    <n v="0"/>
    <n v="0"/>
    <n v="8.9285714285714302E-2"/>
    <n v="0"/>
  </r>
  <r>
    <n v="460302"/>
    <x v="2"/>
    <x v="0"/>
    <n v="5"/>
    <x v="2"/>
    <s v="Altadena"/>
    <n v="0"/>
    <n v="0"/>
    <n v="4.8079999999999998"/>
    <n v="1.73313217"/>
    <n v="4.7331321700000002"/>
    <n v="7.4985510287253102E-2"/>
    <n v="4.8081176802872498"/>
    <n v="8.9285714285714302E-2"/>
    <n v="0"/>
    <n v="1"/>
    <n v="0"/>
    <n v="0"/>
    <n v="0"/>
    <n v="8.9285714285714302E-2"/>
    <n v="0"/>
  </r>
  <r>
    <n v="405600"/>
    <x v="2"/>
    <x v="0"/>
    <n v="1"/>
    <x v="2"/>
    <s v="West Covina"/>
    <n v="0"/>
    <n v="0"/>
    <n v="12.180999999999999"/>
    <n v="2.87839314"/>
    <n v="11.87839314"/>
    <n v="0.30290401228007202"/>
    <n v="12.1812971522801"/>
    <n v="8.9285714285714302E-2"/>
    <n v="0"/>
    <n v="1"/>
    <n v="0"/>
    <n v="0"/>
    <n v="0"/>
    <n v="8.9285714285714302E-2"/>
    <n v="0"/>
  </r>
  <r>
    <n v="482002"/>
    <x v="2"/>
    <x v="0"/>
    <n v="1"/>
    <x v="2"/>
    <s v="Monterey Park"/>
    <n v="0"/>
    <n v="0"/>
    <n v="3"/>
    <n v="0"/>
    <n v="3"/>
    <n v="0"/>
    <n v="3"/>
    <n v="8.9285714285714302E-2"/>
    <n v="0"/>
    <n v="1"/>
    <n v="0"/>
    <n v="0"/>
    <n v="0"/>
    <n v="8.9285714285714302E-2"/>
    <n v="0"/>
  </r>
  <r>
    <n v="461300"/>
    <x v="2"/>
    <x v="0"/>
    <n v="5"/>
    <x v="2"/>
    <s v="Altadena"/>
    <n v="0"/>
    <n v="0"/>
    <n v="4"/>
    <n v="0"/>
    <n v="4"/>
    <n v="0"/>
    <n v="4"/>
    <n v="8.9285714285714302E-2"/>
    <n v="0"/>
    <n v="1"/>
    <n v="0"/>
    <n v="0"/>
    <n v="0"/>
    <n v="8.9285714285714302E-2"/>
    <n v="0"/>
  </r>
  <r>
    <n v="402502"/>
    <x v="2"/>
    <x v="0"/>
    <n v="1"/>
    <x v="2"/>
    <s v="Pomona"/>
    <n v="0"/>
    <n v="0"/>
    <n v="4"/>
    <n v="0"/>
    <n v="4"/>
    <n v="0"/>
    <n v="4"/>
    <n v="8.9285714285714302E-2"/>
    <n v="0"/>
    <n v="1"/>
    <n v="0"/>
    <n v="0"/>
    <n v="0"/>
    <n v="8.9285714285714302E-2"/>
    <n v="0"/>
  </r>
  <r>
    <n v="480803"/>
    <x v="2"/>
    <x v="0"/>
    <n v="5"/>
    <x v="2"/>
    <s v="Alhambra"/>
    <n v="0"/>
    <n v="0"/>
    <n v="5.0209999999999999"/>
    <n v="3.8885795999999999"/>
    <n v="4.8885795999999999"/>
    <n v="0.131797923464991"/>
    <n v="5.0203775234649903"/>
    <n v="8.9285714285714302E-2"/>
    <n v="0"/>
    <n v="1"/>
    <n v="0"/>
    <n v="0"/>
    <n v="0"/>
    <n v="8.9285714285714302E-2"/>
    <n v="0"/>
  </r>
  <r>
    <n v="481101"/>
    <x v="2"/>
    <x v="0"/>
    <n v="5"/>
    <x v="2"/>
    <s v="San Gabriel"/>
    <n v="0"/>
    <n v="0"/>
    <n v="3.0950000000000002"/>
    <n v="1.9836996600000001"/>
    <n v="2.9836996600000001"/>
    <n v="0.11117260138240601"/>
    <n v="3.09487226138241"/>
    <n v="8.9285714285714302E-2"/>
    <n v="0"/>
    <n v="1"/>
    <n v="0"/>
    <n v="0"/>
    <n v="0"/>
    <n v="8.9285714285714302E-2"/>
    <n v="0"/>
  </r>
  <r>
    <n v="402406"/>
    <x v="2"/>
    <x v="0"/>
    <n v="1"/>
    <x v="2"/>
    <s v="Pomona"/>
    <n v="1"/>
    <n v="1"/>
    <n v="17.516999999999999"/>
    <n v="3.3440765099999998"/>
    <n v="17.344076510000001"/>
    <n v="0.17207732822262101"/>
    <n v="17.5161538382226"/>
    <n v="8.9285714285714302E-2"/>
    <n v="11.2"/>
    <n v="1"/>
    <n v="0"/>
    <n v="0"/>
    <n v="0"/>
    <n v="8.9285714285714302E-2"/>
    <n v="11.199999999999998"/>
  </r>
  <r>
    <n v="481712"/>
    <x v="2"/>
    <x v="0"/>
    <n v="1"/>
    <x v="2"/>
    <s v="Monterey Park"/>
    <n v="1"/>
    <n v="1"/>
    <n v="3.8079999999999998"/>
    <n v="1.73313217"/>
    <n v="3.7331321700000002"/>
    <n v="7.4985510287253102E-2"/>
    <n v="3.8081176802872498"/>
    <n v="8.9285714285714302E-2"/>
    <n v="11.2"/>
    <n v="1"/>
    <n v="0"/>
    <n v="0"/>
    <n v="0"/>
    <n v="8.9285714285714302E-2"/>
    <n v="11.199999999999998"/>
  </r>
  <r>
    <n v="482303"/>
    <x v="2"/>
    <x v="0"/>
    <n v="1"/>
    <x v="2"/>
    <s v="Rosemead"/>
    <n v="0"/>
    <n v="0"/>
    <n v="0"/>
    <n v="0"/>
    <n v="0"/>
    <n v="0"/>
    <n v="0"/>
    <n v="8.9285714285714302E-2"/>
    <n v="0"/>
    <n v="1"/>
    <n v="0"/>
    <n v="0"/>
    <n v="0"/>
    <n v="8.9285714285714302E-2"/>
    <n v="0"/>
  </r>
  <r>
    <n v="405201"/>
    <x v="2"/>
    <x v="0"/>
    <n v="1"/>
    <x v="2"/>
    <s v="Baldwin Park"/>
    <n v="0"/>
    <n v="0"/>
    <n v="2.0950000000000002"/>
    <n v="1.9836996600000001"/>
    <n v="1.9836996600000001"/>
    <n v="0.11117260138240601"/>
    <n v="2.09487226138241"/>
    <n v="8.9285714285714302E-2"/>
    <n v="0"/>
    <n v="1"/>
    <n v="0"/>
    <n v="0"/>
    <n v="0"/>
    <n v="8.9285714285714302E-2"/>
    <n v="0"/>
  </r>
  <r>
    <n v="404302"/>
    <x v="2"/>
    <x v="0"/>
    <n v="1"/>
    <x v="2"/>
    <s v="Azusa"/>
    <n v="0"/>
    <n v="0"/>
    <n v="3"/>
    <n v="0"/>
    <n v="3"/>
    <n v="0"/>
    <n v="3"/>
    <n v="8.9285714285714302E-2"/>
    <n v="0"/>
    <n v="1"/>
    <n v="0"/>
    <n v="0"/>
    <n v="0"/>
    <n v="8.9285714285714302E-2"/>
    <n v="0"/>
  </r>
  <r>
    <n v="402903"/>
    <x v="2"/>
    <x v="0"/>
    <n v="1"/>
    <x v="2"/>
    <s v="Pomona"/>
    <n v="0"/>
    <n v="0"/>
    <n v="6.798"/>
    <n v="3.6649912800000002"/>
    <n v="6.6649912799999997"/>
    <n v="0.13266453314183099"/>
    <n v="6.7976558131418301"/>
    <n v="8.9285714285714302E-2"/>
    <n v="0"/>
    <n v="1"/>
    <n v="0"/>
    <n v="0"/>
    <n v="0"/>
    <n v="8.9285714285714302E-2"/>
    <n v="0"/>
  </r>
  <r>
    <n v="482502"/>
    <x v="2"/>
    <x v="0"/>
    <n v="1"/>
    <x v="2"/>
    <s v="Rosemead"/>
    <n v="0"/>
    <n v="0"/>
    <n v="1"/>
    <n v="0"/>
    <n v="1"/>
    <n v="0"/>
    <n v="1"/>
    <n v="8.9285714285714302E-2"/>
    <n v="0"/>
    <n v="1"/>
    <n v="0"/>
    <n v="0"/>
    <n v="0"/>
    <n v="8.9285714285714302E-2"/>
    <n v="0"/>
  </r>
  <r>
    <n v="402002"/>
    <x v="2"/>
    <x v="0"/>
    <n v="1"/>
    <x v="2"/>
    <s v="Claremont"/>
    <n v="0"/>
    <n v="0"/>
    <n v="1"/>
    <n v="0"/>
    <n v="1"/>
    <n v="0"/>
    <n v="1"/>
    <n v="8.9285714285714302E-2"/>
    <n v="0"/>
    <n v="1"/>
    <n v="0"/>
    <n v="0"/>
    <n v="0"/>
    <n v="8.9285714285714302E-2"/>
    <n v="0"/>
  </r>
  <r>
    <n v="404100"/>
    <x v="2"/>
    <x v="0"/>
    <n v="1"/>
    <x v="2"/>
    <s v="Citrus"/>
    <n v="0"/>
    <n v="0"/>
    <n v="8.8079999999999998"/>
    <n v="1.73313217"/>
    <n v="8.7331321699999993"/>
    <n v="7.4985510287253102E-2"/>
    <n v="8.8081176802872498"/>
    <n v="8.9285714285714302E-2"/>
    <n v="0"/>
    <n v="1"/>
    <n v="0"/>
    <n v="0"/>
    <n v="0"/>
    <n v="8.9285714285714302E-2"/>
    <n v="0"/>
  </r>
  <r>
    <n v="482503"/>
    <x v="2"/>
    <x v="0"/>
    <n v="1"/>
    <x v="2"/>
    <s v="Rosemead"/>
    <n v="0"/>
    <n v="0"/>
    <n v="4.399"/>
    <n v="3.1723287400000002"/>
    <n v="4.1723287400000002"/>
    <n v="0.22643751642728899"/>
    <n v="4.3987662564272902"/>
    <n v="8.9285714285714302E-2"/>
    <n v="0"/>
    <n v="1"/>
    <n v="0"/>
    <n v="0"/>
    <n v="0"/>
    <n v="8.9285714285714302E-2"/>
    <n v="0"/>
  </r>
  <r>
    <n v="406602"/>
    <x v="2"/>
    <x v="0"/>
    <n v="1"/>
    <x v="2"/>
    <s v="West Covina"/>
    <n v="0"/>
    <n v="0"/>
    <n v="3"/>
    <n v="0"/>
    <n v="3"/>
    <n v="0"/>
    <n v="3"/>
    <n v="8.9285714285714302E-2"/>
    <n v="0"/>
    <n v="1"/>
    <n v="0"/>
    <n v="0"/>
    <n v="0"/>
    <n v="8.9285714285714302E-2"/>
    <n v="0"/>
  </r>
  <r>
    <n v="430721"/>
    <x v="2"/>
    <x v="0"/>
    <n v="5"/>
    <x v="2"/>
    <s v="Arcadia"/>
    <n v="0"/>
    <n v="0"/>
    <n v="3.399"/>
    <n v="3.1723287400000002"/>
    <n v="3.1723287400000002"/>
    <n v="0.22643751642728899"/>
    <n v="3.3987662564272898"/>
    <n v="8.9285714285714302E-2"/>
    <n v="0"/>
    <n v="1"/>
    <n v="0"/>
    <n v="0"/>
    <n v="0"/>
    <n v="8.9285714285714302E-2"/>
    <n v="0"/>
  </r>
  <r>
    <n v="401601"/>
    <x v="2"/>
    <x v="0"/>
    <n v="5"/>
    <x v="2"/>
    <s v="La Verne"/>
    <n v="0"/>
    <n v="0"/>
    <n v="1"/>
    <n v="0"/>
    <n v="1"/>
    <n v="0"/>
    <n v="1"/>
    <n v="8.9285714285714302E-2"/>
    <n v="0"/>
    <n v="1"/>
    <n v="0"/>
    <n v="0"/>
    <n v="0"/>
    <n v="8.9285714285714302E-2"/>
    <n v="0"/>
  </r>
  <r>
    <n v="433403"/>
    <x v="2"/>
    <x v="0"/>
    <n v="1"/>
    <x v="2"/>
    <s v="El Monte"/>
    <n v="0"/>
    <n v="0"/>
    <n v="8.5169999999999995"/>
    <n v="3.3440765099999998"/>
    <n v="8.3440765100000007"/>
    <n v="0.17207732822262101"/>
    <n v="8.5161538382226194"/>
    <n v="8.9285714285714302E-2"/>
    <n v="0"/>
    <n v="1"/>
    <n v="0"/>
    <n v="0"/>
    <n v="0"/>
    <n v="8.9285714285714302E-2"/>
    <n v="0"/>
  </r>
  <r>
    <n v="403600"/>
    <x v="2"/>
    <x v="0"/>
    <n v="5"/>
    <x v="2"/>
    <s v="Covina"/>
    <n v="0"/>
    <n v="0"/>
    <n v="0"/>
    <n v="0"/>
    <n v="0"/>
    <n v="0"/>
    <n v="0"/>
    <n v="8.9285714285714302E-2"/>
    <n v="0"/>
    <n v="1"/>
    <n v="0"/>
    <n v="0"/>
    <n v="0"/>
    <n v="8.9285714285714302E-2"/>
    <n v="0"/>
  </r>
  <r>
    <n v="408006"/>
    <x v="2"/>
    <x v="0"/>
    <n v="1"/>
    <x v="2"/>
    <s v="West Covina"/>
    <n v="0"/>
    <n v="0"/>
    <n v="0"/>
    <n v="0"/>
    <n v="0"/>
    <n v="0"/>
    <n v="0"/>
    <n v="8.9285714285714302E-2"/>
    <n v="0"/>
    <n v="1"/>
    <n v="0"/>
    <n v="0"/>
    <n v="0"/>
    <n v="8.9285714285714302E-2"/>
    <n v="0"/>
  </r>
  <r>
    <n v="401701"/>
    <x v="2"/>
    <x v="0"/>
    <n v="1"/>
    <x v="2"/>
    <s v="Claremont"/>
    <n v="0"/>
    <n v="0"/>
    <n v="1.591"/>
    <n v="1.43919657"/>
    <n v="1.43919657"/>
    <n v="0.15145200614003601"/>
    <n v="1.59064857614004"/>
    <n v="8.9285714285714302E-2"/>
    <n v="0"/>
    <n v="1"/>
    <n v="0"/>
    <n v="0"/>
    <n v="0"/>
    <n v="8.9285714285714302E-2"/>
    <n v="0"/>
  </r>
  <r>
    <n v="460100"/>
    <x v="2"/>
    <x v="0"/>
    <n v="5"/>
    <x v="2"/>
    <s v="Altadena"/>
    <n v="0"/>
    <n v="0"/>
    <n v="2.0950000000000002"/>
    <n v="1.9836996600000001"/>
    <n v="1.9836996600000001"/>
    <n v="0.11117260138240601"/>
    <n v="2.09487226138241"/>
    <n v="8.9285714285714302E-2"/>
    <n v="0"/>
    <n v="1"/>
    <n v="0"/>
    <n v="0"/>
    <n v="0"/>
    <n v="8.9285714285714302E-2"/>
    <n v="0"/>
  </r>
  <r>
    <n v="432901"/>
    <x v="2"/>
    <x v="0"/>
    <n v="1"/>
    <x v="2"/>
    <s v="Rosemead"/>
    <n v="0"/>
    <n v="0"/>
    <n v="8.1809999999999992"/>
    <n v="2.87839314"/>
    <n v="7.87839314"/>
    <n v="0.30290401228007202"/>
    <n v="8.1812971522800702"/>
    <n v="8.9285714285714302E-2"/>
    <n v="0"/>
    <n v="1"/>
    <n v="0"/>
    <n v="0"/>
    <n v="0"/>
    <n v="8.9285714285714302E-2"/>
    <n v="0"/>
  </r>
  <r>
    <n v="432000"/>
    <x v="2"/>
    <x v="0"/>
    <n v="5"/>
    <x v="2"/>
    <s v="Temple City"/>
    <n v="0"/>
    <n v="0"/>
    <n v="3"/>
    <n v="0"/>
    <n v="3"/>
    <n v="0"/>
    <n v="3"/>
    <n v="8.9285714285714302E-2"/>
    <n v="0"/>
    <n v="1"/>
    <n v="0"/>
    <n v="0"/>
    <n v="0"/>
    <n v="8.9285714285714302E-2"/>
    <n v="0"/>
  </r>
  <r>
    <n v="480011"/>
    <x v="2"/>
    <x v="0"/>
    <n v="5"/>
    <x v="2"/>
    <s v="East San Gabriel"/>
    <n v="0"/>
    <n v="0"/>
    <n v="7.5170000000000003"/>
    <n v="3.3440765099999998"/>
    <n v="7.3440765099999998"/>
    <n v="0.17207732822262101"/>
    <n v="7.5161538382226203"/>
    <n v="8.9285714285714302E-2"/>
    <n v="0"/>
    <n v="1"/>
    <n v="0"/>
    <n v="0"/>
    <n v="0"/>
    <n v="8.9285714285714302E-2"/>
    <n v="0"/>
  </r>
  <r>
    <n v="430002"/>
    <x v="2"/>
    <x v="0"/>
    <n v="5"/>
    <x v="2"/>
    <s v="Duarte"/>
    <n v="1"/>
    <n v="1"/>
    <n v="5.8079999999999998"/>
    <n v="1.73313217"/>
    <n v="5.7331321700000002"/>
    <n v="7.4985510287253102E-2"/>
    <n v="5.8081176802872498"/>
    <n v="8.9285714285714302E-2"/>
    <n v="11.2"/>
    <n v="1"/>
    <n v="0"/>
    <n v="0"/>
    <n v="0"/>
    <n v="8.9285714285714302E-2"/>
    <n v="11.199999999999998"/>
  </r>
  <r>
    <n v="480304"/>
    <x v="2"/>
    <x v="0"/>
    <n v="5"/>
    <x v="2"/>
    <s v="Alhambra"/>
    <n v="0"/>
    <n v="0"/>
    <n v="3.5169999999999999"/>
    <n v="3.3440765099999998"/>
    <n v="3.3440765099999998"/>
    <n v="0.17207732822262101"/>
    <n v="3.5161538382226198"/>
    <n v="8.9285714285714302E-2"/>
    <n v="0"/>
    <n v="1"/>
    <n v="0"/>
    <n v="0"/>
    <n v="0"/>
    <n v="8.9285714285714302E-2"/>
    <n v="0"/>
  </r>
  <r>
    <n v="432601"/>
    <x v="2"/>
    <x v="0"/>
    <n v="1"/>
    <x v="2"/>
    <s v="El Monte"/>
    <n v="0"/>
    <n v="0"/>
    <n v="6"/>
    <n v="0"/>
    <n v="6"/>
    <n v="0"/>
    <n v="6"/>
    <n v="8.9285714285714302E-2"/>
    <n v="0"/>
    <n v="1"/>
    <n v="0"/>
    <n v="0"/>
    <n v="0"/>
    <n v="8.9285714285714302E-2"/>
    <n v="0"/>
  </r>
  <r>
    <n v="401902"/>
    <x v="2"/>
    <x v="0"/>
    <n v="1"/>
    <x v="2"/>
    <s v="Claremont"/>
    <n v="0"/>
    <n v="0"/>
    <n v="0"/>
    <n v="0"/>
    <n v="0"/>
    <n v="0"/>
    <n v="0"/>
    <n v="8.9285714285714302E-2"/>
    <n v="0"/>
    <n v="1"/>
    <n v="0"/>
    <n v="0"/>
    <n v="0"/>
    <n v="8.9285714285714302E-2"/>
    <n v="0"/>
  </r>
  <r>
    <n v="408626"/>
    <x v="2"/>
    <x v="0"/>
    <n v="4"/>
    <x v="2"/>
    <s v="Rowland Heights"/>
    <n v="0"/>
    <n v="0"/>
    <n v="8.5909999999999993"/>
    <n v="1.43919657"/>
    <n v="8.43919657"/>
    <n v="0.15145200614003601"/>
    <n v="8.5906485761400404"/>
    <n v="8.9285714285714302E-2"/>
    <n v="0"/>
    <n v="1"/>
    <n v="0"/>
    <n v="0"/>
    <n v="0"/>
    <n v="8.9285714285714302E-2"/>
    <n v="0"/>
  </r>
  <r>
    <n v="401901"/>
    <x v="2"/>
    <x v="0"/>
    <n v="1"/>
    <x v="3"/>
    <s v="Claremont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711"/>
    <x v="2"/>
    <x v="0"/>
    <n v="1"/>
    <x v="3"/>
    <s v="Monterey Park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624"/>
    <x v="2"/>
    <x v="0"/>
    <n v="4"/>
    <x v="3"/>
    <s v="Hacienda Height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139"/>
    <x v="2"/>
    <x v="0"/>
    <n v="1"/>
    <x v="3"/>
    <s v="South San Jose Hill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303"/>
    <x v="2"/>
    <x v="0"/>
    <n v="1"/>
    <x v="3"/>
    <s v="Avocado Height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135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003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6601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4903"/>
    <x v="2"/>
    <x v="0"/>
    <n v="1"/>
    <x v="3"/>
    <s v="Baldwin Park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4902"/>
    <x v="2"/>
    <x v="0"/>
    <n v="1"/>
    <x v="3"/>
    <s v="Baldwin Park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6402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0304"/>
    <x v="2"/>
    <x v="0"/>
    <n v="5"/>
    <x v="3"/>
    <s v="San Dimas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1312"/>
    <x v="2"/>
    <x v="0"/>
    <n v="5"/>
    <x v="3"/>
    <s v="San Dima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0402"/>
    <x v="2"/>
    <x v="0"/>
    <n v="5"/>
    <x v="3"/>
    <s v="Glendo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901"/>
    <x v="2"/>
    <x v="0"/>
    <n v="5"/>
    <x v="3"/>
    <s v="Glendo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0403"/>
    <x v="2"/>
    <x v="0"/>
    <n v="5"/>
    <x v="3"/>
    <s v="San Dima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1001"/>
    <x v="2"/>
    <x v="0"/>
    <n v="5"/>
    <x v="3"/>
    <s v="Glendo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4901"/>
    <x v="2"/>
    <x v="0"/>
    <n v="1"/>
    <x v="3"/>
    <s v="Baldwin Park"/>
    <n v="1"/>
    <n v="1"/>
    <n v="3.0950000000000002"/>
    <n v="1.9836996600000001"/>
    <n v="2.9836996600000001"/>
    <n v="0.11117260138240601"/>
    <n v="3.09487226138241"/>
    <n v="3.09278350515464E-2"/>
    <n v="32.3333333333333"/>
    <n v="1"/>
    <n v="0"/>
    <n v="0"/>
    <n v="0"/>
    <n v="3.09278350515464E-2"/>
    <n v="32.333333333333321"/>
  </r>
  <r>
    <n v="408138"/>
    <x v="2"/>
    <x v="0"/>
    <n v="1"/>
    <x v="3"/>
    <s v="South San Jose Hills"/>
    <n v="0"/>
    <n v="0"/>
    <n v="3.903"/>
    <n v="3.7168318299999998"/>
    <n v="3.7168318299999998"/>
    <n v="0.18615811166965901"/>
    <n v="3.9029899416696598"/>
    <n v="3.09278350515464E-2"/>
    <n v="0"/>
    <n v="1"/>
    <n v="0"/>
    <n v="0"/>
    <n v="0"/>
    <n v="3.09278350515464E-2"/>
    <n v="0"/>
  </r>
  <r>
    <n v="401002"/>
    <x v="2"/>
    <x v="0"/>
    <n v="5"/>
    <x v="3"/>
    <s v="Glendora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1203"/>
    <x v="2"/>
    <x v="0"/>
    <n v="5"/>
    <x v="3"/>
    <s v="Glendo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005"/>
    <x v="2"/>
    <x v="0"/>
    <n v="1"/>
    <x v="3"/>
    <s v="West Covina"/>
    <n v="0"/>
    <n v="0"/>
    <n v="3.6859999999999999"/>
    <n v="3.4228962300000001"/>
    <n v="3.4228962300000001"/>
    <n v="0.26262460752244199"/>
    <n v="3.6855208375224402"/>
    <n v="3.09278350515464E-2"/>
    <n v="0"/>
    <n v="1"/>
    <n v="0"/>
    <n v="0"/>
    <n v="0"/>
    <n v="3.09278350515464E-2"/>
    <n v="0"/>
  </r>
  <r>
    <n v="401201"/>
    <x v="2"/>
    <x v="0"/>
    <n v="5"/>
    <x v="3"/>
    <s v="Glendora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3321"/>
    <x v="2"/>
    <x v="0"/>
    <n v="4"/>
    <x v="3"/>
    <s v="Diamond Bar"/>
    <n v="0"/>
    <n v="0"/>
    <n v="2"/>
    <n v="0"/>
    <n v="2"/>
    <n v="0"/>
    <n v="2"/>
    <n v="3.09278350515464E-2"/>
    <n v="0"/>
    <n v="1"/>
    <n v="0"/>
    <n v="0"/>
    <n v="0"/>
    <n v="3.09278350515464E-2"/>
    <n v="0"/>
  </r>
  <r>
    <n v="402405"/>
    <x v="2"/>
    <x v="0"/>
    <n v="1"/>
    <x v="3"/>
    <s v="Pomona"/>
    <n v="0"/>
    <n v="0"/>
    <n v="1.9259999999999999"/>
    <n v="1.90487994"/>
    <n v="1.90487994"/>
    <n v="2.0625322082585301E-2"/>
    <n v="1.9255052620825901"/>
    <n v="3.09278350515464E-2"/>
    <n v="0"/>
    <n v="1"/>
    <n v="0"/>
    <n v="0"/>
    <n v="0"/>
    <n v="3.09278350515464E-2"/>
    <n v="0"/>
  </r>
  <r>
    <n v="401603"/>
    <x v="2"/>
    <x v="0"/>
    <n v="5"/>
    <x v="3"/>
    <s v="La Vern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2202"/>
    <x v="2"/>
    <x v="0"/>
    <n v="1"/>
    <x v="3"/>
    <s v="Monterey Park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82304"/>
    <x v="2"/>
    <x v="0"/>
    <n v="1"/>
    <x v="3"/>
    <s v="Rosemead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629"/>
    <x v="2"/>
    <x v="0"/>
    <n v="4"/>
    <x v="3"/>
    <s v="Hacienda Height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1303"/>
    <x v="2"/>
    <x v="0"/>
    <n v="5"/>
    <x v="3"/>
    <s v="San Dimas"/>
    <n v="0"/>
    <n v="0"/>
    <n v="2.0950000000000002"/>
    <n v="1.9836996600000001"/>
    <n v="1.9836996600000001"/>
    <n v="0.11117260138240601"/>
    <n v="2.09487226138241"/>
    <n v="3.09278350515464E-2"/>
    <n v="0"/>
    <n v="1"/>
    <n v="0"/>
    <n v="0"/>
    <n v="0"/>
    <n v="3.09278350515464E-2"/>
    <n v="0"/>
  </r>
  <r>
    <n v="480201"/>
    <x v="2"/>
    <x v="0"/>
    <n v="5"/>
    <x v="3"/>
    <s v="San Gabriel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1703"/>
    <x v="2"/>
    <x v="0"/>
    <n v="1"/>
    <x v="3"/>
    <s v="Pomona"/>
    <n v="0"/>
    <n v="0"/>
    <n v="5.6859999999999999"/>
    <n v="3.4228962300000001"/>
    <n v="5.4228962300000001"/>
    <n v="0.26262460752244199"/>
    <n v="5.6855208375224402"/>
    <n v="3.09278350515464E-2"/>
    <n v="0"/>
    <n v="1"/>
    <n v="0"/>
    <n v="0"/>
    <n v="0"/>
    <n v="3.09278350515464E-2"/>
    <n v="0"/>
  </r>
  <r>
    <n v="408141"/>
    <x v="2"/>
    <x v="0"/>
    <n v="1"/>
    <x v="3"/>
    <s v="South San Jose Hill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305"/>
    <x v="2"/>
    <x v="0"/>
    <n v="4"/>
    <x v="3"/>
    <s v="Diamond Bar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2101"/>
    <x v="2"/>
    <x v="0"/>
    <n v="1"/>
    <x v="3"/>
    <s v="Pomo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1101"/>
    <x v="2"/>
    <x v="0"/>
    <n v="5"/>
    <x v="3"/>
    <s v="Glendora"/>
    <n v="0"/>
    <n v="0"/>
    <n v="1.9259999999999999"/>
    <n v="1.90487994"/>
    <n v="1.90487994"/>
    <n v="2.0625322082585301E-2"/>
    <n v="1.9255052620825901"/>
    <n v="3.09278350515464E-2"/>
    <n v="0"/>
    <n v="1"/>
    <n v="0"/>
    <n v="0"/>
    <n v="0"/>
    <n v="3.09278350515464E-2"/>
    <n v="0"/>
  </r>
  <r>
    <n v="400501"/>
    <x v="2"/>
    <x v="0"/>
    <n v="5"/>
    <x v="3"/>
    <s v="Glendo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303"/>
    <x v="2"/>
    <x v="0"/>
    <n v="4"/>
    <x v="3"/>
    <s v="Industry"/>
    <n v="0"/>
    <n v="0"/>
    <n v="1.9259999999999999"/>
    <n v="1.90487994"/>
    <n v="1.90487994"/>
    <n v="2.0625322082585301E-2"/>
    <n v="1.9255052620825901"/>
    <n v="3.09278350515464E-2"/>
    <n v="0"/>
    <n v="1"/>
    <n v="0"/>
    <n v="0"/>
    <n v="0"/>
    <n v="3.09278350515464E-2"/>
    <n v="0"/>
  </r>
  <r>
    <n v="403404"/>
    <x v="2"/>
    <x v="0"/>
    <n v="1"/>
    <x v="3"/>
    <s v="Walnut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320"/>
    <x v="2"/>
    <x v="0"/>
    <n v="4"/>
    <x v="3"/>
    <s v="Diamond Bar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200"/>
    <x v="2"/>
    <x v="0"/>
    <n v="1"/>
    <x v="3"/>
    <s v="Pomona"/>
    <n v="0"/>
    <n v="0"/>
    <n v="3.0950000000000002"/>
    <n v="1.9836996600000001"/>
    <n v="2.9836996600000001"/>
    <n v="0.11117260138240601"/>
    <n v="3.09487226138241"/>
    <n v="3.09278350515464E-2"/>
    <n v="0"/>
    <n v="1"/>
    <n v="0"/>
    <n v="0"/>
    <n v="0"/>
    <n v="3.09278350515464E-2"/>
    <n v="0"/>
  </r>
  <r>
    <n v="402705"/>
    <x v="2"/>
    <x v="0"/>
    <n v="1"/>
    <x v="3"/>
    <s v="Pomo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2803"/>
    <x v="2"/>
    <x v="0"/>
    <n v="1"/>
    <x v="3"/>
    <s v="Pomo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134"/>
    <x v="2"/>
    <x v="0"/>
    <n v="1"/>
    <x v="3"/>
    <s v="West Covina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5701"/>
    <x v="2"/>
    <x v="0"/>
    <n v="5"/>
    <x v="3"/>
    <s v="Covina"/>
    <n v="0"/>
    <n v="0"/>
    <n v="2.8079999999999998"/>
    <n v="1.73313217"/>
    <n v="2.7331321700000002"/>
    <n v="7.4985510287253102E-2"/>
    <n v="2.8081176802872498"/>
    <n v="3.09278350515464E-2"/>
    <n v="0"/>
    <n v="1"/>
    <n v="0"/>
    <n v="0"/>
    <n v="0"/>
    <n v="3.09278350515464E-2"/>
    <n v="0"/>
  </r>
  <r>
    <n v="434003"/>
    <x v="2"/>
    <x v="0"/>
    <n v="1"/>
    <x v="3"/>
    <s v="El Monte"/>
    <n v="0"/>
    <n v="0"/>
    <n v="2.5910000000000002"/>
    <n v="1.43919657"/>
    <n v="2.43919657"/>
    <n v="0.15145200614003601"/>
    <n v="2.59064857614004"/>
    <n v="3.09278350515464E-2"/>
    <n v="0"/>
    <n v="1"/>
    <n v="0"/>
    <n v="0"/>
    <n v="0"/>
    <n v="3.09278350515464E-2"/>
    <n v="0"/>
  </r>
  <r>
    <n v="406102"/>
    <x v="2"/>
    <x v="0"/>
    <n v="5"/>
    <x v="3"/>
    <s v="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325"/>
    <x v="2"/>
    <x v="0"/>
    <n v="4"/>
    <x v="3"/>
    <s v="Diamond Bar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702"/>
    <x v="2"/>
    <x v="0"/>
    <n v="5"/>
    <x v="3"/>
    <s v="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7301"/>
    <x v="2"/>
    <x v="0"/>
    <n v="1"/>
    <x v="3"/>
    <s v="West Puente Valley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7400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319"/>
    <x v="2"/>
    <x v="0"/>
    <n v="4"/>
    <x v="3"/>
    <s v="Diamond Bar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001"/>
    <x v="2"/>
    <x v="0"/>
    <n v="5"/>
    <x v="3"/>
    <s v="Alhambra"/>
    <n v="0"/>
    <n v="0"/>
    <n v="4.851"/>
    <n v="3.8097598800000001"/>
    <n v="4.8097598799999997"/>
    <n v="4.1250644165170602E-2"/>
    <n v="4.8510105241651704"/>
    <n v="3.09278350515464E-2"/>
    <n v="0"/>
    <n v="1"/>
    <n v="0"/>
    <n v="0"/>
    <n v="0"/>
    <n v="3.09278350515464E-2"/>
    <n v="0"/>
  </r>
  <r>
    <n v="481300"/>
    <x v="2"/>
    <x v="0"/>
    <n v="1"/>
    <x v="3"/>
    <s v="Rosemead"/>
    <n v="0"/>
    <n v="0"/>
    <n v="1.591"/>
    <n v="1.43919657"/>
    <n v="1.43919657"/>
    <n v="0.15145200614003601"/>
    <n v="1.59064857614004"/>
    <n v="3.09278350515464E-2"/>
    <n v="0"/>
    <n v="1"/>
    <n v="0"/>
    <n v="0"/>
    <n v="0"/>
    <n v="3.09278350515464E-2"/>
    <n v="0"/>
  </r>
  <r>
    <n v="408004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402"/>
    <x v="2"/>
    <x v="0"/>
    <n v="1"/>
    <x v="3"/>
    <s v="Walnut"/>
    <n v="1"/>
    <n v="1"/>
    <n v="1"/>
    <n v="0"/>
    <n v="1"/>
    <n v="0"/>
    <n v="1"/>
    <n v="3.09278350515464E-2"/>
    <n v="32.3333333333333"/>
    <n v="1"/>
    <n v="0"/>
    <n v="0"/>
    <n v="0"/>
    <n v="3.09278350515464E-2"/>
    <n v="32.333333333333321"/>
  </r>
  <r>
    <n v="403322"/>
    <x v="2"/>
    <x v="0"/>
    <n v="4"/>
    <x v="3"/>
    <s v="Diamond Bar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403"/>
    <x v="2"/>
    <x v="0"/>
    <n v="1"/>
    <x v="3"/>
    <s v="Walnut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5400"/>
    <x v="2"/>
    <x v="0"/>
    <n v="1"/>
    <x v="3"/>
    <s v="Vincent"/>
    <n v="0"/>
    <n v="0"/>
    <n v="4.0949999999999998"/>
    <n v="1.9836996600000001"/>
    <n v="3.9836996600000001"/>
    <n v="0.11117260138240601"/>
    <n v="4.0948722613824096"/>
    <n v="3.09278350515464E-2"/>
    <n v="0"/>
    <n v="1"/>
    <n v="0"/>
    <n v="0"/>
    <n v="0"/>
    <n v="3.09278350515464E-2"/>
    <n v="0"/>
  </r>
  <r>
    <n v="482101"/>
    <x v="2"/>
    <x v="0"/>
    <n v="1"/>
    <x v="3"/>
    <s v="Monterey Park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0101"/>
    <x v="2"/>
    <x v="0"/>
    <n v="5"/>
    <x v="3"/>
    <s v="Temple City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2102"/>
    <x v="2"/>
    <x v="0"/>
    <n v="1"/>
    <x v="3"/>
    <s v="Monterey Park"/>
    <n v="0"/>
    <n v="0"/>
    <n v="3.8079999999999998"/>
    <n v="1.73313217"/>
    <n v="3.7331321700000002"/>
    <n v="7.4985510287253102E-2"/>
    <n v="3.8081176802872498"/>
    <n v="3.09278350515464E-2"/>
    <n v="0"/>
    <n v="1"/>
    <n v="0"/>
    <n v="0"/>
    <n v="0"/>
    <n v="3.09278350515464E-2"/>
    <n v="0"/>
  </r>
  <r>
    <n v="480702"/>
    <x v="2"/>
    <x v="0"/>
    <n v="5"/>
    <x v="3"/>
    <s v="South Pasade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500"/>
    <x v="2"/>
    <x v="0"/>
    <n v="5"/>
    <x v="3"/>
    <s v="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503"/>
    <x v="2"/>
    <x v="0"/>
    <n v="4"/>
    <x v="3"/>
    <s v="Hacienda Height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7702"/>
    <x v="2"/>
    <x v="0"/>
    <n v="1"/>
    <x v="3"/>
    <s v="La Puente"/>
    <n v="1"/>
    <n v="1"/>
    <n v="1"/>
    <n v="0"/>
    <n v="1"/>
    <n v="0"/>
    <n v="1"/>
    <n v="3.09278350515464E-2"/>
    <n v="32.3333333333333"/>
    <n v="1"/>
    <n v="0"/>
    <n v="0"/>
    <n v="0"/>
    <n v="3.09278350515464E-2"/>
    <n v="32.333333333333321"/>
  </r>
  <r>
    <n v="408706"/>
    <x v="2"/>
    <x v="0"/>
    <n v="4"/>
    <x v="3"/>
    <s v="Rowland Height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0501"/>
    <x v="2"/>
    <x v="0"/>
    <n v="5"/>
    <x v="3"/>
    <s v="Sierra Madr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0302"/>
    <x v="2"/>
    <x v="0"/>
    <n v="5"/>
    <x v="3"/>
    <s v="Monrovia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31002"/>
    <x v="2"/>
    <x v="0"/>
    <n v="5"/>
    <x v="3"/>
    <s v="Monrovia"/>
    <n v="0"/>
    <n v="0"/>
    <n v="3.5910000000000002"/>
    <n v="1.43919657"/>
    <n v="3.43919657"/>
    <n v="0.15145200614003601"/>
    <n v="3.59064857614004"/>
    <n v="3.09278350515464E-2"/>
    <n v="0"/>
    <n v="1"/>
    <n v="0"/>
    <n v="0"/>
    <n v="0"/>
    <n v="3.09278350515464E-2"/>
    <n v="0"/>
  </r>
  <r>
    <n v="408133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0724"/>
    <x v="2"/>
    <x v="0"/>
    <n v="5"/>
    <x v="3"/>
    <s v="Arcadi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1300"/>
    <x v="2"/>
    <x v="0"/>
    <n v="5"/>
    <x v="3"/>
    <s v="Mayflower Village"/>
    <n v="0"/>
    <n v="0"/>
    <n v="1.591"/>
    <n v="1.43919657"/>
    <n v="1.43919657"/>
    <n v="0.15145200614003601"/>
    <n v="1.59064857614004"/>
    <n v="3.09278350515464E-2"/>
    <n v="0"/>
    <n v="1"/>
    <n v="0"/>
    <n v="0"/>
    <n v="0"/>
    <n v="3.09278350515464E-2"/>
    <n v="0"/>
  </r>
  <r>
    <n v="431600"/>
    <x v="2"/>
    <x v="0"/>
    <n v="5"/>
    <x v="3"/>
    <s v="Arcadi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1501"/>
    <x v="2"/>
    <x v="0"/>
    <n v="5"/>
    <x v="3"/>
    <s v="North El Mont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0600"/>
    <x v="2"/>
    <x v="0"/>
    <n v="5"/>
    <x v="3"/>
    <s v="Arcadia"/>
    <n v="0"/>
    <n v="0"/>
    <n v="1.9259999999999999"/>
    <n v="1.90487994"/>
    <n v="1.90487994"/>
    <n v="2.0625322082585301E-2"/>
    <n v="1.9255052620825901"/>
    <n v="3.09278350515464E-2"/>
    <n v="0"/>
    <n v="1"/>
    <n v="0"/>
    <n v="0"/>
    <n v="0"/>
    <n v="3.09278350515464E-2"/>
    <n v="0"/>
  </r>
  <r>
    <n v="432202"/>
    <x v="2"/>
    <x v="0"/>
    <n v="1"/>
    <x v="3"/>
    <s v="Rosemead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0902"/>
    <x v="2"/>
    <x v="0"/>
    <n v="5"/>
    <x v="3"/>
    <s v="Monrovia"/>
    <n v="0"/>
    <n v="0"/>
    <n v="2"/>
    <n v="0"/>
    <n v="2"/>
    <n v="0"/>
    <n v="2"/>
    <n v="3.09278350515464E-2"/>
    <n v="0"/>
    <n v="1"/>
    <n v="0"/>
    <n v="0"/>
    <n v="0"/>
    <n v="3.09278350515464E-2"/>
    <n v="0"/>
  </r>
  <r>
    <n v="431800"/>
    <x v="2"/>
    <x v="0"/>
    <n v="5"/>
    <x v="3"/>
    <s v="Temple City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63102"/>
    <x v="2"/>
    <x v="0"/>
    <n v="5"/>
    <x v="3"/>
    <s v="East Pasade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500"/>
    <x v="2"/>
    <x v="0"/>
    <n v="5"/>
    <x v="3"/>
    <s v="Alhambra"/>
    <n v="0"/>
    <n v="0"/>
    <n v="2"/>
    <n v="0"/>
    <n v="2"/>
    <n v="0"/>
    <n v="2"/>
    <n v="3.09278350515464E-2"/>
    <n v="0"/>
    <n v="1"/>
    <n v="0"/>
    <n v="0"/>
    <n v="0"/>
    <n v="3.09278350515464E-2"/>
    <n v="0"/>
  </r>
  <r>
    <n v="431200"/>
    <x v="2"/>
    <x v="0"/>
    <n v="5"/>
    <x v="3"/>
    <s v="Monrovi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3902"/>
    <x v="2"/>
    <x v="0"/>
    <n v="1"/>
    <x v="3"/>
    <s v="El Mont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3801"/>
    <x v="2"/>
    <x v="0"/>
    <n v="1"/>
    <x v="3"/>
    <s v="South El Monte"/>
    <n v="0"/>
    <n v="0"/>
    <n v="2"/>
    <n v="0"/>
    <n v="2"/>
    <n v="0"/>
    <n v="2"/>
    <n v="3.09278350515464E-2"/>
    <n v="0"/>
    <n v="1"/>
    <n v="0"/>
    <n v="0"/>
    <n v="0"/>
    <n v="3.09278350515464E-2"/>
    <n v="0"/>
  </r>
  <r>
    <n v="430723"/>
    <x v="2"/>
    <x v="0"/>
    <n v="5"/>
    <x v="3"/>
    <s v="Arcadi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2402"/>
    <x v="2"/>
    <x v="0"/>
    <n v="1"/>
    <x v="3"/>
    <s v="El Monte"/>
    <n v="0"/>
    <n v="0"/>
    <n v="2"/>
    <n v="0"/>
    <n v="2"/>
    <n v="0"/>
    <n v="2"/>
    <n v="3.09278350515464E-2"/>
    <n v="0"/>
    <n v="1"/>
    <n v="0"/>
    <n v="0"/>
    <n v="0"/>
    <n v="3.09278350515464E-2"/>
    <n v="0"/>
  </r>
  <r>
    <n v="430200"/>
    <x v="2"/>
    <x v="0"/>
    <n v="5"/>
    <x v="3"/>
    <s v="Bradbury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3305"/>
    <x v="2"/>
    <x v="0"/>
    <n v="1"/>
    <x v="3"/>
    <s v="El Monte"/>
    <n v="0"/>
    <n v="0"/>
    <n v="5.399"/>
    <n v="3.1723287400000002"/>
    <n v="5.1723287400000002"/>
    <n v="0.22643751642728899"/>
    <n v="5.3987662564272902"/>
    <n v="3.09278350515464E-2"/>
    <n v="0"/>
    <n v="1"/>
    <n v="0"/>
    <n v="0"/>
    <n v="0"/>
    <n v="3.09278350515464E-2"/>
    <n v="0"/>
  </r>
  <r>
    <n v="432902"/>
    <x v="2"/>
    <x v="0"/>
    <n v="1"/>
    <x v="3"/>
    <s v="Rosemead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0701"/>
    <x v="2"/>
    <x v="0"/>
    <n v="5"/>
    <x v="3"/>
    <s v="Arcadia"/>
    <n v="0"/>
    <n v="0"/>
    <n v="3.5169999999999999"/>
    <n v="3.3440765099999998"/>
    <n v="3.3440765099999998"/>
    <n v="0.17207732822262101"/>
    <n v="3.5161538382226198"/>
    <n v="3.09278350515464E-2"/>
    <n v="0"/>
    <n v="1"/>
    <n v="0"/>
    <n v="0"/>
    <n v="0"/>
    <n v="3.09278350515464E-2"/>
    <n v="0"/>
  </r>
  <r>
    <n v="407001"/>
    <x v="2"/>
    <x v="0"/>
    <n v="1"/>
    <x v="3"/>
    <s v="West Puente Valley"/>
    <n v="0"/>
    <n v="0"/>
    <n v="2.0950000000000002"/>
    <n v="1.9836996600000001"/>
    <n v="1.9836996600000001"/>
    <n v="0.11117260138240601"/>
    <n v="2.09487226138241"/>
    <n v="3.09278350515464E-2"/>
    <n v="0"/>
    <n v="1"/>
    <n v="0"/>
    <n v="0"/>
    <n v="0"/>
    <n v="3.09278350515464E-2"/>
    <n v="0"/>
  </r>
  <r>
    <n v="430102"/>
    <x v="2"/>
    <x v="0"/>
    <n v="5"/>
    <x v="3"/>
    <s v="Duarte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32500"/>
    <x v="2"/>
    <x v="0"/>
    <n v="1"/>
    <x v="3"/>
    <s v="El Monte"/>
    <n v="0"/>
    <n v="0"/>
    <n v="5.6859999999999999"/>
    <n v="3.4228962300000001"/>
    <n v="5.4228962300000001"/>
    <n v="0.26262460752244199"/>
    <n v="5.6855208375224402"/>
    <n v="3.09278350515464E-2"/>
    <n v="0"/>
    <n v="1"/>
    <n v="0"/>
    <n v="0"/>
    <n v="0"/>
    <n v="3.09278350515464E-2"/>
    <n v="0"/>
  </r>
  <r>
    <n v="433503"/>
    <x v="2"/>
    <x v="0"/>
    <n v="1"/>
    <x v="3"/>
    <s v="South El Mont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0003"/>
    <x v="2"/>
    <x v="0"/>
    <n v="5"/>
    <x v="3"/>
    <s v="Duart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505"/>
    <x v="2"/>
    <x v="0"/>
    <n v="4"/>
    <x v="3"/>
    <s v="Hacienda Height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3304"/>
    <x v="2"/>
    <x v="0"/>
    <n v="1"/>
    <x v="3"/>
    <s v="El Mont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7601"/>
    <x v="2"/>
    <x v="0"/>
    <n v="1"/>
    <x v="3"/>
    <s v="La Puente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8722"/>
    <x v="2"/>
    <x v="0"/>
    <n v="4"/>
    <x v="3"/>
    <s v="Rowland Heights"/>
    <n v="0"/>
    <n v="0"/>
    <n v="2.0950000000000002"/>
    <n v="1.9836996600000001"/>
    <n v="1.9836996600000001"/>
    <n v="0.11117260138240601"/>
    <n v="2.09487226138241"/>
    <n v="3.09278350515464E-2"/>
    <n v="0"/>
    <n v="1"/>
    <n v="0"/>
    <n v="0"/>
    <n v="0"/>
    <n v="3.09278350515464E-2"/>
    <n v="0"/>
  </r>
  <r>
    <n v="433306"/>
    <x v="2"/>
    <x v="0"/>
    <n v="1"/>
    <x v="3"/>
    <s v="El Monte"/>
    <n v="0"/>
    <n v="0"/>
    <n v="2"/>
    <n v="0"/>
    <n v="2"/>
    <n v="0"/>
    <n v="2"/>
    <n v="3.09278350515464E-2"/>
    <n v="0"/>
    <n v="1"/>
    <n v="0"/>
    <n v="0"/>
    <n v="0"/>
    <n v="3.09278350515464E-2"/>
    <n v="0"/>
  </r>
  <r>
    <n v="433402"/>
    <x v="2"/>
    <x v="0"/>
    <n v="1"/>
    <x v="3"/>
    <s v="El Monte"/>
    <n v="0"/>
    <n v="0"/>
    <n v="2.0950000000000002"/>
    <n v="1.9836996600000001"/>
    <n v="1.9836996600000001"/>
    <n v="0.11117260138240601"/>
    <n v="2.09487226138241"/>
    <n v="3.09278350515464E-2"/>
    <n v="0"/>
    <n v="1"/>
    <n v="0"/>
    <n v="0"/>
    <n v="0"/>
    <n v="3.09278350515464E-2"/>
    <n v="0"/>
  </r>
  <r>
    <n v="408628"/>
    <x v="2"/>
    <x v="0"/>
    <n v="4"/>
    <x v="3"/>
    <s v="Hacienda Height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902"/>
    <x v="2"/>
    <x v="0"/>
    <n v="5"/>
    <x v="3"/>
    <s v="Alhamb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3504"/>
    <x v="2"/>
    <x v="0"/>
    <n v="1"/>
    <x v="3"/>
    <s v="South El Monte"/>
    <n v="0"/>
    <n v="0"/>
    <n v="4.9029999999999996"/>
    <n v="3.7168318299999998"/>
    <n v="4.7168318300000003"/>
    <n v="0.18615811166965901"/>
    <n v="4.9029899416696603"/>
    <n v="3.09278350515464E-2"/>
    <n v="0"/>
    <n v="1"/>
    <n v="0"/>
    <n v="0"/>
    <n v="0"/>
    <n v="3.09278350515464E-2"/>
    <n v="0"/>
  </r>
  <r>
    <n v="406411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317"/>
    <x v="2"/>
    <x v="0"/>
    <n v="1"/>
    <x v="3"/>
    <s v="Pomona"/>
    <n v="0"/>
    <n v="0"/>
    <n v="4.5110000000000001"/>
    <n v="3.4144237899999998"/>
    <n v="4.4144237899999998"/>
    <n v="9.6477442046678602E-2"/>
    <n v="4.5109012320466801"/>
    <n v="3.09278350515464E-2"/>
    <n v="0"/>
    <n v="1"/>
    <n v="0"/>
    <n v="0"/>
    <n v="0"/>
    <n v="3.09278350515464E-2"/>
    <n v="0"/>
  </r>
  <r>
    <n v="433901"/>
    <x v="2"/>
    <x v="0"/>
    <n v="1"/>
    <x v="3"/>
    <s v="El Mont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137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63300"/>
    <x v="2"/>
    <x v="0"/>
    <n v="5"/>
    <x v="3"/>
    <s v="San Pasqual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703"/>
    <x v="2"/>
    <x v="0"/>
    <n v="5"/>
    <x v="3"/>
    <s v="San Dima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7701"/>
    <x v="2"/>
    <x v="0"/>
    <n v="1"/>
    <x v="3"/>
    <s v="La Puent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0500"/>
    <x v="2"/>
    <x v="0"/>
    <n v="5"/>
    <x v="3"/>
    <s v="South Pasade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0206"/>
    <x v="2"/>
    <x v="0"/>
    <n v="1"/>
    <x v="3"/>
    <s v="Claremont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0704"/>
    <x v="2"/>
    <x v="0"/>
    <n v="5"/>
    <x v="3"/>
    <s v="South Pasadena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2904"/>
    <x v="2"/>
    <x v="0"/>
    <n v="1"/>
    <x v="3"/>
    <s v="Pomona"/>
    <n v="0"/>
    <n v="0"/>
    <n v="1.9259999999999999"/>
    <n v="1.90487994"/>
    <n v="1.90487994"/>
    <n v="2.0625322082585301E-2"/>
    <n v="1.9255052620825901"/>
    <n v="3.09278350515464E-2"/>
    <n v="0"/>
    <n v="1"/>
    <n v="0"/>
    <n v="0"/>
    <n v="0"/>
    <n v="3.09278350515464E-2"/>
    <n v="0"/>
  </r>
  <r>
    <n v="403407"/>
    <x v="2"/>
    <x v="0"/>
    <n v="1"/>
    <x v="3"/>
    <s v="Walnut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7502"/>
    <x v="2"/>
    <x v="0"/>
    <n v="1"/>
    <x v="3"/>
    <s v="Valind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722"/>
    <x v="2"/>
    <x v="0"/>
    <n v="5"/>
    <x v="3"/>
    <s v="Covina"/>
    <n v="0"/>
    <n v="0"/>
    <n v="1.9259999999999999"/>
    <n v="1.90487994"/>
    <n v="1.90487994"/>
    <n v="2.0625322082585301E-2"/>
    <n v="1.9255052620825901"/>
    <n v="3.09278350515464E-2"/>
    <n v="0"/>
    <n v="1"/>
    <n v="0"/>
    <n v="0"/>
    <n v="0"/>
    <n v="3.09278350515464E-2"/>
    <n v="0"/>
  </r>
  <r>
    <n v="464200"/>
    <x v="2"/>
    <x v="0"/>
    <n v="5"/>
    <x v="3"/>
    <s v="San Marino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6800"/>
    <x v="2"/>
    <x v="0"/>
    <n v="1"/>
    <x v="3"/>
    <s v="West Covina"/>
    <n v="1"/>
    <n v="1"/>
    <n v="2.0950000000000002"/>
    <n v="1.9836996600000001"/>
    <n v="1.9836996600000001"/>
    <n v="0.11117260138240601"/>
    <n v="2.09487226138241"/>
    <n v="3.09278350515464E-2"/>
    <n v="32.3333333333333"/>
    <n v="1"/>
    <n v="0"/>
    <n v="0"/>
    <n v="0"/>
    <n v="3.09278350515464E-2"/>
    <n v="32.333333333333321"/>
  </r>
  <r>
    <n v="403902"/>
    <x v="2"/>
    <x v="0"/>
    <n v="5"/>
    <x v="3"/>
    <s v="Glendo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2403"/>
    <x v="2"/>
    <x v="0"/>
    <n v="1"/>
    <x v="3"/>
    <s v="Pomona"/>
    <n v="0"/>
    <n v="0"/>
    <n v="1.8080000000000001"/>
    <n v="1.73313217"/>
    <n v="1.73313217"/>
    <n v="7.4985510287253102E-2"/>
    <n v="1.8081176802872501"/>
    <n v="3.09278350515464E-2"/>
    <n v="0"/>
    <n v="1"/>
    <n v="0"/>
    <n v="0"/>
    <n v="0"/>
    <n v="3.09278350515464E-2"/>
    <n v="0"/>
  </r>
  <r>
    <n v="480703"/>
    <x v="2"/>
    <x v="0"/>
    <n v="5"/>
    <x v="3"/>
    <s v="South Pasadena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80012"/>
    <x v="2"/>
    <x v="0"/>
    <n v="5"/>
    <x v="3"/>
    <s v="East San Gabriel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0102"/>
    <x v="2"/>
    <x v="0"/>
    <n v="5"/>
    <x v="3"/>
    <s v="East San Gabriel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30802"/>
    <x v="2"/>
    <x v="0"/>
    <n v="5"/>
    <x v="3"/>
    <s v="Arcadi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0400"/>
    <x v="2"/>
    <x v="0"/>
    <n v="5"/>
    <x v="3"/>
    <s v="Alhamb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6412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625"/>
    <x v="2"/>
    <x v="0"/>
    <n v="4"/>
    <x v="3"/>
    <s v="Hacienda Heights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64100"/>
    <x v="2"/>
    <x v="0"/>
    <n v="5"/>
    <x v="3"/>
    <s v="San Marino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713"/>
    <x v="2"/>
    <x v="0"/>
    <n v="1"/>
    <x v="3"/>
    <s v="Monterey Park"/>
    <n v="0"/>
    <n v="0"/>
    <n v="2.0950000000000002"/>
    <n v="1.9836996600000001"/>
    <n v="1.9836996600000001"/>
    <n v="0.11117260138240601"/>
    <n v="2.09487226138241"/>
    <n v="3.09278350515464E-2"/>
    <n v="0"/>
    <n v="1"/>
    <n v="0"/>
    <n v="0"/>
    <n v="0"/>
    <n v="3.09278350515464E-2"/>
    <n v="0"/>
  </r>
  <r>
    <n v="480902"/>
    <x v="2"/>
    <x v="0"/>
    <n v="5"/>
    <x v="3"/>
    <s v="Alhamb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604"/>
    <x v="2"/>
    <x v="0"/>
    <n v="5"/>
    <x v="3"/>
    <s v="Alhamb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2301"/>
    <x v="2"/>
    <x v="0"/>
    <n v="5"/>
    <x v="3"/>
    <s v="San Gabriel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2800"/>
    <x v="2"/>
    <x v="0"/>
    <n v="1"/>
    <x v="3"/>
    <s v="Monterey Park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324"/>
    <x v="2"/>
    <x v="0"/>
    <n v="4"/>
    <x v="3"/>
    <s v="Diamond Bar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605"/>
    <x v="2"/>
    <x v="0"/>
    <n v="5"/>
    <x v="3"/>
    <s v="Alhamb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2703"/>
    <x v="2"/>
    <x v="0"/>
    <n v="1"/>
    <x v="3"/>
    <s v="Pomo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603"/>
    <x v="2"/>
    <x v="0"/>
    <n v="5"/>
    <x v="3"/>
    <s v="Alhamb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0207"/>
    <x v="2"/>
    <x v="0"/>
    <n v="5"/>
    <x v="3"/>
    <s v="La Verne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3408"/>
    <x v="2"/>
    <x v="0"/>
    <n v="1"/>
    <x v="3"/>
    <s v="Walnut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3304"/>
    <x v="2"/>
    <x v="0"/>
    <n v="4"/>
    <x v="3"/>
    <s v="Diamond Bar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0803"/>
    <x v="2"/>
    <x v="0"/>
    <n v="5"/>
    <x v="3"/>
    <s v="Arcadi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2602"/>
    <x v="2"/>
    <x v="0"/>
    <n v="1"/>
    <x v="3"/>
    <s v="El Mont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0302"/>
    <x v="2"/>
    <x v="0"/>
    <n v="5"/>
    <x v="3"/>
    <s v="La Vern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2804"/>
    <x v="2"/>
    <x v="0"/>
    <n v="1"/>
    <x v="3"/>
    <s v="Pomo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0002"/>
    <x v="2"/>
    <x v="0"/>
    <n v="5"/>
    <x v="3"/>
    <s v="East San Gabriel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1700"/>
    <x v="2"/>
    <x v="0"/>
    <n v="5"/>
    <x v="3"/>
    <s v="Arcadi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103"/>
    <x v="2"/>
    <x v="0"/>
    <n v="5"/>
    <x v="3"/>
    <s v="San Gabriel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8627"/>
    <x v="2"/>
    <x v="0"/>
    <n v="4"/>
    <x v="3"/>
    <s v="Rowland Heights"/>
    <n v="0"/>
    <n v="0"/>
    <n v="1.7030000000000001"/>
    <n v="1.6812916200000001"/>
    <n v="1.6812916200000001"/>
    <n v="2.14919317594255E-2"/>
    <n v="1.7027835517594301"/>
    <n v="3.09278350515464E-2"/>
    <n v="0"/>
    <n v="1"/>
    <n v="0"/>
    <n v="0"/>
    <n v="0"/>
    <n v="3.09278350515464E-2"/>
    <n v="0"/>
  </r>
  <r>
    <n v="408631"/>
    <x v="2"/>
    <x v="0"/>
    <n v="4"/>
    <x v="3"/>
    <s v="Hacienda Heights"/>
    <n v="0"/>
    <n v="0"/>
    <n v="5.0209999999999999"/>
    <n v="3.8885795999999999"/>
    <n v="4.8885795999999999"/>
    <n v="0.131797923464991"/>
    <n v="5.0203775234649903"/>
    <n v="3.09278350515464E-2"/>
    <n v="0"/>
    <n v="1"/>
    <n v="0"/>
    <n v="0"/>
    <n v="0"/>
    <n v="3.09278350515464E-2"/>
    <n v="0"/>
  </r>
  <r>
    <n v="406701"/>
    <x v="2"/>
    <x v="0"/>
    <n v="1"/>
    <x v="3"/>
    <s v="West Covina"/>
    <n v="0"/>
    <n v="0"/>
    <n v="1.9259999999999999"/>
    <n v="1.90487994"/>
    <n v="1.90487994"/>
    <n v="2.0625322082585301E-2"/>
    <n v="1.9255052620825901"/>
    <n v="3.09278350515464E-2"/>
    <n v="0"/>
    <n v="1"/>
    <n v="0"/>
    <n v="0"/>
    <n v="0"/>
    <n v="3.09278350515464E-2"/>
    <n v="0"/>
  </r>
  <r>
    <n v="408211"/>
    <x v="2"/>
    <x v="0"/>
    <n v="1"/>
    <x v="3"/>
    <s v="Industry"/>
    <n v="0"/>
    <n v="0"/>
    <n v="3.9260000000000002"/>
    <n v="1.90487994"/>
    <n v="3.9048799399999998"/>
    <n v="2.0625322082585301E-2"/>
    <n v="3.9255052620825901"/>
    <n v="3.09278350515464E-2"/>
    <n v="0"/>
    <n v="1"/>
    <n v="0"/>
    <n v="0"/>
    <n v="0"/>
    <n v="3.09278350515464E-2"/>
    <n v="0"/>
  </r>
  <r>
    <n v="401602"/>
    <x v="2"/>
    <x v="0"/>
    <n v="5"/>
    <x v="3"/>
    <s v="La Verne"/>
    <n v="0"/>
    <n v="0"/>
    <n v="1.591"/>
    <n v="1.43919657"/>
    <n v="1.43919657"/>
    <n v="0.15145200614003601"/>
    <n v="1.59064857614004"/>
    <n v="3.09278350515464E-2"/>
    <n v="0"/>
    <n v="1"/>
    <n v="0"/>
    <n v="0"/>
    <n v="0"/>
    <n v="3.09278350515464E-2"/>
    <n v="0"/>
  </r>
  <r>
    <n v="482201"/>
    <x v="2"/>
    <x v="0"/>
    <n v="1"/>
    <x v="3"/>
    <s v="Monterey Park"/>
    <n v="0"/>
    <n v="0"/>
    <n v="1.591"/>
    <n v="1.43919657"/>
    <n v="1.43919657"/>
    <n v="0.15145200614003601"/>
    <n v="1.59064857614004"/>
    <n v="3.09278350515464E-2"/>
    <n v="0"/>
    <n v="1"/>
    <n v="0"/>
    <n v="0"/>
    <n v="0"/>
    <n v="3.09278350515464E-2"/>
    <n v="0"/>
  </r>
  <r>
    <n v="400900"/>
    <x v="2"/>
    <x v="0"/>
    <n v="5"/>
    <x v="3"/>
    <s v="Glendora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3312"/>
    <x v="2"/>
    <x v="0"/>
    <n v="1"/>
    <x v="3"/>
    <s v="Industry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401"/>
    <x v="2"/>
    <x v="0"/>
    <n v="1"/>
    <x v="3"/>
    <s v="Walnut"/>
    <n v="0"/>
    <n v="0"/>
    <n v="2.0950000000000002"/>
    <n v="1.9836996600000001"/>
    <n v="1.9836996600000001"/>
    <n v="0.11117260138240601"/>
    <n v="2.09487226138241"/>
    <n v="3.09278350515464E-2"/>
    <n v="0"/>
    <n v="1"/>
    <n v="0"/>
    <n v="0"/>
    <n v="0"/>
    <n v="3.09278350515464E-2"/>
    <n v="0"/>
  </r>
  <r>
    <n v="405301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316"/>
    <x v="2"/>
    <x v="0"/>
    <n v="4"/>
    <x v="3"/>
    <s v="Diamond Bar"/>
    <n v="0"/>
    <n v="0"/>
    <n v="2.0950000000000002"/>
    <n v="1.9836996600000001"/>
    <n v="1.9836996600000001"/>
    <n v="0.11117260138240601"/>
    <n v="2.09487226138241"/>
    <n v="3.09278350515464E-2"/>
    <n v="0"/>
    <n v="1"/>
    <n v="0"/>
    <n v="0"/>
    <n v="0"/>
    <n v="3.09278350515464E-2"/>
    <n v="0"/>
  </r>
  <r>
    <n v="430400"/>
    <x v="2"/>
    <x v="0"/>
    <n v="5"/>
    <x v="3"/>
    <s v="Arcadia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2404"/>
    <x v="2"/>
    <x v="0"/>
    <n v="5"/>
    <x v="3"/>
    <s v="Pomona"/>
    <n v="0"/>
    <n v="0"/>
    <n v="4.181"/>
    <n v="2.87839314"/>
    <n v="3.87839314"/>
    <n v="0.30290401228007202"/>
    <n v="4.1812971522800702"/>
    <n v="3.09278350515464E-2"/>
    <n v="0"/>
    <n v="1"/>
    <n v="0"/>
    <n v="0"/>
    <n v="0"/>
    <n v="3.09278350515464E-2"/>
    <n v="0"/>
  </r>
  <r>
    <n v="400404"/>
    <x v="2"/>
    <x v="0"/>
    <n v="5"/>
    <x v="3"/>
    <s v="Glendo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401"/>
    <x v="2"/>
    <x v="0"/>
    <n v="5"/>
    <x v="3"/>
    <s v="San Gabriel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2301"/>
    <x v="2"/>
    <x v="0"/>
    <n v="1"/>
    <x v="3"/>
    <s v="Pomo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406"/>
    <x v="2"/>
    <x v="0"/>
    <n v="1"/>
    <x v="3"/>
    <s v="Walnut"/>
    <n v="1"/>
    <n v="1"/>
    <n v="0"/>
    <n v="0"/>
    <n v="0"/>
    <n v="0"/>
    <n v="0"/>
    <n v="3.09278350515464E-2"/>
    <n v="32.3333333333333"/>
    <n v="1"/>
    <n v="0"/>
    <n v="0"/>
    <n v="0"/>
    <n v="3.09278350515464E-2"/>
    <n v="32.333333333333321"/>
  </r>
  <r>
    <n v="402001"/>
    <x v="2"/>
    <x v="0"/>
    <n v="1"/>
    <x v="3"/>
    <s v="Claremont"/>
    <n v="0"/>
    <n v="0"/>
    <n v="1.9259999999999999"/>
    <n v="1.90487994"/>
    <n v="1.90487994"/>
    <n v="2.0625322082585301E-2"/>
    <n v="1.9255052620825901"/>
    <n v="3.09278350515464E-2"/>
    <n v="0"/>
    <n v="1"/>
    <n v="0"/>
    <n v="0"/>
    <n v="0"/>
    <n v="3.09278350515464E-2"/>
    <n v="0"/>
  </r>
  <r>
    <n v="405101"/>
    <x v="2"/>
    <x v="0"/>
    <n v="1"/>
    <x v="3"/>
    <s v="Baldwin Park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0301"/>
    <x v="2"/>
    <x v="0"/>
    <n v="5"/>
    <x v="3"/>
    <s v="Monrovia"/>
    <n v="0"/>
    <n v="0"/>
    <n v="4.0949999999999998"/>
    <n v="1.9836996600000001"/>
    <n v="3.9836996600000001"/>
    <n v="0.11117260138240601"/>
    <n v="4.0948722613824096"/>
    <n v="3.09278350515464E-2"/>
    <n v="0"/>
    <n v="1"/>
    <n v="0"/>
    <n v="0"/>
    <n v="0"/>
    <n v="3.09278350515464E-2"/>
    <n v="0"/>
  </r>
  <r>
    <n v="408724"/>
    <x v="2"/>
    <x v="0"/>
    <n v="4"/>
    <x v="3"/>
    <s v="Rowland Heights"/>
    <n v="0"/>
    <n v="0"/>
    <n v="3.399"/>
    <n v="3.1723287400000002"/>
    <n v="3.1723287400000002"/>
    <n v="0.22643751642728899"/>
    <n v="3.3987662564272898"/>
    <n v="3.09278350515464E-2"/>
    <n v="0"/>
    <n v="1"/>
    <n v="0"/>
    <n v="0"/>
    <n v="0"/>
    <n v="3.09278350515464E-2"/>
    <n v="0"/>
  </r>
  <r>
    <n v="408630"/>
    <x v="2"/>
    <x v="0"/>
    <n v="4"/>
    <x v="3"/>
    <s v="Hacienda Heights"/>
    <n v="0"/>
    <n v="0"/>
    <n v="2"/>
    <n v="0"/>
    <n v="2"/>
    <n v="0"/>
    <n v="2"/>
    <n v="3.09278350515464E-2"/>
    <n v="0"/>
    <n v="1"/>
    <n v="0"/>
    <n v="0"/>
    <n v="0"/>
    <n v="3.09278350515464E-2"/>
    <n v="0"/>
  </r>
  <r>
    <n v="480901"/>
    <x v="2"/>
    <x v="0"/>
    <n v="5"/>
    <x v="3"/>
    <s v="Alhambra"/>
    <n v="0"/>
    <n v="0"/>
    <n v="3.399"/>
    <n v="3.1723287400000002"/>
    <n v="3.1723287400000002"/>
    <n v="0.22643751642728899"/>
    <n v="3.3987662564272898"/>
    <n v="3.09278350515464E-2"/>
    <n v="0"/>
    <n v="1"/>
    <n v="0"/>
    <n v="0"/>
    <n v="0"/>
    <n v="3.09278350515464E-2"/>
    <n v="0"/>
  </r>
  <r>
    <n v="432101"/>
    <x v="2"/>
    <x v="0"/>
    <n v="5"/>
    <x v="3"/>
    <s v="Temple City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3405"/>
    <x v="2"/>
    <x v="0"/>
    <n v="1"/>
    <x v="3"/>
    <s v="Walnut"/>
    <n v="0"/>
    <n v="0"/>
    <n v="2.0950000000000002"/>
    <n v="1.9836996600000001"/>
    <n v="1.9836996600000001"/>
    <n v="0.11117260138240601"/>
    <n v="2.09487226138241"/>
    <n v="3.09278350515464E-2"/>
    <n v="0"/>
    <n v="1"/>
    <n v="0"/>
    <n v="0"/>
    <n v="0"/>
    <n v="3.09278350515464E-2"/>
    <n v="0"/>
  </r>
  <r>
    <n v="400204"/>
    <x v="2"/>
    <x v="0"/>
    <n v="5"/>
    <x v="3"/>
    <s v="La Verne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2001"/>
    <x v="2"/>
    <x v="0"/>
    <n v="1"/>
    <x v="3"/>
    <s v="Monterey Park"/>
    <n v="1"/>
    <n v="1"/>
    <n v="0"/>
    <n v="0"/>
    <n v="0"/>
    <n v="0"/>
    <n v="0"/>
    <n v="3.09278350515464E-2"/>
    <n v="32.3333333333333"/>
    <n v="1"/>
    <n v="0"/>
    <n v="0"/>
    <n v="0"/>
    <n v="3.09278350515464E-2"/>
    <n v="32.333333333333321"/>
  </r>
  <r>
    <n v="482702"/>
    <x v="2"/>
    <x v="0"/>
    <n v="1"/>
    <x v="3"/>
    <s v="Monterey Park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8705"/>
    <x v="2"/>
    <x v="0"/>
    <n v="4"/>
    <x v="3"/>
    <s v="Rowland Heights"/>
    <n v="0"/>
    <n v="0"/>
    <n v="3.9260000000000002"/>
    <n v="1.90487994"/>
    <n v="3.9048799399999998"/>
    <n v="2.0625322082585301E-2"/>
    <n v="3.9255052620825901"/>
    <n v="3.09278350515464E-2"/>
    <n v="0"/>
    <n v="1"/>
    <n v="0"/>
    <n v="0"/>
    <n v="0"/>
    <n v="3.09278350515464E-2"/>
    <n v="0"/>
  </r>
  <r>
    <n v="404503"/>
    <x v="2"/>
    <x v="0"/>
    <n v="1"/>
    <x v="3"/>
    <s v="Azusa"/>
    <n v="0"/>
    <n v="0"/>
    <n v="2.9260000000000002"/>
    <n v="1.90487994"/>
    <n v="2.9048799399999998"/>
    <n v="2.0625322082585301E-2"/>
    <n v="2.9255052620825901"/>
    <n v="3.09278350515464E-2"/>
    <n v="0"/>
    <n v="1"/>
    <n v="0"/>
    <n v="0"/>
    <n v="0"/>
    <n v="3.09278350515464E-2"/>
    <n v="0"/>
  </r>
  <r>
    <n v="408623"/>
    <x v="2"/>
    <x v="0"/>
    <n v="4"/>
    <x v="3"/>
    <s v="Hacienda Heights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81606"/>
    <x v="2"/>
    <x v="0"/>
    <n v="5"/>
    <x v="3"/>
    <s v="Alhambra"/>
    <n v="0"/>
    <n v="0"/>
    <n v="3.181"/>
    <n v="2.87839314"/>
    <n v="2.87839314"/>
    <n v="0.30290401228007202"/>
    <n v="3.1812971522800702"/>
    <n v="3.09278350515464E-2"/>
    <n v="0"/>
    <n v="1"/>
    <n v="0"/>
    <n v="0"/>
    <n v="0"/>
    <n v="3.09278350515464E-2"/>
    <n v="0"/>
  </r>
  <r>
    <n v="481714"/>
    <x v="2"/>
    <x v="0"/>
    <n v="1"/>
    <x v="3"/>
    <s v="Monterey Park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0303"/>
    <x v="2"/>
    <x v="0"/>
    <n v="5"/>
    <x v="3"/>
    <s v="Alhamb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1002"/>
    <x v="2"/>
    <x v="0"/>
    <n v="5"/>
    <x v="3"/>
    <s v="Alhamb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30502"/>
    <x v="2"/>
    <x v="0"/>
    <n v="5"/>
    <x v="3"/>
    <s v="Sierra Madre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03323"/>
    <x v="2"/>
    <x v="0"/>
    <n v="4"/>
    <x v="3"/>
    <s v="Diamond Bar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4000"/>
    <x v="2"/>
    <x v="0"/>
    <n v="1"/>
    <x v="3"/>
    <s v="Citrus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60000"/>
    <x v="2"/>
    <x v="0"/>
    <n v="5"/>
    <x v="3"/>
    <s v="Kinneloa Mesa"/>
    <n v="0"/>
    <n v="0"/>
    <n v="1"/>
    <n v="0"/>
    <n v="1"/>
    <n v="0"/>
    <n v="1"/>
    <n v="3.09278350515464E-2"/>
    <n v="0"/>
    <n v="1"/>
    <n v="0"/>
    <n v="0"/>
    <n v="0"/>
    <n v="3.09278350515464E-2"/>
    <n v="0"/>
  </r>
  <r>
    <n v="481800"/>
    <x v="2"/>
    <x v="0"/>
    <n v="5"/>
    <x v="3"/>
    <s v="Alhamb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0205"/>
    <x v="2"/>
    <x v="0"/>
    <n v="1"/>
    <x v="3"/>
    <s v="Claremont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0202"/>
    <x v="2"/>
    <x v="0"/>
    <n v="5"/>
    <x v="3"/>
    <s v="San Gabriel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08136"/>
    <x v="2"/>
    <x v="0"/>
    <n v="1"/>
    <x v="3"/>
    <s v="West Covin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0903"/>
    <x v="2"/>
    <x v="0"/>
    <n v="5"/>
    <x v="3"/>
    <s v="Alhambra"/>
    <n v="0"/>
    <n v="0"/>
    <n v="0"/>
    <n v="0"/>
    <n v="0"/>
    <n v="0"/>
    <n v="0"/>
    <n v="3.09278350515464E-2"/>
    <n v="0"/>
    <n v="1"/>
    <n v="0"/>
    <n v="0"/>
    <n v="0"/>
    <n v="3.09278350515464E-2"/>
    <n v="0"/>
  </r>
  <r>
    <n v="480804"/>
    <x v="2"/>
    <x v="0"/>
    <n v="5"/>
    <x v="3"/>
    <s v="Alhambra"/>
    <n v="0"/>
    <n v="0"/>
    <n v="3.181"/>
    <n v="2.87839314"/>
    <n v="2.87839314"/>
    <n v="0.30290401228007202"/>
    <n v="3.1812971522800702"/>
    <n v="3.09278350515464E-2"/>
    <n v="0"/>
    <n v="1"/>
    <n v="0"/>
    <n v="0"/>
    <n v="0"/>
    <n v="3.09278350515464E-2"/>
    <n v="0"/>
  </r>
  <r>
    <n v="209520"/>
    <x v="3"/>
    <x v="8"/>
    <n v="1"/>
    <x v="0"/>
    <s v="Westlake"/>
    <n v="0"/>
    <n v="1"/>
    <n v="44.442999999999998"/>
    <n v="34.098967739999999"/>
    <n v="43.098967739999999"/>
    <n v="1.3436179534649899"/>
    <n v="44.442585693464999"/>
    <n v="0.164383561643836"/>
    <n v="0"/>
    <n v="0.34246575342465801"/>
    <n v="1"/>
    <n v="0.30434782608695699"/>
    <n v="3.28571428571429"/>
    <n v="0.41870160810006019"/>
    <n v="2.3883357041251743"/>
  </r>
  <r>
    <n v="207101"/>
    <x v="3"/>
    <x v="8"/>
    <n v="1"/>
    <x v="0"/>
    <s v="Chinatown"/>
    <n v="0"/>
    <n v="0"/>
    <n v="64.641999999999996"/>
    <n v="25.9568069"/>
    <n v="63.956806899999997"/>
    <n v="0.68495323382405704"/>
    <n v="64.641760133824107"/>
    <n v="0.164383561643836"/>
    <n v="0"/>
    <n v="0.34246575342465801"/>
    <n v="1"/>
    <n v="0.30434782608695699"/>
    <n v="0"/>
    <n v="0.41870160810006019"/>
    <n v="0"/>
  </r>
  <r>
    <n v="206010"/>
    <x v="3"/>
    <x v="8"/>
    <n v="1"/>
    <x v="0"/>
    <s v="Chinatown"/>
    <n v="0"/>
    <n v="0"/>
    <n v="20.391999999999999"/>
    <n v="19.61286818"/>
    <n v="19.61286818"/>
    <n v="0.77921345570915601"/>
    <n v="20.3920816357092"/>
    <n v="0.164383561643836"/>
    <n v="0"/>
    <n v="0.34246575342465801"/>
    <n v="1"/>
    <n v="0.30434782608695699"/>
    <n v="0"/>
    <n v="0.41870160810006019"/>
    <n v="0"/>
  </r>
  <r>
    <n v="212204"/>
    <x v="3"/>
    <x v="8"/>
    <n v="2"/>
    <x v="0"/>
    <s v="Westlake"/>
    <n v="0"/>
    <n v="0"/>
    <n v="65.236999999999995"/>
    <n v="49.256528369999998"/>
    <n v="64.256528369999998"/>
    <n v="0.98038838660682204"/>
    <n v="65.236916756606803"/>
    <n v="0.164383561643836"/>
    <n v="0"/>
    <n v="0.34246575342465801"/>
    <n v="1"/>
    <n v="0.30434782608695699"/>
    <n v="0"/>
    <n v="0.41870160810006019"/>
    <n v="0"/>
  </r>
  <r>
    <n v="208000"/>
    <x v="3"/>
    <x v="8"/>
    <n v="1"/>
    <x v="0"/>
    <s v="Echo Park"/>
    <n v="0"/>
    <n v="0"/>
    <n v="27.792000000000002"/>
    <n v="22.4076488"/>
    <n v="27.4076488"/>
    <n v="0.38464905057450599"/>
    <n v="27.792297850574499"/>
    <n v="0.164383561643836"/>
    <n v="0"/>
    <n v="0.34246575342465801"/>
    <n v="1"/>
    <n v="0.30434782608695699"/>
    <n v="0"/>
    <n v="0.41870160810006019"/>
    <n v="0"/>
  </r>
  <r>
    <n v="210010"/>
    <x v="3"/>
    <x v="8"/>
    <n v="1"/>
    <x v="0"/>
    <s v="Pico Union"/>
    <n v="0"/>
    <n v="0"/>
    <n v="35.427"/>
    <n v="23.881956779999999"/>
    <n v="34.881956780000003"/>
    <n v="0.54410407335727096"/>
    <n v="35.426060853357299"/>
    <n v="0.164383561643836"/>
    <n v="0"/>
    <n v="0.34246575342465801"/>
    <n v="1"/>
    <n v="0.30434782608695699"/>
    <n v="0"/>
    <n v="0.41870160810006019"/>
    <n v="0"/>
  </r>
  <r>
    <n v="209401"/>
    <x v="3"/>
    <x v="8"/>
    <n v="1"/>
    <x v="0"/>
    <s v="Westlake"/>
    <n v="0"/>
    <n v="0"/>
    <n v="47.156999999999996"/>
    <n v="35.239111549999997"/>
    <n v="46.239111549999997"/>
    <n v="0.91803991861759404"/>
    <n v="47.157151468617599"/>
    <n v="0.164383561643836"/>
    <n v="0"/>
    <n v="0.34246575342465801"/>
    <n v="1"/>
    <n v="0.30434782608695699"/>
    <n v="0"/>
    <n v="0.41870160810006019"/>
    <n v="0"/>
  </r>
  <r>
    <n v="197500"/>
    <x v="3"/>
    <x v="8"/>
    <n v="1"/>
    <x v="0"/>
    <s v="Echo Park"/>
    <n v="0"/>
    <n v="0"/>
    <n v="79.625"/>
    <n v="65.622830680000007"/>
    <n v="76.622830680000007"/>
    <n v="3.0025895816696599"/>
    <n v="79.625420261669703"/>
    <n v="0.164383561643836"/>
    <n v="0"/>
    <n v="0.34246575342465801"/>
    <n v="1"/>
    <n v="0.30434782608695699"/>
    <n v="0"/>
    <n v="0.41870160810006019"/>
    <n v="0"/>
  </r>
  <r>
    <n v="185310"/>
    <x v="3"/>
    <x v="8"/>
    <n v="1"/>
    <x v="0"/>
    <s v="Cypress Park"/>
    <n v="0"/>
    <n v="1"/>
    <n v="5.4240000000000004"/>
    <n v="5.1993965099999997"/>
    <n v="5.1993965099999997"/>
    <n v="0.22495653086175901"/>
    <n v="5.4243530408617602"/>
    <n v="0.164383561643836"/>
    <n v="0"/>
    <n v="0.34246575342465801"/>
    <n v="1"/>
    <n v="0.30434782608695699"/>
    <n v="3.28571428571429"/>
    <n v="0.41870160810006019"/>
    <n v="2.3883357041251743"/>
  </r>
  <r>
    <n v="221220"/>
    <x v="3"/>
    <x v="8"/>
    <n v="2"/>
    <x v="0"/>
    <s v="Pico Union"/>
    <n v="0"/>
    <n v="0"/>
    <n v="45.878999999999998"/>
    <n v="35.899107749999999"/>
    <n v="43.899107749999999"/>
    <n v="1.97897539982047"/>
    <n v="45.878083149820498"/>
    <n v="0.164383561643836"/>
    <n v="0"/>
    <n v="0.34246575342465801"/>
    <n v="1"/>
    <n v="0.30434782608695699"/>
    <n v="0"/>
    <n v="0.41870160810006019"/>
    <n v="0"/>
  </r>
  <r>
    <n v="199201"/>
    <x v="3"/>
    <x v="8"/>
    <n v="1"/>
    <x v="0"/>
    <s v="Lincoln Heights"/>
    <n v="0"/>
    <n v="1"/>
    <n v="35.259"/>
    <n v="26.802659200000001"/>
    <n v="33.802659200000001"/>
    <n v="1.45607378001795"/>
    <n v="35.258732980018003"/>
    <n v="0.164383561643836"/>
    <n v="0"/>
    <n v="0.34246575342465801"/>
    <n v="1"/>
    <n v="0.30434782608695699"/>
    <n v="3.28571428571429"/>
    <n v="0.41870160810006019"/>
    <n v="2.3883357041251743"/>
  </r>
  <r>
    <n v="186403"/>
    <x v="3"/>
    <x v="8"/>
    <n v="1"/>
    <x v="0"/>
    <s v="Glassell Park"/>
    <n v="1"/>
    <n v="1"/>
    <n v="37.692"/>
    <n v="36.122177209999997"/>
    <n v="36.122177209999997"/>
    <n v="1.5691548535906601"/>
    <n v="37.6913320635907"/>
    <n v="0.164383561643836"/>
    <n v="6.0833333333333304"/>
    <n v="0.34246575342465801"/>
    <n v="1"/>
    <n v="0"/>
    <n v="0"/>
    <n v="0.164383561643836"/>
    <n v="6.0833333333333197"/>
  </r>
  <r>
    <n v="197600"/>
    <x v="3"/>
    <x v="8"/>
    <n v="1"/>
    <x v="0"/>
    <s v="Echo Park"/>
    <n v="0"/>
    <n v="1"/>
    <n v="30.227"/>
    <n v="19.226004530000001"/>
    <n v="29.226004530000001"/>
    <n v="1.0005874190664299"/>
    <n v="30.2265919490664"/>
    <n v="0.164383561643836"/>
    <n v="0"/>
    <n v="0.34246575342465801"/>
    <n v="1"/>
    <n v="0.30434782608695699"/>
    <n v="3.28571428571429"/>
    <n v="0.41870160810006019"/>
    <n v="2.3883357041251743"/>
  </r>
  <r>
    <n v="185203"/>
    <x v="3"/>
    <x v="8"/>
    <n v="1"/>
    <x v="0"/>
    <s v="Cypress Park"/>
    <n v="1"/>
    <n v="1"/>
    <n v="22.173999999999999"/>
    <n v="19.979987609999998"/>
    <n v="20.979987609999998"/>
    <n v="1.1948961514362699"/>
    <n v="22.174883761436298"/>
    <n v="0.164383561643836"/>
    <n v="6.0833333333333304"/>
    <n v="0.34246575342465801"/>
    <n v="1"/>
    <n v="0"/>
    <n v="0"/>
    <n v="0.164383561643836"/>
    <n v="6.0833333333333197"/>
  </r>
  <r>
    <n v="199120"/>
    <x v="3"/>
    <x v="8"/>
    <n v="1"/>
    <x v="0"/>
    <s v="Lincoln Heights"/>
    <n v="0"/>
    <n v="0"/>
    <n v="23.745000000000001"/>
    <n v="20.789166519999998"/>
    <n v="22.789166519999998"/>
    <n v="0.95534909096947895"/>
    <n v="23.744515610969501"/>
    <n v="0.164383561643836"/>
    <n v="0"/>
    <n v="0.34246575342465801"/>
    <n v="1"/>
    <n v="0.30434782608695699"/>
    <n v="0"/>
    <n v="0.41870160810006019"/>
    <n v="0"/>
  </r>
  <r>
    <n v="199000"/>
    <x v="3"/>
    <x v="8"/>
    <n v="1"/>
    <x v="0"/>
    <s v="Lincoln Heights"/>
    <n v="0"/>
    <n v="0"/>
    <n v="101.76300000000001"/>
    <n v="82.580748209999996"/>
    <n v="99.580748209999996"/>
    <n v="2.1811607179712702"/>
    <n v="101.76190892797101"/>
    <n v="0.164383561643836"/>
    <n v="0"/>
    <n v="0.34246575342465801"/>
    <n v="1"/>
    <n v="0.30434782608695699"/>
    <n v="0"/>
    <n v="0.41870160810006019"/>
    <n v="0"/>
  </r>
  <r>
    <n v="199800"/>
    <x v="3"/>
    <x v="8"/>
    <n v="1"/>
    <x v="0"/>
    <s v="Lincoln Heights"/>
    <n v="0"/>
    <n v="0"/>
    <n v="8.5960000000000001"/>
    <n v="7.3299825600000004"/>
    <n v="8.3299825599999995"/>
    <n v="0.26532906628366199"/>
    <n v="8.5953116262836602"/>
    <n v="0.164383561643836"/>
    <n v="0"/>
    <n v="0.34246575342465801"/>
    <n v="1"/>
    <n v="0.30434782608695699"/>
    <n v="0"/>
    <n v="0.41870160810006019"/>
    <n v="0"/>
  </r>
  <r>
    <n v="209200"/>
    <x v="3"/>
    <x v="8"/>
    <n v="1"/>
    <x v="0"/>
    <s v="Downtown Los Angeles"/>
    <n v="0"/>
    <n v="1"/>
    <n v="31.245000000000001"/>
    <n v="26.900665920000002"/>
    <n v="30.900665920000002"/>
    <n v="0.34387090815080801"/>
    <n v="31.2445368281508"/>
    <n v="0.164383561643836"/>
    <n v="0"/>
    <n v="0.34246575342465801"/>
    <n v="1"/>
    <n v="0.30434782608695699"/>
    <n v="3.28571428571429"/>
    <n v="0.41870160810006019"/>
    <n v="2.3883357041251743"/>
  </r>
  <r>
    <n v="185320"/>
    <x v="3"/>
    <x v="8"/>
    <n v="1"/>
    <x v="0"/>
    <s v="Cypress Park"/>
    <n v="0"/>
    <n v="0"/>
    <n v="12.327"/>
    <n v="8.91622834"/>
    <n v="11.91622834"/>
    <n v="0.411114642531418"/>
    <n v="12.3273429825314"/>
    <n v="0.164383561643836"/>
    <n v="0"/>
    <n v="0.34246575342465801"/>
    <n v="1"/>
    <n v="0.30434782608695699"/>
    <n v="0"/>
    <n v="0.41870160810006019"/>
    <n v="0"/>
  </r>
  <r>
    <n v="183610"/>
    <x v="3"/>
    <x v="8"/>
    <n v="1"/>
    <x v="0"/>
    <s v="Highland Park"/>
    <n v="0"/>
    <n v="0"/>
    <n v="23.222999999999999"/>
    <n v="20.195103490000001"/>
    <n v="22.195103490000001"/>
    <n v="1.02788237628366"/>
    <n v="23.2229858662837"/>
    <n v="0.164383561643836"/>
    <n v="0"/>
    <n v="0.34246575342465801"/>
    <n v="1"/>
    <n v="0.30434782608695699"/>
    <n v="0"/>
    <n v="0.41870160810006019"/>
    <n v="0"/>
  </r>
  <r>
    <n v="207102"/>
    <x v="3"/>
    <x v="8"/>
    <n v="1"/>
    <x v="0"/>
    <s v="Chinatown"/>
    <n v="0"/>
    <n v="0"/>
    <n v="189.20099999999999"/>
    <n v="139.52968758"/>
    <n v="187.52968758"/>
    <n v="1.67186431868941"/>
    <n v="189.20155189868899"/>
    <n v="0.164383561643836"/>
    <n v="0"/>
    <n v="0.34246575342465801"/>
    <n v="1"/>
    <n v="0.30434782608695699"/>
    <n v="0"/>
    <n v="0.41870160810006019"/>
    <n v="0"/>
  </r>
  <r>
    <n v="209300"/>
    <x v="3"/>
    <x v="8"/>
    <n v="1"/>
    <x v="0"/>
    <s v="Westlake"/>
    <n v="0"/>
    <n v="1"/>
    <n v="50.595999999999997"/>
    <n v="42.633086740000003"/>
    <n v="49.633086740000003"/>
    <n v="0.96223575626570901"/>
    <n v="50.595322496265702"/>
    <n v="0.164383561643836"/>
    <n v="0"/>
    <n v="0.34246575342465801"/>
    <n v="1"/>
    <n v="0.30434782608695699"/>
    <n v="3.28571428571429"/>
    <n v="0.41870160810006019"/>
    <n v="2.3883357041251743"/>
  </r>
  <r>
    <n v="199900"/>
    <x v="3"/>
    <x v="8"/>
    <n v="1"/>
    <x v="0"/>
    <s v="Lincoln Heights"/>
    <n v="0"/>
    <n v="0"/>
    <n v="14.569000000000001"/>
    <n v="11.902197960000001"/>
    <n v="13.902197960000001"/>
    <n v="0.66703560829443398"/>
    <n v="14.569233568294401"/>
    <n v="0.164383561643836"/>
    <n v="0"/>
    <n v="0.34246575342465801"/>
    <n v="1"/>
    <n v="0.30434782608695699"/>
    <n v="0"/>
    <n v="0.41870160810006019"/>
    <n v="0"/>
  </r>
  <r>
    <n v="186202"/>
    <x v="3"/>
    <x v="8"/>
    <n v="1"/>
    <x v="0"/>
    <s v="Eagle Rock"/>
    <n v="0"/>
    <n v="1"/>
    <n v="24.207999999999998"/>
    <n v="22.521077040000002"/>
    <n v="22.521077040000002"/>
    <n v="1.6869202465170601"/>
    <n v="24.207997286517099"/>
    <n v="0.164383561643836"/>
    <n v="0"/>
    <n v="0.34246575342465801"/>
    <n v="1"/>
    <n v="0.30434782608695699"/>
    <n v="3.28571428571429"/>
    <n v="0.41870160810006019"/>
    <n v="2.3883357041251743"/>
  </r>
  <r>
    <n v="185100"/>
    <x v="3"/>
    <x v="8"/>
    <n v="1"/>
    <x v="0"/>
    <s v="Eagle Rock"/>
    <n v="0"/>
    <n v="0"/>
    <n v="38.823"/>
    <n v="35.457388340000001"/>
    <n v="37.457388340000001"/>
    <n v="1.36535061994614"/>
    <n v="38.822738959946101"/>
    <n v="0.164383561643836"/>
    <n v="0"/>
    <n v="0.34246575342465801"/>
    <n v="1"/>
    <n v="0.30434782608695699"/>
    <n v="0"/>
    <n v="0.41870160810006019"/>
    <n v="0"/>
  </r>
  <r>
    <n v="195300"/>
    <x v="3"/>
    <x v="3"/>
    <n v="3"/>
    <x v="0"/>
    <s v="Los Feliz"/>
    <n v="1"/>
    <n v="1"/>
    <n v="26.129000000000001"/>
    <n v="14.8706826"/>
    <n v="25.870682599999999"/>
    <n v="0.25728307531418299"/>
    <n v="26.127965675314201"/>
    <n v="0.164383561643836"/>
    <n v="6.0833333333333304"/>
    <n v="4.1095890410958902E-2"/>
    <n v="0.375"/>
    <n v="0"/>
    <n v="0"/>
    <n v="0.164383561643836"/>
    <n v="6.0833333333333197"/>
  </r>
  <r>
    <n v="214501"/>
    <x v="3"/>
    <x v="3"/>
    <n v="3"/>
    <x v="0"/>
    <s v="Mid-City West"/>
    <n v="0"/>
    <n v="0"/>
    <n v="13.554"/>
    <n v="5.4910515000000002"/>
    <n v="13.491051499999999"/>
    <n v="6.2742575924596006E-2"/>
    <n v="13.5537940759246"/>
    <n v="0.164383561643836"/>
    <n v="0"/>
    <n v="4.1095890410958902E-2"/>
    <n v="0.375"/>
    <n v="0.6"/>
    <n v="0"/>
    <n v="0.66575342465753429"/>
    <n v="0"/>
  </r>
  <r>
    <n v="980009"/>
    <x v="3"/>
    <x v="3"/>
    <n v="3"/>
    <x v="0"/>
    <s v="Los Feliz"/>
    <n v="0"/>
    <n v="0"/>
    <n v="69.054000000000002"/>
    <n v="45.502288679999999"/>
    <n v="68.502288680000007"/>
    <n v="0.55185734833034095"/>
    <n v="69.054146028330294"/>
    <n v="0.164383561643836"/>
    <n v="0"/>
    <n v="4.1095890410958902E-2"/>
    <n v="0.375"/>
    <n v="0.6"/>
    <n v="0"/>
    <n v="0.66575342465753429"/>
    <n v="0"/>
  </r>
  <r>
    <n v="194500"/>
    <x v="3"/>
    <x v="7"/>
    <n v="3"/>
    <x v="0"/>
    <s v="Mid-City West"/>
    <n v="0"/>
    <n v="0"/>
    <n v="49.926000000000002"/>
    <n v="24.473902020000001"/>
    <n v="49.473902019999997"/>
    <n v="0.45095696502693"/>
    <n v="49.924858985026901"/>
    <n v="0.164383561643836"/>
    <n v="0"/>
    <n v="2.7397260273972601E-2"/>
    <n v="0.22222222222222199"/>
    <n v="0.5"/>
    <n v="0"/>
    <n v="0.58219178082191791"/>
    <n v="0"/>
  </r>
  <r>
    <n v="216300"/>
    <x v="3"/>
    <x v="7"/>
    <n v="2"/>
    <x v="0"/>
    <s v="Mid-City West"/>
    <n v="0"/>
    <n v="1"/>
    <n v="1"/>
    <n v="0"/>
    <n v="1"/>
    <n v="0"/>
    <n v="1"/>
    <n v="0.164383561643836"/>
    <n v="0"/>
    <n v="2.7397260273972601E-2"/>
    <n v="0.22222222222222199"/>
    <n v="0.5"/>
    <n v="2"/>
    <n v="0.58219178082191791"/>
    <n v="1.7176470588235291"/>
  </r>
  <r>
    <n v="224020"/>
    <x v="3"/>
    <x v="9"/>
    <n v="1"/>
    <x v="0"/>
    <s v="South Central"/>
    <n v="0"/>
    <n v="0"/>
    <n v="43.091000000000001"/>
    <n v="29.928620460000001"/>
    <n v="41.928620459999998"/>
    <n v="1.1622821695691199"/>
    <n v="43.090902629569101"/>
    <n v="0.164383561643836"/>
    <n v="0"/>
    <n v="2.7397260273972601E-2"/>
    <n v="7.69230769230769E-2"/>
    <n v="0"/>
    <n v="0"/>
    <n v="0.164383561643836"/>
    <n v="0"/>
  </r>
  <r>
    <n v="226001"/>
    <x v="3"/>
    <x v="9"/>
    <n v="2"/>
    <x v="0"/>
    <s v="Downtown Los Angeles"/>
    <n v="1"/>
    <n v="1"/>
    <n v="175.48699999999999"/>
    <n v="123.01214450000001"/>
    <n v="173.01214450000001"/>
    <n v="2.4747490147217199"/>
    <n v="175.486893514722"/>
    <n v="0.164383561643836"/>
    <n v="6.0833333333333304"/>
    <n v="2.7397260273972601E-2"/>
    <n v="7.69230769230769E-2"/>
    <n v="0"/>
    <n v="0"/>
    <n v="0.164383561643836"/>
    <n v="6.0833333333333197"/>
  </r>
  <r>
    <n v="212501"/>
    <x v="3"/>
    <x v="10"/>
    <n v="2"/>
    <x v="0"/>
    <s v="Wilshire Center-Koreatown"/>
    <n v="0"/>
    <n v="0"/>
    <n v="2.0950000000000002"/>
    <n v="1.9836996600000001"/>
    <n v="1.9836996600000001"/>
    <n v="0.11117260138240601"/>
    <n v="2.09487226138241"/>
    <n v="0.164383561643836"/>
    <n v="0"/>
    <n v="0.13698630136986301"/>
    <n v="0.55555555555555602"/>
    <n v="8.3333333333333301E-2"/>
    <n v="0"/>
    <n v="0.23401826484018295"/>
    <n v="0"/>
  </r>
  <r>
    <n v="218300"/>
    <x v="3"/>
    <x v="10"/>
    <n v="2"/>
    <x v="0"/>
    <s v="Mid City"/>
    <n v="0"/>
    <n v="0"/>
    <n v="24.102"/>
    <n v="19.442898"/>
    <n v="23.442898"/>
    <n v="0.65898961732495498"/>
    <n v="24.101887617325001"/>
    <n v="0.164383561643836"/>
    <n v="0"/>
    <n v="0.13698630136986301"/>
    <n v="0.55555555555555602"/>
    <n v="8.3333333333333301E-2"/>
    <n v="0"/>
    <n v="0.23401826484018295"/>
    <n v="0"/>
  </r>
  <r>
    <n v="221303"/>
    <x v="3"/>
    <x v="10"/>
    <n v="2"/>
    <x v="0"/>
    <s v="West Adams-Expo Park"/>
    <n v="0"/>
    <n v="0"/>
    <n v="24.934999999999999"/>
    <n v="19.045784319999999"/>
    <n v="24.045784319999999"/>
    <n v="0.88880044179533202"/>
    <n v="24.9345847617953"/>
    <n v="0.164383561643836"/>
    <n v="0"/>
    <n v="0.13698630136986301"/>
    <n v="0.55555555555555602"/>
    <n v="8.3333333333333301E-2"/>
    <n v="0"/>
    <n v="0.23401826484018295"/>
    <n v="0"/>
  </r>
  <r>
    <n v="221302"/>
    <x v="3"/>
    <x v="10"/>
    <n v="2"/>
    <x v="0"/>
    <s v="West Adams-Expo Park"/>
    <n v="1"/>
    <n v="1"/>
    <n v="51.581000000000003"/>
    <n v="45.429017729999998"/>
    <n v="48.429017729999998"/>
    <n v="3.1524665296768402"/>
    <n v="51.581484259676799"/>
    <n v="0.164383561643836"/>
    <n v="6.0833333333333304"/>
    <n v="0.13698630136986301"/>
    <n v="0.55555555555555602"/>
    <n v="0"/>
    <n v="0"/>
    <n v="0.164383561643836"/>
    <n v="6.0833333333333197"/>
  </r>
  <r>
    <n v="213201"/>
    <x v="3"/>
    <x v="10"/>
    <n v="2"/>
    <x v="0"/>
    <s v="Wilshire Center-Koreatown"/>
    <n v="0"/>
    <n v="0"/>
    <n v="33.514000000000003"/>
    <n v="23.861332260000001"/>
    <n v="32.861332259999998"/>
    <n v="0.65258371504488299"/>
    <n v="33.513915975044902"/>
    <n v="0.164383561643836"/>
    <n v="0"/>
    <n v="0.13698630136986301"/>
    <n v="0.55555555555555602"/>
    <n v="8.3333333333333301E-2"/>
    <n v="0"/>
    <n v="0.23401826484018295"/>
    <n v="0"/>
  </r>
  <r>
    <n v="212502"/>
    <x v="3"/>
    <x v="10"/>
    <n v="2"/>
    <x v="0"/>
    <s v="Wilshire Center-Koreatown"/>
    <n v="1"/>
    <n v="1"/>
    <n v="29.449000000000002"/>
    <n v="21.49110915"/>
    <n v="28.49110915"/>
    <n v="0.95798292662477602"/>
    <n v="29.449092076624801"/>
    <n v="0.164383561643836"/>
    <n v="6.0833333333333304"/>
    <n v="0.13698630136986301"/>
    <n v="0.55555555555555602"/>
    <n v="0"/>
    <n v="0"/>
    <n v="0.164383561643836"/>
    <n v="6.0833333333333197"/>
  </r>
  <r>
    <n v="211802"/>
    <x v="3"/>
    <x v="10"/>
    <n v="2"/>
    <x v="0"/>
    <s v="Wilshire Center-Koreatown"/>
    <n v="0"/>
    <n v="1"/>
    <n v="40.734999999999999"/>
    <n v="29.744326210000001"/>
    <n v="39.744326209999997"/>
    <n v="0.99070930892280096"/>
    <n v="40.7350355189228"/>
    <n v="0.164383561643836"/>
    <n v="0"/>
    <n v="0.13698630136986301"/>
    <n v="0.55555555555555602"/>
    <n v="8.3333333333333301E-2"/>
    <n v="12"/>
    <n v="0.23401826484018295"/>
    <n v="4.2731707317073111"/>
  </r>
  <r>
    <n v="212203"/>
    <x v="3"/>
    <x v="10"/>
    <n v="2"/>
    <x v="0"/>
    <s v="Westlake"/>
    <n v="1"/>
    <n v="1"/>
    <n v="14.101000000000001"/>
    <n v="10.7918485"/>
    <n v="13.7918485"/>
    <n v="0.30893880475763003"/>
    <n v="14.100787304757599"/>
    <n v="0.164383561643836"/>
    <n v="6.0833333333333304"/>
    <n v="0.13698630136986301"/>
    <n v="0.55555555555555602"/>
    <n v="0"/>
    <n v="0"/>
    <n v="0.164383561643836"/>
    <n v="6.0833333333333197"/>
  </r>
  <r>
    <n v="216900"/>
    <x v="3"/>
    <x v="10"/>
    <n v="2"/>
    <x v="0"/>
    <s v="Miracle Mile"/>
    <n v="0"/>
    <n v="0"/>
    <n v="26.204000000000001"/>
    <n v="24.95757339"/>
    <n v="24.95757339"/>
    <n v="1.2461352653860001"/>
    <n v="26.203708655385999"/>
    <n v="0.164383561643836"/>
    <n v="0"/>
    <n v="0.13698630136986301"/>
    <n v="0.55555555555555602"/>
    <n v="8.3333333333333301E-2"/>
    <n v="0"/>
    <n v="0.23401826484018295"/>
    <n v="0"/>
  </r>
  <r>
    <n v="270300"/>
    <x v="3"/>
    <x v="10"/>
    <n v="2"/>
    <x v="0"/>
    <s v="Mid City"/>
    <n v="0"/>
    <n v="0"/>
    <n v="39.305"/>
    <n v="35.047241"/>
    <n v="38.047241"/>
    <n v="1.2575193607719899"/>
    <n v="39.304760360772001"/>
    <n v="0.164383561643836"/>
    <n v="0"/>
    <n v="0.13698630136986301"/>
    <n v="0.55555555555555602"/>
    <n v="8.3333333333333301E-2"/>
    <n v="0"/>
    <n v="0.23401826484018295"/>
    <n v="0"/>
  </r>
  <r>
    <n v="192610"/>
    <x v="3"/>
    <x v="11"/>
    <n v="2"/>
    <x v="0"/>
    <s v="Wilshire Center-Koreatown"/>
    <n v="0"/>
    <n v="0"/>
    <n v="81.813999999999993"/>
    <n v="68.932956419999996"/>
    <n v="80.932956419999996"/>
    <n v="0.88116920213644501"/>
    <n v="81.814125622136402"/>
    <n v="0.164383561643836"/>
    <n v="0"/>
    <n v="0.20547945205479501"/>
    <n v="0.53571428571428603"/>
    <n v="0.230769230769231"/>
    <n v="0"/>
    <n v="0.35721812434141248"/>
    <n v="0"/>
  </r>
  <r>
    <n v="211122"/>
    <x v="3"/>
    <x v="11"/>
    <n v="2"/>
    <x v="0"/>
    <s v="Rampart Village"/>
    <n v="0"/>
    <n v="0"/>
    <n v="71.459999999999994"/>
    <n v="52.241942180000002"/>
    <n v="69.241942179999995"/>
    <n v="2.21836011937163"/>
    <n v="71.460302299371605"/>
    <n v="0.164383561643836"/>
    <n v="0"/>
    <n v="0.20547945205479501"/>
    <n v="0.53571428571428603"/>
    <n v="0.230769230769231"/>
    <n v="0"/>
    <n v="0.35721812434141248"/>
    <n v="0"/>
  </r>
  <r>
    <n v="208402"/>
    <x v="3"/>
    <x v="11"/>
    <n v="1"/>
    <x v="0"/>
    <s v="Echo Park"/>
    <n v="0"/>
    <n v="0"/>
    <n v="43.831000000000003"/>
    <n v="36.523489390000002"/>
    <n v="42.523489390000002"/>
    <n v="1.30752399303411"/>
    <n v="43.831013383034097"/>
    <n v="0.164383561643836"/>
    <n v="0"/>
    <n v="0.20547945205479501"/>
    <n v="0.53571428571428603"/>
    <n v="0.230769230769231"/>
    <n v="0"/>
    <n v="0.35721812434141248"/>
    <n v="0"/>
  </r>
  <r>
    <n v="208501"/>
    <x v="3"/>
    <x v="11"/>
    <n v="1"/>
    <x v="0"/>
    <s v="Echo Park"/>
    <n v="0"/>
    <n v="1"/>
    <n v="27.754000000000001"/>
    <n v="24.157385649999998"/>
    <n v="27.157385649999998"/>
    <n v="0.59673104220825801"/>
    <n v="27.754116692208299"/>
    <n v="0.164383561643836"/>
    <n v="0"/>
    <n v="0.20547945205479501"/>
    <n v="0.53571428571428603"/>
    <n v="0.230769230769231"/>
    <n v="4.3333333333333304"/>
    <n v="0.35721812434141248"/>
    <n v="2.7994100294985214"/>
  </r>
  <r>
    <n v="188100"/>
    <x v="3"/>
    <x v="11"/>
    <n v="3"/>
    <x v="0"/>
    <s v="Atwater Village"/>
    <n v="0"/>
    <n v="0"/>
    <n v="38.29"/>
    <n v="34.493066339999999"/>
    <n v="36.493066339999999"/>
    <n v="1.7963543499640899"/>
    <n v="38.289420689964103"/>
    <n v="0.164383561643836"/>
    <n v="0"/>
    <n v="0.20547945205479501"/>
    <n v="0.53571428571428603"/>
    <n v="0.230769230769231"/>
    <n v="0"/>
    <n v="0.35721812434141248"/>
    <n v="0"/>
  </r>
  <r>
    <n v="187102"/>
    <x v="3"/>
    <x v="11"/>
    <n v="1"/>
    <x v="0"/>
    <s v="Atwater Village"/>
    <n v="0"/>
    <n v="1"/>
    <n v="18.239999999999998"/>
    <n v="8.9139477300000003"/>
    <n v="17.91394773"/>
    <n v="0.32536718344703802"/>
    <n v="18.239314913447"/>
    <n v="0.164383561643836"/>
    <n v="0"/>
    <n v="0.20547945205479501"/>
    <n v="0.53571428571428603"/>
    <n v="0.230769230769231"/>
    <n v="4.3333333333333304"/>
    <n v="0.35721812434141248"/>
    <n v="2.7994100294985214"/>
  </r>
  <r>
    <n v="187300"/>
    <x v="3"/>
    <x v="11"/>
    <n v="1"/>
    <x v="0"/>
    <s v="Silver Lake"/>
    <n v="0"/>
    <n v="0"/>
    <n v="18.606999999999999"/>
    <n v="16.728839149999999"/>
    <n v="17.728839149999999"/>
    <n v="0.87791135570915602"/>
    <n v="18.606750505709201"/>
    <n v="0.164383561643836"/>
    <n v="0"/>
    <n v="0.20547945205479501"/>
    <n v="0.53571428571428603"/>
    <n v="0.230769230769231"/>
    <n v="0"/>
    <n v="0.35721812434141248"/>
    <n v="0"/>
  </r>
  <r>
    <n v="192620"/>
    <x v="3"/>
    <x v="11"/>
    <n v="2"/>
    <x v="0"/>
    <s v="Wilshire Center-Koreatown"/>
    <n v="1"/>
    <n v="1"/>
    <n v="31.512"/>
    <n v="26.221142520000001"/>
    <n v="31.221142520000001"/>
    <n v="0.29048772850987398"/>
    <n v="31.511630248509899"/>
    <n v="0.164383561643836"/>
    <n v="6.0833333333333304"/>
    <n v="0.20547945205479501"/>
    <n v="0.53571428571428603"/>
    <n v="0"/>
    <n v="0"/>
    <n v="0.164383561643836"/>
    <n v="6.0833333333333197"/>
  </r>
  <r>
    <n v="195804"/>
    <x v="3"/>
    <x v="11"/>
    <n v="1"/>
    <x v="0"/>
    <s v="Silver Lake"/>
    <n v="0"/>
    <n v="0"/>
    <n v="30.765000000000001"/>
    <n v="28.40145133"/>
    <n v="30.40145133"/>
    <n v="0.36374001944344703"/>
    <n v="30.765191349443398"/>
    <n v="0.164383561643836"/>
    <n v="0"/>
    <n v="0.20547945205479501"/>
    <n v="0.53571428571428603"/>
    <n v="0.230769230769231"/>
    <n v="0"/>
    <n v="0.35721812434141248"/>
    <n v="0"/>
  </r>
  <r>
    <n v="195720"/>
    <x v="3"/>
    <x v="11"/>
    <n v="1"/>
    <x v="0"/>
    <s v="Echo Park"/>
    <n v="0"/>
    <n v="0"/>
    <n v="30.321000000000002"/>
    <n v="27.170837460000001"/>
    <n v="29.170837460000001"/>
    <n v="1.15003719441652"/>
    <n v="30.3208746544165"/>
    <n v="0.164383561643836"/>
    <n v="0"/>
    <n v="0.20547945205479501"/>
    <n v="0.53571428571428603"/>
    <n v="0.230769230769231"/>
    <n v="0"/>
    <n v="0.35721812434141248"/>
    <n v="0"/>
  </r>
  <r>
    <n v="195903"/>
    <x v="3"/>
    <x v="11"/>
    <n v="1"/>
    <x v="0"/>
    <s v="Silver Lake"/>
    <n v="0"/>
    <n v="0"/>
    <n v="13.612"/>
    <n v="12.738874900000001"/>
    <n v="12.738874900000001"/>
    <n v="0.87349618515260297"/>
    <n v="13.612371085152599"/>
    <n v="0.164383561643836"/>
    <n v="0"/>
    <n v="0.20547945205479501"/>
    <n v="0.53571428571428603"/>
    <n v="0.230769230769231"/>
    <n v="0"/>
    <n v="0.35721812434141248"/>
    <n v="0"/>
  </r>
  <r>
    <n v="195400"/>
    <x v="3"/>
    <x v="11"/>
    <n v="1"/>
    <x v="0"/>
    <s v="Silver Lake"/>
    <n v="0"/>
    <n v="0"/>
    <n v="27.939"/>
    <n v="27.53407722"/>
    <n v="27.53407722"/>
    <n v="0.40426015892280098"/>
    <n v="27.9383373789228"/>
    <n v="0.164383561643836"/>
    <n v="0"/>
    <n v="0.20547945205479501"/>
    <n v="0.53571428571428603"/>
    <n v="0.230769230769231"/>
    <n v="0"/>
    <n v="0.35721812434141248"/>
    <n v="0"/>
  </r>
  <r>
    <n v="211121"/>
    <x v="3"/>
    <x v="11"/>
    <n v="2"/>
    <x v="0"/>
    <s v="Rampart Village"/>
    <n v="1"/>
    <n v="1"/>
    <n v="33.06"/>
    <n v="25.58371138"/>
    <n v="32.583711379999997"/>
    <n v="0.47567460077199297"/>
    <n v="33.059385980771999"/>
    <n v="0.164383561643836"/>
    <n v="6.0833333333333304"/>
    <n v="0.20547945205479501"/>
    <n v="0.53571428571428603"/>
    <n v="0"/>
    <n v="0"/>
    <n v="0.164383561643836"/>
    <n v="6.0833333333333197"/>
  </r>
  <r>
    <n v="187200"/>
    <x v="3"/>
    <x v="11"/>
    <n v="1"/>
    <x v="0"/>
    <s v="Elysian Valley"/>
    <n v="0"/>
    <n v="1"/>
    <n v="14.038"/>
    <n v="13.477690689999999"/>
    <n v="13.477690689999999"/>
    <n v="0.56092655998204699"/>
    <n v="14.038617249982"/>
    <n v="0.164383561643836"/>
    <n v="0"/>
    <n v="0.20547945205479501"/>
    <n v="0.53571428571428603"/>
    <n v="0.230769230769231"/>
    <n v="4.3333333333333304"/>
    <n v="0.35721812434141248"/>
    <n v="2.7994100294985214"/>
  </r>
  <r>
    <n v="195600"/>
    <x v="3"/>
    <x v="11"/>
    <n v="1"/>
    <x v="0"/>
    <s v="Echo Park"/>
    <n v="0"/>
    <n v="0"/>
    <n v="34.442"/>
    <n v="21.879750390000002"/>
    <n v="33.879750389999998"/>
    <n v="0.56202493667863596"/>
    <n v="34.441775326678602"/>
    <n v="0.164383561643836"/>
    <n v="0"/>
    <n v="0.20547945205479501"/>
    <n v="0.53571428571428603"/>
    <n v="0.230769230769231"/>
    <n v="0"/>
    <n v="0.35721812434141248"/>
    <n v="0"/>
  </r>
  <r>
    <n v="203300"/>
    <x v="3"/>
    <x v="12"/>
    <n v="1"/>
    <x v="0"/>
    <s v="Lincoln Heights"/>
    <n v="1"/>
    <n v="1"/>
    <n v="22.343"/>
    <n v="14.666319769999999"/>
    <n v="21.666319770000001"/>
    <n v="0.67619147502693"/>
    <n v="22.342511245026898"/>
    <n v="0.164383561643836"/>
    <n v="6.0833333333333304"/>
    <n v="0.219178082191781"/>
    <n v="1"/>
    <n v="0"/>
    <n v="0"/>
    <n v="0.164383561643836"/>
    <n v="6.0833333333333197"/>
  </r>
  <r>
    <n v="205120"/>
    <x v="3"/>
    <x v="12"/>
    <n v="1"/>
    <x v="0"/>
    <s v="Boyle Heights"/>
    <n v="0"/>
    <n v="0"/>
    <n v="35.090000000000003"/>
    <n v="28.201486899999999"/>
    <n v="34.201486899999999"/>
    <n v="0.88900970125673295"/>
    <n v="35.090496601256703"/>
    <n v="0.164383561643836"/>
    <n v="0"/>
    <n v="0.219178082191781"/>
    <n v="1"/>
    <n v="0.38461538461538503"/>
    <n v="0"/>
    <n v="0.48577449947313017"/>
    <n v="0"/>
  </r>
  <r>
    <n v="181400"/>
    <x v="3"/>
    <x v="12"/>
    <n v="1"/>
    <x v="0"/>
    <s v="Eagle Rock"/>
    <n v="0"/>
    <n v="1"/>
    <n v="27.459"/>
    <n v="23.478867009999998"/>
    <n v="26.478867009999998"/>
    <n v="0.98031896050269296"/>
    <n v="27.459185970502698"/>
    <n v="0.164383561643836"/>
    <n v="0"/>
    <n v="0.219178082191781"/>
    <n v="1"/>
    <n v="0.38461538461538503"/>
    <n v="2.6"/>
    <n v="0.48577449947313017"/>
    <n v="2.058568329718002"/>
  </r>
  <r>
    <n v="206031"/>
    <x v="3"/>
    <x v="12"/>
    <n v="1"/>
    <x v="0"/>
    <s v="Downtown Los Angeles"/>
    <n v="0"/>
    <n v="1"/>
    <n v="139.374"/>
    <n v="91.601353759999995"/>
    <n v="137.60135375999999"/>
    <n v="1.77422828197487"/>
    <n v="139.37558204197501"/>
    <n v="0.164383561643836"/>
    <n v="0"/>
    <n v="0.219178082191781"/>
    <n v="1"/>
    <n v="0.38461538461538503"/>
    <n v="2.6"/>
    <n v="0.48577449947313017"/>
    <n v="2.058568329718002"/>
  </r>
  <r>
    <n v="204920"/>
    <x v="3"/>
    <x v="12"/>
    <n v="1"/>
    <x v="0"/>
    <s v="Boyle Heights"/>
    <n v="0"/>
    <n v="0"/>
    <n v="32.918999999999997"/>
    <n v="29.210991809999999"/>
    <n v="31.210991809999999"/>
    <n v="1.70786842549372"/>
    <n v="32.918860235493703"/>
    <n v="0.164383561643836"/>
    <n v="0"/>
    <n v="0.219178082191781"/>
    <n v="1"/>
    <n v="0.38461538461538503"/>
    <n v="0"/>
    <n v="0.48577449947313017"/>
    <n v="0"/>
  </r>
  <r>
    <n v="204700"/>
    <x v="3"/>
    <x v="12"/>
    <n v="1"/>
    <x v="0"/>
    <s v="Boyle Heights"/>
    <n v="0"/>
    <n v="0"/>
    <n v="48.877000000000002"/>
    <n v="37.631018140000002"/>
    <n v="47.631018140000002"/>
    <n v="1.24649416969479"/>
    <n v="48.877512309694801"/>
    <n v="0.164383561643836"/>
    <n v="0"/>
    <n v="0.219178082191781"/>
    <n v="1"/>
    <n v="0.38461538461538503"/>
    <n v="0"/>
    <n v="0.48577449947313017"/>
    <n v="0"/>
  </r>
  <r>
    <n v="207400"/>
    <x v="3"/>
    <x v="12"/>
    <n v="1"/>
    <x v="0"/>
    <s v="Downtown Los Angeles"/>
    <n v="0"/>
    <n v="1"/>
    <n v="129.02500000000001"/>
    <n v="34.627600620000003"/>
    <n v="128.62760062000001"/>
    <n v="0.39794738730700202"/>
    <n v="129.02554800730701"/>
    <n v="0.164383561643836"/>
    <n v="0"/>
    <n v="0.219178082191781"/>
    <n v="1"/>
    <n v="0.38461538461538503"/>
    <n v="2.6"/>
    <n v="0.48577449947313017"/>
    <n v="2.058568329718002"/>
  </r>
  <r>
    <n v="224010"/>
    <x v="3"/>
    <x v="12"/>
    <n v="1"/>
    <x v="0"/>
    <s v="Downtown Los Angeles"/>
    <n v="0"/>
    <n v="1"/>
    <n v="60.512"/>
    <n v="20.282914380000001"/>
    <n v="60.282914380000001"/>
    <n v="0.22947837193895901"/>
    <n v="60.512392751938997"/>
    <n v="0.164383561643836"/>
    <n v="0"/>
    <n v="0.219178082191781"/>
    <n v="1"/>
    <n v="0.38461538461538503"/>
    <n v="2.6"/>
    <n v="0.48577449947313017"/>
    <n v="2.058568329718002"/>
  </r>
  <r>
    <n v="201602"/>
    <x v="3"/>
    <x v="12"/>
    <n v="1"/>
    <x v="0"/>
    <s v="El Sereno"/>
    <n v="0"/>
    <n v="1"/>
    <n v="33.561"/>
    <n v="21.245155799999999"/>
    <n v="32.245155799999999"/>
    <n v="1.3149608866965901"/>
    <n v="33.560116686696603"/>
    <n v="0.164383561643836"/>
    <n v="0"/>
    <n v="0.219178082191781"/>
    <n v="1"/>
    <n v="0.38461538461538503"/>
    <n v="2.6"/>
    <n v="0.48577449947313017"/>
    <n v="2.058568329718002"/>
  </r>
  <r>
    <n v="203500"/>
    <x v="3"/>
    <x v="12"/>
    <n v="1"/>
    <x v="0"/>
    <s v="Boyle Heights"/>
    <n v="0"/>
    <n v="0"/>
    <n v="41.838000000000001"/>
    <n v="37.00044467"/>
    <n v="40.00044467"/>
    <n v="1.83754587008977"/>
    <n v="41.837990540089798"/>
    <n v="0.164383561643836"/>
    <n v="0"/>
    <n v="0.219178082191781"/>
    <n v="1"/>
    <n v="0.38461538461538503"/>
    <n v="0"/>
    <n v="0.48577449947313017"/>
    <n v="0"/>
  </r>
  <r>
    <n v="201301"/>
    <x v="3"/>
    <x v="12"/>
    <n v="1"/>
    <x v="0"/>
    <s v="El Sereno"/>
    <n v="0"/>
    <n v="0"/>
    <n v="19.989000000000001"/>
    <n v="18.9631063"/>
    <n v="18.9631063"/>
    <n v="1.02527104818671"/>
    <n v="19.988377348186699"/>
    <n v="0.164383561643836"/>
    <n v="0"/>
    <n v="0.219178082191781"/>
    <n v="1"/>
    <n v="0.38461538461538503"/>
    <n v="0"/>
    <n v="0.48577449947313017"/>
    <n v="0"/>
  </r>
  <r>
    <n v="203200"/>
    <x v="3"/>
    <x v="12"/>
    <n v="1"/>
    <x v="0"/>
    <s v="Boyle Heights"/>
    <n v="0"/>
    <n v="0"/>
    <n v="2.9260000000000002"/>
    <n v="1.90487994"/>
    <n v="2.9048799399999998"/>
    <n v="2.0625322082585301E-2"/>
    <n v="2.9255052620825901"/>
    <n v="0.164383561643836"/>
    <n v="0"/>
    <n v="0.219178082191781"/>
    <n v="1"/>
    <n v="0.38461538461538503"/>
    <n v="0"/>
    <n v="0.48577449947313017"/>
    <n v="0"/>
  </r>
  <r>
    <n v="183701"/>
    <x v="3"/>
    <x v="12"/>
    <n v="1"/>
    <x v="0"/>
    <s v="Highland Park"/>
    <n v="0"/>
    <n v="0"/>
    <n v="37.000999999999998"/>
    <n v="21.385131600000001"/>
    <n v="36.385131600000001"/>
    <n v="0.61662585960502703"/>
    <n v="37.001757459605003"/>
    <n v="0.164383561643836"/>
    <n v="0"/>
    <n v="0.219178082191781"/>
    <n v="1"/>
    <n v="0.38461538461538503"/>
    <n v="0"/>
    <n v="0.48577449947313017"/>
    <n v="0"/>
  </r>
  <r>
    <n v="181300"/>
    <x v="3"/>
    <x v="12"/>
    <n v="1"/>
    <x v="0"/>
    <s v="Eagle Rock"/>
    <n v="1"/>
    <n v="1"/>
    <n v="24.077999999999999"/>
    <n v="22.39761451"/>
    <n v="23.39761451"/>
    <n v="0.67988968075403999"/>
    <n v="24.077504190753999"/>
    <n v="0.164383561643836"/>
    <n v="6.0833333333333304"/>
    <n v="0.219178082191781"/>
    <n v="1"/>
    <n v="0"/>
    <n v="0"/>
    <n v="0.164383561643836"/>
    <n v="6.0833333333333197"/>
  </r>
  <r>
    <n v="181000"/>
    <x v="3"/>
    <x v="12"/>
    <n v="1"/>
    <x v="0"/>
    <s v="Eagle Rock"/>
    <n v="1"/>
    <n v="1"/>
    <n v="39.377000000000002"/>
    <n v="32.307640370000001"/>
    <n v="38.307640370000001"/>
    <n v="1.06960552219031"/>
    <n v="39.377245892190302"/>
    <n v="0.164383561643836"/>
    <n v="6.0833333333333304"/>
    <n v="0.219178082191781"/>
    <n v="1"/>
    <n v="0"/>
    <n v="0"/>
    <n v="0.164383561643836"/>
    <n v="6.0833333333333197"/>
  </r>
  <r>
    <n v="207900"/>
    <x v="3"/>
    <x v="12"/>
    <n v="1"/>
    <x v="0"/>
    <s v="Downtown Los Angeles"/>
    <n v="0"/>
    <n v="0"/>
    <n v="81.412000000000006"/>
    <n v="28.801526020000001"/>
    <n v="80.801526019999997"/>
    <n v="0.61007235326750497"/>
    <n v="81.411598373267495"/>
    <n v="0.164383561643836"/>
    <n v="0"/>
    <n v="0.219178082191781"/>
    <n v="1"/>
    <n v="0.38461538461538503"/>
    <n v="0"/>
    <n v="0.48577449947313017"/>
    <n v="0"/>
  </r>
  <r>
    <n v="208801"/>
    <x v="3"/>
    <x v="8"/>
    <n v="1"/>
    <x v="1"/>
    <s v="Westlake"/>
    <n v="1"/>
    <n v="1"/>
    <n v="255.416"/>
    <n v="182.88699588"/>
    <n v="252.88699588"/>
    <n v="11.5289680352065"/>
    <n v="264.41596391520602"/>
    <n v="1"/>
    <n v="1"/>
    <n v="0"/>
    <n v="0"/>
    <n v="0"/>
    <n v="0"/>
    <n v="1"/>
    <n v="1"/>
  </r>
  <r>
    <n v="209510"/>
    <x v="3"/>
    <x v="8"/>
    <n v="1"/>
    <x v="1"/>
    <s v="Westlake"/>
    <n v="1"/>
    <n v="1"/>
    <n v="26.742999999999999"/>
    <n v="19.890414839999998"/>
    <n v="25.890414839999998"/>
    <n v="7.8524542475762997"/>
    <n v="33.742869087576302"/>
    <n v="1"/>
    <n v="1"/>
    <n v="0"/>
    <n v="0"/>
    <n v="0"/>
    <n v="0"/>
    <n v="1"/>
    <n v="1"/>
  </r>
  <r>
    <n v="209402"/>
    <x v="3"/>
    <x v="8"/>
    <n v="1"/>
    <x v="1"/>
    <s v="Westlake"/>
    <n v="1"/>
    <n v="1"/>
    <n v="21.22"/>
    <n v="5.0253681300000004"/>
    <n v="21.02536813"/>
    <n v="4.1935692599820502"/>
    <n v="25.218937389981999"/>
    <n v="1"/>
    <n v="1"/>
    <n v="0"/>
    <n v="0"/>
    <n v="0"/>
    <n v="0"/>
    <n v="1"/>
    <n v="1"/>
  </r>
  <r>
    <n v="194101"/>
    <x v="3"/>
    <x v="3"/>
    <n v="3"/>
    <x v="1"/>
    <s v="Hollywood Hills West"/>
    <n v="1"/>
    <n v="1"/>
    <n v="7.3710000000000004"/>
    <n v="6.8457924600000002"/>
    <n v="6.8457924600000002"/>
    <n v="0.52524921504488298"/>
    <n v="7.3710416750448804"/>
    <n v="1"/>
    <n v="1"/>
    <n v="0"/>
    <n v="0"/>
    <n v="0"/>
    <n v="0"/>
    <n v="1"/>
    <n v="1"/>
  </r>
  <r>
    <n v="218120"/>
    <x v="3"/>
    <x v="10"/>
    <n v="2"/>
    <x v="1"/>
    <s v="West Adams-Expo Park"/>
    <n v="1"/>
    <n v="1"/>
    <n v="52.831000000000003"/>
    <n v="31.47767412"/>
    <n v="51.477674120000003"/>
    <n v="7.3524985882764797"/>
    <n v="58.8301727082765"/>
    <n v="1"/>
    <n v="1"/>
    <n v="0"/>
    <n v="0"/>
    <n v="0"/>
    <n v="0"/>
    <n v="1"/>
    <n v="1"/>
  </r>
  <r>
    <n v="195802"/>
    <x v="3"/>
    <x v="11"/>
    <n v="1"/>
    <x v="1"/>
    <s v="Rampart Village"/>
    <n v="1"/>
    <n v="1"/>
    <n v="53.527000000000001"/>
    <n v="45.356121049999999"/>
    <n v="52.356121049999999"/>
    <n v="4.16979266903052"/>
    <n v="56.525913719030498"/>
    <n v="1"/>
    <n v="1"/>
    <n v="0"/>
    <n v="0"/>
    <n v="0"/>
    <n v="0"/>
    <n v="1"/>
    <n v="1"/>
  </r>
  <r>
    <n v="187101"/>
    <x v="3"/>
    <x v="11"/>
    <n v="1"/>
    <x v="1"/>
    <s v="Atwater Village"/>
    <n v="1"/>
    <n v="1"/>
    <n v="10.397"/>
    <n v="8.8728602300000006"/>
    <n v="9.8728602300000006"/>
    <n v="4.5237682294793498"/>
    <n v="14.3966284594794"/>
    <n v="1"/>
    <n v="1"/>
    <n v="0"/>
    <n v="0"/>
    <n v="0"/>
    <n v="0"/>
    <n v="1"/>
    <n v="1"/>
  </r>
  <r>
    <n v="195710"/>
    <x v="3"/>
    <x v="11"/>
    <n v="1"/>
    <x v="1"/>
    <s v="Echo Park"/>
    <n v="1"/>
    <n v="1"/>
    <n v="45.046999999999997"/>
    <n v="26.402027289999999"/>
    <n v="44.402027289999999"/>
    <n v="0.64404795411131099"/>
    <n v="45.0460752441113"/>
    <n v="1"/>
    <n v="1"/>
    <n v="0"/>
    <n v="0"/>
    <n v="0"/>
    <n v="0"/>
    <n v="1"/>
    <n v="1"/>
  </r>
  <r>
    <n v="183101"/>
    <x v="3"/>
    <x v="12"/>
    <n v="1"/>
    <x v="1"/>
    <s v="Highland Park"/>
    <n v="1"/>
    <n v="1"/>
    <n v="19.524000000000001"/>
    <n v="14.86504671"/>
    <n v="18.865046710000001"/>
    <n v="0.65888498759425496"/>
    <n v="19.5239316975943"/>
    <n v="1"/>
    <n v="1"/>
    <n v="0"/>
    <n v="0"/>
    <n v="0"/>
    <n v="0"/>
    <n v="1"/>
    <n v="1"/>
  </r>
  <r>
    <n v="226002"/>
    <x v="3"/>
    <x v="12"/>
    <n v="2"/>
    <x v="1"/>
    <s v="Downtown Los Angeles"/>
    <n v="1"/>
    <n v="1"/>
    <n v="489.60500000000002"/>
    <n v="326.93036359000001"/>
    <n v="483.93036359000001"/>
    <n v="8.6723665109874304"/>
    <n v="492.602730100987"/>
    <n v="1"/>
    <n v="1"/>
    <n v="0"/>
    <n v="0"/>
    <n v="0"/>
    <n v="0"/>
    <n v="1"/>
    <n v="1"/>
  </r>
  <r>
    <n v="206032"/>
    <x v="3"/>
    <x v="12"/>
    <n v="1"/>
    <x v="1"/>
    <s v="Boyle Heights"/>
    <n v="1"/>
    <n v="1"/>
    <n v="83.272999999999996"/>
    <n v="72.667884650000005"/>
    <n v="80.667884650000005"/>
    <n v="4.6040563110412904"/>
    <n v="85.271940961041295"/>
    <n v="1"/>
    <n v="1"/>
    <n v="0"/>
    <n v="0"/>
    <n v="0"/>
    <n v="0"/>
    <n v="1"/>
    <n v="1"/>
  </r>
  <r>
    <n v="700501"/>
    <x v="3"/>
    <x v="0"/>
    <n v="3"/>
    <x v="2"/>
    <s v="West Hollywood"/>
    <n v="0"/>
    <n v="0"/>
    <n v="16"/>
    <n v="0"/>
    <n v="16"/>
    <n v="0"/>
    <n v="16"/>
    <n v="8.5106382978723402E-2"/>
    <n v="0"/>
    <n v="0.14893617021276601"/>
    <n v="0"/>
    <n v="0"/>
    <n v="0"/>
    <n v="8.5106382978723402E-2"/>
    <n v="0"/>
  </r>
  <r>
    <n v="700400"/>
    <x v="3"/>
    <x v="0"/>
    <n v="3"/>
    <x v="2"/>
    <s v="West Hollywood"/>
    <n v="0"/>
    <n v="0"/>
    <n v="21.702999999999999"/>
    <n v="1.6812916200000001"/>
    <n v="21.68129162"/>
    <n v="2.14919317594255E-2"/>
    <n v="21.702783551759399"/>
    <n v="8.5106382978723402E-2"/>
    <n v="0"/>
    <n v="0.14893617021276601"/>
    <n v="0"/>
    <n v="0"/>
    <n v="0"/>
    <n v="8.5106382978723402E-2"/>
    <n v="0"/>
  </r>
  <r>
    <n v="700200"/>
    <x v="3"/>
    <x v="0"/>
    <n v="3"/>
    <x v="2"/>
    <s v="West Hollywood"/>
    <n v="0"/>
    <n v="0"/>
    <n v="10.926"/>
    <n v="1.90487994"/>
    <n v="10.904879940000001"/>
    <n v="2.0625322082585301E-2"/>
    <n v="10.9255052620826"/>
    <n v="8.5106382978723402E-2"/>
    <n v="0"/>
    <n v="0.14893617021276601"/>
    <n v="0"/>
    <n v="0"/>
    <n v="0"/>
    <n v="8.5106382978723402E-2"/>
    <n v="0"/>
  </r>
  <r>
    <n v="700102"/>
    <x v="3"/>
    <x v="0"/>
    <n v="3"/>
    <x v="2"/>
    <s v="West Hollywood"/>
    <n v="0"/>
    <n v="0"/>
    <n v="14.851000000000001"/>
    <n v="3.8097598800000001"/>
    <n v="14.80975988"/>
    <n v="4.1250644165170602E-2"/>
    <n v="14.851010524165201"/>
    <n v="8.5106382978723402E-2"/>
    <n v="0"/>
    <n v="0.14893617021276601"/>
    <n v="0"/>
    <n v="0"/>
    <n v="0"/>
    <n v="8.5106382978723402E-2"/>
    <n v="0"/>
  </r>
  <r>
    <n v="700101"/>
    <x v="3"/>
    <x v="0"/>
    <n v="3"/>
    <x v="2"/>
    <s v="West Hollywood"/>
    <n v="0"/>
    <n v="0"/>
    <n v="18.734000000000002"/>
    <n v="3.63801211"/>
    <n v="18.638012109999998"/>
    <n v="9.5610832369838403E-2"/>
    <n v="18.733622942369799"/>
    <n v="8.5106382978723402E-2"/>
    <n v="0"/>
    <n v="0.14893617021276601"/>
    <n v="0"/>
    <n v="0"/>
    <n v="0"/>
    <n v="8.5106382978723402E-2"/>
    <n v="0"/>
  </r>
  <r>
    <n v="700502"/>
    <x v="3"/>
    <x v="0"/>
    <n v="3"/>
    <x v="2"/>
    <s v="West Hollywood"/>
    <n v="0"/>
    <n v="0"/>
    <n v="11"/>
    <n v="0"/>
    <n v="11"/>
    <n v="0"/>
    <n v="11"/>
    <n v="8.5106382978723402E-2"/>
    <n v="0"/>
    <n v="0.14893617021276601"/>
    <n v="0"/>
    <n v="0"/>
    <n v="0"/>
    <n v="8.5106382978723402E-2"/>
    <n v="0"/>
  </r>
  <r>
    <n v="700300"/>
    <x v="3"/>
    <x v="0"/>
    <n v="3"/>
    <x v="2"/>
    <s v="West Hollywood"/>
    <n v="0"/>
    <n v="0"/>
    <n v="11.808"/>
    <n v="1.73313217"/>
    <n v="11.733132169999999"/>
    <n v="7.4985510287253102E-2"/>
    <n v="11.8081176802873"/>
    <n v="8.5106382978723402E-2"/>
    <n v="0"/>
    <n v="0.14893617021276601"/>
    <n v="0"/>
    <n v="0"/>
    <n v="0"/>
    <n v="8.5106382978723402E-2"/>
    <n v="0"/>
  </r>
  <r>
    <n v="213320"/>
    <x v="3"/>
    <x v="8"/>
    <n v="2"/>
    <x v="2"/>
    <s v="Pico Union"/>
    <n v="0"/>
    <n v="0"/>
    <n v="19.959"/>
    <n v="14.79186288"/>
    <n v="19.79186288"/>
    <n v="0.166735796014363"/>
    <n v="19.9585986760144"/>
    <n v="8.5106382978723402E-2"/>
    <n v="0"/>
    <n v="0.19148936170212799"/>
    <n v="0.9"/>
    <n v="0"/>
    <n v="0"/>
    <n v="8.5106382978723402E-2"/>
    <n v="0"/>
  </r>
  <r>
    <n v="199400"/>
    <x v="3"/>
    <x v="8"/>
    <n v="1"/>
    <x v="2"/>
    <s v="Eagle Rock"/>
    <n v="0"/>
    <n v="0"/>
    <n v="17.227"/>
    <n v="16.546338330000001"/>
    <n v="16.546338330000001"/>
    <n v="0.68037691935368005"/>
    <n v="17.226715249353699"/>
    <n v="8.5106382978723402E-2"/>
    <n v="0"/>
    <n v="0.19148936170212799"/>
    <n v="0.9"/>
    <n v="0"/>
    <n v="0"/>
    <n v="8.5106382978723402E-2"/>
    <n v="0"/>
  </r>
  <r>
    <n v="213402"/>
    <x v="3"/>
    <x v="8"/>
    <n v="2"/>
    <x v="2"/>
    <s v="Pico Union"/>
    <n v="0"/>
    <n v="0"/>
    <n v="4.851"/>
    <n v="3.8097598800000001"/>
    <n v="4.8097598799999997"/>
    <n v="4.1250644165170602E-2"/>
    <n v="4.8510105241651704"/>
    <n v="8.5106382978723402E-2"/>
    <n v="0"/>
    <n v="0.19148936170212799"/>
    <n v="0.9"/>
    <n v="0"/>
    <n v="0"/>
    <n v="8.5106382978723402E-2"/>
    <n v="0"/>
  </r>
  <r>
    <n v="209102"/>
    <x v="3"/>
    <x v="8"/>
    <n v="1"/>
    <x v="2"/>
    <s v="Westlake"/>
    <n v="0"/>
    <n v="0"/>
    <n v="29.152999999999999"/>
    <n v="10.698920449999999"/>
    <n v="28.698920449999999"/>
    <n v="0.45384627226211899"/>
    <n v="29.152766722262101"/>
    <n v="8.5106382978723402E-2"/>
    <n v="0"/>
    <n v="0.19148936170212799"/>
    <n v="0.9"/>
    <n v="0"/>
    <n v="0"/>
    <n v="8.5106382978723402E-2"/>
    <n v="0"/>
  </r>
  <r>
    <n v="183810"/>
    <x v="3"/>
    <x v="8"/>
    <n v="1"/>
    <x v="2"/>
    <s v="Highland Park"/>
    <n v="1"/>
    <n v="1"/>
    <n v="5.8079999999999998"/>
    <n v="1.73313217"/>
    <n v="5.7331321700000002"/>
    <n v="7.4985510287253102E-2"/>
    <n v="5.8081176802872498"/>
    <n v="8.5106382978723402E-2"/>
    <n v="11.75"/>
    <n v="0.19148936170212799"/>
    <n v="0.9"/>
    <n v="0"/>
    <n v="0"/>
    <n v="8.5106382978723402E-2"/>
    <n v="11.75"/>
  </r>
  <r>
    <n v="208903"/>
    <x v="3"/>
    <x v="8"/>
    <n v="1"/>
    <x v="2"/>
    <s v="Westlake"/>
    <n v="0"/>
    <n v="0"/>
    <n v="34.872"/>
    <n v="7.6983394799999996"/>
    <n v="34.698339480000001"/>
    <n v="0.17304856763016199"/>
    <n v="34.871388047630198"/>
    <n v="8.5106382978723402E-2"/>
    <n v="0"/>
    <n v="0.19148936170212799"/>
    <n v="0.9"/>
    <n v="0"/>
    <n v="0"/>
    <n v="8.5106382978723402E-2"/>
    <n v="0"/>
  </r>
  <r>
    <n v="213310"/>
    <x v="3"/>
    <x v="8"/>
    <n v="2"/>
    <x v="2"/>
    <s v="Pico Union"/>
    <n v="0"/>
    <n v="0"/>
    <n v="9.48"/>
    <n v="7.39593144"/>
    <n v="9.39593144"/>
    <n v="8.3367898007181293E-2"/>
    <n v="9.4792993380071806"/>
    <n v="8.5106382978723402E-2"/>
    <n v="0"/>
    <n v="0.19148936170212799"/>
    <n v="0.9"/>
    <n v="0"/>
    <n v="0"/>
    <n v="8.5106382978723402E-2"/>
    <n v="0"/>
  </r>
  <r>
    <n v="186201"/>
    <x v="3"/>
    <x v="8"/>
    <n v="1"/>
    <x v="2"/>
    <s v="Eagle Rock"/>
    <n v="0"/>
    <n v="0"/>
    <n v="8.734"/>
    <n v="3.63801211"/>
    <n v="8.63801211"/>
    <n v="9.5610832369838403E-2"/>
    <n v="8.7336229423698395"/>
    <n v="8.5106382978723402E-2"/>
    <n v="0"/>
    <n v="0.19148936170212799"/>
    <n v="0.9"/>
    <n v="0"/>
    <n v="0"/>
    <n v="8.5106382978723402E-2"/>
    <n v="0"/>
  </r>
  <r>
    <n v="208720"/>
    <x v="3"/>
    <x v="8"/>
    <n v="2"/>
    <x v="2"/>
    <s v="Westlake"/>
    <n v="0"/>
    <n v="0"/>
    <n v="25.314"/>
    <n v="9.6887339899999994"/>
    <n v="24.688733989999999"/>
    <n v="0.62495236107719898"/>
    <n v="25.313686351077202"/>
    <n v="8.5106382978723402E-2"/>
    <n v="0"/>
    <n v="0.19148936170212799"/>
    <n v="0.9"/>
    <n v="0"/>
    <n v="0"/>
    <n v="8.5106382978723402E-2"/>
    <n v="0"/>
  </r>
  <r>
    <n v="189905"/>
    <x v="3"/>
    <x v="3"/>
    <n v="3"/>
    <x v="2"/>
    <s v="Hollywood Hills West"/>
    <n v="0"/>
    <n v="0"/>
    <n v="19.218"/>
    <n v="10.72589962"/>
    <n v="18.72589962"/>
    <n v="0.49089997303411098"/>
    <n v="19.2167995930341"/>
    <n v="8.5106382978723402E-2"/>
    <n v="0"/>
    <n v="0.19148936170212799"/>
    <n v="0.5625"/>
    <n v="0.14285714285714299"/>
    <n v="0"/>
    <n v="0.21580547112462017"/>
    <n v="0"/>
  </r>
  <r>
    <n v="189904"/>
    <x v="3"/>
    <x v="3"/>
    <n v="3"/>
    <x v="2"/>
    <s v="Hollywood Hills West"/>
    <n v="0"/>
    <n v="0"/>
    <n v="12.58"/>
    <n v="6.0507218800000002"/>
    <n v="12.050721879999999"/>
    <n v="0.52934152870736095"/>
    <n v="12.580063408707399"/>
    <n v="8.5106382978723402E-2"/>
    <n v="0"/>
    <n v="0.19148936170212799"/>
    <n v="0.5625"/>
    <n v="0.14285714285714299"/>
    <n v="0"/>
    <n v="0.21580547112462017"/>
    <n v="0"/>
  </r>
  <r>
    <n v="212610"/>
    <x v="3"/>
    <x v="3"/>
    <n v="2"/>
    <x v="2"/>
    <s v="Miracle Mile"/>
    <n v="0"/>
    <n v="0"/>
    <n v="14.102"/>
    <n v="4.8536203599999999"/>
    <n v="13.853620360000001"/>
    <n v="0.247929448186715"/>
    <n v="14.1015498081867"/>
    <n v="8.5106382978723402E-2"/>
    <n v="0"/>
    <n v="0.19148936170212799"/>
    <n v="0.5625"/>
    <n v="0.14285714285714299"/>
    <n v="0"/>
    <n v="0.21580547112462017"/>
    <n v="0"/>
  </r>
  <r>
    <n v="211000"/>
    <x v="3"/>
    <x v="3"/>
    <n v="3"/>
    <x v="2"/>
    <s v="Miracle Mile"/>
    <n v="0"/>
    <n v="0"/>
    <n v="8.7769999999999992"/>
    <n v="5.7146398200000004"/>
    <n v="8.7146398200000004"/>
    <n v="6.18759662477558E-2"/>
    <n v="8.7765157862477494"/>
    <n v="8.5106382978723402E-2"/>
    <n v="0"/>
    <n v="0.19148936170212799"/>
    <n v="0.5625"/>
    <n v="0.14285714285714299"/>
    <n v="0"/>
    <n v="0.21580547112462017"/>
    <n v="0"/>
  </r>
  <r>
    <n v="189101"/>
    <x v="3"/>
    <x v="3"/>
    <n v="3"/>
    <x v="2"/>
    <s v="Los Feliz"/>
    <n v="0"/>
    <n v="0"/>
    <n v="7.734"/>
    <n v="3.63801211"/>
    <n v="7.63801211"/>
    <n v="9.5610832369838403E-2"/>
    <n v="7.7336229423698404"/>
    <n v="8.5106382978723402E-2"/>
    <n v="0"/>
    <n v="0.19148936170212799"/>
    <n v="0.5625"/>
    <n v="0.14285714285714299"/>
    <n v="0"/>
    <n v="0.21580547112462017"/>
    <n v="0"/>
  </r>
  <r>
    <n v="195100"/>
    <x v="3"/>
    <x v="3"/>
    <n v="1"/>
    <x v="2"/>
    <s v="Silver Lake"/>
    <n v="0"/>
    <n v="0"/>
    <n v="1.8080000000000001"/>
    <n v="1.73313217"/>
    <n v="1.73313217"/>
    <n v="7.4985510287253102E-2"/>
    <n v="1.8081176802872501"/>
    <n v="8.5106382978723402E-2"/>
    <n v="0"/>
    <n v="0.19148936170212799"/>
    <n v="0.5625"/>
    <n v="0.14285714285714299"/>
    <n v="0"/>
    <n v="0.21580547112462017"/>
    <n v="0"/>
  </r>
  <r>
    <n v="215101"/>
    <x v="3"/>
    <x v="3"/>
    <n v="3"/>
    <x v="2"/>
    <s v="Mid-City West"/>
    <n v="0"/>
    <n v="0"/>
    <n v="11.776999999999999"/>
    <n v="5.7146398200000004"/>
    <n v="11.71463982"/>
    <n v="6.18759662477558E-2"/>
    <n v="11.776515786247799"/>
    <n v="8.5106382978723402E-2"/>
    <n v="0"/>
    <n v="0.19148936170212799"/>
    <n v="0.5625"/>
    <n v="0.14285714285714299"/>
    <n v="0"/>
    <n v="0.21580547112462017"/>
    <n v="0"/>
  </r>
  <r>
    <n v="215102"/>
    <x v="3"/>
    <x v="3"/>
    <n v="3"/>
    <x v="2"/>
    <s v="Mid-City West"/>
    <n v="0"/>
    <n v="0"/>
    <n v="4"/>
    <n v="0"/>
    <n v="4"/>
    <n v="0"/>
    <n v="4"/>
    <n v="8.5106382978723402E-2"/>
    <n v="0"/>
    <n v="0.19148936170212799"/>
    <n v="0.5625"/>
    <n v="0.14285714285714299"/>
    <n v="0"/>
    <n v="0.21580547112462017"/>
    <n v="0"/>
  </r>
  <r>
    <n v="189800"/>
    <x v="3"/>
    <x v="3"/>
    <n v="3"/>
    <x v="2"/>
    <s v="Hollywood Hills West"/>
    <n v="1"/>
    <n v="1"/>
    <n v="11"/>
    <n v="0"/>
    <n v="11"/>
    <n v="0"/>
    <n v="11"/>
    <n v="8.5106382978723402E-2"/>
    <n v="11.75"/>
    <n v="0.19148936170212799"/>
    <n v="0.5625"/>
    <n v="0"/>
    <n v="0"/>
    <n v="8.5106382978723402E-2"/>
    <n v="11.75"/>
  </r>
  <r>
    <n v="191902"/>
    <x v="3"/>
    <x v="7"/>
    <n v="3"/>
    <x v="2"/>
    <s v="Miracle Mile"/>
    <n v="0"/>
    <n v="0"/>
    <n v="24.838999999999999"/>
    <n v="11.44215048"/>
    <n v="24.442150479999999"/>
    <n v="0.39626038007181302"/>
    <n v="24.8384108600718"/>
    <n v="8.5106382978723402E-2"/>
    <n v="0"/>
    <n v="8.5106382978723402E-2"/>
    <n v="0.44444444444444398"/>
    <n v="0.16666666666666699"/>
    <n v="0"/>
    <n v="0.23758865248226979"/>
    <n v="0"/>
  </r>
  <r>
    <n v="192002"/>
    <x v="3"/>
    <x v="7"/>
    <n v="3"/>
    <x v="2"/>
    <s v="Mid-City West"/>
    <n v="0"/>
    <n v="0"/>
    <n v="19.106999999999999"/>
    <n v="4.7832730799999998"/>
    <n v="18.783273080000001"/>
    <n v="0.32352933436265702"/>
    <n v="19.106802414362701"/>
    <n v="8.5106382978723402E-2"/>
    <n v="0"/>
    <n v="8.5106382978723402E-2"/>
    <n v="0.44444444444444398"/>
    <n v="0.16666666666666699"/>
    <n v="0"/>
    <n v="0.23758865248226979"/>
    <n v="0"/>
  </r>
  <r>
    <n v="214902"/>
    <x v="3"/>
    <x v="7"/>
    <n v="3"/>
    <x v="2"/>
    <s v="Mid-City West"/>
    <n v="0"/>
    <n v="0"/>
    <n v="14.388999999999999"/>
    <n v="5.1041878499999997"/>
    <n v="14.104187850000001"/>
    <n v="0.28411653928186698"/>
    <n v="14.388304389281901"/>
    <n v="8.5106382978723402E-2"/>
    <n v="0"/>
    <n v="8.5106382978723402E-2"/>
    <n v="0.44444444444444398"/>
    <n v="0.16666666666666699"/>
    <n v="0"/>
    <n v="0.23758865248226979"/>
    <n v="0"/>
  </r>
  <r>
    <n v="214700"/>
    <x v="3"/>
    <x v="7"/>
    <n v="3"/>
    <x v="2"/>
    <s v="Mid-City West"/>
    <n v="1"/>
    <n v="1"/>
    <n v="4.7030000000000003"/>
    <n v="1.6812916200000001"/>
    <n v="4.6812916199999997"/>
    <n v="2.14919317594255E-2"/>
    <n v="4.7027835517594196"/>
    <n v="8.5106382978723402E-2"/>
    <n v="11.75"/>
    <n v="8.5106382978723402E-2"/>
    <n v="0.44444444444444398"/>
    <n v="0"/>
    <n v="0"/>
    <n v="8.5106382978723402E-2"/>
    <n v="11.75"/>
  </r>
  <r>
    <n v="211921"/>
    <x v="3"/>
    <x v="10"/>
    <n v="2"/>
    <x v="2"/>
    <s v="Wilshire Center-Koreatown"/>
    <n v="0"/>
    <n v="0"/>
    <n v="23.038"/>
    <n v="13.467440659999999"/>
    <n v="22.467440660000001"/>
    <n v="0.56936342109515303"/>
    <n v="23.036804081095202"/>
    <n v="8.5106382978723402E-2"/>
    <n v="0"/>
    <n v="4.2553191489361701E-2"/>
    <n v="0.5"/>
    <n v="0.25"/>
    <n v="0"/>
    <n v="0.31382978723404253"/>
    <n v="0"/>
  </r>
  <r>
    <n v="212101"/>
    <x v="3"/>
    <x v="10"/>
    <n v="2"/>
    <x v="2"/>
    <s v="Wilshire Center-Koreatown"/>
    <n v="0"/>
    <n v="1"/>
    <n v="10.926"/>
    <n v="1.90487994"/>
    <n v="10.904879940000001"/>
    <n v="2.0625322082585301E-2"/>
    <n v="10.9255052620826"/>
    <n v="8.5106382978723402E-2"/>
    <n v="0"/>
    <n v="4.2553191489361701E-2"/>
    <n v="0.5"/>
    <n v="0.25"/>
    <n v="4"/>
    <n v="0.31382978723404253"/>
    <n v="3.1864406779661021"/>
  </r>
  <r>
    <n v="186401"/>
    <x v="3"/>
    <x v="11"/>
    <n v="1"/>
    <x v="2"/>
    <s v="Glassell Park"/>
    <n v="0"/>
    <n v="0"/>
    <n v="19.350000000000001"/>
    <n v="17.308793850000001"/>
    <n v="18.308793850000001"/>
    <n v="1.04083281719928"/>
    <n v="19.349626667199299"/>
    <n v="8.5106382978723402E-2"/>
    <n v="0"/>
    <n v="0.12765957446808501"/>
    <n v="0.6"/>
    <n v="0"/>
    <n v="0"/>
    <n v="8.5106382978723402E-2"/>
    <n v="0"/>
  </r>
  <r>
    <n v="211120"/>
    <x v="3"/>
    <x v="11"/>
    <n v="2"/>
    <x v="2"/>
    <s v="Rampart Village"/>
    <n v="0"/>
    <n v="0"/>
    <n v="49.304000000000002"/>
    <n v="17.819423019999999"/>
    <n v="48.819423020000002"/>
    <n v="0.48458720141831202"/>
    <n v="49.304010221418302"/>
    <n v="8.5106382978723402E-2"/>
    <n v="0"/>
    <n v="0.12765957446808501"/>
    <n v="0.6"/>
    <n v="0"/>
    <n v="0"/>
    <n v="8.5106382978723402E-2"/>
    <n v="0"/>
  </r>
  <r>
    <n v="208401"/>
    <x v="3"/>
    <x v="11"/>
    <n v="1"/>
    <x v="2"/>
    <s v="Echo Park"/>
    <n v="0"/>
    <n v="0"/>
    <n v="5.6289999999999996"/>
    <n v="3.5861715599999999"/>
    <n v="5.5861715600000004"/>
    <n v="4.2117253842010802E-2"/>
    <n v="5.6282888138420102"/>
    <n v="8.5106382978723402E-2"/>
    <n v="0"/>
    <n v="0.12765957446808501"/>
    <n v="0.6"/>
    <n v="0"/>
    <n v="0"/>
    <n v="8.5106382978723402E-2"/>
    <n v="0"/>
  </r>
  <r>
    <n v="195902"/>
    <x v="3"/>
    <x v="11"/>
    <n v="1"/>
    <x v="2"/>
    <s v="Silver Lake"/>
    <n v="0"/>
    <n v="0"/>
    <n v="0"/>
    <n v="0"/>
    <n v="0"/>
    <n v="0"/>
    <n v="0"/>
    <n v="8.5106382978723402E-2"/>
    <n v="0"/>
    <n v="0.12765957446808501"/>
    <n v="0.6"/>
    <n v="0"/>
    <n v="0"/>
    <n v="8.5106382978723402E-2"/>
    <n v="0"/>
  </r>
  <r>
    <n v="190201"/>
    <x v="3"/>
    <x v="11"/>
    <n v="3"/>
    <x v="2"/>
    <s v="Hollywood Hills West"/>
    <n v="0"/>
    <n v="0"/>
    <n v="16.850999999999999"/>
    <n v="3.8097598800000001"/>
    <n v="16.809759880000001"/>
    <n v="4.1250644165170602E-2"/>
    <n v="16.851010524165201"/>
    <n v="8.5106382978723402E-2"/>
    <n v="0"/>
    <n v="0.12765957446808501"/>
    <n v="0.6"/>
    <n v="0"/>
    <n v="0"/>
    <n v="8.5106382978723402E-2"/>
    <n v="0"/>
  </r>
  <r>
    <n v="190202"/>
    <x v="3"/>
    <x v="11"/>
    <n v="3"/>
    <x v="2"/>
    <s v="Hollywood Hills West"/>
    <n v="1"/>
    <n v="1"/>
    <n v="38.213999999999999"/>
    <n v="9.5665461599999997"/>
    <n v="37.566546160000001"/>
    <n v="0.64705866872531403"/>
    <n v="38.213604828725302"/>
    <n v="8.5106382978723402E-2"/>
    <n v="11.75"/>
    <n v="0.12765957446808501"/>
    <n v="0.6"/>
    <n v="0"/>
    <n v="0"/>
    <n v="8.5106382978723402E-2"/>
    <n v="11.75"/>
  </r>
  <r>
    <n v="183620"/>
    <x v="3"/>
    <x v="12"/>
    <n v="1"/>
    <x v="2"/>
    <s v="Highland Park"/>
    <n v="0"/>
    <n v="0"/>
    <n v="5.2069999999999999"/>
    <n v="4.9054609100000004"/>
    <n v="4.9054609100000004"/>
    <n v="0.30142302671454202"/>
    <n v="5.2068839367145401"/>
    <n v="8.5106382978723402E-2"/>
    <n v="0"/>
    <n v="0.21276595744680901"/>
    <n v="1"/>
    <n v="0.4"/>
    <n v="0"/>
    <n v="0.45106382978723408"/>
    <n v="0"/>
  </r>
  <r>
    <n v="204600"/>
    <x v="3"/>
    <x v="12"/>
    <n v="1"/>
    <x v="2"/>
    <s v="Boyle Heights"/>
    <n v="0"/>
    <n v="1"/>
    <n v="29.532"/>
    <n v="17.97266406"/>
    <n v="28.97266406"/>
    <n v="0.55932047791741502"/>
    <n v="29.531984537917399"/>
    <n v="8.5106382978723402E-2"/>
    <n v="0"/>
    <n v="0.21276595744680901"/>
    <n v="1"/>
    <n v="0.4"/>
    <n v="2.5"/>
    <n v="0.45106382978723408"/>
    <n v="2.2169811320754715"/>
  </r>
  <r>
    <n v="204300"/>
    <x v="3"/>
    <x v="12"/>
    <n v="1"/>
    <x v="2"/>
    <s v="Boyle Heights"/>
    <n v="0"/>
    <n v="0"/>
    <n v="11.994999999999999"/>
    <n v="11.401062980000001"/>
    <n v="11.401062980000001"/>
    <n v="0.59466142610412898"/>
    <n v="11.995724406104101"/>
    <n v="8.5106382978723402E-2"/>
    <n v="0"/>
    <n v="0.21276595744680901"/>
    <n v="1"/>
    <n v="0.4"/>
    <n v="0"/>
    <n v="0.45106382978723408"/>
    <n v="0"/>
  </r>
  <r>
    <n v="204110"/>
    <x v="3"/>
    <x v="12"/>
    <n v="1"/>
    <x v="2"/>
    <s v="Boyle Heights"/>
    <n v="0"/>
    <n v="0"/>
    <n v="15.19"/>
    <n v="3.9673993200000002"/>
    <n v="14.96739932"/>
    <n v="0.22234520276481101"/>
    <n v="15.1897445227648"/>
    <n v="8.5106382978723402E-2"/>
    <n v="0"/>
    <n v="0.21276595744680901"/>
    <n v="1"/>
    <n v="0.4"/>
    <n v="0"/>
    <n v="0.45106382978723408"/>
    <n v="0"/>
  </r>
  <r>
    <n v="203600"/>
    <x v="3"/>
    <x v="12"/>
    <n v="1"/>
    <x v="2"/>
    <s v="Boyle Heights"/>
    <n v="0"/>
    <n v="0"/>
    <n v="3"/>
    <n v="0"/>
    <n v="3"/>
    <n v="0"/>
    <n v="3"/>
    <n v="8.5106382978723402E-2"/>
    <n v="0"/>
    <n v="0.21276595744680901"/>
    <n v="1"/>
    <n v="0.4"/>
    <n v="0"/>
    <n v="0.45106382978723408"/>
    <n v="0"/>
  </r>
  <r>
    <n v="207501"/>
    <x v="3"/>
    <x v="12"/>
    <n v="1"/>
    <x v="2"/>
    <s v="Downtown Los Angeles"/>
    <n v="0"/>
    <n v="0"/>
    <n v="18.925999999999998"/>
    <n v="1.90487994"/>
    <n v="18.904879940000001"/>
    <n v="2.0625322082585301E-2"/>
    <n v="18.925505262082599"/>
    <n v="8.5106382978723402E-2"/>
    <n v="0"/>
    <n v="0.21276595744680901"/>
    <n v="1"/>
    <n v="0.4"/>
    <n v="0"/>
    <n v="0.45106382978723408"/>
    <n v="0"/>
  </r>
  <r>
    <n v="206050"/>
    <x v="3"/>
    <x v="12"/>
    <n v="1"/>
    <x v="2"/>
    <s v="Boyle Heights"/>
    <n v="0"/>
    <n v="1"/>
    <n v="41.411000000000001"/>
    <n v="14.62295166"/>
    <n v="40.622951659999998"/>
    <n v="0.78884506197486504"/>
    <n v="41.411796721974902"/>
    <n v="8.5106382978723402E-2"/>
    <n v="0"/>
    <n v="0.21276595744680901"/>
    <n v="1"/>
    <n v="0.4"/>
    <n v="2.5"/>
    <n v="0.45106382978723408"/>
    <n v="2.2169811320754715"/>
  </r>
  <r>
    <n v="206020"/>
    <x v="3"/>
    <x v="12"/>
    <n v="1"/>
    <x v="2"/>
    <s v="Chinatown"/>
    <n v="0"/>
    <n v="1"/>
    <n v="22.478999999999999"/>
    <n v="13.33415958"/>
    <n v="22.334159580000001"/>
    <n v="0.144377254578097"/>
    <n v="22.478536834578101"/>
    <n v="8.5106382978723402E-2"/>
    <n v="0"/>
    <n v="0.21276595744680901"/>
    <n v="1"/>
    <n v="0.4"/>
    <n v="2.5"/>
    <n v="0.45106382978723408"/>
    <n v="2.2169811320754715"/>
  </r>
  <r>
    <n v="207502"/>
    <x v="3"/>
    <x v="12"/>
    <n v="1"/>
    <x v="2"/>
    <s v="Downtown Los Angeles"/>
    <n v="0"/>
    <n v="0"/>
    <n v="54.844999999999999"/>
    <n v="19.612149420000001"/>
    <n v="54.612149420000001"/>
    <n v="0.23207820096947901"/>
    <n v="54.844227620969498"/>
    <n v="8.5106382978723402E-2"/>
    <n v="0"/>
    <n v="0.21276595744680901"/>
    <n v="1"/>
    <n v="0.4"/>
    <n v="0"/>
    <n v="0.45106382978723408"/>
    <n v="0"/>
  </r>
  <r>
    <n v="207710"/>
    <x v="3"/>
    <x v="12"/>
    <n v="1"/>
    <x v="2"/>
    <s v="Downtown Los Angeles"/>
    <n v="0"/>
    <n v="1"/>
    <n v="100.845"/>
    <n v="13.67392128"/>
    <n v="100.67392128"/>
    <n v="0.17106884439856401"/>
    <n v="100.844990124399"/>
    <n v="8.5106382978723402E-2"/>
    <n v="0"/>
    <n v="0.21276595744680901"/>
    <n v="1"/>
    <n v="0.4"/>
    <n v="2.5"/>
    <n v="0.45106382978723408"/>
    <n v="2.2169811320754715"/>
  </r>
  <r>
    <n v="530700"/>
    <x v="3"/>
    <x v="0"/>
    <n v="1"/>
    <x v="3"/>
    <s v="East Los Angeles"/>
    <n v="1"/>
    <n v="1"/>
    <n v="16.681000000000001"/>
    <n v="14.82395921"/>
    <n v="15.82395921"/>
    <n v="0.85728603362657096"/>
    <n v="16.681245243626599"/>
    <n v="2.6315789473684199E-2"/>
    <n v="38"/>
    <n v="6.5789473684210497E-3"/>
    <n v="0"/>
    <n v="0"/>
    <n v="0"/>
    <n v="2.6315789473684199E-2"/>
    <n v="38.000000000000014"/>
  </r>
  <r>
    <n v="221110"/>
    <x v="3"/>
    <x v="8"/>
    <n v="2"/>
    <x v="3"/>
    <s v="Pico Union"/>
    <n v="0"/>
    <n v="0"/>
    <n v="13.723000000000001"/>
    <n v="11.508099359999999"/>
    <n v="13.508099359999999"/>
    <n v="0.21429921179533201"/>
    <n v="13.722398571795299"/>
    <n v="2.6315789473684199E-2"/>
    <n v="0"/>
    <n v="0.197368421052632"/>
    <n v="0.9375"/>
    <n v="0.1"/>
    <n v="0"/>
    <n v="0.12368421052631579"/>
    <n v="0"/>
  </r>
  <r>
    <n v="183820"/>
    <x v="3"/>
    <x v="8"/>
    <n v="1"/>
    <x v="3"/>
    <s v="Highland Park"/>
    <n v="0"/>
    <n v="0"/>
    <n v="14.156000000000001"/>
    <n v="13.649438460000001"/>
    <n v="13.649438460000001"/>
    <n v="0.50656637177737895"/>
    <n v="14.1560048317774"/>
    <n v="2.6315789473684199E-2"/>
    <n v="0"/>
    <n v="0.197368421052632"/>
    <n v="0.9375"/>
    <n v="0.1"/>
    <n v="0"/>
    <n v="0.12368421052631579"/>
    <n v="0"/>
  </r>
  <r>
    <n v="209104"/>
    <x v="3"/>
    <x v="8"/>
    <n v="1"/>
    <x v="3"/>
    <s v="Westlake"/>
    <n v="0"/>
    <n v="0"/>
    <n v="1.8080000000000001"/>
    <n v="1.73313217"/>
    <n v="1.73313217"/>
    <n v="7.4985510287253102E-2"/>
    <n v="1.8081176802872501"/>
    <n v="2.6315789473684199E-2"/>
    <n v="0"/>
    <n v="0.197368421052632"/>
    <n v="0.9375"/>
    <n v="0.1"/>
    <n v="0"/>
    <n v="0.12368421052631579"/>
    <n v="0"/>
  </r>
  <r>
    <n v="207103"/>
    <x v="3"/>
    <x v="8"/>
    <n v="1"/>
    <x v="3"/>
    <s v="Chinatown"/>
    <n v="0"/>
    <n v="0"/>
    <n v="10.749000000000001"/>
    <n v="10.27660519"/>
    <n v="10.27660519"/>
    <n v="0.47201936937163402"/>
    <n v="10.748624559371599"/>
    <n v="2.6315789473684199E-2"/>
    <n v="0"/>
    <n v="0.197368421052632"/>
    <n v="0.9375"/>
    <n v="0.1"/>
    <n v="0"/>
    <n v="0.12368421052631579"/>
    <n v="0"/>
  </r>
  <r>
    <n v="208710"/>
    <x v="3"/>
    <x v="8"/>
    <n v="2"/>
    <x v="3"/>
    <s v="Rampart Village"/>
    <n v="0"/>
    <n v="0"/>
    <n v="9.3620000000000001"/>
    <n v="7.2241836700000004"/>
    <n v="9.2241836700000004"/>
    <n v="0.13772808621184901"/>
    <n v="9.3619117562118497"/>
    <n v="2.6315789473684199E-2"/>
    <n v="0"/>
    <n v="0.197368421052632"/>
    <n v="0.9375"/>
    <n v="0.1"/>
    <n v="0"/>
    <n v="0.12368421052631579"/>
    <n v="0"/>
  </r>
  <r>
    <n v="208904"/>
    <x v="3"/>
    <x v="8"/>
    <n v="1"/>
    <x v="3"/>
    <s v="Westlake"/>
    <n v="0"/>
    <n v="0"/>
    <n v="6"/>
    <n v="0"/>
    <n v="6"/>
    <n v="0"/>
    <n v="6"/>
    <n v="2.6315789473684199E-2"/>
    <n v="0"/>
    <n v="0.197368421052632"/>
    <n v="0.9375"/>
    <n v="0.1"/>
    <n v="0"/>
    <n v="0.12368421052631579"/>
    <n v="0"/>
  </r>
  <r>
    <n v="209103"/>
    <x v="3"/>
    <x v="8"/>
    <n v="1"/>
    <x v="3"/>
    <s v="Westlake"/>
    <n v="0"/>
    <n v="0"/>
    <n v="1"/>
    <n v="0"/>
    <n v="1"/>
    <n v="0"/>
    <n v="1"/>
    <n v="2.6315789473684199E-2"/>
    <n v="0"/>
    <n v="0.197368421052632"/>
    <n v="0.9375"/>
    <n v="0.1"/>
    <n v="0"/>
    <n v="0.12368421052631579"/>
    <n v="0"/>
  </r>
  <r>
    <n v="209403"/>
    <x v="3"/>
    <x v="8"/>
    <n v="1"/>
    <x v="3"/>
    <s v="Westlake"/>
    <n v="0"/>
    <n v="1"/>
    <n v="16.382999999999999"/>
    <n v="11.11276327"/>
    <n v="16.112763269999999"/>
    <n v="0.26952600967683998"/>
    <n v="16.382289279676801"/>
    <n v="2.6315789473684199E-2"/>
    <n v="0"/>
    <n v="0.197368421052632"/>
    <n v="0.9375"/>
    <n v="0.1"/>
    <n v="10"/>
    <n v="0.12368421052631579"/>
    <n v="8.085106382978724"/>
  </r>
  <r>
    <n v="209810"/>
    <x v="3"/>
    <x v="8"/>
    <n v="1"/>
    <x v="3"/>
    <s v="Pico Union"/>
    <n v="0"/>
    <n v="0"/>
    <n v="4.851"/>
    <n v="3.8097598800000001"/>
    <n v="4.8097598799999997"/>
    <n v="4.1250644165170602E-2"/>
    <n v="4.8510105241651704"/>
    <n v="2.6315789473684199E-2"/>
    <n v="0"/>
    <n v="0.197368421052632"/>
    <n v="0.9375"/>
    <n v="0.1"/>
    <n v="0"/>
    <n v="0.12368421052631579"/>
    <n v="0"/>
  </r>
  <r>
    <n v="209820"/>
    <x v="3"/>
    <x v="8"/>
    <n v="1"/>
    <x v="3"/>
    <s v="Pico Union"/>
    <n v="0"/>
    <n v="0"/>
    <n v="1.9259999999999999"/>
    <n v="1.90487994"/>
    <n v="1.90487994"/>
    <n v="2.0625322082585301E-2"/>
    <n v="1.9255052620825901"/>
    <n v="2.6315789473684199E-2"/>
    <n v="0"/>
    <n v="0.197368421052632"/>
    <n v="0.9375"/>
    <n v="0.1"/>
    <n v="0"/>
    <n v="0.12368421052631579"/>
    <n v="0"/>
  </r>
  <r>
    <n v="212202"/>
    <x v="3"/>
    <x v="8"/>
    <n v="2"/>
    <x v="3"/>
    <s v="Westlake"/>
    <n v="0"/>
    <n v="0"/>
    <n v="2"/>
    <n v="0"/>
    <n v="2"/>
    <n v="0"/>
    <n v="2"/>
    <n v="2.6315789473684199E-2"/>
    <n v="0"/>
    <n v="0.197368421052632"/>
    <n v="0.9375"/>
    <n v="0.1"/>
    <n v="0"/>
    <n v="0.12368421052631579"/>
    <n v="0"/>
  </r>
  <r>
    <n v="213401"/>
    <x v="3"/>
    <x v="8"/>
    <n v="2"/>
    <x v="3"/>
    <s v="Westlake"/>
    <n v="0"/>
    <n v="0"/>
    <n v="6.7720000000000002"/>
    <n v="4.31758971"/>
    <n v="6.31758971"/>
    <n v="0.45435601842010798"/>
    <n v="6.7719457284201097"/>
    <n v="2.6315789473684199E-2"/>
    <n v="0"/>
    <n v="0.197368421052632"/>
    <n v="0.9375"/>
    <n v="0.1"/>
    <n v="0"/>
    <n v="0.12368421052631579"/>
    <n v="0"/>
  </r>
  <r>
    <n v="221120"/>
    <x v="3"/>
    <x v="8"/>
    <n v="2"/>
    <x v="3"/>
    <s v="Pico Union"/>
    <n v="0"/>
    <n v="0"/>
    <n v="6.3319999999999999"/>
    <n v="5.26746318"/>
    <n v="6.26746318"/>
    <n v="6.3609185601436302E-2"/>
    <n v="6.3310723656014396"/>
    <n v="2.6315789473684199E-2"/>
    <n v="0"/>
    <n v="0.197368421052632"/>
    <n v="0.9375"/>
    <n v="0.1"/>
    <n v="0"/>
    <n v="0.12368421052631579"/>
    <n v="0"/>
  </r>
  <r>
    <n v="224200"/>
    <x v="3"/>
    <x v="8"/>
    <n v="1"/>
    <x v="3"/>
    <s v="Pico Union"/>
    <n v="0"/>
    <n v="0"/>
    <n v="26.972000000000001"/>
    <n v="18.252491330000002"/>
    <n v="26.252491330000002"/>
    <n v="0.71830872886894104"/>
    <n v="26.9708000588689"/>
    <n v="2.6315789473684199E-2"/>
    <n v="0"/>
    <n v="0.197368421052632"/>
    <n v="0.9375"/>
    <n v="0.1"/>
    <n v="0"/>
    <n v="0.12368421052631579"/>
    <n v="0"/>
  </r>
  <r>
    <n v="224310"/>
    <x v="3"/>
    <x v="8"/>
    <n v="1"/>
    <x v="3"/>
    <s v="Pico Union"/>
    <n v="0"/>
    <n v="0"/>
    <n v="1.7030000000000001"/>
    <n v="1.6812916200000001"/>
    <n v="1.6812916200000001"/>
    <n v="2.14919317594255E-2"/>
    <n v="1.7027835517594301"/>
    <n v="2.6315789473684199E-2"/>
    <n v="0"/>
    <n v="0.197368421052632"/>
    <n v="0.9375"/>
    <n v="0.1"/>
    <n v="0"/>
    <n v="0.12368421052631579"/>
    <n v="0"/>
  </r>
  <r>
    <n v="224320"/>
    <x v="3"/>
    <x v="8"/>
    <n v="1"/>
    <x v="3"/>
    <s v="Pico Union"/>
    <n v="0"/>
    <n v="0"/>
    <n v="17.213000000000001"/>
    <n v="11.03394355"/>
    <n v="17.03394355"/>
    <n v="0.17897873037702"/>
    <n v="17.212922280377001"/>
    <n v="2.6315789473684199E-2"/>
    <n v="0"/>
    <n v="0.197368421052632"/>
    <n v="0.9375"/>
    <n v="0.1"/>
    <n v="0"/>
    <n v="0.12368421052631579"/>
    <n v="0"/>
  </r>
  <r>
    <n v="186404"/>
    <x v="3"/>
    <x v="8"/>
    <n v="1"/>
    <x v="3"/>
    <s v="Glassell Park"/>
    <n v="0"/>
    <n v="1"/>
    <n v="13.803000000000001"/>
    <n v="13.13419515"/>
    <n v="13.13419515"/>
    <n v="0.66964693639138195"/>
    <n v="13.8038420863914"/>
    <n v="2.6315789473684199E-2"/>
    <n v="0"/>
    <n v="0.197368421052632"/>
    <n v="0.9375"/>
    <n v="0.1"/>
    <n v="10"/>
    <n v="0.12368421052631579"/>
    <n v="8.085106382978724"/>
  </r>
  <r>
    <n v="183510"/>
    <x v="3"/>
    <x v="8"/>
    <n v="1"/>
    <x v="3"/>
    <s v="Highland Park"/>
    <n v="0"/>
    <n v="1"/>
    <n v="17.706"/>
    <n v="16.85102698"/>
    <n v="16.85102698"/>
    <n v="0.85580504806104096"/>
    <n v="17.706832028061001"/>
    <n v="2.6315789473684199E-2"/>
    <n v="0"/>
    <n v="0.197368421052632"/>
    <n v="0.9375"/>
    <n v="0.1"/>
    <n v="10"/>
    <n v="0.12368421052631579"/>
    <n v="8.085106382978724"/>
  </r>
  <r>
    <n v="183520"/>
    <x v="3"/>
    <x v="8"/>
    <n v="1"/>
    <x v="3"/>
    <s v="Highland Park"/>
    <n v="0"/>
    <n v="0"/>
    <n v="12.725"/>
    <n v="11.51357256"/>
    <n v="11.51357256"/>
    <n v="1.2116160491202901"/>
    <n v="12.7251886091203"/>
    <n v="2.6315789473684199E-2"/>
    <n v="0"/>
    <n v="0.197368421052632"/>
    <n v="0.9375"/>
    <n v="0.1"/>
    <n v="0"/>
    <n v="0.12368421052631579"/>
    <n v="0"/>
  </r>
  <r>
    <n v="185202"/>
    <x v="3"/>
    <x v="8"/>
    <n v="1"/>
    <x v="3"/>
    <s v="Eagle Rock"/>
    <n v="0"/>
    <n v="0"/>
    <n v="15.077"/>
    <n v="14.157268289999999"/>
    <n v="14.157268289999999"/>
    <n v="0.91967174603231605"/>
    <n v="15.076940036032299"/>
    <n v="2.6315789473684199E-2"/>
    <n v="0"/>
    <n v="0.197368421052632"/>
    <n v="0.9375"/>
    <n v="0.1"/>
    <n v="0"/>
    <n v="0.12368421052631579"/>
    <n v="0"/>
  </r>
  <r>
    <n v="185204"/>
    <x v="3"/>
    <x v="8"/>
    <n v="1"/>
    <x v="3"/>
    <s v="Cypress Park"/>
    <n v="0"/>
    <n v="0"/>
    <n v="19.149000000000001"/>
    <n v="17.95291984"/>
    <n v="17.95291984"/>
    <n v="1.1963771370017999"/>
    <n v="19.1492969770018"/>
    <n v="2.6315789473684199E-2"/>
    <n v="0"/>
    <n v="0.197368421052632"/>
    <n v="0.9375"/>
    <n v="0.1"/>
    <n v="0"/>
    <n v="0.12368421052631579"/>
    <n v="0"/>
  </r>
  <r>
    <n v="186203"/>
    <x v="3"/>
    <x v="8"/>
    <n v="1"/>
    <x v="3"/>
    <s v="Eagle Rock"/>
    <n v="0"/>
    <n v="0"/>
    <n v="16.585999999999999"/>
    <n v="12.840259550000001"/>
    <n v="15.840259550000001"/>
    <n v="0.74611343224416504"/>
    <n v="16.5863729822442"/>
    <n v="2.6315789473684199E-2"/>
    <n v="0"/>
    <n v="0.197368421052632"/>
    <n v="0.9375"/>
    <n v="0.1"/>
    <n v="0"/>
    <n v="0.12368421052631579"/>
    <n v="0"/>
  </r>
  <r>
    <n v="980010"/>
    <x v="3"/>
    <x v="8"/>
    <n v="1"/>
    <x v="3"/>
    <s v="Echo Park"/>
    <n v="0"/>
    <n v="0"/>
    <n v="1"/>
    <n v="0"/>
    <n v="1"/>
    <n v="0"/>
    <n v="1"/>
    <n v="2.6315789473684199E-2"/>
    <n v="0"/>
    <n v="0.197368421052632"/>
    <n v="0.9375"/>
    <n v="0.1"/>
    <n v="0"/>
    <n v="0.12368421052631579"/>
    <n v="0"/>
  </r>
  <r>
    <n v="199202"/>
    <x v="3"/>
    <x v="8"/>
    <n v="1"/>
    <x v="3"/>
    <s v="Lincoln Heights"/>
    <n v="0"/>
    <n v="0"/>
    <n v="1"/>
    <n v="0"/>
    <n v="1"/>
    <n v="0"/>
    <n v="1"/>
    <n v="2.6315789473684199E-2"/>
    <n v="0"/>
    <n v="0.197368421052632"/>
    <n v="0.9375"/>
    <n v="0.1"/>
    <n v="0"/>
    <n v="0.12368421052631579"/>
    <n v="0"/>
  </r>
  <r>
    <n v="197700"/>
    <x v="3"/>
    <x v="8"/>
    <n v="1"/>
    <x v="3"/>
    <s v="Chinatown"/>
    <n v="0"/>
    <n v="0"/>
    <n v="2"/>
    <n v="0"/>
    <n v="2"/>
    <n v="0"/>
    <n v="2"/>
    <n v="2.6315789473684199E-2"/>
    <n v="0"/>
    <n v="0.197368421052632"/>
    <n v="0.9375"/>
    <n v="0.1"/>
    <n v="0"/>
    <n v="0.12368421052631579"/>
    <n v="0"/>
  </r>
  <r>
    <n v="199300"/>
    <x v="3"/>
    <x v="8"/>
    <n v="1"/>
    <x v="3"/>
    <s v="Eagle Rock"/>
    <n v="0"/>
    <n v="0"/>
    <n v="8.2110000000000003"/>
    <n v="7.8559789200000001"/>
    <n v="7.8559789200000001"/>
    <n v="0.35414312622980199"/>
    <n v="8.2101220462298006"/>
    <n v="2.6315789473684199E-2"/>
    <n v="0"/>
    <n v="0.197368421052632"/>
    <n v="0.9375"/>
    <n v="0.1"/>
    <n v="0"/>
    <n v="0.12368421052631579"/>
    <n v="0"/>
  </r>
  <r>
    <n v="208902"/>
    <x v="3"/>
    <x v="8"/>
    <n v="1"/>
    <x v="3"/>
    <s v="Westlake"/>
    <n v="0"/>
    <n v="0"/>
    <n v="14.028"/>
    <n v="6.7585002999999997"/>
    <n v="13.7585003"/>
    <n v="0.26855477026930002"/>
    <n v="14.0270550702693"/>
    <n v="2.6315789473684199E-2"/>
    <n v="0"/>
    <n v="0.197368421052632"/>
    <n v="0.9375"/>
    <n v="0.1"/>
    <n v="0"/>
    <n v="0.12368421052631579"/>
    <n v="0"/>
  </r>
  <r>
    <n v="199700"/>
    <x v="3"/>
    <x v="8"/>
    <n v="1"/>
    <x v="3"/>
    <s v="Lincoln Heights"/>
    <n v="0"/>
    <n v="0"/>
    <n v="18.132999999999999"/>
    <n v="14.56263867"/>
    <n v="17.562638669999998"/>
    <n v="0.56920431797127502"/>
    <n v="18.1318429879713"/>
    <n v="2.6315789473684199E-2"/>
    <n v="0"/>
    <n v="0.197368421052632"/>
    <n v="0.9375"/>
    <n v="0.1"/>
    <n v="0"/>
    <n v="0.12368421052631579"/>
    <n v="0"/>
  </r>
  <r>
    <n v="186302"/>
    <x v="3"/>
    <x v="8"/>
    <n v="1"/>
    <x v="3"/>
    <s v="Glassell Park"/>
    <n v="0"/>
    <n v="0"/>
    <n v="16.759"/>
    <n v="15.869597280000001"/>
    <n v="15.869597280000001"/>
    <n v="0.88938081105924605"/>
    <n v="16.758978091059198"/>
    <n v="2.6315789473684199E-2"/>
    <n v="0"/>
    <n v="0.197368421052632"/>
    <n v="0.9375"/>
    <n v="0.1"/>
    <n v="0"/>
    <n v="0.12368421052631579"/>
    <n v="0"/>
  </r>
  <r>
    <n v="208802"/>
    <x v="3"/>
    <x v="8"/>
    <n v="1"/>
    <x v="3"/>
    <s v="Westlake"/>
    <n v="0"/>
    <n v="0"/>
    <n v="12.288"/>
    <n v="9.1290636099999993"/>
    <n v="12.129063609999999"/>
    <n v="0.15835340829443401"/>
    <n v="12.2874170182944"/>
    <n v="2.6315789473684199E-2"/>
    <n v="0"/>
    <n v="0.197368421052632"/>
    <n v="0.9375"/>
    <n v="0.1"/>
    <n v="0"/>
    <n v="0.12368421052631579"/>
    <n v="0"/>
  </r>
  <r>
    <n v="192420"/>
    <x v="3"/>
    <x v="3"/>
    <n v="2"/>
    <x v="3"/>
    <s v="Miracle Mile"/>
    <n v="0"/>
    <n v="0"/>
    <n v="1"/>
    <n v="0"/>
    <n v="1"/>
    <n v="0"/>
    <n v="1"/>
    <n v="2.6315789473684199E-2"/>
    <n v="0"/>
    <n v="0.17105263157894701"/>
    <n v="0.59090909090909105"/>
    <n v="9.3023255813953501E-2"/>
    <n v="0"/>
    <n v="0.11689106487148103"/>
    <n v="0"/>
  </r>
  <r>
    <n v="194200"/>
    <x v="3"/>
    <x v="3"/>
    <n v="3"/>
    <x v="3"/>
    <s v="Bel Air-Beverly Crest"/>
    <n v="0"/>
    <n v="0"/>
    <n v="0"/>
    <n v="0"/>
    <n v="0"/>
    <n v="0"/>
    <n v="0"/>
    <n v="2.6315789473684199E-2"/>
    <n v="0"/>
    <n v="0.17105263157894701"/>
    <n v="0.59090909090909105"/>
    <n v="9.3023255813953501E-2"/>
    <n v="0"/>
    <n v="0.11689106487148103"/>
    <n v="0"/>
  </r>
  <r>
    <n v="216100"/>
    <x v="3"/>
    <x v="3"/>
    <n v="2"/>
    <x v="3"/>
    <s v="Miracle Mile"/>
    <n v="0"/>
    <n v="0"/>
    <n v="3.9260000000000002"/>
    <n v="1.90487994"/>
    <n v="3.9048799399999998"/>
    <n v="2.0625322082585301E-2"/>
    <n v="3.9255052620825901"/>
    <n v="2.6315789473684199E-2"/>
    <n v="0"/>
    <n v="0.17105263157894701"/>
    <n v="0.59090909090909105"/>
    <n v="9.3023255813953501E-2"/>
    <n v="0"/>
    <n v="0.11689106487148103"/>
    <n v="0"/>
  </r>
  <r>
    <n v="194300"/>
    <x v="3"/>
    <x v="3"/>
    <n v="3"/>
    <x v="3"/>
    <s v="Bel Air-Beverly Crest"/>
    <n v="0"/>
    <n v="0"/>
    <n v="0"/>
    <n v="0"/>
    <n v="0"/>
    <n v="0"/>
    <n v="0"/>
    <n v="2.6315789473684199E-2"/>
    <n v="0"/>
    <n v="0.17105263157894701"/>
    <n v="0.59090909090909105"/>
    <n v="9.3023255813953501E-2"/>
    <n v="0"/>
    <n v="0.11689106487148103"/>
    <n v="0"/>
  </r>
  <r>
    <n v="195202"/>
    <x v="3"/>
    <x v="3"/>
    <n v="3"/>
    <x v="3"/>
    <s v="Los Feliz"/>
    <n v="0"/>
    <n v="0"/>
    <n v="3.6859999999999999"/>
    <n v="3.4228962300000001"/>
    <n v="3.4228962300000001"/>
    <n v="0.26262460752244199"/>
    <n v="3.6855208375224402"/>
    <n v="2.6315789473684199E-2"/>
    <n v="0"/>
    <n v="0.17105263157894701"/>
    <n v="0.59090909090909105"/>
    <n v="9.3023255813953501E-2"/>
    <n v="0"/>
    <n v="0.11689106487148103"/>
    <n v="0"/>
  </r>
  <r>
    <n v="195201"/>
    <x v="3"/>
    <x v="3"/>
    <n v="3"/>
    <x v="3"/>
    <s v="Los Feliz"/>
    <n v="0"/>
    <n v="0"/>
    <n v="0"/>
    <n v="0"/>
    <n v="0"/>
    <n v="0"/>
    <n v="0"/>
    <n v="2.6315789473684199E-2"/>
    <n v="0"/>
    <n v="0.17105263157894701"/>
    <n v="0.59090909090909105"/>
    <n v="9.3023255813953501E-2"/>
    <n v="0"/>
    <n v="0.11689106487148103"/>
    <n v="0"/>
  </r>
  <r>
    <n v="194102"/>
    <x v="3"/>
    <x v="3"/>
    <n v="3"/>
    <x v="3"/>
    <s v="Hollywood Hills West"/>
    <n v="0"/>
    <n v="0"/>
    <n v="15.278"/>
    <n v="14.0011907"/>
    <n v="15.0011907"/>
    <n v="0.277189391777379"/>
    <n v="15.2783800917774"/>
    <n v="2.6315789473684199E-2"/>
    <n v="0"/>
    <n v="0.17105263157894701"/>
    <n v="0.59090909090909105"/>
    <n v="9.3023255813953501E-2"/>
    <n v="0"/>
    <n v="0.11689106487148103"/>
    <n v="0"/>
  </r>
  <r>
    <n v="211703"/>
    <x v="3"/>
    <x v="3"/>
    <n v="2"/>
    <x v="3"/>
    <s v="Miracle Mile"/>
    <n v="0"/>
    <n v="0"/>
    <n v="7.7770000000000001"/>
    <n v="5.7146398200000004"/>
    <n v="7.7146398200000004"/>
    <n v="6.18759662477558E-2"/>
    <n v="7.7765157862477601"/>
    <n v="2.6315789473684199E-2"/>
    <n v="0"/>
    <n v="0.17105263157894701"/>
    <n v="0.59090909090909105"/>
    <n v="9.3023255813953501E-2"/>
    <n v="0"/>
    <n v="0.11689106487148103"/>
    <n v="0"/>
  </r>
  <r>
    <n v="192300"/>
    <x v="3"/>
    <x v="3"/>
    <n v="3"/>
    <x v="3"/>
    <s v="Miracle Mile"/>
    <n v="0"/>
    <n v="0"/>
    <n v="5"/>
    <n v="0"/>
    <n v="5"/>
    <n v="0"/>
    <n v="5"/>
    <n v="2.6315789473684199E-2"/>
    <n v="0"/>
    <n v="0.17105263157894701"/>
    <n v="0.59090909090909105"/>
    <n v="9.3023255813953501E-2"/>
    <n v="0"/>
    <n v="0.11689106487148103"/>
    <n v="0"/>
  </r>
  <r>
    <n v="188202"/>
    <x v="3"/>
    <x v="3"/>
    <n v="3"/>
    <x v="3"/>
    <s v="Los Feliz"/>
    <n v="0"/>
    <n v="0"/>
    <n v="3"/>
    <n v="0"/>
    <n v="3"/>
    <n v="0"/>
    <n v="3"/>
    <n v="2.6315789473684199E-2"/>
    <n v="0"/>
    <n v="0.17105263157894701"/>
    <n v="0.59090909090909105"/>
    <n v="9.3023255813953501E-2"/>
    <n v="0"/>
    <n v="0.11689106487148103"/>
    <n v="0"/>
  </r>
  <r>
    <n v="188201"/>
    <x v="3"/>
    <x v="3"/>
    <n v="3"/>
    <x v="3"/>
    <s v="Los Feliz"/>
    <n v="0"/>
    <n v="0"/>
    <n v="5.399"/>
    <n v="3.1723287400000002"/>
    <n v="5.1723287400000002"/>
    <n v="0.22643751642728899"/>
    <n v="5.3987662564272902"/>
    <n v="2.6315789473684199E-2"/>
    <n v="0"/>
    <n v="0.17105263157894701"/>
    <n v="0.59090909090909105"/>
    <n v="9.3023255813953501E-2"/>
    <n v="0"/>
    <n v="0.11689106487148103"/>
    <n v="0"/>
  </r>
  <r>
    <n v="189202"/>
    <x v="3"/>
    <x v="3"/>
    <n v="3"/>
    <x v="3"/>
    <s v="Los Feliz"/>
    <n v="0"/>
    <n v="0"/>
    <n v="3.6160000000000001"/>
    <n v="3.4662643399999999"/>
    <n v="3.4662643399999999"/>
    <n v="0.14997102057450601"/>
    <n v="3.6162353605745099"/>
    <n v="2.6315789473684199E-2"/>
    <n v="0"/>
    <n v="0.17105263157894701"/>
    <n v="0.59090909090909105"/>
    <n v="9.3023255813953501E-2"/>
    <n v="0"/>
    <n v="0.11689106487148103"/>
    <n v="0"/>
  </r>
  <r>
    <n v="189201"/>
    <x v="3"/>
    <x v="3"/>
    <n v="3"/>
    <x v="3"/>
    <s v="Los Feliz"/>
    <n v="0"/>
    <n v="0"/>
    <n v="19.295999999999999"/>
    <n v="12.897735989999999"/>
    <n v="18.897735990000001"/>
    <n v="0.39800509849192101"/>
    <n v="19.295741088491901"/>
    <n v="2.6315789473684199E-2"/>
    <n v="0"/>
    <n v="0.17105263157894701"/>
    <n v="0.59090909090909105"/>
    <n v="9.3023255813953501E-2"/>
    <n v="0"/>
    <n v="0.11689106487148103"/>
    <n v="0"/>
  </r>
  <r>
    <n v="189702"/>
    <x v="3"/>
    <x v="3"/>
    <n v="3"/>
    <x v="3"/>
    <s v="Hollywood Hills West"/>
    <n v="0"/>
    <n v="1"/>
    <n v="12.108000000000001"/>
    <n v="5.0438748599999998"/>
    <n v="12.043874860000001"/>
    <n v="6.4475795278276501E-2"/>
    <n v="12.108350655278301"/>
    <n v="2.6315789473684199E-2"/>
    <n v="0"/>
    <n v="0.17105263157894701"/>
    <n v="0.59090909090909105"/>
    <n v="9.3023255813953501E-2"/>
    <n v="10.75"/>
    <n v="0.11689106487148103"/>
    <n v="8.5549738219895293"/>
  </r>
  <r>
    <n v="189902"/>
    <x v="3"/>
    <x v="3"/>
    <n v="3"/>
    <x v="3"/>
    <s v="Hollywood Hills West"/>
    <n v="0"/>
    <n v="1"/>
    <n v="9.734"/>
    <n v="3.63801211"/>
    <n v="9.63801211"/>
    <n v="9.5610832369838403E-2"/>
    <n v="9.7336229423698395"/>
    <n v="2.6315789473684199E-2"/>
    <n v="0"/>
    <n v="0.17105263157894701"/>
    <n v="0.59090909090909105"/>
    <n v="9.3023255813953501E-2"/>
    <n v="10.75"/>
    <n v="0.11689106487148103"/>
    <n v="8.5549738219895293"/>
  </r>
  <r>
    <n v="216200"/>
    <x v="3"/>
    <x v="3"/>
    <n v="2"/>
    <x v="3"/>
    <s v="Mid-City West"/>
    <n v="0"/>
    <n v="0"/>
    <n v="3.0950000000000002"/>
    <n v="1.9836996600000001"/>
    <n v="2.9836996600000001"/>
    <n v="0.11117260138240601"/>
    <n v="3.09487226138241"/>
    <n v="2.6315789473684199E-2"/>
    <n v="0"/>
    <n v="0.17105263157894701"/>
    <n v="0.59090909090909105"/>
    <n v="9.3023255813953501E-2"/>
    <n v="0"/>
    <n v="0.11689106487148103"/>
    <n v="0"/>
  </r>
  <r>
    <n v="212702"/>
    <x v="3"/>
    <x v="3"/>
    <n v="2"/>
    <x v="3"/>
    <s v="Miracle Mile"/>
    <n v="0"/>
    <n v="0"/>
    <n v="3.903"/>
    <n v="3.7168318299999998"/>
    <n v="3.7168318299999998"/>
    <n v="0.18615811166965901"/>
    <n v="3.9029899416696598"/>
    <n v="2.6315789473684199E-2"/>
    <n v="0"/>
    <n v="0.17105263157894701"/>
    <n v="0.59090909090909105"/>
    <n v="9.3023255813953501E-2"/>
    <n v="0"/>
    <n v="0.11689106487148103"/>
    <n v="0"/>
  </r>
  <r>
    <n v="211500"/>
    <x v="3"/>
    <x v="3"/>
    <n v="3"/>
    <x v="3"/>
    <s v="Miracle Mile"/>
    <n v="0"/>
    <n v="0"/>
    <n v="9.48"/>
    <n v="7.39593144"/>
    <n v="9.39593144"/>
    <n v="8.3367898007181293E-2"/>
    <n v="9.4792993380071806"/>
    <n v="2.6315789473684199E-2"/>
    <n v="0"/>
    <n v="0.17105263157894701"/>
    <n v="0.59090909090909105"/>
    <n v="9.3023255813953501E-2"/>
    <n v="0"/>
    <n v="0.11689106487148103"/>
    <n v="0"/>
  </r>
  <r>
    <n v="212620"/>
    <x v="3"/>
    <x v="3"/>
    <n v="2"/>
    <x v="3"/>
    <s v="Miracle Mile"/>
    <n v="0"/>
    <n v="0"/>
    <n v="2.8079999999999998"/>
    <n v="1.73313217"/>
    <n v="2.7331321700000002"/>
    <n v="7.4985510287253102E-2"/>
    <n v="2.8081176802872498"/>
    <n v="2.6315789473684199E-2"/>
    <n v="0"/>
    <n v="0.17105263157894701"/>
    <n v="0.59090909090909105"/>
    <n v="9.3023255813953501E-2"/>
    <n v="0"/>
    <n v="0.11689106487148103"/>
    <n v="0"/>
  </r>
  <r>
    <n v="214503"/>
    <x v="3"/>
    <x v="3"/>
    <n v="3"/>
    <x v="3"/>
    <s v="Mid-City West"/>
    <n v="0"/>
    <n v="0"/>
    <n v="2"/>
    <n v="0"/>
    <n v="2"/>
    <n v="0"/>
    <n v="2"/>
    <n v="2.6315789473684199E-2"/>
    <n v="0"/>
    <n v="0.17105263157894701"/>
    <n v="0.59090909090909105"/>
    <n v="9.3023255813953501E-2"/>
    <n v="0"/>
    <n v="0.11689106487148103"/>
    <n v="0"/>
  </r>
  <r>
    <n v="189903"/>
    <x v="3"/>
    <x v="3"/>
    <n v="3"/>
    <x v="3"/>
    <s v="Hollywood Hills West"/>
    <n v="0"/>
    <n v="1"/>
    <n v="3"/>
    <n v="0"/>
    <n v="3"/>
    <n v="0"/>
    <n v="3"/>
    <n v="2.6315789473684199E-2"/>
    <n v="0"/>
    <n v="0.17105263157894701"/>
    <n v="0.59090909090909105"/>
    <n v="9.3023255813953501E-2"/>
    <n v="10.75"/>
    <n v="0.11689106487148103"/>
    <n v="8.5549738219895293"/>
  </r>
  <r>
    <n v="192410"/>
    <x v="3"/>
    <x v="3"/>
    <n v="3"/>
    <x v="3"/>
    <s v="Miracle Mile"/>
    <n v="0"/>
    <n v="0"/>
    <n v="4"/>
    <n v="0"/>
    <n v="4"/>
    <n v="0"/>
    <n v="4"/>
    <n v="2.6315789473684199E-2"/>
    <n v="0"/>
    <n v="0.17105263157894701"/>
    <n v="0.59090909090909105"/>
    <n v="9.3023255813953501E-2"/>
    <n v="0"/>
    <n v="0.11689106487148103"/>
    <n v="0"/>
  </r>
  <r>
    <n v="189102"/>
    <x v="3"/>
    <x v="3"/>
    <n v="3"/>
    <x v="3"/>
    <s v="Los Feliz"/>
    <n v="0"/>
    <n v="0"/>
    <n v="5"/>
    <n v="0"/>
    <n v="5"/>
    <n v="0"/>
    <n v="5"/>
    <n v="2.6315789473684199E-2"/>
    <n v="0"/>
    <n v="0.17105263157894701"/>
    <n v="0.59090909090909105"/>
    <n v="9.3023255813953501E-2"/>
    <n v="0"/>
    <n v="0.11689106487148103"/>
    <n v="0"/>
  </r>
  <r>
    <n v="212701"/>
    <x v="3"/>
    <x v="3"/>
    <n v="2"/>
    <x v="3"/>
    <s v="Miracle Mile"/>
    <n v="0"/>
    <n v="0"/>
    <n v="3.903"/>
    <n v="3.7168318299999998"/>
    <n v="3.7168318299999998"/>
    <n v="0.18615811166965901"/>
    <n v="3.9029899416696598"/>
    <n v="2.6315789473684199E-2"/>
    <n v="0"/>
    <n v="0.17105263157894701"/>
    <n v="0.59090909090909105"/>
    <n v="9.3023255813953501E-2"/>
    <n v="0"/>
    <n v="0.11689106487148103"/>
    <n v="0"/>
  </r>
  <r>
    <n v="211701"/>
    <x v="3"/>
    <x v="3"/>
    <n v="3"/>
    <x v="3"/>
    <s v="Miracle Mile"/>
    <n v="0"/>
    <n v="0"/>
    <n v="2.9260000000000002"/>
    <n v="1.90487994"/>
    <n v="2.9048799399999998"/>
    <n v="2.0625322082585301E-2"/>
    <n v="2.9255052620825901"/>
    <n v="2.6315789473684199E-2"/>
    <n v="0"/>
    <n v="0.17105263157894701"/>
    <n v="0.59090909090909105"/>
    <n v="9.3023255813953501E-2"/>
    <n v="0"/>
    <n v="0.11689106487148103"/>
    <n v="0"/>
  </r>
  <r>
    <n v="214502"/>
    <x v="3"/>
    <x v="3"/>
    <n v="3"/>
    <x v="3"/>
    <s v="Mid-City West"/>
    <n v="0"/>
    <n v="0"/>
    <n v="2.9260000000000002"/>
    <n v="1.90487994"/>
    <n v="2.9048799399999998"/>
    <n v="2.0625322082585301E-2"/>
    <n v="2.9255052620825901"/>
    <n v="2.6315789473684199E-2"/>
    <n v="0"/>
    <n v="0.17105263157894701"/>
    <n v="0.59090909090909105"/>
    <n v="9.3023255813953501E-2"/>
    <n v="0"/>
    <n v="0.11689106487148103"/>
    <n v="0"/>
  </r>
  <r>
    <n v="214400"/>
    <x v="3"/>
    <x v="7"/>
    <n v="3"/>
    <x v="3"/>
    <s v="Mid-City West"/>
    <n v="0"/>
    <n v="0"/>
    <n v="14.552"/>
    <n v="11.191582990000001"/>
    <n v="14.191582990000001"/>
    <n v="0.36007328897666102"/>
    <n v="14.551656278976701"/>
    <n v="2.6315789473684199E-2"/>
    <n v="0"/>
    <n v="6.5789473684210495E-2"/>
    <n v="0.19607843137254899"/>
    <n v="5.8823529411764698E-2"/>
    <n v="0"/>
    <n v="8.3591331269349825E-2"/>
    <n v="0"/>
  </r>
  <r>
    <n v="214600"/>
    <x v="3"/>
    <x v="7"/>
    <n v="3"/>
    <x v="3"/>
    <s v="Mid-City West"/>
    <n v="0"/>
    <n v="0"/>
    <n v="8"/>
    <n v="0"/>
    <n v="8"/>
    <n v="0"/>
    <n v="8"/>
    <n v="2.6315789473684199E-2"/>
    <n v="0"/>
    <n v="6.5789473684210495E-2"/>
    <n v="0.19607843137254899"/>
    <n v="5.8823529411764698E-2"/>
    <n v="0"/>
    <n v="8.3591331269349825E-2"/>
    <n v="0"/>
  </r>
  <r>
    <n v="214901"/>
    <x v="3"/>
    <x v="7"/>
    <n v="3"/>
    <x v="3"/>
    <s v="Mid-City West"/>
    <n v="0"/>
    <n v="0"/>
    <n v="0"/>
    <n v="0"/>
    <n v="0"/>
    <n v="0"/>
    <n v="0"/>
    <n v="2.6315789473684199E-2"/>
    <n v="0"/>
    <n v="6.5789473684210495E-2"/>
    <n v="0.19607843137254899"/>
    <n v="5.8823529411764698E-2"/>
    <n v="0"/>
    <n v="8.3591331269349825E-2"/>
    <n v="0"/>
  </r>
  <r>
    <n v="192001"/>
    <x v="3"/>
    <x v="7"/>
    <n v="3"/>
    <x v="3"/>
    <s v="Mid-City West"/>
    <n v="0"/>
    <n v="0"/>
    <n v="18.919"/>
    <n v="11.769041339999999"/>
    <n v="18.769041340000001"/>
    <n v="0.15044352231597799"/>
    <n v="18.919484862316001"/>
    <n v="2.6315789473684199E-2"/>
    <n v="0"/>
    <n v="6.5789473684210495E-2"/>
    <n v="0.19607843137254899"/>
    <n v="5.8823529411764698E-2"/>
    <n v="0"/>
    <n v="8.3591331269349825E-2"/>
    <n v="0"/>
  </r>
  <r>
    <n v="194401"/>
    <x v="3"/>
    <x v="7"/>
    <n v="3"/>
    <x v="3"/>
    <s v="Mid-City West"/>
    <n v="0"/>
    <n v="0"/>
    <n v="6.9260000000000002"/>
    <n v="1.90487994"/>
    <n v="6.9048799399999998"/>
    <n v="2.0625322082585301E-2"/>
    <n v="6.9255052620825897"/>
    <n v="2.6315789473684199E-2"/>
    <n v="0"/>
    <n v="6.5789473684210495E-2"/>
    <n v="0.19607843137254899"/>
    <n v="5.8823529411764698E-2"/>
    <n v="0"/>
    <n v="8.3591331269349825E-2"/>
    <n v="0"/>
  </r>
  <r>
    <n v="194402"/>
    <x v="3"/>
    <x v="7"/>
    <n v="3"/>
    <x v="3"/>
    <s v="Mid-City West"/>
    <n v="0"/>
    <n v="0"/>
    <n v="9.8510000000000009"/>
    <n v="3.8097598800000001"/>
    <n v="9.8097598799999997"/>
    <n v="4.1250644165170602E-2"/>
    <n v="9.8510105241651704"/>
    <n v="2.6315789473684199E-2"/>
    <n v="0"/>
    <n v="6.5789473684210495E-2"/>
    <n v="0.19607843137254899"/>
    <n v="5.8823529411764698E-2"/>
    <n v="0"/>
    <n v="8.3591331269349825E-2"/>
    <n v="0"/>
  </r>
  <r>
    <n v="216800"/>
    <x v="3"/>
    <x v="7"/>
    <n v="2"/>
    <x v="3"/>
    <s v="Miracle Mile"/>
    <n v="0"/>
    <n v="1"/>
    <n v="10.516999999999999"/>
    <n v="3.3440765099999998"/>
    <n v="10.344076510000001"/>
    <n v="0.17207732822262101"/>
    <n v="10.5161538382226"/>
    <n v="2.6315789473684199E-2"/>
    <n v="0"/>
    <n v="6.5789473684210495E-2"/>
    <n v="0.19607843137254899"/>
    <n v="5.8823529411764698E-2"/>
    <n v="17"/>
    <n v="8.3591331269349825E-2"/>
    <n v="11.962962962962965"/>
  </r>
  <r>
    <n v="214800"/>
    <x v="3"/>
    <x v="7"/>
    <n v="3"/>
    <x v="3"/>
    <s v="Mid-City West"/>
    <n v="0"/>
    <n v="0"/>
    <n v="6.9260000000000002"/>
    <n v="1.90487994"/>
    <n v="6.9048799399999998"/>
    <n v="2.0625322082585301E-2"/>
    <n v="6.9255052620825897"/>
    <n v="2.6315789473684199E-2"/>
    <n v="0"/>
    <n v="6.5789473684210495E-2"/>
    <n v="0.19607843137254899"/>
    <n v="5.8823529411764698E-2"/>
    <n v="0"/>
    <n v="8.3591331269349825E-2"/>
    <n v="0"/>
  </r>
  <r>
    <n v="214100"/>
    <x v="3"/>
    <x v="7"/>
    <n v="3"/>
    <x v="3"/>
    <s v="Miracle Mile"/>
    <n v="0"/>
    <n v="0"/>
    <n v="7.734"/>
    <n v="3.63801211"/>
    <n v="7.63801211"/>
    <n v="9.5610832369838403E-2"/>
    <n v="7.7336229423698404"/>
    <n v="2.6315789473684199E-2"/>
    <n v="0"/>
    <n v="6.5789473684210495E-2"/>
    <n v="0.19607843137254899"/>
    <n v="5.8823529411764698E-2"/>
    <n v="0"/>
    <n v="8.3591331269349825E-2"/>
    <n v="0"/>
  </r>
  <r>
    <n v="214000"/>
    <x v="3"/>
    <x v="7"/>
    <n v="3"/>
    <x v="3"/>
    <s v="Mid-City West"/>
    <n v="0"/>
    <n v="0"/>
    <n v="11.776999999999999"/>
    <n v="5.7146398200000004"/>
    <n v="11.71463982"/>
    <n v="6.18759662477558E-2"/>
    <n v="11.776515786247799"/>
    <n v="2.6315789473684199E-2"/>
    <n v="0"/>
    <n v="6.5789473684210495E-2"/>
    <n v="0.19607843137254899"/>
    <n v="5.8823529411764698E-2"/>
    <n v="0"/>
    <n v="8.3591331269349825E-2"/>
    <n v="0"/>
  </r>
  <r>
    <n v="211410"/>
    <x v="3"/>
    <x v="10"/>
    <n v="2"/>
    <x v="3"/>
    <s v="Wilshire Center-Koreatown"/>
    <n v="0"/>
    <n v="0"/>
    <n v="8.2569999999999997"/>
    <n v="7.1723431199999998"/>
    <n v="8.1723431200000007"/>
    <n v="8.4234507684021506E-2"/>
    <n v="8.2565776276840204"/>
    <n v="2.6315789473684199E-2"/>
    <n v="0"/>
    <n v="0.17105263157894701"/>
    <n v="0.57777777777777795"/>
    <n v="9.0909090909090898E-2"/>
    <n v="0"/>
    <n v="0.11483253588516744"/>
    <n v="0"/>
  </r>
  <r>
    <n v="211420"/>
    <x v="3"/>
    <x v="10"/>
    <n v="2"/>
    <x v="3"/>
    <s v="Wilshire Center-Koreatown"/>
    <n v="1"/>
    <n v="1"/>
    <n v="1.9259999999999999"/>
    <n v="1.90487994"/>
    <n v="1.90487994"/>
    <n v="2.0625322082585301E-2"/>
    <n v="1.9255052620825901"/>
    <n v="2.6315789473684199E-2"/>
    <n v="38"/>
    <n v="0.17105263157894701"/>
    <n v="0.57777777777777795"/>
    <n v="0"/>
    <n v="0"/>
    <n v="2.6315789473684199E-2"/>
    <n v="38.000000000000014"/>
  </r>
  <r>
    <n v="211704"/>
    <x v="3"/>
    <x v="10"/>
    <n v="2"/>
    <x v="3"/>
    <s v="Miracle Mile"/>
    <n v="0"/>
    <n v="0"/>
    <n v="8.6289999999999996"/>
    <n v="3.5861715599999999"/>
    <n v="8.5861715600000004"/>
    <n v="4.2117253842010802E-2"/>
    <n v="8.6282888138420102"/>
    <n v="2.6315789473684199E-2"/>
    <n v="0"/>
    <n v="0.17105263157894701"/>
    <n v="0.57777777777777795"/>
    <n v="9.0909090909090898E-2"/>
    <n v="0"/>
    <n v="0.11483253588516744"/>
    <n v="0"/>
  </r>
  <r>
    <n v="211804"/>
    <x v="3"/>
    <x v="10"/>
    <n v="2"/>
    <x v="3"/>
    <s v="Wilshire Center-Koreatown"/>
    <n v="0"/>
    <n v="0"/>
    <n v="13.145"/>
    <n v="6.9302480700000002"/>
    <n v="12.930248069999999"/>
    <n v="0.21419458206463199"/>
    <n v="13.144442652064599"/>
    <n v="2.6315789473684199E-2"/>
    <n v="0"/>
    <n v="0.17105263157894701"/>
    <n v="0.57777777777777795"/>
    <n v="9.0909090909090898E-2"/>
    <n v="0"/>
    <n v="0.11483253588516744"/>
    <n v="0"/>
  </r>
  <r>
    <n v="211922"/>
    <x v="3"/>
    <x v="10"/>
    <n v="2"/>
    <x v="3"/>
    <s v="Wilshire Center-Koreatown"/>
    <n v="0"/>
    <n v="0"/>
    <n v="3.5110000000000001"/>
    <n v="3.4144237899999998"/>
    <n v="3.4144237899999998"/>
    <n v="9.6477442046678602E-2"/>
    <n v="3.5109012320466801"/>
    <n v="2.6315789473684199E-2"/>
    <n v="0"/>
    <n v="0.17105263157894701"/>
    <n v="0.57777777777777795"/>
    <n v="9.0909090909090898E-2"/>
    <n v="0"/>
    <n v="0.11483253588516744"/>
    <n v="0"/>
  </r>
  <r>
    <n v="212102"/>
    <x v="3"/>
    <x v="10"/>
    <n v="2"/>
    <x v="3"/>
    <s v="Wilshire Center-Koreatown"/>
    <n v="0"/>
    <n v="0"/>
    <n v="6.9969999999999999"/>
    <n v="4.8017798100000002"/>
    <n v="6.8017798100000002"/>
    <n v="0.19443586965888701"/>
    <n v="6.9962156796588904"/>
    <n v="2.6315789473684199E-2"/>
    <n v="0"/>
    <n v="0.17105263157894701"/>
    <n v="0.57777777777777795"/>
    <n v="9.0909090909090898E-2"/>
    <n v="0"/>
    <n v="0.11483253588516744"/>
    <n v="0"/>
  </r>
  <r>
    <n v="212303"/>
    <x v="3"/>
    <x v="10"/>
    <n v="2"/>
    <x v="3"/>
    <s v="Wilshire Center-Koreatown"/>
    <n v="0"/>
    <n v="0"/>
    <n v="7"/>
    <n v="0"/>
    <n v="7"/>
    <n v="0"/>
    <n v="7"/>
    <n v="2.6315789473684199E-2"/>
    <n v="0"/>
    <n v="0.17105263157894701"/>
    <n v="0.57777777777777795"/>
    <n v="9.0909090909090898E-2"/>
    <n v="0"/>
    <n v="0.11483253588516744"/>
    <n v="0"/>
  </r>
  <r>
    <n v="212304"/>
    <x v="3"/>
    <x v="10"/>
    <n v="2"/>
    <x v="3"/>
    <s v="Wilshire Center-Koreatown"/>
    <n v="0"/>
    <n v="0"/>
    <n v="4.5110000000000001"/>
    <n v="3.4144237899999998"/>
    <n v="4.4144237899999998"/>
    <n v="9.6477442046678602E-2"/>
    <n v="4.5109012320466801"/>
    <n v="2.6315789473684199E-2"/>
    <n v="0"/>
    <n v="0.17105263157894701"/>
    <n v="0.57777777777777795"/>
    <n v="9.0909090909090898E-2"/>
    <n v="0"/>
    <n v="0.11483253588516744"/>
    <n v="0"/>
  </r>
  <r>
    <n v="212305"/>
    <x v="3"/>
    <x v="10"/>
    <n v="2"/>
    <x v="3"/>
    <s v="Wilshire Center-Koreatown"/>
    <n v="0"/>
    <n v="0"/>
    <n v="13.778"/>
    <n v="11.10712738"/>
    <n v="13.10712738"/>
    <n v="0.67112792195691195"/>
    <n v="13.7782553019569"/>
    <n v="2.6315789473684199E-2"/>
    <n v="0"/>
    <n v="0.17105263157894701"/>
    <n v="0.57777777777777795"/>
    <n v="9.0909090909090898E-2"/>
    <n v="0"/>
    <n v="0.11483253588516744"/>
    <n v="0"/>
  </r>
  <r>
    <n v="212306"/>
    <x v="3"/>
    <x v="10"/>
    <n v="2"/>
    <x v="3"/>
    <s v="Wilshire Center-Koreatown"/>
    <n v="0"/>
    <n v="1"/>
    <n v="12.231999999999999"/>
    <n v="6.9325286799999999"/>
    <n v="11.932528680000001"/>
    <n v="0.29994204114901302"/>
    <n v="12.232470721148999"/>
    <n v="2.6315789473684199E-2"/>
    <n v="0"/>
    <n v="0.17105263157894701"/>
    <n v="0.57777777777777795"/>
    <n v="9.0909090909090898E-2"/>
    <n v="11"/>
    <n v="0.11483253588516744"/>
    <n v="8.7083333333333357"/>
  </r>
  <r>
    <n v="212410"/>
    <x v="3"/>
    <x v="10"/>
    <n v="2"/>
    <x v="3"/>
    <s v="Wilshire Center-Koreatown"/>
    <n v="0"/>
    <n v="0"/>
    <n v="2"/>
    <n v="0"/>
    <n v="2"/>
    <n v="0"/>
    <n v="2"/>
    <n v="2.6315789473684199E-2"/>
    <n v="0"/>
    <n v="0.17105263157894701"/>
    <n v="0.57777777777777795"/>
    <n v="9.0909090909090898E-2"/>
    <n v="0"/>
    <n v="0.11483253588516744"/>
    <n v="0"/>
  </r>
  <r>
    <n v="212420"/>
    <x v="3"/>
    <x v="10"/>
    <n v="2"/>
    <x v="3"/>
    <s v="Wilshire Center-Koreatown"/>
    <n v="0"/>
    <n v="0"/>
    <n v="3.9260000000000002"/>
    <n v="1.90487994"/>
    <n v="3.9048799399999998"/>
    <n v="2.0625322082585301E-2"/>
    <n v="3.9255052620825901"/>
    <n v="2.6315789473684199E-2"/>
    <n v="0"/>
    <n v="0.17105263157894701"/>
    <n v="0.57777777777777795"/>
    <n v="9.0909090909090898E-2"/>
    <n v="0"/>
    <n v="0.11483253588516744"/>
    <n v="0"/>
  </r>
  <r>
    <n v="212900"/>
    <x v="3"/>
    <x v="10"/>
    <n v="2"/>
    <x v="3"/>
    <s v="Miracle Mile"/>
    <n v="0"/>
    <n v="0"/>
    <n v="17.611000000000001"/>
    <n v="16.648241840000001"/>
    <n v="16.648241840000001"/>
    <n v="0.96194810299820499"/>
    <n v="17.610189942998201"/>
    <n v="2.6315789473684199E-2"/>
    <n v="0"/>
    <n v="0.17105263157894701"/>
    <n v="0.57777777777777795"/>
    <n v="9.0909090909090898E-2"/>
    <n v="0"/>
    <n v="0.11483253588516744"/>
    <n v="0"/>
  </r>
  <r>
    <n v="213100"/>
    <x v="3"/>
    <x v="10"/>
    <n v="2"/>
    <x v="3"/>
    <s v="Miracle Mile"/>
    <n v="0"/>
    <n v="0"/>
    <n v="17.052"/>
    <n v="14.72379621"/>
    <n v="16.72379621"/>
    <n v="0.32808314127468602"/>
    <n v="17.0518793512747"/>
    <n v="2.6315789473684199E-2"/>
    <n v="0"/>
    <n v="0.17105263157894701"/>
    <n v="0.57777777777777795"/>
    <n v="9.0909090909090898E-2"/>
    <n v="0"/>
    <n v="0.11483253588516744"/>
    <n v="0"/>
  </r>
  <r>
    <n v="216700"/>
    <x v="3"/>
    <x v="10"/>
    <n v="2"/>
    <x v="3"/>
    <s v="Miracle Mile"/>
    <n v="0"/>
    <n v="0"/>
    <n v="3.6160000000000001"/>
    <n v="3.4662643399999999"/>
    <n v="3.4662643399999999"/>
    <n v="0.14997102057450601"/>
    <n v="3.6162353605745099"/>
    <n v="2.6315789473684199E-2"/>
    <n v="0"/>
    <n v="0.17105263157894701"/>
    <n v="0.57777777777777795"/>
    <n v="9.0909090909090898E-2"/>
    <n v="0"/>
    <n v="0.11483253588516744"/>
    <n v="0"/>
  </r>
  <r>
    <n v="217100"/>
    <x v="3"/>
    <x v="10"/>
    <n v="2"/>
    <x v="3"/>
    <s v="Miracle Mile"/>
    <n v="0"/>
    <n v="0"/>
    <n v="8.2850000000000001"/>
    <n v="5.9510989800000003"/>
    <n v="7.9510989800000003"/>
    <n v="0.33351780414721699"/>
    <n v="8.2846167841472198"/>
    <n v="2.6315789473684199E-2"/>
    <n v="0"/>
    <n v="0.17105263157894701"/>
    <n v="0.57777777777777795"/>
    <n v="9.0909090909090898E-2"/>
    <n v="0"/>
    <n v="0.11483253588516744"/>
    <n v="0"/>
  </r>
  <r>
    <n v="217200"/>
    <x v="3"/>
    <x v="10"/>
    <n v="2"/>
    <x v="3"/>
    <s v="Miracle Mile"/>
    <n v="0"/>
    <n v="0"/>
    <n v="1"/>
    <n v="0"/>
    <n v="1"/>
    <n v="0"/>
    <n v="1"/>
    <n v="2.6315789473684199E-2"/>
    <n v="0"/>
    <n v="0.17105263157894701"/>
    <n v="0.57777777777777795"/>
    <n v="9.0909090909090898E-2"/>
    <n v="0"/>
    <n v="0.11483253588516744"/>
    <n v="0"/>
  </r>
  <r>
    <n v="218210"/>
    <x v="3"/>
    <x v="10"/>
    <n v="2"/>
    <x v="3"/>
    <s v="Mid City"/>
    <n v="0"/>
    <n v="0"/>
    <n v="4.1900000000000004"/>
    <n v="3.9673993200000002"/>
    <n v="3.9673993200000002"/>
    <n v="0.22234520276481101"/>
    <n v="4.1897445227648102"/>
    <n v="2.6315789473684199E-2"/>
    <n v="0"/>
    <n v="0.17105263157894701"/>
    <n v="0.57777777777777795"/>
    <n v="9.0909090909090898E-2"/>
    <n v="0"/>
    <n v="0.11483253588516744"/>
    <n v="0"/>
  </r>
  <r>
    <n v="212800"/>
    <x v="3"/>
    <x v="10"/>
    <n v="2"/>
    <x v="3"/>
    <s v="Miracle Mile"/>
    <n v="0"/>
    <n v="0"/>
    <n v="13.019"/>
    <n v="9.5891110899999994"/>
    <n v="12.589111089999999"/>
    <n v="0.42912863651705602"/>
    <n v="13.0182397265171"/>
    <n v="2.6315789473684199E-2"/>
    <n v="0"/>
    <n v="0.17105263157894701"/>
    <n v="0.57777777777777795"/>
    <n v="9.0909090909090898E-2"/>
    <n v="0"/>
    <n v="0.11483253588516744"/>
    <n v="0"/>
  </r>
  <r>
    <n v="218220"/>
    <x v="3"/>
    <x v="10"/>
    <n v="2"/>
    <x v="3"/>
    <s v="Mid City"/>
    <n v="0"/>
    <n v="0"/>
    <n v="8.9030000000000005"/>
    <n v="3.7168318299999998"/>
    <n v="8.7168318300000003"/>
    <n v="0.18615811166965901"/>
    <n v="8.9029899416696594"/>
    <n v="2.6315789473684199E-2"/>
    <n v="0"/>
    <n v="0.17105263157894701"/>
    <n v="0.57777777777777795"/>
    <n v="9.0909090909090898E-2"/>
    <n v="0"/>
    <n v="0.11483253588516744"/>
    <n v="0"/>
  </r>
  <r>
    <n v="221210"/>
    <x v="3"/>
    <x v="10"/>
    <n v="2"/>
    <x v="3"/>
    <s v="West Adams-Expo Park"/>
    <n v="0"/>
    <n v="0"/>
    <n v="14.260999999999999"/>
    <n v="12.80252733"/>
    <n v="13.80252733"/>
    <n v="0.457165106912029"/>
    <n v="14.259692436911999"/>
    <n v="2.6315789473684199E-2"/>
    <n v="0"/>
    <n v="0.17105263157894701"/>
    <n v="0.57777777777777795"/>
    <n v="9.0909090909090898E-2"/>
    <n v="0"/>
    <n v="0.11483253588516744"/>
    <n v="0"/>
  </r>
  <r>
    <n v="221304"/>
    <x v="3"/>
    <x v="10"/>
    <n v="2"/>
    <x v="3"/>
    <s v="West Adams-Expo Park"/>
    <n v="0"/>
    <n v="0"/>
    <n v="1.591"/>
    <n v="1.43919657"/>
    <n v="1.43919657"/>
    <n v="0.15145200614003601"/>
    <n v="1.59064857614004"/>
    <n v="2.6315789473684199E-2"/>
    <n v="0"/>
    <n v="0.17105263157894701"/>
    <n v="0.57777777777777795"/>
    <n v="9.0909090909090898E-2"/>
    <n v="0"/>
    <n v="0.11483253588516744"/>
    <n v="0"/>
  </r>
  <r>
    <n v="218110"/>
    <x v="3"/>
    <x v="10"/>
    <n v="2"/>
    <x v="3"/>
    <s v="West Adams-Expo Park"/>
    <n v="0"/>
    <n v="0"/>
    <n v="22.89"/>
    <n v="14.028888630000001"/>
    <n v="22.028888630000001"/>
    <n v="0.86137834728904805"/>
    <n v="22.890266977288999"/>
    <n v="2.6315789473684199E-2"/>
    <n v="0"/>
    <n v="0.17105263157894701"/>
    <n v="0.57777777777777795"/>
    <n v="9.0909090909090898E-2"/>
    <n v="0"/>
    <n v="0.11483253588516744"/>
    <n v="0"/>
  </r>
  <r>
    <n v="213202"/>
    <x v="3"/>
    <x v="10"/>
    <n v="2"/>
    <x v="3"/>
    <s v="Miracle Mile"/>
    <n v="0"/>
    <n v="0"/>
    <n v="1"/>
    <n v="0"/>
    <n v="1"/>
    <n v="0"/>
    <n v="1"/>
    <n v="2.6315789473684199E-2"/>
    <n v="0"/>
    <n v="0.17105263157894701"/>
    <n v="0.57777777777777795"/>
    <n v="9.0909090909090898E-2"/>
    <n v="0"/>
    <n v="0.11483253588516744"/>
    <n v="0"/>
  </r>
  <r>
    <n v="211803"/>
    <x v="3"/>
    <x v="10"/>
    <n v="2"/>
    <x v="3"/>
    <s v="Wilshire Center-Koreatown"/>
    <n v="0"/>
    <n v="0"/>
    <n v="6.58"/>
    <n v="6.0507218800000002"/>
    <n v="6.0507218800000002"/>
    <n v="0.52934152870736095"/>
    <n v="6.5800634087073604"/>
    <n v="2.6315789473684199E-2"/>
    <n v="0"/>
    <n v="0.17105263157894701"/>
    <n v="0.57777777777777795"/>
    <n v="9.0909090909090898E-2"/>
    <n v="0"/>
    <n v="0.11483253588516744"/>
    <n v="0"/>
  </r>
  <r>
    <n v="211910"/>
    <x v="3"/>
    <x v="10"/>
    <n v="2"/>
    <x v="3"/>
    <s v="Wilshire Center-Koreatown"/>
    <n v="0"/>
    <n v="0"/>
    <n v="2.7029999999999998"/>
    <n v="1.6812916200000001"/>
    <n v="2.6812916200000001"/>
    <n v="2.14919317594255E-2"/>
    <n v="2.7027835517594299"/>
    <n v="2.6315789473684199E-2"/>
    <n v="0"/>
    <n v="0.17105263157894701"/>
    <n v="0.57777777777777795"/>
    <n v="9.0909090909090898E-2"/>
    <n v="0"/>
    <n v="0.11483253588516744"/>
    <n v="0"/>
  </r>
  <r>
    <n v="208301"/>
    <x v="3"/>
    <x v="11"/>
    <n v="1"/>
    <x v="3"/>
    <s v="Westlake"/>
    <n v="0"/>
    <n v="0"/>
    <n v="2.8079999999999998"/>
    <n v="1.73313217"/>
    <n v="2.7331321700000002"/>
    <n v="7.4985510287253102E-2"/>
    <n v="2.8081176802872498"/>
    <n v="2.6315789473684199E-2"/>
    <n v="0"/>
    <n v="0.144736842105263"/>
    <n v="0.6875"/>
    <n v="9.0909090909090898E-2"/>
    <n v="0"/>
    <n v="0.11483253588516744"/>
    <n v="0"/>
  </r>
  <r>
    <n v="208302"/>
    <x v="3"/>
    <x v="11"/>
    <n v="1"/>
    <x v="3"/>
    <s v="Westlake"/>
    <n v="0"/>
    <n v="0"/>
    <n v="3.6859999999999999"/>
    <n v="3.4228962300000001"/>
    <n v="3.4228962300000001"/>
    <n v="0.26262460752244199"/>
    <n v="3.6855208375224402"/>
    <n v="2.6315789473684199E-2"/>
    <n v="0"/>
    <n v="0.144736842105263"/>
    <n v="0.6875"/>
    <n v="9.0909090909090898E-2"/>
    <n v="0"/>
    <n v="0.11483253588516744"/>
    <n v="0"/>
  </r>
  <r>
    <n v="208502"/>
    <x v="3"/>
    <x v="11"/>
    <n v="1"/>
    <x v="3"/>
    <s v="Echo Park"/>
    <n v="0"/>
    <n v="0"/>
    <n v="19.106999999999999"/>
    <n v="16.103738750000002"/>
    <n v="18.103738750000002"/>
    <n v="1.00222750775583"/>
    <n v="19.105966257755799"/>
    <n v="2.6315789473684199E-2"/>
    <n v="0"/>
    <n v="0.144736842105263"/>
    <n v="0.6875"/>
    <n v="9.0909090909090898E-2"/>
    <n v="0"/>
    <n v="0.11483253588516744"/>
    <n v="0"/>
  </r>
  <r>
    <n v="208610"/>
    <x v="3"/>
    <x v="11"/>
    <n v="1"/>
    <x v="3"/>
    <s v="Rampart Village"/>
    <n v="0"/>
    <n v="1"/>
    <n v="21.806000000000001"/>
    <n v="15.18596148"/>
    <n v="21.18596148"/>
    <n v="0.61947219251346497"/>
    <n v="21.805433672513502"/>
    <n v="2.6315789473684199E-2"/>
    <n v="0"/>
    <n v="0.144736842105263"/>
    <n v="0.6875"/>
    <n v="9.0909090909090898E-2"/>
    <n v="11"/>
    <n v="0.11483253588516744"/>
    <n v="8.7083333333333357"/>
  </r>
  <r>
    <n v="208620"/>
    <x v="3"/>
    <x v="11"/>
    <n v="1"/>
    <x v="3"/>
    <s v="Rampart Village"/>
    <n v="0"/>
    <n v="0"/>
    <n v="8.8190000000000008"/>
    <n v="7.5535708799999997"/>
    <n v="8.5535708800000005"/>
    <n v="0.26446245660682199"/>
    <n v="8.8180333366068204"/>
    <n v="2.6315789473684199E-2"/>
    <n v="0"/>
    <n v="0.144736842105263"/>
    <n v="0.6875"/>
    <n v="9.0909090909090898E-2"/>
    <n v="0"/>
    <n v="0.11483253588516744"/>
    <n v="0"/>
  </r>
  <r>
    <n v="211201"/>
    <x v="3"/>
    <x v="11"/>
    <n v="2"/>
    <x v="3"/>
    <s v="Wilshire Center-Koreatown"/>
    <n v="0"/>
    <n v="0"/>
    <n v="1.9259999999999999"/>
    <n v="1.90487994"/>
    <n v="1.90487994"/>
    <n v="2.0625322082585301E-2"/>
    <n v="1.9255052620825901"/>
    <n v="2.6315789473684199E-2"/>
    <n v="0"/>
    <n v="0.144736842105263"/>
    <n v="0.6875"/>
    <n v="9.0909090909090898E-2"/>
    <n v="0"/>
    <n v="0.11483253588516744"/>
    <n v="0"/>
  </r>
  <r>
    <n v="211202"/>
    <x v="3"/>
    <x v="11"/>
    <n v="2"/>
    <x v="3"/>
    <s v="Wilshire Center-Koreatown"/>
    <n v="0"/>
    <n v="0"/>
    <n v="2.9260000000000002"/>
    <n v="1.90487994"/>
    <n v="2.9048799399999998"/>
    <n v="2.0625322082585301E-2"/>
    <n v="2.9255052620825901"/>
    <n v="2.6315789473684199E-2"/>
    <n v="0"/>
    <n v="0.144736842105263"/>
    <n v="0.6875"/>
    <n v="9.0909090909090898E-2"/>
    <n v="0"/>
    <n v="0.11483253588516744"/>
    <n v="0"/>
  </r>
  <r>
    <n v="211310"/>
    <x v="3"/>
    <x v="11"/>
    <n v="2"/>
    <x v="3"/>
    <s v="Wilshire Center-Koreatown"/>
    <n v="0"/>
    <n v="0"/>
    <n v="0"/>
    <n v="0"/>
    <n v="0"/>
    <n v="0"/>
    <n v="0"/>
    <n v="2.6315789473684199E-2"/>
    <n v="0"/>
    <n v="0.144736842105263"/>
    <n v="0.6875"/>
    <n v="9.0909090909090898E-2"/>
    <n v="0"/>
    <n v="0.11483253588516744"/>
    <n v="0"/>
  </r>
  <r>
    <n v="211320"/>
    <x v="3"/>
    <x v="11"/>
    <n v="2"/>
    <x v="3"/>
    <s v="Wilshire Center-Koreatown"/>
    <n v="0"/>
    <n v="0"/>
    <n v="7.6120000000000001"/>
    <n v="5.3277761699999999"/>
    <n v="7.3277761699999999"/>
    <n v="0.28324992960502698"/>
    <n v="7.6110260996050298"/>
    <n v="2.6315789473684199E-2"/>
    <n v="0"/>
    <n v="0.144736842105263"/>
    <n v="0.6875"/>
    <n v="9.0909090909090898E-2"/>
    <n v="0"/>
    <n v="0.11483253588516744"/>
    <n v="0"/>
  </r>
  <r>
    <n v="186301"/>
    <x v="3"/>
    <x v="11"/>
    <n v="1"/>
    <x v="3"/>
    <s v="Glassell Park"/>
    <n v="0"/>
    <n v="0"/>
    <n v="2.9260000000000002"/>
    <n v="1.90487994"/>
    <n v="2.9048799399999998"/>
    <n v="2.0625322082585301E-2"/>
    <n v="2.9255052620825901"/>
    <n v="2.6315789473684199E-2"/>
    <n v="0"/>
    <n v="0.144736842105263"/>
    <n v="0.6875"/>
    <n v="9.0909090909090898E-2"/>
    <n v="0"/>
    <n v="0.11483253588516744"/>
    <n v="0"/>
  </r>
  <r>
    <n v="190401"/>
    <x v="3"/>
    <x v="11"/>
    <n v="3"/>
    <x v="3"/>
    <s v="Los Feliz"/>
    <n v="0"/>
    <n v="0"/>
    <n v="5.1079999999999997"/>
    <n v="5.0438748599999998"/>
    <n v="5.0438748599999998"/>
    <n v="6.4475795278276501E-2"/>
    <n v="5.1083506552782803"/>
    <n v="2.6315789473684199E-2"/>
    <n v="0"/>
    <n v="0.144736842105263"/>
    <n v="0.6875"/>
    <n v="9.0909090909090898E-2"/>
    <n v="0"/>
    <n v="0.11483253588516744"/>
    <n v="0"/>
  </r>
  <r>
    <n v="190402"/>
    <x v="3"/>
    <x v="11"/>
    <n v="3"/>
    <x v="3"/>
    <s v="Los Feliz"/>
    <n v="0"/>
    <n v="0"/>
    <n v="6.8079999999999998"/>
    <n v="1.73313217"/>
    <n v="6.7331321700000002"/>
    <n v="7.4985510287253102E-2"/>
    <n v="6.8081176802872498"/>
    <n v="2.6315789473684199E-2"/>
    <n v="0"/>
    <n v="0.144736842105263"/>
    <n v="0.6875"/>
    <n v="9.0909090909090898E-2"/>
    <n v="0"/>
    <n v="0.11483253588516744"/>
    <n v="0"/>
  </r>
  <r>
    <n v="188300"/>
    <x v="3"/>
    <x v="11"/>
    <n v="3"/>
    <x v="3"/>
    <s v="Atwater Village"/>
    <n v="0"/>
    <n v="1"/>
    <n v="6.2759999999999998"/>
    <n v="4.8620928000000001"/>
    <n v="5.8620928000000001"/>
    <n v="0.414076613662478"/>
    <n v="6.2761694136624797"/>
    <n v="2.6315789473684199E-2"/>
    <n v="0"/>
    <n v="0.144736842105263"/>
    <n v="0.6875"/>
    <n v="9.0909090909090898E-2"/>
    <n v="11"/>
    <n v="0.11483253588516744"/>
    <n v="8.7083333333333357"/>
  </r>
  <r>
    <n v="192510"/>
    <x v="3"/>
    <x v="11"/>
    <n v="2"/>
    <x v="3"/>
    <s v="Wilshire Center-Koreatown"/>
    <n v="0"/>
    <n v="0"/>
    <n v="14.574"/>
    <n v="12.059297300000001"/>
    <n v="14.059297300000001"/>
    <n v="0.51475099910233402"/>
    <n v="14.5740482991023"/>
    <n v="2.6315789473684199E-2"/>
    <n v="0"/>
    <n v="0.144736842105263"/>
    <n v="0.6875"/>
    <n v="9.0909090909090898E-2"/>
    <n v="0"/>
    <n v="0.11483253588516744"/>
    <n v="0"/>
  </r>
  <r>
    <n v="192520"/>
    <x v="3"/>
    <x v="11"/>
    <n v="2"/>
    <x v="3"/>
    <s v="Wilshire Center-Koreatown"/>
    <n v="0"/>
    <n v="0"/>
    <n v="1"/>
    <n v="0"/>
    <n v="1"/>
    <n v="0"/>
    <n v="1"/>
    <n v="2.6315789473684199E-2"/>
    <n v="0"/>
    <n v="0.144736842105263"/>
    <n v="0.6875"/>
    <n v="9.0909090909090898E-2"/>
    <n v="0"/>
    <n v="0.11483253588516744"/>
    <n v="0"/>
  </r>
  <r>
    <n v="195500"/>
    <x v="3"/>
    <x v="11"/>
    <n v="1"/>
    <x v="3"/>
    <s v="Silver Lake"/>
    <n v="0"/>
    <n v="0"/>
    <n v="21.867999999999999"/>
    <n v="18.43834743"/>
    <n v="21.43834743"/>
    <n v="0.428493793859964"/>
    <n v="21.86684122386"/>
    <n v="2.6315789473684199E-2"/>
    <n v="0"/>
    <n v="0.144736842105263"/>
    <n v="0.6875"/>
    <n v="9.0909090909090898E-2"/>
    <n v="0"/>
    <n v="0.11483253588516744"/>
    <n v="0"/>
  </r>
  <r>
    <n v="195803"/>
    <x v="3"/>
    <x v="11"/>
    <n v="1"/>
    <x v="3"/>
    <s v="Silver Lake"/>
    <n v="0"/>
    <n v="0"/>
    <n v="6.19"/>
    <n v="3.9673993200000002"/>
    <n v="5.9673993200000002"/>
    <n v="0.22234520276481101"/>
    <n v="6.1897445227648102"/>
    <n v="2.6315789473684199E-2"/>
    <n v="0"/>
    <n v="0.144736842105263"/>
    <n v="0.6875"/>
    <n v="9.0909090909090898E-2"/>
    <n v="0"/>
    <n v="0.11483253588516744"/>
    <n v="0"/>
  </r>
  <r>
    <n v="195901"/>
    <x v="3"/>
    <x v="11"/>
    <n v="1"/>
    <x v="3"/>
    <s v="Silver Lake"/>
    <n v="0"/>
    <n v="0"/>
    <n v="7.4939999999999998"/>
    <n v="5.1560284000000003"/>
    <n v="7.1560284000000003"/>
    <n v="0.33761011780969502"/>
    <n v="7.4936385178096998"/>
    <n v="2.6315789473684199E-2"/>
    <n v="0"/>
    <n v="0.144736842105263"/>
    <n v="0.6875"/>
    <n v="9.0909090909090898E-2"/>
    <n v="0"/>
    <n v="0.11483253588516744"/>
    <n v="0"/>
  </r>
  <r>
    <n v="197200"/>
    <x v="3"/>
    <x v="11"/>
    <n v="1"/>
    <x v="3"/>
    <s v="Elysian Valley"/>
    <n v="0"/>
    <n v="0"/>
    <n v="20.446999999999999"/>
    <n v="12.35201125"/>
    <n v="19.35201125"/>
    <n v="1.09487014850987"/>
    <n v="20.446881398509898"/>
    <n v="2.6315789473684199E-2"/>
    <n v="0"/>
    <n v="0.144736842105263"/>
    <n v="0.6875"/>
    <n v="9.0909090909090898E-2"/>
    <n v="0"/>
    <n v="0.11483253588516744"/>
    <n v="0"/>
  </r>
  <r>
    <n v="197300"/>
    <x v="3"/>
    <x v="11"/>
    <n v="1"/>
    <x v="3"/>
    <s v="Echo Park"/>
    <n v="0"/>
    <n v="0"/>
    <n v="1.7030000000000001"/>
    <n v="1.6812916200000001"/>
    <n v="1.6812916200000001"/>
    <n v="2.14919317594255E-2"/>
    <n v="1.7027835517594301"/>
    <n v="2.6315789473684199E-2"/>
    <n v="0"/>
    <n v="0.144736842105263"/>
    <n v="0.6875"/>
    <n v="9.0909090909090898E-2"/>
    <n v="0"/>
    <n v="0.11483253588516744"/>
    <n v="0"/>
  </r>
  <r>
    <n v="197410"/>
    <x v="3"/>
    <x v="11"/>
    <n v="1"/>
    <x v="3"/>
    <s v="Echo Park"/>
    <n v="0"/>
    <n v="0"/>
    <n v="8.4939999999999998"/>
    <n v="5.1560284000000003"/>
    <n v="8.1560284000000003"/>
    <n v="0.33761011780969502"/>
    <n v="8.4936385178096891"/>
    <n v="2.6315789473684199E-2"/>
    <n v="0"/>
    <n v="0.144736842105263"/>
    <n v="0.6875"/>
    <n v="9.0909090909090898E-2"/>
    <n v="0"/>
    <n v="0.11483253588516744"/>
    <n v="0"/>
  </r>
  <r>
    <n v="197420"/>
    <x v="3"/>
    <x v="11"/>
    <n v="1"/>
    <x v="3"/>
    <s v="Echo Park"/>
    <n v="0"/>
    <n v="0"/>
    <n v="4"/>
    <n v="0"/>
    <n v="4"/>
    <n v="0"/>
    <n v="4"/>
    <n v="2.6315789473684199E-2"/>
    <n v="0"/>
    <n v="0.144736842105263"/>
    <n v="0.6875"/>
    <n v="9.0909090909090898E-2"/>
    <n v="0"/>
    <n v="0.11483253588516744"/>
    <n v="0"/>
  </r>
  <r>
    <n v="201504"/>
    <x v="3"/>
    <x v="12"/>
    <n v="1"/>
    <x v="3"/>
    <s v="El Sereno"/>
    <n v="0"/>
    <n v="0"/>
    <n v="11.266"/>
    <n v="9.4736181100000003"/>
    <n v="10.47361811"/>
    <n v="0.79196613622980205"/>
    <n v="11.2655842462298"/>
    <n v="2.6315789473684199E-2"/>
    <n v="0"/>
    <n v="0.24342105263157901"/>
    <n v="1"/>
    <n v="2.8571428571428598E-2"/>
    <n v="0"/>
    <n v="5.4135338345864675E-2"/>
    <n v="0"/>
  </r>
  <r>
    <n v="201200"/>
    <x v="3"/>
    <x v="12"/>
    <n v="1"/>
    <x v="3"/>
    <s v="El Sereno"/>
    <n v="0"/>
    <n v="0"/>
    <n v="12.305"/>
    <n v="9.8396785799999993"/>
    <n v="11.839678579999999"/>
    <n v="0.46531572761220802"/>
    <n v="12.304994307612199"/>
    <n v="2.6315789473684199E-2"/>
    <n v="0"/>
    <n v="0.24342105263157901"/>
    <n v="1"/>
    <n v="2.8571428571428598E-2"/>
    <n v="0"/>
    <n v="5.4135338345864675E-2"/>
    <n v="0"/>
  </r>
  <r>
    <n v="186100"/>
    <x v="3"/>
    <x v="12"/>
    <n v="1"/>
    <x v="3"/>
    <s v="Glassell Park"/>
    <n v="0"/>
    <n v="0"/>
    <n v="10.082000000000001"/>
    <n v="9.61609026"/>
    <n v="9.61609026"/>
    <n v="0.46618233728904801"/>
    <n v="10.082272597289"/>
    <n v="2.6315789473684199E-2"/>
    <n v="0"/>
    <n v="0.24342105263157901"/>
    <n v="1"/>
    <n v="2.8571428571428598E-2"/>
    <n v="0"/>
    <n v="5.4135338345864675E-2"/>
    <n v="0"/>
  </r>
  <r>
    <n v="183104"/>
    <x v="3"/>
    <x v="12"/>
    <n v="1"/>
    <x v="3"/>
    <s v="Highland Park"/>
    <n v="0"/>
    <n v="0"/>
    <n v="2.0950000000000002"/>
    <n v="1.9836996600000001"/>
    <n v="1.9836996600000001"/>
    <n v="0.11117260138240601"/>
    <n v="2.09487226138241"/>
    <n v="2.6315789473684199E-2"/>
    <n v="0"/>
    <n v="0.24342105263157901"/>
    <n v="1"/>
    <n v="2.8571428571428598E-2"/>
    <n v="0"/>
    <n v="5.4135338345864675E-2"/>
    <n v="0"/>
  </r>
  <r>
    <n v="183220"/>
    <x v="3"/>
    <x v="12"/>
    <n v="1"/>
    <x v="3"/>
    <s v="Highland Park"/>
    <n v="0"/>
    <n v="0"/>
    <n v="0"/>
    <n v="0"/>
    <n v="0"/>
    <n v="0"/>
    <n v="0"/>
    <n v="2.6315789473684199E-2"/>
    <n v="0"/>
    <n v="0.24342105263157901"/>
    <n v="1"/>
    <n v="2.8571428571428598E-2"/>
    <n v="0"/>
    <n v="5.4135338345864675E-2"/>
    <n v="0"/>
  </r>
  <r>
    <n v="204820"/>
    <x v="3"/>
    <x v="12"/>
    <n v="1"/>
    <x v="3"/>
    <s v="Boyle Heights"/>
    <n v="0"/>
    <n v="0"/>
    <n v="9.7970000000000006"/>
    <n v="9.6032194200000003"/>
    <n v="9.6032194200000003"/>
    <n v="0.19367388971274699"/>
    <n v="9.7968933097127504"/>
    <n v="2.6315789473684199E-2"/>
    <n v="0"/>
    <n v="0.24342105263157901"/>
    <n v="1"/>
    <n v="2.8571428571428598E-2"/>
    <n v="0"/>
    <n v="5.4135338345864675E-2"/>
    <n v="0"/>
  </r>
  <r>
    <n v="201601"/>
    <x v="3"/>
    <x v="12"/>
    <n v="1"/>
    <x v="3"/>
    <s v="El Sereno"/>
    <n v="0"/>
    <n v="0"/>
    <n v="9.5890000000000004"/>
    <n v="7.1397280600000004"/>
    <n v="9.1397280599999995"/>
    <n v="0.448782719192101"/>
    <n v="9.5885107791921005"/>
    <n v="2.6315789473684199E-2"/>
    <n v="0"/>
    <n v="0.24342105263157901"/>
    <n v="1"/>
    <n v="2.8571428571428598E-2"/>
    <n v="0"/>
    <n v="5.4135338345864675E-2"/>
    <n v="0"/>
  </r>
  <r>
    <n v="203100"/>
    <x v="3"/>
    <x v="12"/>
    <n v="1"/>
    <x v="3"/>
    <s v="Boyle Heights"/>
    <n v="0"/>
    <n v="0"/>
    <n v="0"/>
    <n v="0"/>
    <n v="0"/>
    <n v="0"/>
    <n v="0"/>
    <n v="2.6315789473684199E-2"/>
    <n v="0"/>
    <n v="0.24342105263157901"/>
    <n v="1"/>
    <n v="2.8571428571428598E-2"/>
    <n v="0"/>
    <n v="5.4135338345864675E-2"/>
    <n v="0"/>
  </r>
  <r>
    <n v="201503"/>
    <x v="3"/>
    <x v="12"/>
    <n v="1"/>
    <x v="3"/>
    <s v="El Sereno"/>
    <n v="0"/>
    <n v="0"/>
    <n v="2"/>
    <n v="0"/>
    <n v="2"/>
    <n v="0"/>
    <n v="2"/>
    <n v="2.6315789473684199E-2"/>
    <n v="0"/>
    <n v="0.24342105263157901"/>
    <n v="1"/>
    <n v="2.8571428571428598E-2"/>
    <n v="0"/>
    <n v="5.4135338345864675E-2"/>
    <n v="0"/>
  </r>
  <r>
    <n v="201402"/>
    <x v="3"/>
    <x v="12"/>
    <n v="1"/>
    <x v="3"/>
    <s v="El Sereno"/>
    <n v="0"/>
    <n v="1"/>
    <n v="6.4939999999999998"/>
    <n v="5.1560284000000003"/>
    <n v="6.1560284000000003"/>
    <n v="0.33761011780969502"/>
    <n v="6.4936385178096998"/>
    <n v="2.6315789473684199E-2"/>
    <n v="0"/>
    <n v="0.24342105263157901"/>
    <n v="1"/>
    <n v="2.8571428571428598E-2"/>
    <n v="35"/>
    <n v="5.4135338345864675E-2"/>
    <n v="18.472222222222218"/>
  </r>
  <r>
    <n v="203710"/>
    <x v="3"/>
    <x v="12"/>
    <n v="1"/>
    <x v="3"/>
    <s v="Boyle Heights"/>
    <n v="0"/>
    <n v="0"/>
    <n v="0"/>
    <n v="0"/>
    <n v="0"/>
    <n v="0"/>
    <n v="0"/>
    <n v="2.6315789473684199E-2"/>
    <n v="0"/>
    <n v="0.24342105263157901"/>
    <n v="1"/>
    <n v="2.8571428571428598E-2"/>
    <n v="0"/>
    <n v="5.4135338345864675E-2"/>
    <n v="0"/>
  </r>
  <r>
    <n v="203800"/>
    <x v="3"/>
    <x v="12"/>
    <n v="1"/>
    <x v="3"/>
    <s v="Boyle Heights"/>
    <n v="0"/>
    <n v="0"/>
    <n v="4.1900000000000004"/>
    <n v="3.9673993200000002"/>
    <n v="3.9673993200000002"/>
    <n v="0.22234520276481101"/>
    <n v="4.1897445227648102"/>
    <n v="2.6315789473684199E-2"/>
    <n v="0"/>
    <n v="0.24342105263157901"/>
    <n v="1"/>
    <n v="2.8571428571428598E-2"/>
    <n v="0"/>
    <n v="5.4135338345864675E-2"/>
    <n v="0"/>
  </r>
  <r>
    <n v="203900"/>
    <x v="3"/>
    <x v="12"/>
    <n v="1"/>
    <x v="3"/>
    <s v="Boyle Heights"/>
    <n v="0"/>
    <n v="0"/>
    <n v="17.122"/>
    <n v="11.42186616"/>
    <n v="16.42186616"/>
    <n v="0.69993787136445196"/>
    <n v="17.121804031364501"/>
    <n v="2.6315789473684199E-2"/>
    <n v="0"/>
    <n v="0.24342105263157901"/>
    <n v="1"/>
    <n v="2.8571428571428598E-2"/>
    <n v="0"/>
    <n v="5.4135338345864675E-2"/>
    <n v="0"/>
  </r>
  <r>
    <n v="204120"/>
    <x v="3"/>
    <x v="12"/>
    <n v="1"/>
    <x v="3"/>
    <s v="Boyle Heights"/>
    <n v="0"/>
    <n v="0"/>
    <n v="0"/>
    <n v="0"/>
    <n v="0"/>
    <n v="0"/>
    <n v="0"/>
    <n v="2.6315789473684199E-2"/>
    <n v="0"/>
    <n v="0.24342105263157901"/>
    <n v="1"/>
    <n v="2.8571428571428598E-2"/>
    <n v="0"/>
    <n v="5.4135338345864675E-2"/>
    <n v="0"/>
  </r>
  <r>
    <n v="204410"/>
    <x v="3"/>
    <x v="12"/>
    <n v="1"/>
    <x v="3"/>
    <s v="Boyle Heights"/>
    <n v="0"/>
    <n v="0"/>
    <n v="6.9980000000000002"/>
    <n v="5.7005314900000004"/>
    <n v="6.7005314900000004"/>
    <n v="0.29733071305206499"/>
    <n v="6.9978622030520699"/>
    <n v="2.6315789473684199E-2"/>
    <n v="0"/>
    <n v="0.24342105263157901"/>
    <n v="1"/>
    <n v="2.8571428571428598E-2"/>
    <n v="0"/>
    <n v="5.4135338345864675E-2"/>
    <n v="0"/>
  </r>
  <r>
    <n v="204420"/>
    <x v="3"/>
    <x v="12"/>
    <n v="1"/>
    <x v="3"/>
    <s v="Boyle Heights"/>
    <n v="0"/>
    <n v="0"/>
    <n v="3"/>
    <n v="0"/>
    <n v="3"/>
    <n v="0"/>
    <n v="3"/>
    <n v="2.6315789473684199E-2"/>
    <n v="0"/>
    <n v="0.24342105263157901"/>
    <n v="1"/>
    <n v="2.8571428571428598E-2"/>
    <n v="0"/>
    <n v="5.4135338345864675E-2"/>
    <n v="0"/>
  </r>
  <r>
    <n v="204810"/>
    <x v="3"/>
    <x v="12"/>
    <n v="1"/>
    <x v="3"/>
    <s v="Boyle Heights"/>
    <n v="0"/>
    <n v="0"/>
    <n v="11.44"/>
    <n v="10.949487939999999"/>
    <n v="10.949487939999999"/>
    <n v="0.49003336335727099"/>
    <n v="11.439521303357299"/>
    <n v="2.6315789473684199E-2"/>
    <n v="0"/>
    <n v="0.24342105263157901"/>
    <n v="1"/>
    <n v="2.8571428571428598E-2"/>
    <n v="0"/>
    <n v="5.4135338345864675E-2"/>
    <n v="0"/>
  </r>
  <r>
    <n v="204910"/>
    <x v="3"/>
    <x v="12"/>
    <n v="1"/>
    <x v="3"/>
    <s v="Boyle Heights"/>
    <n v="0"/>
    <n v="0"/>
    <n v="3"/>
    <n v="0"/>
    <n v="3"/>
    <n v="0"/>
    <n v="3"/>
    <n v="2.6315789473684199E-2"/>
    <n v="0"/>
    <n v="0.24342105263157901"/>
    <n v="1"/>
    <n v="2.8571428571428598E-2"/>
    <n v="0"/>
    <n v="5.4135338345864675E-2"/>
    <n v="0"/>
  </r>
  <r>
    <n v="205110"/>
    <x v="3"/>
    <x v="12"/>
    <n v="1"/>
    <x v="3"/>
    <s v="Boyle Heights"/>
    <n v="0"/>
    <n v="0"/>
    <n v="5.5910000000000002"/>
    <n v="1.43919657"/>
    <n v="5.43919657"/>
    <n v="0.15145200614003601"/>
    <n v="5.5906485761400404"/>
    <n v="2.6315789473684199E-2"/>
    <n v="0"/>
    <n v="0.24342105263157901"/>
    <n v="1"/>
    <n v="2.8571428571428598E-2"/>
    <n v="0"/>
    <n v="5.4135338345864675E-2"/>
    <n v="0"/>
  </r>
  <r>
    <n v="199110"/>
    <x v="3"/>
    <x v="12"/>
    <n v="1"/>
    <x v="3"/>
    <s v="El Sereno"/>
    <n v="0"/>
    <n v="0"/>
    <n v="2.0950000000000002"/>
    <n v="1.9836996600000001"/>
    <n v="1.9836996600000001"/>
    <n v="0.11117260138240601"/>
    <n v="2.09487226138241"/>
    <n v="2.6315789473684199E-2"/>
    <n v="0"/>
    <n v="0.24342105263157901"/>
    <n v="1"/>
    <n v="2.8571428571428598E-2"/>
    <n v="0"/>
    <n v="5.4135338345864675E-2"/>
    <n v="0"/>
  </r>
  <r>
    <n v="181500"/>
    <x v="3"/>
    <x v="12"/>
    <n v="1"/>
    <x v="3"/>
    <s v="Eagle Rock"/>
    <n v="0"/>
    <n v="0"/>
    <n v="9.7070000000000007"/>
    <n v="7.31147583"/>
    <n v="9.3114758299999991"/>
    <n v="0.39442253098743302"/>
    <n v="9.7058983609874296"/>
    <n v="2.6315789473684199E-2"/>
    <n v="0"/>
    <n v="0.24342105263157901"/>
    <n v="1"/>
    <n v="2.8571428571428598E-2"/>
    <n v="0"/>
    <n v="5.4135338345864675E-2"/>
    <n v="0"/>
  </r>
  <r>
    <n v="181600"/>
    <x v="3"/>
    <x v="12"/>
    <n v="1"/>
    <x v="3"/>
    <s v="Eagle Rock"/>
    <n v="0"/>
    <n v="0"/>
    <n v="4.1900000000000004"/>
    <n v="3.9673993200000002"/>
    <n v="3.9673993200000002"/>
    <n v="0.22234520276481101"/>
    <n v="4.1897445227648102"/>
    <n v="2.6315789473684199E-2"/>
    <n v="0"/>
    <n v="0.24342105263157901"/>
    <n v="1"/>
    <n v="2.8571428571428598E-2"/>
    <n v="0"/>
    <n v="5.4135338345864675E-2"/>
    <n v="0"/>
  </r>
  <r>
    <n v="183103"/>
    <x v="3"/>
    <x v="12"/>
    <n v="1"/>
    <x v="3"/>
    <s v="Highland Park"/>
    <n v="0"/>
    <n v="0"/>
    <n v="1"/>
    <n v="0"/>
    <n v="1"/>
    <n v="0"/>
    <n v="1"/>
    <n v="2.6315789473684199E-2"/>
    <n v="0"/>
    <n v="0.24342105263157901"/>
    <n v="1"/>
    <n v="2.8571428571428598E-2"/>
    <n v="0"/>
    <n v="5.4135338345864675E-2"/>
    <n v="0"/>
  </r>
  <r>
    <n v="183221"/>
    <x v="3"/>
    <x v="12"/>
    <n v="1"/>
    <x v="3"/>
    <s v="Highland Park"/>
    <n v="0"/>
    <n v="0"/>
    <n v="0"/>
    <n v="0"/>
    <n v="0"/>
    <n v="0"/>
    <n v="0"/>
    <n v="2.6315789473684199E-2"/>
    <n v="0"/>
    <n v="0.24342105263157901"/>
    <n v="1"/>
    <n v="2.8571428571428598E-2"/>
    <n v="0"/>
    <n v="5.4135338345864675E-2"/>
    <n v="0"/>
  </r>
  <r>
    <n v="204200"/>
    <x v="3"/>
    <x v="12"/>
    <n v="1"/>
    <x v="3"/>
    <s v="Boyle Heights"/>
    <n v="0"/>
    <n v="0"/>
    <n v="3"/>
    <n v="0"/>
    <n v="3"/>
    <n v="0"/>
    <n v="3"/>
    <n v="2.6315789473684199E-2"/>
    <n v="0"/>
    <n v="0.24342105263157901"/>
    <n v="1"/>
    <n v="2.8571428571428598E-2"/>
    <n v="0"/>
    <n v="5.4135338345864675E-2"/>
    <n v="0"/>
  </r>
  <r>
    <n v="183222"/>
    <x v="3"/>
    <x v="12"/>
    <n v="1"/>
    <x v="3"/>
    <s v="Highland Park"/>
    <n v="0"/>
    <n v="0"/>
    <n v="3.6160000000000001"/>
    <n v="3.4662643399999999"/>
    <n v="3.4662643399999999"/>
    <n v="0.14997102057450601"/>
    <n v="3.6162353605745099"/>
    <n v="2.6315789473684199E-2"/>
    <n v="0"/>
    <n v="0.24342105263157901"/>
    <n v="1"/>
    <n v="2.8571428571428598E-2"/>
    <n v="0"/>
    <n v="5.4135338345864675E-2"/>
    <n v="0"/>
  </r>
  <r>
    <n v="183300"/>
    <x v="3"/>
    <x v="12"/>
    <n v="1"/>
    <x v="3"/>
    <s v="Highland Park"/>
    <n v="0"/>
    <n v="0"/>
    <n v="8.093"/>
    <n v="7.6842311499999996"/>
    <n v="7.6842311499999996"/>
    <n v="0.40850331443447002"/>
    <n v="8.0927344644344696"/>
    <n v="2.6315789473684199E-2"/>
    <n v="0"/>
    <n v="0.24342105263157901"/>
    <n v="1"/>
    <n v="2.8571428571428598E-2"/>
    <n v="0"/>
    <n v="5.4135338345864675E-2"/>
    <n v="0"/>
  </r>
  <r>
    <n v="183401"/>
    <x v="3"/>
    <x v="12"/>
    <n v="1"/>
    <x v="3"/>
    <s v="Highland Park"/>
    <n v="0"/>
    <n v="0"/>
    <n v="14.494999999999999"/>
    <n v="13.807077899999999"/>
    <n v="13.807077899999999"/>
    <n v="0.68766093037702003"/>
    <n v="14.494738830377001"/>
    <n v="2.6315789473684199E-2"/>
    <n v="0"/>
    <n v="0.24342105263157901"/>
    <n v="1"/>
    <n v="2.8571428571428598E-2"/>
    <n v="0"/>
    <n v="5.4135338345864675E-2"/>
    <n v="0"/>
  </r>
  <r>
    <n v="183402"/>
    <x v="3"/>
    <x v="12"/>
    <n v="1"/>
    <x v="3"/>
    <s v="Eagle Rock"/>
    <n v="1"/>
    <n v="1"/>
    <n v="19.28"/>
    <n v="17.35216196"/>
    <n v="18.35216196"/>
    <n v="0.92817923025134597"/>
    <n v="19.280341190251299"/>
    <n v="2.6315789473684199E-2"/>
    <n v="38"/>
    <n v="0.24342105263157901"/>
    <n v="1"/>
    <n v="0"/>
    <n v="0"/>
    <n v="2.6315789473684199E-2"/>
    <n v="38.000000000000014"/>
  </r>
  <r>
    <n v="183702"/>
    <x v="3"/>
    <x v="12"/>
    <n v="1"/>
    <x v="3"/>
    <s v="Eagle Rock"/>
    <n v="0"/>
    <n v="0"/>
    <n v="6.4240000000000004"/>
    <n v="5.1993965099999997"/>
    <n v="6.1993965099999997"/>
    <n v="0.22495653086175901"/>
    <n v="6.4243530408617602"/>
    <n v="2.6315789473684199E-2"/>
    <n v="0"/>
    <n v="0.24342105263157901"/>
    <n v="1"/>
    <n v="2.8571428571428598E-2"/>
    <n v="0"/>
    <n v="5.4135338345864675E-2"/>
    <n v="0"/>
  </r>
  <r>
    <n v="203720"/>
    <x v="3"/>
    <x v="12"/>
    <n v="1"/>
    <x v="3"/>
    <s v="Boyle Heights"/>
    <n v="0"/>
    <n v="0"/>
    <n v="3"/>
    <n v="0"/>
    <n v="3"/>
    <n v="0"/>
    <n v="3"/>
    <n v="2.6315789473684199E-2"/>
    <n v="0"/>
    <n v="0.24342105263157901"/>
    <n v="1"/>
    <n v="2.8571428571428598E-2"/>
    <n v="0"/>
    <n v="5.4135338345864675E-2"/>
    <n v="0"/>
  </r>
  <r>
    <n v="201110"/>
    <x v="3"/>
    <x v="12"/>
    <n v="1"/>
    <x v="3"/>
    <s v="El Sereno"/>
    <n v="0"/>
    <n v="0"/>
    <n v="14.324999999999999"/>
    <n v="13.728258179999999"/>
    <n v="13.728258179999999"/>
    <n v="0.59711365107719905"/>
    <n v="14.3253718310772"/>
    <n v="2.6315789473684199E-2"/>
    <n v="0"/>
    <n v="0.24342105263157901"/>
    <n v="1"/>
    <n v="2.8571428571428598E-2"/>
    <n v="0"/>
    <n v="5.4135338345864675E-2"/>
    <n v="0"/>
  </r>
  <r>
    <n v="201120"/>
    <x v="3"/>
    <x v="12"/>
    <n v="1"/>
    <x v="3"/>
    <s v="El Sereno"/>
    <n v="0"/>
    <n v="0"/>
    <n v="14.664"/>
    <n v="13.88589762"/>
    <n v="13.88589762"/>
    <n v="0.77820820967684001"/>
    <n v="14.664105829676799"/>
    <n v="2.6315789473684199E-2"/>
    <n v="0"/>
    <n v="0.24342105263157901"/>
    <n v="1"/>
    <n v="2.8571428571428598E-2"/>
    <n v="0"/>
    <n v="5.4135338345864675E-2"/>
    <n v="0"/>
  </r>
  <r>
    <n v="201302"/>
    <x v="3"/>
    <x v="12"/>
    <n v="1"/>
    <x v="3"/>
    <s v="Eagle Rock"/>
    <n v="1"/>
    <n v="1"/>
    <n v="3.6859999999999999"/>
    <n v="3.4228962300000001"/>
    <n v="3.4228962300000001"/>
    <n v="0.26262460752244199"/>
    <n v="3.6855208375224402"/>
    <n v="2.6315789473684199E-2"/>
    <n v="38"/>
    <n v="0.24342105263157901"/>
    <n v="1"/>
    <n v="0"/>
    <n v="0"/>
    <n v="2.6315789473684199E-2"/>
    <n v="38.000000000000014"/>
  </r>
  <r>
    <n v="201401"/>
    <x v="3"/>
    <x v="12"/>
    <n v="1"/>
    <x v="3"/>
    <s v="El Sereno"/>
    <n v="0"/>
    <n v="0"/>
    <n v="12.983000000000001"/>
    <n v="12.17356863"/>
    <n v="12.17356863"/>
    <n v="0.80849914464991002"/>
    <n v="12.9820677746499"/>
    <n v="2.6315789473684199E-2"/>
    <n v="0"/>
    <n v="0.24342105263157901"/>
    <n v="1"/>
    <n v="2.8571428571428598E-2"/>
    <n v="0"/>
    <n v="5.4135338345864675E-2"/>
    <n v="0"/>
  </r>
  <r>
    <n v="201501"/>
    <x v="3"/>
    <x v="12"/>
    <n v="1"/>
    <x v="3"/>
    <s v="El Sereno"/>
    <n v="0"/>
    <n v="0"/>
    <n v="14.569000000000001"/>
    <n v="11.902197960000001"/>
    <n v="13.902197960000001"/>
    <n v="0.66703560829443398"/>
    <n v="14.569233568294401"/>
    <n v="2.6315789473684199E-2"/>
    <n v="0"/>
    <n v="0.24342105263157901"/>
    <n v="1"/>
    <n v="2.8571428571428598E-2"/>
    <n v="0"/>
    <n v="5.4135338345864675E-2"/>
    <n v="0"/>
  </r>
  <r>
    <n v="201700"/>
    <x v="3"/>
    <x v="12"/>
    <n v="1"/>
    <x v="3"/>
    <s v="El Sereno"/>
    <n v="0"/>
    <n v="0"/>
    <n v="7.8760000000000003"/>
    <n v="7.3902955500000003"/>
    <n v="7.3902955500000003"/>
    <n v="0.484969810287253"/>
    <n v="7.8752653602872504"/>
    <n v="2.6315789473684199E-2"/>
    <n v="0"/>
    <n v="0.24342105263157901"/>
    <n v="1"/>
    <n v="2.8571428571428598E-2"/>
    <n v="0"/>
    <n v="5.4135338345864675E-2"/>
    <n v="0"/>
  </r>
  <r>
    <n v="701100"/>
    <x v="4"/>
    <x v="0"/>
    <n v="3"/>
    <x v="0"/>
    <s v="US Department of Affairs West LA Campus"/>
    <n v="1"/>
    <n v="1"/>
    <n v="87.378"/>
    <n v="73.754417129999993"/>
    <n v="83.754417129999993"/>
    <n v="3.62311576369838"/>
    <n v="87.377532893698401"/>
    <n v="0.35"/>
    <n v="2.8571428571428599"/>
    <n v="0.25"/>
    <n v="0"/>
    <n v="0"/>
    <n v="0"/>
    <n v="0.35"/>
    <n v="2.8571428571428572"/>
  </r>
  <r>
    <n v="702600"/>
    <x v="4"/>
    <x v="0"/>
    <n v="2"/>
    <x v="0"/>
    <s v="Culver City"/>
    <n v="0"/>
    <n v="0"/>
    <n v="25.387"/>
    <n v="22.135435040000001"/>
    <n v="24.135435040000001"/>
    <n v="1.251708564614"/>
    <n v="25.387143604614"/>
    <n v="0.35"/>
    <n v="0"/>
    <n v="0.25"/>
    <n v="0"/>
    <n v="0"/>
    <n v="0"/>
    <n v="0.35"/>
    <n v="0"/>
  </r>
  <r>
    <n v="702102"/>
    <x v="4"/>
    <x v="0"/>
    <n v="3"/>
    <x v="0"/>
    <s v="Santa Monica"/>
    <n v="0"/>
    <n v="0"/>
    <n v="33.761000000000003"/>
    <n v="8.9291150199999993"/>
    <n v="32.929115019999998"/>
    <n v="0.83224554098743297"/>
    <n v="33.761360560987399"/>
    <n v="0.35"/>
    <n v="0"/>
    <n v="0.25"/>
    <n v="0"/>
    <n v="0"/>
    <n v="0"/>
    <n v="0.35"/>
    <n v="0"/>
  </r>
  <r>
    <n v="701802"/>
    <x v="4"/>
    <x v="0"/>
    <n v="3"/>
    <x v="0"/>
    <s v="Santa Monica"/>
    <n v="0"/>
    <n v="0"/>
    <n v="39.656999999999996"/>
    <n v="11.24342354"/>
    <n v="39.243423540000002"/>
    <n v="0.41356686750448801"/>
    <n v="39.656990407504502"/>
    <n v="0.35"/>
    <n v="0"/>
    <n v="0.25"/>
    <n v="0"/>
    <n v="0"/>
    <n v="0"/>
    <n v="0.35"/>
    <n v="0"/>
  </r>
  <r>
    <n v="701902"/>
    <x v="4"/>
    <x v="0"/>
    <n v="3"/>
    <x v="0"/>
    <s v="Santa Monica"/>
    <n v="0"/>
    <n v="0"/>
    <n v="234.72499999999999"/>
    <n v="23.412933970000001"/>
    <n v="233.41293397000001"/>
    <n v="1.31090257965889"/>
    <n v="234.72383654965901"/>
    <n v="0.35"/>
    <n v="0"/>
    <n v="0.25"/>
    <n v="0"/>
    <n v="0"/>
    <n v="0"/>
    <n v="0.35"/>
    <n v="0"/>
  </r>
  <r>
    <n v="702002"/>
    <x v="4"/>
    <x v="0"/>
    <n v="3"/>
    <x v="0"/>
    <s v="Santa Monica"/>
    <n v="0"/>
    <n v="0"/>
    <n v="54.728999999999999"/>
    <n v="29.039206960000001"/>
    <n v="53.039206960000001"/>
    <n v="1.68918093157989"/>
    <n v="54.728387891579899"/>
    <n v="0.35"/>
    <n v="0"/>
    <n v="0.25"/>
    <n v="0"/>
    <n v="0"/>
    <n v="0"/>
    <n v="0.35"/>
    <n v="0"/>
  </r>
  <r>
    <n v="703001"/>
    <x v="4"/>
    <x v="0"/>
    <n v="2"/>
    <x v="0"/>
    <s v="Culver City"/>
    <n v="0"/>
    <n v="0"/>
    <n v="32.656999999999996"/>
    <n v="24.355053760000001"/>
    <n v="31.355053760000001"/>
    <n v="1.3011438361041301"/>
    <n v="32.6561975961041"/>
    <n v="0.35"/>
    <n v="0"/>
    <n v="0.25"/>
    <n v="0"/>
    <n v="0"/>
    <n v="0"/>
    <n v="0.35"/>
    <n v="0"/>
  </r>
  <r>
    <n v="800410"/>
    <x v="4"/>
    <x v="0"/>
    <n v="3"/>
    <x v="0"/>
    <s v="Malibu"/>
    <n v="1"/>
    <n v="1"/>
    <n v="52.576000000000001"/>
    <n v="23.01246488"/>
    <n v="52.012464880000003"/>
    <n v="0.56401038982046703"/>
    <n v="52.576475269820499"/>
    <n v="0.35"/>
    <n v="2.8571428571428599"/>
    <n v="0.25"/>
    <n v="0"/>
    <n v="0"/>
    <n v="0"/>
    <n v="0.35"/>
    <n v="2.8571428571428572"/>
  </r>
  <r>
    <n v="800506"/>
    <x v="4"/>
    <x v="0"/>
    <n v="3"/>
    <x v="0"/>
    <s v="Malibu"/>
    <n v="0"/>
    <n v="0"/>
    <n v="47.537999999999997"/>
    <n v="35.194165750000003"/>
    <n v="46.194165750000003"/>
    <n v="1.34345885034111"/>
    <n v="47.537624600341097"/>
    <n v="0.35"/>
    <n v="0"/>
    <n v="0.25"/>
    <n v="0"/>
    <n v="0"/>
    <n v="0"/>
    <n v="0.35"/>
    <n v="0"/>
  </r>
  <r>
    <n v="701801"/>
    <x v="4"/>
    <x v="0"/>
    <n v="3"/>
    <x v="0"/>
    <s v="Santa Monica"/>
    <n v="1"/>
    <n v="1"/>
    <n v="12.282999999999999"/>
    <n v="7.7320134999999999"/>
    <n v="11.732013500000001"/>
    <n v="0.55083346046678605"/>
    <n v="12.2828469604668"/>
    <n v="0.35"/>
    <n v="2.8571428571428599"/>
    <n v="0.25"/>
    <n v="0"/>
    <n v="0"/>
    <n v="0"/>
    <n v="0.35"/>
    <n v="2.8571428571428572"/>
  </r>
  <r>
    <n v="217002"/>
    <x v="4"/>
    <x v="7"/>
    <n v="2"/>
    <x v="0"/>
    <s v="Palms"/>
    <n v="0"/>
    <n v="0"/>
    <n v="32.430999999999997"/>
    <n v="20.292445780000001"/>
    <n v="31.292445780000001"/>
    <n v="1.1379586417594301"/>
    <n v="32.430404421759398"/>
    <n v="0.35"/>
    <n v="0"/>
    <n v="0.17499999999999999"/>
    <n v="0.77777777777777801"/>
    <n v="0"/>
    <n v="0"/>
    <n v="0.35"/>
    <n v="0"/>
  </r>
  <r>
    <n v="265520"/>
    <x v="4"/>
    <x v="7"/>
    <n v="3"/>
    <x v="0"/>
    <s v="Westwood"/>
    <n v="1"/>
    <n v="1"/>
    <n v="45.119"/>
    <n v="19.742809690000001"/>
    <n v="44.742809690000001"/>
    <n v="0.37611905879712698"/>
    <n v="45.118928748797103"/>
    <n v="0.35"/>
    <n v="2.8571428571428599"/>
    <n v="0.17499999999999999"/>
    <n v="0.77777777777777801"/>
    <n v="0"/>
    <n v="0"/>
    <n v="0.35"/>
    <n v="2.8571428571428572"/>
  </r>
  <r>
    <n v="267200"/>
    <x v="4"/>
    <x v="7"/>
    <n v="3"/>
    <x v="0"/>
    <s v="Westside"/>
    <n v="1"/>
    <n v="1"/>
    <n v="39.988999999999997"/>
    <n v="29.883118719999999"/>
    <n v="38.883118719999999"/>
    <n v="1.1056994826211901"/>
    <n v="39.988818202621196"/>
    <n v="0.35"/>
    <n v="2.8571428571428599"/>
    <n v="0.17499999999999999"/>
    <n v="0.77777777777777801"/>
    <n v="0"/>
    <n v="0"/>
    <n v="0.35"/>
    <n v="2.8571428571428572"/>
  </r>
  <r>
    <n v="271100"/>
    <x v="4"/>
    <x v="7"/>
    <n v="2"/>
    <x v="0"/>
    <s v="Westside"/>
    <n v="0"/>
    <n v="0"/>
    <n v="37.363"/>
    <n v="36.589059710000001"/>
    <n v="36.589059710000001"/>
    <n v="0.77362541962298004"/>
    <n v="37.362685129623003"/>
    <n v="0.35"/>
    <n v="0"/>
    <n v="0.17499999999999999"/>
    <n v="0.77777777777777801"/>
    <n v="0"/>
    <n v="0"/>
    <n v="0.35"/>
    <n v="0"/>
  </r>
  <r>
    <n v="271702"/>
    <x v="4"/>
    <x v="7"/>
    <n v="2"/>
    <x v="0"/>
    <s v="Mar Vista"/>
    <n v="1"/>
    <n v="1"/>
    <n v="37.865000000000002"/>
    <n v="34.593748069999997"/>
    <n v="36.593748069999997"/>
    <n v="1.2704587931956901"/>
    <n v="37.864206863195697"/>
    <n v="0.35"/>
    <n v="2.8571428571428599"/>
    <n v="0.17499999999999999"/>
    <n v="0.77777777777777801"/>
    <n v="0"/>
    <n v="0"/>
    <n v="0.35"/>
    <n v="2.8571428571428572"/>
  </r>
  <r>
    <n v="271801"/>
    <x v="4"/>
    <x v="7"/>
    <n v="2"/>
    <x v="0"/>
    <s v="Mar Vista"/>
    <n v="1"/>
    <n v="1"/>
    <n v="5.6159999999999997"/>
    <n v="3.4662643399999999"/>
    <n v="5.4662643400000004"/>
    <n v="0.14997102057450601"/>
    <n v="5.6162353605745103"/>
    <n v="0.35"/>
    <n v="2.8571428571428599"/>
    <n v="0.17499999999999999"/>
    <n v="0.77777777777777801"/>
    <n v="0"/>
    <n v="0"/>
    <n v="0.35"/>
    <n v="2.8571428571428572"/>
  </r>
  <r>
    <n v="270100"/>
    <x v="4"/>
    <x v="7"/>
    <n v="2"/>
    <x v="0"/>
    <s v="Palms"/>
    <n v="1"/>
    <n v="1"/>
    <n v="38.857999999999997"/>
    <n v="34.641190219999999"/>
    <n v="37.641190219999999"/>
    <n v="1.21759108962298"/>
    <n v="38.858781309622998"/>
    <n v="0.35"/>
    <n v="2.8571428571428599"/>
    <n v="0.17499999999999999"/>
    <n v="0.77777777777777801"/>
    <n v="0"/>
    <n v="0"/>
    <n v="0.35"/>
    <n v="2.8571428571428572"/>
  </r>
  <r>
    <n v="270200"/>
    <x v="4"/>
    <x v="10"/>
    <n v="2"/>
    <x v="0"/>
    <s v="Palms"/>
    <n v="1"/>
    <n v="1"/>
    <n v="62.831000000000003"/>
    <n v="31.536928280000001"/>
    <n v="60.536928279999998"/>
    <n v="2.2938586136086201"/>
    <n v="62.830786893608597"/>
    <n v="0.35"/>
    <n v="2.8571428571428599"/>
    <n v="2.5000000000000001E-2"/>
    <n v="5.5555555555555601E-2"/>
    <n v="0"/>
    <n v="0"/>
    <n v="0.35"/>
    <n v="2.8571428571428572"/>
  </r>
  <r>
    <n v="276100"/>
    <x v="4"/>
    <x v="13"/>
    <n v="2"/>
    <x v="0"/>
    <s v="Westchester/Playa Del Rey"/>
    <n v="0"/>
    <n v="1"/>
    <n v="30.908000000000001"/>
    <n v="23.61799972"/>
    <n v="29.61799972"/>
    <n v="1.2905069838061001"/>
    <n v="30.908506703806101"/>
    <n v="0.35"/>
    <n v="0"/>
    <n v="0.55000000000000004"/>
    <n v="1"/>
    <n v="0.41176470588235298"/>
    <n v="2.4285714285714302"/>
    <n v="0.61764705882352944"/>
    <n v="1.6190476190476191"/>
  </r>
  <r>
    <n v="702901"/>
    <x v="4"/>
    <x v="13"/>
    <n v="4"/>
    <x v="0"/>
    <s v="Marina del Rey"/>
    <n v="1"/>
    <n v="1"/>
    <n v="30.597999999999999"/>
    <n v="28.200249410000001"/>
    <n v="29.200249410000001"/>
    <n v="1.39697289563734"/>
    <n v="30.597222305637299"/>
    <n v="0.35"/>
    <n v="2.8571428571428599"/>
    <n v="0.55000000000000004"/>
    <n v="1"/>
    <n v="0"/>
    <n v="0"/>
    <n v="0.35"/>
    <n v="2.8571428571428572"/>
  </r>
  <r>
    <n v="277100"/>
    <x v="4"/>
    <x v="13"/>
    <n v="2"/>
    <x v="0"/>
    <s v="Westchester/Playa Del Rey"/>
    <n v="1"/>
    <n v="1"/>
    <n v="36.468000000000004"/>
    <n v="33.445503700000003"/>
    <n v="34.445503700000003"/>
    <n v="2.02233241393178"/>
    <n v="36.467836113931803"/>
    <n v="0.35"/>
    <n v="2.8571428571428599"/>
    <n v="0.55000000000000004"/>
    <n v="1"/>
    <n v="0"/>
    <n v="0"/>
    <n v="0.35"/>
    <n v="2.8571428571428572"/>
  </r>
  <r>
    <n v="980028"/>
    <x v="4"/>
    <x v="13"/>
    <n v="4"/>
    <x v="0"/>
    <s v="Westchester/Playa Del Rey"/>
    <n v="0"/>
    <n v="0"/>
    <n v="36.003999999999998"/>
    <n v="31.800529300000001"/>
    <n v="34.800529300000001"/>
    <n v="1.20363540267504"/>
    <n v="36.004164702674998"/>
    <n v="0.35"/>
    <n v="0"/>
    <n v="0.55000000000000004"/>
    <n v="1"/>
    <n v="0.41176470588235298"/>
    <n v="0"/>
    <n v="0.61764705882352944"/>
    <n v="0"/>
  </r>
  <r>
    <n v="267502"/>
    <x v="4"/>
    <x v="13"/>
    <n v="3"/>
    <x v="0"/>
    <s v="West Los Angeles"/>
    <n v="0"/>
    <n v="1"/>
    <n v="28.059000000000001"/>
    <n v="16.467518609999999"/>
    <n v="27.467518609999999"/>
    <n v="0.58982964005385996"/>
    <n v="28.057348250053899"/>
    <n v="0.35"/>
    <n v="0"/>
    <n v="0.55000000000000004"/>
    <n v="1"/>
    <n v="0.41176470588235298"/>
    <n v="2.4285714285714302"/>
    <n v="0.61764705882352944"/>
    <n v="1.6190476190476191"/>
  </r>
  <r>
    <n v="271600"/>
    <x v="4"/>
    <x v="13"/>
    <n v="2"/>
    <x v="0"/>
    <s v="Mar Vista"/>
    <n v="0"/>
    <n v="0"/>
    <n v="4.0949999999999998"/>
    <n v="1.9836996600000001"/>
    <n v="3.9836996600000001"/>
    <n v="0.11117260138240601"/>
    <n v="4.0948722613824096"/>
    <n v="0.35"/>
    <n v="0"/>
    <n v="0.55000000000000004"/>
    <n v="1"/>
    <n v="0.41176470588235298"/>
    <n v="0"/>
    <n v="0.61764705882352944"/>
    <n v="0"/>
  </r>
  <r>
    <n v="267402"/>
    <x v="4"/>
    <x v="13"/>
    <n v="3"/>
    <x v="0"/>
    <s v="West Los Angeles"/>
    <n v="0"/>
    <n v="0"/>
    <n v="16.872"/>
    <n v="7.6983394799999996"/>
    <n v="16.698339480000001"/>
    <n v="0.17304856763016199"/>
    <n v="16.871388047630202"/>
    <n v="0.35"/>
    <n v="0"/>
    <n v="0.55000000000000004"/>
    <n v="1"/>
    <n v="0.41176470588235298"/>
    <n v="0"/>
    <n v="0.61764705882352944"/>
    <n v="0"/>
  </r>
  <r>
    <n v="267300"/>
    <x v="4"/>
    <x v="13"/>
    <n v="3"/>
    <x v="0"/>
    <s v="West Los Angeles"/>
    <n v="0"/>
    <n v="1"/>
    <n v="41.658000000000001"/>
    <n v="21.913084210000001"/>
    <n v="40.913084210000001"/>
    <n v="0.74461197991023398"/>
    <n v="41.657696189910197"/>
    <n v="0.35"/>
    <n v="0"/>
    <n v="0.55000000000000004"/>
    <n v="1"/>
    <n v="0.41176470588235298"/>
    <n v="2.4285714285714302"/>
    <n v="0.61764705882352944"/>
    <n v="1.6190476190476191"/>
  </r>
  <r>
    <n v="271200"/>
    <x v="4"/>
    <x v="13"/>
    <n v="2"/>
    <x v="0"/>
    <s v="Mar Vista"/>
    <n v="0"/>
    <n v="1"/>
    <n v="27.38"/>
    <n v="22.751522900000001"/>
    <n v="26.751522900000001"/>
    <n v="0.62786607929982097"/>
    <n v="27.379388979299801"/>
    <n v="0.35"/>
    <n v="0"/>
    <n v="0.55000000000000004"/>
    <n v="1"/>
    <n v="0.41176470588235298"/>
    <n v="2.4285714285714302"/>
    <n v="0.61764705882352944"/>
    <n v="1.6190476190476191"/>
  </r>
  <r>
    <n v="271901"/>
    <x v="4"/>
    <x v="13"/>
    <n v="2"/>
    <x v="0"/>
    <s v="Mar Vista"/>
    <n v="0"/>
    <n v="1"/>
    <n v="1"/>
    <n v="0"/>
    <n v="1"/>
    <n v="0"/>
    <n v="1"/>
    <n v="0.35"/>
    <n v="0"/>
    <n v="0.55000000000000004"/>
    <n v="1"/>
    <n v="0.41176470588235298"/>
    <n v="2.4285714285714302"/>
    <n v="0.61764705882352944"/>
    <n v="1.6190476190476191"/>
  </r>
  <r>
    <n v="272201"/>
    <x v="4"/>
    <x v="13"/>
    <n v="2"/>
    <x v="0"/>
    <s v="Mar Vista"/>
    <n v="0"/>
    <n v="1"/>
    <n v="29.766999999999999"/>
    <n v="20.754217929999999"/>
    <n v="28.754217929999999"/>
    <n v="1.0124797103949701"/>
    <n v="29.766697640395002"/>
    <n v="0.35"/>
    <n v="0"/>
    <n v="0.55000000000000004"/>
    <n v="1"/>
    <n v="0.41176470588235298"/>
    <n v="2.4285714285714302"/>
    <n v="0.61764705882352944"/>
    <n v="1.6190476190476191"/>
  </r>
  <r>
    <n v="275102"/>
    <x v="4"/>
    <x v="13"/>
    <n v="2"/>
    <x v="0"/>
    <s v="Del Rey"/>
    <n v="0"/>
    <n v="0"/>
    <n v="28.213000000000001"/>
    <n v="22.126962599999999"/>
    <n v="27.126962599999999"/>
    <n v="1.08556139913824"/>
    <n v="28.212523999138199"/>
    <n v="0.35"/>
    <n v="0"/>
    <n v="0.55000000000000004"/>
    <n v="1"/>
    <n v="0.41176470588235298"/>
    <n v="0"/>
    <n v="0.61764705882352944"/>
    <n v="0"/>
  </r>
  <r>
    <n v="275302"/>
    <x v="4"/>
    <x v="13"/>
    <n v="2"/>
    <x v="0"/>
    <s v="Del Rey"/>
    <n v="0"/>
    <n v="0"/>
    <n v="21.035"/>
    <n v="18.279470499999999"/>
    <n v="20.279470499999999"/>
    <n v="0.75536242964093403"/>
    <n v="21.034832929640899"/>
    <n v="0.35"/>
    <n v="0"/>
    <n v="0.55000000000000004"/>
    <n v="1"/>
    <n v="0.41176470588235298"/>
    <n v="0"/>
    <n v="0.61764705882352944"/>
    <n v="0"/>
  </r>
  <r>
    <n v="275311"/>
    <x v="4"/>
    <x v="13"/>
    <n v="2"/>
    <x v="0"/>
    <s v="Del Rey"/>
    <n v="0"/>
    <n v="0"/>
    <n v="19.800999999999998"/>
    <n v="18.83472664"/>
    <n v="18.83472664"/>
    <n v="0.966977649443447"/>
    <n v="19.8017042894434"/>
    <n v="0.35"/>
    <n v="0"/>
    <n v="0.55000000000000004"/>
    <n v="1"/>
    <n v="0.41176470588235298"/>
    <n v="0"/>
    <n v="0.61764705882352944"/>
    <n v="0"/>
  </r>
  <r>
    <n v="275602"/>
    <x v="4"/>
    <x v="13"/>
    <n v="2"/>
    <x v="0"/>
    <s v="Del Rey"/>
    <n v="0"/>
    <n v="0"/>
    <n v="26.34"/>
    <n v="20.366851260000001"/>
    <n v="25.366851260000001"/>
    <n v="0.97352218807899404"/>
    <n v="26.340373448078999"/>
    <n v="0.35"/>
    <n v="0"/>
    <n v="0.55000000000000004"/>
    <n v="1"/>
    <n v="0.41176470588235298"/>
    <n v="0"/>
    <n v="0.61764705882352944"/>
    <n v="0"/>
  </r>
  <r>
    <n v="275603"/>
    <x v="4"/>
    <x v="13"/>
    <n v="2"/>
    <x v="0"/>
    <s v="Del Rey"/>
    <n v="1"/>
    <n v="1"/>
    <n v="44.497"/>
    <n v="38.282578979999997"/>
    <n v="42.282578979999997"/>
    <n v="2.2143301675403899"/>
    <n v="44.4969091475404"/>
    <n v="0.35"/>
    <n v="2.8571428571428599"/>
    <n v="0.55000000000000004"/>
    <n v="1"/>
    <n v="0"/>
    <n v="0"/>
    <n v="0.35"/>
    <n v="2.8571428571428572"/>
  </r>
  <r>
    <n v="276601"/>
    <x v="4"/>
    <x v="13"/>
    <n v="4"/>
    <x v="0"/>
    <s v="Westchester/Playa Del Rey"/>
    <n v="0"/>
    <n v="0"/>
    <n v="14.7"/>
    <n v="13.320051250000001"/>
    <n v="14.320051250000001"/>
    <n v="0.37983200138240603"/>
    <n v="14.699883251382399"/>
    <n v="0.35"/>
    <n v="0"/>
    <n v="0.55000000000000004"/>
    <n v="1"/>
    <n v="0.41176470588235298"/>
    <n v="0"/>
    <n v="0.61764705882352944"/>
    <n v="0"/>
  </r>
  <r>
    <n v="276603"/>
    <x v="4"/>
    <x v="13"/>
    <n v="4"/>
    <x v="0"/>
    <s v="Westchester/Playa Del Rey"/>
    <n v="1"/>
    <n v="1"/>
    <n v="26.66"/>
    <n v="25.2869606"/>
    <n v="25.2869606"/>
    <n v="1.37286963578097"/>
    <n v="26.659830235781001"/>
    <n v="0.35"/>
    <n v="2.8571428571428599"/>
    <n v="0.55000000000000004"/>
    <n v="1"/>
    <n v="0"/>
    <n v="0"/>
    <n v="0.35"/>
    <n v="2.8571428571428572"/>
  </r>
  <r>
    <n v="276604"/>
    <x v="4"/>
    <x v="13"/>
    <n v="4"/>
    <x v="0"/>
    <s v="Westchester/Playa Del Rey"/>
    <n v="0"/>
    <n v="1"/>
    <n v="23.47"/>
    <n v="20.658506249999999"/>
    <n v="22.658506249999999"/>
    <n v="0.81130823314183098"/>
    <n v="23.4698144831418"/>
    <n v="0.35"/>
    <n v="0"/>
    <n v="0.55000000000000004"/>
    <n v="1"/>
    <n v="0.41176470588235298"/>
    <n v="2.4285714285714302"/>
    <n v="0.61764705882352944"/>
    <n v="1.6190476190476191"/>
  </r>
  <r>
    <n v="277200"/>
    <x v="4"/>
    <x v="13"/>
    <n v="2"/>
    <x v="0"/>
    <s v="Westchester/Playa Del Rey"/>
    <n v="0"/>
    <n v="0"/>
    <n v="32.841000000000001"/>
    <n v="29.80641679"/>
    <n v="31.80641679"/>
    <n v="1.0357660263375199"/>
    <n v="32.842182816337498"/>
    <n v="0.35"/>
    <n v="0"/>
    <n v="0.55000000000000004"/>
    <n v="1"/>
    <n v="0.41176470588235298"/>
    <n v="0"/>
    <n v="0.61764705882352944"/>
    <n v="0"/>
  </r>
  <r>
    <n v="277400"/>
    <x v="4"/>
    <x v="13"/>
    <n v="2"/>
    <x v="0"/>
    <s v="Westchester/Playa Del Rey"/>
    <n v="1"/>
    <n v="1"/>
    <n v="420.67700000000002"/>
    <n v="397.39406099000001"/>
    <n v="402.39406099000001"/>
    <n v="18.280589617181299"/>
    <n v="420.67465060718098"/>
    <n v="0.35"/>
    <n v="2.8571428571428599"/>
    <n v="0.55000000000000004"/>
    <n v="1"/>
    <n v="0"/>
    <n v="0"/>
    <n v="0.35"/>
    <n v="2.8571428571428572"/>
  </r>
  <r>
    <n v="278001"/>
    <x v="4"/>
    <x v="13"/>
    <n v="2"/>
    <x v="0"/>
    <s v="Westchester/Playa Del Rey"/>
    <n v="0"/>
    <n v="0"/>
    <n v="35.886000000000003"/>
    <n v="22.75028541"/>
    <n v="34.750285409999996"/>
    <n v="1.1358292736804301"/>
    <n v="35.886114683680397"/>
    <n v="0.35"/>
    <n v="0"/>
    <n v="0.55000000000000004"/>
    <n v="1"/>
    <n v="0.41176470588235298"/>
    <n v="0"/>
    <n v="0.61764705882352944"/>
    <n v="0"/>
  </r>
  <r>
    <n v="702803"/>
    <x v="4"/>
    <x v="0"/>
    <n v="2"/>
    <x v="1"/>
    <s v="Culver City"/>
    <n v="1"/>
    <n v="1"/>
    <n v="68.742999999999995"/>
    <n v="52.936493849999998"/>
    <n v="65.936493850000005"/>
    <n v="6.8052969985457796"/>
    <n v="72.741790848545804"/>
    <n v="1"/>
    <n v="1"/>
    <n v="0"/>
    <n v="0"/>
    <n v="0"/>
    <n v="0"/>
    <n v="1"/>
    <n v="1"/>
  </r>
  <r>
    <n v="800408"/>
    <x v="4"/>
    <x v="0"/>
    <n v="3"/>
    <x v="1"/>
    <s v="Malibu"/>
    <n v="1"/>
    <n v="1"/>
    <n v="60.234000000000002"/>
    <n v="50.261976359999998"/>
    <n v="58.261976359999998"/>
    <n v="5.9717755517594302"/>
    <n v="64.233751911759398"/>
    <n v="1"/>
    <n v="1"/>
    <n v="0"/>
    <n v="0"/>
    <n v="0"/>
    <n v="0"/>
    <n v="1"/>
    <n v="1"/>
  </r>
  <r>
    <n v="267600"/>
    <x v="4"/>
    <x v="13"/>
    <n v="3"/>
    <x v="1"/>
    <s v="West Los Angeles"/>
    <n v="1"/>
    <n v="1"/>
    <n v="22.771999999999998"/>
    <n v="17.115702800000001"/>
    <n v="22.115702800000001"/>
    <n v="2.65653739235188"/>
    <n v="24.772240192351902"/>
    <n v="1"/>
    <n v="1"/>
    <n v="0"/>
    <n v="0"/>
    <n v="0"/>
    <n v="0"/>
    <n v="1"/>
    <n v="1"/>
  </r>
  <r>
    <n v="262704"/>
    <x v="4"/>
    <x v="13"/>
    <n v="3"/>
    <x v="1"/>
    <s v="Pacific Palisades"/>
    <n v="1"/>
    <n v="1"/>
    <n v="38.831000000000003"/>
    <n v="32.667037800000003"/>
    <n v="36.667037800000003"/>
    <n v="6.1635212089407503"/>
    <n v="42.830559008940803"/>
    <n v="1"/>
    <n v="1"/>
    <n v="0"/>
    <n v="0"/>
    <n v="0"/>
    <n v="0"/>
    <n v="1"/>
    <n v="1"/>
  </r>
  <r>
    <n v="701304"/>
    <x v="4"/>
    <x v="0"/>
    <n v="3"/>
    <x v="2"/>
    <s v="Santa Monica"/>
    <n v="0"/>
    <n v="0"/>
    <n v="37.511000000000003"/>
    <n v="3.4144237899999998"/>
    <n v="37.414423790000001"/>
    <n v="9.6477442046678602E-2"/>
    <n v="37.510901232046699"/>
    <n v="7.69230769230769E-2"/>
    <n v="0"/>
    <n v="0.53846153846153799"/>
    <n v="0"/>
    <n v="0"/>
    <n v="0"/>
    <n v="7.69230769230769E-2"/>
    <n v="0"/>
  </r>
  <r>
    <n v="701501"/>
    <x v="4"/>
    <x v="0"/>
    <n v="3"/>
    <x v="2"/>
    <s v="Santa Monica"/>
    <n v="0"/>
    <n v="0"/>
    <n v="18.445"/>
    <n v="9.0879761099999996"/>
    <n v="18.08797611"/>
    <n v="0.35675445432675001"/>
    <n v="18.4447305643268"/>
    <n v="7.69230769230769E-2"/>
    <n v="0"/>
    <n v="0.53846153846153799"/>
    <n v="0"/>
    <n v="0"/>
    <n v="0"/>
    <n v="7.69230769230769E-2"/>
    <n v="0"/>
  </r>
  <r>
    <n v="702300"/>
    <x v="4"/>
    <x v="0"/>
    <n v="3"/>
    <x v="2"/>
    <s v="Santa Monica"/>
    <n v="0"/>
    <n v="0"/>
    <n v="18.338999999999999"/>
    <n v="11.71580176"/>
    <n v="17.715801760000002"/>
    <n v="0.62347137551166998"/>
    <n v="18.3392731355117"/>
    <n v="7.69230769230769E-2"/>
    <n v="0"/>
    <n v="0.53846153846153799"/>
    <n v="0"/>
    <n v="0"/>
    <n v="0"/>
    <n v="7.69230769230769E-2"/>
    <n v="0"/>
  </r>
  <r>
    <n v="701602"/>
    <x v="4"/>
    <x v="0"/>
    <n v="3"/>
    <x v="2"/>
    <s v="Santa Monica"/>
    <n v="0"/>
    <n v="0"/>
    <n v="21.777000000000001"/>
    <n v="5.7146398200000004"/>
    <n v="21.714639819999999"/>
    <n v="6.18759662477558E-2"/>
    <n v="21.776515786247799"/>
    <n v="7.69230769230769E-2"/>
    <n v="0"/>
    <n v="0.53846153846153799"/>
    <n v="0"/>
    <n v="0"/>
    <n v="0"/>
    <n v="7.69230769230769E-2"/>
    <n v="0"/>
  </r>
  <r>
    <n v="701402"/>
    <x v="4"/>
    <x v="0"/>
    <n v="3"/>
    <x v="2"/>
    <s v="Santa Monica"/>
    <n v="0"/>
    <n v="0"/>
    <n v="56.478999999999999"/>
    <n v="11.629065539999999"/>
    <n v="55.629065539999999"/>
    <n v="0.84877854940754005"/>
    <n v="56.477844089407498"/>
    <n v="7.69230769230769E-2"/>
    <n v="0"/>
    <n v="0.53846153846153799"/>
    <n v="0"/>
    <n v="0"/>
    <n v="0"/>
    <n v="7.69230769230769E-2"/>
    <n v="0"/>
  </r>
  <r>
    <n v="701502"/>
    <x v="4"/>
    <x v="0"/>
    <n v="3"/>
    <x v="2"/>
    <s v="Santa Monica"/>
    <n v="0"/>
    <n v="0"/>
    <n v="19.207000000000001"/>
    <n v="4.9054609100000004"/>
    <n v="18.905460909999999"/>
    <n v="0.30142302671454202"/>
    <n v="19.206883936714501"/>
    <n v="7.69230769230769E-2"/>
    <n v="0"/>
    <n v="0.53846153846153799"/>
    <n v="0"/>
    <n v="0"/>
    <n v="0"/>
    <n v="7.69230769230769E-2"/>
    <n v="0"/>
  </r>
  <r>
    <n v="701702"/>
    <x v="4"/>
    <x v="0"/>
    <n v="3"/>
    <x v="2"/>
    <s v="Santa Monica"/>
    <n v="0"/>
    <n v="0"/>
    <n v="29.324999999999999"/>
    <n v="5.07720868"/>
    <n v="29.077208679999998"/>
    <n v="0.24706283850987401"/>
    <n v="29.324271518509899"/>
    <n v="7.69230769230769E-2"/>
    <n v="0"/>
    <n v="0.53846153846153799"/>
    <n v="0"/>
    <n v="0"/>
    <n v="0"/>
    <n v="7.69230769230769E-2"/>
    <n v="0"/>
  </r>
  <r>
    <n v="265202"/>
    <x v="4"/>
    <x v="7"/>
    <n v="3"/>
    <x v="2"/>
    <s v="Westwood"/>
    <n v="1"/>
    <n v="1"/>
    <n v="38.180999999999997"/>
    <n v="2.87839314"/>
    <n v="37.87839314"/>
    <n v="0.30290401228007202"/>
    <n v="38.181297152280102"/>
    <n v="7.69230769230769E-2"/>
    <n v="13"/>
    <n v="0.30769230769230799"/>
    <n v="0.44444444444444398"/>
    <n v="0"/>
    <n v="0"/>
    <n v="7.69230769230769E-2"/>
    <n v="13.000000000000004"/>
  </r>
  <r>
    <n v="265301"/>
    <x v="4"/>
    <x v="7"/>
    <n v="3"/>
    <x v="2"/>
    <s v="Westwood"/>
    <n v="0"/>
    <n v="0"/>
    <n v="15.102"/>
    <n v="4.8536203599999999"/>
    <n v="14.853620360000001"/>
    <n v="0.247929448186715"/>
    <n v="15.1015498081867"/>
    <n v="7.69230769230769E-2"/>
    <n v="0"/>
    <n v="0.30769230769230799"/>
    <n v="0.44444444444444398"/>
    <n v="0.16666666666666699"/>
    <n v="0"/>
    <n v="0.23076923076923106"/>
    <n v="0"/>
  </r>
  <r>
    <n v="269904"/>
    <x v="4"/>
    <x v="7"/>
    <n v="2"/>
    <x v="2"/>
    <s v="Palms"/>
    <n v="0"/>
    <n v="0"/>
    <n v="28.216999999999999"/>
    <n v="16.66412776"/>
    <n v="27.66412776"/>
    <n v="0.55190932960502703"/>
    <n v="28.216037089604999"/>
    <n v="7.69230769230769E-2"/>
    <n v="0"/>
    <n v="0.30769230769230799"/>
    <n v="0.44444444444444398"/>
    <n v="0.16666666666666699"/>
    <n v="0"/>
    <n v="0.23076923076923106"/>
    <n v="0"/>
  </r>
  <r>
    <n v="269907"/>
    <x v="4"/>
    <x v="7"/>
    <n v="2"/>
    <x v="2"/>
    <s v="Palms"/>
    <n v="0"/>
    <n v="1"/>
    <n v="13.371"/>
    <n v="6.8457924600000002"/>
    <n v="12.84579246"/>
    <n v="0.52524921504488298"/>
    <n v="13.3710416750449"/>
    <n v="7.69230769230769E-2"/>
    <n v="0"/>
    <n v="0.30769230769230799"/>
    <n v="0.44444444444444398"/>
    <n v="0.16666666666666699"/>
    <n v="6"/>
    <n v="0.23076923076923106"/>
    <n v="4.3333333333333277"/>
  </r>
  <r>
    <n v="262604"/>
    <x v="4"/>
    <x v="13"/>
    <n v="3"/>
    <x v="2"/>
    <s v="Pacific Palisades"/>
    <n v="0"/>
    <n v="0"/>
    <n v="26.439"/>
    <n v="16.249566179999999"/>
    <n v="26.249566179999999"/>
    <n v="0.18909433745062801"/>
    <n v="26.4386605174506"/>
    <n v="7.69230769230769E-2"/>
    <n v="0"/>
    <n v="0.15384615384615399"/>
    <n v="1"/>
    <n v="0.5"/>
    <n v="0"/>
    <n v="0.53846153846153844"/>
    <n v="0"/>
  </r>
  <r>
    <n v="262706"/>
    <x v="4"/>
    <x v="13"/>
    <n v="3"/>
    <x v="2"/>
    <s v="Pacific Palisades"/>
    <n v="0"/>
    <n v="1"/>
    <n v="14.798"/>
    <n v="3.6649912800000002"/>
    <n v="14.664991280000001"/>
    <n v="0.13266453314183099"/>
    <n v="14.7976558131418"/>
    <n v="7.69230769230769E-2"/>
    <n v="0"/>
    <n v="0.15384615384615399"/>
    <n v="1"/>
    <n v="0.5"/>
    <n v="2"/>
    <n v="0.53846153846153844"/>
    <n v="1.8571428571428572"/>
  </r>
  <r>
    <n v="702700"/>
    <x v="4"/>
    <x v="0"/>
    <n v="2"/>
    <x v="3"/>
    <s v="Culver City"/>
    <n v="0"/>
    <n v="0"/>
    <n v="5.181"/>
    <n v="2.87839314"/>
    <n v="4.87839314"/>
    <n v="0.30290401228007202"/>
    <n v="5.1812971522800702"/>
    <n v="3.2258064516128997E-2"/>
    <n v="0"/>
    <n v="0.247311827956989"/>
    <n v="0"/>
    <n v="0"/>
    <n v="0"/>
    <n v="3.2258064516128997E-2"/>
    <n v="0"/>
  </r>
  <r>
    <n v="701302"/>
    <x v="4"/>
    <x v="0"/>
    <n v="3"/>
    <x v="3"/>
    <s v="Santa Monica"/>
    <n v="0"/>
    <n v="0"/>
    <n v="3"/>
    <n v="0"/>
    <n v="3"/>
    <n v="0"/>
    <n v="3"/>
    <n v="3.2258064516128997E-2"/>
    <n v="0"/>
    <n v="0.247311827956989"/>
    <n v="0"/>
    <n v="0"/>
    <n v="0"/>
    <n v="3.2258064516128997E-2"/>
    <n v="0"/>
  </r>
  <r>
    <n v="700902"/>
    <x v="4"/>
    <x v="0"/>
    <n v="3"/>
    <x v="3"/>
    <s v="Beverly Hills"/>
    <n v="0"/>
    <n v="0"/>
    <n v="2"/>
    <n v="0"/>
    <n v="2"/>
    <n v="0"/>
    <n v="2"/>
    <n v="3.2258064516128997E-2"/>
    <n v="0"/>
    <n v="0.247311827956989"/>
    <n v="0"/>
    <n v="0"/>
    <n v="0"/>
    <n v="3.2258064516128997E-2"/>
    <n v="0"/>
  </r>
  <r>
    <n v="700802"/>
    <x v="4"/>
    <x v="0"/>
    <n v="3"/>
    <x v="3"/>
    <s v="Beverly Hills"/>
    <n v="0"/>
    <n v="0"/>
    <n v="0"/>
    <n v="0"/>
    <n v="0"/>
    <n v="0"/>
    <n v="0"/>
    <n v="3.2258064516128997E-2"/>
    <n v="0"/>
    <n v="0.247311827956989"/>
    <n v="0"/>
    <n v="0"/>
    <n v="0"/>
    <n v="3.2258064516128997E-2"/>
    <n v="0"/>
  </r>
  <r>
    <n v="701202"/>
    <x v="4"/>
    <x v="0"/>
    <n v="3"/>
    <x v="3"/>
    <s v="Santa Monica"/>
    <n v="0"/>
    <n v="0"/>
    <n v="3.6160000000000001"/>
    <n v="3.4662643399999999"/>
    <n v="3.4662643399999999"/>
    <n v="0.14997102057450601"/>
    <n v="3.6162353605745099"/>
    <n v="3.2258064516128997E-2"/>
    <n v="0"/>
    <n v="0.247311827956989"/>
    <n v="0"/>
    <n v="0"/>
    <n v="0"/>
    <n v="3.2258064516128997E-2"/>
    <n v="0"/>
  </r>
  <r>
    <n v="700600"/>
    <x v="4"/>
    <x v="0"/>
    <n v="3"/>
    <x v="3"/>
    <s v="Beverly Hills"/>
    <n v="0"/>
    <n v="0"/>
    <n v="11.368"/>
    <n v="7.1538363900000004"/>
    <n v="11.15383639"/>
    <n v="0.213327972387792"/>
    <n v="11.3671643623878"/>
    <n v="3.2258064516128997E-2"/>
    <n v="0"/>
    <n v="0.247311827956989"/>
    <n v="0"/>
    <n v="0"/>
    <n v="0"/>
    <n v="3.2258064516128997E-2"/>
    <n v="0"/>
  </r>
  <r>
    <n v="700801"/>
    <x v="4"/>
    <x v="0"/>
    <n v="3"/>
    <x v="3"/>
    <s v="Beverly Hills"/>
    <n v="0"/>
    <n v="0"/>
    <n v="6"/>
    <n v="0"/>
    <n v="6"/>
    <n v="0"/>
    <n v="6"/>
    <n v="3.2258064516128997E-2"/>
    <n v="0"/>
    <n v="0.247311827956989"/>
    <n v="0"/>
    <n v="0"/>
    <n v="0"/>
    <n v="3.2258064516128997E-2"/>
    <n v="0"/>
  </r>
  <r>
    <n v="701000"/>
    <x v="4"/>
    <x v="0"/>
    <n v="3"/>
    <x v="3"/>
    <s v="Beverly Hills"/>
    <n v="0"/>
    <n v="0"/>
    <n v="5.0949999999999998"/>
    <n v="1.9836996600000001"/>
    <n v="4.9836996600000001"/>
    <n v="0.11117260138240601"/>
    <n v="5.0948722613824096"/>
    <n v="3.2258064516128997E-2"/>
    <n v="0"/>
    <n v="0.247311827956989"/>
    <n v="0"/>
    <n v="0"/>
    <n v="0"/>
    <n v="3.2258064516128997E-2"/>
    <n v="0"/>
  </r>
  <r>
    <n v="700700"/>
    <x v="4"/>
    <x v="0"/>
    <n v="3"/>
    <x v="3"/>
    <s v="Beverly Hills"/>
    <n v="0"/>
    <n v="0"/>
    <n v="6"/>
    <n v="0"/>
    <n v="6"/>
    <n v="0"/>
    <n v="6"/>
    <n v="3.2258064516128997E-2"/>
    <n v="0"/>
    <n v="0.247311827956989"/>
    <n v="0"/>
    <n v="0"/>
    <n v="0"/>
    <n v="3.2258064516128997E-2"/>
    <n v="0"/>
  </r>
  <r>
    <n v="701201"/>
    <x v="4"/>
    <x v="0"/>
    <n v="3"/>
    <x v="3"/>
    <s v="Santa Monica"/>
    <n v="1"/>
    <n v="1"/>
    <n v="0"/>
    <n v="0"/>
    <n v="0"/>
    <n v="0"/>
    <n v="0"/>
    <n v="3.2258064516128997E-2"/>
    <n v="31"/>
    <n v="0.247311827956989"/>
    <n v="0"/>
    <n v="0"/>
    <n v="0"/>
    <n v="3.2258064516128997E-2"/>
    <n v="31.000000000000036"/>
  </r>
  <r>
    <n v="701701"/>
    <x v="4"/>
    <x v="0"/>
    <n v="3"/>
    <x v="3"/>
    <s v="Santa Monica"/>
    <n v="0"/>
    <n v="0"/>
    <n v="8.5909999999999993"/>
    <n v="1.43919657"/>
    <n v="8.43919657"/>
    <n v="0.15145200614003601"/>
    <n v="8.5906485761400404"/>
    <n v="3.2258064516128997E-2"/>
    <n v="0"/>
    <n v="0.247311827956989"/>
    <n v="0"/>
    <n v="0"/>
    <n v="0"/>
    <n v="3.2258064516128997E-2"/>
    <n v="0"/>
  </r>
  <r>
    <n v="702201"/>
    <x v="4"/>
    <x v="0"/>
    <n v="3"/>
    <x v="3"/>
    <s v="Santa Monica"/>
    <n v="0"/>
    <n v="0"/>
    <n v="8.8079999999999998"/>
    <n v="1.73313217"/>
    <n v="8.7331321699999993"/>
    <n v="7.4985510287253102E-2"/>
    <n v="8.8081176802872498"/>
    <n v="3.2258064516128997E-2"/>
    <n v="0"/>
    <n v="0.247311827956989"/>
    <n v="0"/>
    <n v="0"/>
    <n v="0"/>
    <n v="3.2258064516128997E-2"/>
    <n v="0"/>
  </r>
  <r>
    <n v="702202"/>
    <x v="4"/>
    <x v="0"/>
    <n v="3"/>
    <x v="3"/>
    <s v="Santa Monica"/>
    <n v="0"/>
    <n v="0"/>
    <n v="8.1809999999999992"/>
    <n v="2.87839314"/>
    <n v="7.87839314"/>
    <n v="0.30290401228007202"/>
    <n v="8.1812971522800702"/>
    <n v="3.2258064516128997E-2"/>
    <n v="0"/>
    <n v="0.247311827956989"/>
    <n v="0"/>
    <n v="0"/>
    <n v="0"/>
    <n v="3.2258064516128997E-2"/>
    <n v="0"/>
  </r>
  <r>
    <n v="702400"/>
    <x v="4"/>
    <x v="0"/>
    <n v="2"/>
    <x v="3"/>
    <s v="Culver City"/>
    <n v="0"/>
    <n v="0"/>
    <n v="17.89"/>
    <n v="11.349222429999999"/>
    <n v="17.349222430000001"/>
    <n v="0.54116784757630199"/>
    <n v="17.890390277576302"/>
    <n v="3.2258064516128997E-2"/>
    <n v="0"/>
    <n v="0.247311827956989"/>
    <n v="0"/>
    <n v="0"/>
    <n v="0"/>
    <n v="3.2258064516128997E-2"/>
    <n v="0"/>
  </r>
  <r>
    <n v="702501"/>
    <x v="4"/>
    <x v="0"/>
    <n v="2"/>
    <x v="3"/>
    <s v="Culver City"/>
    <n v="0"/>
    <n v="0"/>
    <n v="4"/>
    <n v="0"/>
    <n v="4"/>
    <n v="0"/>
    <n v="4"/>
    <n v="3.2258064516128997E-2"/>
    <n v="0"/>
    <n v="0.247311827956989"/>
    <n v="0"/>
    <n v="0"/>
    <n v="0"/>
    <n v="3.2258064516128997E-2"/>
    <n v="0"/>
  </r>
  <r>
    <n v="702502"/>
    <x v="4"/>
    <x v="0"/>
    <n v="2"/>
    <x v="3"/>
    <s v="Culver City"/>
    <n v="0"/>
    <n v="0"/>
    <n v="3.181"/>
    <n v="2.87839314"/>
    <n v="2.87839314"/>
    <n v="0.30290401228007202"/>
    <n v="3.1812971522800702"/>
    <n v="3.2258064516128997E-2"/>
    <n v="0"/>
    <n v="0.247311827956989"/>
    <n v="0"/>
    <n v="0"/>
    <n v="0"/>
    <n v="3.2258064516128997E-2"/>
    <n v="0"/>
  </r>
  <r>
    <n v="702802"/>
    <x v="4"/>
    <x v="0"/>
    <n v="2"/>
    <x v="3"/>
    <s v="Culver City"/>
    <n v="0"/>
    <n v="0"/>
    <n v="11.19"/>
    <n v="3.9673993200000002"/>
    <n v="10.96739932"/>
    <n v="0.22234520276481101"/>
    <n v="11.1897445227648"/>
    <n v="3.2258064516128997E-2"/>
    <n v="0"/>
    <n v="0.247311827956989"/>
    <n v="0"/>
    <n v="0"/>
    <n v="0"/>
    <n v="3.2258064516128997E-2"/>
    <n v="0"/>
  </r>
  <r>
    <n v="703002"/>
    <x v="4"/>
    <x v="0"/>
    <n v="2"/>
    <x v="3"/>
    <s v="Ladera Heights"/>
    <n v="0"/>
    <n v="0"/>
    <n v="17.994"/>
    <n v="15.8616437"/>
    <n v="16.861643699999998"/>
    <n v="1.13218758213645"/>
    <n v="17.993831282136401"/>
    <n v="3.2258064516128997E-2"/>
    <n v="0"/>
    <n v="0.247311827956989"/>
    <n v="0"/>
    <n v="0"/>
    <n v="0"/>
    <n v="3.2258064516128997E-2"/>
    <n v="0"/>
  </r>
  <r>
    <n v="800504"/>
    <x v="4"/>
    <x v="0"/>
    <n v="3"/>
    <x v="3"/>
    <s v="Malibu"/>
    <n v="0"/>
    <n v="0"/>
    <n v="5.734"/>
    <n v="3.63801211"/>
    <n v="5.63801211"/>
    <n v="9.5610832369838403E-2"/>
    <n v="5.7336229423698404"/>
    <n v="3.2258064516128997E-2"/>
    <n v="0"/>
    <n v="0.247311827956989"/>
    <n v="0"/>
    <n v="0"/>
    <n v="0"/>
    <n v="3.2258064516128997E-2"/>
    <n v="0"/>
  </r>
  <r>
    <n v="800406"/>
    <x v="4"/>
    <x v="0"/>
    <n v="3"/>
    <x v="3"/>
    <s v="Malibu"/>
    <n v="0"/>
    <n v="0"/>
    <n v="9.4749999999999996"/>
    <n v="5.9988813299999997"/>
    <n v="8.9988813299999997"/>
    <n v="0.47584795017953302"/>
    <n v="9.4747292801795293"/>
    <n v="3.2258064516128997E-2"/>
    <n v="0"/>
    <n v="0.247311827956989"/>
    <n v="0"/>
    <n v="0"/>
    <n v="0"/>
    <n v="3.2258064516128997E-2"/>
    <n v="0"/>
  </r>
  <r>
    <n v="702801"/>
    <x v="4"/>
    <x v="0"/>
    <n v="2"/>
    <x v="3"/>
    <s v="Culver City"/>
    <n v="0"/>
    <n v="0"/>
    <n v="11.867000000000001"/>
    <n v="6.3012893700000001"/>
    <n v="11.301289369999999"/>
    <n v="0.56552861980251301"/>
    <n v="11.866817989802501"/>
    <n v="3.2258064516128997E-2"/>
    <n v="0"/>
    <n v="0.247311827956989"/>
    <n v="0"/>
    <n v="0"/>
    <n v="0"/>
    <n v="3.2258064516128997E-2"/>
    <n v="0"/>
  </r>
  <r>
    <n v="701601"/>
    <x v="4"/>
    <x v="0"/>
    <n v="3"/>
    <x v="3"/>
    <s v="Santa Monica"/>
    <n v="0"/>
    <n v="0"/>
    <n v="7"/>
    <n v="0"/>
    <n v="7"/>
    <n v="0"/>
    <n v="7"/>
    <n v="3.2258064516128997E-2"/>
    <n v="0"/>
    <n v="0.247311827956989"/>
    <n v="0"/>
    <n v="0"/>
    <n v="0"/>
    <n v="3.2258064516128997E-2"/>
    <n v="0"/>
  </r>
  <r>
    <n v="700901"/>
    <x v="4"/>
    <x v="0"/>
    <n v="3"/>
    <x v="3"/>
    <s v="Beverly Hills"/>
    <n v="0"/>
    <n v="0"/>
    <n v="1"/>
    <n v="0"/>
    <n v="1"/>
    <n v="0"/>
    <n v="1"/>
    <n v="3.2258064516128997E-2"/>
    <n v="0"/>
    <n v="0.247311827956989"/>
    <n v="0"/>
    <n v="0"/>
    <n v="0"/>
    <n v="3.2258064516128997E-2"/>
    <n v="0"/>
  </r>
  <r>
    <n v="261101"/>
    <x v="4"/>
    <x v="3"/>
    <n v="3"/>
    <x v="3"/>
    <s v="Bel Air-Beverly Crest"/>
    <n v="0"/>
    <n v="0"/>
    <n v="0"/>
    <n v="0"/>
    <n v="0"/>
    <n v="0"/>
    <n v="0"/>
    <n v="3.2258064516128997E-2"/>
    <n v="0"/>
    <n v="1.0752688172042999E-2"/>
    <n v="2.27272727272727E-2"/>
    <n v="0"/>
    <n v="0"/>
    <n v="3.2258064516128997E-2"/>
    <n v="0"/>
  </r>
  <r>
    <n v="216401"/>
    <x v="4"/>
    <x v="7"/>
    <n v="3"/>
    <x v="3"/>
    <s v="Palms"/>
    <n v="0"/>
    <n v="0"/>
    <n v="7.6289999999999996"/>
    <n v="3.5861715599999999"/>
    <n v="7.5861715600000004"/>
    <n v="4.2117253842010802E-2"/>
    <n v="7.6282888138420102"/>
    <n v="3.2258064516128997E-2"/>
    <n v="0"/>
    <n v="0.33333333333333298"/>
    <n v="0.60784313725490202"/>
    <n v="5.8823529411764698E-2"/>
    <n v="0"/>
    <n v="8.918406072106258E-2"/>
    <n v="0"/>
  </r>
  <r>
    <n v="216402"/>
    <x v="4"/>
    <x v="7"/>
    <n v="3"/>
    <x v="3"/>
    <s v="Palms"/>
    <n v="0"/>
    <n v="0"/>
    <n v="1"/>
    <n v="0"/>
    <n v="1"/>
    <n v="0"/>
    <n v="1"/>
    <n v="3.2258064516128997E-2"/>
    <n v="0"/>
    <n v="0.33333333333333298"/>
    <n v="0.60784313725490202"/>
    <n v="5.8823529411764698E-2"/>
    <n v="0"/>
    <n v="8.918406072106258E-2"/>
    <n v="0"/>
  </r>
  <r>
    <n v="217001"/>
    <x v="4"/>
    <x v="7"/>
    <n v="2"/>
    <x v="3"/>
    <s v="Palms"/>
    <n v="0"/>
    <n v="0"/>
    <n v="3.9260000000000002"/>
    <n v="1.90487994"/>
    <n v="3.9048799399999998"/>
    <n v="2.0625322082585301E-2"/>
    <n v="3.9255052620825901"/>
    <n v="3.2258064516128997E-2"/>
    <n v="0"/>
    <n v="0.33333333333333298"/>
    <n v="0.60784313725490202"/>
    <n v="5.8823529411764698E-2"/>
    <n v="0"/>
    <n v="8.918406072106258E-2"/>
    <n v="0"/>
  </r>
  <r>
    <n v="267901"/>
    <x v="4"/>
    <x v="7"/>
    <n v="3"/>
    <x v="3"/>
    <s v="Westside"/>
    <n v="0"/>
    <n v="0"/>
    <n v="0"/>
    <n v="0"/>
    <n v="0"/>
    <n v="0"/>
    <n v="0"/>
    <n v="3.2258064516128997E-2"/>
    <n v="0"/>
    <n v="0.33333333333333298"/>
    <n v="0.60784313725490202"/>
    <n v="5.8823529411764698E-2"/>
    <n v="0"/>
    <n v="8.918406072106258E-2"/>
    <n v="0"/>
  </r>
  <r>
    <n v="265303"/>
    <x v="4"/>
    <x v="7"/>
    <n v="3"/>
    <x v="3"/>
    <s v="Westwood"/>
    <n v="0"/>
    <n v="0"/>
    <n v="0"/>
    <n v="0"/>
    <n v="0"/>
    <n v="0"/>
    <n v="0"/>
    <n v="3.2258064516128997E-2"/>
    <n v="0"/>
    <n v="0.33333333333333298"/>
    <n v="0.60784313725490202"/>
    <n v="5.8823529411764698E-2"/>
    <n v="0"/>
    <n v="8.918406072106258E-2"/>
    <n v="0"/>
  </r>
  <r>
    <n v="265700"/>
    <x v="4"/>
    <x v="7"/>
    <n v="3"/>
    <x v="3"/>
    <s v="Westwood"/>
    <n v="0"/>
    <n v="0"/>
    <n v="5"/>
    <n v="0"/>
    <n v="5"/>
    <n v="0"/>
    <n v="5"/>
    <n v="3.2258064516128997E-2"/>
    <n v="0"/>
    <n v="0.33333333333333298"/>
    <n v="0.60784313725490202"/>
    <n v="5.8823529411764698E-2"/>
    <n v="0"/>
    <n v="8.918406072106258E-2"/>
    <n v="0"/>
  </r>
  <r>
    <n v="261102"/>
    <x v="4"/>
    <x v="7"/>
    <n v="3"/>
    <x v="3"/>
    <s v="Bel Air-Beverly Crest"/>
    <n v="0"/>
    <n v="0"/>
    <n v="5.9029999999999996"/>
    <n v="3.7168318299999998"/>
    <n v="5.7168318300000003"/>
    <n v="0.18615811166965901"/>
    <n v="5.9029899416696603"/>
    <n v="3.2258064516128997E-2"/>
    <n v="0"/>
    <n v="0.33333333333333298"/>
    <n v="0.60784313725490202"/>
    <n v="5.8823529411764698E-2"/>
    <n v="0"/>
    <n v="8.918406072106258E-2"/>
    <n v="0"/>
  </r>
  <r>
    <n v="261200"/>
    <x v="4"/>
    <x v="7"/>
    <n v="3"/>
    <x v="3"/>
    <s v="Bel Air-Beverly Crest"/>
    <n v="0"/>
    <n v="1"/>
    <n v="2.0950000000000002"/>
    <n v="1.9836996600000001"/>
    <n v="1.9836996600000001"/>
    <n v="0.11117260138240601"/>
    <n v="2.09487226138241"/>
    <n v="3.2258064516128997E-2"/>
    <n v="0"/>
    <n v="0.33333333333333298"/>
    <n v="0.60784313725490202"/>
    <n v="5.8823529411764698E-2"/>
    <n v="17"/>
    <n v="8.918406072106258E-2"/>
    <n v="11.212765957446813"/>
  </r>
  <r>
    <n v="262100"/>
    <x v="4"/>
    <x v="7"/>
    <n v="3"/>
    <x v="3"/>
    <s v="Bel Air-Beverly Crest"/>
    <n v="0"/>
    <n v="0"/>
    <n v="0"/>
    <n v="0"/>
    <n v="0"/>
    <n v="0"/>
    <n v="0"/>
    <n v="3.2258064516128997E-2"/>
    <n v="0"/>
    <n v="0.33333333333333298"/>
    <n v="0.60784313725490202"/>
    <n v="5.8823529411764698E-2"/>
    <n v="0"/>
    <n v="8.918406072106258E-2"/>
    <n v="0"/>
  </r>
  <r>
    <n v="265305"/>
    <x v="4"/>
    <x v="7"/>
    <n v="3"/>
    <x v="3"/>
    <s v="Westwood"/>
    <n v="0"/>
    <n v="0"/>
    <n v="11.116"/>
    <n v="5.87227926"/>
    <n v="10.872279259999999"/>
    <n v="0.24297052484739701"/>
    <n v="11.1152497848474"/>
    <n v="3.2258064516128997E-2"/>
    <n v="0"/>
    <n v="0.33333333333333298"/>
    <n v="0.60784313725490202"/>
    <n v="5.8823529411764698E-2"/>
    <n v="0"/>
    <n v="8.918406072106258E-2"/>
    <n v="0"/>
  </r>
  <r>
    <n v="265304"/>
    <x v="4"/>
    <x v="7"/>
    <n v="3"/>
    <x v="3"/>
    <s v="Westwood"/>
    <n v="0"/>
    <n v="0"/>
    <n v="2.9260000000000002"/>
    <n v="1.90487994"/>
    <n v="2.9048799399999998"/>
    <n v="2.0625322082585301E-2"/>
    <n v="2.9255052620825901"/>
    <n v="3.2258064516128997E-2"/>
    <n v="0"/>
    <n v="0.33333333333333298"/>
    <n v="0.60784313725490202"/>
    <n v="5.8823529411764698E-2"/>
    <n v="0"/>
    <n v="8.918406072106258E-2"/>
    <n v="0"/>
  </r>
  <r>
    <n v="265201"/>
    <x v="4"/>
    <x v="7"/>
    <n v="3"/>
    <x v="3"/>
    <s v="Westwood"/>
    <n v="0"/>
    <n v="0"/>
    <n v="4.181"/>
    <n v="2.87839314"/>
    <n v="3.87839314"/>
    <n v="0.30290401228007202"/>
    <n v="4.1812971522800702"/>
    <n v="3.2258064516128997E-2"/>
    <n v="0"/>
    <n v="0.33333333333333298"/>
    <n v="0.60784313725490202"/>
    <n v="5.8823529411764698E-2"/>
    <n v="0"/>
    <n v="8.918406072106258E-2"/>
    <n v="0"/>
  </r>
  <r>
    <n v="265420"/>
    <x v="4"/>
    <x v="7"/>
    <n v="3"/>
    <x v="3"/>
    <s v="Westwood"/>
    <n v="0"/>
    <n v="0"/>
    <n v="0"/>
    <n v="0"/>
    <n v="0"/>
    <n v="0"/>
    <n v="0"/>
    <n v="3.2258064516128997E-2"/>
    <n v="0"/>
    <n v="0.33333333333333298"/>
    <n v="0.60784313725490202"/>
    <n v="5.8823529411764698E-2"/>
    <n v="0"/>
    <n v="8.918406072106258E-2"/>
    <n v="0"/>
  </r>
  <r>
    <n v="265601"/>
    <x v="4"/>
    <x v="7"/>
    <n v="3"/>
    <x v="3"/>
    <s v="Westwood"/>
    <n v="0"/>
    <n v="0"/>
    <n v="16.126999999999999"/>
    <n v="8.6718526800000006"/>
    <n v="15.671852680000001"/>
    <n v="0.45532725782764799"/>
    <n v="16.127179937827599"/>
    <n v="3.2258064516128997E-2"/>
    <n v="0"/>
    <n v="0.33333333333333298"/>
    <n v="0.60784313725490202"/>
    <n v="5.8823529411764698E-2"/>
    <n v="0"/>
    <n v="8.918406072106258E-2"/>
    <n v="0"/>
  </r>
  <r>
    <n v="265602"/>
    <x v="4"/>
    <x v="7"/>
    <n v="3"/>
    <x v="3"/>
    <s v="Westwood"/>
    <n v="0"/>
    <n v="0"/>
    <n v="2.5910000000000002"/>
    <n v="1.43919657"/>
    <n v="2.43919657"/>
    <n v="0.15145200614003601"/>
    <n v="2.59064857614004"/>
    <n v="3.2258064516128997E-2"/>
    <n v="0"/>
    <n v="0.33333333333333298"/>
    <n v="0.60784313725490202"/>
    <n v="5.8823529411764698E-2"/>
    <n v="0"/>
    <n v="8.918406072106258E-2"/>
    <n v="0"/>
  </r>
  <r>
    <n v="267100"/>
    <x v="4"/>
    <x v="7"/>
    <n v="3"/>
    <x v="3"/>
    <s v="Westside"/>
    <n v="0"/>
    <n v="0"/>
    <n v="10.776999999999999"/>
    <n v="5.7146398200000004"/>
    <n v="10.71463982"/>
    <n v="6.18759662477558E-2"/>
    <n v="10.776515786247799"/>
    <n v="3.2258064516128997E-2"/>
    <n v="0"/>
    <n v="0.33333333333333298"/>
    <n v="0.60784313725490202"/>
    <n v="5.8823529411764698E-2"/>
    <n v="0"/>
    <n v="8.918406072106258E-2"/>
    <n v="0"/>
  </r>
  <r>
    <n v="265510"/>
    <x v="4"/>
    <x v="7"/>
    <n v="3"/>
    <x v="3"/>
    <s v="Westwood"/>
    <n v="0"/>
    <n v="0"/>
    <n v="12.585000000000001"/>
    <n v="7.4477719899999997"/>
    <n v="12.44777199"/>
    <n v="0.13686147653500899"/>
    <n v="12.584633466534999"/>
    <n v="3.2258064516128997E-2"/>
    <n v="0"/>
    <n v="0.33333333333333298"/>
    <n v="0.60784313725490202"/>
    <n v="5.8823529411764698E-2"/>
    <n v="0"/>
    <n v="8.918406072106258E-2"/>
    <n v="0"/>
  </r>
  <r>
    <n v="269800"/>
    <x v="4"/>
    <x v="7"/>
    <n v="2"/>
    <x v="3"/>
    <s v="Palms"/>
    <n v="0"/>
    <n v="0"/>
    <n v="18.277000000000001"/>
    <n v="16.99915086"/>
    <n v="17.99915086"/>
    <n v="0.27704178771992799"/>
    <n v="18.276192647719899"/>
    <n v="3.2258064516128997E-2"/>
    <n v="0"/>
    <n v="0.33333333333333298"/>
    <n v="0.60784313725490202"/>
    <n v="5.8823529411764698E-2"/>
    <n v="0"/>
    <n v="8.918406072106258E-2"/>
    <n v="0"/>
  </r>
  <r>
    <n v="265100"/>
    <x v="4"/>
    <x v="7"/>
    <n v="3"/>
    <x v="3"/>
    <s v="Westwood"/>
    <n v="0"/>
    <n v="0"/>
    <n v="2"/>
    <n v="0"/>
    <n v="2"/>
    <n v="0"/>
    <n v="2"/>
    <n v="3.2258064516128997E-2"/>
    <n v="0"/>
    <n v="0.33333333333333298"/>
    <n v="0.60784313725490202"/>
    <n v="5.8823529411764698E-2"/>
    <n v="0"/>
    <n v="8.918406072106258E-2"/>
    <n v="0"/>
  </r>
  <r>
    <n v="267800"/>
    <x v="4"/>
    <x v="7"/>
    <n v="3"/>
    <x v="3"/>
    <s v="Westside"/>
    <n v="0"/>
    <n v="0"/>
    <n v="20.594999999999999"/>
    <n v="13.268210699999999"/>
    <n v="20.268210700000001"/>
    <n v="0.32633842285457798"/>
    <n v="20.594549122854598"/>
    <n v="3.2258064516128997E-2"/>
    <n v="0"/>
    <n v="0.33333333333333298"/>
    <n v="0.60784313725490202"/>
    <n v="5.8823529411764698E-2"/>
    <n v="0"/>
    <n v="8.918406072106258E-2"/>
    <n v="0"/>
  </r>
  <r>
    <n v="269500"/>
    <x v="4"/>
    <x v="7"/>
    <n v="2"/>
    <x v="3"/>
    <s v="Palms"/>
    <n v="0"/>
    <n v="0"/>
    <n v="1.8080000000000001"/>
    <n v="1.73313217"/>
    <n v="1.73313217"/>
    <n v="7.4985510287253102E-2"/>
    <n v="1.8081176802872501"/>
    <n v="3.2258064516128997E-2"/>
    <n v="0"/>
    <n v="0.33333333333333298"/>
    <n v="0.60784313725490202"/>
    <n v="5.8823529411764698E-2"/>
    <n v="0"/>
    <n v="8.918406072106258E-2"/>
    <n v="0"/>
  </r>
  <r>
    <n v="269000"/>
    <x v="4"/>
    <x v="7"/>
    <n v="2"/>
    <x v="3"/>
    <s v="Westside"/>
    <n v="0"/>
    <n v="0"/>
    <n v="11.166"/>
    <n v="10.818827669999999"/>
    <n v="10.818827669999999"/>
    <n v="0.34599250552962302"/>
    <n v="11.1648201755296"/>
    <n v="3.2258064516128997E-2"/>
    <n v="0"/>
    <n v="0.33333333333333298"/>
    <n v="0.60784313725490202"/>
    <n v="5.8823529411764698E-2"/>
    <n v="0"/>
    <n v="8.918406072106258E-2"/>
    <n v="0"/>
  </r>
  <r>
    <n v="269300"/>
    <x v="4"/>
    <x v="7"/>
    <n v="2"/>
    <x v="3"/>
    <s v="Westside"/>
    <n v="0"/>
    <n v="0"/>
    <n v="3.5910000000000002"/>
    <n v="1.43919657"/>
    <n v="3.43919657"/>
    <n v="0.15145200614003601"/>
    <n v="3.59064857614004"/>
    <n v="3.2258064516128997E-2"/>
    <n v="0"/>
    <n v="0.33333333333333298"/>
    <n v="0.60784313725490202"/>
    <n v="5.8823529411764698E-2"/>
    <n v="0"/>
    <n v="8.918406072106258E-2"/>
    <n v="0"/>
  </r>
  <r>
    <n v="267902"/>
    <x v="4"/>
    <x v="7"/>
    <n v="3"/>
    <x v="3"/>
    <s v="Westside"/>
    <n v="0"/>
    <n v="0"/>
    <n v="2.5910000000000002"/>
    <n v="1.43919657"/>
    <n v="2.43919657"/>
    <n v="0.15145200614003601"/>
    <n v="2.59064857614004"/>
    <n v="3.2258064516128997E-2"/>
    <n v="0"/>
    <n v="0.33333333333333298"/>
    <n v="0.60784313725490202"/>
    <n v="5.8823529411764698E-2"/>
    <n v="0"/>
    <n v="8.918406072106258E-2"/>
    <n v="0"/>
  </r>
  <r>
    <n v="269903"/>
    <x v="4"/>
    <x v="7"/>
    <n v="2"/>
    <x v="3"/>
    <s v="Palms"/>
    <n v="0"/>
    <n v="0"/>
    <n v="15.462999999999999"/>
    <n v="9.1375360499999996"/>
    <n v="15.13753605"/>
    <n v="0.32450057377019698"/>
    <n v="15.462036623770199"/>
    <n v="3.2258064516128997E-2"/>
    <n v="0"/>
    <n v="0.33333333333333298"/>
    <n v="0.60784313725490202"/>
    <n v="5.8823529411764698E-2"/>
    <n v="0"/>
    <n v="8.918406072106258E-2"/>
    <n v="0"/>
  </r>
  <r>
    <n v="262200"/>
    <x v="4"/>
    <x v="7"/>
    <n v="3"/>
    <x v="3"/>
    <s v="Bel Air-Beverly Crest"/>
    <n v="0"/>
    <n v="0"/>
    <n v="0"/>
    <n v="0"/>
    <n v="0"/>
    <n v="0"/>
    <n v="0"/>
    <n v="3.2258064516128997E-2"/>
    <n v="0"/>
    <n v="0.33333333333333298"/>
    <n v="0.60784313725490202"/>
    <n v="5.8823529411764698E-2"/>
    <n v="0"/>
    <n v="8.918406072106258E-2"/>
    <n v="0"/>
  </r>
  <r>
    <n v="269905"/>
    <x v="4"/>
    <x v="7"/>
    <n v="2"/>
    <x v="3"/>
    <s v="Palms"/>
    <n v="0"/>
    <n v="0"/>
    <n v="23.664000000000001"/>
    <n v="15.90450879"/>
    <n v="22.904508790000001"/>
    <n v="0.75920250951526003"/>
    <n v="23.663711299515299"/>
    <n v="3.2258064516128997E-2"/>
    <n v="0"/>
    <n v="0.33333333333333298"/>
    <n v="0.60784313725490202"/>
    <n v="5.8823529411764698E-2"/>
    <n v="0"/>
    <n v="8.918406072106258E-2"/>
    <n v="0"/>
  </r>
  <r>
    <n v="269906"/>
    <x v="4"/>
    <x v="7"/>
    <n v="2"/>
    <x v="3"/>
    <s v="Palms"/>
    <n v="0"/>
    <n v="0"/>
    <n v="10.11"/>
    <n v="8.6222927400000007"/>
    <n v="9.6222927400000007"/>
    <n v="0.48758113838420097"/>
    <n v="10.109873878384199"/>
    <n v="3.2258064516128997E-2"/>
    <n v="0"/>
    <n v="0.33333333333333298"/>
    <n v="0.60784313725490202"/>
    <n v="5.8823529411764698E-2"/>
    <n v="0"/>
    <n v="8.918406072106258E-2"/>
    <n v="0"/>
  </r>
  <r>
    <n v="271701"/>
    <x v="4"/>
    <x v="7"/>
    <n v="2"/>
    <x v="3"/>
    <s v="Mar Vista"/>
    <n v="0"/>
    <n v="1"/>
    <n v="1"/>
    <n v="0"/>
    <n v="1"/>
    <n v="0"/>
    <n v="1"/>
    <n v="3.2258064516128997E-2"/>
    <n v="0"/>
    <n v="0.33333333333333298"/>
    <n v="0.60784313725490202"/>
    <n v="5.8823529411764698E-2"/>
    <n v="17"/>
    <n v="8.918406072106258E-2"/>
    <n v="11.212765957446813"/>
  </r>
  <r>
    <n v="271802"/>
    <x v="4"/>
    <x v="7"/>
    <n v="2"/>
    <x v="3"/>
    <s v="Palms"/>
    <n v="0"/>
    <n v="0"/>
    <n v="9.3019999999999996"/>
    <n v="6.8891605699999996"/>
    <n v="8.8891605699999996"/>
    <n v="0.412595628096948"/>
    <n v="9.3017561980969496"/>
    <n v="3.2258064516128997E-2"/>
    <n v="0"/>
    <n v="0.33333333333333298"/>
    <n v="0.60784313725490202"/>
    <n v="5.8823529411764698E-2"/>
    <n v="0"/>
    <n v="8.918406072106258E-2"/>
    <n v="0"/>
  </r>
  <r>
    <n v="269100"/>
    <x v="4"/>
    <x v="7"/>
    <n v="2"/>
    <x v="3"/>
    <s v="Palms"/>
    <n v="0"/>
    <n v="0"/>
    <n v="6.0209999999999999"/>
    <n v="3.8885795999999999"/>
    <n v="5.8885795999999999"/>
    <n v="0.131797923464991"/>
    <n v="6.0203775234649903"/>
    <n v="3.2258064516128997E-2"/>
    <n v="0"/>
    <n v="0.33333333333333298"/>
    <n v="0.60784313725490202"/>
    <n v="5.8823529411764698E-2"/>
    <n v="0"/>
    <n v="8.918406072106258E-2"/>
    <n v="0"/>
  </r>
  <r>
    <n v="269700"/>
    <x v="4"/>
    <x v="10"/>
    <n v="2"/>
    <x v="3"/>
    <s v="Palms"/>
    <n v="0"/>
    <n v="0"/>
    <n v="16.073"/>
    <n v="14.465312219999999"/>
    <n v="15.465312219999999"/>
    <n v="0.60775050337522396"/>
    <n v="16.073062723375202"/>
    <n v="3.2258064516128997E-2"/>
    <n v="0"/>
    <n v="3.2258064516128997E-2"/>
    <n v="6.6666666666666693E-2"/>
    <n v="9.0909090909090898E-2"/>
    <n v="0"/>
    <n v="0.1202346041055718"/>
    <n v="0"/>
  </r>
  <r>
    <n v="269601"/>
    <x v="4"/>
    <x v="10"/>
    <n v="2"/>
    <x v="3"/>
    <s v="Palms"/>
    <n v="0"/>
    <n v="0"/>
    <n v="14.516"/>
    <n v="11.98487598"/>
    <n v="13.98487598"/>
    <n v="0.530565001903052"/>
    <n v="14.515440981903099"/>
    <n v="3.2258064516128997E-2"/>
    <n v="0"/>
    <n v="3.2258064516128997E-2"/>
    <n v="6.6666666666666693E-2"/>
    <n v="9.0909090909090898E-2"/>
    <n v="0"/>
    <n v="0.1202346041055718"/>
    <n v="0"/>
  </r>
  <r>
    <n v="269602"/>
    <x v="4"/>
    <x v="10"/>
    <n v="2"/>
    <x v="3"/>
    <s v="Palms"/>
    <n v="0"/>
    <n v="0"/>
    <n v="1.8080000000000001"/>
    <n v="1.73313217"/>
    <n v="1.73313217"/>
    <n v="7.4985510287253102E-2"/>
    <n v="1.8081176802872501"/>
    <n v="3.2258064516128997E-2"/>
    <n v="0"/>
    <n v="3.2258064516128997E-2"/>
    <n v="6.6666666666666693E-2"/>
    <n v="9.0909090909090898E-2"/>
    <n v="0"/>
    <n v="0.1202346041055718"/>
    <n v="0"/>
  </r>
  <r>
    <n v="275200"/>
    <x v="4"/>
    <x v="13"/>
    <n v="2"/>
    <x v="3"/>
    <s v="Del Rey"/>
    <n v="0"/>
    <n v="0"/>
    <n v="3.9260000000000002"/>
    <n v="1.90487994"/>
    <n v="3.9048799399999998"/>
    <n v="2.0625322082585301E-2"/>
    <n v="3.9255052620825901"/>
    <n v="3.2258064516128997E-2"/>
    <n v="0"/>
    <n v="0.37634408602150499"/>
    <n v="1"/>
    <n v="0"/>
    <n v="0"/>
    <n v="3.2258064516128997E-2"/>
    <n v="0"/>
  </r>
  <r>
    <n v="272202"/>
    <x v="4"/>
    <x v="13"/>
    <n v="2"/>
    <x v="3"/>
    <s v="Mar Vista"/>
    <n v="0"/>
    <n v="0"/>
    <n v="20.998999999999999"/>
    <n v="17.25869381"/>
    <n v="20.25869381"/>
    <n v="0.73970752996409395"/>
    <n v="20.998401339964101"/>
    <n v="3.2258064516128997E-2"/>
    <n v="0"/>
    <n v="0.37634408602150499"/>
    <n v="1"/>
    <n v="0"/>
    <n v="0"/>
    <n v="3.2258064516128997E-2"/>
    <n v="0"/>
  </r>
  <r>
    <n v="271400"/>
    <x v="4"/>
    <x v="13"/>
    <n v="2"/>
    <x v="3"/>
    <s v="Mar Vista"/>
    <n v="0"/>
    <n v="0"/>
    <n v="6.2850000000000001"/>
    <n v="5.9510989800000003"/>
    <n v="5.9510989800000003"/>
    <n v="0.33351780414721699"/>
    <n v="6.2846167841472198"/>
    <n v="3.2258064516128997E-2"/>
    <n v="0"/>
    <n v="0.37634408602150499"/>
    <n v="1"/>
    <n v="0"/>
    <n v="0"/>
    <n v="3.2258064516128997E-2"/>
    <n v="0"/>
  </r>
  <r>
    <n v="264301"/>
    <x v="4"/>
    <x v="13"/>
    <n v="3"/>
    <x v="3"/>
    <s v="Brentwood"/>
    <n v="0"/>
    <n v="0"/>
    <n v="15.561999999999999"/>
    <n v="9.2597238799999992"/>
    <n v="15.259723879999999"/>
    <n v="0.30239426612208298"/>
    <n v="15.562118146122099"/>
    <n v="3.2258064516128997E-2"/>
    <n v="0"/>
    <n v="0.37634408602150499"/>
    <n v="1"/>
    <n v="0"/>
    <n v="0"/>
    <n v="3.2258064516128997E-2"/>
    <n v="0"/>
  </r>
  <r>
    <n v="262802"/>
    <x v="4"/>
    <x v="13"/>
    <n v="3"/>
    <x v="3"/>
    <s v="Pacific Palisades"/>
    <n v="0"/>
    <n v="0"/>
    <n v="17.058"/>
    <n v="8.7152207900000001"/>
    <n v="16.71522079"/>
    <n v="0.34267367087971301"/>
    <n v="17.057894460879702"/>
    <n v="3.2258064516128997E-2"/>
    <n v="0"/>
    <n v="0.37634408602150499"/>
    <n v="1"/>
    <n v="0"/>
    <n v="0"/>
    <n v="3.2258064516128997E-2"/>
    <n v="0"/>
  </r>
  <r>
    <n v="980019"/>
    <x v="4"/>
    <x v="13"/>
    <n v="3"/>
    <x v="3"/>
    <s v="Pacific Palisades"/>
    <n v="0"/>
    <n v="0"/>
    <n v="0"/>
    <n v="0"/>
    <n v="0"/>
    <n v="0"/>
    <n v="0"/>
    <n v="3.2258064516128997E-2"/>
    <n v="0"/>
    <n v="0.37634408602150499"/>
    <n v="1"/>
    <n v="0"/>
    <n v="0"/>
    <n v="3.2258064516128997E-2"/>
    <n v="0"/>
  </r>
  <r>
    <n v="262301"/>
    <x v="4"/>
    <x v="13"/>
    <n v="3"/>
    <x v="3"/>
    <s v="Brentwood"/>
    <n v="0"/>
    <n v="0"/>
    <n v="3.399"/>
    <n v="3.1723287400000002"/>
    <n v="3.1723287400000002"/>
    <n v="0.22643751642728899"/>
    <n v="3.3987662564272898"/>
    <n v="3.2258064516128997E-2"/>
    <n v="0"/>
    <n v="0.37634408602150499"/>
    <n v="1"/>
    <n v="0"/>
    <n v="0"/>
    <n v="3.2258064516128997E-2"/>
    <n v="0"/>
  </r>
  <r>
    <n v="262302"/>
    <x v="4"/>
    <x v="13"/>
    <n v="3"/>
    <x v="3"/>
    <s v="Brentwood"/>
    <n v="0"/>
    <n v="0"/>
    <n v="0"/>
    <n v="0"/>
    <n v="0"/>
    <n v="0"/>
    <n v="0"/>
    <n v="3.2258064516128997E-2"/>
    <n v="0"/>
    <n v="0.37634408602150499"/>
    <n v="1"/>
    <n v="0"/>
    <n v="0"/>
    <n v="3.2258064516128997E-2"/>
    <n v="0"/>
  </r>
  <r>
    <n v="262303"/>
    <x v="4"/>
    <x v="13"/>
    <n v="3"/>
    <x v="3"/>
    <s v="Brentwood"/>
    <n v="0"/>
    <n v="0"/>
    <n v="1.8080000000000001"/>
    <n v="1.73313217"/>
    <n v="1.73313217"/>
    <n v="7.4985510287253102E-2"/>
    <n v="1.8081176802872501"/>
    <n v="3.2258064516128997E-2"/>
    <n v="0"/>
    <n v="0.37634408602150499"/>
    <n v="1"/>
    <n v="0"/>
    <n v="0"/>
    <n v="3.2258064516128997E-2"/>
    <n v="0"/>
  </r>
  <r>
    <n v="262400"/>
    <x v="4"/>
    <x v="13"/>
    <n v="3"/>
    <x v="3"/>
    <s v="Brentwood"/>
    <n v="0"/>
    <n v="0"/>
    <n v="0"/>
    <n v="0"/>
    <n v="0"/>
    <n v="0"/>
    <n v="0"/>
    <n v="3.2258064516128997E-2"/>
    <n v="0"/>
    <n v="0.37634408602150499"/>
    <n v="1"/>
    <n v="0"/>
    <n v="0"/>
    <n v="3.2258064516128997E-2"/>
    <n v="0"/>
  </r>
  <r>
    <n v="262501"/>
    <x v="4"/>
    <x v="13"/>
    <n v="3"/>
    <x v="3"/>
    <s v="Pacific Palisades"/>
    <n v="0"/>
    <n v="0"/>
    <n v="0"/>
    <n v="0"/>
    <n v="0"/>
    <n v="0"/>
    <n v="0"/>
    <n v="3.2258064516128997E-2"/>
    <n v="0"/>
    <n v="0.37634408602150499"/>
    <n v="1"/>
    <n v="0"/>
    <n v="0"/>
    <n v="3.2258064516128997E-2"/>
    <n v="0"/>
  </r>
  <r>
    <n v="262601"/>
    <x v="4"/>
    <x v="13"/>
    <n v="3"/>
    <x v="3"/>
    <s v="Pacific Palisades"/>
    <n v="0"/>
    <n v="0"/>
    <n v="0"/>
    <n v="0"/>
    <n v="0"/>
    <n v="0"/>
    <n v="0"/>
    <n v="3.2258064516128997E-2"/>
    <n v="0"/>
    <n v="0.37634408602150499"/>
    <n v="1"/>
    <n v="0"/>
    <n v="0"/>
    <n v="3.2258064516128997E-2"/>
    <n v="0"/>
  </r>
  <r>
    <n v="264000"/>
    <x v="4"/>
    <x v="13"/>
    <n v="3"/>
    <x v="3"/>
    <s v="Brentwood"/>
    <n v="0"/>
    <n v="0"/>
    <n v="1.9259999999999999"/>
    <n v="1.90487994"/>
    <n v="1.90487994"/>
    <n v="2.0625322082585301E-2"/>
    <n v="1.9255052620825901"/>
    <n v="3.2258064516128997E-2"/>
    <n v="0"/>
    <n v="0.37634408602150499"/>
    <n v="1"/>
    <n v="0"/>
    <n v="0"/>
    <n v="3.2258064516128997E-2"/>
    <n v="0"/>
  </r>
  <r>
    <n v="264102"/>
    <x v="4"/>
    <x v="13"/>
    <n v="3"/>
    <x v="3"/>
    <s v="Brentwood"/>
    <n v="0"/>
    <n v="0"/>
    <n v="0"/>
    <n v="0"/>
    <n v="0"/>
    <n v="0"/>
    <n v="0"/>
    <n v="3.2258064516128997E-2"/>
    <n v="0"/>
    <n v="0.37634408602150499"/>
    <n v="1"/>
    <n v="0"/>
    <n v="0"/>
    <n v="3.2258064516128997E-2"/>
    <n v="0"/>
  </r>
  <r>
    <n v="264103"/>
    <x v="4"/>
    <x v="13"/>
    <n v="3"/>
    <x v="3"/>
    <s v="Brentwood"/>
    <n v="0"/>
    <n v="0"/>
    <n v="2.8079999999999998"/>
    <n v="1.73313217"/>
    <n v="2.7331321700000002"/>
    <n v="7.4985510287253102E-2"/>
    <n v="2.8081176802872498"/>
    <n v="3.2258064516128997E-2"/>
    <n v="0"/>
    <n v="0.37634408602150499"/>
    <n v="1"/>
    <n v="0"/>
    <n v="0"/>
    <n v="3.2258064516128997E-2"/>
    <n v="0"/>
  </r>
  <r>
    <n v="264302"/>
    <x v="4"/>
    <x v="13"/>
    <n v="3"/>
    <x v="3"/>
    <s v="Brentwood"/>
    <n v="0"/>
    <n v="0"/>
    <n v="14.722"/>
    <n v="11.270402710000001"/>
    <n v="14.270402710000001"/>
    <n v="0.450620568276481"/>
    <n v="14.721023278276499"/>
    <n v="3.2258064516128997E-2"/>
    <n v="0"/>
    <n v="0.37634408602150499"/>
    <n v="1"/>
    <n v="0"/>
    <n v="0"/>
    <n v="3.2258064516128997E-2"/>
    <n v="0"/>
  </r>
  <r>
    <n v="265410"/>
    <x v="4"/>
    <x v="13"/>
    <n v="3"/>
    <x v="3"/>
    <s v="Brentwood"/>
    <n v="0"/>
    <n v="0"/>
    <n v="1"/>
    <n v="0"/>
    <n v="1"/>
    <n v="0"/>
    <n v="1"/>
    <n v="3.2258064516128997E-2"/>
    <n v="0"/>
    <n v="0.37634408602150499"/>
    <n v="1"/>
    <n v="0"/>
    <n v="0"/>
    <n v="3.2258064516128997E-2"/>
    <n v="0"/>
  </r>
  <r>
    <n v="267403"/>
    <x v="4"/>
    <x v="13"/>
    <n v="3"/>
    <x v="3"/>
    <s v="West Los Angeles"/>
    <n v="0"/>
    <n v="0"/>
    <n v="4.9260000000000002"/>
    <n v="1.90487994"/>
    <n v="4.9048799399999998"/>
    <n v="2.0625322082585301E-2"/>
    <n v="4.9255052620825897"/>
    <n v="3.2258064516128997E-2"/>
    <n v="0"/>
    <n v="0.37634408602150499"/>
    <n v="1"/>
    <n v="0"/>
    <n v="0"/>
    <n v="3.2258064516128997E-2"/>
    <n v="0"/>
  </r>
  <r>
    <n v="267404"/>
    <x v="4"/>
    <x v="13"/>
    <n v="3"/>
    <x v="3"/>
    <s v="West Los Angeles"/>
    <n v="0"/>
    <n v="0"/>
    <n v="6.851"/>
    <n v="3.8097598800000001"/>
    <n v="6.8097598799999997"/>
    <n v="4.1250644165170602E-2"/>
    <n v="6.8510105241651704"/>
    <n v="3.2258064516128997E-2"/>
    <n v="0"/>
    <n v="0.37634408602150499"/>
    <n v="1"/>
    <n v="0"/>
    <n v="0"/>
    <n v="3.2258064516128997E-2"/>
    <n v="0"/>
  </r>
  <r>
    <n v="267501"/>
    <x v="4"/>
    <x v="13"/>
    <n v="3"/>
    <x v="3"/>
    <s v="West Los Angeles"/>
    <n v="0"/>
    <n v="0"/>
    <n v="14.61"/>
    <n v="11.028307659999999"/>
    <n v="14.028307659999999"/>
    <n v="0.58058064265709197"/>
    <n v="14.6088883026571"/>
    <n v="3.2258064516128997E-2"/>
    <n v="0"/>
    <n v="0.37634408602150499"/>
    <n v="1"/>
    <n v="0"/>
    <n v="0"/>
    <n v="3.2258064516128997E-2"/>
    <n v="0"/>
  </r>
  <r>
    <n v="267700"/>
    <x v="4"/>
    <x v="13"/>
    <n v="2"/>
    <x v="3"/>
    <s v="West Los Angeles"/>
    <n v="0"/>
    <n v="0"/>
    <n v="17.388999999999999"/>
    <n v="16.434903550000001"/>
    <n v="16.434903550000001"/>
    <n v="0.95437785156193899"/>
    <n v="17.389281401561899"/>
    <n v="3.2258064516128997E-2"/>
    <n v="0"/>
    <n v="0.37634408602150499"/>
    <n v="1"/>
    <n v="0"/>
    <n v="0"/>
    <n v="3.2258064516128997E-2"/>
    <n v="0"/>
  </r>
  <r>
    <n v="271300"/>
    <x v="4"/>
    <x v="13"/>
    <n v="2"/>
    <x v="3"/>
    <s v="Mar Vista"/>
    <n v="0"/>
    <n v="0"/>
    <n v="19.399999999999999"/>
    <n v="11.82337824"/>
    <n v="18.82337824"/>
    <n v="0.576488328994614"/>
    <n v="19.3998665689946"/>
    <n v="3.2258064516128997E-2"/>
    <n v="0"/>
    <n v="0.37634408602150499"/>
    <n v="1"/>
    <n v="0"/>
    <n v="0"/>
    <n v="3.2258064516128997E-2"/>
    <n v="0"/>
  </r>
  <r>
    <n v="271500"/>
    <x v="4"/>
    <x v="13"/>
    <n v="2"/>
    <x v="3"/>
    <s v="Mar Vista"/>
    <n v="0"/>
    <n v="0"/>
    <n v="1.591"/>
    <n v="1.43919657"/>
    <n v="1.43919657"/>
    <n v="0.15145200614003601"/>
    <n v="1.59064857614004"/>
    <n v="3.2258064516128997E-2"/>
    <n v="0"/>
    <n v="0.37634408602150499"/>
    <n v="1"/>
    <n v="0"/>
    <n v="0"/>
    <n v="3.2258064516128997E-2"/>
    <n v="0"/>
  </r>
  <r>
    <n v="271902"/>
    <x v="4"/>
    <x v="13"/>
    <n v="2"/>
    <x v="3"/>
    <s v="Mar Vista"/>
    <n v="0"/>
    <n v="0"/>
    <n v="0"/>
    <n v="0"/>
    <n v="0"/>
    <n v="0"/>
    <n v="0"/>
    <n v="3.2258064516128997E-2"/>
    <n v="0"/>
    <n v="0.37634408602150499"/>
    <n v="1"/>
    <n v="0"/>
    <n v="0"/>
    <n v="3.2258064516128997E-2"/>
    <n v="0"/>
  </r>
  <r>
    <n v="272100"/>
    <x v="4"/>
    <x v="13"/>
    <n v="2"/>
    <x v="3"/>
    <s v="Mar Vista"/>
    <n v="0"/>
    <n v="0"/>
    <n v="1.8080000000000001"/>
    <n v="1.73313217"/>
    <n v="1.73313217"/>
    <n v="7.4985510287253102E-2"/>
    <n v="1.8081176802872501"/>
    <n v="3.2258064516128997E-2"/>
    <n v="0"/>
    <n v="0.37634408602150499"/>
    <n v="1"/>
    <n v="0"/>
    <n v="0"/>
    <n v="3.2258064516128997E-2"/>
    <n v="0"/>
  </r>
  <r>
    <n v="272301"/>
    <x v="4"/>
    <x v="13"/>
    <n v="2"/>
    <x v="3"/>
    <s v="Mar Vista"/>
    <n v="0"/>
    <n v="0"/>
    <n v="4.1900000000000004"/>
    <n v="3.9673993200000002"/>
    <n v="3.9673993200000002"/>
    <n v="0.22234520276481101"/>
    <n v="4.1897445227648102"/>
    <n v="3.2258064516128997E-2"/>
    <n v="0"/>
    <n v="0.37634408602150499"/>
    <n v="1"/>
    <n v="0"/>
    <n v="0"/>
    <n v="3.2258064516128997E-2"/>
    <n v="0"/>
  </r>
  <r>
    <n v="272302"/>
    <x v="4"/>
    <x v="13"/>
    <n v="2"/>
    <x v="3"/>
    <s v="Mar Vista"/>
    <n v="1"/>
    <n v="1"/>
    <n v="1.9259999999999999"/>
    <n v="1.90487994"/>
    <n v="1.90487994"/>
    <n v="2.0625322082585301E-2"/>
    <n v="1.9255052620825901"/>
    <n v="3.2258064516128997E-2"/>
    <n v="31"/>
    <n v="0.37634408602150499"/>
    <n v="1"/>
    <n v="0"/>
    <n v="0"/>
    <n v="3.2258064516128997E-2"/>
    <n v="31.000000000000036"/>
  </r>
  <r>
    <n v="275101"/>
    <x v="4"/>
    <x v="13"/>
    <n v="2"/>
    <x v="3"/>
    <s v="Del Rey"/>
    <n v="0"/>
    <n v="0"/>
    <n v="18.010999999999999"/>
    <n v="17.15115441"/>
    <n v="17.15115441"/>
    <n v="0.85973825859964104"/>
    <n v="18.010892668599599"/>
    <n v="3.2258064516128997E-2"/>
    <n v="0"/>
    <n v="0.37634408602150499"/>
    <n v="1"/>
    <n v="0"/>
    <n v="0"/>
    <n v="3.2258064516128997E-2"/>
    <n v="0"/>
  </r>
  <r>
    <n v="275400"/>
    <x v="4"/>
    <x v="13"/>
    <n v="2"/>
    <x v="3"/>
    <s v="Del Rey"/>
    <n v="0"/>
    <n v="0"/>
    <n v="22.515000000000001"/>
    <n v="17.695657499999999"/>
    <n v="21.695657499999999"/>
    <n v="0.819458853842011"/>
    <n v="22.515116353842"/>
    <n v="3.2258064516128997E-2"/>
    <n v="0"/>
    <n v="0.37634408602150499"/>
    <n v="1"/>
    <n v="0"/>
    <n v="0"/>
    <n v="3.2258064516128997E-2"/>
    <n v="0"/>
  </r>
  <r>
    <n v="275500"/>
    <x v="4"/>
    <x v="13"/>
    <n v="2"/>
    <x v="3"/>
    <s v="Del Rey"/>
    <n v="0"/>
    <n v="0"/>
    <n v="16.184999999999999"/>
    <n v="15.368462299999999"/>
    <n v="15.368462299999999"/>
    <n v="0.81700662886894104"/>
    <n v="16.1854689288689"/>
    <n v="3.2258064516128997E-2"/>
    <n v="0"/>
    <n v="0.37634408602150499"/>
    <n v="1"/>
    <n v="0"/>
    <n v="0"/>
    <n v="3.2258064516128997E-2"/>
    <n v="0"/>
  </r>
  <r>
    <n v="276000"/>
    <x v="4"/>
    <x v="13"/>
    <n v="2"/>
    <x v="3"/>
    <s v="Westchester/Playa Del Rey"/>
    <n v="1"/>
    <n v="1"/>
    <n v="15.368"/>
    <n v="12.54632395"/>
    <n v="14.54632395"/>
    <n v="0.82257992809694802"/>
    <n v="15.3689038780969"/>
    <n v="3.2258064516128997E-2"/>
    <n v="31"/>
    <n v="0.37634408602150499"/>
    <n v="1"/>
    <n v="0"/>
    <n v="0"/>
    <n v="3.2258064516128997E-2"/>
    <n v="31.000000000000036"/>
  </r>
  <r>
    <n v="276400"/>
    <x v="4"/>
    <x v="13"/>
    <n v="2"/>
    <x v="3"/>
    <s v="Westchester/Playa Del Rey"/>
    <n v="0"/>
    <n v="0"/>
    <n v="3.903"/>
    <n v="3.7168318299999998"/>
    <n v="3.7168318299999998"/>
    <n v="0.18615811166965901"/>
    <n v="3.9029899416696598"/>
    <n v="3.2258064516128997E-2"/>
    <n v="0"/>
    <n v="0.37634408602150499"/>
    <n v="1"/>
    <n v="0"/>
    <n v="0"/>
    <n v="3.2258064516128997E-2"/>
    <n v="0"/>
  </r>
  <r>
    <n v="276500"/>
    <x v="4"/>
    <x v="13"/>
    <n v="2"/>
    <x v="3"/>
    <s v="Westchester/Playa Del Rey"/>
    <n v="0"/>
    <n v="0"/>
    <n v="5.9980000000000002"/>
    <n v="5.7005314900000004"/>
    <n v="5.7005314900000004"/>
    <n v="0.29733071305206499"/>
    <n v="5.9978622030520699"/>
    <n v="3.2258064516128997E-2"/>
    <n v="0"/>
    <n v="0.37634408602150499"/>
    <n v="1"/>
    <n v="0"/>
    <n v="0"/>
    <n v="3.2258064516128997E-2"/>
    <n v="0"/>
  </r>
  <r>
    <n v="277000"/>
    <x v="4"/>
    <x v="13"/>
    <n v="2"/>
    <x v="3"/>
    <s v="Westchester/Playa Del Rey"/>
    <n v="0"/>
    <n v="0"/>
    <n v="8.2029999999999994"/>
    <n v="7.0275745199999999"/>
    <n v="8.0275745199999999"/>
    <n v="0.17564839666068199"/>
    <n v="8.20322291666068"/>
    <n v="3.2258064516128997E-2"/>
    <n v="0"/>
    <n v="0.37634408602150499"/>
    <n v="1"/>
    <n v="0"/>
    <n v="0"/>
    <n v="3.2258064516128997E-2"/>
    <n v="0"/>
  </r>
  <r>
    <n v="278102"/>
    <x v="4"/>
    <x v="13"/>
    <n v="4"/>
    <x v="3"/>
    <s v="Westchester/Playa Del Rey"/>
    <n v="0"/>
    <n v="0"/>
    <n v="13.426"/>
    <n v="9.9308290400000008"/>
    <n v="12.930829040000001"/>
    <n v="0.49499228669658901"/>
    <n v="13.4258213266966"/>
    <n v="3.2258064516128997E-2"/>
    <n v="0"/>
    <n v="0.37634408602150499"/>
    <n v="1"/>
    <n v="0"/>
    <n v="0"/>
    <n v="3.2258064516128997E-2"/>
    <n v="0"/>
  </r>
  <r>
    <n v="540700"/>
    <x v="5"/>
    <x v="0"/>
    <n v="2"/>
    <x v="0"/>
    <s v="Willowbrook"/>
    <n v="0"/>
    <n v="0"/>
    <n v="46.247"/>
    <n v="37.703861770000003"/>
    <n v="44.703861770000003"/>
    <n v="1.5434455116696599"/>
    <n v="46.247307281669698"/>
    <n v="0.16393442622950799"/>
    <n v="0"/>
    <n v="0.19672131147541"/>
    <n v="0"/>
    <n v="0"/>
    <n v="0"/>
    <n v="0.16393442622950799"/>
    <n v="0"/>
  </r>
  <r>
    <n v="542602"/>
    <x v="5"/>
    <x v="0"/>
    <n v="2"/>
    <x v="0"/>
    <s v="Compton"/>
    <n v="0"/>
    <n v="0"/>
    <n v="53.640999999999998"/>
    <n v="41.921109950000002"/>
    <n v="50.921109950000002"/>
    <n v="2.7188949364632"/>
    <n v="53.640004886463203"/>
    <n v="0.16393442622950799"/>
    <n v="0"/>
    <n v="0.19672131147541"/>
    <n v="0"/>
    <n v="0"/>
    <n v="0"/>
    <n v="0.16393442622950799"/>
    <n v="0"/>
  </r>
  <r>
    <n v="535300"/>
    <x v="5"/>
    <x v="0"/>
    <n v="2"/>
    <x v="0"/>
    <s v="Florence-Graham"/>
    <n v="0"/>
    <n v="0"/>
    <n v="75.350999999999999"/>
    <n v="67.032983209999998"/>
    <n v="72.032983209999998"/>
    <n v="3.3180441970197498"/>
    <n v="75.351027407019799"/>
    <n v="0.16393442622950799"/>
    <n v="0"/>
    <n v="0.19672131147541"/>
    <n v="0"/>
    <n v="0"/>
    <n v="0"/>
    <n v="0.16393442622950799"/>
    <n v="0"/>
  </r>
  <r>
    <n v="534900"/>
    <x v="5"/>
    <x v="0"/>
    <n v="2"/>
    <x v="0"/>
    <s v="Florence-Graham"/>
    <n v="1"/>
    <n v="1"/>
    <n v="44.308999999999997"/>
    <n v="34.201427189999997"/>
    <n v="42.201427189999997"/>
    <n v="2.1071907557809699"/>
    <n v="44.308617945781002"/>
    <n v="0.16393442622950799"/>
    <n v="6.1"/>
    <n v="0.19672131147541"/>
    <n v="0"/>
    <n v="0"/>
    <n v="0"/>
    <n v="0.16393442622950799"/>
    <n v="6.1000000000000076"/>
  </r>
  <r>
    <n v="541001"/>
    <x v="5"/>
    <x v="0"/>
    <n v="2"/>
    <x v="0"/>
    <s v="West Compton"/>
    <n v="0"/>
    <n v="0"/>
    <n v="183.327"/>
    <n v="172.96571359000001"/>
    <n v="172.96571359000001"/>
    <n v="10.3573867975224"/>
    <n v="183.323100387522"/>
    <n v="0.16393442622950799"/>
    <n v="0"/>
    <n v="0.19672131147541"/>
    <n v="0"/>
    <n v="0"/>
    <n v="0"/>
    <n v="0.16393442622950799"/>
    <n v="0"/>
  </r>
  <r>
    <n v="541100"/>
    <x v="5"/>
    <x v="0"/>
    <n v="2"/>
    <x v="0"/>
    <s v="West Compton"/>
    <n v="0"/>
    <n v="0"/>
    <n v="47.991999999999997"/>
    <n v="41.657692859999997"/>
    <n v="45.657692859999997"/>
    <n v="2.3346246290305199"/>
    <n v="47.992317489030498"/>
    <n v="0.16393442622950799"/>
    <n v="0"/>
    <n v="0.19672131147541"/>
    <n v="0"/>
    <n v="0"/>
    <n v="0"/>
    <n v="0.16393442622950799"/>
    <n v="0"/>
  </r>
  <r>
    <n v="541300"/>
    <x v="5"/>
    <x v="0"/>
    <n v="2"/>
    <x v="0"/>
    <s v="Compton"/>
    <n v="0"/>
    <n v="0"/>
    <n v="10.42"/>
    <n v="7.0609083400000001"/>
    <n v="10.060908339999999"/>
    <n v="0.35823543989228002"/>
    <n v="10.4191437798923"/>
    <n v="0.16393442622950799"/>
    <n v="0"/>
    <n v="0.19672131147541"/>
    <n v="0"/>
    <n v="0"/>
    <n v="0"/>
    <n v="0.16393442622950799"/>
    <n v="0"/>
  </r>
  <r>
    <n v="542601"/>
    <x v="5"/>
    <x v="0"/>
    <n v="2"/>
    <x v="0"/>
    <s v="Compton"/>
    <n v="1"/>
    <n v="1"/>
    <n v="73.679000000000002"/>
    <n v="67.066804210000001"/>
    <n v="70.066804210000001"/>
    <n v="3.6123402750448799"/>
    <n v="73.679144485044901"/>
    <n v="0.16393442622950799"/>
    <n v="6.1"/>
    <n v="0.19672131147541"/>
    <n v="0"/>
    <n v="0"/>
    <n v="0"/>
    <n v="0.16393442622950799"/>
    <n v="6.1000000000000076"/>
  </r>
  <r>
    <n v="541200"/>
    <x v="5"/>
    <x v="0"/>
    <n v="2"/>
    <x v="0"/>
    <s v="Compton"/>
    <n v="0"/>
    <n v="0"/>
    <n v="0"/>
    <n v="0"/>
    <n v="0"/>
    <n v="0"/>
    <n v="0"/>
    <n v="0.16393442622950799"/>
    <n v="0"/>
    <n v="0.19672131147541"/>
    <n v="0"/>
    <n v="0"/>
    <n v="0"/>
    <n v="0.16393442622950799"/>
    <n v="0"/>
  </r>
  <r>
    <n v="540902"/>
    <x v="5"/>
    <x v="0"/>
    <n v="2"/>
    <x v="0"/>
    <s v="Willowbrook"/>
    <n v="0"/>
    <n v="0"/>
    <n v="176.56200000000001"/>
    <n v="161.75104680999999"/>
    <n v="166.75104680999999"/>
    <n v="9.8062896042010799"/>
    <n v="176.55733641420099"/>
    <n v="0.16393442622950799"/>
    <n v="0"/>
    <n v="0.19672131147541"/>
    <n v="0"/>
    <n v="0"/>
    <n v="0"/>
    <n v="0.16393442622950799"/>
    <n v="0"/>
  </r>
  <r>
    <n v="540800"/>
    <x v="5"/>
    <x v="0"/>
    <n v="2"/>
    <x v="0"/>
    <s v="Willowbrook"/>
    <n v="0"/>
    <n v="0"/>
    <n v="81.257999999999996"/>
    <n v="72.542541569999997"/>
    <n v="76.542541569999997"/>
    <n v="4.7157456939138198"/>
    <n v="81.2582872639138"/>
    <n v="0.16393442622950799"/>
    <n v="0"/>
    <n v="0.19672131147541"/>
    <n v="0"/>
    <n v="0"/>
    <n v="0"/>
    <n v="0.16393442622950799"/>
    <n v="0"/>
  </r>
  <r>
    <n v="535001"/>
    <x v="5"/>
    <x v="0"/>
    <n v="2"/>
    <x v="0"/>
    <s v="Florence-Graham"/>
    <n v="0"/>
    <n v="0"/>
    <n v="41.902999999999999"/>
    <n v="31.40357844"/>
    <n v="40.403578439999997"/>
    <n v="1.49857986321364"/>
    <n v="41.902158303213596"/>
    <n v="0.16393442622950799"/>
    <n v="0"/>
    <n v="0.19672131147541"/>
    <n v="0"/>
    <n v="0"/>
    <n v="0"/>
    <n v="0.16393442622950799"/>
    <n v="0"/>
  </r>
  <r>
    <n v="222100"/>
    <x v="5"/>
    <x v="14"/>
    <n v="2"/>
    <x v="0"/>
    <s v="Adams"/>
    <n v="0"/>
    <n v="0"/>
    <n v="31.433"/>
    <n v="28.939584060000001"/>
    <n v="29.939584060000001"/>
    <n v="1.4933572070197501"/>
    <n v="31.4329412670197"/>
    <n v="0.16393442622950799"/>
    <n v="0"/>
    <n v="0.213114754098361"/>
    <n v="1"/>
    <n v="0.5"/>
    <n v="0"/>
    <n v="0.58196721311475397"/>
    <n v="0"/>
  </r>
  <r>
    <n v="232400"/>
    <x v="5"/>
    <x v="14"/>
    <n v="2"/>
    <x v="0"/>
    <s v="Vermont Square"/>
    <n v="0"/>
    <n v="1"/>
    <n v="45.865000000000002"/>
    <n v="33.764500580000004"/>
    <n v="43.764500580000004"/>
    <n v="2.10048711402154"/>
    <n v="45.8649876940216"/>
    <n v="0.16393442622950799"/>
    <n v="0"/>
    <n v="0.213114754098361"/>
    <n v="1"/>
    <n v="0.5"/>
    <n v="2"/>
    <n v="0.58196721311475397"/>
    <n v="1.71830985915493"/>
  </r>
  <r>
    <n v="234600"/>
    <x v="5"/>
    <x v="14"/>
    <n v="2"/>
    <x v="0"/>
    <s v="Baldwin Hills / Crenshaw"/>
    <n v="0"/>
    <n v="0"/>
    <n v="73.575999999999993"/>
    <n v="65.579101129999998"/>
    <n v="70.579101129999998"/>
    <n v="2.9956200877737902"/>
    <n v="73.574721217773799"/>
    <n v="0.16393442622950799"/>
    <n v="0"/>
    <n v="0.213114754098361"/>
    <n v="1"/>
    <n v="0.5"/>
    <n v="0"/>
    <n v="0.58196721311475397"/>
    <n v="0"/>
  </r>
  <r>
    <n v="234800"/>
    <x v="5"/>
    <x v="14"/>
    <n v="2"/>
    <x v="0"/>
    <s v="Baldwin Hills / Crenshaw"/>
    <n v="0"/>
    <n v="1"/>
    <n v="46.997"/>
    <n v="43.833403369999999"/>
    <n v="44.833403369999999"/>
    <n v="2.16333431967684"/>
    <n v="46.996737689676799"/>
    <n v="0.16393442622950799"/>
    <n v="0"/>
    <n v="0.213114754098361"/>
    <n v="1"/>
    <n v="0.5"/>
    <n v="2"/>
    <n v="0.58196721311475397"/>
    <n v="1.71830985915493"/>
  </r>
  <r>
    <n v="240402"/>
    <x v="5"/>
    <x v="14"/>
    <n v="2"/>
    <x v="0"/>
    <s v="South Vermont"/>
    <n v="0"/>
    <n v="0"/>
    <n v="57.582999999999998"/>
    <n v="47.599255040000003"/>
    <n v="55.599255040000003"/>
    <n v="1.9838593829982001"/>
    <n v="57.5831144229982"/>
    <n v="0.16393442622950799"/>
    <n v="0"/>
    <n v="0.213114754098361"/>
    <n v="1"/>
    <n v="0.5"/>
    <n v="0"/>
    <n v="0.58196721311475397"/>
    <n v="0"/>
  </r>
  <r>
    <n v="237500"/>
    <x v="5"/>
    <x v="14"/>
    <n v="2"/>
    <x v="0"/>
    <s v="South Vermont"/>
    <n v="1"/>
    <n v="1"/>
    <n v="53.47"/>
    <n v="40.915856589999997"/>
    <n v="49.915856589999997"/>
    <n v="3.5539386948114902"/>
    <n v="53.469795284811497"/>
    <n v="0.16393442622950799"/>
    <n v="6.1"/>
    <n v="0.213114754098361"/>
    <n v="1"/>
    <n v="0"/>
    <n v="0"/>
    <n v="0.16393442622950799"/>
    <n v="6.1000000000000076"/>
  </r>
  <r>
    <n v="240800"/>
    <x v="5"/>
    <x v="14"/>
    <n v="2"/>
    <x v="0"/>
    <s v="Green Meadows"/>
    <n v="0"/>
    <n v="1"/>
    <n v="25.771000000000001"/>
    <n v="18.669170699999999"/>
    <n v="24.669170699999999"/>
    <n v="1.1017375440395001"/>
    <n v="25.7709082440395"/>
    <n v="0.16393442622950799"/>
    <n v="0"/>
    <n v="0.213114754098361"/>
    <n v="1"/>
    <n v="0.5"/>
    <n v="2"/>
    <n v="0.58196721311475397"/>
    <n v="1.71830985915493"/>
  </r>
  <r>
    <n v="240300"/>
    <x v="5"/>
    <x v="14"/>
    <n v="2"/>
    <x v="0"/>
    <s v="South Vermont"/>
    <n v="0"/>
    <n v="1"/>
    <n v="37.15"/>
    <n v="30.578026300000001"/>
    <n v="36.578026299999998"/>
    <n v="0.57240427660682203"/>
    <n v="37.150430576606801"/>
    <n v="0.16393442622950799"/>
    <n v="0"/>
    <n v="0.213114754098361"/>
    <n v="1"/>
    <n v="0.5"/>
    <n v="2"/>
    <n v="0.58196721311475397"/>
    <n v="1.71830985915493"/>
  </r>
  <r>
    <n v="240700"/>
    <x v="5"/>
    <x v="14"/>
    <n v="2"/>
    <x v="0"/>
    <s v="Green Meadows"/>
    <n v="0"/>
    <n v="0"/>
    <n v="96.433000000000007"/>
    <n v="76.183930200000006"/>
    <n v="92.183930200000006"/>
    <n v="4.2484323861579902"/>
    <n v="96.432362586158007"/>
    <n v="0.16393442622950799"/>
    <n v="0"/>
    <n v="0.213114754098361"/>
    <n v="1"/>
    <n v="0.5"/>
    <n v="0"/>
    <n v="0.58196721311475397"/>
    <n v="0"/>
  </r>
  <r>
    <n v="240200"/>
    <x v="5"/>
    <x v="14"/>
    <n v="2"/>
    <x v="0"/>
    <s v="Green Meadows"/>
    <n v="0"/>
    <n v="1"/>
    <n v="24"/>
    <n v="0"/>
    <n v="24"/>
    <n v="0"/>
    <n v="24"/>
    <n v="0.16393442622950799"/>
    <n v="0"/>
    <n v="0.213114754098361"/>
    <n v="1"/>
    <n v="0.5"/>
    <n v="2"/>
    <n v="0.58196721311475397"/>
    <n v="1.71830985915493"/>
  </r>
  <r>
    <n v="237202"/>
    <x v="5"/>
    <x v="14"/>
    <n v="2"/>
    <x v="0"/>
    <s v="Vermont Square"/>
    <n v="0"/>
    <n v="0"/>
    <n v="32.58"/>
    <n v="29.518495640000001"/>
    <n v="31.518495640000001"/>
    <n v="1.06256801504488"/>
    <n v="32.5810636550449"/>
    <n v="0.16393442622950799"/>
    <n v="0"/>
    <n v="0.213114754098361"/>
    <n v="1"/>
    <n v="0.5"/>
    <n v="0"/>
    <n v="0.58196721311475397"/>
    <n v="0"/>
  </r>
  <r>
    <n v="240900"/>
    <x v="5"/>
    <x v="14"/>
    <n v="2"/>
    <x v="0"/>
    <s v="Green Meadows"/>
    <n v="0"/>
    <n v="1"/>
    <n v="43.683"/>
    <n v="34.144669380000003"/>
    <n v="42.144669380000003"/>
    <n v="1.5383819585996401"/>
    <n v="43.683051338599597"/>
    <n v="0.16393442622950799"/>
    <n v="0"/>
    <n v="0.213114754098361"/>
    <n v="1"/>
    <n v="0.5"/>
    <n v="2"/>
    <n v="0.58196721311475397"/>
    <n v="1.71830985915493"/>
  </r>
  <r>
    <n v="238310"/>
    <x v="5"/>
    <x v="14"/>
    <n v="2"/>
    <x v="0"/>
    <s v="South Vermont"/>
    <n v="0"/>
    <n v="0"/>
    <n v="34.863"/>
    <n v="28.94613193"/>
    <n v="32.94613193"/>
    <n v="1.91757721389587"/>
    <n v="34.863709143895903"/>
    <n v="0.16393442622950799"/>
    <n v="0"/>
    <n v="0.213114754098361"/>
    <n v="1"/>
    <n v="0.5"/>
    <n v="0"/>
    <n v="0.58196721311475397"/>
    <n v="0"/>
  </r>
  <r>
    <n v="224600"/>
    <x v="5"/>
    <x v="9"/>
    <n v="1"/>
    <x v="0"/>
    <s v="South Central"/>
    <n v="0"/>
    <n v="0"/>
    <n v="90.432000000000002"/>
    <n v="65.313543600000003"/>
    <n v="89.313543600000003"/>
    <n v="1.1185664670018001"/>
    <n v="90.432110067001801"/>
    <n v="0.16393442622950799"/>
    <n v="0"/>
    <n v="0.39344262295082"/>
    <n v="0.92307692307692302"/>
    <n v="0.14285714285714299"/>
    <n v="0"/>
    <n v="0.28337236533957838"/>
    <n v="0"/>
  </r>
  <r>
    <n v="239310"/>
    <x v="5"/>
    <x v="9"/>
    <n v="2"/>
    <x v="0"/>
    <s v="South Park"/>
    <n v="0"/>
    <n v="0"/>
    <n v="28.164999999999999"/>
    <n v="22.14954337"/>
    <n v="27.14954337"/>
    <n v="1.01625381780969"/>
    <n v="28.165797187809702"/>
    <n v="0.16393442622950799"/>
    <n v="0"/>
    <n v="0.39344262295082"/>
    <n v="0.92307692307692302"/>
    <n v="0.14285714285714299"/>
    <n v="0"/>
    <n v="0.28337236533957838"/>
    <n v="0"/>
  </r>
  <r>
    <n v="224700"/>
    <x v="5"/>
    <x v="9"/>
    <n v="1"/>
    <x v="0"/>
    <s v="University Park"/>
    <n v="0"/>
    <n v="0"/>
    <n v="61.691000000000003"/>
    <n v="40.100145390000002"/>
    <n v="61.100145390000002"/>
    <n v="0.58978342793536798"/>
    <n v="61.689928817935403"/>
    <n v="0.16393442622950799"/>
    <n v="0"/>
    <n v="0.39344262295082"/>
    <n v="0.92307692307692302"/>
    <n v="0.14285714285714299"/>
    <n v="0"/>
    <n v="0.28337236533957838"/>
    <n v="0"/>
  </r>
  <r>
    <n v="228100"/>
    <x v="5"/>
    <x v="9"/>
    <n v="2"/>
    <x v="0"/>
    <s v="South Central"/>
    <n v="0"/>
    <n v="0"/>
    <n v="36.238"/>
    <n v="30.092258510000001"/>
    <n v="35.092258510000001"/>
    <n v="1.14508977014363"/>
    <n v="36.2373482801436"/>
    <n v="0.16393442622950799"/>
    <n v="0"/>
    <n v="0.39344262295082"/>
    <n v="0.92307692307692302"/>
    <n v="0.14285714285714299"/>
    <n v="0"/>
    <n v="0.28337236533957838"/>
    <n v="0"/>
  </r>
  <r>
    <n v="228310"/>
    <x v="5"/>
    <x v="9"/>
    <n v="2"/>
    <x v="0"/>
    <s v="South Central"/>
    <n v="0"/>
    <n v="0"/>
    <n v="25.219000000000001"/>
    <n v="20.503147420000001"/>
    <n v="24.503147420000001"/>
    <n v="0.71596113362657099"/>
    <n v="25.219108553626601"/>
    <n v="0.16393442622950799"/>
    <n v="0"/>
    <n v="0.39344262295082"/>
    <n v="0.92307692307692302"/>
    <n v="0.14285714285714299"/>
    <n v="0"/>
    <n v="0.28337236533957838"/>
    <n v="0"/>
  </r>
  <r>
    <n v="228800"/>
    <x v="5"/>
    <x v="9"/>
    <n v="2"/>
    <x v="0"/>
    <s v="Central Alameda"/>
    <n v="0"/>
    <n v="0"/>
    <n v="46.676000000000002"/>
    <n v="41.66878071"/>
    <n v="43.66878071"/>
    <n v="3.0059143228366199"/>
    <n v="46.674695032836603"/>
    <n v="0.16393442622950799"/>
    <n v="0"/>
    <n v="0.39344262295082"/>
    <n v="0.92307692307692302"/>
    <n v="0.14285714285714299"/>
    <n v="0"/>
    <n v="0.28337236533957838"/>
    <n v="0"/>
  </r>
  <r>
    <n v="228900"/>
    <x v="5"/>
    <x v="9"/>
    <n v="2"/>
    <x v="0"/>
    <s v="Central Alameda"/>
    <n v="1"/>
    <n v="1"/>
    <n v="45.649000000000001"/>
    <n v="29.788644659999999"/>
    <n v="43.788644660000003"/>
    <n v="1.8606171966606799"/>
    <n v="45.649261856660701"/>
    <n v="0.16393442622950799"/>
    <n v="6.1"/>
    <n v="0.39344262295082"/>
    <n v="0.92307692307692302"/>
    <n v="0"/>
    <n v="0"/>
    <n v="0.16393442622950799"/>
    <n v="6.1000000000000076"/>
  </r>
  <r>
    <n v="229100"/>
    <x v="5"/>
    <x v="9"/>
    <n v="2"/>
    <x v="0"/>
    <s v="Central Alameda"/>
    <n v="0"/>
    <n v="0"/>
    <n v="107.605"/>
    <n v="82.196142910000006"/>
    <n v="102.19614291000001"/>
    <n v="5.4082698071095203"/>
    <n v="107.60441271710999"/>
    <n v="0.16393442622950799"/>
    <n v="0"/>
    <n v="0.39344262295082"/>
    <n v="0.92307692307692302"/>
    <n v="0.14285714285714299"/>
    <n v="0"/>
    <n v="0.28337236533957838"/>
    <n v="0"/>
  </r>
  <r>
    <n v="229410"/>
    <x v="5"/>
    <x v="9"/>
    <n v="2"/>
    <x v="0"/>
    <s v="South Park"/>
    <n v="1"/>
    <n v="1"/>
    <n v="38.808"/>
    <n v="35.395173300000003"/>
    <n v="37.395173300000003"/>
    <n v="1.41189982199282"/>
    <n v="38.807073121992801"/>
    <n v="0.16393442622950799"/>
    <n v="6.1"/>
    <n v="0.39344262295082"/>
    <n v="0.92307692307692302"/>
    <n v="0"/>
    <n v="0"/>
    <n v="0.16393442622950799"/>
    <n v="6.1000000000000076"/>
  </r>
  <r>
    <n v="229420"/>
    <x v="5"/>
    <x v="9"/>
    <n v="2"/>
    <x v="0"/>
    <s v="South Park"/>
    <n v="0"/>
    <n v="0"/>
    <n v="16.815999999999999"/>
    <n v="15.29561867"/>
    <n v="16.29561867"/>
    <n v="0.52005528689407499"/>
    <n v="16.815673956894098"/>
    <n v="0.16393442622950799"/>
    <n v="0"/>
    <n v="0.39344262295082"/>
    <n v="0.92307692307692302"/>
    <n v="0.14285714285714299"/>
    <n v="0"/>
    <n v="0.28337236533957838"/>
    <n v="0"/>
  </r>
  <r>
    <n v="231100"/>
    <x v="5"/>
    <x v="9"/>
    <n v="2"/>
    <x v="0"/>
    <s v="South Central"/>
    <n v="0"/>
    <n v="1"/>
    <n v="284.26299999999998"/>
    <n v="256.28183023999998"/>
    <n v="279.28183023999998"/>
    <n v="4.9849173714362696"/>
    <n v="284.26674761143602"/>
    <n v="0.16393442622950799"/>
    <n v="0"/>
    <n v="0.39344262295082"/>
    <n v="0.92307692307692302"/>
    <n v="0.14285714285714299"/>
    <n v="7"/>
    <n v="0.28337236533957838"/>
    <n v="3.5289256198347116"/>
  </r>
  <r>
    <n v="231710"/>
    <x v="5"/>
    <x v="9"/>
    <n v="2"/>
    <x v="0"/>
    <s v="Vermont Square"/>
    <n v="0"/>
    <n v="0"/>
    <n v="78.328999999999994"/>
    <n v="43.627781679999998"/>
    <n v="76.627781679999998"/>
    <n v="1.70172829685817"/>
    <n v="78.329509976858205"/>
    <n v="0.16393442622950799"/>
    <n v="0"/>
    <n v="0.39344262295082"/>
    <n v="0.92307692307692302"/>
    <n v="0.14285714285714299"/>
    <n v="0"/>
    <n v="0.28337236533957838"/>
    <n v="0"/>
  </r>
  <r>
    <n v="231720"/>
    <x v="5"/>
    <x v="9"/>
    <n v="2"/>
    <x v="0"/>
    <s v="Vermont Square"/>
    <n v="0"/>
    <n v="0"/>
    <n v="40.186999999999998"/>
    <n v="33.640319290000001"/>
    <n v="39.640319290000001"/>
    <n v="0.54632129351885095"/>
    <n v="40.186640583518901"/>
    <n v="0.16393442622950799"/>
    <n v="0"/>
    <n v="0.39344262295082"/>
    <n v="0.92307692307692302"/>
    <n v="0.14285714285714299"/>
    <n v="0"/>
    <n v="0.28337236533957838"/>
    <n v="0"/>
  </r>
  <r>
    <n v="231900"/>
    <x v="5"/>
    <x v="9"/>
    <n v="2"/>
    <x v="0"/>
    <s v="South Park"/>
    <n v="1"/>
    <n v="1"/>
    <n v="109.708"/>
    <n v="60.102999769999997"/>
    <n v="108.10299977"/>
    <n v="1.60520784123878"/>
    <n v="109.708207611239"/>
    <n v="0.16393442622950799"/>
    <n v="6.1"/>
    <n v="0.39344262295082"/>
    <n v="0.92307692307692302"/>
    <n v="0"/>
    <n v="0"/>
    <n v="0.16393442622950799"/>
    <n v="6.1000000000000076"/>
  </r>
  <r>
    <n v="232120"/>
    <x v="5"/>
    <x v="9"/>
    <n v="2"/>
    <x v="0"/>
    <s v="Vermont Square"/>
    <n v="0"/>
    <n v="0"/>
    <n v="69.307000000000002"/>
    <n v="50.40338955"/>
    <n v="68.40338955"/>
    <n v="0.90365864847396804"/>
    <n v="69.307048198474007"/>
    <n v="0.16393442622950799"/>
    <n v="0"/>
    <n v="0.39344262295082"/>
    <n v="0.92307692307692302"/>
    <n v="0.14285714285714299"/>
    <n v="0"/>
    <n v="0.28337236533957838"/>
    <n v="0"/>
  </r>
  <r>
    <n v="232800"/>
    <x v="5"/>
    <x v="9"/>
    <n v="2"/>
    <x v="0"/>
    <s v="South Park"/>
    <n v="0"/>
    <n v="0"/>
    <n v="98.090999999999994"/>
    <n v="78.029837729999997"/>
    <n v="96.029837729999997"/>
    <n v="2.0613702334829398"/>
    <n v="98.091207963482901"/>
    <n v="0.16393442622950799"/>
    <n v="0"/>
    <n v="0.39344262295082"/>
    <n v="0.92307692307692302"/>
    <n v="0.14285714285714299"/>
    <n v="0"/>
    <n v="0.28337236533957838"/>
    <n v="0"/>
  </r>
  <r>
    <n v="237102"/>
    <x v="5"/>
    <x v="9"/>
    <n v="2"/>
    <x v="0"/>
    <s v="Vermont Square"/>
    <n v="0"/>
    <n v="0"/>
    <n v="75.424999999999997"/>
    <n v="52.087479360000003"/>
    <n v="74.087479360000003"/>
    <n v="1.3361601024596099"/>
    <n v="75.423639462459604"/>
    <n v="0.16393442622950799"/>
    <n v="0"/>
    <n v="0.39344262295082"/>
    <n v="0.92307692307692302"/>
    <n v="0.14285714285714299"/>
    <n v="0"/>
    <n v="0.28337236533957838"/>
    <n v="0"/>
  </r>
  <r>
    <n v="239201"/>
    <x v="5"/>
    <x v="9"/>
    <n v="2"/>
    <x v="0"/>
    <s v="South Park"/>
    <n v="0"/>
    <n v="0"/>
    <n v="88.162999999999997"/>
    <n v="66.174044330000001"/>
    <n v="86.174044330000001"/>
    <n v="1.9876114341831199"/>
    <n v="88.161655764183095"/>
    <n v="0.16393442622950799"/>
    <n v="0"/>
    <n v="0.39344262295082"/>
    <n v="0.92307692307692302"/>
    <n v="0.14285714285714299"/>
    <n v="0"/>
    <n v="0.28337236533957838"/>
    <n v="0"/>
  </r>
  <r>
    <n v="239330"/>
    <x v="5"/>
    <x v="9"/>
    <n v="2"/>
    <x v="0"/>
    <s v="South Park"/>
    <n v="0"/>
    <n v="1"/>
    <n v="17.065000000000001"/>
    <n v="11.35769487"/>
    <n v="16.35769487"/>
    <n v="0.70731501305206501"/>
    <n v="17.065009883052099"/>
    <n v="0.16393442622950799"/>
    <n v="0"/>
    <n v="0.39344262295082"/>
    <n v="0.92307692307692302"/>
    <n v="0.14285714285714299"/>
    <n v="7"/>
    <n v="0.28337236533957838"/>
    <n v="3.5289256198347116"/>
  </r>
  <r>
    <n v="240010"/>
    <x v="5"/>
    <x v="9"/>
    <n v="2"/>
    <x v="0"/>
    <s v="Green Meadows"/>
    <n v="0"/>
    <n v="0"/>
    <n v="7.2759999999999998"/>
    <n v="4.8620928000000001"/>
    <n v="6.8620928000000001"/>
    <n v="0.414076613662478"/>
    <n v="7.2761694136624797"/>
    <n v="0.16393442622950799"/>
    <n v="0"/>
    <n v="0.39344262295082"/>
    <n v="0.92307692307692302"/>
    <n v="0.14285714285714299"/>
    <n v="0"/>
    <n v="0.28337236533957838"/>
    <n v="0"/>
  </r>
  <r>
    <n v="239702"/>
    <x v="5"/>
    <x v="9"/>
    <n v="2"/>
    <x v="0"/>
    <s v="South Park"/>
    <n v="0"/>
    <n v="0"/>
    <n v="62.31"/>
    <n v="47.155077640000002"/>
    <n v="61.155077640000002"/>
    <n v="1.1544229305026901"/>
    <n v="62.309500570502699"/>
    <n v="0.16393442622950799"/>
    <n v="0"/>
    <n v="0.39344262295082"/>
    <n v="0.92307692307692302"/>
    <n v="0.14285714285714299"/>
    <n v="0"/>
    <n v="0.28337236533957838"/>
    <n v="0"/>
  </r>
  <r>
    <n v="232700"/>
    <x v="5"/>
    <x v="9"/>
    <n v="2"/>
    <x v="0"/>
    <s v="Vermont Square"/>
    <n v="0"/>
    <n v="0"/>
    <n v="102.93600000000001"/>
    <n v="85.186727559999994"/>
    <n v="101.18672755999999"/>
    <n v="1.7488905404308801"/>
    <n v="102.935618100431"/>
    <n v="0.16393442622950799"/>
    <n v="0"/>
    <n v="0.39344262295082"/>
    <n v="0.92307692307692302"/>
    <n v="0.14285714285714299"/>
    <n v="0"/>
    <n v="0.28337236533957838"/>
    <n v="0"/>
  </r>
  <r>
    <n v="229300"/>
    <x v="5"/>
    <x v="9"/>
    <n v="2"/>
    <x v="0"/>
    <s v="South Park"/>
    <n v="0"/>
    <n v="0"/>
    <n v="12.302"/>
    <n v="6.8891605699999996"/>
    <n v="11.88916057"/>
    <n v="0.412595628096948"/>
    <n v="12.3017561980969"/>
    <n v="0.16393442622950799"/>
    <n v="0"/>
    <n v="0.39344262295082"/>
    <n v="0.92307692307692302"/>
    <n v="0.14285714285714299"/>
    <n v="0"/>
    <n v="0.28337236533957838"/>
    <n v="0"/>
  </r>
  <r>
    <n v="228500"/>
    <x v="5"/>
    <x v="9"/>
    <n v="2"/>
    <x v="0"/>
    <s v="South Park"/>
    <n v="0"/>
    <n v="1"/>
    <n v="72.584999999999994"/>
    <n v="29.210451710000001"/>
    <n v="71.210451710000001"/>
    <n v="1.3744892577019701"/>
    <n v="72.584940967701996"/>
    <n v="0.16393442622950799"/>
    <n v="0"/>
    <n v="0.39344262295082"/>
    <n v="0.92307692307692302"/>
    <n v="0.14285714285714299"/>
    <n v="7"/>
    <n v="0.28337236533957838"/>
    <n v="3.5289256198347116"/>
  </r>
  <r>
    <n v="236202"/>
    <x v="5"/>
    <x v="10"/>
    <n v="2"/>
    <x v="0"/>
    <s v="Baldwin Hills / Crenshaw"/>
    <n v="0"/>
    <n v="0"/>
    <n v="28.617999999999999"/>
    <n v="22.78697451"/>
    <n v="27.78697451"/>
    <n v="0.83106694554757599"/>
    <n v="28.618041455547601"/>
    <n v="0.16393442622950799"/>
    <n v="0"/>
    <n v="0.114754098360656"/>
    <n v="0.38888888888888901"/>
    <n v="8.3333333333333301E-2"/>
    <n v="0"/>
    <n v="0.23360655737704897"/>
    <n v="0"/>
  </r>
  <r>
    <n v="220000"/>
    <x v="5"/>
    <x v="10"/>
    <n v="2"/>
    <x v="0"/>
    <s v="Adams-La Brea"/>
    <n v="1"/>
    <n v="1"/>
    <n v="20.379000000000001"/>
    <n v="7.9347986400000003"/>
    <n v="19.93479864"/>
    <n v="0.44469040552962302"/>
    <n v="20.379489045529599"/>
    <n v="0.16393442622950799"/>
    <n v="6.1"/>
    <n v="0.114754098360656"/>
    <n v="0.38888888888888901"/>
    <n v="0"/>
    <n v="0"/>
    <n v="0.16393442622950799"/>
    <n v="6.1000000000000076"/>
  </r>
  <r>
    <n v="218702"/>
    <x v="5"/>
    <x v="10"/>
    <n v="2"/>
    <x v="0"/>
    <s v="West Adams-Expo Park"/>
    <n v="0"/>
    <n v="0"/>
    <n v="14.404"/>
    <n v="13.53394548"/>
    <n v="13.53394548"/>
    <n v="0.86940387149012599"/>
    <n v="14.4033493514901"/>
    <n v="0.16393442622950799"/>
    <n v="0"/>
    <n v="0.114754098360656"/>
    <n v="0.38888888888888901"/>
    <n v="8.3333333333333301E-2"/>
    <n v="0"/>
    <n v="0.23360655737704897"/>
    <n v="0"/>
  </r>
  <r>
    <n v="219020"/>
    <x v="5"/>
    <x v="10"/>
    <n v="2"/>
    <x v="0"/>
    <s v="West Adams-Expo Park"/>
    <n v="0"/>
    <n v="0"/>
    <n v="46.405000000000001"/>
    <n v="43.596225580000002"/>
    <n v="43.596225580000002"/>
    <n v="2.8086096127109501"/>
    <n v="46.404835192710998"/>
    <n v="0.16393442622950799"/>
    <n v="0"/>
    <n v="0.114754098360656"/>
    <n v="0.38888888888888901"/>
    <n v="8.3333333333333301E-2"/>
    <n v="0"/>
    <n v="0.23360655737704897"/>
    <n v="0"/>
  </r>
  <r>
    <n v="219700"/>
    <x v="5"/>
    <x v="10"/>
    <n v="2"/>
    <x v="0"/>
    <s v="Adams-La Brea"/>
    <n v="1"/>
    <n v="1"/>
    <n v="16.419"/>
    <n v="15.70170781"/>
    <n v="15.70170781"/>
    <n v="0.71672311357271101"/>
    <n v="16.4184309235727"/>
    <n v="0.16393442622950799"/>
    <n v="6.1"/>
    <n v="0.114754098360656"/>
    <n v="0.38888888888888901"/>
    <n v="0"/>
    <n v="0"/>
    <n v="0.16393442622950799"/>
    <n v="6.1000000000000076"/>
  </r>
  <r>
    <n v="219901"/>
    <x v="5"/>
    <x v="10"/>
    <n v="2"/>
    <x v="0"/>
    <s v="Adams-La Brea"/>
    <n v="0"/>
    <n v="0"/>
    <n v="26.111000000000001"/>
    <n v="17.273342240000002"/>
    <n v="25.273342240000002"/>
    <n v="0.83763195095152598"/>
    <n v="26.110974190951499"/>
    <n v="0.16393442622950799"/>
    <n v="0"/>
    <n v="0.114754098360656"/>
    <n v="0.38888888888888901"/>
    <n v="8.3333333333333301E-2"/>
    <n v="0"/>
    <n v="0.23360655737704897"/>
    <n v="0"/>
  </r>
  <r>
    <n v="234200"/>
    <x v="5"/>
    <x v="10"/>
    <n v="2"/>
    <x v="0"/>
    <s v="Baldwin Hills / Crenshaw"/>
    <n v="0"/>
    <n v="0"/>
    <n v="38.139000000000003"/>
    <n v="31.442941269999999"/>
    <n v="36.442941269999999"/>
    <n v="1.6964329767684001"/>
    <n v="38.139374246768398"/>
    <n v="0.16393442622950799"/>
    <n v="0"/>
    <n v="0.114754098360656"/>
    <n v="0.38888888888888901"/>
    <n v="8.3333333333333301E-2"/>
    <n v="0"/>
    <n v="0.23360655737704897"/>
    <n v="0"/>
  </r>
  <r>
    <n v="243100"/>
    <x v="5"/>
    <x v="15"/>
    <n v="2"/>
    <x v="0"/>
    <s v="Watts"/>
    <n v="0"/>
    <n v="0"/>
    <n v="34.19"/>
    <n v="3.9673993200000002"/>
    <n v="33.967399319999998"/>
    <n v="0.22234520276481101"/>
    <n v="34.189744522764798"/>
    <n v="0.16393442622950799"/>
    <n v="0"/>
    <n v="8.1967213114754106E-2"/>
    <n v="0.15625"/>
    <n v="0"/>
    <n v="0"/>
    <n v="0.16393442622950799"/>
    <n v="0"/>
  </r>
  <r>
    <n v="241001"/>
    <x v="5"/>
    <x v="15"/>
    <n v="2"/>
    <x v="0"/>
    <s v="Green Meadows"/>
    <n v="0"/>
    <n v="0"/>
    <n v="76.403000000000006"/>
    <n v="62.204711410000002"/>
    <n v="73.204711410000002"/>
    <n v="3.19826366138241"/>
    <n v="76.4029750713824"/>
    <n v="0.16393442622950799"/>
    <n v="0"/>
    <n v="8.1967213114754106E-2"/>
    <n v="0.15625"/>
    <n v="0"/>
    <n v="0"/>
    <n v="0.16393442622950799"/>
    <n v="0"/>
  </r>
  <r>
    <n v="241002"/>
    <x v="5"/>
    <x v="15"/>
    <n v="2"/>
    <x v="0"/>
    <s v="Green Meadows"/>
    <n v="1"/>
    <n v="1"/>
    <n v="61.451000000000001"/>
    <n v="55.569326760000003"/>
    <n v="57.569326760000003"/>
    <n v="3.8820469535008999"/>
    <n v="61.451373713500899"/>
    <n v="0.16393442622950799"/>
    <n v="6.1"/>
    <n v="8.1967213114754106E-2"/>
    <n v="0.15625"/>
    <n v="0"/>
    <n v="0"/>
    <n v="0.16393442622950799"/>
    <n v="6.1000000000000076"/>
  </r>
  <r>
    <n v="241400"/>
    <x v="5"/>
    <x v="15"/>
    <n v="2"/>
    <x v="0"/>
    <s v="Green Meadows"/>
    <n v="0"/>
    <n v="0"/>
    <n v="81.366"/>
    <n v="80.124539409999997"/>
    <n v="80.124539409999997"/>
    <n v="1.2412424911131099"/>
    <n v="81.365781901113095"/>
    <n v="0.16393442622950799"/>
    <n v="0"/>
    <n v="8.1967213114754106E-2"/>
    <n v="0.15625"/>
    <n v="0"/>
    <n v="0"/>
    <n v="0.16393442622950799"/>
    <n v="0"/>
  </r>
  <r>
    <n v="242600"/>
    <x v="5"/>
    <x v="15"/>
    <n v="2"/>
    <x v="0"/>
    <s v="Watts"/>
    <n v="1"/>
    <n v="1"/>
    <n v="97.022000000000006"/>
    <n v="34.767452089999999"/>
    <n v="95.767452090000006"/>
    <n v="1.25527066535009"/>
    <n v="97.022722755350102"/>
    <n v="0.16393442622950799"/>
    <n v="6.1"/>
    <n v="8.1967213114754106E-2"/>
    <n v="0.15625"/>
    <n v="0"/>
    <n v="0"/>
    <n v="0.16393442622950799"/>
    <n v="6.1000000000000076"/>
  </r>
  <r>
    <n v="535400"/>
    <x v="5"/>
    <x v="0"/>
    <n v="2"/>
    <x v="1"/>
    <s v="Florence-Graham"/>
    <n v="1"/>
    <n v="1"/>
    <n v="145.87799999999999"/>
    <n v="103.09206392999999"/>
    <n v="140.09206392999999"/>
    <n v="7.7855317475224401"/>
    <n v="147.87759567752201"/>
    <n v="1"/>
    <n v="1"/>
    <n v="0"/>
    <n v="0"/>
    <n v="0"/>
    <n v="0"/>
    <n v="1"/>
    <n v="1"/>
  </r>
  <r>
    <n v="237300"/>
    <x v="5"/>
    <x v="14"/>
    <n v="2"/>
    <x v="1"/>
    <s v="Vermont Square"/>
    <n v="1"/>
    <n v="1"/>
    <n v="23.44"/>
    <n v="11.837989589999999"/>
    <n v="22.837989589999999"/>
    <n v="7.6013650678635596"/>
    <n v="30.4393546578636"/>
    <n v="1"/>
    <n v="1"/>
    <n v="0"/>
    <n v="0"/>
    <n v="0"/>
    <n v="0"/>
    <n v="1"/>
    <n v="1"/>
  </r>
  <r>
    <n v="237600"/>
    <x v="5"/>
    <x v="14"/>
    <n v="2"/>
    <x v="1"/>
    <s v="South Vermont"/>
    <n v="1"/>
    <n v="1"/>
    <n v="48.94"/>
    <n v="30.619669869999999"/>
    <n v="46.619669870000003"/>
    <n v="5.3200572349192097"/>
    <n v="51.9397271049192"/>
    <n v="1"/>
    <n v="1"/>
    <n v="0"/>
    <n v="0"/>
    <n v="0"/>
    <n v="0"/>
    <n v="1"/>
    <n v="1"/>
  </r>
  <r>
    <n v="222700"/>
    <x v="5"/>
    <x v="9"/>
    <n v="2"/>
    <x v="1"/>
    <s v="Adams"/>
    <n v="1"/>
    <n v="1"/>
    <n v="100.393"/>
    <n v="86.007981959999995"/>
    <n v="98.007981959999995"/>
    <n v="4.3852899474147202"/>
    <n v="102.393271907415"/>
    <n v="1"/>
    <n v="1"/>
    <n v="0"/>
    <n v="0"/>
    <n v="0"/>
    <n v="0"/>
    <n v="1"/>
    <n v="1"/>
  </r>
  <r>
    <n v="239202"/>
    <x v="5"/>
    <x v="9"/>
    <n v="2"/>
    <x v="1"/>
    <s v="South Park"/>
    <n v="1"/>
    <n v="1"/>
    <n v="61.612000000000002"/>
    <n v="53.260800979999999"/>
    <n v="59.260800979999999"/>
    <n v="2.3515825142190301"/>
    <n v="61.612383494219003"/>
    <n v="1"/>
    <n v="1"/>
    <n v="0"/>
    <n v="0"/>
    <n v="0"/>
    <n v="0"/>
    <n v="1"/>
    <n v="1"/>
  </r>
  <r>
    <n v="218900"/>
    <x v="5"/>
    <x v="10"/>
    <n v="2"/>
    <x v="1"/>
    <s v="West Adams-Expo Park"/>
    <n v="1"/>
    <n v="1"/>
    <n v="26.256"/>
    <n v="21.49624215"/>
    <n v="24.49624215"/>
    <n v="4.7601019143447001"/>
    <n v="29.256344064344699"/>
    <n v="1"/>
    <n v="1"/>
    <n v="0"/>
    <n v="0"/>
    <n v="0"/>
    <n v="0"/>
    <n v="1"/>
    <n v="1"/>
  </r>
  <r>
    <n v="221401"/>
    <x v="5"/>
    <x v="10"/>
    <n v="2"/>
    <x v="1"/>
    <s v="West Adams-Expo Park"/>
    <n v="1"/>
    <n v="1"/>
    <n v="60.828000000000003"/>
    <n v="55.394039650000003"/>
    <n v="56.394039650000003"/>
    <n v="6.4341976457630201"/>
    <n v="62.828237295763003"/>
    <n v="1"/>
    <n v="1"/>
    <n v="0"/>
    <n v="0"/>
    <n v="0"/>
    <n v="0"/>
    <n v="1"/>
    <n v="1"/>
  </r>
  <r>
    <n v="234300"/>
    <x v="5"/>
    <x v="10"/>
    <n v="2"/>
    <x v="1"/>
    <s v="Baldwin Hills / Crenshaw"/>
    <n v="1"/>
    <n v="1"/>
    <n v="73.826999999999998"/>
    <n v="52.308447000000001"/>
    <n v="71.308447000000001"/>
    <n v="2.5184005697666101"/>
    <n v="73.826847569766599"/>
    <n v="1"/>
    <n v="1"/>
    <n v="0"/>
    <n v="0"/>
    <n v="0"/>
    <n v="0"/>
    <n v="1"/>
    <n v="1"/>
  </r>
  <r>
    <n v="535200"/>
    <x v="5"/>
    <x v="0"/>
    <n v="2"/>
    <x v="2"/>
    <s v="Florence-Graham"/>
    <n v="0"/>
    <n v="0"/>
    <n v="21.085999999999999"/>
    <n v="15.246274469999999"/>
    <n v="20.246274469999999"/>
    <n v="0.83911293651705599"/>
    <n v="21.0853874065171"/>
    <n v="3.2258064516128997E-2"/>
    <n v="0"/>
    <n v="0.29032258064516098"/>
    <n v="0"/>
    <n v="0"/>
    <n v="0"/>
    <n v="3.2258064516128997E-2"/>
    <n v="0"/>
  </r>
  <r>
    <n v="535101"/>
    <x v="5"/>
    <x v="0"/>
    <n v="2"/>
    <x v="2"/>
    <s v="Florence-Graham"/>
    <n v="0"/>
    <n v="0"/>
    <n v="20.759"/>
    <n v="17.88820845"/>
    <n v="19.88820845"/>
    <n v="0.87037511089766595"/>
    <n v="20.758583560897701"/>
    <n v="3.2258064516128997E-2"/>
    <n v="0"/>
    <n v="0.29032258064516098"/>
    <n v="0"/>
    <n v="0"/>
    <n v="0"/>
    <n v="3.2258064516128997E-2"/>
    <n v="0"/>
  </r>
  <r>
    <n v="542200"/>
    <x v="5"/>
    <x v="0"/>
    <n v="2"/>
    <x v="2"/>
    <s v="Compton"/>
    <n v="0"/>
    <n v="0"/>
    <n v="17.603000000000002"/>
    <n v="17.036883079999999"/>
    <n v="17.036883079999999"/>
    <n v="0.56599011305206504"/>
    <n v="17.602873193052101"/>
    <n v="3.2258064516128997E-2"/>
    <n v="0"/>
    <n v="0.29032258064516098"/>
    <n v="0"/>
    <n v="0"/>
    <n v="0"/>
    <n v="3.2258064516128997E-2"/>
    <n v="0"/>
  </r>
  <r>
    <n v="540400"/>
    <x v="5"/>
    <x v="0"/>
    <n v="2"/>
    <x v="2"/>
    <s v="Lynwood"/>
    <n v="0"/>
    <n v="0"/>
    <n v="34.435000000000002"/>
    <n v="21.68949589"/>
    <n v="33.689495890000003"/>
    <n v="0.74547858958707403"/>
    <n v="34.434974479587098"/>
    <n v="3.2258064516128997E-2"/>
    <n v="0"/>
    <n v="0.29032258064516098"/>
    <n v="0"/>
    <n v="0"/>
    <n v="0"/>
    <n v="3.2258064516128997E-2"/>
    <n v="0"/>
  </r>
  <r>
    <n v="541605"/>
    <x v="5"/>
    <x v="0"/>
    <n v="2"/>
    <x v="2"/>
    <s v="Compton"/>
    <n v="0"/>
    <n v="0"/>
    <n v="31.077000000000002"/>
    <n v="23.696819439999999"/>
    <n v="29.696819439999999"/>
    <n v="1.3810542631059199"/>
    <n v="31.077873703105901"/>
    <n v="3.2258064516128997E-2"/>
    <n v="0"/>
    <n v="0.29032258064516098"/>
    <n v="0"/>
    <n v="0"/>
    <n v="0"/>
    <n v="3.2258064516128997E-2"/>
    <n v="0"/>
  </r>
  <r>
    <n v="541700"/>
    <x v="5"/>
    <x v="0"/>
    <n v="2"/>
    <x v="2"/>
    <s v="Lynwood"/>
    <n v="0"/>
    <n v="0"/>
    <n v="6.2850000000000001"/>
    <n v="5.9510989800000003"/>
    <n v="5.9510989800000003"/>
    <n v="0.33351780414721699"/>
    <n v="6.2846167841472198"/>
    <n v="3.2258064516128997E-2"/>
    <n v="0"/>
    <n v="0.29032258064516098"/>
    <n v="0"/>
    <n v="0"/>
    <n v="0"/>
    <n v="3.2258064516128997E-2"/>
    <n v="0"/>
  </r>
  <r>
    <n v="540600"/>
    <x v="5"/>
    <x v="0"/>
    <n v="2"/>
    <x v="2"/>
    <s v="Willowbrook"/>
    <n v="0"/>
    <n v="0"/>
    <n v="11"/>
    <n v="0"/>
    <n v="11"/>
    <n v="0"/>
    <n v="11"/>
    <n v="3.2258064516128997E-2"/>
    <n v="0"/>
    <n v="0.29032258064516098"/>
    <n v="0"/>
    <n v="0"/>
    <n v="0"/>
    <n v="3.2258064516128997E-2"/>
    <n v="0"/>
  </r>
  <r>
    <n v="540300"/>
    <x v="5"/>
    <x v="0"/>
    <n v="2"/>
    <x v="2"/>
    <s v="Lynwood"/>
    <n v="0"/>
    <n v="0"/>
    <n v="5.9260000000000002"/>
    <n v="1.90487994"/>
    <n v="5.9048799399999998"/>
    <n v="2.0625322082585301E-2"/>
    <n v="5.9255052620825897"/>
    <n v="3.2258064516128997E-2"/>
    <n v="0"/>
    <n v="0.29032258064516098"/>
    <n v="0"/>
    <n v="0"/>
    <n v="0"/>
    <n v="3.2258064516128997E-2"/>
    <n v="0"/>
  </r>
  <r>
    <n v="540202"/>
    <x v="5"/>
    <x v="0"/>
    <n v="2"/>
    <x v="2"/>
    <s v="Lynwood"/>
    <n v="0"/>
    <n v="0"/>
    <n v="11"/>
    <n v="0"/>
    <n v="11"/>
    <n v="0"/>
    <n v="11"/>
    <n v="3.2258064516128997E-2"/>
    <n v="0"/>
    <n v="0.29032258064516098"/>
    <n v="0"/>
    <n v="0"/>
    <n v="0"/>
    <n v="3.2258064516128997E-2"/>
    <n v="0"/>
  </r>
  <r>
    <n v="224420"/>
    <x v="5"/>
    <x v="8"/>
    <n v="1"/>
    <x v="2"/>
    <s v="University Park"/>
    <n v="0"/>
    <n v="0"/>
    <n v="41.860999999999997"/>
    <n v="21.18836091"/>
    <n v="41.18836091"/>
    <n v="0.67310440739676802"/>
    <n v="41.861465317396799"/>
    <n v="3.2258064516128997E-2"/>
    <n v="0"/>
    <n v="3.2258064516128997E-2"/>
    <n v="0.1"/>
    <n v="0"/>
    <n v="0"/>
    <n v="3.2258064516128997E-2"/>
    <n v="0"/>
  </r>
  <r>
    <n v="221710"/>
    <x v="5"/>
    <x v="14"/>
    <n v="1"/>
    <x v="2"/>
    <s v="Adams"/>
    <n v="0"/>
    <n v="0"/>
    <n v="21.332000000000001"/>
    <n v="5.26746318"/>
    <n v="21.26746318"/>
    <n v="6.3609185601436302E-2"/>
    <n v="21.331072365601401"/>
    <n v="3.2258064516128997E-2"/>
    <n v="0"/>
    <n v="0.19354838709677399"/>
    <n v="1"/>
    <n v="0.16666666666666699"/>
    <n v="0"/>
    <n v="0.19354838709677449"/>
    <n v="0"/>
  </r>
  <r>
    <n v="231300"/>
    <x v="5"/>
    <x v="14"/>
    <n v="2"/>
    <x v="2"/>
    <s v="Adams"/>
    <n v="0"/>
    <n v="0"/>
    <n v="31.187999999999999"/>
    <n v="20.651108610000001"/>
    <n v="29.651108610000001"/>
    <n v="1.5361166228904799"/>
    <n v="31.187225232890501"/>
    <n v="3.2258064516128997E-2"/>
    <n v="0"/>
    <n v="0.19354838709677399"/>
    <n v="1"/>
    <n v="0.16666666666666699"/>
    <n v="0"/>
    <n v="0.19354838709677449"/>
    <n v="0"/>
  </r>
  <r>
    <n v="237710"/>
    <x v="5"/>
    <x v="14"/>
    <n v="2"/>
    <x v="2"/>
    <s v="South Vermont"/>
    <n v="0"/>
    <n v="0"/>
    <n v="35.081000000000003"/>
    <n v="24.195117870000001"/>
    <n v="34.195117869999997"/>
    <n v="0.885679367540395"/>
    <n v="35.080797237540402"/>
    <n v="3.2258064516128997E-2"/>
    <n v="0"/>
    <n v="0.19354838709677399"/>
    <n v="1"/>
    <n v="0.16666666666666699"/>
    <n v="0"/>
    <n v="0.19354838709677449"/>
    <n v="0"/>
  </r>
  <r>
    <n v="238320"/>
    <x v="5"/>
    <x v="14"/>
    <n v="2"/>
    <x v="2"/>
    <s v="South Vermont"/>
    <n v="0"/>
    <n v="0"/>
    <n v="39.904000000000003"/>
    <n v="14.386492499999999"/>
    <n v="39.386492500000003"/>
    <n v="0.51720322407540398"/>
    <n v="39.903695724075398"/>
    <n v="3.2258064516128997E-2"/>
    <n v="0"/>
    <n v="0.19354838709677399"/>
    <n v="1"/>
    <n v="0.16666666666666699"/>
    <n v="0"/>
    <n v="0.19354838709677449"/>
    <n v="0"/>
  </r>
  <r>
    <n v="240500"/>
    <x v="5"/>
    <x v="14"/>
    <n v="2"/>
    <x v="2"/>
    <s v="Green Meadows"/>
    <n v="0"/>
    <n v="0"/>
    <n v="29.722000000000001"/>
    <n v="22.601118410000002"/>
    <n v="28.601118410000002"/>
    <n v="1.1208818805565499"/>
    <n v="29.722000290556601"/>
    <n v="3.2258064516128997E-2"/>
    <n v="0"/>
    <n v="0.19354838709677399"/>
    <n v="1"/>
    <n v="0.16666666666666699"/>
    <n v="0"/>
    <n v="0.19354838709677449"/>
    <n v="0"/>
  </r>
  <r>
    <n v="240600"/>
    <x v="5"/>
    <x v="14"/>
    <n v="2"/>
    <x v="2"/>
    <s v="Green Meadows"/>
    <n v="0"/>
    <n v="1"/>
    <n v="28.919"/>
    <n v="19.006474409999999"/>
    <n v="28.006474409999999"/>
    <n v="0.91261746123877896"/>
    <n v="28.919091871238798"/>
    <n v="3.2258064516128997E-2"/>
    <n v="0"/>
    <n v="0.19354838709677399"/>
    <n v="1"/>
    <n v="0.16666666666666699"/>
    <n v="6"/>
    <n v="0.19354838709677449"/>
    <n v="5.166666666666659"/>
  </r>
  <r>
    <n v="239701"/>
    <x v="5"/>
    <x v="9"/>
    <n v="2"/>
    <x v="2"/>
    <s v="South Park"/>
    <n v="0"/>
    <n v="0"/>
    <n v="33.308999999999997"/>
    <n v="21.089796969999998"/>
    <n v="32.089796970000002"/>
    <n v="1.21961378718133"/>
    <n v="33.309410757181297"/>
    <n v="3.2258064516128997E-2"/>
    <n v="0"/>
    <n v="0.35483870967741898"/>
    <n v="1"/>
    <n v="0"/>
    <n v="0"/>
    <n v="3.2258064516128997E-2"/>
    <n v="0"/>
  </r>
  <r>
    <n v="232300"/>
    <x v="5"/>
    <x v="9"/>
    <n v="2"/>
    <x v="2"/>
    <s v="Vermont Square"/>
    <n v="0"/>
    <n v="0"/>
    <n v="14.686"/>
    <n v="3.4228962300000001"/>
    <n v="14.422896229999999"/>
    <n v="0.26262460752244199"/>
    <n v="14.6855208375224"/>
    <n v="3.2258064516128997E-2"/>
    <n v="0"/>
    <n v="0.35483870967741898"/>
    <n v="1"/>
    <n v="0"/>
    <n v="0"/>
    <n v="3.2258064516128997E-2"/>
    <n v="0"/>
  </r>
  <r>
    <n v="226420"/>
    <x v="5"/>
    <x v="9"/>
    <n v="2"/>
    <x v="2"/>
    <s v="South Central"/>
    <n v="0"/>
    <n v="0"/>
    <n v="14.207000000000001"/>
    <n v="4.9054609100000004"/>
    <n v="13.90546091"/>
    <n v="0.30142302671454202"/>
    <n v="14.206883936714499"/>
    <n v="3.2258064516128997E-2"/>
    <n v="0"/>
    <n v="0.35483870967741898"/>
    <n v="1"/>
    <n v="0"/>
    <n v="0"/>
    <n v="3.2258064516128997E-2"/>
    <n v="0"/>
  </r>
  <r>
    <n v="226700"/>
    <x v="5"/>
    <x v="9"/>
    <n v="2"/>
    <x v="2"/>
    <s v="South Central"/>
    <n v="1"/>
    <n v="1"/>
    <n v="31.018000000000001"/>
    <n v="20.90957676"/>
    <n v="29.90957676"/>
    <n v="1.10782680991023"/>
    <n v="31.017403569910201"/>
    <n v="3.2258064516128997E-2"/>
    <n v="31"/>
    <n v="0.35483870967741898"/>
    <n v="1"/>
    <n v="0"/>
    <n v="0"/>
    <n v="3.2258064516128997E-2"/>
    <n v="31.000000000000036"/>
  </r>
  <r>
    <n v="227010"/>
    <x v="5"/>
    <x v="9"/>
    <n v="2"/>
    <x v="2"/>
    <s v="South Central"/>
    <n v="0"/>
    <n v="0"/>
    <n v="37.906999999999996"/>
    <n v="25.97780998"/>
    <n v="36.977809980000004"/>
    <n v="0.928410997271095"/>
    <n v="37.906220977271097"/>
    <n v="3.2258064516128997E-2"/>
    <n v="0"/>
    <n v="0.35483870967741898"/>
    <n v="1"/>
    <n v="0"/>
    <n v="0"/>
    <n v="3.2258064516128997E-2"/>
    <n v="0"/>
  </r>
  <r>
    <n v="228320"/>
    <x v="5"/>
    <x v="9"/>
    <n v="2"/>
    <x v="2"/>
    <s v="South Park"/>
    <n v="0"/>
    <n v="0"/>
    <n v="22.422000000000001"/>
    <n v="18.652225820000002"/>
    <n v="21.652225820000002"/>
    <n v="0.76944321308797103"/>
    <n v="22.421669033088001"/>
    <n v="3.2258064516128997E-2"/>
    <n v="0"/>
    <n v="0.35483870967741898"/>
    <n v="1"/>
    <n v="0"/>
    <n v="0"/>
    <n v="3.2258064516128997E-2"/>
    <n v="0"/>
  </r>
  <r>
    <n v="231220"/>
    <x v="5"/>
    <x v="9"/>
    <n v="2"/>
    <x v="2"/>
    <s v="Adams"/>
    <n v="0"/>
    <n v="0"/>
    <n v="29.759"/>
    <n v="15.869597280000001"/>
    <n v="28.869597280000001"/>
    <n v="0.88938081105924605"/>
    <n v="29.758978091059198"/>
    <n v="3.2258064516128997E-2"/>
    <n v="0"/>
    <n v="0.35483870967741898"/>
    <n v="1"/>
    <n v="0"/>
    <n v="0"/>
    <n v="3.2258064516128997E-2"/>
    <n v="0"/>
  </r>
  <r>
    <n v="232110"/>
    <x v="5"/>
    <x v="9"/>
    <n v="2"/>
    <x v="2"/>
    <s v="Vermont Square"/>
    <n v="0"/>
    <n v="0"/>
    <n v="25.605"/>
    <n v="11.33635159"/>
    <n v="25.33635159"/>
    <n v="0.26865939999999999"/>
    <n v="25.60501099"/>
    <n v="3.2258064516128997E-2"/>
    <n v="0"/>
    <n v="0.35483870967741898"/>
    <n v="1"/>
    <n v="0"/>
    <n v="0"/>
    <n v="3.2258064516128997E-2"/>
    <n v="0"/>
  </r>
  <r>
    <n v="237201"/>
    <x v="5"/>
    <x v="9"/>
    <n v="2"/>
    <x v="2"/>
    <s v="Vermont Square"/>
    <n v="0"/>
    <n v="0"/>
    <n v="41.734000000000002"/>
    <n v="12.60257874"/>
    <n v="40.602578739999998"/>
    <n v="1.13105723960503"/>
    <n v="41.733635979604998"/>
    <n v="3.2258064516128997E-2"/>
    <n v="0"/>
    <n v="0.35483870967741898"/>
    <n v="1"/>
    <n v="0"/>
    <n v="0"/>
    <n v="3.2258064516128997E-2"/>
    <n v="0"/>
  </r>
  <r>
    <n v="239601"/>
    <x v="5"/>
    <x v="9"/>
    <n v="2"/>
    <x v="2"/>
    <s v="South Park"/>
    <n v="0"/>
    <n v="0"/>
    <n v="33.75"/>
    <n v="18.266599660000001"/>
    <n v="33.266599659999997"/>
    <n v="0.48285398206463198"/>
    <n v="33.749453642064601"/>
    <n v="3.2258064516128997E-2"/>
    <n v="0"/>
    <n v="0.35483870967741898"/>
    <n v="1"/>
    <n v="0"/>
    <n v="0"/>
    <n v="3.2258064516128997E-2"/>
    <n v="0"/>
  </r>
  <r>
    <n v="239602"/>
    <x v="5"/>
    <x v="9"/>
    <n v="2"/>
    <x v="2"/>
    <s v="South Park"/>
    <n v="0"/>
    <n v="0"/>
    <n v="50.962000000000003"/>
    <n v="23.101713289999999"/>
    <n v="50.101713289999999"/>
    <n v="0.85987689495511699"/>
    <n v="50.961590184955099"/>
    <n v="3.2258064516128997E-2"/>
    <n v="0"/>
    <n v="0.35483870967741898"/>
    <n v="1"/>
    <n v="0"/>
    <n v="0"/>
    <n v="3.2258064516128997E-2"/>
    <n v="0"/>
  </r>
  <r>
    <n v="219300"/>
    <x v="5"/>
    <x v="10"/>
    <n v="2"/>
    <x v="2"/>
    <s v="West Adams-Expo Park"/>
    <n v="0"/>
    <n v="0"/>
    <n v="14.207000000000001"/>
    <n v="4.9054609100000004"/>
    <n v="13.90546091"/>
    <n v="0.30142302671454202"/>
    <n v="14.206883936714499"/>
    <n v="3.2258064516128997E-2"/>
    <n v="0"/>
    <n v="6.4516129032258104E-2"/>
    <n v="0.5"/>
    <n v="0.25"/>
    <n v="0"/>
    <n v="0.27419354838709675"/>
    <n v="0"/>
  </r>
  <r>
    <n v="219800"/>
    <x v="5"/>
    <x v="10"/>
    <n v="2"/>
    <x v="2"/>
    <s v="Adams-La Brea"/>
    <n v="0"/>
    <n v="0"/>
    <n v="24.838999999999999"/>
    <n v="11.44215048"/>
    <n v="24.442150479999999"/>
    <n v="0.39626038007181302"/>
    <n v="24.8384108600718"/>
    <n v="3.2258064516128997E-2"/>
    <n v="0"/>
    <n v="6.4516129032258104E-2"/>
    <n v="0.5"/>
    <n v="0.25"/>
    <n v="0"/>
    <n v="0.27419354838709675"/>
    <n v="0"/>
  </r>
  <r>
    <n v="241300"/>
    <x v="5"/>
    <x v="15"/>
    <n v="2"/>
    <x v="2"/>
    <s v="Harbor Gateway"/>
    <n v="0"/>
    <n v="0"/>
    <n v="34.19"/>
    <n v="3.9673993200000002"/>
    <n v="33.967399319999998"/>
    <n v="0.22234520276481101"/>
    <n v="34.189744522764798"/>
    <n v="3.2258064516128997E-2"/>
    <n v="0"/>
    <n v="6.4516129032258104E-2"/>
    <n v="0.28571428571428598"/>
    <n v="0"/>
    <n v="0"/>
    <n v="3.2258064516128997E-2"/>
    <n v="0"/>
  </r>
  <r>
    <n v="242300"/>
    <x v="5"/>
    <x v="15"/>
    <n v="2"/>
    <x v="2"/>
    <s v="Watts"/>
    <n v="0"/>
    <n v="0"/>
    <n v="12.579000000000001"/>
    <n v="9.0715871700000008"/>
    <n v="12.071587170000001"/>
    <n v="0.50646174204667904"/>
    <n v="12.5780489120467"/>
    <n v="3.2258064516128997E-2"/>
    <n v="0"/>
    <n v="6.4516129032258104E-2"/>
    <n v="0.28571428571428598"/>
    <n v="0"/>
    <n v="0"/>
    <n v="3.2258064516128997E-2"/>
    <n v="0"/>
  </r>
  <r>
    <n v="553901"/>
    <x v="5"/>
    <x v="0"/>
    <n v="4"/>
    <x v="3"/>
    <s v="Paramount"/>
    <n v="0"/>
    <n v="0"/>
    <n v="1"/>
    <n v="0"/>
    <n v="1"/>
    <n v="0"/>
    <n v="1"/>
    <n v="2.34375E-2"/>
    <n v="0"/>
    <n v="0.375"/>
    <n v="0"/>
    <n v="0"/>
    <n v="0"/>
    <n v="2.34375E-2"/>
    <n v="0"/>
  </r>
  <r>
    <n v="542800"/>
    <x v="5"/>
    <x v="0"/>
    <n v="2"/>
    <x v="3"/>
    <s v="Compton"/>
    <n v="0"/>
    <n v="0"/>
    <n v="1.8080000000000001"/>
    <n v="1.73313217"/>
    <n v="1.73313217"/>
    <n v="7.4985510287253102E-2"/>
    <n v="1.8081176802872501"/>
    <n v="2.34375E-2"/>
    <n v="0"/>
    <n v="0.375"/>
    <n v="0"/>
    <n v="0"/>
    <n v="0"/>
    <n v="2.34375E-2"/>
    <n v="0"/>
  </r>
  <r>
    <n v="532900"/>
    <x v="5"/>
    <x v="0"/>
    <n v="2"/>
    <x v="3"/>
    <s v="Florence-Graham"/>
    <n v="0"/>
    <n v="0"/>
    <n v="3.399"/>
    <n v="3.1723287400000002"/>
    <n v="3.1723287400000002"/>
    <n v="0.22643751642728899"/>
    <n v="3.3987662564272898"/>
    <n v="2.34375E-2"/>
    <n v="0"/>
    <n v="0.375"/>
    <n v="0"/>
    <n v="0"/>
    <n v="0"/>
    <n v="2.34375E-2"/>
    <n v="0"/>
  </r>
  <r>
    <n v="553802"/>
    <x v="5"/>
    <x v="0"/>
    <n v="4"/>
    <x v="3"/>
    <s v="Paramount"/>
    <n v="0"/>
    <n v="0"/>
    <n v="24.785"/>
    <n v="16.656714279999999"/>
    <n v="23.656714279999999"/>
    <n v="1.12809526847397"/>
    <n v="24.784809548474001"/>
    <n v="2.34375E-2"/>
    <n v="0"/>
    <n v="0.375"/>
    <n v="0"/>
    <n v="0"/>
    <n v="0"/>
    <n v="2.34375E-2"/>
    <n v="0"/>
  </r>
  <r>
    <n v="535002"/>
    <x v="5"/>
    <x v="0"/>
    <n v="2"/>
    <x v="3"/>
    <s v="Florence-Graham"/>
    <n v="0"/>
    <n v="0"/>
    <n v="19.242999999999999"/>
    <n v="15.43263359"/>
    <n v="18.432633589999998"/>
    <n v="0.80962948718132899"/>
    <n v="19.242263077181299"/>
    <n v="2.34375E-2"/>
    <n v="0"/>
    <n v="0.375"/>
    <n v="0"/>
    <n v="0"/>
    <n v="0"/>
    <n v="2.34375E-2"/>
    <n v="0"/>
  </r>
  <r>
    <n v="535102"/>
    <x v="5"/>
    <x v="0"/>
    <n v="2"/>
    <x v="3"/>
    <s v="Florence-Graham"/>
    <n v="0"/>
    <n v="0"/>
    <n v="9.2759999999999998"/>
    <n v="4.8620928000000001"/>
    <n v="8.8620927999999992"/>
    <n v="0.414076613662478"/>
    <n v="9.2761694136624797"/>
    <n v="2.34375E-2"/>
    <n v="0"/>
    <n v="0.375"/>
    <n v="0"/>
    <n v="0"/>
    <n v="0"/>
    <n v="2.34375E-2"/>
    <n v="0"/>
  </r>
  <r>
    <n v="542502"/>
    <x v="5"/>
    <x v="0"/>
    <n v="2"/>
    <x v="3"/>
    <s v="Compton"/>
    <n v="0"/>
    <n v="0"/>
    <n v="15.135999999999999"/>
    <n v="10.649360509999999"/>
    <n v="14.649360509999999"/>
    <n v="0.48610015281867203"/>
    <n v="15.1354606628187"/>
    <n v="2.34375E-2"/>
    <n v="0"/>
    <n v="0.375"/>
    <n v="0"/>
    <n v="0"/>
    <n v="0"/>
    <n v="2.34375E-2"/>
    <n v="0"/>
  </r>
  <r>
    <n v="540000"/>
    <x v="5"/>
    <x v="0"/>
    <n v="2"/>
    <x v="3"/>
    <s v="Lynwood"/>
    <n v="0"/>
    <n v="0"/>
    <n v="19.577999999999999"/>
    <n v="17.31193339"/>
    <n v="19.31193339"/>
    <n v="0.26667967676840199"/>
    <n v="19.578613066768401"/>
    <n v="2.34375E-2"/>
    <n v="0"/>
    <n v="0.375"/>
    <n v="0"/>
    <n v="0"/>
    <n v="0"/>
    <n v="2.34375E-2"/>
    <n v="0"/>
  </r>
  <r>
    <n v="540201"/>
    <x v="5"/>
    <x v="0"/>
    <n v="2"/>
    <x v="3"/>
    <s v="Lynwood"/>
    <n v="0"/>
    <n v="0"/>
    <n v="1"/>
    <n v="0"/>
    <n v="1"/>
    <n v="0"/>
    <n v="1"/>
    <n v="2.34375E-2"/>
    <n v="0"/>
    <n v="0.375"/>
    <n v="0"/>
    <n v="0"/>
    <n v="0"/>
    <n v="2.34375E-2"/>
    <n v="0"/>
  </r>
  <r>
    <n v="540203"/>
    <x v="5"/>
    <x v="0"/>
    <n v="2"/>
    <x v="3"/>
    <s v="Lynwood"/>
    <n v="0"/>
    <n v="0"/>
    <n v="10.368"/>
    <n v="7.1538363900000004"/>
    <n v="10.15383639"/>
    <n v="0.213327972387792"/>
    <n v="10.3671643623878"/>
    <n v="2.34375E-2"/>
    <n v="0"/>
    <n v="0.375"/>
    <n v="0"/>
    <n v="0"/>
    <n v="0"/>
    <n v="2.34375E-2"/>
    <n v="0"/>
  </r>
  <r>
    <n v="540502"/>
    <x v="5"/>
    <x v="0"/>
    <n v="2"/>
    <x v="3"/>
    <s v="Lynwood"/>
    <n v="0"/>
    <n v="0"/>
    <n v="5.7110000000000003"/>
    <n v="5.4499639999999996"/>
    <n v="5.4499639999999996"/>
    <n v="0.26114362195691199"/>
    <n v="5.7111076219569101"/>
    <n v="2.34375E-2"/>
    <n v="0"/>
    <n v="0.375"/>
    <n v="0"/>
    <n v="0"/>
    <n v="0"/>
    <n v="2.34375E-2"/>
    <n v="0"/>
  </r>
  <r>
    <n v="540901"/>
    <x v="5"/>
    <x v="0"/>
    <n v="2"/>
    <x v="3"/>
    <s v="Willowbrook"/>
    <n v="0"/>
    <n v="0"/>
    <n v="19.706"/>
    <n v="16.85102698"/>
    <n v="18.85102698"/>
    <n v="0.85580504806104096"/>
    <n v="19.706832028061001"/>
    <n v="2.34375E-2"/>
    <n v="0"/>
    <n v="0.375"/>
    <n v="0"/>
    <n v="0"/>
    <n v="0"/>
    <n v="2.34375E-2"/>
    <n v="0"/>
  </r>
  <r>
    <n v="541400"/>
    <x v="5"/>
    <x v="0"/>
    <n v="2"/>
    <x v="3"/>
    <s v="Willowbrook"/>
    <n v="0"/>
    <n v="0"/>
    <n v="2"/>
    <n v="0"/>
    <n v="2"/>
    <n v="0"/>
    <n v="2"/>
    <n v="2.34375E-2"/>
    <n v="0"/>
    <n v="0.375"/>
    <n v="0"/>
    <n v="0"/>
    <n v="0"/>
    <n v="2.34375E-2"/>
    <n v="0"/>
  </r>
  <r>
    <n v="541603"/>
    <x v="5"/>
    <x v="0"/>
    <n v="2"/>
    <x v="3"/>
    <s v="Compton"/>
    <n v="0"/>
    <n v="0"/>
    <n v="8.7769999999999992"/>
    <n v="5.7146398200000004"/>
    <n v="8.7146398200000004"/>
    <n v="6.18759662477558E-2"/>
    <n v="8.7765157862477494"/>
    <n v="2.34375E-2"/>
    <n v="0"/>
    <n v="0.375"/>
    <n v="0"/>
    <n v="0"/>
    <n v="0"/>
    <n v="2.34375E-2"/>
    <n v="0"/>
  </r>
  <r>
    <n v="541604"/>
    <x v="5"/>
    <x v="0"/>
    <n v="2"/>
    <x v="3"/>
    <s v="Compton"/>
    <n v="0"/>
    <n v="0"/>
    <n v="11.48"/>
    <n v="7.39593144"/>
    <n v="11.39593144"/>
    <n v="8.3367898007181293E-2"/>
    <n v="11.4792993380072"/>
    <n v="2.34375E-2"/>
    <n v="0"/>
    <n v="0.375"/>
    <n v="0"/>
    <n v="0"/>
    <n v="0"/>
    <n v="2.34375E-2"/>
    <n v="0"/>
  </r>
  <r>
    <n v="541606"/>
    <x v="5"/>
    <x v="0"/>
    <n v="2"/>
    <x v="3"/>
    <s v="Compton"/>
    <n v="1"/>
    <n v="1"/>
    <n v="13.958"/>
    <n v="8.5930329600000004"/>
    <n v="13.59303296"/>
    <n v="0.36477997852782801"/>
    <n v="13.9578129385278"/>
    <n v="2.34375E-2"/>
    <n v="42.6666666666667"/>
    <n v="0.375"/>
    <n v="0"/>
    <n v="0"/>
    <n v="0"/>
    <n v="2.34375E-2"/>
    <n v="42.666666666666664"/>
  </r>
  <r>
    <n v="542000"/>
    <x v="5"/>
    <x v="0"/>
    <n v="2"/>
    <x v="3"/>
    <s v="Compton"/>
    <n v="0"/>
    <n v="0"/>
    <n v="16.891999999999999"/>
    <n v="8.3283571399999996"/>
    <n v="16.328357140000001"/>
    <n v="0.56404763423698401"/>
    <n v="16.892404774237001"/>
    <n v="2.34375E-2"/>
    <n v="0"/>
    <n v="0.375"/>
    <n v="0"/>
    <n v="0"/>
    <n v="0"/>
    <n v="2.34375E-2"/>
    <n v="0"/>
  </r>
  <r>
    <n v="542104"/>
    <x v="5"/>
    <x v="0"/>
    <n v="2"/>
    <x v="3"/>
    <s v="Unincorporated Compton"/>
    <n v="0"/>
    <n v="0"/>
    <n v="2.0950000000000002"/>
    <n v="1.9836996600000001"/>
    <n v="1.9836996600000001"/>
    <n v="0.11117260138240601"/>
    <n v="2.09487226138241"/>
    <n v="2.34375E-2"/>
    <n v="0"/>
    <n v="0.375"/>
    <n v="0"/>
    <n v="0"/>
    <n v="0"/>
    <n v="2.34375E-2"/>
    <n v="0"/>
  </r>
  <r>
    <n v="542105"/>
    <x v="5"/>
    <x v="0"/>
    <n v="2"/>
    <x v="3"/>
    <s v="Compton"/>
    <n v="0"/>
    <n v="0"/>
    <n v="1.8080000000000001"/>
    <n v="1.73313217"/>
    <n v="1.73313217"/>
    <n v="7.4985510287253102E-2"/>
    <n v="1.8081176802872501"/>
    <n v="2.34375E-2"/>
    <n v="0"/>
    <n v="0.375"/>
    <n v="0"/>
    <n v="0"/>
    <n v="0"/>
    <n v="2.34375E-2"/>
    <n v="0"/>
  </r>
  <r>
    <n v="542401"/>
    <x v="5"/>
    <x v="0"/>
    <n v="2"/>
    <x v="3"/>
    <s v="Compton"/>
    <n v="0"/>
    <n v="0"/>
    <n v="10.474"/>
    <n v="9.9184982999999995"/>
    <n v="9.9184982999999995"/>
    <n v="0.55586300691202895"/>
    <n v="10.474361306912"/>
    <n v="2.34375E-2"/>
    <n v="0"/>
    <n v="0.375"/>
    <n v="0"/>
    <n v="0"/>
    <n v="0"/>
    <n v="2.34375E-2"/>
    <n v="0"/>
  </r>
  <r>
    <n v="542402"/>
    <x v="5"/>
    <x v="0"/>
    <n v="2"/>
    <x v="3"/>
    <s v="Compton"/>
    <n v="0"/>
    <n v="0"/>
    <n v="16.481000000000002"/>
    <n v="15.468085200000001"/>
    <n v="15.468085200000001"/>
    <n v="1.0128303534290799"/>
    <n v="16.480915553429099"/>
    <n v="2.34375E-2"/>
    <n v="0"/>
    <n v="0.375"/>
    <n v="0"/>
    <n v="0"/>
    <n v="0"/>
    <n v="2.34375E-2"/>
    <n v="0"/>
  </r>
  <r>
    <n v="542501"/>
    <x v="5"/>
    <x v="0"/>
    <n v="2"/>
    <x v="3"/>
    <s v="Compton"/>
    <n v="0"/>
    <n v="0"/>
    <n v="1.591"/>
    <n v="1.43919657"/>
    <n v="1.43919657"/>
    <n v="0.15145200614003601"/>
    <n v="1.59064857614004"/>
    <n v="2.34375E-2"/>
    <n v="0"/>
    <n v="0.375"/>
    <n v="0"/>
    <n v="0"/>
    <n v="0"/>
    <n v="2.34375E-2"/>
    <n v="0"/>
  </r>
  <r>
    <n v="542700"/>
    <x v="5"/>
    <x v="0"/>
    <n v="2"/>
    <x v="3"/>
    <s v="Compton"/>
    <n v="0"/>
    <n v="0"/>
    <n v="4.734"/>
    <n v="3.63801211"/>
    <n v="4.63801211"/>
    <n v="9.5610832369838403E-2"/>
    <n v="4.7336229423698404"/>
    <n v="2.34375E-2"/>
    <n v="0"/>
    <n v="0.375"/>
    <n v="0"/>
    <n v="0"/>
    <n v="0"/>
    <n v="2.34375E-2"/>
    <n v="0"/>
  </r>
  <r>
    <n v="542900"/>
    <x v="5"/>
    <x v="0"/>
    <n v="2"/>
    <x v="3"/>
    <s v="Compton"/>
    <n v="0"/>
    <n v="0"/>
    <n v="0"/>
    <n v="0"/>
    <n v="0"/>
    <n v="0"/>
    <n v="0"/>
    <n v="2.34375E-2"/>
    <n v="0"/>
    <n v="0.375"/>
    <n v="0"/>
    <n v="0"/>
    <n v="0"/>
    <n v="2.34375E-2"/>
    <n v="0"/>
  </r>
  <r>
    <n v="543000"/>
    <x v="5"/>
    <x v="0"/>
    <n v="2"/>
    <x v="3"/>
    <s v="Compton"/>
    <n v="0"/>
    <n v="0"/>
    <n v="21.664000000000001"/>
    <n v="13.88589762"/>
    <n v="20.885897620000001"/>
    <n v="0.77820820967684001"/>
    <n v="21.664105829676799"/>
    <n v="2.34375E-2"/>
    <n v="0"/>
    <n v="0.375"/>
    <n v="0"/>
    <n v="0"/>
    <n v="0"/>
    <n v="2.34375E-2"/>
    <n v="0"/>
  </r>
  <r>
    <n v="543202"/>
    <x v="5"/>
    <x v="0"/>
    <n v="2"/>
    <x v="3"/>
    <s v="Compton"/>
    <n v="0"/>
    <n v="0"/>
    <n v="14.151"/>
    <n v="12.25238835"/>
    <n v="13.25238835"/>
    <n v="0.899046423949731"/>
    <n v="14.151434773949701"/>
    <n v="2.34375E-2"/>
    <n v="0"/>
    <n v="0.375"/>
    <n v="0"/>
    <n v="0"/>
    <n v="0"/>
    <n v="2.34375E-2"/>
    <n v="0"/>
  </r>
  <r>
    <n v="542103"/>
    <x v="5"/>
    <x v="0"/>
    <n v="2"/>
    <x v="3"/>
    <s v="Unincorporated Compton"/>
    <n v="0"/>
    <n v="0"/>
    <n v="2"/>
    <n v="0"/>
    <n v="2"/>
    <n v="0"/>
    <n v="2"/>
    <n v="2.34375E-2"/>
    <n v="0"/>
    <n v="0.375"/>
    <n v="0"/>
    <n v="0"/>
    <n v="0"/>
    <n v="2.34375E-2"/>
    <n v="0"/>
  </r>
  <r>
    <n v="553602"/>
    <x v="5"/>
    <x v="0"/>
    <n v="4"/>
    <x v="3"/>
    <s v="Paramount"/>
    <n v="0"/>
    <n v="0"/>
    <n v="9.5850000000000009"/>
    <n v="7.4477719899999997"/>
    <n v="9.4477719899999997"/>
    <n v="0.13686147653500899"/>
    <n v="9.5846334665350099"/>
    <n v="2.34375E-2"/>
    <n v="0"/>
    <n v="0.375"/>
    <n v="0"/>
    <n v="0"/>
    <n v="0"/>
    <n v="2.34375E-2"/>
    <n v="0"/>
  </r>
  <r>
    <n v="541801"/>
    <x v="5"/>
    <x v="0"/>
    <n v="2"/>
    <x v="3"/>
    <s v="Lynwood"/>
    <n v="0"/>
    <n v="0"/>
    <n v="3.6859999999999999"/>
    <n v="3.4228962300000001"/>
    <n v="3.4228962300000001"/>
    <n v="0.26262460752244199"/>
    <n v="3.6855208375224402"/>
    <n v="2.34375E-2"/>
    <n v="0"/>
    <n v="0.375"/>
    <n v="0"/>
    <n v="0"/>
    <n v="0"/>
    <n v="2.34375E-2"/>
    <n v="0"/>
  </r>
  <r>
    <n v="553502"/>
    <x v="5"/>
    <x v="0"/>
    <n v="4"/>
    <x v="3"/>
    <s v="Paramount"/>
    <n v="0"/>
    <n v="0"/>
    <n v="1"/>
    <n v="0"/>
    <n v="1"/>
    <n v="0"/>
    <n v="1"/>
    <n v="2.34375E-2"/>
    <n v="0"/>
    <n v="0.375"/>
    <n v="0"/>
    <n v="0"/>
    <n v="0"/>
    <n v="2.34375E-2"/>
    <n v="0"/>
  </r>
  <r>
    <n v="553503"/>
    <x v="5"/>
    <x v="0"/>
    <n v="4"/>
    <x v="3"/>
    <s v="Paramount"/>
    <n v="0"/>
    <n v="0"/>
    <n v="0"/>
    <n v="0"/>
    <n v="0"/>
    <n v="0"/>
    <n v="0"/>
    <n v="2.34375E-2"/>
    <n v="0"/>
    <n v="0.375"/>
    <n v="0"/>
    <n v="0"/>
    <n v="0"/>
    <n v="2.34375E-2"/>
    <n v="0"/>
  </r>
  <r>
    <n v="553504"/>
    <x v="5"/>
    <x v="0"/>
    <n v="4"/>
    <x v="3"/>
    <s v="Paramount"/>
    <n v="0"/>
    <n v="0"/>
    <n v="2.0950000000000002"/>
    <n v="1.9836996600000001"/>
    <n v="1.9836996600000001"/>
    <n v="0.11117260138240601"/>
    <n v="2.09487226138241"/>
    <n v="2.34375E-2"/>
    <n v="0"/>
    <n v="0.375"/>
    <n v="0"/>
    <n v="0"/>
    <n v="0"/>
    <n v="2.34375E-2"/>
    <n v="0"/>
  </r>
  <r>
    <n v="553701"/>
    <x v="5"/>
    <x v="0"/>
    <n v="4"/>
    <x v="3"/>
    <s v="Paramount"/>
    <n v="0"/>
    <n v="0"/>
    <n v="16.178999999999998"/>
    <n v="13.879002870000001"/>
    <n v="15.879002870000001"/>
    <n v="0.299295699425494"/>
    <n v="16.1782985694255"/>
    <n v="2.34375E-2"/>
    <n v="0"/>
    <n v="0.375"/>
    <n v="0"/>
    <n v="0"/>
    <n v="0"/>
    <n v="2.34375E-2"/>
    <n v="0"/>
  </r>
  <r>
    <n v="553702"/>
    <x v="5"/>
    <x v="0"/>
    <n v="4"/>
    <x v="3"/>
    <s v="Paramount"/>
    <n v="0"/>
    <n v="0"/>
    <n v="15.34"/>
    <n v="11.97640354"/>
    <n v="14.97640354"/>
    <n v="0.36441783642728898"/>
    <n v="15.3408213764273"/>
    <n v="2.34375E-2"/>
    <n v="0"/>
    <n v="0.375"/>
    <n v="0"/>
    <n v="0"/>
    <n v="0"/>
    <n v="2.34375E-2"/>
    <n v="0"/>
  </r>
  <r>
    <n v="553801"/>
    <x v="5"/>
    <x v="0"/>
    <n v="4"/>
    <x v="3"/>
    <s v="Paramount"/>
    <n v="0"/>
    <n v="0"/>
    <n v="18.690000000000001"/>
    <n v="14.67301462"/>
    <n v="17.67301462"/>
    <n v="1.0169226670915601"/>
    <n v="18.689937287091599"/>
    <n v="2.34375E-2"/>
    <n v="0"/>
    <n v="0.375"/>
    <n v="0"/>
    <n v="0"/>
    <n v="0"/>
    <n v="2.34375E-2"/>
    <n v="0"/>
  </r>
  <r>
    <n v="553902"/>
    <x v="5"/>
    <x v="0"/>
    <n v="4"/>
    <x v="3"/>
    <s v="Paramount"/>
    <n v="0"/>
    <n v="0"/>
    <n v="7.9260000000000002"/>
    <n v="1.90487994"/>
    <n v="7.9048799399999998"/>
    <n v="2.0625322082585301E-2"/>
    <n v="7.9255052620825897"/>
    <n v="2.34375E-2"/>
    <n v="0"/>
    <n v="0.375"/>
    <n v="0"/>
    <n v="0"/>
    <n v="0"/>
    <n v="2.34375E-2"/>
    <n v="0"/>
  </r>
  <r>
    <n v="540102"/>
    <x v="5"/>
    <x v="0"/>
    <n v="2"/>
    <x v="3"/>
    <s v="Lynwood"/>
    <n v="0"/>
    <n v="0"/>
    <n v="7.851"/>
    <n v="3.8097598800000001"/>
    <n v="7.8097598799999997"/>
    <n v="4.1250644165170602E-2"/>
    <n v="7.8510105241651704"/>
    <n v="2.34375E-2"/>
    <n v="0"/>
    <n v="0.375"/>
    <n v="0"/>
    <n v="0"/>
    <n v="0"/>
    <n v="2.34375E-2"/>
    <n v="0"/>
  </r>
  <r>
    <n v="703200"/>
    <x v="5"/>
    <x v="0"/>
    <n v="2"/>
    <x v="3"/>
    <s v="View Park-Windsor Hills"/>
    <n v="0"/>
    <n v="0"/>
    <n v="8.3249999999999993"/>
    <n v="5.07720868"/>
    <n v="8.07720868"/>
    <n v="0.24706283850987401"/>
    <n v="8.3242715185098692"/>
    <n v="2.34375E-2"/>
    <n v="0"/>
    <n v="0.375"/>
    <n v="0"/>
    <n v="0"/>
    <n v="0"/>
    <n v="2.34375E-2"/>
    <n v="0"/>
  </r>
  <r>
    <n v="532800"/>
    <x v="5"/>
    <x v="0"/>
    <n v="2"/>
    <x v="3"/>
    <s v="Florence-Graham"/>
    <n v="0"/>
    <n v="0"/>
    <n v="37.503"/>
    <n v="27.656265179999998"/>
    <n v="35.656265179999998"/>
    <n v="1.8462062369479399"/>
    <n v="37.502471416947898"/>
    <n v="2.34375E-2"/>
    <n v="0"/>
    <n v="0.375"/>
    <n v="0"/>
    <n v="0"/>
    <n v="0"/>
    <n v="2.34375E-2"/>
    <n v="0"/>
  </r>
  <r>
    <n v="553601"/>
    <x v="5"/>
    <x v="0"/>
    <n v="4"/>
    <x v="3"/>
    <s v="Paramount"/>
    <n v="0"/>
    <n v="0"/>
    <n v="13.952999999999999"/>
    <n v="8.6633802400000004"/>
    <n v="13.66338024"/>
    <n v="0.28918009235188502"/>
    <n v="13.952560332351901"/>
    <n v="2.34375E-2"/>
    <n v="0"/>
    <n v="0.375"/>
    <n v="0"/>
    <n v="0"/>
    <n v="0"/>
    <n v="2.34375E-2"/>
    <n v="0"/>
  </r>
  <r>
    <n v="542106"/>
    <x v="5"/>
    <x v="0"/>
    <n v="2"/>
    <x v="3"/>
    <s v="Compton"/>
    <n v="0"/>
    <n v="0"/>
    <n v="10.97"/>
    <n v="9.3739952100000004"/>
    <n v="10.37399521"/>
    <n v="0.59614241166965898"/>
    <n v="10.9701376216697"/>
    <n v="2.34375E-2"/>
    <n v="0"/>
    <n v="0.375"/>
    <n v="0"/>
    <n v="0"/>
    <n v="0"/>
    <n v="2.34375E-2"/>
    <n v="0"/>
  </r>
  <r>
    <n v="540101"/>
    <x v="5"/>
    <x v="0"/>
    <n v="2"/>
    <x v="3"/>
    <s v="Lynwood"/>
    <n v="0"/>
    <n v="0"/>
    <n v="11.637"/>
    <n v="7.3548439400000003"/>
    <n v="11.35484394"/>
    <n v="0.28176894403949698"/>
    <n v="11.636612884039501"/>
    <n v="2.34375E-2"/>
    <n v="0"/>
    <n v="0.375"/>
    <n v="0"/>
    <n v="0"/>
    <n v="0"/>
    <n v="2.34375E-2"/>
    <n v="0"/>
  </r>
  <r>
    <n v="541802"/>
    <x v="5"/>
    <x v="0"/>
    <n v="2"/>
    <x v="3"/>
    <s v="Lynwood"/>
    <n v="0"/>
    <n v="0"/>
    <n v="2.0950000000000002"/>
    <n v="1.9836996600000001"/>
    <n v="1.9836996600000001"/>
    <n v="0.11117260138240601"/>
    <n v="2.09487226138241"/>
    <n v="2.34375E-2"/>
    <n v="0"/>
    <n v="0.375"/>
    <n v="0"/>
    <n v="0"/>
    <n v="0"/>
    <n v="2.34375E-2"/>
    <n v="0"/>
  </r>
  <r>
    <n v="703100"/>
    <x v="5"/>
    <x v="0"/>
    <n v="2"/>
    <x v="3"/>
    <s v="View Park-Windsor Hills"/>
    <n v="0"/>
    <n v="0"/>
    <n v="9.5440000000000005"/>
    <n v="8.6351794200000001"/>
    <n v="8.6351794200000001"/>
    <n v="0.90871203684021595"/>
    <n v="9.5438914568402193"/>
    <n v="2.34375E-2"/>
    <n v="0"/>
    <n v="0.375"/>
    <n v="0"/>
    <n v="0"/>
    <n v="0"/>
    <n v="2.34375E-2"/>
    <n v="0"/>
  </r>
  <r>
    <n v="543100"/>
    <x v="5"/>
    <x v="0"/>
    <n v="2"/>
    <x v="3"/>
    <s v="Compton"/>
    <n v="0"/>
    <n v="0"/>
    <n v="3"/>
    <n v="0"/>
    <n v="3"/>
    <n v="0"/>
    <n v="3"/>
    <n v="2.34375E-2"/>
    <n v="0"/>
    <n v="0.375"/>
    <n v="0"/>
    <n v="0"/>
    <n v="0"/>
    <n v="2.34375E-2"/>
    <n v="0"/>
  </r>
  <r>
    <n v="541500"/>
    <x v="5"/>
    <x v="0"/>
    <n v="2"/>
    <x v="3"/>
    <s v="Willowbrook"/>
    <n v="0"/>
    <n v="0"/>
    <n v="15.038"/>
    <n v="13.79120782"/>
    <n v="13.79120782"/>
    <n v="1.2463221546499099"/>
    <n v="15.0375299746499"/>
    <n v="2.34375E-2"/>
    <n v="0"/>
    <n v="0.375"/>
    <n v="0"/>
    <n v="0"/>
    <n v="0"/>
    <n v="2.34375E-2"/>
    <n v="0"/>
  </r>
  <r>
    <n v="540501"/>
    <x v="5"/>
    <x v="0"/>
    <n v="2"/>
    <x v="3"/>
    <s v="Lynwood"/>
    <n v="0"/>
    <n v="0"/>
    <n v="12.702"/>
    <n v="7.6195197600000002"/>
    <n v="12.619519759999999"/>
    <n v="8.2501288330341094E-2"/>
    <n v="12.7020210483303"/>
    <n v="2.34375E-2"/>
    <n v="0"/>
    <n v="0.375"/>
    <n v="0"/>
    <n v="0"/>
    <n v="0"/>
    <n v="2.34375E-2"/>
    <n v="0"/>
  </r>
  <r>
    <n v="543201"/>
    <x v="5"/>
    <x v="0"/>
    <n v="2"/>
    <x v="3"/>
    <s v="Compton"/>
    <n v="0"/>
    <n v="0"/>
    <n v="18.815999999999999"/>
    <n v="13.25410237"/>
    <n v="18.254102369999998"/>
    <n v="0.56179316965888704"/>
    <n v="18.8158955396589"/>
    <n v="2.34375E-2"/>
    <n v="0"/>
    <n v="0.375"/>
    <n v="0"/>
    <n v="0"/>
    <n v="0"/>
    <n v="2.34375E-2"/>
    <n v="0"/>
  </r>
  <r>
    <n v="224410"/>
    <x v="5"/>
    <x v="8"/>
    <n v="1"/>
    <x v="3"/>
    <s v="University Park"/>
    <n v="0"/>
    <n v="0"/>
    <n v="21.719000000000001"/>
    <n v="16.970934199999999"/>
    <n v="20.970934199999999"/>
    <n v="0.74795128132854605"/>
    <n v="21.718885481328499"/>
    <n v="2.34375E-2"/>
    <n v="0"/>
    <n v="1.5625E-2"/>
    <n v="6.25E-2"/>
    <n v="0"/>
    <n v="0"/>
    <n v="2.34375E-2"/>
    <n v="0"/>
  </r>
  <r>
    <n v="221602"/>
    <x v="5"/>
    <x v="8"/>
    <n v="2"/>
    <x v="3"/>
    <s v="Pico Union"/>
    <n v="0"/>
    <n v="0"/>
    <n v="25.87"/>
    <n v="24.957033289999998"/>
    <n v="24.957033289999998"/>
    <n v="0.91275609759425502"/>
    <n v="25.869789387594299"/>
    <n v="2.34375E-2"/>
    <n v="0"/>
    <n v="1.5625E-2"/>
    <n v="6.25E-2"/>
    <n v="0"/>
    <n v="0"/>
    <n v="2.34375E-2"/>
    <n v="0"/>
  </r>
  <r>
    <n v="222500"/>
    <x v="5"/>
    <x v="14"/>
    <n v="2"/>
    <x v="3"/>
    <s v="Adams"/>
    <n v="0"/>
    <n v="0"/>
    <n v="5.5910000000000002"/>
    <n v="1.43919657"/>
    <n v="5.43919657"/>
    <n v="0.15145200614003601"/>
    <n v="5.5906485761400404"/>
    <n v="2.34375E-2"/>
    <n v="0"/>
    <n v="0.265625"/>
    <n v="1"/>
    <n v="0.15151515151515199"/>
    <n v="0"/>
    <n v="0.17140151515151561"/>
    <n v="0"/>
  </r>
  <r>
    <n v="221500"/>
    <x v="5"/>
    <x v="14"/>
    <n v="2"/>
    <x v="3"/>
    <s v="Adams"/>
    <n v="0"/>
    <n v="1"/>
    <n v="13.509"/>
    <n v="9.1149552800000002"/>
    <n v="13.11495528"/>
    <n v="0.39380815509874301"/>
    <n v="13.5087634350987"/>
    <n v="2.34375E-2"/>
    <n v="0"/>
    <n v="0.265625"/>
    <n v="1"/>
    <n v="0.15151515151515199"/>
    <n v="6.6"/>
    <n v="0.17140151515151561"/>
    <n v="5.8342541436463931"/>
  </r>
  <r>
    <n v="221601"/>
    <x v="5"/>
    <x v="14"/>
    <n v="2"/>
    <x v="3"/>
    <s v="Adams"/>
    <n v="0"/>
    <n v="1"/>
    <n v="21.271000000000001"/>
    <n v="19.521717720000002"/>
    <n v="20.521717720000002"/>
    <n v="0.74953689662477596"/>
    <n v="21.271254616624802"/>
    <n v="2.34375E-2"/>
    <n v="0"/>
    <n v="0.265625"/>
    <n v="1"/>
    <n v="0.15151515151515199"/>
    <n v="6.6"/>
    <n v="0.17140151515151561"/>
    <n v="5.8342541436463931"/>
  </r>
  <r>
    <n v="221810"/>
    <x v="5"/>
    <x v="14"/>
    <n v="2"/>
    <x v="3"/>
    <s v="Adams"/>
    <n v="0"/>
    <n v="0"/>
    <n v="19.684999999999999"/>
    <n v="17.774477220000001"/>
    <n v="18.774477220000001"/>
    <n v="0.91000613314183099"/>
    <n v="19.6844833531418"/>
    <n v="2.34375E-2"/>
    <n v="0"/>
    <n v="0.265625"/>
    <n v="1"/>
    <n v="0.15151515151515199"/>
    <n v="0"/>
    <n v="0.17140151515151561"/>
    <n v="0"/>
  </r>
  <r>
    <n v="222002"/>
    <x v="5"/>
    <x v="14"/>
    <n v="2"/>
    <x v="3"/>
    <s v="Adams"/>
    <n v="0"/>
    <n v="0"/>
    <n v="23.19"/>
    <n v="14.659965120000001"/>
    <n v="22.659965119999999"/>
    <n v="0.53065813256732497"/>
    <n v="23.190623252567299"/>
    <n v="2.34375E-2"/>
    <n v="0"/>
    <n v="0.265625"/>
    <n v="1"/>
    <n v="0.15151515151515199"/>
    <n v="0"/>
    <n v="0.17140151515151561"/>
    <n v="0"/>
  </r>
  <r>
    <n v="222600"/>
    <x v="5"/>
    <x v="14"/>
    <n v="2"/>
    <x v="3"/>
    <s v="Adams"/>
    <n v="0"/>
    <n v="0"/>
    <n v="6.4240000000000004"/>
    <n v="5.1993965099999997"/>
    <n v="6.1993965099999997"/>
    <n v="0.22495653086175901"/>
    <n v="6.4243530408617602"/>
    <n v="2.34375E-2"/>
    <n v="0"/>
    <n v="0.265625"/>
    <n v="1"/>
    <n v="0.15151515151515199"/>
    <n v="0"/>
    <n v="0.17140151515151561"/>
    <n v="0"/>
  </r>
  <r>
    <n v="234901"/>
    <x v="5"/>
    <x v="14"/>
    <n v="2"/>
    <x v="3"/>
    <s v="Baldwin Hills / Crenshaw"/>
    <n v="0"/>
    <n v="0"/>
    <n v="19.940000000000001"/>
    <n v="18.747990420000001"/>
    <n v="18.747990420000001"/>
    <n v="1.19228482333932"/>
    <n v="19.9402752433393"/>
    <n v="2.34375E-2"/>
    <n v="0"/>
    <n v="0.265625"/>
    <n v="1"/>
    <n v="0.15151515151515199"/>
    <n v="0"/>
    <n v="0.17140151515151561"/>
    <n v="0"/>
  </r>
  <r>
    <n v="222200"/>
    <x v="5"/>
    <x v="14"/>
    <n v="2"/>
    <x v="3"/>
    <s v="Adams"/>
    <n v="0"/>
    <n v="0"/>
    <n v="11.896000000000001"/>
    <n v="11.278875149999999"/>
    <n v="11.278875149999999"/>
    <n v="0.61676773375224403"/>
    <n v="11.895642883752201"/>
    <n v="2.34375E-2"/>
    <n v="0"/>
    <n v="0.265625"/>
    <n v="1"/>
    <n v="0.15151515151515199"/>
    <n v="0"/>
    <n v="0.17140151515151561"/>
    <n v="0"/>
  </r>
  <r>
    <n v="231210"/>
    <x v="5"/>
    <x v="14"/>
    <n v="2"/>
    <x v="3"/>
    <s v="Adams"/>
    <n v="0"/>
    <n v="0"/>
    <n v="0"/>
    <n v="0"/>
    <n v="0"/>
    <n v="0"/>
    <n v="0"/>
    <n v="2.34375E-2"/>
    <n v="0"/>
    <n v="0.265625"/>
    <n v="1"/>
    <n v="0.15151515151515199"/>
    <n v="0"/>
    <n v="0.17140151515151561"/>
    <n v="0"/>
  </r>
  <r>
    <n v="231400"/>
    <x v="5"/>
    <x v="14"/>
    <n v="2"/>
    <x v="3"/>
    <s v="Adams"/>
    <n v="0"/>
    <n v="0"/>
    <n v="0"/>
    <n v="0"/>
    <n v="0"/>
    <n v="0"/>
    <n v="0"/>
    <n v="2.34375E-2"/>
    <n v="0"/>
    <n v="0.265625"/>
    <n v="1"/>
    <n v="0.15151515151515199"/>
    <n v="0"/>
    <n v="0.17140151515151561"/>
    <n v="0"/>
  </r>
  <r>
    <n v="231500"/>
    <x v="5"/>
    <x v="14"/>
    <n v="2"/>
    <x v="3"/>
    <s v="Vermont Square"/>
    <n v="0"/>
    <n v="0"/>
    <n v="11.093"/>
    <n v="7.6842311499999996"/>
    <n v="10.68423115"/>
    <n v="0.40850331443447002"/>
    <n v="11.0927344644345"/>
    <n v="2.34375E-2"/>
    <n v="0"/>
    <n v="0.265625"/>
    <n v="1"/>
    <n v="0.15151515151515199"/>
    <n v="0"/>
    <n v="0.17140151515151561"/>
    <n v="0"/>
  </r>
  <r>
    <n v="232500"/>
    <x v="5"/>
    <x v="14"/>
    <n v="2"/>
    <x v="3"/>
    <s v="Vermont Square"/>
    <n v="0"/>
    <n v="0"/>
    <n v="21.888999999999999"/>
    <n v="17.287450570000001"/>
    <n v="21.287450570000001"/>
    <n v="0.60217720414721698"/>
    <n v="21.889627774147201"/>
    <n v="2.34375E-2"/>
    <n v="0"/>
    <n v="0.265625"/>
    <n v="1"/>
    <n v="0.15151515151515199"/>
    <n v="0"/>
    <n v="0.17140151515151561"/>
    <n v="0"/>
  </r>
  <r>
    <n v="234501"/>
    <x v="5"/>
    <x v="14"/>
    <n v="2"/>
    <x v="3"/>
    <s v="Baldwin Hills / Crenshaw"/>
    <n v="0"/>
    <n v="0"/>
    <n v="13.4"/>
    <n v="11.82337824"/>
    <n v="12.82337824"/>
    <n v="0.576488328994614"/>
    <n v="13.3998665689946"/>
    <n v="2.34375E-2"/>
    <n v="0"/>
    <n v="0.265625"/>
    <n v="1"/>
    <n v="0.15151515151515199"/>
    <n v="0"/>
    <n v="0.17140151515151561"/>
    <n v="0"/>
  </r>
  <r>
    <n v="234502"/>
    <x v="5"/>
    <x v="14"/>
    <n v="2"/>
    <x v="3"/>
    <s v="Baldwin Hills / Crenshaw"/>
    <n v="0"/>
    <n v="0"/>
    <n v="17.582000000000001"/>
    <n v="14.96237316"/>
    <n v="16.962373159999999"/>
    <n v="0.62033880219030502"/>
    <n v="17.582711962190299"/>
    <n v="2.34375E-2"/>
    <n v="0"/>
    <n v="0.265625"/>
    <n v="1"/>
    <n v="0.15151515151515199"/>
    <n v="0"/>
    <n v="0.17140151515151561"/>
    <n v="0"/>
  </r>
  <r>
    <n v="234700"/>
    <x v="5"/>
    <x v="14"/>
    <n v="2"/>
    <x v="3"/>
    <s v="Baldwin Hills / Crenshaw"/>
    <n v="0"/>
    <n v="1"/>
    <n v="15.586"/>
    <n v="12.840259550000001"/>
    <n v="14.840259550000001"/>
    <n v="0.74611343224416504"/>
    <n v="15.5863729822442"/>
    <n v="2.34375E-2"/>
    <n v="0"/>
    <n v="0.265625"/>
    <n v="1"/>
    <n v="0.15151515151515199"/>
    <n v="6.6"/>
    <n v="0.17140151515151561"/>
    <n v="5.8342541436463931"/>
  </r>
  <r>
    <n v="234902"/>
    <x v="5"/>
    <x v="14"/>
    <n v="2"/>
    <x v="3"/>
    <s v="Baldwin Hills / Crenshaw"/>
    <n v="0"/>
    <n v="1"/>
    <n v="6.9980000000000002"/>
    <n v="5.7005314900000004"/>
    <n v="6.7005314900000004"/>
    <n v="0.29733071305206499"/>
    <n v="6.9978622030520699"/>
    <n v="2.34375E-2"/>
    <n v="0"/>
    <n v="0.265625"/>
    <n v="1"/>
    <n v="0.15151515151515199"/>
    <n v="6.6"/>
    <n v="0.17140151515151561"/>
    <n v="5.8342541436463931"/>
  </r>
  <r>
    <n v="235100"/>
    <x v="5"/>
    <x v="14"/>
    <n v="2"/>
    <x v="3"/>
    <s v="Baldwin Hills / Crenshaw"/>
    <n v="0"/>
    <n v="0"/>
    <n v="4.0209999999999999"/>
    <n v="3.8885795999999999"/>
    <n v="3.8885795999999999"/>
    <n v="0.131797923464991"/>
    <n v="4.0203775234649903"/>
    <n v="2.34375E-2"/>
    <n v="0"/>
    <n v="0.265625"/>
    <n v="1"/>
    <n v="0.15151515151515199"/>
    <n v="0"/>
    <n v="0.17140151515151561"/>
    <n v="0"/>
  </r>
  <r>
    <n v="235201"/>
    <x v="5"/>
    <x v="14"/>
    <n v="2"/>
    <x v="3"/>
    <s v="Baldwin Hills / Crenshaw"/>
    <n v="0"/>
    <n v="0"/>
    <n v="4.6859999999999999"/>
    <n v="3.4228962300000001"/>
    <n v="4.4228962300000001"/>
    <n v="0.26262460752244199"/>
    <n v="4.6855208375224402"/>
    <n v="2.34375E-2"/>
    <n v="0"/>
    <n v="0.265625"/>
    <n v="1"/>
    <n v="0.15151515151515199"/>
    <n v="0"/>
    <n v="0.17140151515151561"/>
    <n v="0"/>
  </r>
  <r>
    <n v="235202"/>
    <x v="5"/>
    <x v="14"/>
    <n v="2"/>
    <x v="3"/>
    <s v="Baldwin Hills / Crenshaw"/>
    <n v="0"/>
    <n v="0"/>
    <n v="13.803000000000001"/>
    <n v="13.13419515"/>
    <n v="13.13419515"/>
    <n v="0.66964693639138195"/>
    <n v="13.8038420863914"/>
    <n v="2.34375E-2"/>
    <n v="0"/>
    <n v="0.265625"/>
    <n v="1"/>
    <n v="0.15151515151515199"/>
    <n v="0"/>
    <n v="0.17140151515151561"/>
    <n v="0"/>
  </r>
  <r>
    <n v="241201"/>
    <x v="5"/>
    <x v="14"/>
    <n v="2"/>
    <x v="3"/>
    <s v="South Vermont"/>
    <n v="0"/>
    <n v="0"/>
    <n v="6.6859999999999999"/>
    <n v="3.4228962300000001"/>
    <n v="6.4228962300000001"/>
    <n v="0.26262460752244199"/>
    <n v="6.6855208375224402"/>
    <n v="2.34375E-2"/>
    <n v="0"/>
    <n v="0.265625"/>
    <n v="1"/>
    <n v="0.15151515151515199"/>
    <n v="0"/>
    <n v="0.17140151515151561"/>
    <n v="0"/>
  </r>
  <r>
    <n v="236400"/>
    <x v="5"/>
    <x v="14"/>
    <n v="2"/>
    <x v="3"/>
    <s v="Baldwin Hills / Crenshaw"/>
    <n v="0"/>
    <n v="0"/>
    <n v="0"/>
    <n v="0"/>
    <n v="0"/>
    <n v="0"/>
    <n v="0"/>
    <n v="2.34375E-2"/>
    <n v="0"/>
    <n v="0.265625"/>
    <n v="1"/>
    <n v="0.15151515151515199"/>
    <n v="0"/>
    <n v="0.17140151515151561"/>
    <n v="0"/>
  </r>
  <r>
    <n v="237401"/>
    <x v="5"/>
    <x v="14"/>
    <n v="2"/>
    <x v="3"/>
    <s v="Vermont Square"/>
    <n v="0"/>
    <n v="0"/>
    <n v="17.706"/>
    <n v="16.85102698"/>
    <n v="16.85102698"/>
    <n v="0.85580504806104096"/>
    <n v="17.706832028061001"/>
    <n v="2.34375E-2"/>
    <n v="0"/>
    <n v="0.265625"/>
    <n v="1"/>
    <n v="0.15151515151515199"/>
    <n v="0"/>
    <n v="0.17140151515151561"/>
    <n v="0"/>
  </r>
  <r>
    <n v="237402"/>
    <x v="5"/>
    <x v="14"/>
    <n v="2"/>
    <x v="3"/>
    <s v="Vermont Square"/>
    <n v="0"/>
    <n v="0"/>
    <n v="8.7010000000000005"/>
    <n v="7.38182311"/>
    <n v="8.3818231099999991"/>
    <n v="0.31882264481148997"/>
    <n v="8.7006457548114895"/>
    <n v="2.34375E-2"/>
    <n v="0"/>
    <n v="0.265625"/>
    <n v="1"/>
    <n v="0.15151515151515199"/>
    <n v="0"/>
    <n v="0.17140151515151561"/>
    <n v="0"/>
  </r>
  <r>
    <n v="237720"/>
    <x v="5"/>
    <x v="14"/>
    <n v="2"/>
    <x v="3"/>
    <s v="South Vermont"/>
    <n v="0"/>
    <n v="0"/>
    <n v="7.4059999999999997"/>
    <n v="3.3625832400000002"/>
    <n v="7.3625832400000002"/>
    <n v="4.2983863518851001E-2"/>
    <n v="7.4055671035188499"/>
    <n v="2.34375E-2"/>
    <n v="0"/>
    <n v="0.265625"/>
    <n v="1"/>
    <n v="0.15151515151515199"/>
    <n v="0"/>
    <n v="0.17140151515151561"/>
    <n v="0"/>
  </r>
  <r>
    <n v="237800"/>
    <x v="5"/>
    <x v="14"/>
    <n v="2"/>
    <x v="3"/>
    <s v="South Vermont"/>
    <n v="0"/>
    <n v="0"/>
    <n v="4"/>
    <n v="0"/>
    <n v="4"/>
    <n v="0"/>
    <n v="4"/>
    <n v="2.34375E-2"/>
    <n v="0"/>
    <n v="0.265625"/>
    <n v="1"/>
    <n v="0.15151515151515199"/>
    <n v="0"/>
    <n v="0.17140151515151561"/>
    <n v="0"/>
  </r>
  <r>
    <n v="237900"/>
    <x v="5"/>
    <x v="14"/>
    <n v="2"/>
    <x v="3"/>
    <s v="South Vermont"/>
    <n v="0"/>
    <n v="1"/>
    <n v="2"/>
    <n v="0"/>
    <n v="2"/>
    <n v="0"/>
    <n v="2"/>
    <n v="2.34375E-2"/>
    <n v="0"/>
    <n v="0.265625"/>
    <n v="1"/>
    <n v="0.15151515151515199"/>
    <n v="6.6"/>
    <n v="0.17140151515151561"/>
    <n v="5.8342541436463931"/>
  </r>
  <r>
    <n v="238000"/>
    <x v="5"/>
    <x v="14"/>
    <n v="2"/>
    <x v="3"/>
    <s v="South Vermont"/>
    <n v="0"/>
    <n v="0"/>
    <n v="17.914000000000001"/>
    <n v="12.47753852"/>
    <n v="17.47753852"/>
    <n v="0.43679201861759398"/>
    <n v="17.914330538617602"/>
    <n v="2.34375E-2"/>
    <n v="0"/>
    <n v="0.265625"/>
    <n v="1"/>
    <n v="0.15151515151515199"/>
    <n v="0"/>
    <n v="0.17140151515151561"/>
    <n v="0"/>
  </r>
  <r>
    <n v="238100"/>
    <x v="5"/>
    <x v="14"/>
    <n v="2"/>
    <x v="3"/>
    <s v="South Vermont"/>
    <n v="0"/>
    <n v="0"/>
    <n v="9.19"/>
    <n v="3.9673993200000002"/>
    <n v="8.9673993200000002"/>
    <n v="0.22234520276481101"/>
    <n v="9.1897445227648102"/>
    <n v="2.34375E-2"/>
    <n v="0"/>
    <n v="0.265625"/>
    <n v="1"/>
    <n v="0.15151515151515199"/>
    <n v="0"/>
    <n v="0.17140151515151561"/>
    <n v="0"/>
  </r>
  <r>
    <n v="238200"/>
    <x v="5"/>
    <x v="14"/>
    <n v="2"/>
    <x v="3"/>
    <s v="South Vermont"/>
    <n v="0"/>
    <n v="0"/>
    <n v="7.19"/>
    <n v="3.9673993200000002"/>
    <n v="6.9673993200000002"/>
    <n v="0.22234520276481101"/>
    <n v="7.1897445227648102"/>
    <n v="2.34375E-2"/>
    <n v="0"/>
    <n v="0.265625"/>
    <n v="1"/>
    <n v="0.15151515151515199"/>
    <n v="0"/>
    <n v="0.17140151515151561"/>
    <n v="0"/>
  </r>
  <r>
    <n v="238400"/>
    <x v="5"/>
    <x v="14"/>
    <n v="2"/>
    <x v="3"/>
    <s v="South Vermont"/>
    <n v="0"/>
    <n v="0"/>
    <n v="22.786000000000001"/>
    <n v="18.07033071"/>
    <n v="22.07033071"/>
    <n v="0.71597214211849203"/>
    <n v="22.786302852118499"/>
    <n v="2.34375E-2"/>
    <n v="0"/>
    <n v="0.265625"/>
    <n v="1"/>
    <n v="0.15151515151515199"/>
    <n v="0"/>
    <n v="0.17140151515151561"/>
    <n v="0"/>
  </r>
  <r>
    <n v="240401"/>
    <x v="5"/>
    <x v="14"/>
    <n v="2"/>
    <x v="3"/>
    <s v="South Vermont"/>
    <n v="0"/>
    <n v="0"/>
    <n v="17.132999999999999"/>
    <n v="15.46139035"/>
    <n v="16.461390349999999"/>
    <n v="0.67209916136445202"/>
    <n v="17.133489511364498"/>
    <n v="2.34375E-2"/>
    <n v="0"/>
    <n v="0.265625"/>
    <n v="1"/>
    <n v="0.15151515151515199"/>
    <n v="0"/>
    <n v="0.17140151515151561"/>
    <n v="0"/>
  </r>
  <r>
    <n v="241110"/>
    <x v="5"/>
    <x v="14"/>
    <n v="2"/>
    <x v="3"/>
    <s v="Green Meadows"/>
    <n v="1"/>
    <n v="1"/>
    <n v="13.586"/>
    <n v="12.840259550000001"/>
    <n v="12.840259550000001"/>
    <n v="0.74611343224416504"/>
    <n v="13.5863729822442"/>
    <n v="2.34375E-2"/>
    <n v="42.6666666666667"/>
    <n v="0.265625"/>
    <n v="1"/>
    <n v="0"/>
    <n v="0"/>
    <n v="2.34375E-2"/>
    <n v="42.666666666666664"/>
  </r>
  <r>
    <n v="241120"/>
    <x v="5"/>
    <x v="14"/>
    <n v="2"/>
    <x v="3"/>
    <s v="Green Meadows"/>
    <n v="0"/>
    <n v="0"/>
    <n v="5.798"/>
    <n v="3.6649912800000002"/>
    <n v="5.6649912799999997"/>
    <n v="0.13266453314183099"/>
    <n v="5.7976558131418301"/>
    <n v="2.34375E-2"/>
    <n v="0"/>
    <n v="0.265625"/>
    <n v="1"/>
    <n v="0.15151515151515199"/>
    <n v="0"/>
    <n v="0.17140151515151561"/>
    <n v="0"/>
  </r>
  <r>
    <n v="241202"/>
    <x v="5"/>
    <x v="14"/>
    <n v="2"/>
    <x v="3"/>
    <s v="Green Meadows"/>
    <n v="0"/>
    <n v="0"/>
    <n v="3.6859999999999999"/>
    <n v="3.4228962300000001"/>
    <n v="3.4228962300000001"/>
    <n v="0.26262460752244199"/>
    <n v="3.6855208375224402"/>
    <n v="2.34375E-2"/>
    <n v="0"/>
    <n v="0.265625"/>
    <n v="1"/>
    <n v="0.15151515151515199"/>
    <n v="0"/>
    <n v="0.17140151515151561"/>
    <n v="0"/>
  </r>
  <r>
    <n v="239802"/>
    <x v="5"/>
    <x v="9"/>
    <n v="2"/>
    <x v="3"/>
    <s v="South Park"/>
    <n v="0"/>
    <n v="0"/>
    <n v="19.777999999999999"/>
    <n v="11.10712738"/>
    <n v="19.107127380000001"/>
    <n v="0.67112792195691195"/>
    <n v="19.7782553019569"/>
    <n v="2.34375E-2"/>
    <n v="0"/>
    <n v="0.1796875"/>
    <n v="1"/>
    <n v="0"/>
    <n v="0"/>
    <n v="2.34375E-2"/>
    <n v="0"/>
  </r>
  <r>
    <n v="237101"/>
    <x v="5"/>
    <x v="9"/>
    <n v="2"/>
    <x v="3"/>
    <s v="Vermont Square"/>
    <n v="0"/>
    <n v="0"/>
    <n v="12.308999999999999"/>
    <n v="7.0794150699999996"/>
    <n v="12.07941507"/>
    <n v="0.22914197518851001"/>
    <n v="12.3085570451885"/>
    <n v="2.34375E-2"/>
    <n v="0"/>
    <n v="0.1796875"/>
    <n v="1"/>
    <n v="0"/>
    <n v="0"/>
    <n v="2.34375E-2"/>
    <n v="0"/>
  </r>
  <r>
    <n v="231600"/>
    <x v="5"/>
    <x v="9"/>
    <n v="2"/>
    <x v="3"/>
    <s v="Vermont Square"/>
    <n v="0"/>
    <n v="0"/>
    <n v="20.919"/>
    <n v="19.006474409999999"/>
    <n v="20.006474409999999"/>
    <n v="0.91261746123877896"/>
    <n v="20.919091871238798"/>
    <n v="2.34375E-2"/>
    <n v="0"/>
    <n v="0.1796875"/>
    <n v="1"/>
    <n v="0"/>
    <n v="0"/>
    <n v="2.34375E-2"/>
    <n v="0"/>
  </r>
  <r>
    <n v="221820"/>
    <x v="5"/>
    <x v="9"/>
    <n v="2"/>
    <x v="3"/>
    <s v="Adams"/>
    <n v="0"/>
    <n v="0"/>
    <n v="1"/>
    <n v="0"/>
    <n v="1"/>
    <n v="0"/>
    <n v="1"/>
    <n v="2.34375E-2"/>
    <n v="0"/>
    <n v="0.1796875"/>
    <n v="1"/>
    <n v="0"/>
    <n v="0"/>
    <n v="2.34375E-2"/>
    <n v="0"/>
  </r>
  <r>
    <n v="221900"/>
    <x v="5"/>
    <x v="9"/>
    <n v="2"/>
    <x v="3"/>
    <s v="Adams"/>
    <n v="1"/>
    <n v="1"/>
    <n v="2"/>
    <n v="0"/>
    <n v="2"/>
    <n v="0"/>
    <n v="2"/>
    <n v="2.34375E-2"/>
    <n v="42.6666666666667"/>
    <n v="0.1796875"/>
    <n v="1"/>
    <n v="0"/>
    <n v="0"/>
    <n v="2.34375E-2"/>
    <n v="42.666666666666664"/>
  </r>
  <r>
    <n v="226410"/>
    <x v="5"/>
    <x v="9"/>
    <n v="2"/>
    <x v="3"/>
    <s v="South Central"/>
    <n v="0"/>
    <n v="0"/>
    <n v="21.841999999999999"/>
    <n v="14.62011511"/>
    <n v="21.62011511"/>
    <n v="0.22109598421903101"/>
    <n v="21.841211094218998"/>
    <n v="2.34375E-2"/>
    <n v="0"/>
    <n v="0.1796875"/>
    <n v="1"/>
    <n v="0"/>
    <n v="0"/>
    <n v="2.34375E-2"/>
    <n v="0"/>
  </r>
  <r>
    <n v="227020"/>
    <x v="5"/>
    <x v="9"/>
    <n v="2"/>
    <x v="3"/>
    <s v="South Central"/>
    <n v="0"/>
    <n v="0"/>
    <n v="1.7030000000000001"/>
    <n v="1.6812916200000001"/>
    <n v="1.6812916200000001"/>
    <n v="2.14919317594255E-2"/>
    <n v="1.7027835517594301"/>
    <n v="2.34375E-2"/>
    <n v="0"/>
    <n v="0.1796875"/>
    <n v="1"/>
    <n v="0"/>
    <n v="0"/>
    <n v="2.34375E-2"/>
    <n v="0"/>
  </r>
  <r>
    <n v="228210"/>
    <x v="5"/>
    <x v="9"/>
    <n v="2"/>
    <x v="3"/>
    <s v="South Central"/>
    <n v="0"/>
    <n v="0"/>
    <n v="4.9029999999999996"/>
    <n v="3.7168318299999998"/>
    <n v="4.7168318300000003"/>
    <n v="0.18615811166965901"/>
    <n v="4.9029899416696603"/>
    <n v="2.34375E-2"/>
    <n v="0"/>
    <n v="0.1796875"/>
    <n v="1"/>
    <n v="0"/>
    <n v="0"/>
    <n v="2.34375E-2"/>
    <n v="0"/>
  </r>
  <r>
    <n v="228220"/>
    <x v="5"/>
    <x v="9"/>
    <n v="2"/>
    <x v="3"/>
    <s v="Central Alameda"/>
    <n v="0"/>
    <n v="0"/>
    <n v="26.41"/>
    <n v="19.083532380000001"/>
    <n v="25.083532380000001"/>
    <n v="1.3263712180071801"/>
    <n v="26.409903598007201"/>
    <n v="2.34375E-2"/>
    <n v="0"/>
    <n v="0.1796875"/>
    <n v="1"/>
    <n v="0"/>
    <n v="0"/>
    <n v="2.34375E-2"/>
    <n v="0"/>
  </r>
  <r>
    <n v="228420"/>
    <x v="5"/>
    <x v="9"/>
    <n v="2"/>
    <x v="3"/>
    <s v="South Park"/>
    <n v="0"/>
    <n v="0"/>
    <n v="15.01"/>
    <n v="8.5001049099999992"/>
    <n v="14.500104909999999"/>
    <n v="0.50968744603231597"/>
    <n v="15.0097923560323"/>
    <n v="2.34375E-2"/>
    <n v="0"/>
    <n v="0.1796875"/>
    <n v="1"/>
    <n v="0"/>
    <n v="0"/>
    <n v="2.34375E-2"/>
    <n v="0"/>
  </r>
  <r>
    <n v="228600"/>
    <x v="5"/>
    <x v="9"/>
    <n v="2"/>
    <x v="3"/>
    <s v="South Park"/>
    <n v="0"/>
    <n v="0"/>
    <n v="13.61"/>
    <n v="11.028307659999999"/>
    <n v="13.028307659999999"/>
    <n v="0.58058064265709197"/>
    <n v="13.6088883026571"/>
    <n v="2.34375E-2"/>
    <n v="0"/>
    <n v="0.1796875"/>
    <n v="1"/>
    <n v="0"/>
    <n v="0"/>
    <n v="2.34375E-2"/>
    <n v="0"/>
  </r>
  <r>
    <n v="228710"/>
    <x v="5"/>
    <x v="9"/>
    <n v="2"/>
    <x v="3"/>
    <s v="Central Alameda"/>
    <n v="0"/>
    <n v="0"/>
    <n v="20.972999999999999"/>
    <n v="15.23162604"/>
    <n v="20.231626039999998"/>
    <n v="0.74118851552962295"/>
    <n v="20.972814555529599"/>
    <n v="2.34375E-2"/>
    <n v="0"/>
    <n v="0.1796875"/>
    <n v="1"/>
    <n v="0"/>
    <n v="0"/>
    <n v="2.34375E-2"/>
    <n v="0"/>
  </r>
  <r>
    <n v="228720"/>
    <x v="5"/>
    <x v="9"/>
    <n v="2"/>
    <x v="3"/>
    <s v="Central Alameda"/>
    <n v="0"/>
    <n v="0"/>
    <n v="7.7770000000000001"/>
    <n v="5.7146398200000004"/>
    <n v="7.7146398200000004"/>
    <n v="6.18759662477558E-2"/>
    <n v="7.7765157862477601"/>
    <n v="2.34375E-2"/>
    <n v="0"/>
    <n v="0.1796875"/>
    <n v="1"/>
    <n v="0"/>
    <n v="0"/>
    <n v="2.34375E-2"/>
    <n v="0"/>
  </r>
  <r>
    <n v="229200"/>
    <x v="5"/>
    <x v="9"/>
    <n v="2"/>
    <x v="3"/>
    <s v="South Park"/>
    <n v="0"/>
    <n v="0"/>
    <n v="25.337"/>
    <n v="21.563396839999999"/>
    <n v="24.563396839999999"/>
    <n v="0.772932649928187"/>
    <n v="25.3363294899282"/>
    <n v="2.34375E-2"/>
    <n v="0"/>
    <n v="0.1796875"/>
    <n v="1"/>
    <n v="0"/>
    <n v="0"/>
    <n v="2.34375E-2"/>
    <n v="0"/>
  </r>
  <r>
    <n v="231800"/>
    <x v="5"/>
    <x v="9"/>
    <n v="2"/>
    <x v="3"/>
    <s v="South Park"/>
    <n v="0"/>
    <n v="0"/>
    <n v="24.436"/>
    <n v="21.051345990000002"/>
    <n v="24.051345990000002"/>
    <n v="0.38353020710951502"/>
    <n v="24.434876197109499"/>
    <n v="2.34375E-2"/>
    <n v="0"/>
    <n v="0.1796875"/>
    <n v="1"/>
    <n v="0"/>
    <n v="0"/>
    <n v="2.34375E-2"/>
    <n v="0"/>
  </r>
  <r>
    <n v="232200"/>
    <x v="5"/>
    <x v="9"/>
    <n v="2"/>
    <x v="3"/>
    <s v="Vermont Square"/>
    <n v="0"/>
    <n v="0"/>
    <n v="12.827"/>
    <n v="11.32224326"/>
    <n v="12.32224326"/>
    <n v="0.50411414680430899"/>
    <n v="12.8263574068043"/>
    <n v="2.34375E-2"/>
    <n v="0"/>
    <n v="0.1796875"/>
    <n v="1"/>
    <n v="0"/>
    <n v="0"/>
    <n v="2.34375E-2"/>
    <n v="0"/>
  </r>
  <r>
    <n v="232600"/>
    <x v="5"/>
    <x v="9"/>
    <n v="2"/>
    <x v="3"/>
    <s v="Vermont Square"/>
    <n v="0"/>
    <n v="0"/>
    <n v="6.181"/>
    <n v="2.87839314"/>
    <n v="5.87839314"/>
    <n v="0.30290401228007202"/>
    <n v="6.1812971522800702"/>
    <n v="2.34375E-2"/>
    <n v="0"/>
    <n v="0.1796875"/>
    <n v="1"/>
    <n v="0"/>
    <n v="0"/>
    <n v="2.34375E-2"/>
    <n v="0"/>
  </r>
  <r>
    <n v="239320"/>
    <x v="5"/>
    <x v="9"/>
    <n v="2"/>
    <x v="3"/>
    <s v="South Park"/>
    <n v="0"/>
    <n v="0"/>
    <n v="10.724"/>
    <n v="5.5698712199999996"/>
    <n v="10.56987122"/>
    <n v="0.15328985522441699"/>
    <n v="10.7231610752244"/>
    <n v="2.34375E-2"/>
    <n v="0"/>
    <n v="0.1796875"/>
    <n v="1"/>
    <n v="0"/>
    <n v="0"/>
    <n v="2.34375E-2"/>
    <n v="0"/>
  </r>
  <r>
    <n v="239501"/>
    <x v="5"/>
    <x v="9"/>
    <n v="2"/>
    <x v="3"/>
    <s v="South Park"/>
    <n v="0"/>
    <n v="0"/>
    <n v="7.0949999999999998"/>
    <n v="1.9836996600000001"/>
    <n v="6.9836996600000001"/>
    <n v="0.11117260138240601"/>
    <n v="7.0948722613824096"/>
    <n v="2.34375E-2"/>
    <n v="0"/>
    <n v="0.1796875"/>
    <n v="1"/>
    <n v="0"/>
    <n v="0"/>
    <n v="2.34375E-2"/>
    <n v="0"/>
  </r>
  <r>
    <n v="239801"/>
    <x v="5"/>
    <x v="9"/>
    <n v="2"/>
    <x v="3"/>
    <s v="South Park"/>
    <n v="0"/>
    <n v="0"/>
    <n v="12.967000000000001"/>
    <n v="9.6820391400000005"/>
    <n v="12.682039140000001"/>
    <n v="0.284221169012567"/>
    <n v="12.966260309012601"/>
    <n v="2.34375E-2"/>
    <n v="0"/>
    <n v="0.1796875"/>
    <n v="1"/>
    <n v="0"/>
    <n v="0"/>
    <n v="2.34375E-2"/>
    <n v="0"/>
  </r>
  <r>
    <n v="240020"/>
    <x v="5"/>
    <x v="9"/>
    <n v="2"/>
    <x v="3"/>
    <s v="Green Meadows"/>
    <n v="0"/>
    <n v="0"/>
    <n v="9.19"/>
    <n v="3.9673993200000002"/>
    <n v="8.9673993200000002"/>
    <n v="0.22234520276481101"/>
    <n v="9.1897445227648102"/>
    <n v="2.34375E-2"/>
    <n v="0"/>
    <n v="0.1796875"/>
    <n v="1"/>
    <n v="0"/>
    <n v="0"/>
    <n v="2.34375E-2"/>
    <n v="0"/>
  </r>
  <r>
    <n v="239502"/>
    <x v="5"/>
    <x v="9"/>
    <n v="2"/>
    <x v="3"/>
    <s v="South Park"/>
    <n v="0"/>
    <n v="0"/>
    <n v="3"/>
    <n v="0"/>
    <n v="3"/>
    <n v="0"/>
    <n v="3"/>
    <n v="2.34375E-2"/>
    <n v="0"/>
    <n v="0.1796875"/>
    <n v="1"/>
    <n v="0"/>
    <n v="0"/>
    <n v="2.34375E-2"/>
    <n v="0"/>
  </r>
  <r>
    <n v="228410"/>
    <x v="5"/>
    <x v="9"/>
    <n v="2"/>
    <x v="3"/>
    <s v="South Central"/>
    <n v="0"/>
    <n v="0"/>
    <n v="5.9029999999999996"/>
    <n v="3.7168318299999998"/>
    <n v="5.7168318300000003"/>
    <n v="0.18615811166965901"/>
    <n v="5.9029899416696603"/>
    <n v="2.34375E-2"/>
    <n v="0"/>
    <n v="0.1796875"/>
    <n v="1"/>
    <n v="0"/>
    <n v="0"/>
    <n v="2.34375E-2"/>
    <n v="0"/>
  </r>
  <r>
    <n v="236000"/>
    <x v="5"/>
    <x v="10"/>
    <n v="2"/>
    <x v="3"/>
    <s v="Baldwin Hills / Crenshaw"/>
    <n v="0"/>
    <n v="0"/>
    <n v="3.851"/>
    <n v="3.8097598800000001"/>
    <n v="3.8097598800000001"/>
    <n v="4.1250644165170602E-2"/>
    <n v="3.85101052416517"/>
    <n v="2.34375E-2"/>
    <n v="0"/>
    <n v="0.125"/>
    <n v="0.35555555555555601"/>
    <n v="9.0909090909090898E-2"/>
    <n v="0"/>
    <n v="0.11221590909090907"/>
    <n v="0"/>
  </r>
  <r>
    <n v="220100"/>
    <x v="5"/>
    <x v="10"/>
    <n v="2"/>
    <x v="3"/>
    <s v="Adams-La Brea"/>
    <n v="0"/>
    <n v="0"/>
    <n v="4.9260000000000002"/>
    <n v="1.90487994"/>
    <n v="4.9048799399999998"/>
    <n v="2.0625322082585301E-2"/>
    <n v="4.9255052620825897"/>
    <n v="2.34375E-2"/>
    <n v="0"/>
    <n v="0.125"/>
    <n v="0.35555555555555601"/>
    <n v="9.0909090909090898E-2"/>
    <n v="0"/>
    <n v="0.11221590909090907"/>
    <n v="0"/>
  </r>
  <r>
    <n v="218400"/>
    <x v="5"/>
    <x v="10"/>
    <n v="2"/>
    <x v="3"/>
    <s v="Mid City"/>
    <n v="0"/>
    <n v="1"/>
    <n v="20.949000000000002"/>
    <n v="19.836996599999999"/>
    <n v="19.836996599999999"/>
    <n v="1.1117260138240601"/>
    <n v="20.948722613824099"/>
    <n v="2.34375E-2"/>
    <n v="0"/>
    <n v="0.125"/>
    <n v="0.35555555555555601"/>
    <n v="9.0909090909090898E-2"/>
    <n v="11"/>
    <n v="0.11221590909090907"/>
    <n v="8.9113924050632924"/>
  </r>
  <r>
    <n v="218500"/>
    <x v="5"/>
    <x v="10"/>
    <n v="2"/>
    <x v="3"/>
    <s v="Mid City"/>
    <n v="0"/>
    <n v="0"/>
    <n v="11.558"/>
    <n v="11.121235710000001"/>
    <n v="11.121235710000001"/>
    <n v="0.43567317515260301"/>
    <n v="11.5569088851526"/>
    <n v="2.34375E-2"/>
    <n v="0"/>
    <n v="0.125"/>
    <n v="0.35555555555555601"/>
    <n v="9.0909090909090898E-2"/>
    <n v="0"/>
    <n v="0.11221590909090907"/>
    <n v="0"/>
  </r>
  <r>
    <n v="218600"/>
    <x v="5"/>
    <x v="10"/>
    <n v="2"/>
    <x v="3"/>
    <s v="Mid City"/>
    <n v="0"/>
    <n v="0"/>
    <n v="2.0950000000000002"/>
    <n v="1.9836996600000001"/>
    <n v="1.9836996600000001"/>
    <n v="0.11117260138240601"/>
    <n v="2.09487226138241"/>
    <n v="2.34375E-2"/>
    <n v="0"/>
    <n v="0.125"/>
    <n v="0.35555555555555601"/>
    <n v="9.0909090909090898E-2"/>
    <n v="0"/>
    <n v="0.11221590909090907"/>
    <n v="0"/>
  </r>
  <r>
    <n v="218701"/>
    <x v="5"/>
    <x v="10"/>
    <n v="2"/>
    <x v="3"/>
    <s v="West Adams-Expo Park"/>
    <n v="0"/>
    <n v="0"/>
    <n v="8.2110000000000003"/>
    <n v="7.8559789200000001"/>
    <n v="7.8559789200000001"/>
    <n v="0.35414312622980199"/>
    <n v="8.2101220462298006"/>
    <n v="2.34375E-2"/>
    <n v="0"/>
    <n v="0.125"/>
    <n v="0.35555555555555601"/>
    <n v="9.0909090909090898E-2"/>
    <n v="0"/>
    <n v="0.11221590909090907"/>
    <n v="0"/>
  </r>
  <r>
    <n v="218800"/>
    <x v="5"/>
    <x v="10"/>
    <n v="2"/>
    <x v="3"/>
    <s v="West Adams-Expo Park"/>
    <n v="0"/>
    <n v="0"/>
    <n v="30.907"/>
    <n v="28.430029560000001"/>
    <n v="29.430029560000001"/>
    <n v="1.47650599235189"/>
    <n v="30.906535552351901"/>
    <n v="2.34375E-2"/>
    <n v="0"/>
    <n v="0.125"/>
    <n v="0.35555555555555601"/>
    <n v="9.0909090909090898E-2"/>
    <n v="0"/>
    <n v="0.11221590909090907"/>
    <n v="0"/>
  </r>
  <r>
    <n v="219010"/>
    <x v="5"/>
    <x v="10"/>
    <n v="2"/>
    <x v="3"/>
    <s v="West Adams-Expo Park"/>
    <n v="0"/>
    <n v="0"/>
    <n v="22.175999999999998"/>
    <n v="17.538018059999999"/>
    <n v="21.538018059999999"/>
    <n v="0.63836429524237004"/>
    <n v="22.176382355242399"/>
    <n v="2.34375E-2"/>
    <n v="0"/>
    <n v="0.125"/>
    <n v="0.35555555555555601"/>
    <n v="9.0909090909090898E-2"/>
    <n v="0"/>
    <n v="0.11221590909090907"/>
    <n v="0"/>
  </r>
  <r>
    <n v="219500"/>
    <x v="5"/>
    <x v="10"/>
    <n v="2"/>
    <x v="3"/>
    <s v="Adams-La Brea"/>
    <n v="0"/>
    <n v="0"/>
    <n v="26.434000000000001"/>
    <n v="22.664068050000001"/>
    <n v="24.664068050000001"/>
    <n v="1.7700903841292599"/>
    <n v="26.434158434129301"/>
    <n v="2.34375E-2"/>
    <n v="0"/>
    <n v="0.125"/>
    <n v="0.35555555555555601"/>
    <n v="9.0909090909090898E-2"/>
    <n v="0"/>
    <n v="0.11221590909090907"/>
    <n v="0"/>
  </r>
  <r>
    <n v="219902"/>
    <x v="5"/>
    <x v="10"/>
    <n v="2"/>
    <x v="3"/>
    <s v="Adams-La Brea"/>
    <n v="0"/>
    <n v="0"/>
    <n v="14.901"/>
    <n v="9.4173633199999998"/>
    <n v="14.41736332"/>
    <n v="0.483488824721723"/>
    <n v="14.9008521447217"/>
    <n v="2.34375E-2"/>
    <n v="0"/>
    <n v="0.125"/>
    <n v="0.35555555555555601"/>
    <n v="9.0909090909090898E-2"/>
    <n v="0"/>
    <n v="0.11221590909090907"/>
    <n v="0"/>
  </r>
  <r>
    <n v="221402"/>
    <x v="5"/>
    <x v="10"/>
    <n v="2"/>
    <x v="3"/>
    <s v="West Adams-Expo Park"/>
    <n v="0"/>
    <n v="1"/>
    <n v="1.8080000000000001"/>
    <n v="1.73313217"/>
    <n v="1.73313217"/>
    <n v="7.4985510287253102E-2"/>
    <n v="1.8081176802872501"/>
    <n v="2.34375E-2"/>
    <n v="0"/>
    <n v="0.125"/>
    <n v="0.35555555555555601"/>
    <n v="9.0909090909090898E-2"/>
    <n v="11"/>
    <n v="0.11221590909090907"/>
    <n v="8.9113924050632924"/>
  </r>
  <r>
    <n v="222001"/>
    <x v="5"/>
    <x v="10"/>
    <n v="2"/>
    <x v="3"/>
    <s v="Adams"/>
    <n v="0"/>
    <n v="0"/>
    <n v="12.186999999999999"/>
    <n v="9.6679308099999997"/>
    <n v="11.66793081"/>
    <n v="0.519675915816876"/>
    <n v="12.187606725816901"/>
    <n v="2.34375E-2"/>
    <n v="0"/>
    <n v="0.125"/>
    <n v="0.35555555555555601"/>
    <n v="9.0909090909090898E-2"/>
    <n v="0"/>
    <n v="0.11221590909090907"/>
    <n v="0"/>
  </r>
  <r>
    <n v="234000"/>
    <x v="5"/>
    <x v="10"/>
    <n v="2"/>
    <x v="3"/>
    <s v="Baldwin Hills / Crenshaw"/>
    <n v="0"/>
    <n v="0"/>
    <n v="8.3789999999999996"/>
    <n v="7.9347986400000003"/>
    <n v="7.9347986400000003"/>
    <n v="0.44469040552962302"/>
    <n v="8.3794890455296205"/>
    <n v="2.34375E-2"/>
    <n v="0"/>
    <n v="0.125"/>
    <n v="0.35555555555555601"/>
    <n v="9.0909090909090898E-2"/>
    <n v="0"/>
    <n v="0.11221590909090907"/>
    <n v="0"/>
  </r>
  <r>
    <n v="236100"/>
    <x v="5"/>
    <x v="10"/>
    <n v="2"/>
    <x v="3"/>
    <s v="Baldwin Hills / Crenshaw"/>
    <n v="0"/>
    <n v="0"/>
    <n v="20.146999999999998"/>
    <n v="16.707495869999999"/>
    <n v="19.707495869999999"/>
    <n v="0.439255742657092"/>
    <n v="20.146751612657098"/>
    <n v="2.34375E-2"/>
    <n v="0"/>
    <n v="0.125"/>
    <n v="0.35555555555555601"/>
    <n v="9.0909090909090898E-2"/>
    <n v="0"/>
    <n v="0.11221590909090907"/>
    <n v="0"/>
  </r>
  <r>
    <n v="236203"/>
    <x v="5"/>
    <x v="10"/>
    <n v="2"/>
    <x v="3"/>
    <s v="Baldwin Hills / Crenshaw"/>
    <n v="0"/>
    <n v="0"/>
    <n v="9.1159999999999997"/>
    <n v="5.87227926"/>
    <n v="8.8722792599999991"/>
    <n v="0.24297052484739701"/>
    <n v="9.1152497848473999"/>
    <n v="2.34375E-2"/>
    <n v="0"/>
    <n v="0.125"/>
    <n v="0.35555555555555601"/>
    <n v="9.0909090909090898E-2"/>
    <n v="0"/>
    <n v="0.11221590909090907"/>
    <n v="0"/>
  </r>
  <r>
    <n v="236204"/>
    <x v="5"/>
    <x v="10"/>
    <n v="2"/>
    <x v="3"/>
    <s v="Baldwin Hills / Crenshaw"/>
    <n v="0"/>
    <n v="1"/>
    <n v="6.0949999999999998"/>
    <n v="1.9836996600000001"/>
    <n v="5.9836996600000001"/>
    <n v="0.11117260138240601"/>
    <n v="6.0948722613824096"/>
    <n v="2.34375E-2"/>
    <n v="0"/>
    <n v="0.125"/>
    <n v="0.35555555555555601"/>
    <n v="9.0909090909090898E-2"/>
    <n v="11"/>
    <n v="0.11221590909090907"/>
    <n v="8.9113924050632924"/>
  </r>
  <r>
    <n v="242000"/>
    <x v="5"/>
    <x v="15"/>
    <n v="2"/>
    <x v="3"/>
    <s v="Watts"/>
    <n v="0"/>
    <n v="0"/>
    <n v="8.9979999999999993"/>
    <n v="5.7005314900000004"/>
    <n v="8.7005314899999995"/>
    <n v="0.29733071305206499"/>
    <n v="8.9978622030520601"/>
    <n v="2.34375E-2"/>
    <n v="0"/>
    <n v="3.90625E-2"/>
    <n v="0.19230769230769201"/>
    <n v="0"/>
    <n v="0"/>
    <n v="2.34375E-2"/>
    <n v="0"/>
  </r>
  <r>
    <n v="242100"/>
    <x v="5"/>
    <x v="15"/>
    <n v="2"/>
    <x v="3"/>
    <s v="Watts"/>
    <n v="0"/>
    <n v="0"/>
    <n v="12.276"/>
    <n v="4.8620928000000001"/>
    <n v="11.862092799999999"/>
    <n v="0.414076613662478"/>
    <n v="12.276169413662499"/>
    <n v="2.34375E-2"/>
    <n v="0"/>
    <n v="3.90625E-2"/>
    <n v="0.19230769230769201"/>
    <n v="0"/>
    <n v="0"/>
    <n v="2.34375E-2"/>
    <n v="0"/>
  </r>
  <r>
    <n v="242200"/>
    <x v="5"/>
    <x v="15"/>
    <n v="2"/>
    <x v="3"/>
    <s v="Watts"/>
    <n v="0"/>
    <n v="0"/>
    <n v="9.7110000000000003"/>
    <n v="5.4499639999999996"/>
    <n v="9.4499639999999996"/>
    <n v="0.26114362195691199"/>
    <n v="9.7111076219569092"/>
    <n v="2.34375E-2"/>
    <n v="0"/>
    <n v="3.90625E-2"/>
    <n v="0.19230769230769201"/>
    <n v="0"/>
    <n v="0"/>
    <n v="2.34375E-2"/>
    <n v="0"/>
  </r>
  <r>
    <n v="242700"/>
    <x v="5"/>
    <x v="15"/>
    <n v="2"/>
    <x v="3"/>
    <s v="Watts"/>
    <n v="0"/>
    <n v="0"/>
    <n v="10.19"/>
    <n v="3.9673993200000002"/>
    <n v="9.9673993200000002"/>
    <n v="0.22234520276481101"/>
    <n v="10.1897445227648"/>
    <n v="2.34375E-2"/>
    <n v="0"/>
    <n v="3.90625E-2"/>
    <n v="0.19230769230769201"/>
    <n v="0"/>
    <n v="0"/>
    <n v="2.34375E-2"/>
    <n v="0"/>
  </r>
  <r>
    <n v="243000"/>
    <x v="5"/>
    <x v="15"/>
    <n v="2"/>
    <x v="3"/>
    <s v="Watts"/>
    <n v="0"/>
    <n v="0"/>
    <n v="22.343"/>
    <n v="14.666319769999999"/>
    <n v="21.666319770000001"/>
    <n v="0.67619147502693"/>
    <n v="22.342511245026898"/>
    <n v="2.34375E-2"/>
    <n v="0"/>
    <n v="3.90625E-2"/>
    <n v="0.19230769230769201"/>
    <n v="0"/>
    <n v="0"/>
    <n v="2.34375E-2"/>
    <n v="0"/>
  </r>
  <r>
    <n v="500300"/>
    <x v="6"/>
    <x v="0"/>
    <n v="4"/>
    <x v="0"/>
    <s v="Unincorporated Whittier"/>
    <n v="0"/>
    <n v="0"/>
    <n v="7.9459999999999997"/>
    <n v="5.7934595399999997"/>
    <n v="7.7934595399999997"/>
    <n v="0.152423245547576"/>
    <n v="7.94588278554758"/>
    <n v="0.23958333333333301"/>
    <n v="0"/>
    <n v="1"/>
    <n v="0"/>
    <n v="0"/>
    <n v="0"/>
    <n v="0.23958333333333301"/>
    <n v="0"/>
  </r>
  <r>
    <n v="500402"/>
    <x v="6"/>
    <x v="0"/>
    <n v="1"/>
    <x v="0"/>
    <s v="Pico Rivera"/>
    <n v="0"/>
    <n v="0"/>
    <n v="25.835000000000001"/>
    <n v="21.375816069999999"/>
    <n v="24.375816069999999"/>
    <n v="1.45900174452424"/>
    <n v="25.8348178145242"/>
    <n v="0.23958333333333301"/>
    <n v="0"/>
    <n v="1"/>
    <n v="0"/>
    <n v="0"/>
    <n v="0"/>
    <n v="0.23958333333333301"/>
    <n v="0"/>
  </r>
  <r>
    <n v="500403"/>
    <x v="6"/>
    <x v="0"/>
    <n v="1"/>
    <x v="0"/>
    <s v="Pico Rivera"/>
    <n v="0"/>
    <n v="0"/>
    <n v="4.6289999999999996"/>
    <n v="3.5861715599999999"/>
    <n v="4.5861715600000004"/>
    <n v="4.2117253842010802E-2"/>
    <n v="4.6282888138420102"/>
    <n v="0.23958333333333301"/>
    <n v="0"/>
    <n v="1"/>
    <n v="0"/>
    <n v="0"/>
    <n v="0"/>
    <n v="0.23958333333333301"/>
    <n v="0"/>
  </r>
  <r>
    <n v="500900"/>
    <x v="6"/>
    <x v="0"/>
    <n v="1"/>
    <x v="0"/>
    <s v="Pico Rivera"/>
    <n v="0"/>
    <n v="0"/>
    <n v="19.905999999999999"/>
    <n v="14.3919657"/>
    <n v="18.3919657"/>
    <n v="1.51452006140036"/>
    <n v="19.9064857614004"/>
    <n v="0.23958333333333301"/>
    <n v="0"/>
    <n v="1"/>
    <n v="0"/>
    <n v="0"/>
    <n v="0"/>
    <n v="0.23958333333333301"/>
    <n v="0"/>
  </r>
  <r>
    <n v="501400"/>
    <x v="6"/>
    <x v="0"/>
    <n v="4"/>
    <x v="0"/>
    <s v="Whittier"/>
    <n v="1"/>
    <n v="1"/>
    <n v="32.357999999999997"/>
    <n v="17.157849259999999"/>
    <n v="31.157849259999999"/>
    <n v="1.2004694506642699"/>
    <n v="32.3583187106643"/>
    <n v="0.23958333333333301"/>
    <n v="4.1739130434782599"/>
    <n v="1"/>
    <n v="0"/>
    <n v="0"/>
    <n v="0"/>
    <n v="0.23958333333333301"/>
    <n v="4.1739130434782661"/>
  </r>
  <r>
    <n v="502004"/>
    <x v="6"/>
    <x v="0"/>
    <n v="4"/>
    <x v="0"/>
    <s v="Whittier"/>
    <n v="0"/>
    <n v="0"/>
    <n v="21.166"/>
    <n v="18.89098143"/>
    <n v="19.89098143"/>
    <n v="1.27545496095153"/>
    <n v="21.1664363909515"/>
    <n v="0.23958333333333301"/>
    <n v="0"/>
    <n v="1"/>
    <n v="0"/>
    <n v="0"/>
    <n v="0"/>
    <n v="0.23958333333333301"/>
    <n v="0"/>
  </r>
  <r>
    <n v="502100"/>
    <x v="6"/>
    <x v="0"/>
    <n v="4"/>
    <x v="0"/>
    <s v="Whittier"/>
    <n v="1"/>
    <n v="1"/>
    <n v="15.246"/>
    <n v="14.23608801"/>
    <n v="14.23608801"/>
    <n v="1.0102190253321399"/>
    <n v="15.2463070353321"/>
    <n v="0.23958333333333301"/>
    <n v="4.1739130434782599"/>
    <n v="1"/>
    <n v="0"/>
    <n v="0"/>
    <n v="0"/>
    <n v="0.23958333333333301"/>
    <n v="4.1739130434782661"/>
  </r>
  <r>
    <n v="502301"/>
    <x v="6"/>
    <x v="0"/>
    <n v="4"/>
    <x v="0"/>
    <s v="Los Nietos"/>
    <n v="0"/>
    <n v="0"/>
    <n v="21.771999999999998"/>
    <n v="16.216951120000001"/>
    <n v="21.216951120000001"/>
    <n v="0.55364254895870701"/>
    <n v="21.7705936689587"/>
    <n v="0.23958333333333301"/>
    <n v="0"/>
    <n v="1"/>
    <n v="0"/>
    <n v="0"/>
    <n v="0"/>
    <n v="0.23958333333333301"/>
    <n v="0"/>
  </r>
  <r>
    <n v="502302"/>
    <x v="6"/>
    <x v="0"/>
    <n v="4"/>
    <x v="0"/>
    <s v="Los Nietos"/>
    <n v="0"/>
    <n v="0"/>
    <n v="15.247999999999999"/>
    <n v="12.68262011"/>
    <n v="14.68262011"/>
    <n v="0.56501887364452397"/>
    <n v="15.247638983644499"/>
    <n v="0.23958333333333301"/>
    <n v="0"/>
    <n v="1"/>
    <n v="0"/>
    <n v="0"/>
    <n v="0"/>
    <n v="0.23958333333333301"/>
    <n v="0"/>
  </r>
  <r>
    <n v="502601"/>
    <x v="6"/>
    <x v="0"/>
    <n v="1"/>
    <x v="0"/>
    <s v="Pico Rivera"/>
    <n v="0"/>
    <n v="0"/>
    <n v="15.148999999999999"/>
    <n v="12.821034060000001"/>
    <n v="14.821034060000001"/>
    <n v="0.32807164220825902"/>
    <n v="15.149105702208301"/>
    <n v="0.23958333333333301"/>
    <n v="0"/>
    <n v="1"/>
    <n v="0"/>
    <n v="0"/>
    <n v="0"/>
    <n v="0.23958333333333301"/>
    <n v="0"/>
  </r>
  <r>
    <n v="503105"/>
    <x v="6"/>
    <x v="0"/>
    <n v="4"/>
    <x v="0"/>
    <s v="South Whittier"/>
    <n v="0"/>
    <n v="0"/>
    <n v="11.305"/>
    <n v="9.8396785799999993"/>
    <n v="10.839678579999999"/>
    <n v="0.46531572761220802"/>
    <n v="11.304994307612199"/>
    <n v="0.23958333333333301"/>
    <n v="0"/>
    <n v="1"/>
    <n v="0"/>
    <n v="0"/>
    <n v="0"/>
    <n v="0.23958333333333301"/>
    <n v="0"/>
  </r>
  <r>
    <n v="555212"/>
    <x v="6"/>
    <x v="0"/>
    <n v="4"/>
    <x v="0"/>
    <s v="Hawaiian Gardens"/>
    <n v="0"/>
    <n v="0"/>
    <n v="38.176000000000002"/>
    <n v="22.25920056"/>
    <n v="37.259200559999996"/>
    <n v="0.91683691219030505"/>
    <n v="38.176037472190302"/>
    <n v="0.23958333333333301"/>
    <n v="0"/>
    <n v="1"/>
    <n v="0"/>
    <n v="0"/>
    <n v="0"/>
    <n v="0.23958333333333301"/>
    <n v="0"/>
  </r>
  <r>
    <n v="530004"/>
    <x v="6"/>
    <x v="0"/>
    <n v="1"/>
    <x v="0"/>
    <s v="Montebello"/>
    <n v="0"/>
    <n v="0"/>
    <n v="93.516999999999996"/>
    <n v="75.864734569999996"/>
    <n v="90.864734569999996"/>
    <n v="2.65173585561939"/>
    <n v="93.516470425619403"/>
    <n v="0.23958333333333301"/>
    <n v="0"/>
    <n v="1"/>
    <n v="0"/>
    <n v="0"/>
    <n v="0"/>
    <n v="0.23958333333333301"/>
    <n v="0"/>
  </r>
  <r>
    <n v="530006"/>
    <x v="6"/>
    <x v="0"/>
    <n v="1"/>
    <x v="0"/>
    <s v="Montebello"/>
    <n v="0"/>
    <n v="0"/>
    <n v="21.253"/>
    <n v="19.785674910000001"/>
    <n v="19.785674910000001"/>
    <n v="1.46718637184919"/>
    <n v="21.252861281849199"/>
    <n v="0.23958333333333301"/>
    <n v="0"/>
    <n v="1"/>
    <n v="0"/>
    <n v="0"/>
    <n v="0"/>
    <n v="0.23958333333333301"/>
    <n v="0"/>
  </r>
  <r>
    <n v="530102"/>
    <x v="6"/>
    <x v="0"/>
    <n v="1"/>
    <x v="0"/>
    <s v="Montebello"/>
    <n v="0"/>
    <n v="0"/>
    <n v="10.917999999999999"/>
    <n v="10.35542491"/>
    <n v="10.35542491"/>
    <n v="0.56256664867145401"/>
    <n v="10.917991558671501"/>
    <n v="0.23958333333333301"/>
    <n v="0"/>
    <n v="1"/>
    <n v="0"/>
    <n v="0"/>
    <n v="0"/>
    <n v="0.23958333333333301"/>
    <n v="0"/>
  </r>
  <r>
    <n v="530202"/>
    <x v="6"/>
    <x v="0"/>
    <n v="1"/>
    <x v="0"/>
    <s v="Montebello"/>
    <n v="0"/>
    <n v="0"/>
    <n v="14.535"/>
    <n v="13.82168925"/>
    <n v="13.82168925"/>
    <n v="0.71253766924595996"/>
    <n v="14.534226919246001"/>
    <n v="0.23958333333333301"/>
    <n v="0"/>
    <n v="1"/>
    <n v="0"/>
    <n v="0"/>
    <n v="0"/>
    <n v="0.23958333333333301"/>
    <n v="0"/>
  </r>
  <r>
    <n v="530204"/>
    <x v="6"/>
    <x v="0"/>
    <n v="1"/>
    <x v="0"/>
    <s v="Montebello"/>
    <n v="0"/>
    <n v="0"/>
    <n v="49.884999999999998"/>
    <n v="46.266197689999998"/>
    <n v="46.266197689999998"/>
    <n v="3.6192585922082601"/>
    <n v="49.885456282208303"/>
    <n v="0.23958333333333301"/>
    <n v="0"/>
    <n v="1"/>
    <n v="0"/>
    <n v="0"/>
    <n v="0"/>
    <n v="0.23958333333333301"/>
    <n v="0"/>
  </r>
  <r>
    <n v="530902"/>
    <x v="6"/>
    <x v="0"/>
    <n v="1"/>
    <x v="0"/>
    <s v="East Los Angeles"/>
    <n v="0"/>
    <n v="0"/>
    <n v="16.751999999999999"/>
    <n v="14.11562485"/>
    <n v="16.11562485"/>
    <n v="0.63607117339317798"/>
    <n v="16.751696023393201"/>
    <n v="0.23958333333333301"/>
    <n v="0"/>
    <n v="1"/>
    <n v="0"/>
    <n v="0"/>
    <n v="0"/>
    <n v="0.23958333333333301"/>
    <n v="0"/>
  </r>
  <r>
    <n v="573403"/>
    <x v="6"/>
    <x v="0"/>
    <n v="4"/>
    <x v="0"/>
    <s v="Signal Hill"/>
    <n v="0"/>
    <n v="0"/>
    <n v="12.135"/>
    <n v="10.07437599"/>
    <n v="11.07437599"/>
    <n v="1.0601640429802499"/>
    <n v="12.134540032980301"/>
    <n v="0.23958333333333301"/>
    <n v="0"/>
    <n v="1"/>
    <n v="0"/>
    <n v="0"/>
    <n v="0"/>
    <n v="0.23958333333333301"/>
    <n v="0"/>
  </r>
  <r>
    <n v="554204"/>
    <x v="6"/>
    <x v="0"/>
    <n v="4"/>
    <x v="0"/>
    <s v="Bellflower"/>
    <n v="0"/>
    <n v="0"/>
    <n v="22.785"/>
    <n v="18.361808320000002"/>
    <n v="22.361808320000002"/>
    <n v="0.42369397364452399"/>
    <n v="22.785502293644502"/>
    <n v="0.23958333333333301"/>
    <n v="0"/>
    <n v="1"/>
    <n v="0"/>
    <n v="0"/>
    <n v="0"/>
    <n v="0.23958333333333301"/>
    <n v="0"/>
  </r>
  <r>
    <n v="552200"/>
    <x v="6"/>
    <x v="0"/>
    <n v="4"/>
    <x v="0"/>
    <s v="Norwalk"/>
    <n v="0"/>
    <n v="0"/>
    <n v="30.594000000000001"/>
    <n v="19.206438840000001"/>
    <n v="30.206438840000001"/>
    <n v="0.38734777942549398"/>
    <n v="30.593786619425501"/>
    <n v="0.23958333333333301"/>
    <n v="0"/>
    <n v="1"/>
    <n v="0"/>
    <n v="0"/>
    <n v="0"/>
    <n v="0.23958333333333301"/>
    <n v="0"/>
  </r>
  <r>
    <n v="531000"/>
    <x v="6"/>
    <x v="0"/>
    <n v="1"/>
    <x v="0"/>
    <s v="East Los Angeles"/>
    <n v="0"/>
    <n v="0"/>
    <n v="30.222000000000001"/>
    <n v="25.895634980000001"/>
    <n v="28.895634980000001"/>
    <n v="1.3252130893357299"/>
    <n v="30.220848069335698"/>
    <n v="0.23958333333333301"/>
    <n v="0"/>
    <n v="1"/>
    <n v="0"/>
    <n v="0"/>
    <n v="0"/>
    <n v="0.23958333333333301"/>
    <n v="0"/>
  </r>
  <r>
    <n v="531102"/>
    <x v="6"/>
    <x v="0"/>
    <n v="1"/>
    <x v="0"/>
    <s v="East Los Angeles"/>
    <n v="1"/>
    <n v="1"/>
    <n v="13.752000000000001"/>
    <n v="13.227123199999999"/>
    <n v="13.227123199999999"/>
    <n v="0.52473946888689404"/>
    <n v="13.751862668886901"/>
    <n v="0.23958333333333301"/>
    <n v="4.1739130434782599"/>
    <n v="1"/>
    <n v="0"/>
    <n v="0"/>
    <n v="0"/>
    <n v="0.23958333333333301"/>
    <n v="4.1739130434782661"/>
  </r>
  <r>
    <n v="531503"/>
    <x v="6"/>
    <x v="0"/>
    <n v="1"/>
    <x v="0"/>
    <s v="East Los Angeles"/>
    <n v="0"/>
    <n v="0"/>
    <n v="26.588999999999999"/>
    <n v="24.659023650000002"/>
    <n v="25.659023650000002"/>
    <n v="0.92943671007181305"/>
    <n v="26.588460360071799"/>
    <n v="0.23958333333333301"/>
    <n v="0"/>
    <n v="1"/>
    <n v="0"/>
    <n v="0"/>
    <n v="0"/>
    <n v="0.23958333333333301"/>
    <n v="0"/>
  </r>
  <r>
    <n v="531602"/>
    <x v="6"/>
    <x v="0"/>
    <n v="1"/>
    <x v="0"/>
    <s v="East Los Angeles"/>
    <n v="1"/>
    <n v="1"/>
    <n v="42.887"/>
    <n v="36.988113929999997"/>
    <n v="40.988113929999997"/>
    <n v="1.8984165903052099"/>
    <n v="42.8865305203052"/>
    <n v="0.23958333333333301"/>
    <n v="4.1739130434782599"/>
    <n v="1"/>
    <n v="0"/>
    <n v="0"/>
    <n v="0"/>
    <n v="0.23958333333333301"/>
    <n v="4.1739130434782661"/>
  </r>
  <r>
    <n v="531701"/>
    <x v="6"/>
    <x v="0"/>
    <n v="1"/>
    <x v="0"/>
    <s v="East Los Angeles"/>
    <n v="0"/>
    <n v="0"/>
    <n v="20.291"/>
    <n v="14.759247820000001"/>
    <n v="19.759247819999999"/>
    <n v="0.53128400752244198"/>
    <n v="20.2905318275224"/>
    <n v="0.23958333333333301"/>
    <n v="0"/>
    <n v="1"/>
    <n v="0"/>
    <n v="0"/>
    <n v="0"/>
    <n v="0.23958333333333301"/>
    <n v="0"/>
  </r>
  <r>
    <n v="531800"/>
    <x v="6"/>
    <x v="0"/>
    <n v="1"/>
    <x v="0"/>
    <s v="East Los Angeles"/>
    <n v="0"/>
    <n v="0"/>
    <n v="27.024000000000001"/>
    <n v="20.21132961"/>
    <n v="26.21132961"/>
    <n v="0.81304145249551196"/>
    <n v="27.024371062495501"/>
    <n v="0.23958333333333301"/>
    <n v="0"/>
    <n v="1"/>
    <n v="0"/>
    <n v="0"/>
    <n v="0"/>
    <n v="0.23958333333333301"/>
    <n v="0"/>
  </r>
  <r>
    <n v="531902"/>
    <x v="6"/>
    <x v="0"/>
    <n v="1"/>
    <x v="0"/>
    <s v="East Los Angeles"/>
    <n v="0"/>
    <n v="0"/>
    <n v="48.795999999999999"/>
    <n v="42.800117280000002"/>
    <n v="46.800117280000002"/>
    <n v="1.9947940532674999"/>
    <n v="48.7949113332675"/>
    <n v="0.23958333333333301"/>
    <n v="0"/>
    <n v="1"/>
    <n v="0"/>
    <n v="0"/>
    <n v="0"/>
    <n v="0.23958333333333301"/>
    <n v="0"/>
  </r>
  <r>
    <n v="532001"/>
    <x v="6"/>
    <x v="0"/>
    <n v="1"/>
    <x v="0"/>
    <s v="Montebello"/>
    <n v="1"/>
    <n v="1"/>
    <n v="14.313000000000001"/>
    <n v="12.709599280000001"/>
    <n v="13.709599280000001"/>
    <n v="0.60207257441651696"/>
    <n v="14.311671854416501"/>
    <n v="0.23958333333333301"/>
    <n v="4.1739130434782599"/>
    <n v="1"/>
    <n v="0"/>
    <n v="0"/>
    <n v="0"/>
    <n v="0.23958333333333301"/>
    <n v="4.1739130434782661"/>
  </r>
  <r>
    <n v="532101"/>
    <x v="6"/>
    <x v="0"/>
    <n v="1"/>
    <x v="0"/>
    <s v="Montebello"/>
    <n v="1"/>
    <n v="1"/>
    <n v="23.727"/>
    <n v="11.200055430000001"/>
    <n v="23.200055429999999"/>
    <n v="0.52622045445242405"/>
    <n v="23.726275884452399"/>
    <n v="0.23958333333333301"/>
    <n v="4.1739130434782599"/>
    <n v="1"/>
    <n v="0"/>
    <n v="0"/>
    <n v="0"/>
    <n v="0.23958333333333301"/>
    <n v="4.1739130434782661"/>
  </r>
  <r>
    <n v="551000"/>
    <x v="6"/>
    <x v="0"/>
    <n v="4"/>
    <x v="0"/>
    <s v="Downey"/>
    <n v="0"/>
    <n v="0"/>
    <n v="17.065999999999999"/>
    <n v="7.4380778999999997"/>
    <n v="16.4380779"/>
    <n v="0.62729995631956903"/>
    <n v="17.0653778563196"/>
    <n v="0.23958333333333301"/>
    <n v="0"/>
    <n v="1"/>
    <n v="0"/>
    <n v="0"/>
    <n v="0"/>
    <n v="0.23958333333333301"/>
    <n v="0"/>
  </r>
  <r>
    <n v="532102"/>
    <x v="6"/>
    <x v="0"/>
    <n v="1"/>
    <x v="0"/>
    <s v="Montebello"/>
    <n v="0"/>
    <n v="0"/>
    <n v="17.434000000000001"/>
    <n v="16.958063360000001"/>
    <n v="16.958063360000001"/>
    <n v="0.475442833752244"/>
    <n v="17.433506193752201"/>
    <n v="0.23958333333333301"/>
    <n v="0"/>
    <n v="1"/>
    <n v="0"/>
    <n v="0"/>
    <n v="0"/>
    <n v="0.23958333333333301"/>
    <n v="0"/>
  </r>
  <r>
    <n v="532200"/>
    <x v="6"/>
    <x v="0"/>
    <n v="1"/>
    <x v="0"/>
    <s v="Montebello"/>
    <n v="0"/>
    <n v="0"/>
    <n v="20.759"/>
    <n v="15.869597280000001"/>
    <n v="19.869597280000001"/>
    <n v="0.88938081105924605"/>
    <n v="20.758978091059198"/>
    <n v="0.23958333333333301"/>
    <n v="0"/>
    <n v="1"/>
    <n v="0"/>
    <n v="0"/>
    <n v="0"/>
    <n v="0.23958333333333301"/>
    <n v="0"/>
  </r>
  <r>
    <n v="532303"/>
    <x v="6"/>
    <x v="0"/>
    <n v="1"/>
    <x v="0"/>
    <s v="Commerce"/>
    <n v="1"/>
    <n v="1"/>
    <n v="50.572000000000003"/>
    <n v="47.708414740000002"/>
    <n v="47.708414740000002"/>
    <n v="2.8639661577378801"/>
    <n v="50.572380897737901"/>
    <n v="0.23958333333333301"/>
    <n v="4.1739130434782599"/>
    <n v="1"/>
    <n v="0"/>
    <n v="0"/>
    <n v="0"/>
    <n v="0.23958333333333301"/>
    <n v="4.1739130434782661"/>
  </r>
  <r>
    <n v="532400"/>
    <x v="6"/>
    <x v="0"/>
    <n v="1"/>
    <x v="0"/>
    <s v="Vernon"/>
    <n v="0"/>
    <n v="0"/>
    <n v="0"/>
    <n v="0"/>
    <n v="0"/>
    <n v="0"/>
    <n v="0"/>
    <n v="0.23958333333333301"/>
    <n v="0"/>
    <n v="1"/>
    <n v="0"/>
    <n v="0"/>
    <n v="0"/>
    <n v="0.23958333333333301"/>
    <n v="0"/>
  </r>
  <r>
    <n v="550300"/>
    <x v="6"/>
    <x v="0"/>
    <n v="4"/>
    <x v="0"/>
    <s v="Norwalk"/>
    <n v="0"/>
    <n v="0"/>
    <n v="36.433"/>
    <n v="26.113727579999999"/>
    <n v="36.113727580000003"/>
    <n v="0.318912537684022"/>
    <n v="36.432640117684002"/>
    <n v="0.23958333333333301"/>
    <n v="0"/>
    <n v="1"/>
    <n v="0"/>
    <n v="0"/>
    <n v="0"/>
    <n v="0.23958333333333301"/>
    <n v="0"/>
  </r>
  <r>
    <n v="532603"/>
    <x v="6"/>
    <x v="0"/>
    <n v="1"/>
    <x v="0"/>
    <s v="Huntington Park"/>
    <n v="0"/>
    <n v="0"/>
    <n v="0"/>
    <n v="0"/>
    <n v="0"/>
    <n v="0"/>
    <n v="0"/>
    <n v="0.23958333333333301"/>
    <n v="0"/>
    <n v="1"/>
    <n v="0"/>
    <n v="0"/>
    <n v="0"/>
    <n v="0.23958333333333301"/>
    <n v="0"/>
  </r>
  <r>
    <n v="532605"/>
    <x v="6"/>
    <x v="0"/>
    <n v="1"/>
    <x v="0"/>
    <s v="Huntington Park"/>
    <n v="0"/>
    <n v="0"/>
    <n v="47.250999999999998"/>
    <n v="29.788807349999999"/>
    <n v="46.788807349999999"/>
    <n v="0.46169844705565499"/>
    <n v="47.250505797055702"/>
    <n v="0.23958333333333301"/>
    <n v="0"/>
    <n v="1"/>
    <n v="0"/>
    <n v="0"/>
    <n v="0"/>
    <n v="0.23958333333333301"/>
    <n v="0"/>
  </r>
  <r>
    <n v="532700"/>
    <x v="6"/>
    <x v="0"/>
    <n v="2"/>
    <x v="0"/>
    <s v="Florence-Graham"/>
    <n v="0"/>
    <n v="0"/>
    <n v="18.821000000000002"/>
    <n v="13.18375509"/>
    <n v="18.183755089999998"/>
    <n v="0.63739305583482897"/>
    <n v="18.821148145834801"/>
    <n v="0.23958333333333301"/>
    <n v="0"/>
    <n v="1"/>
    <n v="0"/>
    <n v="0"/>
    <n v="0"/>
    <n v="0.23958333333333301"/>
    <n v="0"/>
  </r>
  <r>
    <n v="533002"/>
    <x v="6"/>
    <x v="0"/>
    <n v="1"/>
    <x v="0"/>
    <s v="Florence-Graham"/>
    <n v="0"/>
    <n v="0"/>
    <n v="36.476999999999997"/>
    <n v="25.980646530000001"/>
    <n v="34.980646530000001"/>
    <n v="1.4961600750269299"/>
    <n v="36.476806605026901"/>
    <n v="0.23958333333333301"/>
    <n v="0"/>
    <n v="1"/>
    <n v="0"/>
    <n v="0"/>
    <n v="0"/>
    <n v="0.23958333333333301"/>
    <n v="0"/>
  </r>
  <r>
    <n v="533103"/>
    <x v="6"/>
    <x v="0"/>
    <n v="1"/>
    <x v="0"/>
    <s v="Huntington Park"/>
    <n v="0"/>
    <n v="0"/>
    <n v="38.043999999999997"/>
    <n v="17.901079289999998"/>
    <n v="36.901079289999998"/>
    <n v="1.1428835584739701"/>
    <n v="38.043962848474003"/>
    <n v="0.23958333333333301"/>
    <n v="0"/>
    <n v="1"/>
    <n v="0"/>
    <n v="0"/>
    <n v="0"/>
    <n v="0.23958333333333301"/>
    <n v="0"/>
  </r>
  <r>
    <n v="533106"/>
    <x v="6"/>
    <x v="0"/>
    <n v="1"/>
    <x v="0"/>
    <s v="Huntington Park"/>
    <n v="0"/>
    <n v="0"/>
    <n v="15.292999999999999"/>
    <n v="9.0587163299999993"/>
    <n v="15.058716329999999"/>
    <n v="0.23395329447037699"/>
    <n v="15.292669624470401"/>
    <n v="0.23958333333333301"/>
    <n v="0"/>
    <n v="1"/>
    <n v="0"/>
    <n v="0"/>
    <n v="0"/>
    <n v="0.23958333333333301"/>
    <n v="0"/>
  </r>
  <r>
    <n v="532304"/>
    <x v="6"/>
    <x v="0"/>
    <n v="1"/>
    <x v="0"/>
    <s v="Commerce"/>
    <n v="0"/>
    <n v="0"/>
    <n v="9.9049999999999994"/>
    <n v="8.4482643599999996"/>
    <n v="9.4482643599999996"/>
    <n v="0.45619386750448798"/>
    <n v="9.9044582275044899"/>
    <n v="0.23958333333333301"/>
    <n v="0"/>
    <n v="1"/>
    <n v="0"/>
    <n v="0"/>
    <n v="0"/>
    <n v="0.23958333333333301"/>
    <n v="0"/>
  </r>
  <r>
    <n v="536104"/>
    <x v="6"/>
    <x v="0"/>
    <n v="1"/>
    <x v="0"/>
    <s v="South Gate"/>
    <n v="0"/>
    <n v="0"/>
    <n v="11.093"/>
    <n v="7.6842311499999996"/>
    <n v="10.68423115"/>
    <n v="0.40850331443447002"/>
    <n v="11.0927344644345"/>
    <n v="0.23958333333333301"/>
    <n v="0"/>
    <n v="1"/>
    <n v="0"/>
    <n v="0"/>
    <n v="0"/>
    <n v="0.23958333333333301"/>
    <n v="0"/>
  </r>
  <r>
    <n v="533300"/>
    <x v="6"/>
    <x v="0"/>
    <n v="1"/>
    <x v="0"/>
    <s v="Maywood"/>
    <n v="0"/>
    <n v="0"/>
    <n v="5.0949999999999998"/>
    <n v="1.9836996600000001"/>
    <n v="4.9836996600000001"/>
    <n v="0.11117260138240601"/>
    <n v="5.0948722613824096"/>
    <n v="0.23958333333333301"/>
    <n v="0"/>
    <n v="1"/>
    <n v="0"/>
    <n v="0"/>
    <n v="0"/>
    <n v="0.23958333333333301"/>
    <n v="0"/>
  </r>
  <r>
    <n v="531901"/>
    <x v="6"/>
    <x v="0"/>
    <n v="1"/>
    <x v="0"/>
    <s v="East Los Angeles"/>
    <n v="1"/>
    <n v="1"/>
    <n v="25.187000000000001"/>
    <n v="22.77956103"/>
    <n v="23.77956103"/>
    <n v="1.40725288441652"/>
    <n v="25.186813914416501"/>
    <n v="0.23958333333333301"/>
    <n v="4.1739130434782599"/>
    <n v="1"/>
    <n v="0"/>
    <n v="0"/>
    <n v="0"/>
    <n v="0.23958333333333301"/>
    <n v="4.1739130434782661"/>
  </r>
  <r>
    <n v="554403"/>
    <x v="6"/>
    <x v="0"/>
    <n v="4"/>
    <x v="0"/>
    <s v="Bellflower"/>
    <n v="0"/>
    <n v="0"/>
    <n v="17.568999999999999"/>
    <n v="10.66224719"/>
    <n v="16.662247189999999"/>
    <n v="0.90723105127468595"/>
    <n v="17.569478241274702"/>
    <n v="0.23958333333333301"/>
    <n v="0"/>
    <n v="1"/>
    <n v="0"/>
    <n v="0"/>
    <n v="0"/>
    <n v="0.23958333333333301"/>
    <n v="0"/>
  </r>
  <r>
    <n v="533703"/>
    <x v="6"/>
    <x v="0"/>
    <n v="1"/>
    <x v="0"/>
    <s v="Maywood"/>
    <n v="0"/>
    <n v="0"/>
    <n v="0"/>
    <n v="0"/>
    <n v="0"/>
    <n v="0"/>
    <n v="0"/>
    <n v="0.23958333333333301"/>
    <n v="0"/>
    <n v="1"/>
    <n v="0"/>
    <n v="0"/>
    <n v="0"/>
    <n v="0.23958333333333301"/>
    <n v="0"/>
  </r>
  <r>
    <n v="533806"/>
    <x v="6"/>
    <x v="0"/>
    <n v="1"/>
    <x v="0"/>
    <s v="Bell"/>
    <n v="0"/>
    <n v="0"/>
    <n v="44.162999999999997"/>
    <n v="30.697933519999999"/>
    <n v="43.697933519999999"/>
    <n v="0.464550509874327"/>
    <n v="44.1624840298743"/>
    <n v="0.23958333333333301"/>
    <n v="0"/>
    <n v="1"/>
    <n v="0"/>
    <n v="0"/>
    <n v="0"/>
    <n v="0.23958333333333301"/>
    <n v="0"/>
  </r>
  <r>
    <n v="534101"/>
    <x v="6"/>
    <x v="0"/>
    <n v="1"/>
    <x v="0"/>
    <s v="Bell Gardens"/>
    <n v="0"/>
    <n v="0"/>
    <n v="18.89"/>
    <n v="14.028888630000001"/>
    <n v="18.028888630000001"/>
    <n v="0.86137834728904805"/>
    <n v="18.890266977288999"/>
    <n v="0.23958333333333301"/>
    <n v="0"/>
    <n v="1"/>
    <n v="0"/>
    <n v="0"/>
    <n v="0"/>
    <n v="0.23958333333333301"/>
    <n v="0"/>
  </r>
  <r>
    <n v="534201"/>
    <x v="6"/>
    <x v="0"/>
    <n v="1"/>
    <x v="0"/>
    <s v="Bell Gardens"/>
    <n v="0"/>
    <n v="0"/>
    <n v="15.956"/>
    <n v="14.29356445"/>
    <n v="15.29356445"/>
    <n v="0.662110691579892"/>
    <n v="15.955675141579899"/>
    <n v="0.23958333333333301"/>
    <n v="0"/>
    <n v="1"/>
    <n v="0"/>
    <n v="0"/>
    <n v="0"/>
    <n v="0.23958333333333301"/>
    <n v="0"/>
  </r>
  <r>
    <n v="534203"/>
    <x v="6"/>
    <x v="0"/>
    <n v="1"/>
    <x v="0"/>
    <s v="Bell Gardens"/>
    <n v="0"/>
    <n v="0"/>
    <n v="15.065"/>
    <n v="11.35769487"/>
    <n v="14.35769487"/>
    <n v="0.70731501305206501"/>
    <n v="15.065009883052101"/>
    <n v="0.23958333333333301"/>
    <n v="0"/>
    <n v="1"/>
    <n v="0"/>
    <n v="0"/>
    <n v="0"/>
    <n v="0.23958333333333301"/>
    <n v="0"/>
  </r>
  <r>
    <n v="532002"/>
    <x v="6"/>
    <x v="0"/>
    <n v="1"/>
    <x v="0"/>
    <s v="Montebello"/>
    <n v="1"/>
    <n v="1"/>
    <n v="23.300999999999998"/>
    <n v="21.24074156"/>
    <n v="22.24074156"/>
    <n v="1.05997715371634"/>
    <n v="23.3007187137163"/>
    <n v="0.23958333333333301"/>
    <n v="4.1739130434782599"/>
    <n v="1"/>
    <n v="0"/>
    <n v="0"/>
    <n v="0"/>
    <n v="0.23958333333333301"/>
    <n v="4.1739130434782661"/>
  </r>
  <r>
    <n v="531702"/>
    <x v="6"/>
    <x v="0"/>
    <n v="1"/>
    <x v="0"/>
    <s v="East Los Angeles"/>
    <n v="0"/>
    <n v="0"/>
    <n v="51.735999999999997"/>
    <n v="44.707240749999997"/>
    <n v="49.707240749999997"/>
    <n v="2.0281191523159801"/>
    <n v="51.735359902315999"/>
    <n v="0.23958333333333301"/>
    <n v="0"/>
    <n v="1"/>
    <n v="0"/>
    <n v="0"/>
    <n v="0"/>
    <n v="0.23958333333333301"/>
    <n v="0"/>
  </r>
  <r>
    <n v="534403"/>
    <x v="6"/>
    <x v="0"/>
    <n v="1"/>
    <x v="0"/>
    <s v="Cudahy"/>
    <n v="1"/>
    <n v="1"/>
    <n v="4.5910000000000002"/>
    <n v="1.43919657"/>
    <n v="4.43919657"/>
    <n v="0.15145200614003601"/>
    <n v="4.5906485761400404"/>
    <n v="0.23958333333333301"/>
    <n v="4.1739130434782599"/>
    <n v="1"/>
    <n v="0"/>
    <n v="0"/>
    <n v="0"/>
    <n v="0.23958333333333301"/>
    <n v="4.1739130434782661"/>
  </r>
  <r>
    <n v="531603"/>
    <x v="6"/>
    <x v="0"/>
    <n v="1"/>
    <x v="0"/>
    <s v="East Los Angeles"/>
    <n v="1"/>
    <n v="1"/>
    <n v="16.965"/>
    <n v="16.271072279999998"/>
    <n v="16.271072279999998"/>
    <n v="0.69288358657091598"/>
    <n v="16.963955866570899"/>
    <n v="0.23958333333333301"/>
    <n v="4.1739130434782599"/>
    <n v="1"/>
    <n v="0"/>
    <n v="0"/>
    <n v="0"/>
    <n v="0.23958333333333301"/>
    <n v="4.1739130434782661"/>
  </r>
  <r>
    <n v="534406"/>
    <x v="6"/>
    <x v="0"/>
    <n v="1"/>
    <x v="0"/>
    <s v="Cudahy"/>
    <n v="0"/>
    <n v="0"/>
    <n v="5"/>
    <n v="0"/>
    <n v="5"/>
    <n v="0"/>
    <n v="5"/>
    <n v="0.23958333333333301"/>
    <n v="0"/>
    <n v="1"/>
    <n v="0"/>
    <n v="0"/>
    <n v="0"/>
    <n v="0.23958333333333301"/>
    <n v="0"/>
  </r>
  <r>
    <n v="535501"/>
    <x v="6"/>
    <x v="0"/>
    <n v="1"/>
    <x v="0"/>
    <s v="South Gate"/>
    <n v="0"/>
    <n v="0"/>
    <n v="18.056999999999999"/>
    <n v="10.268688689999999"/>
    <n v="17.268688690000001"/>
    <n v="0.78787382256732497"/>
    <n v="18.0565625125673"/>
    <n v="0.23958333333333301"/>
    <n v="0"/>
    <n v="1"/>
    <n v="0"/>
    <n v="0"/>
    <n v="0"/>
    <n v="0.23958333333333301"/>
    <n v="0"/>
  </r>
  <r>
    <n v="531502"/>
    <x v="6"/>
    <x v="0"/>
    <n v="1"/>
    <x v="0"/>
    <s v="East Los Angeles"/>
    <n v="0"/>
    <n v="0"/>
    <n v="12.446999999999999"/>
    <n v="11.139742439999999"/>
    <n v="12.139742439999999"/>
    <n v="0.30657971044883298"/>
    <n v="12.4463221504488"/>
    <n v="0.23958333333333301"/>
    <n v="0"/>
    <n v="1"/>
    <n v="0"/>
    <n v="0"/>
    <n v="0"/>
    <n v="0.23958333333333301"/>
    <n v="0"/>
  </r>
  <r>
    <n v="535502"/>
    <x v="6"/>
    <x v="0"/>
    <n v="1"/>
    <x v="0"/>
    <s v="South Gate"/>
    <n v="1"/>
    <n v="1"/>
    <n v="18.481000000000002"/>
    <n v="15.468085200000001"/>
    <n v="17.468085200000001"/>
    <n v="1.0128303534290799"/>
    <n v="18.480915553429099"/>
    <n v="0.23958333333333301"/>
    <n v="4.1739130434782599"/>
    <n v="1"/>
    <n v="0"/>
    <n v="0"/>
    <n v="0"/>
    <n v="0.23958333333333301"/>
    <n v="4.1739130434782661"/>
  </r>
  <r>
    <n v="536102"/>
    <x v="6"/>
    <x v="0"/>
    <n v="1"/>
    <x v="0"/>
    <s v="South Gate"/>
    <n v="1"/>
    <n v="1"/>
    <n v="21.209"/>
    <n v="15.835723359999999"/>
    <n v="20.835723359999999"/>
    <n v="0.37341460003590699"/>
    <n v="21.2091379600359"/>
    <n v="0.23958333333333301"/>
    <n v="4.1739130434782599"/>
    <n v="1"/>
    <n v="0"/>
    <n v="0"/>
    <n v="0"/>
    <n v="0.23958333333333301"/>
    <n v="4.1739130434782661"/>
  </r>
  <r>
    <n v="531202"/>
    <x v="6"/>
    <x v="0"/>
    <n v="1"/>
    <x v="0"/>
    <s v="East Los Angeles"/>
    <n v="0"/>
    <n v="0"/>
    <n v="20.443999999999999"/>
    <n v="16.840273929999999"/>
    <n v="19.840273929999999"/>
    <n v="0.60391042350089796"/>
    <n v="20.444184353500901"/>
    <n v="0.23958333333333301"/>
    <n v="0"/>
    <n v="1"/>
    <n v="0"/>
    <n v="0"/>
    <n v="0"/>
    <n v="0.23958333333333301"/>
    <n v="0"/>
  </r>
  <r>
    <n v="536103"/>
    <x v="6"/>
    <x v="0"/>
    <n v="1"/>
    <x v="0"/>
    <s v="South Gate"/>
    <n v="0"/>
    <n v="0"/>
    <n v="21.193999999999999"/>
    <n v="19.364581300000001"/>
    <n v="20.364581300000001"/>
    <n v="0.82877382369838404"/>
    <n v="21.193355123698399"/>
    <n v="0.23958333333333301"/>
    <n v="0"/>
    <n v="1"/>
    <n v="0"/>
    <n v="0"/>
    <n v="0"/>
    <n v="0.23958333333333301"/>
    <n v="0"/>
  </r>
  <r>
    <n v="536200"/>
    <x v="6"/>
    <x v="0"/>
    <n v="1"/>
    <x v="0"/>
    <s v="South Gate"/>
    <n v="1"/>
    <n v="1"/>
    <n v="17.853999999999999"/>
    <n v="16.61334617"/>
    <n v="16.61334617"/>
    <n v="1.2407488554218999"/>
    <n v="17.854095025421898"/>
    <n v="0.23958333333333301"/>
    <n v="4.1739130434782599"/>
    <n v="1"/>
    <n v="0"/>
    <n v="0"/>
    <n v="0"/>
    <n v="0.23958333333333301"/>
    <n v="4.1739130434782661"/>
  </r>
  <r>
    <n v="550100"/>
    <x v="6"/>
    <x v="0"/>
    <n v="4"/>
    <x v="0"/>
    <s v="Norwalk"/>
    <n v="0"/>
    <n v="0"/>
    <n v="21.219000000000001"/>
    <n v="10.96359627"/>
    <n v="20.96359627"/>
    <n v="0.25457861655296199"/>
    <n v="21.218174886553001"/>
    <n v="0.23958333333333301"/>
    <n v="0"/>
    <n v="1"/>
    <n v="0"/>
    <n v="0"/>
    <n v="0"/>
    <n v="0.23958333333333301"/>
    <n v="0"/>
  </r>
  <r>
    <n v="550202"/>
    <x v="6"/>
    <x v="0"/>
    <n v="4"/>
    <x v="0"/>
    <s v="Norwalk"/>
    <n v="0"/>
    <n v="0"/>
    <n v="5.3250000000000002"/>
    <n v="5.07720868"/>
    <n v="5.07720868"/>
    <n v="0.24706283850987401"/>
    <n v="5.3242715185098701"/>
    <n v="0.23958333333333301"/>
    <n v="0"/>
    <n v="1"/>
    <n v="0"/>
    <n v="0"/>
    <n v="0"/>
    <n v="0.23958333333333301"/>
    <n v="0"/>
  </r>
  <r>
    <n v="550400"/>
    <x v="6"/>
    <x v="0"/>
    <n v="4"/>
    <x v="0"/>
    <s v="Downey"/>
    <n v="1"/>
    <n v="1"/>
    <n v="20.927"/>
    <n v="18.2805453"/>
    <n v="19.2805453"/>
    <n v="1.64631798486535"/>
    <n v="20.926863284865401"/>
    <n v="0.23958333333333301"/>
    <n v="4.1739130434782599"/>
    <n v="1"/>
    <n v="0"/>
    <n v="0"/>
    <n v="0"/>
    <n v="0.23958333333333301"/>
    <n v="4.1739130434782661"/>
  </r>
  <r>
    <n v="550500"/>
    <x v="6"/>
    <x v="0"/>
    <n v="4"/>
    <x v="0"/>
    <s v="Downey"/>
    <n v="0"/>
    <n v="0"/>
    <n v="25.657"/>
    <n v="20.39908776"/>
    <n v="25.39908776"/>
    <n v="0.25703657143626601"/>
    <n v="25.656124331436299"/>
    <n v="0.23958333333333301"/>
    <n v="0"/>
    <n v="1"/>
    <n v="0"/>
    <n v="0"/>
    <n v="0"/>
    <n v="0.23958333333333301"/>
    <n v="0"/>
  </r>
  <r>
    <n v="550700"/>
    <x v="6"/>
    <x v="0"/>
    <n v="4"/>
    <x v="0"/>
    <s v="Downey"/>
    <n v="1"/>
    <n v="1"/>
    <n v="14.218999999999999"/>
    <n v="10.96359627"/>
    <n v="13.96359627"/>
    <n v="0.25457861655296199"/>
    <n v="14.218174886552999"/>
    <n v="0.23958333333333301"/>
    <n v="4.1739130434782599"/>
    <n v="1"/>
    <n v="0"/>
    <n v="0"/>
    <n v="0"/>
    <n v="0.23958333333333301"/>
    <n v="4.1739130434782661"/>
  </r>
  <r>
    <n v="551102"/>
    <x v="6"/>
    <x v="0"/>
    <n v="4"/>
    <x v="0"/>
    <s v="Downey"/>
    <n v="1"/>
    <n v="1"/>
    <n v="5.0949999999999998"/>
    <n v="1.9836996600000001"/>
    <n v="4.9836996600000001"/>
    <n v="0.11117260138240601"/>
    <n v="5.0948722613824096"/>
    <n v="0.23958333333333301"/>
    <n v="4.1739130434782599"/>
    <n v="1"/>
    <n v="0"/>
    <n v="0"/>
    <n v="0"/>
    <n v="0.23958333333333301"/>
    <n v="4.1739130434782661"/>
  </r>
  <r>
    <n v="551800"/>
    <x v="6"/>
    <x v="0"/>
    <n v="4"/>
    <x v="0"/>
    <s v="Downey"/>
    <n v="0"/>
    <n v="0"/>
    <n v="3"/>
    <n v="0"/>
    <n v="3"/>
    <n v="0"/>
    <n v="3"/>
    <n v="0.23958333333333301"/>
    <n v="0"/>
    <n v="1"/>
    <n v="0"/>
    <n v="0"/>
    <n v="0"/>
    <n v="0.23958333333333301"/>
    <n v="0"/>
  </r>
  <r>
    <n v="530203"/>
    <x v="6"/>
    <x v="0"/>
    <n v="1"/>
    <x v="0"/>
    <s v="Montebello"/>
    <n v="0"/>
    <n v="0"/>
    <n v="45.682000000000002"/>
    <n v="40.382253400000003"/>
    <n v="43.382253400000003"/>
    <n v="2.2985715236445201"/>
    <n v="45.680824923644501"/>
    <n v="0.23958333333333301"/>
    <n v="0"/>
    <n v="1"/>
    <n v="0"/>
    <n v="0"/>
    <n v="0"/>
    <n v="0.23958333333333301"/>
    <n v="0"/>
  </r>
  <r>
    <n v="530005"/>
    <x v="6"/>
    <x v="0"/>
    <n v="1"/>
    <x v="0"/>
    <s v="Montebello"/>
    <n v="0"/>
    <n v="0"/>
    <n v="12.323"/>
    <n v="10.77774017"/>
    <n v="11.77774017"/>
    <n v="0.54439355156193903"/>
    <n v="12.322133721561899"/>
    <n v="0.23958333333333301"/>
    <n v="0"/>
    <n v="1"/>
    <n v="0"/>
    <n v="0"/>
    <n v="0"/>
    <n v="0.23958333333333301"/>
    <n v="0"/>
  </r>
  <r>
    <n v="503104"/>
    <x v="6"/>
    <x v="0"/>
    <n v="4"/>
    <x v="0"/>
    <s v="South Whittier"/>
    <n v="0"/>
    <n v="0"/>
    <n v="17.896000000000001"/>
    <n v="11.278875149999999"/>
    <n v="17.278875150000001"/>
    <n v="0.61676773375224403"/>
    <n v="17.895642883752199"/>
    <n v="0.23958333333333301"/>
    <n v="0"/>
    <n v="1"/>
    <n v="0"/>
    <n v="0"/>
    <n v="0"/>
    <n v="0.23958333333333301"/>
    <n v="0"/>
  </r>
  <r>
    <n v="530101"/>
    <x v="6"/>
    <x v="0"/>
    <n v="1"/>
    <x v="0"/>
    <s v="Montebello"/>
    <n v="0"/>
    <n v="0"/>
    <n v="2.0950000000000002"/>
    <n v="1.9836996600000001"/>
    <n v="1.9836996600000001"/>
    <n v="0.11117260138240601"/>
    <n v="2.09487226138241"/>
    <n v="0.23958333333333301"/>
    <n v="0"/>
    <n v="1"/>
    <n v="0"/>
    <n v="0"/>
    <n v="0"/>
    <n v="0.23958333333333301"/>
    <n v="0"/>
  </r>
  <r>
    <n v="504102"/>
    <x v="6"/>
    <x v="0"/>
    <n v="4"/>
    <x v="0"/>
    <s v="Santa Fe Springs"/>
    <n v="1"/>
    <n v="1"/>
    <n v="46.289000000000001"/>
    <n v="42.222459030000003"/>
    <n v="44.222459030000003"/>
    <n v="2.0662425017414701"/>
    <n v="46.288701531741502"/>
    <n v="0.23958333333333301"/>
    <n v="4.1739130434782599"/>
    <n v="1"/>
    <n v="0"/>
    <n v="0"/>
    <n v="0"/>
    <n v="0.23958333333333301"/>
    <n v="4.1739130434782661"/>
  </r>
  <r>
    <n v="502500"/>
    <x v="6"/>
    <x v="0"/>
    <n v="1"/>
    <x v="0"/>
    <s v="Pico Rivera"/>
    <n v="1"/>
    <n v="1"/>
    <n v="58.421999999999997"/>
    <n v="48.609441500000003"/>
    <n v="56.609441500000003"/>
    <n v="1.8127532941831199"/>
    <n v="58.422194794183099"/>
    <n v="0.23958333333333301"/>
    <n v="4.1739130434782599"/>
    <n v="1"/>
    <n v="0"/>
    <n v="0"/>
    <n v="0"/>
    <n v="0.23958333333333301"/>
    <n v="4.1739130434782661"/>
  </r>
  <r>
    <n v="551900"/>
    <x v="6"/>
    <x v="0"/>
    <n v="4"/>
    <x v="0"/>
    <s v="Norwalk"/>
    <n v="0"/>
    <n v="0"/>
    <n v="59.796999999999997"/>
    <n v="53.164890550000003"/>
    <n v="59.164890550000003"/>
    <n v="0.63186920651705603"/>
    <n v="59.796759756516998"/>
    <n v="0.23958333333333301"/>
    <n v="0"/>
    <n v="1"/>
    <n v="0"/>
    <n v="0"/>
    <n v="0"/>
    <n v="0.23958333333333301"/>
    <n v="0"/>
  </r>
  <r>
    <n v="552100"/>
    <x v="6"/>
    <x v="0"/>
    <n v="4"/>
    <x v="0"/>
    <s v="Norwalk"/>
    <n v="0"/>
    <n v="0"/>
    <n v="23.052"/>
    <n v="14.72379621"/>
    <n v="22.72379621"/>
    <n v="0.32808314127468602"/>
    <n v="23.0518793512747"/>
    <n v="0.23958333333333301"/>
    <n v="0"/>
    <n v="1"/>
    <n v="0"/>
    <n v="0"/>
    <n v="0"/>
    <n v="0.23958333333333301"/>
    <n v="0"/>
  </r>
  <r>
    <n v="552601"/>
    <x v="6"/>
    <x v="0"/>
    <n v="4"/>
    <x v="0"/>
    <s v="Norwalk"/>
    <n v="0"/>
    <n v="0"/>
    <n v="15.122"/>
    <n v="14.6804281"/>
    <n v="14.6804281"/>
    <n v="0.440736728222621"/>
    <n v="15.1211648282226"/>
    <n v="0.23958333333333301"/>
    <n v="0"/>
    <n v="1"/>
    <n v="0"/>
    <n v="0"/>
    <n v="0"/>
    <n v="0.23958333333333301"/>
    <n v="0"/>
  </r>
  <r>
    <n v="553000"/>
    <x v="6"/>
    <x v="0"/>
    <n v="4"/>
    <x v="0"/>
    <s v="Norwalk"/>
    <n v="0"/>
    <n v="0"/>
    <n v="7"/>
    <n v="0"/>
    <n v="7"/>
    <n v="0"/>
    <n v="7"/>
    <n v="0.23958333333333301"/>
    <n v="0"/>
    <n v="1"/>
    <n v="0"/>
    <n v="0"/>
    <n v="0"/>
    <n v="0.23958333333333301"/>
    <n v="0"/>
  </r>
  <r>
    <n v="553100"/>
    <x v="6"/>
    <x v="0"/>
    <n v="4"/>
    <x v="0"/>
    <s v="Bellflower"/>
    <n v="1"/>
    <n v="1"/>
    <n v="5.8289999999999997"/>
    <n v="5.6217117700000001"/>
    <n v="5.6217117700000001"/>
    <n v="0.20678343375224401"/>
    <n v="5.8284952037522402"/>
    <n v="0.23958333333333301"/>
    <n v="4.1739130434782599"/>
    <n v="1"/>
    <n v="0"/>
    <n v="0"/>
    <n v="0"/>
    <n v="0.23958333333333301"/>
    <n v="4.1739130434782661"/>
  </r>
  <r>
    <n v="500700"/>
    <x v="6"/>
    <x v="0"/>
    <n v="1"/>
    <x v="0"/>
    <s v="Pico Rivera"/>
    <n v="0"/>
    <n v="0"/>
    <n v="55.353000000000002"/>
    <n v="48.448268120000002"/>
    <n v="53.448268120000002"/>
    <n v="1.90525202"/>
    <n v="55.353520140000001"/>
    <n v="0.23958333333333301"/>
    <n v="0"/>
    <n v="1"/>
    <n v="0"/>
    <n v="0"/>
    <n v="0"/>
    <n v="0.23958333333333301"/>
    <n v="0"/>
  </r>
  <r>
    <n v="554302"/>
    <x v="6"/>
    <x v="0"/>
    <n v="4"/>
    <x v="0"/>
    <s v="Bellflower"/>
    <n v="1"/>
    <n v="1"/>
    <n v="8.9969999999999999"/>
    <n v="4.8017798100000002"/>
    <n v="8.8017798099999993"/>
    <n v="0.19443586965888701"/>
    <n v="8.9962156796588904"/>
    <n v="0.23958333333333301"/>
    <n v="4.1739130434782599"/>
    <n v="1"/>
    <n v="0"/>
    <n v="0"/>
    <n v="0"/>
    <n v="0.23958333333333301"/>
    <n v="4.1739130434782661"/>
  </r>
  <r>
    <n v="500600"/>
    <x v="6"/>
    <x v="0"/>
    <n v="1"/>
    <x v="0"/>
    <s v="Pico Rivera"/>
    <n v="0"/>
    <n v="0"/>
    <n v="17.417999999999999"/>
    <n v="12.76143983"/>
    <n v="16.76143983"/>
    <n v="0.65556615294434495"/>
    <n v="17.4170059829443"/>
    <n v="0.23958333333333301"/>
    <n v="0"/>
    <n v="1"/>
    <n v="0"/>
    <n v="0"/>
    <n v="0"/>
    <n v="0.23958333333333301"/>
    <n v="0"/>
  </r>
  <r>
    <n v="554406"/>
    <x v="6"/>
    <x v="0"/>
    <n v="4"/>
    <x v="0"/>
    <s v="Bellflower"/>
    <n v="0"/>
    <n v="0"/>
    <n v="13.276"/>
    <n v="4.8620928000000001"/>
    <n v="12.862092799999999"/>
    <n v="0.414076613662478"/>
    <n v="13.276169413662499"/>
    <n v="0.23958333333333301"/>
    <n v="0"/>
    <n v="1"/>
    <n v="0"/>
    <n v="0"/>
    <n v="0"/>
    <n v="0.23958333333333301"/>
    <n v="0"/>
  </r>
  <r>
    <n v="554518"/>
    <x v="6"/>
    <x v="0"/>
    <n v="4"/>
    <x v="0"/>
    <s v="Cerritos"/>
    <n v="0"/>
    <n v="0"/>
    <n v="4.9029999999999996"/>
    <n v="3.7168318299999998"/>
    <n v="4.7168318300000003"/>
    <n v="0.18615811166965901"/>
    <n v="4.9029899416696603"/>
    <n v="0.23958333333333301"/>
    <n v="0"/>
    <n v="1"/>
    <n v="0"/>
    <n v="0"/>
    <n v="0"/>
    <n v="0.23958333333333301"/>
    <n v="0"/>
  </r>
  <r>
    <n v="554521"/>
    <x v="6"/>
    <x v="0"/>
    <n v="4"/>
    <x v="0"/>
    <s v="Cerritos"/>
    <n v="0"/>
    <n v="0"/>
    <n v="41.417999999999999"/>
    <n v="28.991780519999999"/>
    <n v="40.991780519999999"/>
    <n v="0.42661870035906602"/>
    <n v="41.418399220359099"/>
    <n v="0.23958333333333301"/>
    <n v="0"/>
    <n v="1"/>
    <n v="0"/>
    <n v="0"/>
    <n v="0"/>
    <n v="0.23958333333333301"/>
    <n v="0"/>
  </r>
  <r>
    <n v="554700"/>
    <x v="6"/>
    <x v="0"/>
    <n v="4"/>
    <x v="0"/>
    <s v="Norwalk"/>
    <n v="0"/>
    <n v="0"/>
    <n v="37.771999999999998"/>
    <n v="22.392875910000001"/>
    <n v="37.392875910000001"/>
    <n v="0.37833054904847402"/>
    <n v="37.7712064590485"/>
    <n v="0.23958333333333301"/>
    <n v="0"/>
    <n v="1"/>
    <n v="0"/>
    <n v="0"/>
    <n v="0"/>
    <n v="0.23958333333333301"/>
    <n v="0"/>
  </r>
  <r>
    <n v="555001"/>
    <x v="6"/>
    <x v="0"/>
    <n v="4"/>
    <x v="0"/>
    <s v="Lakewood"/>
    <n v="0"/>
    <n v="0"/>
    <n v="1.9259999999999999"/>
    <n v="1.90487994"/>
    <n v="1.90487994"/>
    <n v="2.0625322082585301E-2"/>
    <n v="1.9255052620825901"/>
    <n v="0.23958333333333301"/>
    <n v="0"/>
    <n v="1"/>
    <n v="0"/>
    <n v="0"/>
    <n v="0"/>
    <n v="0.23958333333333301"/>
    <n v="0"/>
  </r>
  <r>
    <n v="555002"/>
    <x v="6"/>
    <x v="0"/>
    <n v="4"/>
    <x v="0"/>
    <s v="Lakewood"/>
    <n v="0"/>
    <n v="0"/>
    <n v="23.181999999999999"/>
    <n v="15.015451199999999"/>
    <n v="23.015451200000001"/>
    <n v="0.16586918633752201"/>
    <n v="23.1813203863375"/>
    <n v="0.23958333333333301"/>
    <n v="0"/>
    <n v="1"/>
    <n v="0"/>
    <n v="0"/>
    <n v="0"/>
    <n v="0.23958333333333301"/>
    <n v="0"/>
  </r>
  <r>
    <n v="555103"/>
    <x v="6"/>
    <x v="0"/>
    <n v="4"/>
    <x v="0"/>
    <s v="Lakewood"/>
    <n v="0"/>
    <n v="0"/>
    <n v="2.9260000000000002"/>
    <n v="1.90487994"/>
    <n v="2.9048799399999998"/>
    <n v="2.0625322082585301E-2"/>
    <n v="2.9255052620825901"/>
    <n v="0.23958333333333301"/>
    <n v="0"/>
    <n v="1"/>
    <n v="0"/>
    <n v="0"/>
    <n v="0"/>
    <n v="0.23958333333333301"/>
    <n v="0"/>
  </r>
  <r>
    <n v="555102"/>
    <x v="6"/>
    <x v="0"/>
    <n v="4"/>
    <x v="0"/>
    <s v="Hawaiian Gardens"/>
    <n v="1"/>
    <n v="1"/>
    <n v="14.061999999999999"/>
    <n v="11.6657388"/>
    <n v="13.6657388"/>
    <n v="0.39539377039497298"/>
    <n v="14.061132570394999"/>
    <n v="0.23958333333333301"/>
    <n v="4.1739130434782599"/>
    <n v="1"/>
    <n v="0"/>
    <n v="0"/>
    <n v="0"/>
    <n v="0.23958333333333301"/>
    <n v="4.1739130434782661"/>
  </r>
  <r>
    <n v="570800"/>
    <x v="6"/>
    <x v="0"/>
    <n v="4"/>
    <x v="0"/>
    <s v="Lakewood"/>
    <n v="0"/>
    <n v="0"/>
    <n v="16.192"/>
    <n v="11.378498049999999"/>
    <n v="15.378498049999999"/>
    <n v="0.81259145831238799"/>
    <n v="16.191089508312398"/>
    <n v="0.23958333333333301"/>
    <n v="0"/>
    <n v="1"/>
    <n v="0"/>
    <n v="0"/>
    <n v="0"/>
    <n v="0.23958333333333301"/>
    <n v="0"/>
  </r>
  <r>
    <n v="555104"/>
    <x v="6"/>
    <x v="0"/>
    <n v="4"/>
    <x v="0"/>
    <s v="Hawaiian Gardens"/>
    <n v="0"/>
    <n v="0"/>
    <n v="22.015000000000001"/>
    <n v="17.070557099999998"/>
    <n v="21.070557099999998"/>
    <n v="0.94377500588868901"/>
    <n v="22.014332105888698"/>
    <n v="0.23958333333333301"/>
    <n v="0"/>
    <n v="1"/>
    <n v="0"/>
    <n v="0"/>
    <n v="0"/>
    <n v="0.23958333333333301"/>
    <n v="0"/>
  </r>
  <r>
    <n v="570702"/>
    <x v="6"/>
    <x v="0"/>
    <n v="4"/>
    <x v="0"/>
    <s v="Lakewood"/>
    <n v="1"/>
    <n v="1"/>
    <n v="1"/>
    <n v="0"/>
    <n v="1"/>
    <n v="0"/>
    <n v="1"/>
    <n v="0.23958333333333301"/>
    <n v="4.1739130434782599"/>
    <n v="1"/>
    <n v="0"/>
    <n v="0"/>
    <n v="0"/>
    <n v="0.23958333333333301"/>
    <n v="4.1739130434782661"/>
  </r>
  <r>
    <n v="501002"/>
    <x v="6"/>
    <x v="0"/>
    <n v="4"/>
    <x v="1"/>
    <s v="West Whittier"/>
    <n v="1"/>
    <n v="1"/>
    <n v="52.491"/>
    <n v="27.48735383"/>
    <n v="51.487353830000004"/>
    <n v="4.0042631172351904"/>
    <n v="55.491616947235201"/>
    <n v="1"/>
    <n v="1"/>
    <n v="0"/>
    <n v="0"/>
    <n v="0"/>
    <n v="0"/>
    <n v="1"/>
    <n v="1"/>
  </r>
  <r>
    <n v="502700"/>
    <x v="6"/>
    <x v="0"/>
    <n v="4"/>
    <x v="1"/>
    <s v="Santa Fe Springs"/>
    <n v="1"/>
    <n v="1"/>
    <n v="36.627000000000002"/>
    <n v="19.97926885"/>
    <n v="35.979268849999997"/>
    <n v="0.64776089669658898"/>
    <n v="36.6270297466966"/>
    <n v="1"/>
    <n v="1"/>
    <n v="0"/>
    <n v="0"/>
    <n v="0"/>
    <n v="0"/>
    <n v="1"/>
    <n v="1"/>
  </r>
  <r>
    <n v="502802"/>
    <x v="6"/>
    <x v="0"/>
    <n v="4"/>
    <x v="1"/>
    <s v="Santa Fe Springs"/>
    <n v="1"/>
    <n v="1"/>
    <n v="60.323"/>
    <n v="36.117972160000001"/>
    <n v="57.117972160000001"/>
    <n v="13.2055326215799"/>
    <n v="70.323504781579899"/>
    <n v="1"/>
    <n v="1"/>
    <n v="0"/>
    <n v="0"/>
    <n v="0"/>
    <n v="0"/>
    <n v="1"/>
    <n v="1"/>
  </r>
  <r>
    <n v="532302"/>
    <x v="6"/>
    <x v="0"/>
    <n v="1"/>
    <x v="1"/>
    <s v="Commerce"/>
    <n v="1"/>
    <n v="1"/>
    <n v="16.225999999999999"/>
    <n v="14.494572"/>
    <n v="15.494572"/>
    <n v="0.73055166323159804"/>
    <n v="16.225123663231599"/>
    <n v="1"/>
    <n v="1"/>
    <n v="0"/>
    <n v="0"/>
    <n v="0"/>
    <n v="0"/>
    <n v="1"/>
    <n v="1"/>
  </r>
  <r>
    <n v="554405"/>
    <x v="6"/>
    <x v="0"/>
    <n v="4"/>
    <x v="1"/>
    <s v="Bellflower"/>
    <n v="1"/>
    <n v="1"/>
    <n v="17.812999999999999"/>
    <n v="12.09474891"/>
    <n v="17.09474891"/>
    <n v="7.7179518653500896"/>
    <n v="24.812700775350098"/>
    <n v="1"/>
    <n v="1"/>
    <n v="0"/>
    <n v="0"/>
    <n v="0"/>
    <n v="0"/>
    <n v="1"/>
    <n v="1"/>
  </r>
  <r>
    <n v="500202"/>
    <x v="6"/>
    <x v="0"/>
    <n v="4"/>
    <x v="2"/>
    <s v="Whittier"/>
    <n v="0"/>
    <n v="0"/>
    <n v="21.765999999999998"/>
    <n v="10.32616513"/>
    <n v="21.32616513"/>
    <n v="0.43976548881508098"/>
    <n v="21.765930618815101"/>
    <n v="9.0909090909090898E-2"/>
    <n v="0"/>
    <n v="1"/>
    <n v="0"/>
    <n v="0"/>
    <n v="0"/>
    <n v="9.0909090909090898E-2"/>
    <n v="0"/>
  </r>
  <r>
    <n v="501300"/>
    <x v="6"/>
    <x v="0"/>
    <n v="4"/>
    <x v="2"/>
    <s v="Whittier"/>
    <n v="0"/>
    <n v="0"/>
    <n v="2.0950000000000002"/>
    <n v="1.9836996600000001"/>
    <n v="1.9836996600000001"/>
    <n v="0.11117260138240601"/>
    <n v="2.09487226138241"/>
    <n v="9.0909090909090898E-2"/>
    <n v="0"/>
    <n v="1"/>
    <n v="0"/>
    <n v="0"/>
    <n v="0"/>
    <n v="9.0909090909090898E-2"/>
    <n v="0"/>
  </r>
  <r>
    <n v="501504"/>
    <x v="6"/>
    <x v="0"/>
    <n v="4"/>
    <x v="2"/>
    <s v="Whittier"/>
    <n v="0"/>
    <n v="0"/>
    <n v="23.518999999999998"/>
    <n v="7.1830961699999998"/>
    <n v="23.183096169999999"/>
    <n v="0.33612913224416502"/>
    <n v="23.519225302244202"/>
    <n v="9.0909090909090898E-2"/>
    <n v="0"/>
    <n v="1"/>
    <n v="0"/>
    <n v="0"/>
    <n v="0"/>
    <n v="9.0909090909090898E-2"/>
    <n v="0"/>
  </r>
  <r>
    <n v="501803"/>
    <x v="6"/>
    <x v="0"/>
    <n v="4"/>
    <x v="2"/>
    <s v="Whittier"/>
    <n v="0"/>
    <n v="0"/>
    <n v="4.851"/>
    <n v="3.8097598800000001"/>
    <n v="4.8097598799999997"/>
    <n v="4.1250644165170602E-2"/>
    <n v="4.8510105241651704"/>
    <n v="9.0909090909090898E-2"/>
    <n v="0"/>
    <n v="1"/>
    <n v="0"/>
    <n v="0"/>
    <n v="0"/>
    <n v="9.0909090909090898E-2"/>
    <n v="0"/>
  </r>
  <r>
    <n v="501804"/>
    <x v="6"/>
    <x v="0"/>
    <n v="4"/>
    <x v="2"/>
    <s v="Whittier"/>
    <n v="0"/>
    <n v="0"/>
    <n v="5.19"/>
    <n v="3.9673993200000002"/>
    <n v="4.9673993200000002"/>
    <n v="0.22234520276481101"/>
    <n v="5.1897445227648102"/>
    <n v="9.0909090909090898E-2"/>
    <n v="0"/>
    <n v="1"/>
    <n v="0"/>
    <n v="0"/>
    <n v="0"/>
    <n v="9.0909090909090898E-2"/>
    <n v="0"/>
  </r>
  <r>
    <n v="501900"/>
    <x v="6"/>
    <x v="0"/>
    <n v="4"/>
    <x v="2"/>
    <s v="Whittier"/>
    <n v="0"/>
    <n v="0"/>
    <n v="3.9260000000000002"/>
    <n v="1.90487994"/>
    <n v="3.9048799399999998"/>
    <n v="2.0625322082585301E-2"/>
    <n v="3.9255052620825901"/>
    <n v="9.0909090909090898E-2"/>
    <n v="0"/>
    <n v="1"/>
    <n v="0"/>
    <n v="0"/>
    <n v="0"/>
    <n v="9.0909090909090898E-2"/>
    <n v="0"/>
  </r>
  <r>
    <n v="502200"/>
    <x v="6"/>
    <x v="0"/>
    <n v="4"/>
    <x v="2"/>
    <s v="West Whittier"/>
    <n v="0"/>
    <n v="0"/>
    <n v="6.0949999999999998"/>
    <n v="1.9836996600000001"/>
    <n v="5.9836996600000001"/>
    <n v="0.11117260138240601"/>
    <n v="6.0948722613824096"/>
    <n v="9.0909090909090898E-2"/>
    <n v="0"/>
    <n v="1"/>
    <n v="0"/>
    <n v="0"/>
    <n v="0"/>
    <n v="9.0909090909090898E-2"/>
    <n v="0"/>
  </r>
  <r>
    <n v="503302"/>
    <x v="6"/>
    <x v="0"/>
    <n v="4"/>
    <x v="2"/>
    <s v="South Whittier"/>
    <n v="0"/>
    <n v="0"/>
    <n v="12.946"/>
    <n v="5.7934595399999997"/>
    <n v="12.793459540000001"/>
    <n v="0.152423245547576"/>
    <n v="12.9458827855476"/>
    <n v="9.0909090909090898E-2"/>
    <n v="0"/>
    <n v="1"/>
    <n v="0"/>
    <n v="0"/>
    <n v="0"/>
    <n v="9.0909090909090898E-2"/>
    <n v="0"/>
  </r>
  <r>
    <n v="503401"/>
    <x v="6"/>
    <x v="0"/>
    <n v="4"/>
    <x v="2"/>
    <s v="Whittier"/>
    <n v="0"/>
    <n v="0"/>
    <n v="4.798"/>
    <n v="3.6649912800000002"/>
    <n v="4.6649912799999997"/>
    <n v="0.13266453314183099"/>
    <n v="4.7976558131418301"/>
    <n v="9.0909090909090898E-2"/>
    <n v="0"/>
    <n v="1"/>
    <n v="0"/>
    <n v="0"/>
    <n v="0"/>
    <n v="9.0909090909090898E-2"/>
    <n v="0"/>
  </r>
  <r>
    <n v="503602"/>
    <x v="6"/>
    <x v="0"/>
    <n v="4"/>
    <x v="2"/>
    <s v="La Mirada"/>
    <n v="1"/>
    <n v="1"/>
    <n v="0"/>
    <n v="0"/>
    <n v="0"/>
    <n v="0"/>
    <n v="0"/>
    <n v="9.0909090909090898E-2"/>
    <n v="11"/>
    <n v="1"/>
    <n v="0"/>
    <n v="0"/>
    <n v="0"/>
    <n v="9.0909090909090898E-2"/>
    <n v="11.000000000000002"/>
  </r>
  <r>
    <n v="503702"/>
    <x v="6"/>
    <x v="0"/>
    <n v="4"/>
    <x v="2"/>
    <s v="Unincorporated East Whittier"/>
    <n v="0"/>
    <n v="0"/>
    <n v="12.276"/>
    <n v="4.8620928000000001"/>
    <n v="11.862092799999999"/>
    <n v="0.414076613662478"/>
    <n v="12.276169413662499"/>
    <n v="9.0909090909090898E-2"/>
    <n v="0"/>
    <n v="1"/>
    <n v="0"/>
    <n v="0"/>
    <n v="0"/>
    <n v="9.0909090909090898E-2"/>
    <n v="0"/>
  </r>
  <r>
    <n v="503802"/>
    <x v="6"/>
    <x v="0"/>
    <n v="4"/>
    <x v="2"/>
    <s v="La Mirada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30301"/>
    <x v="6"/>
    <x v="0"/>
    <n v="1"/>
    <x v="2"/>
    <s v="East Los Angeles"/>
    <n v="0"/>
    <n v="0"/>
    <n v="14.628"/>
    <n v="9.5243997"/>
    <n v="14.5243997"/>
    <n v="0.10312661041292601"/>
    <n v="14.6275263104129"/>
    <n v="9.0909090909090898E-2"/>
    <n v="0"/>
    <n v="1"/>
    <n v="0"/>
    <n v="0"/>
    <n v="0"/>
    <n v="9.0909090909090898E-2"/>
    <n v="0"/>
  </r>
  <r>
    <n v="554519"/>
    <x v="6"/>
    <x v="0"/>
    <n v="4"/>
    <x v="2"/>
    <s v="Cerritos"/>
    <n v="0"/>
    <n v="0"/>
    <n v="1.591"/>
    <n v="1.43919657"/>
    <n v="1.43919657"/>
    <n v="0.15145200614003601"/>
    <n v="1.59064857614004"/>
    <n v="9.0909090909090898E-2"/>
    <n v="0"/>
    <n v="1"/>
    <n v="0"/>
    <n v="0"/>
    <n v="0"/>
    <n v="9.0909090909090898E-2"/>
    <n v="0"/>
  </r>
  <r>
    <n v="554001"/>
    <x v="6"/>
    <x v="0"/>
    <n v="4"/>
    <x v="2"/>
    <s v="Bellflower"/>
    <n v="0"/>
    <n v="0"/>
    <n v="2.8079999999999998"/>
    <n v="1.73313217"/>
    <n v="2.7331321700000002"/>
    <n v="7.4985510287253102E-2"/>
    <n v="2.8081176802872498"/>
    <n v="9.0909090909090898E-2"/>
    <n v="0"/>
    <n v="1"/>
    <n v="0"/>
    <n v="0"/>
    <n v="0"/>
    <n v="9.0909090909090898E-2"/>
    <n v="0"/>
  </r>
  <r>
    <n v="531504"/>
    <x v="6"/>
    <x v="0"/>
    <n v="1"/>
    <x v="2"/>
    <s v="East Los Angeles"/>
    <n v="0"/>
    <n v="0"/>
    <n v="18.966999999999999"/>
    <n v="9.6820391400000005"/>
    <n v="18.682039140000001"/>
    <n v="0.284221169012567"/>
    <n v="18.966260309012601"/>
    <n v="9.0909090909090898E-2"/>
    <n v="0"/>
    <n v="1"/>
    <n v="0"/>
    <n v="0"/>
    <n v="0"/>
    <n v="9.0909090909090898E-2"/>
    <n v="0"/>
  </r>
  <r>
    <n v="532500"/>
    <x v="6"/>
    <x v="0"/>
    <n v="1"/>
    <x v="2"/>
    <s v="Huntington Park"/>
    <n v="0"/>
    <n v="0"/>
    <n v="3"/>
    <n v="0"/>
    <n v="3"/>
    <n v="0"/>
    <n v="3"/>
    <n v="9.0909090909090898E-2"/>
    <n v="0"/>
    <n v="1"/>
    <n v="0"/>
    <n v="0"/>
    <n v="0"/>
    <n v="9.0909090909090898E-2"/>
    <n v="0"/>
  </r>
  <r>
    <n v="532604"/>
    <x v="6"/>
    <x v="0"/>
    <n v="1"/>
    <x v="2"/>
    <s v="Huntington Park"/>
    <n v="0"/>
    <n v="0"/>
    <n v="9.4420000000000002"/>
    <n v="5.2489564499999997"/>
    <n v="9.2489564499999997"/>
    <n v="0.192702650305207"/>
    <n v="9.4416591003052108"/>
    <n v="9.0909090909090898E-2"/>
    <n v="0"/>
    <n v="1"/>
    <n v="0"/>
    <n v="0"/>
    <n v="0"/>
    <n v="9.0909090909090898E-2"/>
    <n v="0"/>
  </r>
  <r>
    <n v="533001"/>
    <x v="6"/>
    <x v="0"/>
    <n v="2"/>
    <x v="2"/>
    <s v="Florence-Graham"/>
    <n v="0"/>
    <n v="0"/>
    <n v="10.805999999999999"/>
    <n v="7.4336636599999997"/>
    <n v="10.433663660000001"/>
    <n v="0.37231622333931802"/>
    <n v="10.805979883339299"/>
    <n v="9.0909090909090898E-2"/>
    <n v="0"/>
    <n v="1"/>
    <n v="0"/>
    <n v="0"/>
    <n v="0"/>
    <n v="9.0909090909090898E-2"/>
    <n v="0"/>
  </r>
  <r>
    <n v="533403"/>
    <x v="6"/>
    <x v="0"/>
    <n v="1"/>
    <x v="2"/>
    <s v="Maywood"/>
    <n v="0"/>
    <n v="0"/>
    <n v="13.702"/>
    <n v="7.6195197600000002"/>
    <n v="13.619519759999999"/>
    <n v="8.2501288330341094E-2"/>
    <n v="13.7020210483303"/>
    <n v="9.0909090909090898E-2"/>
    <n v="0"/>
    <n v="1"/>
    <n v="0"/>
    <n v="0"/>
    <n v="0"/>
    <n v="9.0909090909090898E-2"/>
    <n v="0"/>
  </r>
  <r>
    <n v="533501"/>
    <x v="6"/>
    <x v="0"/>
    <n v="1"/>
    <x v="2"/>
    <s v="Huntington Park"/>
    <n v="0"/>
    <n v="0"/>
    <n v="10.772"/>
    <n v="4.31758971"/>
    <n v="10.31758971"/>
    <n v="0.45435601842010798"/>
    <n v="10.7719457284201"/>
    <n v="9.0909090909090898E-2"/>
    <n v="0"/>
    <n v="1"/>
    <n v="0"/>
    <n v="0"/>
    <n v="0"/>
    <n v="9.0909090909090898E-2"/>
    <n v="0"/>
  </r>
  <r>
    <n v="533203"/>
    <x v="6"/>
    <x v="0"/>
    <n v="1"/>
    <x v="2"/>
    <s v="Huntington Park"/>
    <n v="0"/>
    <n v="0"/>
    <n v="1"/>
    <n v="0"/>
    <n v="1"/>
    <n v="0"/>
    <n v="1"/>
    <n v="9.0909090909090898E-2"/>
    <n v="0"/>
    <n v="1"/>
    <n v="0"/>
    <n v="0"/>
    <n v="0"/>
    <n v="9.0909090909090898E-2"/>
    <n v="0"/>
  </r>
  <r>
    <n v="533602"/>
    <x v="6"/>
    <x v="0"/>
    <n v="1"/>
    <x v="2"/>
    <s v="Bell"/>
    <n v="0"/>
    <n v="0"/>
    <n v="6"/>
    <n v="0"/>
    <n v="6"/>
    <n v="0"/>
    <n v="6"/>
    <n v="9.0909090909090898E-2"/>
    <n v="0"/>
    <n v="1"/>
    <n v="0"/>
    <n v="0"/>
    <n v="0"/>
    <n v="9.0909090909090898E-2"/>
    <n v="0"/>
  </r>
  <r>
    <n v="552302"/>
    <x v="6"/>
    <x v="0"/>
    <n v="4"/>
    <x v="2"/>
    <s v="Norwalk"/>
    <n v="1"/>
    <n v="1"/>
    <n v="1"/>
    <n v="0"/>
    <n v="1"/>
    <n v="0"/>
    <n v="1"/>
    <n v="9.0909090909090898E-2"/>
    <n v="11"/>
    <n v="1"/>
    <n v="0"/>
    <n v="0"/>
    <n v="0"/>
    <n v="9.0909090909090898E-2"/>
    <n v="11.000000000000002"/>
  </r>
  <r>
    <n v="533701"/>
    <x v="6"/>
    <x v="0"/>
    <n v="1"/>
    <x v="2"/>
    <s v="Maywood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34302"/>
    <x v="6"/>
    <x v="0"/>
    <n v="1"/>
    <x v="2"/>
    <s v="Cudahy"/>
    <n v="0"/>
    <n v="0"/>
    <n v="9.9459999999999997"/>
    <n v="5.7934595399999997"/>
    <n v="9.7934595400000006"/>
    <n v="0.152423245547576"/>
    <n v="9.94588278554758"/>
    <n v="9.0909090909090898E-2"/>
    <n v="0"/>
    <n v="1"/>
    <n v="0"/>
    <n v="0"/>
    <n v="0"/>
    <n v="9.0909090909090898E-2"/>
    <n v="0"/>
  </r>
  <r>
    <n v="534405"/>
    <x v="6"/>
    <x v="0"/>
    <n v="1"/>
    <x v="2"/>
    <s v="Cudahy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34501"/>
    <x v="6"/>
    <x v="0"/>
    <n v="1"/>
    <x v="2"/>
    <s v="Huntington Park"/>
    <n v="1"/>
    <n v="1"/>
    <n v="26.19"/>
    <n v="3.9673993200000002"/>
    <n v="25.967399319999998"/>
    <n v="0.22234520276481101"/>
    <n v="26.189744522764801"/>
    <n v="9.0909090909090898E-2"/>
    <n v="11"/>
    <n v="1"/>
    <n v="0"/>
    <n v="0"/>
    <n v="0"/>
    <n v="9.0909090909090898E-2"/>
    <n v="11.000000000000002"/>
  </r>
  <r>
    <n v="530400"/>
    <x v="6"/>
    <x v="0"/>
    <n v="1"/>
    <x v="2"/>
    <s v="East Los Angeles"/>
    <n v="1"/>
    <n v="1"/>
    <n v="11.332000000000001"/>
    <n v="5.26746318"/>
    <n v="11.26746318"/>
    <n v="6.3609185601436302E-2"/>
    <n v="11.331072365601401"/>
    <n v="9.0909090909090898E-2"/>
    <n v="11"/>
    <n v="1"/>
    <n v="0"/>
    <n v="0"/>
    <n v="0"/>
    <n v="9.0909090909090898E-2"/>
    <n v="11.000000000000002"/>
  </r>
  <r>
    <n v="503801"/>
    <x v="6"/>
    <x v="0"/>
    <n v="4"/>
    <x v="2"/>
    <s v="La Mirada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34502"/>
    <x v="6"/>
    <x v="0"/>
    <n v="1"/>
    <x v="2"/>
    <s v="Huntington Park"/>
    <n v="0"/>
    <n v="0"/>
    <n v="13.276"/>
    <n v="4.8620928000000001"/>
    <n v="12.862092799999999"/>
    <n v="0.414076613662478"/>
    <n v="13.276169413662499"/>
    <n v="9.0909090909090898E-2"/>
    <n v="0"/>
    <n v="1"/>
    <n v="0"/>
    <n v="0"/>
    <n v="0"/>
    <n v="9.0909090909090898E-2"/>
    <n v="0"/>
  </r>
  <r>
    <n v="535803"/>
    <x v="6"/>
    <x v="0"/>
    <n v="1"/>
    <x v="2"/>
    <s v="South Gate"/>
    <n v="0"/>
    <n v="0"/>
    <n v="6"/>
    <n v="0"/>
    <n v="6"/>
    <n v="0"/>
    <n v="6"/>
    <n v="9.0909090909090898E-2"/>
    <n v="0"/>
    <n v="1"/>
    <n v="0"/>
    <n v="0"/>
    <n v="0"/>
    <n v="9.0909090909090898E-2"/>
    <n v="0"/>
  </r>
  <r>
    <n v="535606"/>
    <x v="6"/>
    <x v="0"/>
    <n v="1"/>
    <x v="2"/>
    <s v="South Gate"/>
    <n v="0"/>
    <n v="0"/>
    <n v="7.851"/>
    <n v="3.8097598800000001"/>
    <n v="7.8097598799999997"/>
    <n v="4.1250644165170602E-2"/>
    <n v="7.8510105241651704"/>
    <n v="9.0909090909090898E-2"/>
    <n v="0"/>
    <n v="1"/>
    <n v="0"/>
    <n v="0"/>
    <n v="0"/>
    <n v="9.0909090909090898E-2"/>
    <n v="0"/>
  </r>
  <r>
    <n v="550602"/>
    <x v="6"/>
    <x v="0"/>
    <n v="4"/>
    <x v="2"/>
    <s v="Downey"/>
    <n v="1"/>
    <n v="1"/>
    <n v="2"/>
    <n v="0"/>
    <n v="2"/>
    <n v="0"/>
    <n v="2"/>
    <n v="9.0909090909090898E-2"/>
    <n v="11"/>
    <n v="1"/>
    <n v="0"/>
    <n v="0"/>
    <n v="0"/>
    <n v="9.0909090909090898E-2"/>
    <n v="11.000000000000002"/>
  </r>
  <r>
    <n v="551101"/>
    <x v="6"/>
    <x v="0"/>
    <n v="4"/>
    <x v="2"/>
    <s v="Downey"/>
    <n v="0"/>
    <n v="0"/>
    <n v="2.0950000000000002"/>
    <n v="1.9836996600000001"/>
    <n v="1.9836996600000001"/>
    <n v="0.11117260138240601"/>
    <n v="2.09487226138241"/>
    <n v="9.0909090909090898E-2"/>
    <n v="0"/>
    <n v="1"/>
    <n v="0"/>
    <n v="0"/>
    <n v="0"/>
    <n v="9.0909090909090898E-2"/>
    <n v="0"/>
  </r>
  <r>
    <n v="551300"/>
    <x v="6"/>
    <x v="0"/>
    <n v="4"/>
    <x v="2"/>
    <s v="Downey"/>
    <n v="0"/>
    <n v="0"/>
    <n v="9.3680000000000003"/>
    <n v="7.1538363900000004"/>
    <n v="9.1538363900000004"/>
    <n v="0.213327972387792"/>
    <n v="9.3671643623877898"/>
    <n v="9.0909090909090898E-2"/>
    <n v="0"/>
    <n v="1"/>
    <n v="0"/>
    <n v="0"/>
    <n v="0"/>
    <n v="9.0909090909090898E-2"/>
    <n v="0"/>
  </r>
  <r>
    <n v="551600"/>
    <x v="6"/>
    <x v="0"/>
    <n v="4"/>
    <x v="2"/>
    <s v="Downey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03701"/>
    <x v="6"/>
    <x v="0"/>
    <n v="4"/>
    <x v="2"/>
    <s v="Unincorporated East Whittier"/>
    <n v="0"/>
    <n v="0"/>
    <n v="17.797000000000001"/>
    <n v="9.6032194200000003"/>
    <n v="17.603219419999999"/>
    <n v="0.19367388971274699"/>
    <n v="17.796893309712701"/>
    <n v="9.0909090909090898E-2"/>
    <n v="0"/>
    <n v="1"/>
    <n v="0"/>
    <n v="0"/>
    <n v="0"/>
    <n v="9.0909090909090898E-2"/>
    <n v="0"/>
  </r>
  <r>
    <n v="503301"/>
    <x v="6"/>
    <x v="0"/>
    <n v="4"/>
    <x v="2"/>
    <s v="Whittier"/>
    <n v="0"/>
    <n v="0"/>
    <n v="5.6859999999999999"/>
    <n v="3.4228962300000001"/>
    <n v="5.4228962300000001"/>
    <n v="0.26262460752244199"/>
    <n v="5.6855208375224402"/>
    <n v="9.0909090909090898E-2"/>
    <n v="0"/>
    <n v="1"/>
    <n v="0"/>
    <n v="0"/>
    <n v="0"/>
    <n v="9.0909090909090898E-2"/>
    <n v="0"/>
  </r>
  <r>
    <n v="551700"/>
    <x v="6"/>
    <x v="0"/>
    <n v="4"/>
    <x v="2"/>
    <s v="Downey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03501"/>
    <x v="6"/>
    <x v="0"/>
    <n v="4"/>
    <x v="2"/>
    <s v="South Whittier"/>
    <n v="0"/>
    <n v="0"/>
    <n v="9.19"/>
    <n v="3.9673993200000002"/>
    <n v="8.9673993200000002"/>
    <n v="0.22234520276481101"/>
    <n v="9.1897445227648102"/>
    <n v="9.0909090909090898E-2"/>
    <n v="0"/>
    <n v="1"/>
    <n v="0"/>
    <n v="0"/>
    <n v="0"/>
    <n v="9.0909090909090898E-2"/>
    <n v="0"/>
  </r>
  <r>
    <n v="503000"/>
    <x v="6"/>
    <x v="0"/>
    <n v="4"/>
    <x v="2"/>
    <s v="South Whittier"/>
    <n v="0"/>
    <n v="0"/>
    <n v="12.875999999999999"/>
    <n v="7.3902955500000003"/>
    <n v="12.390295549999999"/>
    <n v="0.484969810287253"/>
    <n v="12.875265360287299"/>
    <n v="9.0909090909090898E-2"/>
    <n v="0"/>
    <n v="1"/>
    <n v="0"/>
    <n v="0"/>
    <n v="0"/>
    <n v="9.0909090909090898E-2"/>
    <n v="0"/>
  </r>
  <r>
    <n v="552400"/>
    <x v="6"/>
    <x v="0"/>
    <n v="4"/>
    <x v="2"/>
    <s v="Norwalk"/>
    <n v="0"/>
    <n v="0"/>
    <n v="10.048"/>
    <n v="9.1796825099999992"/>
    <n v="9.1796825099999992"/>
    <n v="0.86843263208258503"/>
    <n v="10.048115142082599"/>
    <n v="9.0909090909090898E-2"/>
    <n v="0"/>
    <n v="1"/>
    <n v="0"/>
    <n v="0"/>
    <n v="0"/>
    <n v="9.0909090909090898E-2"/>
    <n v="0"/>
  </r>
  <r>
    <n v="552602"/>
    <x v="6"/>
    <x v="0"/>
    <n v="4"/>
    <x v="2"/>
    <s v="Norwalk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52900"/>
    <x v="6"/>
    <x v="0"/>
    <n v="4"/>
    <x v="2"/>
    <s v="Norwalk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54103"/>
    <x v="6"/>
    <x v="0"/>
    <n v="4"/>
    <x v="2"/>
    <s v="Bellflower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54301"/>
    <x v="6"/>
    <x v="0"/>
    <n v="4"/>
    <x v="2"/>
    <s v="Bellflower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54404"/>
    <x v="6"/>
    <x v="0"/>
    <n v="4"/>
    <x v="2"/>
    <s v="Bellflower"/>
    <n v="0"/>
    <n v="0"/>
    <n v="1.8080000000000001"/>
    <n v="1.73313217"/>
    <n v="1.73313217"/>
    <n v="7.4985510287253102E-2"/>
    <n v="1.8081176802872501"/>
    <n v="9.0909090909090898E-2"/>
    <n v="0"/>
    <n v="1"/>
    <n v="0"/>
    <n v="0"/>
    <n v="0"/>
    <n v="9.0909090909090898E-2"/>
    <n v="0"/>
  </r>
  <r>
    <n v="554801"/>
    <x v="6"/>
    <x v="0"/>
    <n v="4"/>
    <x v="2"/>
    <s v="Artesia"/>
    <n v="0"/>
    <n v="0"/>
    <n v="1.9259999999999999"/>
    <n v="1.90487994"/>
    <n v="1.90487994"/>
    <n v="2.0625322082585301E-2"/>
    <n v="1.9255052620825901"/>
    <n v="9.0909090909090898E-2"/>
    <n v="0"/>
    <n v="1"/>
    <n v="0"/>
    <n v="0"/>
    <n v="0"/>
    <n v="9.0909090909090898E-2"/>
    <n v="0"/>
  </r>
  <r>
    <n v="554900"/>
    <x v="6"/>
    <x v="0"/>
    <n v="4"/>
    <x v="2"/>
    <s v="Artesia"/>
    <n v="0"/>
    <n v="0"/>
    <n v="5.8079999999999998"/>
    <n v="1.73313217"/>
    <n v="5.7331321700000002"/>
    <n v="7.4985510287253102E-2"/>
    <n v="5.8081176802872498"/>
    <n v="9.0909090909090898E-2"/>
    <n v="0"/>
    <n v="1"/>
    <n v="0"/>
    <n v="0"/>
    <n v="0"/>
    <n v="9.0909090909090898E-2"/>
    <n v="0"/>
  </r>
  <r>
    <n v="555211"/>
    <x v="6"/>
    <x v="0"/>
    <n v="4"/>
    <x v="2"/>
    <s v="Hawaiian Gardens"/>
    <n v="0"/>
    <n v="0"/>
    <n v="14.327"/>
    <n v="8.91622834"/>
    <n v="13.91622834"/>
    <n v="0.411114642531418"/>
    <n v="14.3273429825314"/>
    <n v="9.0909090909090898E-2"/>
    <n v="0"/>
    <n v="1"/>
    <n v="0"/>
    <n v="0"/>
    <n v="0"/>
    <n v="9.0909090909090898E-2"/>
    <n v="0"/>
  </r>
  <r>
    <n v="570701"/>
    <x v="6"/>
    <x v="0"/>
    <n v="4"/>
    <x v="2"/>
    <s v="Lakewood"/>
    <n v="0"/>
    <n v="0"/>
    <n v="8.1809999999999992"/>
    <n v="2.87839314"/>
    <n v="7.87839314"/>
    <n v="0.30290401228007202"/>
    <n v="8.1812971522800702"/>
    <n v="9.0909090909090898E-2"/>
    <n v="0"/>
    <n v="1"/>
    <n v="0"/>
    <n v="0"/>
    <n v="0"/>
    <n v="9.0909090909090898E-2"/>
    <n v="0"/>
  </r>
  <r>
    <n v="571000"/>
    <x v="6"/>
    <x v="0"/>
    <n v="4"/>
    <x v="2"/>
    <s v="Lakewood"/>
    <n v="0"/>
    <n v="0"/>
    <n v="2.9260000000000002"/>
    <n v="1.90487994"/>
    <n v="2.9048799399999998"/>
    <n v="2.0625322082585301E-2"/>
    <n v="2.9255052620825901"/>
    <n v="9.0909090909090898E-2"/>
    <n v="0"/>
    <n v="1"/>
    <n v="0"/>
    <n v="0"/>
    <n v="0"/>
    <n v="9.0909090909090898E-2"/>
    <n v="0"/>
  </r>
  <r>
    <n v="571102"/>
    <x v="6"/>
    <x v="0"/>
    <n v="4"/>
    <x v="2"/>
    <s v="Lakewood"/>
    <n v="0"/>
    <n v="0"/>
    <n v="0"/>
    <n v="0"/>
    <n v="0"/>
    <n v="0"/>
    <n v="0"/>
    <n v="9.0909090909090898E-2"/>
    <n v="0"/>
    <n v="1"/>
    <n v="0"/>
    <n v="0"/>
    <n v="0"/>
    <n v="9.0909090909090898E-2"/>
    <n v="0"/>
  </r>
  <r>
    <n v="571400"/>
    <x v="6"/>
    <x v="0"/>
    <n v="4"/>
    <x v="2"/>
    <s v="Lakewood"/>
    <n v="0"/>
    <n v="0"/>
    <n v="5.9029999999999996"/>
    <n v="3.7168318299999998"/>
    <n v="5.7168318300000003"/>
    <n v="0.18615811166965901"/>
    <n v="5.9029899416696603"/>
    <n v="9.0909090909090898E-2"/>
    <n v="0"/>
    <n v="1"/>
    <n v="0"/>
    <n v="0"/>
    <n v="0"/>
    <n v="9.0909090909090898E-2"/>
    <n v="0"/>
  </r>
  <r>
    <n v="482522"/>
    <x v="6"/>
    <x v="0"/>
    <n v="1"/>
    <x v="3"/>
    <s v="Montebello"/>
    <n v="1"/>
    <n v="1"/>
    <n v="9.6140000000000008"/>
    <n v="9.1667958299999999"/>
    <n v="9.1667958299999999"/>
    <n v="0.447301733626571"/>
    <n v="9.6140975636265704"/>
    <n v="4.5454545454545497E-2"/>
    <n v="22"/>
    <n v="1"/>
    <n v="0"/>
    <n v="0"/>
    <n v="0"/>
    <n v="4.5454545454545497E-2"/>
    <n v="21.999999999999979"/>
  </r>
  <r>
    <n v="500100"/>
    <x v="6"/>
    <x v="0"/>
    <n v="4"/>
    <x v="3"/>
    <s v="La Habra Heights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00201"/>
    <x v="6"/>
    <x v="0"/>
    <n v="4"/>
    <x v="3"/>
    <s v="La Habra Heights"/>
    <n v="0"/>
    <n v="0"/>
    <n v="2"/>
    <n v="0"/>
    <n v="2"/>
    <n v="0"/>
    <n v="2"/>
    <n v="4.5454545454545497E-2"/>
    <n v="0"/>
    <n v="1"/>
    <n v="0"/>
    <n v="0"/>
    <n v="0"/>
    <n v="4.5454545454545497E-2"/>
    <n v="0"/>
  </r>
  <r>
    <n v="500800"/>
    <x v="6"/>
    <x v="0"/>
    <n v="1"/>
    <x v="3"/>
    <s v="Pico Rivera"/>
    <n v="0"/>
    <n v="0"/>
    <n v="3.5910000000000002"/>
    <n v="1.43919657"/>
    <n v="3.43919657"/>
    <n v="0.15145200614003601"/>
    <n v="3.59064857614004"/>
    <n v="4.5454545454545497E-2"/>
    <n v="0"/>
    <n v="1"/>
    <n v="0"/>
    <n v="0"/>
    <n v="0"/>
    <n v="4.5454545454545497E-2"/>
    <n v="0"/>
  </r>
  <r>
    <n v="501001"/>
    <x v="6"/>
    <x v="0"/>
    <n v="4"/>
    <x v="3"/>
    <s v="West Whittier"/>
    <n v="1"/>
    <n v="1"/>
    <n v="2.9260000000000002"/>
    <n v="1.90487994"/>
    <n v="2.9048799399999998"/>
    <n v="2.0625322082585301E-2"/>
    <n v="2.9255052620825901"/>
    <n v="4.5454545454545497E-2"/>
    <n v="22"/>
    <n v="1"/>
    <n v="0"/>
    <n v="0"/>
    <n v="0"/>
    <n v="4.5454545454545497E-2"/>
    <n v="21.999999999999979"/>
  </r>
  <r>
    <n v="501200"/>
    <x v="6"/>
    <x v="0"/>
    <n v="4"/>
    <x v="3"/>
    <s v="Whittier"/>
    <n v="0"/>
    <n v="0"/>
    <n v="2"/>
    <n v="0"/>
    <n v="2"/>
    <n v="0"/>
    <n v="2"/>
    <n v="4.5454545454545497E-2"/>
    <n v="0"/>
    <n v="1"/>
    <n v="0"/>
    <n v="0"/>
    <n v="0"/>
    <n v="4.5454545454545497E-2"/>
    <n v="0"/>
  </r>
  <r>
    <n v="501501"/>
    <x v="6"/>
    <x v="0"/>
    <n v="4"/>
    <x v="3"/>
    <s v="Unincorporated Whittier"/>
    <n v="0"/>
    <n v="0"/>
    <n v="1"/>
    <n v="0"/>
    <n v="1"/>
    <n v="0"/>
    <n v="1"/>
    <n v="4.5454545454545497E-2"/>
    <n v="0"/>
    <n v="1"/>
    <n v="0"/>
    <n v="0"/>
    <n v="0"/>
    <n v="4.5454545454545497E-2"/>
    <n v="0"/>
  </r>
  <r>
    <n v="501503"/>
    <x v="6"/>
    <x v="0"/>
    <n v="4"/>
    <x v="3"/>
    <s v="Whittier"/>
    <n v="0"/>
    <n v="0"/>
    <n v="6.19"/>
    <n v="3.9673993200000002"/>
    <n v="5.9673993200000002"/>
    <n v="0.22234520276481101"/>
    <n v="6.1897445227648102"/>
    <n v="4.5454545454545497E-2"/>
    <n v="0"/>
    <n v="1"/>
    <n v="0"/>
    <n v="0"/>
    <n v="0"/>
    <n v="4.5454545454545497E-2"/>
    <n v="0"/>
  </r>
  <r>
    <n v="501600"/>
    <x v="6"/>
    <x v="0"/>
    <n v="4"/>
    <x v="3"/>
    <s v="Whittier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01802"/>
    <x v="6"/>
    <x v="0"/>
    <n v="4"/>
    <x v="3"/>
    <s v="Whittier"/>
    <n v="0"/>
    <n v="0"/>
    <n v="1.8080000000000001"/>
    <n v="1.73313217"/>
    <n v="1.73313217"/>
    <n v="7.4985510287253102E-2"/>
    <n v="1.8081176802872501"/>
    <n v="4.5454545454545497E-2"/>
    <n v="0"/>
    <n v="1"/>
    <n v="0"/>
    <n v="0"/>
    <n v="0"/>
    <n v="4.5454545454545497E-2"/>
    <n v="0"/>
  </r>
  <r>
    <n v="502005"/>
    <x v="6"/>
    <x v="0"/>
    <n v="4"/>
    <x v="3"/>
    <s v="South Whittier"/>
    <n v="0"/>
    <n v="0"/>
    <n v="5.9459999999999997"/>
    <n v="5.7934595399999997"/>
    <n v="5.7934595399999997"/>
    <n v="0.152423245547576"/>
    <n v="5.94588278554758"/>
    <n v="4.5454545454545497E-2"/>
    <n v="0"/>
    <n v="1"/>
    <n v="0"/>
    <n v="0"/>
    <n v="0"/>
    <n v="4.5454545454545497E-2"/>
    <n v="0"/>
  </r>
  <r>
    <n v="571101"/>
    <x v="6"/>
    <x v="0"/>
    <n v="4"/>
    <x v="3"/>
    <s v="Lakewood"/>
    <n v="0"/>
    <n v="0"/>
    <n v="1"/>
    <n v="0"/>
    <n v="1"/>
    <n v="0"/>
    <n v="1"/>
    <n v="4.5454545454545497E-2"/>
    <n v="0"/>
    <n v="1"/>
    <n v="0"/>
    <n v="0"/>
    <n v="0"/>
    <n v="4.5454545454545497E-2"/>
    <n v="0"/>
  </r>
  <r>
    <n v="502402"/>
    <x v="6"/>
    <x v="0"/>
    <n v="1"/>
    <x v="3"/>
    <s v="Pico Rivera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02801"/>
    <x v="6"/>
    <x v="0"/>
    <n v="4"/>
    <x v="3"/>
    <s v="Santa Fe Springs"/>
    <n v="0"/>
    <n v="0"/>
    <n v="2.0950000000000002"/>
    <n v="1.9836996600000001"/>
    <n v="1.9836996600000001"/>
    <n v="0.11117260138240601"/>
    <n v="2.09487226138241"/>
    <n v="4.5454545454545497E-2"/>
    <n v="0"/>
    <n v="1"/>
    <n v="0"/>
    <n v="0"/>
    <n v="0"/>
    <n v="4.5454545454545497E-2"/>
    <n v="0"/>
  </r>
  <r>
    <n v="502902"/>
    <x v="6"/>
    <x v="0"/>
    <n v="4"/>
    <x v="3"/>
    <s v="Santa Fe Springs"/>
    <n v="0"/>
    <n v="0"/>
    <n v="7.2850000000000001"/>
    <n v="5.9510989800000003"/>
    <n v="6.9510989800000003"/>
    <n v="0.33351780414721699"/>
    <n v="7.2846167841472198"/>
    <n v="4.5454545454545497E-2"/>
    <n v="0"/>
    <n v="1"/>
    <n v="0"/>
    <n v="0"/>
    <n v="0"/>
    <n v="4.5454545454545497E-2"/>
    <n v="0"/>
  </r>
  <r>
    <n v="503103"/>
    <x v="6"/>
    <x v="0"/>
    <n v="4"/>
    <x v="3"/>
    <s v="South Whittier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03201"/>
    <x v="6"/>
    <x v="0"/>
    <n v="4"/>
    <x v="3"/>
    <s v="South Whittier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03202"/>
    <x v="6"/>
    <x v="0"/>
    <n v="4"/>
    <x v="3"/>
    <s v="South Whittier"/>
    <n v="0"/>
    <n v="0"/>
    <n v="1"/>
    <n v="0"/>
    <n v="1"/>
    <n v="0"/>
    <n v="1"/>
    <n v="4.5454545454545497E-2"/>
    <n v="0"/>
    <n v="1"/>
    <n v="0"/>
    <n v="0"/>
    <n v="0"/>
    <n v="4.5454545454545497E-2"/>
    <n v="0"/>
  </r>
  <r>
    <n v="554522"/>
    <x v="6"/>
    <x v="0"/>
    <n v="4"/>
    <x v="3"/>
    <s v="Cerritos"/>
    <n v="0"/>
    <n v="0"/>
    <n v="1.7030000000000001"/>
    <n v="1.6812916200000001"/>
    <n v="1.6812916200000001"/>
    <n v="2.14919317594255E-2"/>
    <n v="1.7027835517594301"/>
    <n v="4.5454545454545497E-2"/>
    <n v="0"/>
    <n v="1"/>
    <n v="0"/>
    <n v="0"/>
    <n v="0"/>
    <n v="4.5454545454545497E-2"/>
    <n v="0"/>
  </r>
  <r>
    <n v="503402"/>
    <x v="6"/>
    <x v="0"/>
    <n v="4"/>
    <x v="3"/>
    <s v="Whittier"/>
    <n v="0"/>
    <n v="0"/>
    <n v="6.6859999999999999"/>
    <n v="3.4228962300000001"/>
    <n v="6.4228962300000001"/>
    <n v="0.26262460752244199"/>
    <n v="6.6855208375224402"/>
    <n v="4.5454545454545497E-2"/>
    <n v="0"/>
    <n v="1"/>
    <n v="0"/>
    <n v="0"/>
    <n v="0"/>
    <n v="4.5454545454545497E-2"/>
    <n v="0"/>
  </r>
  <r>
    <n v="503502"/>
    <x v="6"/>
    <x v="0"/>
    <n v="4"/>
    <x v="3"/>
    <s v="South Whittier"/>
    <n v="0"/>
    <n v="0"/>
    <n v="5.181"/>
    <n v="2.87839314"/>
    <n v="4.87839314"/>
    <n v="0.30290401228007202"/>
    <n v="5.1812971522800702"/>
    <n v="4.5454545454545497E-2"/>
    <n v="0"/>
    <n v="1"/>
    <n v="0"/>
    <n v="0"/>
    <n v="0"/>
    <n v="4.5454545454545497E-2"/>
    <n v="0"/>
  </r>
  <r>
    <n v="554515"/>
    <x v="6"/>
    <x v="0"/>
    <n v="4"/>
    <x v="3"/>
    <s v="Cerritos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03703"/>
    <x v="6"/>
    <x v="0"/>
    <n v="4"/>
    <x v="3"/>
    <s v="La Mirada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4511"/>
    <x v="6"/>
    <x v="0"/>
    <n v="4"/>
    <x v="3"/>
    <s v="Cerritos"/>
    <n v="0"/>
    <n v="0"/>
    <n v="3.903"/>
    <n v="3.7168318299999998"/>
    <n v="3.7168318299999998"/>
    <n v="0.18615811166965901"/>
    <n v="3.9029899416696598"/>
    <n v="4.5454545454545497E-2"/>
    <n v="0"/>
    <n v="1"/>
    <n v="0"/>
    <n v="0"/>
    <n v="0"/>
    <n v="4.5454545454545497E-2"/>
    <n v="0"/>
  </r>
  <r>
    <n v="503902"/>
    <x v="6"/>
    <x v="0"/>
    <n v="4"/>
    <x v="3"/>
    <s v="La Mirada"/>
    <n v="0"/>
    <n v="0"/>
    <n v="8.2110000000000003"/>
    <n v="7.8559789200000001"/>
    <n v="7.8559789200000001"/>
    <n v="0.35414312622980199"/>
    <n v="8.2101220462298006"/>
    <n v="4.5454545454545497E-2"/>
    <n v="0"/>
    <n v="1"/>
    <n v="0"/>
    <n v="0"/>
    <n v="0"/>
    <n v="4.5454545454545497E-2"/>
    <n v="0"/>
  </r>
  <r>
    <n v="504002"/>
    <x v="6"/>
    <x v="0"/>
    <n v="4"/>
    <x v="3"/>
    <s v="La Mirada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0003"/>
    <x v="6"/>
    <x v="0"/>
    <n v="1"/>
    <x v="3"/>
    <s v="Montebello"/>
    <n v="0"/>
    <n v="0"/>
    <n v="2.0950000000000002"/>
    <n v="1.9836996600000001"/>
    <n v="1.9836996600000001"/>
    <n v="0.11117260138240601"/>
    <n v="2.09487226138241"/>
    <n v="4.5454545454545497E-2"/>
    <n v="0"/>
    <n v="1"/>
    <n v="0"/>
    <n v="0"/>
    <n v="0"/>
    <n v="4.5454545454545497E-2"/>
    <n v="0"/>
  </r>
  <r>
    <n v="530500"/>
    <x v="6"/>
    <x v="0"/>
    <n v="1"/>
    <x v="3"/>
    <s v="East Los Angeles"/>
    <n v="0"/>
    <n v="0"/>
    <n v="3.6859999999999999"/>
    <n v="3.4228962300000001"/>
    <n v="3.4228962300000001"/>
    <n v="0.26262460752244199"/>
    <n v="3.6855208375224402"/>
    <n v="4.5454545454545497E-2"/>
    <n v="0"/>
    <n v="1"/>
    <n v="0"/>
    <n v="0"/>
    <n v="0"/>
    <n v="4.5454545454545497E-2"/>
    <n v="0"/>
  </r>
  <r>
    <n v="530601"/>
    <x v="6"/>
    <x v="0"/>
    <n v="1"/>
    <x v="3"/>
    <s v="East Los Angeles"/>
    <n v="0"/>
    <n v="0"/>
    <n v="2.5910000000000002"/>
    <n v="1.43919657"/>
    <n v="2.43919657"/>
    <n v="0.15145200614003601"/>
    <n v="2.59064857614004"/>
    <n v="4.5454545454545497E-2"/>
    <n v="0"/>
    <n v="1"/>
    <n v="0"/>
    <n v="0"/>
    <n v="0"/>
    <n v="4.5454545454545497E-2"/>
    <n v="0"/>
  </r>
  <r>
    <n v="530801"/>
    <x v="6"/>
    <x v="0"/>
    <n v="1"/>
    <x v="3"/>
    <s v="East Los Angeles"/>
    <n v="0"/>
    <n v="0"/>
    <n v="3.734"/>
    <n v="3.63801211"/>
    <n v="3.63801211"/>
    <n v="9.5610832369838403E-2"/>
    <n v="3.7336229423698399"/>
    <n v="4.5454545454545497E-2"/>
    <n v="0"/>
    <n v="1"/>
    <n v="0"/>
    <n v="0"/>
    <n v="0"/>
    <n v="4.5454545454545497E-2"/>
    <n v="0"/>
  </r>
  <r>
    <n v="554002"/>
    <x v="6"/>
    <x v="0"/>
    <n v="4"/>
    <x v="3"/>
    <s v="Bellflower"/>
    <n v="0"/>
    <n v="0"/>
    <n v="4.0209999999999999"/>
    <n v="3.8885795999999999"/>
    <n v="3.8885795999999999"/>
    <n v="0.131797923464991"/>
    <n v="4.0203775234649903"/>
    <n v="4.5454545454545497E-2"/>
    <n v="0"/>
    <n v="1"/>
    <n v="0"/>
    <n v="0"/>
    <n v="0"/>
    <n v="4.5454545454545497E-2"/>
    <n v="0"/>
  </r>
  <r>
    <n v="530802"/>
    <x v="6"/>
    <x v="0"/>
    <n v="1"/>
    <x v="3"/>
    <s v="East Los Angeles"/>
    <n v="0"/>
    <n v="0"/>
    <n v="3.903"/>
    <n v="3.7168318299999998"/>
    <n v="3.7168318299999998"/>
    <n v="0.18615811166965901"/>
    <n v="3.9029899416696598"/>
    <n v="4.5454545454545497E-2"/>
    <n v="0"/>
    <n v="1"/>
    <n v="0"/>
    <n v="0"/>
    <n v="0"/>
    <n v="4.5454545454545497E-2"/>
    <n v="0"/>
  </r>
  <r>
    <n v="530901"/>
    <x v="6"/>
    <x v="0"/>
    <n v="1"/>
    <x v="3"/>
    <s v="East Los Angeles"/>
    <n v="0"/>
    <n v="0"/>
    <n v="3.8079999999999998"/>
    <n v="1.73313217"/>
    <n v="3.7331321700000002"/>
    <n v="7.4985510287253102E-2"/>
    <n v="3.8081176802872498"/>
    <n v="4.5454545454545497E-2"/>
    <n v="0"/>
    <n v="1"/>
    <n v="0"/>
    <n v="0"/>
    <n v="0"/>
    <n v="4.5454545454545497E-2"/>
    <n v="0"/>
  </r>
  <r>
    <n v="531101"/>
    <x v="6"/>
    <x v="0"/>
    <n v="1"/>
    <x v="3"/>
    <s v="East Los Angeles"/>
    <n v="0"/>
    <n v="0"/>
    <n v="5.6859999999999999"/>
    <n v="3.4228962300000001"/>
    <n v="5.4228962300000001"/>
    <n v="0.26262460752244199"/>
    <n v="5.6855208375224402"/>
    <n v="4.5454545454545497E-2"/>
    <n v="0"/>
    <n v="1"/>
    <n v="0"/>
    <n v="0"/>
    <n v="0"/>
    <n v="4.5454545454545497E-2"/>
    <n v="0"/>
  </r>
  <r>
    <n v="531301"/>
    <x v="6"/>
    <x v="0"/>
    <n v="1"/>
    <x v="3"/>
    <s v="East Los Angeles"/>
    <n v="0"/>
    <n v="0"/>
    <n v="2"/>
    <n v="0"/>
    <n v="2"/>
    <n v="0"/>
    <n v="2"/>
    <n v="4.5454545454545497E-2"/>
    <n v="0"/>
    <n v="1"/>
    <n v="0"/>
    <n v="0"/>
    <n v="0"/>
    <n v="4.5454545454545497E-2"/>
    <n v="0"/>
  </r>
  <r>
    <n v="553200"/>
    <x v="6"/>
    <x v="0"/>
    <n v="4"/>
    <x v="3"/>
    <s v="Bellflower"/>
    <n v="0"/>
    <n v="0"/>
    <n v="3.851"/>
    <n v="3.8097598800000001"/>
    <n v="3.8097598800000001"/>
    <n v="4.1250644165170602E-2"/>
    <n v="3.85101052416517"/>
    <n v="4.5454545454545497E-2"/>
    <n v="0"/>
    <n v="1"/>
    <n v="0"/>
    <n v="0"/>
    <n v="0"/>
    <n v="4.5454545454545497E-2"/>
    <n v="0"/>
  </r>
  <r>
    <n v="531604"/>
    <x v="6"/>
    <x v="0"/>
    <n v="1"/>
    <x v="3"/>
    <s v="East Los Angeles"/>
    <n v="0"/>
    <n v="0"/>
    <n v="8.1069999999999993"/>
    <n v="4.7832730799999998"/>
    <n v="7.7832730799999998"/>
    <n v="0.32352933436265702"/>
    <n v="8.1068024143626598"/>
    <n v="4.5454545454545497E-2"/>
    <n v="0"/>
    <n v="1"/>
    <n v="0"/>
    <n v="0"/>
    <n v="0"/>
    <n v="4.5454545454545497E-2"/>
    <n v="0"/>
  </r>
  <r>
    <n v="552002"/>
    <x v="6"/>
    <x v="0"/>
    <n v="4"/>
    <x v="3"/>
    <s v="Norwalk"/>
    <n v="0"/>
    <n v="0"/>
    <n v="10.496"/>
    <n v="9.8874609299999996"/>
    <n v="9.8874609299999996"/>
    <n v="0.60764587364452405"/>
    <n v="10.4951068036445"/>
    <n v="4.5454545454545497E-2"/>
    <n v="0"/>
    <n v="1"/>
    <n v="0"/>
    <n v="0"/>
    <n v="0"/>
    <n v="4.5454545454545497E-2"/>
    <n v="0"/>
  </r>
  <r>
    <n v="533104"/>
    <x v="6"/>
    <x v="0"/>
    <n v="1"/>
    <x v="3"/>
    <s v="Huntington Park"/>
    <n v="1"/>
    <n v="1"/>
    <n v="2"/>
    <n v="0"/>
    <n v="2"/>
    <n v="0"/>
    <n v="2"/>
    <n v="4.5454545454545497E-2"/>
    <n v="22"/>
    <n v="1"/>
    <n v="0"/>
    <n v="0"/>
    <n v="0"/>
    <n v="4.5454545454545497E-2"/>
    <n v="21.999999999999979"/>
  </r>
  <r>
    <n v="533107"/>
    <x v="6"/>
    <x v="0"/>
    <n v="1"/>
    <x v="3"/>
    <s v="Huntington Park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3202"/>
    <x v="6"/>
    <x v="0"/>
    <n v="1"/>
    <x v="3"/>
    <s v="Huntington Park"/>
    <n v="0"/>
    <n v="0"/>
    <n v="10.702"/>
    <n v="7.6195197600000002"/>
    <n v="10.619519759999999"/>
    <n v="8.2501288330341094E-2"/>
    <n v="10.7020210483303"/>
    <n v="4.5454545454545497E-2"/>
    <n v="0"/>
    <n v="1"/>
    <n v="0"/>
    <n v="0"/>
    <n v="0"/>
    <n v="4.5454545454545497E-2"/>
    <n v="0"/>
  </r>
  <r>
    <n v="533401"/>
    <x v="6"/>
    <x v="0"/>
    <n v="1"/>
    <x v="3"/>
    <s v="Maywood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1202"/>
    <x v="6"/>
    <x v="0"/>
    <n v="4"/>
    <x v="3"/>
    <s v="Downey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3502"/>
    <x v="6"/>
    <x v="0"/>
    <n v="1"/>
    <x v="3"/>
    <s v="Huntington Park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3503"/>
    <x v="6"/>
    <x v="0"/>
    <n v="1"/>
    <x v="3"/>
    <s v="Huntington Park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3601"/>
    <x v="6"/>
    <x v="0"/>
    <n v="1"/>
    <x v="3"/>
    <s v="Bell"/>
    <n v="0"/>
    <n v="0"/>
    <n v="7.1079999999999997"/>
    <n v="5.0438748599999998"/>
    <n v="7.0438748599999998"/>
    <n v="6.4475795278276501E-2"/>
    <n v="7.1083506552782803"/>
    <n v="4.5454545454545497E-2"/>
    <n v="0"/>
    <n v="1"/>
    <n v="0"/>
    <n v="0"/>
    <n v="0"/>
    <n v="4.5454545454545497E-2"/>
    <n v="0"/>
  </r>
  <r>
    <n v="533603"/>
    <x v="6"/>
    <x v="0"/>
    <n v="1"/>
    <x v="3"/>
    <s v="Bell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0901"/>
    <x v="6"/>
    <x v="0"/>
    <n v="4"/>
    <x v="3"/>
    <s v="Downey"/>
    <n v="0"/>
    <n v="0"/>
    <n v="1"/>
    <n v="0"/>
    <n v="1"/>
    <n v="0"/>
    <n v="1"/>
    <n v="4.5454545454545497E-2"/>
    <n v="0"/>
    <n v="1"/>
    <n v="0"/>
    <n v="0"/>
    <n v="0"/>
    <n v="4.5454545454545497E-2"/>
    <n v="0"/>
  </r>
  <r>
    <n v="533803"/>
    <x v="6"/>
    <x v="0"/>
    <n v="1"/>
    <x v="3"/>
    <s v="Bell"/>
    <n v="0"/>
    <n v="0"/>
    <n v="7.7770000000000001"/>
    <n v="5.7146398200000004"/>
    <n v="7.7146398200000004"/>
    <n v="6.18759662477558E-2"/>
    <n v="7.7765157862477601"/>
    <n v="4.5454545454545497E-2"/>
    <n v="0"/>
    <n v="1"/>
    <n v="0"/>
    <n v="0"/>
    <n v="0"/>
    <n v="4.5454545454545497E-2"/>
    <n v="0"/>
  </r>
  <r>
    <n v="533805"/>
    <x v="6"/>
    <x v="0"/>
    <n v="1"/>
    <x v="3"/>
    <s v="Bell"/>
    <n v="0"/>
    <n v="0"/>
    <n v="2.8079999999999998"/>
    <n v="1.73313217"/>
    <n v="2.7331321700000002"/>
    <n v="7.4985510287253102E-2"/>
    <n v="2.8081176802872498"/>
    <n v="4.5454545454545497E-2"/>
    <n v="0"/>
    <n v="1"/>
    <n v="0"/>
    <n v="0"/>
    <n v="0"/>
    <n v="4.5454545454545497E-2"/>
    <n v="0"/>
  </r>
  <r>
    <n v="533902"/>
    <x v="6"/>
    <x v="0"/>
    <n v="1"/>
    <x v="3"/>
    <s v="Bell Gardens"/>
    <n v="0"/>
    <n v="0"/>
    <n v="5.9029999999999996"/>
    <n v="3.7168318299999998"/>
    <n v="5.7168318300000003"/>
    <n v="0.18615811166965901"/>
    <n v="5.9029899416696603"/>
    <n v="4.5454545454545497E-2"/>
    <n v="0"/>
    <n v="1"/>
    <n v="0"/>
    <n v="0"/>
    <n v="0"/>
    <n v="4.5454545454545497E-2"/>
    <n v="0"/>
  </r>
  <r>
    <n v="550000"/>
    <x v="6"/>
    <x v="0"/>
    <n v="4"/>
    <x v="3"/>
    <s v="Norwalk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4002"/>
    <x v="6"/>
    <x v="0"/>
    <n v="1"/>
    <x v="3"/>
    <s v="Bell Gardens"/>
    <n v="0"/>
    <n v="0"/>
    <n v="9.3019999999999996"/>
    <n v="6.8891605699999996"/>
    <n v="8.8891605699999996"/>
    <n v="0.412595628096948"/>
    <n v="9.3017561980969496"/>
    <n v="4.5454545454545497E-2"/>
    <n v="0"/>
    <n v="1"/>
    <n v="0"/>
    <n v="0"/>
    <n v="0"/>
    <n v="4.5454545454545497E-2"/>
    <n v="0"/>
  </r>
  <r>
    <n v="534102"/>
    <x v="6"/>
    <x v="0"/>
    <n v="1"/>
    <x v="3"/>
    <s v="Bell Gardens"/>
    <n v="0"/>
    <n v="0"/>
    <n v="9.5370000000000008"/>
    <n v="7.2326561099999997"/>
    <n v="9.2326561100000006"/>
    <n v="0.30387525168761198"/>
    <n v="9.5365313616876097"/>
    <n v="4.5454545454545497E-2"/>
    <n v="0"/>
    <n v="1"/>
    <n v="0"/>
    <n v="0"/>
    <n v="0"/>
    <n v="4.5454545454545497E-2"/>
    <n v="0"/>
  </r>
  <r>
    <n v="534202"/>
    <x v="6"/>
    <x v="0"/>
    <n v="1"/>
    <x v="3"/>
    <s v="Bell Gardens"/>
    <n v="0"/>
    <n v="0"/>
    <n v="6.6859999999999999"/>
    <n v="3.4228962300000001"/>
    <n v="6.4228962300000001"/>
    <n v="0.26262460752244199"/>
    <n v="6.6855208375224402"/>
    <n v="4.5454545454545497E-2"/>
    <n v="0"/>
    <n v="1"/>
    <n v="0"/>
    <n v="0"/>
    <n v="0"/>
    <n v="4.5454545454545497E-2"/>
    <n v="0"/>
  </r>
  <r>
    <n v="535702"/>
    <x v="6"/>
    <x v="0"/>
    <n v="1"/>
    <x v="3"/>
    <s v="South Gate"/>
    <n v="0"/>
    <n v="0"/>
    <n v="9.1159999999999997"/>
    <n v="5.87227926"/>
    <n v="8.8722792599999991"/>
    <n v="0.24297052484739701"/>
    <n v="9.1152497848473999"/>
    <n v="4.5454545454545497E-2"/>
    <n v="0"/>
    <n v="1"/>
    <n v="0"/>
    <n v="0"/>
    <n v="0"/>
    <n v="4.5454545454545497E-2"/>
    <n v="0"/>
  </r>
  <r>
    <n v="535605"/>
    <x v="6"/>
    <x v="0"/>
    <n v="1"/>
    <x v="3"/>
    <s v="South Gate"/>
    <n v="0"/>
    <n v="0"/>
    <n v="3"/>
    <n v="0"/>
    <n v="3"/>
    <n v="0"/>
    <n v="3"/>
    <n v="4.5454545454545497E-2"/>
    <n v="0"/>
    <n v="1"/>
    <n v="0"/>
    <n v="0"/>
    <n v="0"/>
    <n v="4.5454545454545497E-2"/>
    <n v="0"/>
  </r>
  <r>
    <n v="534301"/>
    <x v="6"/>
    <x v="0"/>
    <n v="1"/>
    <x v="3"/>
    <s v="Cudahy"/>
    <n v="0"/>
    <n v="0"/>
    <n v="2"/>
    <n v="0"/>
    <n v="2"/>
    <n v="0"/>
    <n v="2"/>
    <n v="4.5454545454545497E-2"/>
    <n v="0"/>
    <n v="1"/>
    <n v="0"/>
    <n v="0"/>
    <n v="0"/>
    <n v="4.5454545454545497E-2"/>
    <n v="0"/>
  </r>
  <r>
    <n v="534404"/>
    <x v="6"/>
    <x v="0"/>
    <n v="1"/>
    <x v="3"/>
    <s v="Cudahy"/>
    <n v="1"/>
    <n v="1"/>
    <n v="0"/>
    <n v="0"/>
    <n v="0"/>
    <n v="0"/>
    <n v="0"/>
    <n v="4.5454545454545497E-2"/>
    <n v="22"/>
    <n v="1"/>
    <n v="0"/>
    <n v="0"/>
    <n v="0"/>
    <n v="4.5454545454545497E-2"/>
    <n v="21.999999999999979"/>
  </r>
  <r>
    <n v="534700"/>
    <x v="6"/>
    <x v="0"/>
    <n v="1"/>
    <x v="3"/>
    <s v="South Gate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4802"/>
    <x v="6"/>
    <x v="0"/>
    <n v="1"/>
    <x v="3"/>
    <s v="Walnut Park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4803"/>
    <x v="6"/>
    <x v="0"/>
    <n v="1"/>
    <x v="3"/>
    <s v="Walnut Park"/>
    <n v="0"/>
    <n v="0"/>
    <n v="3.9260000000000002"/>
    <n v="1.90487994"/>
    <n v="3.9048799399999998"/>
    <n v="2.0625322082585301E-2"/>
    <n v="3.9255052620825901"/>
    <n v="4.5454545454545497E-2"/>
    <n v="0"/>
    <n v="1"/>
    <n v="0"/>
    <n v="0"/>
    <n v="0"/>
    <n v="4.5454545454545497E-2"/>
    <n v="0"/>
  </r>
  <r>
    <n v="534804"/>
    <x v="6"/>
    <x v="0"/>
    <n v="1"/>
    <x v="3"/>
    <s v="South Gate"/>
    <n v="0"/>
    <n v="0"/>
    <n v="1"/>
    <n v="0"/>
    <n v="1"/>
    <n v="0"/>
    <n v="1"/>
    <n v="4.5454545454545497E-2"/>
    <n v="0"/>
    <n v="1"/>
    <n v="0"/>
    <n v="0"/>
    <n v="0"/>
    <n v="4.5454545454545497E-2"/>
    <n v="0"/>
  </r>
  <r>
    <n v="534001"/>
    <x v="6"/>
    <x v="0"/>
    <n v="1"/>
    <x v="3"/>
    <s v="Bell Gardens"/>
    <n v="0"/>
    <n v="0"/>
    <n v="5.0949999999999998"/>
    <n v="1.9836996600000001"/>
    <n v="4.9836996600000001"/>
    <n v="0.11117260138240601"/>
    <n v="5.0948722613824096"/>
    <n v="4.5454545454545497E-2"/>
    <n v="0"/>
    <n v="1"/>
    <n v="0"/>
    <n v="0"/>
    <n v="0"/>
    <n v="4.5454545454545497E-2"/>
    <n v="0"/>
  </r>
  <r>
    <n v="533804"/>
    <x v="6"/>
    <x v="0"/>
    <n v="1"/>
    <x v="3"/>
    <s v="Bell"/>
    <n v="0"/>
    <n v="0"/>
    <n v="3.8079999999999998"/>
    <n v="1.73313217"/>
    <n v="3.7331321700000002"/>
    <n v="7.4985510287253102E-2"/>
    <n v="3.8081176802872498"/>
    <n v="4.5454545454545497E-2"/>
    <n v="0"/>
    <n v="1"/>
    <n v="0"/>
    <n v="0"/>
    <n v="0"/>
    <n v="4.5454545454545497E-2"/>
    <n v="0"/>
  </r>
  <r>
    <n v="533901"/>
    <x v="6"/>
    <x v="0"/>
    <n v="1"/>
    <x v="3"/>
    <s v="Bell Gardens"/>
    <n v="0"/>
    <n v="0"/>
    <n v="6.9980000000000002"/>
    <n v="5.7005314900000004"/>
    <n v="6.7005314900000004"/>
    <n v="0.29733071305206499"/>
    <n v="6.9978622030520699"/>
    <n v="4.5454545454545497E-2"/>
    <n v="0"/>
    <n v="1"/>
    <n v="0"/>
    <n v="0"/>
    <n v="0"/>
    <n v="4.5454545454545497E-2"/>
    <n v="0"/>
  </r>
  <r>
    <n v="533702"/>
    <x v="6"/>
    <x v="0"/>
    <n v="1"/>
    <x v="3"/>
    <s v="Maywood"/>
    <n v="0"/>
    <n v="0"/>
    <n v="1"/>
    <n v="0"/>
    <n v="1"/>
    <n v="0"/>
    <n v="1"/>
    <n v="4.5454545454545497E-2"/>
    <n v="0"/>
    <n v="1"/>
    <n v="0"/>
    <n v="0"/>
    <n v="0"/>
    <n v="4.5454545454545497E-2"/>
    <n v="0"/>
  </r>
  <r>
    <n v="535503"/>
    <x v="6"/>
    <x v="0"/>
    <n v="1"/>
    <x v="3"/>
    <s v="South Gate"/>
    <n v="0"/>
    <n v="0"/>
    <n v="5.6159999999999997"/>
    <n v="3.4662643399999999"/>
    <n v="5.4662643400000004"/>
    <n v="0.14997102057450601"/>
    <n v="5.6162353605745103"/>
    <n v="4.5454545454545497E-2"/>
    <n v="0"/>
    <n v="1"/>
    <n v="0"/>
    <n v="0"/>
    <n v="0"/>
    <n v="4.5454545454545497E-2"/>
    <n v="0"/>
  </r>
  <r>
    <n v="535603"/>
    <x v="6"/>
    <x v="0"/>
    <n v="1"/>
    <x v="3"/>
    <s v="South Gate"/>
    <n v="0"/>
    <n v="0"/>
    <n v="1.9259999999999999"/>
    <n v="1.90487994"/>
    <n v="1.90487994"/>
    <n v="2.0625322082585301E-2"/>
    <n v="1.9255052620825901"/>
    <n v="4.5454545454545497E-2"/>
    <n v="0"/>
    <n v="1"/>
    <n v="0"/>
    <n v="0"/>
    <n v="0"/>
    <n v="4.5454545454545497E-2"/>
    <n v="0"/>
  </r>
  <r>
    <n v="533402"/>
    <x v="6"/>
    <x v="0"/>
    <n v="1"/>
    <x v="3"/>
    <s v="Maywood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5604"/>
    <x v="6"/>
    <x v="0"/>
    <n v="1"/>
    <x v="3"/>
    <s v="South Gate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3201"/>
    <x v="6"/>
    <x v="0"/>
    <n v="1"/>
    <x v="3"/>
    <s v="Huntington Park"/>
    <n v="0"/>
    <n v="0"/>
    <n v="9.6989999999999998"/>
    <n v="6.4830714299999999"/>
    <n v="9.4830714300000007"/>
    <n v="0.215927801418312"/>
    <n v="9.6989992314183109"/>
    <n v="4.5454545454545497E-2"/>
    <n v="0"/>
    <n v="1"/>
    <n v="0"/>
    <n v="0"/>
    <n v="0"/>
    <n v="4.5454545454545497E-2"/>
    <n v="0"/>
  </r>
  <r>
    <n v="535607"/>
    <x v="6"/>
    <x v="0"/>
    <n v="1"/>
    <x v="3"/>
    <s v="South Gate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5701"/>
    <x v="6"/>
    <x v="0"/>
    <n v="1"/>
    <x v="3"/>
    <s v="South Gate"/>
    <n v="0"/>
    <n v="0"/>
    <n v="2.8079999999999998"/>
    <n v="1.73313217"/>
    <n v="2.7331321700000002"/>
    <n v="7.4985510287253102E-2"/>
    <n v="2.8081176802872498"/>
    <n v="4.5454545454545497E-2"/>
    <n v="0"/>
    <n v="1"/>
    <n v="0"/>
    <n v="0"/>
    <n v="0"/>
    <n v="4.5454545454545497E-2"/>
    <n v="0"/>
  </r>
  <r>
    <n v="533105"/>
    <x v="6"/>
    <x v="0"/>
    <n v="1"/>
    <x v="3"/>
    <s v="Huntington Park"/>
    <n v="0"/>
    <n v="0"/>
    <n v="1.9259999999999999"/>
    <n v="1.90487994"/>
    <n v="1.90487994"/>
    <n v="2.0625322082585301E-2"/>
    <n v="1.9255052620825901"/>
    <n v="4.5454545454545497E-2"/>
    <n v="0"/>
    <n v="1"/>
    <n v="0"/>
    <n v="0"/>
    <n v="0"/>
    <n v="4.5454545454545497E-2"/>
    <n v="0"/>
  </r>
  <r>
    <n v="535802"/>
    <x v="6"/>
    <x v="0"/>
    <n v="1"/>
    <x v="3"/>
    <s v="South Gate"/>
    <n v="0"/>
    <n v="0"/>
    <n v="3.0950000000000002"/>
    <n v="1.9836996600000001"/>
    <n v="2.9836996600000001"/>
    <n v="0.11117260138240601"/>
    <n v="3.09487226138241"/>
    <n v="4.5454545454545497E-2"/>
    <n v="0"/>
    <n v="1"/>
    <n v="0"/>
    <n v="0"/>
    <n v="0"/>
    <n v="4.5454545454545497E-2"/>
    <n v="0"/>
  </r>
  <r>
    <n v="532606"/>
    <x v="6"/>
    <x v="0"/>
    <n v="1"/>
    <x v="3"/>
    <s v="Huntington Park"/>
    <n v="0"/>
    <n v="0"/>
    <n v="2.8079999999999998"/>
    <n v="1.73313217"/>
    <n v="2.7331321700000002"/>
    <n v="7.4985510287253102E-2"/>
    <n v="2.8081176802872498"/>
    <n v="4.5454545454545497E-2"/>
    <n v="0"/>
    <n v="1"/>
    <n v="0"/>
    <n v="0"/>
    <n v="0"/>
    <n v="4.5454545454545497E-2"/>
    <n v="0"/>
  </r>
  <r>
    <n v="535804"/>
    <x v="6"/>
    <x v="0"/>
    <n v="1"/>
    <x v="3"/>
    <s v="South Gate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5901"/>
    <x v="6"/>
    <x v="0"/>
    <n v="1"/>
    <x v="3"/>
    <s v="South Gate"/>
    <n v="0"/>
    <n v="0"/>
    <n v="6.6120000000000001"/>
    <n v="5.3277761699999999"/>
    <n v="6.3277761699999999"/>
    <n v="0.28324992960502698"/>
    <n v="6.6110260996050298"/>
    <n v="4.5454545454545497E-2"/>
    <n v="0"/>
    <n v="1"/>
    <n v="0"/>
    <n v="0"/>
    <n v="0"/>
    <n v="4.5454545454545497E-2"/>
    <n v="0"/>
  </r>
  <r>
    <n v="531302"/>
    <x v="6"/>
    <x v="0"/>
    <n v="1"/>
    <x v="3"/>
    <s v="East Los Angeles"/>
    <n v="0"/>
    <n v="0"/>
    <n v="9.9009999999999998"/>
    <n v="9.4173633199999998"/>
    <n v="9.4173633199999998"/>
    <n v="0.483488824721723"/>
    <n v="9.9008521447217195"/>
    <n v="4.5454545454545497E-2"/>
    <n v="0"/>
    <n v="1"/>
    <n v="0"/>
    <n v="0"/>
    <n v="0"/>
    <n v="4.5454545454545497E-2"/>
    <n v="0"/>
  </r>
  <r>
    <n v="535902"/>
    <x v="6"/>
    <x v="0"/>
    <n v="1"/>
    <x v="3"/>
    <s v="South Gate"/>
    <n v="0"/>
    <n v="0"/>
    <n v="1"/>
    <n v="0"/>
    <n v="1"/>
    <n v="0"/>
    <n v="1"/>
    <n v="4.5454545454545497E-2"/>
    <n v="0"/>
    <n v="1"/>
    <n v="0"/>
    <n v="0"/>
    <n v="0"/>
    <n v="4.5454545454545497E-2"/>
    <n v="0"/>
  </r>
  <r>
    <n v="536000"/>
    <x v="6"/>
    <x v="0"/>
    <n v="1"/>
    <x v="3"/>
    <s v="South Gate"/>
    <n v="0"/>
    <n v="0"/>
    <n v="1.9259999999999999"/>
    <n v="1.90487994"/>
    <n v="1.90487994"/>
    <n v="2.0625322082585301E-2"/>
    <n v="1.9255052620825901"/>
    <n v="4.5454545454545497E-2"/>
    <n v="0"/>
    <n v="1"/>
    <n v="0"/>
    <n v="0"/>
    <n v="0"/>
    <n v="4.5454545454545497E-2"/>
    <n v="0"/>
  </r>
  <r>
    <n v="531201"/>
    <x v="6"/>
    <x v="0"/>
    <n v="1"/>
    <x v="3"/>
    <s v="East Los Angeles"/>
    <n v="0"/>
    <n v="0"/>
    <n v="2.0950000000000002"/>
    <n v="1.9836996600000001"/>
    <n v="1.9836996600000001"/>
    <n v="0.11117260138240601"/>
    <n v="2.09487226138241"/>
    <n v="4.5454545454545497E-2"/>
    <n v="0"/>
    <n v="1"/>
    <n v="0"/>
    <n v="0"/>
    <n v="0"/>
    <n v="4.5454545454545497E-2"/>
    <n v="0"/>
  </r>
  <r>
    <n v="550201"/>
    <x v="6"/>
    <x v="0"/>
    <n v="4"/>
    <x v="3"/>
    <s v="Norwalk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0601"/>
    <x v="6"/>
    <x v="0"/>
    <n v="4"/>
    <x v="3"/>
    <s v="Downey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0800"/>
    <x v="6"/>
    <x v="0"/>
    <n v="4"/>
    <x v="3"/>
    <s v="Downey"/>
    <n v="0"/>
    <n v="0"/>
    <n v="1.591"/>
    <n v="1.43919657"/>
    <n v="1.43919657"/>
    <n v="0.15145200614003601"/>
    <n v="1.59064857614004"/>
    <n v="4.5454545454545497E-2"/>
    <n v="0"/>
    <n v="1"/>
    <n v="0"/>
    <n v="0"/>
    <n v="0"/>
    <n v="4.5454545454545497E-2"/>
    <n v="0"/>
  </r>
  <r>
    <n v="530602"/>
    <x v="6"/>
    <x v="0"/>
    <n v="1"/>
    <x v="3"/>
    <s v="East Los Angeles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0902"/>
    <x v="6"/>
    <x v="0"/>
    <n v="4"/>
    <x v="3"/>
    <s v="Downey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30302"/>
    <x v="6"/>
    <x v="0"/>
    <n v="1"/>
    <x v="3"/>
    <s v="East Los Angeles"/>
    <n v="0"/>
    <n v="0"/>
    <n v="7.4939999999999998"/>
    <n v="5.1560284000000003"/>
    <n v="7.1560284000000003"/>
    <n v="0.33761011780969502"/>
    <n v="7.4936385178096998"/>
    <n v="4.5454545454545497E-2"/>
    <n v="0"/>
    <n v="1"/>
    <n v="0"/>
    <n v="0"/>
    <n v="0"/>
    <n v="4.5454545454545497E-2"/>
    <n v="0"/>
  </r>
  <r>
    <n v="504101"/>
    <x v="6"/>
    <x v="0"/>
    <n v="4"/>
    <x v="3"/>
    <s v="La Mirada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1201"/>
    <x v="6"/>
    <x v="0"/>
    <n v="4"/>
    <x v="3"/>
    <s v="Downey"/>
    <n v="0"/>
    <n v="0"/>
    <n v="4.0949999999999998"/>
    <n v="1.9836996600000001"/>
    <n v="3.9836996600000001"/>
    <n v="0.11117260138240601"/>
    <n v="4.0948722613824096"/>
    <n v="4.5454545454545497E-2"/>
    <n v="0"/>
    <n v="1"/>
    <n v="0"/>
    <n v="0"/>
    <n v="0"/>
    <n v="4.5454545454545497E-2"/>
    <n v="0"/>
  </r>
  <r>
    <n v="504001"/>
    <x v="6"/>
    <x v="0"/>
    <n v="4"/>
    <x v="3"/>
    <s v="La Mirada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1401"/>
    <x v="6"/>
    <x v="0"/>
    <n v="4"/>
    <x v="3"/>
    <s v="Downey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1402"/>
    <x v="6"/>
    <x v="0"/>
    <n v="4"/>
    <x v="3"/>
    <s v="Downey"/>
    <n v="0"/>
    <n v="0"/>
    <n v="4.0949999999999998"/>
    <n v="1.9836996600000001"/>
    <n v="3.9836996600000001"/>
    <n v="0.11117260138240601"/>
    <n v="4.0948722613824096"/>
    <n v="4.5454545454545497E-2"/>
    <n v="0"/>
    <n v="1"/>
    <n v="0"/>
    <n v="0"/>
    <n v="0"/>
    <n v="4.5454545454545497E-2"/>
    <n v="0"/>
  </r>
  <r>
    <n v="503901"/>
    <x v="6"/>
    <x v="0"/>
    <n v="4"/>
    <x v="3"/>
    <s v="La Mirada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1501"/>
    <x v="6"/>
    <x v="0"/>
    <n v="4"/>
    <x v="3"/>
    <s v="Downey"/>
    <n v="0"/>
    <n v="0"/>
    <n v="1"/>
    <n v="0"/>
    <n v="1"/>
    <n v="0"/>
    <n v="1"/>
    <n v="4.5454545454545497E-2"/>
    <n v="0"/>
    <n v="1"/>
    <n v="0"/>
    <n v="0"/>
    <n v="0"/>
    <n v="4.5454545454545497E-2"/>
    <n v="0"/>
  </r>
  <r>
    <n v="551502"/>
    <x v="6"/>
    <x v="0"/>
    <n v="4"/>
    <x v="3"/>
    <s v="Downey"/>
    <n v="0"/>
    <n v="0"/>
    <n v="2"/>
    <n v="0"/>
    <n v="2"/>
    <n v="0"/>
    <n v="2"/>
    <n v="4.5454545454545497E-2"/>
    <n v="0"/>
    <n v="1"/>
    <n v="0"/>
    <n v="0"/>
    <n v="0"/>
    <n v="4.5454545454545497E-2"/>
    <n v="0"/>
  </r>
  <r>
    <n v="503601"/>
    <x v="6"/>
    <x v="0"/>
    <n v="4"/>
    <x v="3"/>
    <s v="La Mirada"/>
    <n v="0"/>
    <n v="0"/>
    <n v="4.0949999999999998"/>
    <n v="1.9836996600000001"/>
    <n v="3.9836996600000001"/>
    <n v="0.11117260138240601"/>
    <n v="4.0948722613824096"/>
    <n v="4.5454545454545497E-2"/>
    <n v="0"/>
    <n v="1"/>
    <n v="0"/>
    <n v="0"/>
    <n v="0"/>
    <n v="4.5454545454545497E-2"/>
    <n v="0"/>
  </r>
  <r>
    <n v="552001"/>
    <x v="6"/>
    <x v="0"/>
    <n v="4"/>
    <x v="3"/>
    <s v="Norwalk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2301"/>
    <x v="6"/>
    <x v="0"/>
    <n v="4"/>
    <x v="3"/>
    <s v="Norwalk"/>
    <n v="0"/>
    <n v="0"/>
    <n v="4.7720000000000002"/>
    <n v="4.31758971"/>
    <n v="4.31758971"/>
    <n v="0.45435601842010798"/>
    <n v="4.7719457284201097"/>
    <n v="4.5454545454545497E-2"/>
    <n v="0"/>
    <n v="1"/>
    <n v="0"/>
    <n v="0"/>
    <n v="0"/>
    <n v="4.5454545454545497E-2"/>
    <n v="0"/>
  </r>
  <r>
    <n v="552700"/>
    <x v="6"/>
    <x v="0"/>
    <n v="4"/>
    <x v="3"/>
    <s v="Norwalk"/>
    <n v="0"/>
    <n v="0"/>
    <n v="9.5869999999999997"/>
    <n v="6.2409763800000002"/>
    <n v="9.2409763799999993"/>
    <n v="0.34588787579892299"/>
    <n v="9.5868642557989201"/>
    <n v="4.5454545454545497E-2"/>
    <n v="0"/>
    <n v="1"/>
    <n v="0"/>
    <n v="0"/>
    <n v="0"/>
    <n v="4.5454545454545497E-2"/>
    <n v="0"/>
  </r>
  <r>
    <n v="552800"/>
    <x v="6"/>
    <x v="0"/>
    <n v="4"/>
    <x v="3"/>
    <s v="Norwalk"/>
    <n v="0"/>
    <n v="0"/>
    <n v="3.5169999999999999"/>
    <n v="3.3440765099999998"/>
    <n v="3.3440765099999998"/>
    <n v="0.17207732822262101"/>
    <n v="3.5161538382226198"/>
    <n v="4.5454545454545497E-2"/>
    <n v="0"/>
    <n v="1"/>
    <n v="0"/>
    <n v="0"/>
    <n v="0"/>
    <n v="4.5454545454545497E-2"/>
    <n v="0"/>
  </r>
  <r>
    <n v="553300"/>
    <x v="6"/>
    <x v="0"/>
    <n v="4"/>
    <x v="3"/>
    <s v="Bellflower"/>
    <n v="0"/>
    <n v="0"/>
    <n v="3.5910000000000002"/>
    <n v="1.43919657"/>
    <n v="3.43919657"/>
    <n v="0.15145200614003601"/>
    <n v="3.59064857614004"/>
    <n v="4.5454545454545497E-2"/>
    <n v="0"/>
    <n v="1"/>
    <n v="0"/>
    <n v="0"/>
    <n v="0"/>
    <n v="4.5454545454545497E-2"/>
    <n v="0"/>
  </r>
  <r>
    <n v="503106"/>
    <x v="6"/>
    <x v="0"/>
    <n v="4"/>
    <x v="3"/>
    <s v="South Whittier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3400"/>
    <x v="6"/>
    <x v="0"/>
    <n v="4"/>
    <x v="3"/>
    <s v="Downey"/>
    <n v="0"/>
    <n v="0"/>
    <n v="10.723000000000001"/>
    <n v="8.2495374199999993"/>
    <n v="10.249537419999999"/>
    <n v="0.47350035493716303"/>
    <n v="10.7230377749372"/>
    <n v="4.5454545454545497E-2"/>
    <n v="0"/>
    <n v="1"/>
    <n v="0"/>
    <n v="0"/>
    <n v="0"/>
    <n v="4.5454545454545497E-2"/>
    <n v="0"/>
  </r>
  <r>
    <n v="502901"/>
    <x v="6"/>
    <x v="0"/>
    <n v="4"/>
    <x v="3"/>
    <s v="South Whittier"/>
    <n v="0"/>
    <n v="0"/>
    <n v="3.9260000000000002"/>
    <n v="1.90487994"/>
    <n v="3.9048799399999998"/>
    <n v="2.0625322082585301E-2"/>
    <n v="3.9255052620825901"/>
    <n v="4.5454545454545497E-2"/>
    <n v="0"/>
    <n v="1"/>
    <n v="0"/>
    <n v="0"/>
    <n v="0"/>
    <n v="4.5454545454545497E-2"/>
    <n v="0"/>
  </r>
  <r>
    <n v="502602"/>
    <x v="6"/>
    <x v="0"/>
    <n v="1"/>
    <x v="3"/>
    <s v="Pico Rivera"/>
    <n v="0"/>
    <n v="0"/>
    <n v="9.0839999999999996"/>
    <n v="6.5952249700000003"/>
    <n v="8.5952249700000003"/>
    <n v="0.48906212394973098"/>
    <n v="9.0842870939497296"/>
    <n v="4.5454545454545497E-2"/>
    <n v="0"/>
    <n v="1"/>
    <n v="0"/>
    <n v="0"/>
    <n v="0"/>
    <n v="4.5454545454545497E-2"/>
    <n v="0"/>
  </r>
  <r>
    <n v="554101"/>
    <x v="6"/>
    <x v="0"/>
    <n v="4"/>
    <x v="3"/>
    <s v="Bellflower"/>
    <n v="0"/>
    <n v="0"/>
    <n v="4.0209999999999999"/>
    <n v="3.8885795999999999"/>
    <n v="3.8885795999999999"/>
    <n v="0.131797923464991"/>
    <n v="4.0203775234649903"/>
    <n v="4.5454545454545497E-2"/>
    <n v="0"/>
    <n v="1"/>
    <n v="0"/>
    <n v="0"/>
    <n v="0"/>
    <n v="4.5454545454545497E-2"/>
    <n v="0"/>
  </r>
  <r>
    <n v="502401"/>
    <x v="6"/>
    <x v="0"/>
    <n v="1"/>
    <x v="3"/>
    <s v="Pico Rivera"/>
    <n v="0"/>
    <n v="0"/>
    <n v="1"/>
    <n v="0"/>
    <n v="1"/>
    <n v="0"/>
    <n v="1"/>
    <n v="4.5454545454545497E-2"/>
    <n v="0"/>
    <n v="1"/>
    <n v="0"/>
    <n v="0"/>
    <n v="0"/>
    <n v="4.5454545454545497E-2"/>
    <n v="0"/>
  </r>
  <r>
    <n v="502003"/>
    <x v="6"/>
    <x v="0"/>
    <n v="4"/>
    <x v="3"/>
    <s v="Whittier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4104"/>
    <x v="6"/>
    <x v="0"/>
    <n v="4"/>
    <x v="3"/>
    <s v="Bellflower"/>
    <n v="0"/>
    <n v="0"/>
    <n v="8.84"/>
    <n v="8.4212851900000008"/>
    <n v="8.4212851900000008"/>
    <n v="0.41914016673249599"/>
    <n v="8.8404253567324904"/>
    <n v="4.5454545454545497E-2"/>
    <n v="0"/>
    <n v="1"/>
    <n v="0"/>
    <n v="0"/>
    <n v="0"/>
    <n v="4.5454545454545497E-2"/>
    <n v="0"/>
  </r>
  <r>
    <n v="554105"/>
    <x v="6"/>
    <x v="0"/>
    <n v="4"/>
    <x v="3"/>
    <s v="Bellflower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01700"/>
    <x v="6"/>
    <x v="0"/>
    <n v="4"/>
    <x v="3"/>
    <s v="Whittier"/>
    <n v="0"/>
    <n v="0"/>
    <n v="3.9260000000000002"/>
    <n v="1.90487994"/>
    <n v="3.9048799399999998"/>
    <n v="2.0625322082585301E-2"/>
    <n v="3.9255052620825901"/>
    <n v="4.5454545454545497E-2"/>
    <n v="0"/>
    <n v="1"/>
    <n v="0"/>
    <n v="0"/>
    <n v="0"/>
    <n v="4.5454545454545497E-2"/>
    <n v="0"/>
  </r>
  <r>
    <n v="554201"/>
    <x v="6"/>
    <x v="0"/>
    <n v="4"/>
    <x v="3"/>
    <s v="Bellflower"/>
    <n v="0"/>
    <n v="0"/>
    <n v="3"/>
    <n v="0"/>
    <n v="3"/>
    <n v="0"/>
    <n v="3"/>
    <n v="4.5454545454545497E-2"/>
    <n v="0"/>
    <n v="1"/>
    <n v="0"/>
    <n v="0"/>
    <n v="0"/>
    <n v="4.5454545454545497E-2"/>
    <n v="0"/>
  </r>
  <r>
    <n v="554203"/>
    <x v="6"/>
    <x v="0"/>
    <n v="4"/>
    <x v="3"/>
    <s v="Bellflower"/>
    <n v="0"/>
    <n v="0"/>
    <n v="5.6589999999999998"/>
    <n v="5.5428920499999998"/>
    <n v="5.5428920499999998"/>
    <n v="0.116236154452424"/>
    <n v="5.6591282044524203"/>
    <n v="4.5454545454545497E-2"/>
    <n v="0"/>
    <n v="1"/>
    <n v="0"/>
    <n v="0"/>
    <n v="0"/>
    <n v="4.5454545454545497E-2"/>
    <n v="0"/>
  </r>
  <r>
    <n v="554512"/>
    <x v="6"/>
    <x v="0"/>
    <n v="4"/>
    <x v="3"/>
    <s v="Cerritos"/>
    <n v="0"/>
    <n v="0"/>
    <n v="7.9889999999999999"/>
    <n v="4.6115253100000002"/>
    <n v="7.6115253100000002"/>
    <n v="0.377889522567325"/>
    <n v="7.9894148325673298"/>
    <n v="4.5454545454545497E-2"/>
    <n v="0"/>
    <n v="1"/>
    <n v="0"/>
    <n v="0"/>
    <n v="0"/>
    <n v="4.5454545454545497E-2"/>
    <n v="0"/>
  </r>
  <r>
    <n v="554513"/>
    <x v="6"/>
    <x v="0"/>
    <n v="4"/>
    <x v="3"/>
    <s v="Cerritos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4514"/>
    <x v="6"/>
    <x v="0"/>
    <n v="4"/>
    <x v="3"/>
    <s v="Cerritos"/>
    <n v="1"/>
    <n v="1"/>
    <n v="4.181"/>
    <n v="2.87839314"/>
    <n v="3.87839314"/>
    <n v="0.30290401228007202"/>
    <n v="4.1812971522800702"/>
    <n v="4.5454545454545497E-2"/>
    <n v="22"/>
    <n v="1"/>
    <n v="0"/>
    <n v="0"/>
    <n v="0"/>
    <n v="4.5454545454545497E-2"/>
    <n v="21.999999999999979"/>
  </r>
  <r>
    <n v="500500"/>
    <x v="6"/>
    <x v="0"/>
    <n v="1"/>
    <x v="3"/>
    <s v="Pico Rivera"/>
    <n v="0"/>
    <n v="0"/>
    <n v="1"/>
    <n v="0"/>
    <n v="1"/>
    <n v="0"/>
    <n v="1"/>
    <n v="4.5454545454545497E-2"/>
    <n v="0"/>
    <n v="1"/>
    <n v="0"/>
    <n v="0"/>
    <n v="0"/>
    <n v="4.5454545454545497E-2"/>
    <n v="0"/>
  </r>
  <r>
    <n v="554516"/>
    <x v="6"/>
    <x v="0"/>
    <n v="4"/>
    <x v="3"/>
    <s v="Cerritos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00404"/>
    <x v="6"/>
    <x v="0"/>
    <n v="1"/>
    <x v="3"/>
    <s v="Pico Rivera"/>
    <n v="0"/>
    <n v="0"/>
    <n v="2.0950000000000002"/>
    <n v="1.9836996600000001"/>
    <n v="1.9836996600000001"/>
    <n v="0.11117260138240601"/>
    <n v="2.09487226138241"/>
    <n v="4.5454545454545497E-2"/>
    <n v="0"/>
    <n v="1"/>
    <n v="0"/>
    <n v="0"/>
    <n v="0"/>
    <n v="4.5454545454545497E-2"/>
    <n v="0"/>
  </r>
  <r>
    <n v="554517"/>
    <x v="6"/>
    <x v="0"/>
    <n v="4"/>
    <x v="3"/>
    <s v="Cerritos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54600"/>
    <x v="6"/>
    <x v="0"/>
    <n v="4"/>
    <x v="3"/>
    <s v="Norwalk"/>
    <n v="0"/>
    <n v="0"/>
    <n v="3"/>
    <n v="0"/>
    <n v="3"/>
    <n v="0"/>
    <n v="3"/>
    <n v="4.5454545454545497E-2"/>
    <n v="0"/>
    <n v="1"/>
    <n v="0"/>
    <n v="0"/>
    <n v="0"/>
    <n v="4.5454545454545497E-2"/>
    <n v="0"/>
  </r>
  <r>
    <n v="554802"/>
    <x v="6"/>
    <x v="0"/>
    <n v="4"/>
    <x v="3"/>
    <s v="Artesia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70001"/>
    <x v="6"/>
    <x v="0"/>
    <n v="4"/>
    <x v="3"/>
    <s v="Lakewood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70002"/>
    <x v="6"/>
    <x v="0"/>
    <n v="4"/>
    <x v="3"/>
    <s v="Lakewood"/>
    <n v="0"/>
    <n v="0"/>
    <n v="1.8080000000000001"/>
    <n v="1.73313217"/>
    <n v="1.73313217"/>
    <n v="7.4985510287253102E-2"/>
    <n v="1.8081176802872501"/>
    <n v="4.5454545454545497E-2"/>
    <n v="0"/>
    <n v="1"/>
    <n v="0"/>
    <n v="0"/>
    <n v="0"/>
    <n v="4.5454545454545497E-2"/>
    <n v="0"/>
  </r>
  <r>
    <n v="570003"/>
    <x v="6"/>
    <x v="0"/>
    <n v="4"/>
    <x v="3"/>
    <s v="Lakewood"/>
    <n v="0"/>
    <n v="0"/>
    <n v="5.2759999999999998"/>
    <n v="4.8620928000000001"/>
    <n v="4.8620928000000001"/>
    <n v="0.414076613662478"/>
    <n v="5.2761694136624797"/>
    <n v="4.5454545454545497E-2"/>
    <n v="0"/>
    <n v="1"/>
    <n v="0"/>
    <n v="0"/>
    <n v="0"/>
    <n v="4.5454545454545497E-2"/>
    <n v="0"/>
  </r>
  <r>
    <n v="570901"/>
    <x v="6"/>
    <x v="0"/>
    <n v="4"/>
    <x v="3"/>
    <s v="Lakewood"/>
    <n v="0"/>
    <n v="0"/>
    <n v="5.734"/>
    <n v="3.63801211"/>
    <n v="5.63801211"/>
    <n v="9.5610832369838403E-2"/>
    <n v="5.7336229423698404"/>
    <n v="4.5454545454545497E-2"/>
    <n v="0"/>
    <n v="1"/>
    <n v="0"/>
    <n v="0"/>
    <n v="0"/>
    <n v="4.5454545454545497E-2"/>
    <n v="0"/>
  </r>
  <r>
    <n v="570902"/>
    <x v="6"/>
    <x v="0"/>
    <n v="4"/>
    <x v="3"/>
    <s v="Lakewood"/>
    <n v="1"/>
    <n v="1"/>
    <n v="7.9889999999999999"/>
    <n v="4.6115253100000002"/>
    <n v="7.6115253100000002"/>
    <n v="0.377889522567325"/>
    <n v="7.9894148325673298"/>
    <n v="4.5454545454545497E-2"/>
    <n v="22"/>
    <n v="1"/>
    <n v="0"/>
    <n v="0"/>
    <n v="0"/>
    <n v="4.5454545454545497E-2"/>
    <n v="21.999999999999979"/>
  </r>
  <r>
    <n v="571300"/>
    <x v="6"/>
    <x v="0"/>
    <n v="4"/>
    <x v="3"/>
    <s v="Lakewood"/>
    <n v="0"/>
    <n v="0"/>
    <n v="0"/>
    <n v="0"/>
    <n v="0"/>
    <n v="0"/>
    <n v="0"/>
    <n v="4.5454545454545497E-2"/>
    <n v="0"/>
    <n v="1"/>
    <n v="0"/>
    <n v="0"/>
    <n v="0"/>
    <n v="4.5454545454545497E-2"/>
    <n v="0"/>
  </r>
  <r>
    <n v="573401"/>
    <x v="6"/>
    <x v="0"/>
    <n v="4"/>
    <x v="3"/>
    <s v="Signal Hill"/>
    <n v="0"/>
    <n v="0"/>
    <n v="8.9410000000000007"/>
    <n v="8.5434730200000004"/>
    <n v="8.5434730200000004"/>
    <n v="0.39703385908438099"/>
    <n v="8.9405068790843796"/>
    <n v="4.5454545454545497E-2"/>
    <n v="0"/>
    <n v="1"/>
    <n v="0"/>
    <n v="0"/>
    <n v="0"/>
    <n v="4.5454545454545497E-2"/>
    <n v="0"/>
  </r>
  <r>
    <n v="573402"/>
    <x v="6"/>
    <x v="0"/>
    <n v="4"/>
    <x v="3"/>
    <s v="Signal Hill"/>
    <n v="0"/>
    <n v="0"/>
    <n v="7.19"/>
    <n v="3.9673993200000002"/>
    <n v="6.9673993200000002"/>
    <n v="0.22234520276481101"/>
    <n v="7.1897445227648102"/>
    <n v="4.5454545454545497E-2"/>
    <n v="0"/>
    <n v="1"/>
    <n v="0"/>
    <n v="0"/>
    <n v="0"/>
    <n v="4.5454545454545497E-2"/>
    <n v="0"/>
  </r>
  <r>
    <n v="543703"/>
    <x v="7"/>
    <x v="0"/>
    <n v="2"/>
    <x v="0"/>
    <s v="Carson"/>
    <n v="0"/>
    <n v="0"/>
    <n v="13.856"/>
    <n v="10.91281468"/>
    <n v="12.91281468"/>
    <n v="0.94341814236983801"/>
    <n v="13.856232822369799"/>
    <n v="0.27272727272727298"/>
    <n v="0"/>
    <n v="0.64935064935064901"/>
    <n v="0"/>
    <n v="0"/>
    <n v="0"/>
    <n v="0.27272727272727298"/>
    <n v="0"/>
  </r>
  <r>
    <n v="543502"/>
    <x v="7"/>
    <x v="0"/>
    <n v="2"/>
    <x v="0"/>
    <s v="West Carson"/>
    <n v="0"/>
    <n v="0"/>
    <n v="28.468"/>
    <n v="27.020092770000002"/>
    <n v="27.020092770000002"/>
    <n v="1.4478551460682201"/>
    <n v="28.467947916068201"/>
    <n v="0.27272727272727298"/>
    <n v="0"/>
    <n v="0.64935064935064901"/>
    <n v="0"/>
    <n v="0"/>
    <n v="0"/>
    <n v="0.27272727272727298"/>
    <n v="0"/>
  </r>
  <r>
    <n v="543305"/>
    <x v="7"/>
    <x v="0"/>
    <n v="2"/>
    <x v="0"/>
    <s v="Unincorporated Compton"/>
    <n v="0"/>
    <n v="0"/>
    <n v="116.45699999999999"/>
    <n v="99.161862130000003"/>
    <n v="111.16186213"/>
    <n v="5.2945584826570897"/>
    <n v="116.456420612657"/>
    <n v="0.27272727272727298"/>
    <n v="0"/>
    <n v="0.64935064935064901"/>
    <n v="0"/>
    <n v="0"/>
    <n v="0"/>
    <n v="0.27272727272727298"/>
    <n v="0"/>
  </r>
  <r>
    <n v="980013"/>
    <x v="7"/>
    <x v="0"/>
    <n v="4"/>
    <x v="0"/>
    <s v="El Segundo"/>
    <n v="1"/>
    <n v="1"/>
    <n v="7.2320000000000002"/>
    <n v="6.9325286799999999"/>
    <n v="6.9325286799999999"/>
    <n v="0.29994204114901302"/>
    <n v="7.23247072114901"/>
    <n v="0.27272727272727298"/>
    <n v="3.6666666666666701"/>
    <n v="0.64935064935064901"/>
    <n v="0"/>
    <n v="0"/>
    <n v="0"/>
    <n v="0.27272727272727298"/>
    <n v="3.6666666666666634"/>
  </r>
  <r>
    <n v="541002"/>
    <x v="7"/>
    <x v="0"/>
    <n v="2"/>
    <x v="0"/>
    <s v="Carson"/>
    <n v="0"/>
    <n v="0"/>
    <n v="35.326000000000001"/>
    <n v="33.472326729999999"/>
    <n v="33.472326729999999"/>
    <n v="1.85374713240575"/>
    <n v="35.3260738624057"/>
    <n v="0.27272727272727298"/>
    <n v="0"/>
    <n v="0.64935064935064901"/>
    <n v="0"/>
    <n v="0"/>
    <n v="0"/>
    <n v="0.27272727272727298"/>
    <n v="0"/>
  </r>
  <r>
    <n v="543322"/>
    <x v="7"/>
    <x v="0"/>
    <n v="2"/>
    <x v="0"/>
    <s v="Carson"/>
    <n v="0"/>
    <n v="0"/>
    <n v="20.045999999999999"/>
    <n v="14.880214"/>
    <n v="18.880213999999999"/>
    <n v="1.1657633451346501"/>
    <n v="20.045977345134599"/>
    <n v="0.27272727272727298"/>
    <n v="0"/>
    <n v="0.64935064935064901"/>
    <n v="0"/>
    <n v="0"/>
    <n v="0"/>
    <n v="0.27272727272727298"/>
    <n v="0"/>
  </r>
  <r>
    <n v="543501"/>
    <x v="7"/>
    <x v="0"/>
    <n v="2"/>
    <x v="0"/>
    <s v="Carson"/>
    <n v="0"/>
    <n v="0"/>
    <n v="68.313000000000002"/>
    <n v="58.135964520000002"/>
    <n v="65.135964520000002"/>
    <n v="3.1763488936445201"/>
    <n v="68.312313413644503"/>
    <n v="0.27272727272727298"/>
    <n v="0"/>
    <n v="0.64935064935064901"/>
    <n v="0"/>
    <n v="0"/>
    <n v="0"/>
    <n v="0.27272727272727298"/>
    <n v="0"/>
  </r>
  <r>
    <n v="543602"/>
    <x v="7"/>
    <x v="0"/>
    <n v="2"/>
    <x v="0"/>
    <s v="West Carson"/>
    <n v="0"/>
    <n v="0"/>
    <n v="24.391999999999999"/>
    <n v="20.27392321"/>
    <n v="23.27392321"/>
    <n v="1.1184296555834801"/>
    <n v="24.392352865583501"/>
    <n v="0.27272727272727298"/>
    <n v="0"/>
    <n v="0.64935064935064901"/>
    <n v="0"/>
    <n v="0"/>
    <n v="0"/>
    <n v="0.27272727272727298"/>
    <n v="0"/>
  </r>
  <r>
    <n v="543603"/>
    <x v="7"/>
    <x v="0"/>
    <n v="2"/>
    <x v="0"/>
    <s v="West Carson"/>
    <n v="0"/>
    <n v="0"/>
    <n v="55.548999999999999"/>
    <n v="47.213434380000002"/>
    <n v="54.213434380000002"/>
    <n v="1.33489161414722"/>
    <n v="55.548325994147199"/>
    <n v="0.27272727272727298"/>
    <n v="0"/>
    <n v="0.64935064935064901"/>
    <n v="0"/>
    <n v="0"/>
    <n v="0"/>
    <n v="0.27272727272727298"/>
    <n v="0"/>
  </r>
  <r>
    <n v="543604"/>
    <x v="7"/>
    <x v="0"/>
    <n v="2"/>
    <x v="0"/>
    <s v="Carson"/>
    <n v="0"/>
    <n v="0"/>
    <n v="133.929"/>
    <n v="112.44689940000001"/>
    <n v="132.44689940000001"/>
    <n v="1.4823963793177699"/>
    <n v="133.92929577931801"/>
    <n v="0.27272727272727298"/>
    <n v="0"/>
    <n v="0.64935064935064901"/>
    <n v="0"/>
    <n v="0"/>
    <n v="0"/>
    <n v="0.27272727272727298"/>
    <n v="0"/>
  </r>
  <r>
    <n v="651101"/>
    <x v="7"/>
    <x v="0"/>
    <n v="4"/>
    <x v="0"/>
    <s v="Torrance"/>
    <n v="0"/>
    <n v="0"/>
    <n v="20.989000000000001"/>
    <n v="18.9631063"/>
    <n v="19.9631063"/>
    <n v="1.02527104818671"/>
    <n v="20.988377348186699"/>
    <n v="0.27272727272727298"/>
    <n v="0"/>
    <n v="0.64935064935064901"/>
    <n v="0"/>
    <n v="0"/>
    <n v="0"/>
    <n v="0.27272727272727298"/>
    <n v="0"/>
  </r>
  <r>
    <n v="543903"/>
    <x v="7"/>
    <x v="0"/>
    <n v="2"/>
    <x v="0"/>
    <s v="Carson"/>
    <n v="0"/>
    <n v="0"/>
    <n v="1.9259999999999999"/>
    <n v="1.90487994"/>
    <n v="1.90487994"/>
    <n v="2.0625322082585301E-2"/>
    <n v="1.9255052620825901"/>
    <n v="0.27272727272727298"/>
    <n v="0"/>
    <n v="0.64935064935064901"/>
    <n v="0"/>
    <n v="0"/>
    <n v="0"/>
    <n v="0.27272727272727298"/>
    <n v="0"/>
  </r>
  <r>
    <n v="544001"/>
    <x v="7"/>
    <x v="0"/>
    <n v="4"/>
    <x v="0"/>
    <s v="Carson"/>
    <n v="1"/>
    <n v="1"/>
    <n v="24.384"/>
    <n v="23.33198062"/>
    <n v="23.33198062"/>
    <n v="1.0511190264632"/>
    <n v="24.383099646463201"/>
    <n v="0.27272727272727298"/>
    <n v="3.6666666666666701"/>
    <n v="0.64935064935064901"/>
    <n v="0"/>
    <n v="0"/>
    <n v="0"/>
    <n v="0.27272727272727298"/>
    <n v="3.6666666666666634"/>
  </r>
  <r>
    <n v="600202"/>
    <x v="7"/>
    <x v="0"/>
    <n v="2"/>
    <x v="0"/>
    <s v="Westmont / West Athens"/>
    <n v="0"/>
    <n v="0"/>
    <n v="30.335000000000001"/>
    <n v="22.228363089999998"/>
    <n v="29.228363089999998"/>
    <n v="1.1068010971095199"/>
    <n v="30.335164187109498"/>
    <n v="0.27272727272727298"/>
    <n v="0"/>
    <n v="0.64935064935064901"/>
    <n v="0"/>
    <n v="0"/>
    <n v="0"/>
    <n v="0.27272727272727298"/>
    <n v="0"/>
  </r>
  <r>
    <n v="621301"/>
    <x v="7"/>
    <x v="0"/>
    <n v="4"/>
    <x v="0"/>
    <s v="Redondo Beach"/>
    <n v="0"/>
    <n v="0"/>
    <n v="20.611000000000001"/>
    <n v="14.867327319999999"/>
    <n v="19.867327320000001"/>
    <n v="0.74463244667863604"/>
    <n v="20.611959766678599"/>
    <n v="0.27272727272727298"/>
    <n v="0"/>
    <n v="0.64935064935064901"/>
    <n v="0"/>
    <n v="0"/>
    <n v="0"/>
    <n v="0.27272727272727298"/>
    <n v="0"/>
  </r>
  <r>
    <n v="600304"/>
    <x v="7"/>
    <x v="0"/>
    <n v="2"/>
    <x v="0"/>
    <s v="Westmont / West Athens"/>
    <n v="1"/>
    <n v="1"/>
    <n v="30.943000000000001"/>
    <n v="10.59523935"/>
    <n v="30.59523935"/>
    <n v="0.34685911520646301"/>
    <n v="30.942098465206499"/>
    <n v="0.27272727272727298"/>
    <n v="3.6666666666666701"/>
    <n v="0.64935064935064901"/>
    <n v="0"/>
    <n v="0"/>
    <n v="0"/>
    <n v="0.27272727272727298"/>
    <n v="3.6666666666666634"/>
  </r>
  <r>
    <n v="600704"/>
    <x v="7"/>
    <x v="0"/>
    <n v="2"/>
    <x v="0"/>
    <s v="Inglewood"/>
    <n v="0"/>
    <n v="0"/>
    <n v="3"/>
    <n v="0"/>
    <n v="3"/>
    <n v="0"/>
    <n v="3"/>
    <n v="0.27272727272727298"/>
    <n v="0"/>
    <n v="0.64935064935064901"/>
    <n v="0"/>
    <n v="0"/>
    <n v="0"/>
    <n v="0.27272727272727298"/>
    <n v="0"/>
  </r>
  <r>
    <n v="600802"/>
    <x v="7"/>
    <x v="0"/>
    <n v="2"/>
    <x v="0"/>
    <s v="Inglewood"/>
    <n v="0"/>
    <n v="0"/>
    <n v="4.9029999999999996"/>
    <n v="3.7168318299999998"/>
    <n v="4.7168318300000003"/>
    <n v="0.18615811166965901"/>
    <n v="4.9029899416696603"/>
    <n v="0.27272727272727298"/>
    <n v="0"/>
    <n v="0.64935064935064901"/>
    <n v="0"/>
    <n v="0"/>
    <n v="0"/>
    <n v="0.27272727272727298"/>
    <n v="0"/>
  </r>
  <r>
    <n v="602301"/>
    <x v="7"/>
    <x v="0"/>
    <n v="2"/>
    <x v="0"/>
    <s v="Del Aire"/>
    <n v="1"/>
    <n v="1"/>
    <n v="22.792000000000002"/>
    <n v="17.745720460000001"/>
    <n v="21.745720460000001"/>
    <n v="1.0475364589587099"/>
    <n v="22.793256918958701"/>
    <n v="0.27272727272727298"/>
    <n v="3.6666666666666701"/>
    <n v="0.64935064935064901"/>
    <n v="0"/>
    <n v="0"/>
    <n v="0"/>
    <n v="0.27272727272727298"/>
    <n v="3.6666666666666634"/>
  </r>
  <r>
    <n v="600902"/>
    <x v="7"/>
    <x v="0"/>
    <n v="2"/>
    <x v="0"/>
    <s v="Inglewood"/>
    <n v="0"/>
    <n v="0"/>
    <n v="49.304000000000002"/>
    <n v="14.56086108"/>
    <n v="48.560861080000002"/>
    <n v="0.74378834456014398"/>
    <n v="49.304649424560097"/>
    <n v="0.27272727272727298"/>
    <n v="0"/>
    <n v="0.64935064935064901"/>
    <n v="0"/>
    <n v="0"/>
    <n v="0"/>
    <n v="0.27272727272727298"/>
    <n v="0"/>
  </r>
  <r>
    <n v="601001"/>
    <x v="7"/>
    <x v="0"/>
    <n v="2"/>
    <x v="0"/>
    <s v="Inglewood"/>
    <n v="0"/>
    <n v="0"/>
    <n v="5"/>
    <n v="0"/>
    <n v="5"/>
    <n v="0"/>
    <n v="5"/>
    <n v="0.27272727272727298"/>
    <n v="0"/>
    <n v="0.64935064935064901"/>
    <n v="0"/>
    <n v="0"/>
    <n v="0"/>
    <n v="0.27272727272727298"/>
    <n v="0"/>
  </r>
  <r>
    <n v="601100"/>
    <x v="7"/>
    <x v="0"/>
    <n v="2"/>
    <x v="0"/>
    <s v="Inglewood"/>
    <n v="0"/>
    <n v="0"/>
    <n v="15"/>
    <n v="0"/>
    <n v="15"/>
    <n v="0"/>
    <n v="15"/>
    <n v="0.27272727272727298"/>
    <n v="0"/>
    <n v="0.64935064935064901"/>
    <n v="0"/>
    <n v="0"/>
    <n v="0"/>
    <n v="0.27272727272727298"/>
    <n v="0"/>
  </r>
  <r>
    <n v="601212"/>
    <x v="7"/>
    <x v="0"/>
    <n v="2"/>
    <x v="0"/>
    <s v="Inglewood"/>
    <n v="0"/>
    <n v="0"/>
    <n v="10.423999999999999"/>
    <n v="5.1993965099999997"/>
    <n v="10.19939651"/>
    <n v="0.22495653086175901"/>
    <n v="10.424353040861799"/>
    <n v="0.27272727272727298"/>
    <n v="0"/>
    <n v="0.64935064935064901"/>
    <n v="0"/>
    <n v="0"/>
    <n v="0"/>
    <n v="0.27272727272727298"/>
    <n v="0"/>
  </r>
  <r>
    <n v="600702"/>
    <x v="7"/>
    <x v="0"/>
    <n v="2"/>
    <x v="0"/>
    <s v="Inglewood"/>
    <n v="0"/>
    <n v="0"/>
    <n v="0"/>
    <n v="0"/>
    <n v="0"/>
    <n v="0"/>
    <n v="0"/>
    <n v="0.27272727272727298"/>
    <n v="0"/>
    <n v="0.64935064935064901"/>
    <n v="0"/>
    <n v="0"/>
    <n v="0"/>
    <n v="0.27272727272727298"/>
    <n v="0"/>
  </r>
  <r>
    <n v="601502"/>
    <x v="7"/>
    <x v="0"/>
    <n v="2"/>
    <x v="0"/>
    <s v="Lennox"/>
    <n v="0"/>
    <n v="0"/>
    <n v="14.577999999999999"/>
    <n v="11.751253370000001"/>
    <n v="13.751253370000001"/>
    <n v="0.826672241759426"/>
    <n v="14.577925611759399"/>
    <n v="0.27272727272727298"/>
    <n v="0"/>
    <n v="0.64935064935064901"/>
    <n v="0"/>
    <n v="0"/>
    <n v="0"/>
    <n v="0.27272727272727298"/>
    <n v="0"/>
  </r>
  <r>
    <n v="601700"/>
    <x v="7"/>
    <x v="0"/>
    <n v="2"/>
    <x v="0"/>
    <s v="Lennox"/>
    <n v="1"/>
    <n v="1"/>
    <n v="73.266999999999996"/>
    <n v="50.205558879999998"/>
    <n v="70.205558879999998"/>
    <n v="3.06221698985637"/>
    <n v="73.267775869856393"/>
    <n v="0.27272727272727298"/>
    <n v="3.6666666666666701"/>
    <n v="0.64935064935064901"/>
    <n v="0"/>
    <n v="0"/>
    <n v="0"/>
    <n v="0.27272727272727298"/>
    <n v="3.6666666666666634"/>
  </r>
  <r>
    <n v="603101"/>
    <x v="7"/>
    <x v="0"/>
    <n v="2"/>
    <x v="0"/>
    <s v="Gardena"/>
    <n v="0"/>
    <n v="0"/>
    <n v="18.802"/>
    <n v="17.594775869999999"/>
    <n v="17.594775869999999"/>
    <n v="1.2071730924237001"/>
    <n v="18.801948962423701"/>
    <n v="0.27272727272727298"/>
    <n v="0"/>
    <n v="0.64935064935064901"/>
    <n v="0"/>
    <n v="0"/>
    <n v="0"/>
    <n v="0.27272727272727298"/>
    <n v="0"/>
  </r>
  <r>
    <n v="601801"/>
    <x v="7"/>
    <x v="0"/>
    <n v="2"/>
    <x v="0"/>
    <s v="Inglewood"/>
    <n v="0"/>
    <n v="0"/>
    <n v="19.251999999999999"/>
    <n v="11.71352115"/>
    <n v="18.713521149999998"/>
    <n v="0.53772391642728901"/>
    <n v="19.251245066427298"/>
    <n v="0.27272727272727298"/>
    <n v="0"/>
    <n v="0.64935064935064901"/>
    <n v="0"/>
    <n v="0"/>
    <n v="0"/>
    <n v="0.27272727272727298"/>
    <n v="0"/>
  </r>
  <r>
    <n v="600100"/>
    <x v="7"/>
    <x v="0"/>
    <n v="2"/>
    <x v="0"/>
    <s v="Westmont / West Athens"/>
    <n v="0"/>
    <n v="0"/>
    <n v="38.298000000000002"/>
    <n v="19.703839980000001"/>
    <n v="37.703839979999998"/>
    <n v="0.59513392784560104"/>
    <n v="38.2989739078456"/>
    <n v="0.27272727272727298"/>
    <n v="0"/>
    <n v="0.64935064935064901"/>
    <n v="0"/>
    <n v="0"/>
    <n v="0"/>
    <n v="0.27272727272727298"/>
    <n v="0"/>
  </r>
  <r>
    <n v="602105"/>
    <x v="7"/>
    <x v="0"/>
    <n v="2"/>
    <x v="0"/>
    <s v="Hawthorne"/>
    <n v="0"/>
    <n v="0"/>
    <n v="5.734"/>
    <n v="3.63801211"/>
    <n v="5.63801211"/>
    <n v="9.5610832369838403E-2"/>
    <n v="5.7336229423698404"/>
    <n v="0.27272727272727298"/>
    <n v="0"/>
    <n v="0.64935064935064901"/>
    <n v="0"/>
    <n v="0"/>
    <n v="0"/>
    <n v="0.27272727272727298"/>
    <n v="0"/>
  </r>
  <r>
    <n v="602402"/>
    <x v="7"/>
    <x v="0"/>
    <n v="2"/>
    <x v="0"/>
    <s v="Hawthorne"/>
    <n v="0"/>
    <n v="0"/>
    <n v="13.057"/>
    <n v="10.268688689999999"/>
    <n v="12.268688689999999"/>
    <n v="0.78787382256732497"/>
    <n v="13.0565625125673"/>
    <n v="0.27272727272727298"/>
    <n v="0"/>
    <n v="0.64935064935064901"/>
    <n v="0"/>
    <n v="0"/>
    <n v="0"/>
    <n v="0.27272727272727298"/>
    <n v="0"/>
  </r>
  <r>
    <n v="602404"/>
    <x v="7"/>
    <x v="0"/>
    <n v="2"/>
    <x v="0"/>
    <s v="Hawthorne"/>
    <n v="1"/>
    <n v="1"/>
    <n v="21.158000000000001"/>
    <n v="17.801975250000002"/>
    <n v="19.801975250000002"/>
    <n v="1.3560137704667901"/>
    <n v="21.1579890204668"/>
    <n v="0.27272727272727298"/>
    <n v="3.6666666666666701"/>
    <n v="0.64935064935064901"/>
    <n v="0"/>
    <n v="0"/>
    <n v="0"/>
    <n v="0.27272727272727298"/>
    <n v="3.6666666666666634"/>
  </r>
  <r>
    <n v="602600"/>
    <x v="7"/>
    <x v="0"/>
    <n v="2"/>
    <x v="0"/>
    <s v="Gardena"/>
    <n v="0"/>
    <n v="0"/>
    <n v="7.19"/>
    <n v="3.9673993200000002"/>
    <n v="6.9673993200000002"/>
    <n v="0.22234520276481101"/>
    <n v="7.1897445227648102"/>
    <n v="0.27272727272727298"/>
    <n v="0"/>
    <n v="0.64935064935064901"/>
    <n v="0"/>
    <n v="0"/>
    <n v="0"/>
    <n v="0.27272727272727298"/>
    <n v="0"/>
  </r>
  <r>
    <n v="543400"/>
    <x v="7"/>
    <x v="0"/>
    <n v="2"/>
    <x v="0"/>
    <s v="Carson"/>
    <n v="0"/>
    <n v="0"/>
    <n v="14.664"/>
    <n v="13.88589762"/>
    <n v="13.88589762"/>
    <n v="0.77820820967684001"/>
    <n v="14.664105829676799"/>
    <n v="0.27272727272727298"/>
    <n v="0"/>
    <n v="0.64935064935064901"/>
    <n v="0"/>
    <n v="0"/>
    <n v="0"/>
    <n v="0.27272727272727298"/>
    <n v="0"/>
  </r>
  <r>
    <n v="603802"/>
    <x v="7"/>
    <x v="0"/>
    <n v="2"/>
    <x v="0"/>
    <s v="Lawndale"/>
    <n v="0"/>
    <n v="0"/>
    <n v="0"/>
    <n v="0"/>
    <n v="0"/>
    <n v="0"/>
    <n v="0"/>
    <n v="0.27272727272727298"/>
    <n v="0"/>
    <n v="0.64935064935064901"/>
    <n v="0"/>
    <n v="0"/>
    <n v="0"/>
    <n v="0.27272727272727298"/>
    <n v="0"/>
  </r>
  <r>
    <n v="604001"/>
    <x v="7"/>
    <x v="0"/>
    <n v="2"/>
    <x v="0"/>
    <s v="Lawndale"/>
    <n v="1"/>
    <n v="1"/>
    <n v="9.702"/>
    <n v="7.6195197600000002"/>
    <n v="9.6195197599999993"/>
    <n v="8.2501288330341094E-2"/>
    <n v="9.7020210483303408"/>
    <n v="0.27272727272727298"/>
    <n v="3.6666666666666701"/>
    <n v="0.64935064935064901"/>
    <n v="0"/>
    <n v="0"/>
    <n v="0"/>
    <n v="0.27272727272727298"/>
    <n v="3.6666666666666634"/>
  </r>
  <r>
    <n v="604100"/>
    <x v="7"/>
    <x v="0"/>
    <n v="2"/>
    <x v="0"/>
    <s v="Lawndale"/>
    <n v="1"/>
    <n v="1"/>
    <n v="9"/>
    <n v="0"/>
    <n v="9"/>
    <n v="0"/>
    <n v="9"/>
    <n v="0.27272727272727298"/>
    <n v="3.6666666666666701"/>
    <n v="0.64935064935064901"/>
    <n v="0"/>
    <n v="0"/>
    <n v="0"/>
    <n v="0.27272727272727298"/>
    <n v="3.6666666666666634"/>
  </r>
  <r>
    <n v="620002"/>
    <x v="7"/>
    <x v="0"/>
    <n v="4"/>
    <x v="0"/>
    <s v="El Segundo"/>
    <n v="1"/>
    <n v="1"/>
    <n v="14.654999999999999"/>
    <n v="12.79689144"/>
    <n v="13.79689144"/>
    <n v="0.85876701919209997"/>
    <n v="14.6556584591921"/>
    <n v="0.27272727272727298"/>
    <n v="3.6666666666666701"/>
    <n v="0.64935064935064901"/>
    <n v="0"/>
    <n v="0"/>
    <n v="0"/>
    <n v="0.27272727272727298"/>
    <n v="3.6666666666666634"/>
  </r>
  <r>
    <n v="980002"/>
    <x v="7"/>
    <x v="0"/>
    <n v="2"/>
    <x v="0"/>
    <s v="Carson"/>
    <n v="0"/>
    <n v="0"/>
    <n v="0"/>
    <n v="0"/>
    <n v="0"/>
    <n v="0"/>
    <n v="0"/>
    <n v="0.27272727272727298"/>
    <n v="0"/>
    <n v="0.64935064935064901"/>
    <n v="0"/>
    <n v="0"/>
    <n v="0"/>
    <n v="0.27272727272727298"/>
    <n v="0"/>
  </r>
  <r>
    <n v="601600"/>
    <x v="7"/>
    <x v="0"/>
    <n v="2"/>
    <x v="0"/>
    <s v="Lennox"/>
    <n v="0"/>
    <n v="0"/>
    <n v="29.135000000000002"/>
    <n v="22.872489080000001"/>
    <n v="27.872489080000001"/>
    <n v="1.2623454169120301"/>
    <n v="29.134834496911999"/>
    <n v="0.27272727272727298"/>
    <n v="0"/>
    <n v="0.64935064935064901"/>
    <n v="0"/>
    <n v="0"/>
    <n v="0"/>
    <n v="0.27272727272727298"/>
    <n v="0"/>
  </r>
  <r>
    <n v="620501"/>
    <x v="7"/>
    <x v="0"/>
    <n v="4"/>
    <x v="0"/>
    <s v="Redondo Beach"/>
    <n v="1"/>
    <n v="1"/>
    <n v="37.994"/>
    <n v="29.324723039999999"/>
    <n v="36.324723040000002"/>
    <n v="1.6682374032495499"/>
    <n v="37.992960443249601"/>
    <n v="0.27272727272727298"/>
    <n v="3.6666666666666701"/>
    <n v="0.64935064935064901"/>
    <n v="0"/>
    <n v="0"/>
    <n v="0"/>
    <n v="0.27272727272727298"/>
    <n v="3.6666666666666634"/>
  </r>
  <r>
    <n v="620601"/>
    <x v="7"/>
    <x v="0"/>
    <n v="4"/>
    <x v="0"/>
    <s v="Redondo Beach"/>
    <n v="0"/>
    <n v="0"/>
    <n v="23.882000000000001"/>
    <n v="12.939882450000001"/>
    <n v="22.939882449999999"/>
    <n v="0.94193715680430901"/>
    <n v="23.881819606804299"/>
    <n v="0.27272727272727298"/>
    <n v="0"/>
    <n v="0.64935064935064901"/>
    <n v="0"/>
    <n v="0"/>
    <n v="0"/>
    <n v="0.27272727272727298"/>
    <n v="0"/>
  </r>
  <r>
    <n v="601002"/>
    <x v="7"/>
    <x v="0"/>
    <n v="2"/>
    <x v="0"/>
    <s v="Inglewood"/>
    <n v="1"/>
    <n v="1"/>
    <n v="37.56"/>
    <n v="21.472602420000001"/>
    <n v="36.472602420000001"/>
    <n v="1.0870763913285499"/>
    <n v="37.559678811328503"/>
    <n v="0.27272727272727298"/>
    <n v="3.6666666666666701"/>
    <n v="0.64935064935064901"/>
    <n v="0"/>
    <n v="0"/>
    <n v="0"/>
    <n v="0.27272727272727298"/>
    <n v="3.6666666666666634"/>
  </r>
  <r>
    <n v="600201"/>
    <x v="7"/>
    <x v="0"/>
    <n v="2"/>
    <x v="0"/>
    <s v="Westmont / West Athens"/>
    <n v="0"/>
    <n v="0"/>
    <n v="40.220999999999997"/>
    <n v="22.554913750000001"/>
    <n v="39.554913749999997"/>
    <n v="0.66578638974865301"/>
    <n v="40.220700139748701"/>
    <n v="0.27272727272727298"/>
    <n v="0"/>
    <n v="0.64935064935064901"/>
    <n v="0"/>
    <n v="0"/>
    <n v="0"/>
    <n v="0.27272727272727298"/>
    <n v="0"/>
  </r>
  <r>
    <n v="621201"/>
    <x v="7"/>
    <x v="0"/>
    <n v="4"/>
    <x v="0"/>
    <s v="Redondo Beach"/>
    <n v="0"/>
    <n v="0"/>
    <n v="13.082000000000001"/>
    <n v="12.29575646"/>
    <n v="12.29575646"/>
    <n v="0.78639283700179496"/>
    <n v="13.0821492970018"/>
    <n v="0.27272727272727298"/>
    <n v="0"/>
    <n v="0.64935064935064901"/>
    <n v="0"/>
    <n v="0"/>
    <n v="0"/>
    <n v="0.27272727272727298"/>
    <n v="0"/>
  </r>
  <r>
    <n v="621204"/>
    <x v="7"/>
    <x v="0"/>
    <n v="4"/>
    <x v="0"/>
    <s v="Redondo Beach"/>
    <n v="0"/>
    <n v="0"/>
    <n v="88.274000000000001"/>
    <n v="46.325435880000001"/>
    <n v="85.325435880000001"/>
    <n v="2.9479437809874298"/>
    <n v="88.273379660987402"/>
    <n v="0.27272727272727298"/>
    <n v="0"/>
    <n v="0.64935064935064901"/>
    <n v="0"/>
    <n v="0"/>
    <n v="0"/>
    <n v="0.27272727272727298"/>
    <n v="0"/>
  </r>
  <r>
    <n v="621326"/>
    <x v="7"/>
    <x v="0"/>
    <n v="4"/>
    <x v="0"/>
    <s v="Redondo Beach"/>
    <n v="1"/>
    <n v="1"/>
    <n v="14"/>
    <n v="0"/>
    <n v="14"/>
    <n v="0"/>
    <n v="14"/>
    <n v="0.27272727272727298"/>
    <n v="3.6666666666666701"/>
    <n v="0.64935064935064901"/>
    <n v="0"/>
    <n v="0"/>
    <n v="0"/>
    <n v="0.27272727272727298"/>
    <n v="3.6666666666666634"/>
  </r>
  <r>
    <n v="650300"/>
    <x v="7"/>
    <x v="0"/>
    <n v="4"/>
    <x v="0"/>
    <s v="Torrance"/>
    <n v="1"/>
    <n v="1"/>
    <n v="22.619"/>
    <n v="20.416914219999999"/>
    <n v="21.416914219999999"/>
    <n v="1.2015997931956901"/>
    <n v="22.6185140131957"/>
    <n v="0.27272727272727298"/>
    <n v="3.6666666666666701"/>
    <n v="0.64935064935064901"/>
    <n v="0"/>
    <n v="0"/>
    <n v="0"/>
    <n v="0.27272727272727298"/>
    <n v="3.6666666666666634"/>
  </r>
  <r>
    <n v="650401"/>
    <x v="7"/>
    <x v="0"/>
    <n v="4"/>
    <x v="0"/>
    <s v="Torrance"/>
    <n v="0"/>
    <n v="0"/>
    <n v="8.9979999999999993"/>
    <n v="5.7005314900000004"/>
    <n v="8.7005314899999995"/>
    <n v="0.29733071305206499"/>
    <n v="8.9978622030520601"/>
    <n v="0.27272727272727298"/>
    <n v="0"/>
    <n v="0.64935064935064901"/>
    <n v="0"/>
    <n v="0"/>
    <n v="0"/>
    <n v="0.27272727272727298"/>
    <n v="0"/>
  </r>
  <r>
    <n v="651102"/>
    <x v="7"/>
    <x v="0"/>
    <n v="4"/>
    <x v="0"/>
    <s v="Torrance"/>
    <n v="0"/>
    <n v="0"/>
    <n v="10.917999999999999"/>
    <n v="10.35542491"/>
    <n v="10.35542491"/>
    <n v="0.56256664867145401"/>
    <n v="10.917991558671501"/>
    <n v="0.27272727272727298"/>
    <n v="0"/>
    <n v="0.64935064935064901"/>
    <n v="0"/>
    <n v="0"/>
    <n v="0"/>
    <n v="0.27272727272727298"/>
    <n v="0"/>
  </r>
  <r>
    <n v="609900"/>
    <x v="7"/>
    <x v="15"/>
    <n v="4"/>
    <x v="0"/>
    <s v="La Rambla"/>
    <n v="0"/>
    <n v="0"/>
    <n v="23.222999999999999"/>
    <n v="20.195103490000001"/>
    <n v="22.195103490000001"/>
    <n v="1.02788237628366"/>
    <n v="23.2229858662837"/>
    <n v="0.27272727272727298"/>
    <n v="0"/>
    <n v="0.35064935064935099"/>
    <n v="0.84375"/>
    <n v="5.2631578947368397E-2"/>
    <n v="0"/>
    <n v="0.31100478468899545"/>
    <n v="0"/>
  </r>
  <r>
    <n v="291120"/>
    <x v="7"/>
    <x v="15"/>
    <n v="2"/>
    <x v="0"/>
    <s v="Harbor Gateway"/>
    <n v="0"/>
    <n v="0"/>
    <n v="25.995999999999999"/>
    <n v="22.384240779999999"/>
    <n v="24.384240779999999"/>
    <n v="1.61110213317774"/>
    <n v="25.995342913177701"/>
    <n v="0.27272727272727298"/>
    <n v="0"/>
    <n v="0.35064935064935099"/>
    <n v="0.84375"/>
    <n v="5.2631578947368397E-2"/>
    <n v="0"/>
    <n v="0.31100478468899545"/>
    <n v="0"/>
  </r>
  <r>
    <n v="291130"/>
    <x v="7"/>
    <x v="15"/>
    <n v="2"/>
    <x v="0"/>
    <s v="Harbor Gateway"/>
    <n v="1"/>
    <n v="1"/>
    <n v="5.19"/>
    <n v="3.9673993200000002"/>
    <n v="4.9673993200000002"/>
    <n v="0.22234520276481101"/>
    <n v="5.1897445227648102"/>
    <n v="0.27272727272727298"/>
    <n v="3.6666666666666701"/>
    <n v="0.35064935064935099"/>
    <n v="0.84375"/>
    <n v="0"/>
    <n v="0"/>
    <n v="0.27272727272727298"/>
    <n v="3.6666666666666634"/>
  </r>
  <r>
    <n v="291220"/>
    <x v="7"/>
    <x v="15"/>
    <n v="2"/>
    <x v="0"/>
    <s v="Harbor Gateway"/>
    <n v="0"/>
    <n v="0"/>
    <n v="8.3680000000000003"/>
    <n v="7.1538363900000004"/>
    <n v="8.1538363900000004"/>
    <n v="0.213327972387792"/>
    <n v="8.3671643623877898"/>
    <n v="0.27272727272727298"/>
    <n v="0"/>
    <n v="0.35064935064935099"/>
    <n v="0.84375"/>
    <n v="5.2631578947368397E-2"/>
    <n v="0"/>
    <n v="0.31100478468899545"/>
    <n v="0"/>
  </r>
  <r>
    <n v="291300"/>
    <x v="7"/>
    <x v="15"/>
    <n v="2"/>
    <x v="0"/>
    <s v="Harbor Gateway"/>
    <n v="0"/>
    <n v="0"/>
    <n v="65.119"/>
    <n v="53.004397570000002"/>
    <n v="64.004397569999995"/>
    <n v="1.1147636315439899"/>
    <n v="65.119161201544003"/>
    <n v="0.27272727272727298"/>
    <n v="0"/>
    <n v="0.35064935064935099"/>
    <n v="0.84375"/>
    <n v="5.2631578947368397E-2"/>
    <n v="0"/>
    <n v="0.31100478468899545"/>
    <n v="0"/>
  </r>
  <r>
    <n v="292000"/>
    <x v="7"/>
    <x v="15"/>
    <n v="4"/>
    <x v="0"/>
    <s v="Harbor Gateway"/>
    <n v="1"/>
    <n v="1"/>
    <n v="20.661999999999999"/>
    <n v="19.586429110000001"/>
    <n v="19.586429110000001"/>
    <n v="1.0755389227289001"/>
    <n v="20.6619680327289"/>
    <n v="0.27272727272727298"/>
    <n v="3.6666666666666701"/>
    <n v="0.35064935064935099"/>
    <n v="0.84375"/>
    <n v="0"/>
    <n v="0"/>
    <n v="0.27272727272727298"/>
    <n v="3.6666666666666634"/>
  </r>
  <r>
    <n v="293304"/>
    <x v="7"/>
    <x v="15"/>
    <n v="4"/>
    <x v="0"/>
    <s v="Harbor City"/>
    <n v="0"/>
    <n v="0"/>
    <n v="28.972000000000001"/>
    <n v="26.903540830000001"/>
    <n v="27.903540830000001"/>
    <n v="1.0683595414362701"/>
    <n v="28.971900371436298"/>
    <n v="0.27272727272727298"/>
    <n v="0"/>
    <n v="0.35064935064935099"/>
    <n v="0.84375"/>
    <n v="5.2631578947368397E-2"/>
    <n v="0"/>
    <n v="0.31100478468899545"/>
    <n v="0"/>
  </r>
  <r>
    <n v="294301"/>
    <x v="7"/>
    <x v="15"/>
    <n v="4"/>
    <x v="0"/>
    <s v="Wilmington"/>
    <n v="0"/>
    <n v="0"/>
    <n v="12.205"/>
    <n v="10.6059924"/>
    <n v="11.6059924"/>
    <n v="0.59875373976660695"/>
    <n v="12.2047461397666"/>
    <n v="0.27272727272727298"/>
    <n v="0"/>
    <n v="0.35064935064935099"/>
    <n v="0.84375"/>
    <n v="5.2631578947368397E-2"/>
    <n v="0"/>
    <n v="0.31100478468899545"/>
    <n v="0"/>
  </r>
  <r>
    <n v="294120"/>
    <x v="7"/>
    <x v="15"/>
    <n v="4"/>
    <x v="0"/>
    <s v="Wilmington"/>
    <n v="0"/>
    <n v="0"/>
    <n v="23.622"/>
    <n v="22.47893058"/>
    <n v="22.47893058"/>
    <n v="1.14298818820467"/>
    <n v="23.621918768204701"/>
    <n v="0.27272727272727298"/>
    <n v="0"/>
    <n v="0.35064935064935099"/>
    <n v="0.84375"/>
    <n v="5.2631578947368397E-2"/>
    <n v="0"/>
    <n v="0.31100478468899545"/>
    <n v="0"/>
  </r>
  <r>
    <n v="294410"/>
    <x v="7"/>
    <x v="15"/>
    <n v="4"/>
    <x v="0"/>
    <s v="Harbor City"/>
    <n v="0"/>
    <n v="0"/>
    <n v="42.677"/>
    <n v="26.225022190000001"/>
    <n v="41.225022189999997"/>
    <n v="1.4519474597307001"/>
    <n v="42.676969649730701"/>
    <n v="0.27272727272727298"/>
    <n v="0"/>
    <n v="0.35064935064935099"/>
    <n v="0.84375"/>
    <n v="5.2631578947368397E-2"/>
    <n v="0"/>
    <n v="0.31100478468899545"/>
    <n v="0"/>
  </r>
  <r>
    <n v="294421"/>
    <x v="7"/>
    <x v="15"/>
    <n v="4"/>
    <x v="0"/>
    <s v="Harbor City"/>
    <n v="0"/>
    <n v="0"/>
    <n v="27.777999999999999"/>
    <n v="25.45870837"/>
    <n v="26.45870837"/>
    <n v="1.3185094475763"/>
    <n v="27.7772178175763"/>
    <n v="0.27272727272727298"/>
    <n v="0"/>
    <n v="0.35064935064935099"/>
    <n v="0.84375"/>
    <n v="5.2631578947368397E-2"/>
    <n v="0"/>
    <n v="0.31100478468899545"/>
    <n v="0"/>
  </r>
  <r>
    <n v="294520"/>
    <x v="7"/>
    <x v="15"/>
    <n v="4"/>
    <x v="0"/>
    <s v="Wilmington"/>
    <n v="0"/>
    <n v="1"/>
    <n v="37.301000000000002"/>
    <n v="30.20530819"/>
    <n v="35.205308189999997"/>
    <n v="2.0954235609515299"/>
    <n v="37.300731750951499"/>
    <n v="0.27272727272727298"/>
    <n v="0"/>
    <n v="0.35064935064935099"/>
    <n v="0.84375"/>
    <n v="5.2631578947368397E-2"/>
    <n v="19"/>
    <n v="0.31100478468899545"/>
    <n v="3.2153846153846128"/>
  </r>
  <r>
    <n v="294620"/>
    <x v="7"/>
    <x v="15"/>
    <n v="4"/>
    <x v="0"/>
    <s v="Wilmington"/>
    <n v="0"/>
    <n v="0"/>
    <n v="68.376999999999995"/>
    <n v="60.177643639999999"/>
    <n v="65.177643639999999"/>
    <n v="3.19974464694794"/>
    <n v="68.377388286947905"/>
    <n v="0.27272727272727298"/>
    <n v="0"/>
    <n v="0.35064935064935099"/>
    <n v="0.84375"/>
    <n v="5.2631578947368397E-2"/>
    <n v="0"/>
    <n v="0.31100478468899545"/>
    <n v="0"/>
  </r>
  <r>
    <n v="294701"/>
    <x v="7"/>
    <x v="15"/>
    <n v="4"/>
    <x v="0"/>
    <s v="Wilmington"/>
    <n v="1"/>
    <n v="1"/>
    <n v="62.127000000000002"/>
    <n v="42.333893809999999"/>
    <n v="60.333893809999999"/>
    <n v="1.7922415695332099"/>
    <n v="62.126135379533203"/>
    <n v="0.27272727272727298"/>
    <n v="3.6666666666666701"/>
    <n v="0.35064935064935099"/>
    <n v="0.84375"/>
    <n v="0"/>
    <n v="0"/>
    <n v="0.27272727272727298"/>
    <n v="3.6666666666666634"/>
  </r>
  <r>
    <n v="294820"/>
    <x v="7"/>
    <x v="15"/>
    <n v="4"/>
    <x v="0"/>
    <s v="Wilmington"/>
    <n v="0"/>
    <n v="0"/>
    <n v="26.143000000000001"/>
    <n v="12.630779560000001"/>
    <n v="25.630779560000001"/>
    <n v="0.51152529511669698"/>
    <n v="26.142304855116699"/>
    <n v="0.27272727272727298"/>
    <n v="0"/>
    <n v="0.35064935064935099"/>
    <n v="0.84375"/>
    <n v="5.2631578947368397E-2"/>
    <n v="0"/>
    <n v="0.31100478468899545"/>
    <n v="0"/>
  </r>
  <r>
    <n v="980014"/>
    <x v="7"/>
    <x v="15"/>
    <n v="4"/>
    <x v="0"/>
    <s v="Wilmington"/>
    <n v="0"/>
    <n v="0"/>
    <n v="148.84399999999999"/>
    <n v="107.38708871"/>
    <n v="142.38708871"/>
    <n v="6.4578177981508098"/>
    <n v="148.84490650815101"/>
    <n v="0.27272727272727298"/>
    <n v="0"/>
    <n v="0.35064935064935099"/>
    <n v="0.84375"/>
    <n v="5.2631578947368397E-2"/>
    <n v="0"/>
    <n v="0.31100478468899545"/>
    <n v="0"/>
  </r>
  <r>
    <n v="294830"/>
    <x v="7"/>
    <x v="15"/>
    <n v="4"/>
    <x v="0"/>
    <s v="Wilmington"/>
    <n v="0"/>
    <n v="0"/>
    <n v="93.602000000000004"/>
    <n v="67.967868050000007"/>
    <n v="90.967868050000007"/>
    <n v="2.6341750936086199"/>
    <n v="93.602043143608597"/>
    <n v="0.27272727272727298"/>
    <n v="0"/>
    <n v="0.35064935064935099"/>
    <n v="0.84375"/>
    <n v="5.2631578947368397E-2"/>
    <n v="0"/>
    <n v="0.31100478468899545"/>
    <n v="0"/>
  </r>
  <r>
    <n v="295103"/>
    <x v="7"/>
    <x v="15"/>
    <n v="4"/>
    <x v="0"/>
    <s v="San Pedro"/>
    <n v="1"/>
    <n v="1"/>
    <n v="24.693000000000001"/>
    <n v="22.900705739999999"/>
    <n v="23.900705739999999"/>
    <n v="0.79143592330341095"/>
    <n v="24.692141663303399"/>
    <n v="0.27272727272727298"/>
    <n v="3.6666666666666701"/>
    <n v="0.35064935064935099"/>
    <n v="0.84375"/>
    <n v="0"/>
    <n v="0"/>
    <n v="0.27272727272727298"/>
    <n v="3.6666666666666634"/>
  </r>
  <r>
    <n v="296300"/>
    <x v="7"/>
    <x v="15"/>
    <n v="4"/>
    <x v="0"/>
    <s v="San Pedro"/>
    <n v="0"/>
    <n v="0"/>
    <n v="43.491999999999997"/>
    <n v="33.507741260000003"/>
    <n v="41.507741260000003"/>
    <n v="1.98390031653501"/>
    <n v="43.491641576535002"/>
    <n v="0.27272727272727298"/>
    <n v="0"/>
    <n v="0.35064935064935099"/>
    <n v="0.84375"/>
    <n v="5.2631578947368397E-2"/>
    <n v="0"/>
    <n v="0.31100478468899545"/>
    <n v="0"/>
  </r>
  <r>
    <n v="296402"/>
    <x v="7"/>
    <x v="15"/>
    <n v="4"/>
    <x v="0"/>
    <s v="San Pedro"/>
    <n v="0"/>
    <n v="0"/>
    <n v="9.3789999999999996"/>
    <n v="7.9347986400000003"/>
    <n v="8.9347986400000003"/>
    <n v="0.44469040552962302"/>
    <n v="9.3794890455296205"/>
    <n v="0.27272727272727298"/>
    <n v="0"/>
    <n v="0.35064935064935099"/>
    <n v="0.84375"/>
    <n v="5.2631578947368397E-2"/>
    <n v="0"/>
    <n v="0.31100478468899545"/>
    <n v="0"/>
  </r>
  <r>
    <n v="296500"/>
    <x v="7"/>
    <x v="15"/>
    <n v="4"/>
    <x v="0"/>
    <s v="San Pedro"/>
    <n v="0"/>
    <n v="0"/>
    <n v="15.75"/>
    <n v="14.780591100000001"/>
    <n v="14.780591100000001"/>
    <n v="0.969939620574506"/>
    <n v="15.750530720574501"/>
    <n v="0.27272727272727298"/>
    <n v="0"/>
    <n v="0.35064935064935099"/>
    <n v="0.84375"/>
    <n v="5.2631578947368397E-2"/>
    <n v="0"/>
    <n v="0.31100478468899545"/>
    <n v="0"/>
  </r>
  <r>
    <n v="297110"/>
    <x v="7"/>
    <x v="15"/>
    <n v="4"/>
    <x v="0"/>
    <s v="San Pedro"/>
    <n v="1"/>
    <n v="1"/>
    <n v="88.263999999999996"/>
    <n v="54.369188790000003"/>
    <n v="85.369188789999995"/>
    <n v="2.8947044770377"/>
    <n v="88.263893267037702"/>
    <n v="0.27272727272727298"/>
    <n v="3.6666666666666701"/>
    <n v="0.35064935064935099"/>
    <n v="0.84375"/>
    <n v="0"/>
    <n v="0"/>
    <n v="0.27272727272727298"/>
    <n v="3.6666666666666634"/>
  </r>
  <r>
    <n v="297120"/>
    <x v="7"/>
    <x v="15"/>
    <n v="4"/>
    <x v="0"/>
    <s v="San Pedro"/>
    <n v="1"/>
    <n v="1"/>
    <n v="21.574999999999999"/>
    <n v="17.45178486"/>
    <n v="20.45178486"/>
    <n v="1.12400295481149"/>
    <n v="21.575787814811498"/>
    <n v="0.27272727272727298"/>
    <n v="3.6666666666666701"/>
    <n v="0.35064935064935099"/>
    <n v="0.84375"/>
    <n v="0"/>
    <n v="0"/>
    <n v="0.27272727272727298"/>
    <n v="3.6666666666666634"/>
  </r>
  <r>
    <n v="296902"/>
    <x v="7"/>
    <x v="15"/>
    <n v="4"/>
    <x v="0"/>
    <s v="San Pedro"/>
    <n v="0"/>
    <n v="0"/>
    <n v="19.393000000000001"/>
    <n v="18.145470790000001"/>
    <n v="18.145470790000001"/>
    <n v="1.24729339405745"/>
    <n v="19.392764184057398"/>
    <n v="0.27272727272727298"/>
    <n v="0"/>
    <n v="0.35064935064935099"/>
    <n v="0.84375"/>
    <n v="5.2631578947368397E-2"/>
    <n v="0"/>
    <n v="0.31100478468899545"/>
    <n v="0"/>
  </r>
  <r>
    <n v="296220"/>
    <x v="7"/>
    <x v="15"/>
    <n v="4"/>
    <x v="0"/>
    <s v="San Pedro"/>
    <n v="1"/>
    <n v="1"/>
    <n v="41.12"/>
    <n v="30.234027869999998"/>
    <n v="39.234027869999998"/>
    <n v="1.8848455530161601"/>
    <n v="41.118873423016197"/>
    <n v="0.27272727272727298"/>
    <n v="3.6666666666666701"/>
    <n v="0.35064935064935099"/>
    <n v="0.84375"/>
    <n v="0"/>
    <n v="0"/>
    <n v="0.27272727272727298"/>
    <n v="3.6666666666666634"/>
  </r>
  <r>
    <n v="294810"/>
    <x v="7"/>
    <x v="15"/>
    <n v="4"/>
    <x v="0"/>
    <s v="Wilmington"/>
    <n v="1"/>
    <n v="1"/>
    <n v="24.707999999999998"/>
    <n v="21.58245951"/>
    <n v="23.58245951"/>
    <n v="1.12584080389587"/>
    <n v="24.708300313895901"/>
    <n v="0.27272727272727298"/>
    <n v="3.6666666666666701"/>
    <n v="0.35064935064935099"/>
    <n v="0.84375"/>
    <n v="0"/>
    <n v="0"/>
    <n v="0.27272727272727298"/>
    <n v="3.6666666666666634"/>
  </r>
  <r>
    <n v="294510"/>
    <x v="7"/>
    <x v="15"/>
    <n v="4"/>
    <x v="0"/>
    <s v="Wilmington"/>
    <n v="0"/>
    <n v="0"/>
    <n v="14.653"/>
    <n v="13.10493537"/>
    <n v="14.10493537"/>
    <n v="0.54684577653500899"/>
    <n v="14.651781146535001"/>
    <n v="0.27272727272727298"/>
    <n v="0"/>
    <n v="0.35064935064935099"/>
    <n v="0.84375"/>
    <n v="5.2631578947368397E-2"/>
    <n v="0"/>
    <n v="0.31100478468899545"/>
    <n v="0"/>
  </r>
  <r>
    <n v="601401"/>
    <x v="7"/>
    <x v="0"/>
    <n v="2"/>
    <x v="1"/>
    <s v="Inglewood"/>
    <n v="1"/>
    <n v="1"/>
    <n v="4.0209999999999999"/>
    <n v="3.8885795999999999"/>
    <n v="3.8885795999999999"/>
    <n v="3.13179792346499"/>
    <n v="7.0203775234649903"/>
    <n v="1"/>
    <n v="1"/>
    <n v="0"/>
    <n v="0"/>
    <n v="0"/>
    <n v="0"/>
    <n v="1"/>
    <n v="1"/>
  </r>
  <r>
    <n v="603006"/>
    <x v="7"/>
    <x v="0"/>
    <n v="2"/>
    <x v="1"/>
    <s v="Gardena"/>
    <n v="1"/>
    <n v="1"/>
    <n v="2"/>
    <n v="0"/>
    <n v="2"/>
    <n v="0"/>
    <n v="2"/>
    <n v="1"/>
    <n v="1"/>
    <n v="0"/>
    <n v="0"/>
    <n v="0"/>
    <n v="0"/>
    <n v="1"/>
    <n v="1"/>
  </r>
  <r>
    <n v="603301"/>
    <x v="7"/>
    <x v="0"/>
    <n v="2"/>
    <x v="1"/>
    <s v="Gardena"/>
    <n v="1"/>
    <n v="1"/>
    <n v="0"/>
    <n v="0"/>
    <n v="0"/>
    <n v="0"/>
    <n v="0"/>
    <n v="1"/>
    <n v="1"/>
    <n v="0"/>
    <n v="0"/>
    <n v="0"/>
    <n v="0"/>
    <n v="1"/>
    <n v="1"/>
  </r>
  <r>
    <n v="670416"/>
    <x v="7"/>
    <x v="0"/>
    <n v="4"/>
    <x v="1"/>
    <s v="Rancho Palos Verdes"/>
    <n v="1"/>
    <n v="1"/>
    <n v="0"/>
    <n v="0"/>
    <n v="0"/>
    <n v="0"/>
    <n v="0"/>
    <n v="1"/>
    <n v="1"/>
    <n v="0"/>
    <n v="0"/>
    <n v="0"/>
    <n v="0"/>
    <n v="1"/>
    <n v="1"/>
  </r>
  <r>
    <n v="296600"/>
    <x v="7"/>
    <x v="15"/>
    <n v="4"/>
    <x v="1"/>
    <s v="San Pedro"/>
    <n v="1"/>
    <n v="1"/>
    <n v="54.578000000000003"/>
    <n v="24.862883589999999"/>
    <n v="52.862883590000003"/>
    <n v="1.7142492103590701"/>
    <n v="54.577132800359102"/>
    <n v="1"/>
    <n v="1"/>
    <n v="0"/>
    <n v="0"/>
    <n v="0"/>
    <n v="0"/>
    <n v="1"/>
    <n v="1"/>
  </r>
  <r>
    <n v="620800"/>
    <x v="7"/>
    <x v="0"/>
    <n v="4"/>
    <x v="2"/>
    <s v="Manhattan Beach"/>
    <n v="0"/>
    <n v="0"/>
    <n v="0"/>
    <n v="0"/>
    <n v="0"/>
    <n v="0"/>
    <n v="0"/>
    <n v="6.8181818181818205E-2"/>
    <n v="0"/>
    <n v="0.88636363636363602"/>
    <n v="0"/>
    <n v="0"/>
    <n v="0"/>
    <n v="6.8181818181818205E-2"/>
    <n v="0"/>
  </r>
  <r>
    <n v="602200"/>
    <x v="7"/>
    <x v="0"/>
    <n v="2"/>
    <x v="2"/>
    <s v="Del Aire"/>
    <n v="0"/>
    <n v="0"/>
    <n v="9.19"/>
    <n v="3.9673993200000002"/>
    <n v="8.9673993200000002"/>
    <n v="0.22234520276481101"/>
    <n v="9.1897445227648102"/>
    <n v="6.8181818181818205E-2"/>
    <n v="0"/>
    <n v="0.88636363636363602"/>
    <n v="0"/>
    <n v="0"/>
    <n v="0"/>
    <n v="6.8181818181818205E-2"/>
    <n v="0"/>
  </r>
  <r>
    <n v="601900"/>
    <x v="7"/>
    <x v="0"/>
    <n v="2"/>
    <x v="2"/>
    <s v="Inglewood"/>
    <n v="0"/>
    <n v="0"/>
    <n v="0"/>
    <n v="0"/>
    <n v="0"/>
    <n v="0"/>
    <n v="0"/>
    <n v="6.8181818181818205E-2"/>
    <n v="0"/>
    <n v="0.88636363636363602"/>
    <n v="0"/>
    <n v="0"/>
    <n v="0"/>
    <n v="6.8181818181818205E-2"/>
    <n v="0"/>
  </r>
  <r>
    <n v="601202"/>
    <x v="7"/>
    <x v="0"/>
    <n v="2"/>
    <x v="2"/>
    <s v="Inglewood"/>
    <n v="0"/>
    <n v="0"/>
    <n v="13.475"/>
    <n v="5.9988813299999997"/>
    <n v="12.99888133"/>
    <n v="0.47584795017953302"/>
    <n v="13.474729280179499"/>
    <n v="6.8181818181818205E-2"/>
    <n v="0"/>
    <n v="0.88636363636363602"/>
    <n v="0"/>
    <n v="0"/>
    <n v="0"/>
    <n v="6.8181818181818205E-2"/>
    <n v="0"/>
  </r>
  <r>
    <n v="543801"/>
    <x v="7"/>
    <x v="0"/>
    <n v="2"/>
    <x v="2"/>
    <s v="Carson"/>
    <n v="0"/>
    <n v="0"/>
    <n v="9.327"/>
    <n v="8.91622834"/>
    <n v="8.91622834"/>
    <n v="0.411114642531418"/>
    <n v="9.3273429825314196"/>
    <n v="6.8181818181818205E-2"/>
    <n v="0"/>
    <n v="0.88636363636363602"/>
    <n v="0"/>
    <n v="0"/>
    <n v="0"/>
    <n v="6.8181818181818205E-2"/>
    <n v="0"/>
  </r>
  <r>
    <n v="599000"/>
    <x v="7"/>
    <x v="0"/>
    <n v="4"/>
    <x v="2"/>
    <s v="Avalon"/>
    <n v="1"/>
    <n v="1"/>
    <n v="6"/>
    <n v="0"/>
    <n v="6"/>
    <n v="0"/>
    <n v="6"/>
    <n v="6.8181818181818205E-2"/>
    <n v="14.6666666666667"/>
    <n v="0.88636363636363602"/>
    <n v="0"/>
    <n v="0"/>
    <n v="0"/>
    <n v="6.8181818181818205E-2"/>
    <n v="14.666666666666663"/>
  </r>
  <r>
    <n v="600400"/>
    <x v="7"/>
    <x v="0"/>
    <n v="2"/>
    <x v="2"/>
    <s v="Westmont / West Athens"/>
    <n v="0"/>
    <n v="0"/>
    <n v="10"/>
    <n v="0"/>
    <n v="10"/>
    <n v="0"/>
    <n v="10"/>
    <n v="6.8181818181818205E-2"/>
    <n v="0"/>
    <n v="0.88636363636363602"/>
    <n v="0"/>
    <n v="0"/>
    <n v="0"/>
    <n v="6.8181818181818205E-2"/>
    <n v="0"/>
  </r>
  <r>
    <n v="600601"/>
    <x v="7"/>
    <x v="0"/>
    <n v="2"/>
    <x v="2"/>
    <s v="Inglewood"/>
    <n v="0"/>
    <n v="0"/>
    <n v="8"/>
    <n v="0"/>
    <n v="8"/>
    <n v="0"/>
    <n v="8"/>
    <n v="6.8181818181818205E-2"/>
    <n v="0"/>
    <n v="0.88636363636363602"/>
    <n v="0"/>
    <n v="0"/>
    <n v="0"/>
    <n v="6.8181818181818205E-2"/>
    <n v="0"/>
  </r>
  <r>
    <n v="600602"/>
    <x v="7"/>
    <x v="0"/>
    <n v="2"/>
    <x v="2"/>
    <s v="Inglewood"/>
    <n v="0"/>
    <n v="0"/>
    <n v="7.0949999999999998"/>
    <n v="1.9836996600000001"/>
    <n v="6.9836996600000001"/>
    <n v="0.11117260138240601"/>
    <n v="7.0948722613824096"/>
    <n v="6.8181818181818205E-2"/>
    <n v="0"/>
    <n v="0.88636363636363602"/>
    <n v="0"/>
    <n v="0"/>
    <n v="0"/>
    <n v="6.8181818181818205E-2"/>
    <n v="0"/>
  </r>
  <r>
    <n v="600801"/>
    <x v="7"/>
    <x v="0"/>
    <n v="2"/>
    <x v="2"/>
    <s v="Inglewood"/>
    <n v="0"/>
    <n v="0"/>
    <n v="0"/>
    <n v="0"/>
    <n v="0"/>
    <n v="0"/>
    <n v="0"/>
    <n v="6.8181818181818205E-2"/>
    <n v="0"/>
    <n v="0.88636363636363602"/>
    <n v="0"/>
    <n v="0"/>
    <n v="0"/>
    <n v="6.8181818181818205E-2"/>
    <n v="0"/>
  </r>
  <r>
    <n v="601501"/>
    <x v="7"/>
    <x v="0"/>
    <n v="2"/>
    <x v="2"/>
    <s v="Lennox"/>
    <n v="0"/>
    <n v="0"/>
    <n v="20.265999999999998"/>
    <n v="9.4736181100000003"/>
    <n v="19.47361811"/>
    <n v="0.79196613622980205"/>
    <n v="20.2655842462298"/>
    <n v="6.8181818181818205E-2"/>
    <n v="0"/>
    <n v="0.88636363636363602"/>
    <n v="0"/>
    <n v="0"/>
    <n v="0"/>
    <n v="6.8181818181818205E-2"/>
    <n v="0"/>
  </r>
  <r>
    <n v="601802"/>
    <x v="7"/>
    <x v="0"/>
    <n v="2"/>
    <x v="2"/>
    <s v="Lennox"/>
    <n v="0"/>
    <n v="0"/>
    <n v="6.0949999999999998"/>
    <n v="1.9836996600000001"/>
    <n v="5.9836996600000001"/>
    <n v="0.11117260138240601"/>
    <n v="6.0948722613824096"/>
    <n v="6.8181818181818205E-2"/>
    <n v="0"/>
    <n v="0.88636363636363602"/>
    <n v="0"/>
    <n v="0"/>
    <n v="0"/>
    <n v="6.8181818181818205E-2"/>
    <n v="0"/>
  </r>
  <r>
    <n v="602004"/>
    <x v="7"/>
    <x v="0"/>
    <n v="2"/>
    <x v="2"/>
    <s v="Inglewood"/>
    <n v="0"/>
    <n v="0"/>
    <n v="0"/>
    <n v="0"/>
    <n v="0"/>
    <n v="0"/>
    <n v="0"/>
    <n v="6.8181818181818205E-2"/>
    <n v="0"/>
    <n v="0.88636363636363602"/>
    <n v="0"/>
    <n v="0"/>
    <n v="0"/>
    <n v="6.8181818181818205E-2"/>
    <n v="0"/>
  </r>
  <r>
    <n v="602103"/>
    <x v="7"/>
    <x v="0"/>
    <n v="2"/>
    <x v="2"/>
    <s v="Hawthorne"/>
    <n v="0"/>
    <n v="0"/>
    <n v="3"/>
    <n v="0"/>
    <n v="3"/>
    <n v="0"/>
    <n v="3"/>
    <n v="6.8181818181818205E-2"/>
    <n v="0"/>
    <n v="0.88636363636363602"/>
    <n v="0"/>
    <n v="0"/>
    <n v="0"/>
    <n v="6.8181818181818205E-2"/>
    <n v="0"/>
  </r>
  <r>
    <n v="602104"/>
    <x v="7"/>
    <x v="0"/>
    <n v="2"/>
    <x v="2"/>
    <s v="Hawthorne"/>
    <n v="0"/>
    <n v="0"/>
    <n v="1"/>
    <n v="0"/>
    <n v="1"/>
    <n v="0"/>
    <n v="1"/>
    <n v="6.8181818181818205E-2"/>
    <n v="0"/>
    <n v="0.88636363636363602"/>
    <n v="0"/>
    <n v="0"/>
    <n v="0"/>
    <n v="6.8181818181818205E-2"/>
    <n v="0"/>
  </r>
  <r>
    <n v="602505"/>
    <x v="7"/>
    <x v="0"/>
    <n v="2"/>
    <x v="2"/>
    <s v="Hawthorne"/>
    <n v="0"/>
    <n v="0"/>
    <n v="0"/>
    <n v="0"/>
    <n v="0"/>
    <n v="0"/>
    <n v="0"/>
    <n v="6.8181818181818205E-2"/>
    <n v="0"/>
    <n v="0.88636363636363602"/>
    <n v="0"/>
    <n v="0"/>
    <n v="0"/>
    <n v="6.8181818181818205E-2"/>
    <n v="0"/>
  </r>
  <r>
    <n v="602700"/>
    <x v="7"/>
    <x v="0"/>
    <n v="2"/>
    <x v="2"/>
    <s v="Hawthorne"/>
    <n v="0"/>
    <n v="0"/>
    <n v="6.399"/>
    <n v="3.1723287400000002"/>
    <n v="6.1723287400000002"/>
    <n v="0.22643751642728899"/>
    <n v="6.3987662564272902"/>
    <n v="6.8181818181818205E-2"/>
    <n v="0"/>
    <n v="0.88636363636363602"/>
    <n v="0"/>
    <n v="0"/>
    <n v="0"/>
    <n v="6.8181818181818205E-2"/>
    <n v="0"/>
  </r>
  <r>
    <n v="601211"/>
    <x v="7"/>
    <x v="0"/>
    <n v="2"/>
    <x v="2"/>
    <s v="Inglewood"/>
    <n v="0"/>
    <n v="0"/>
    <n v="6.5419999999999998"/>
    <n v="5.3711442800000002"/>
    <n v="6.3711442800000002"/>
    <n v="0.170596342657092"/>
    <n v="6.5417406226570902"/>
    <n v="6.8181818181818205E-2"/>
    <n v="0"/>
    <n v="0.88636363636363602"/>
    <n v="0"/>
    <n v="0"/>
    <n v="0"/>
    <n v="6.8181818181818205E-2"/>
    <n v="0"/>
  </r>
  <r>
    <n v="603600"/>
    <x v="7"/>
    <x v="0"/>
    <n v="2"/>
    <x v="2"/>
    <s v="Gardena"/>
    <n v="0"/>
    <n v="0"/>
    <n v="10.829000000000001"/>
    <n v="5.6217117700000001"/>
    <n v="10.621711769999999"/>
    <n v="0.20678343375224401"/>
    <n v="10.828495203752199"/>
    <n v="6.8181818181818205E-2"/>
    <n v="0"/>
    <n v="0.88636363636363602"/>
    <n v="0"/>
    <n v="0"/>
    <n v="0"/>
    <n v="6.8181818181818205E-2"/>
    <n v="0"/>
  </r>
  <r>
    <n v="620305"/>
    <x v="7"/>
    <x v="0"/>
    <n v="4"/>
    <x v="2"/>
    <s v="Manhattan Beach"/>
    <n v="0"/>
    <n v="0"/>
    <n v="0"/>
    <n v="0"/>
    <n v="0"/>
    <n v="0"/>
    <n v="0"/>
    <n v="6.8181818181818205E-2"/>
    <n v="0"/>
    <n v="0.88636363636363602"/>
    <n v="0"/>
    <n v="0"/>
    <n v="0"/>
    <n v="6.8181818181818205E-2"/>
    <n v="0"/>
  </r>
  <r>
    <n v="600502"/>
    <x v="7"/>
    <x v="0"/>
    <n v="2"/>
    <x v="2"/>
    <s v="Inglewood"/>
    <n v="0"/>
    <n v="0"/>
    <n v="0"/>
    <n v="0"/>
    <n v="0"/>
    <n v="0"/>
    <n v="0"/>
    <n v="6.8181818181818205E-2"/>
    <n v="0"/>
    <n v="0.88636363636363602"/>
    <n v="0"/>
    <n v="0"/>
    <n v="0"/>
    <n v="6.8181818181818205E-2"/>
    <n v="0"/>
  </r>
  <r>
    <n v="620521"/>
    <x v="7"/>
    <x v="0"/>
    <n v="4"/>
    <x v="2"/>
    <s v="Redondo Beach"/>
    <n v="0"/>
    <n v="0"/>
    <n v="16.466000000000001"/>
    <n v="8.8294921199999994"/>
    <n v="15.829492119999999"/>
    <n v="0.63642181642728901"/>
    <n v="16.465913936427299"/>
    <n v="6.8181818181818205E-2"/>
    <n v="0"/>
    <n v="0.88636363636363602"/>
    <n v="0"/>
    <n v="0"/>
    <n v="0"/>
    <n v="6.8181818181818205E-2"/>
    <n v="0"/>
  </r>
  <r>
    <n v="620602"/>
    <x v="7"/>
    <x v="0"/>
    <n v="4"/>
    <x v="2"/>
    <s v="Redondo Beach"/>
    <n v="0"/>
    <n v="0"/>
    <n v="5.181"/>
    <n v="2.87839314"/>
    <n v="4.87839314"/>
    <n v="0.30290401228007202"/>
    <n v="5.1812971522800702"/>
    <n v="6.8181818181818205E-2"/>
    <n v="0"/>
    <n v="0.88636363636363602"/>
    <n v="0"/>
    <n v="0"/>
    <n v="0"/>
    <n v="6.8181818181818205E-2"/>
    <n v="0"/>
  </r>
  <r>
    <n v="543503"/>
    <x v="7"/>
    <x v="0"/>
    <n v="2"/>
    <x v="2"/>
    <s v="West Carson"/>
    <n v="0"/>
    <n v="0"/>
    <n v="9.0950000000000006"/>
    <n v="1.9836996600000001"/>
    <n v="8.9836996599999992"/>
    <n v="0.11117260138240601"/>
    <n v="9.0948722613824007"/>
    <n v="6.8181818181818205E-2"/>
    <n v="0"/>
    <n v="0.88636363636363602"/>
    <n v="0"/>
    <n v="0"/>
    <n v="0"/>
    <n v="6.8181818181818205E-2"/>
    <n v="0"/>
  </r>
  <r>
    <n v="620702"/>
    <x v="7"/>
    <x v="0"/>
    <n v="4"/>
    <x v="2"/>
    <s v="Redondo Beach"/>
    <n v="1"/>
    <n v="1"/>
    <n v="3.903"/>
    <n v="3.7168318299999998"/>
    <n v="3.7168318299999998"/>
    <n v="0.18615811166965901"/>
    <n v="3.9029899416696598"/>
    <n v="6.8181818181818205E-2"/>
    <n v="14.6666666666667"/>
    <n v="0.88636363636363602"/>
    <n v="0"/>
    <n v="0"/>
    <n v="0"/>
    <n v="6.8181818181818205E-2"/>
    <n v="14.666666666666663"/>
  </r>
  <r>
    <n v="621002"/>
    <x v="7"/>
    <x v="0"/>
    <n v="4"/>
    <x v="2"/>
    <s v="Hermosa Beach"/>
    <n v="0"/>
    <n v="0"/>
    <n v="6"/>
    <n v="0"/>
    <n v="6"/>
    <n v="0"/>
    <n v="6"/>
    <n v="6.8181818181818205E-2"/>
    <n v="0"/>
    <n v="0.88636363636363602"/>
    <n v="0"/>
    <n v="0"/>
    <n v="0"/>
    <n v="6.8181818181818205E-2"/>
    <n v="0"/>
  </r>
  <r>
    <n v="621004"/>
    <x v="7"/>
    <x v="0"/>
    <n v="4"/>
    <x v="2"/>
    <s v="Hermosa Beach"/>
    <n v="0"/>
    <n v="0"/>
    <n v="2.9260000000000002"/>
    <n v="1.90487994"/>
    <n v="2.9048799399999998"/>
    <n v="2.0625322082585301E-2"/>
    <n v="2.9255052620825901"/>
    <n v="6.8181818181818205E-2"/>
    <n v="0"/>
    <n v="0.88636363636363602"/>
    <n v="0"/>
    <n v="0"/>
    <n v="0"/>
    <n v="6.8181818181818205E-2"/>
    <n v="0"/>
  </r>
  <r>
    <n v="621104"/>
    <x v="7"/>
    <x v="0"/>
    <n v="4"/>
    <x v="2"/>
    <s v="Hermosa Beach"/>
    <n v="0"/>
    <n v="0"/>
    <n v="4.0949999999999998"/>
    <n v="1.9836996600000001"/>
    <n v="3.9836996600000001"/>
    <n v="0.11117260138240601"/>
    <n v="4.0948722613824096"/>
    <n v="6.8181818181818205E-2"/>
    <n v="0"/>
    <n v="0.88636363636363602"/>
    <n v="0"/>
    <n v="0"/>
    <n v="0"/>
    <n v="6.8181818181818205E-2"/>
    <n v="0"/>
  </r>
  <r>
    <n v="621400"/>
    <x v="7"/>
    <x v="0"/>
    <n v="4"/>
    <x v="2"/>
    <s v="Redondo Beach"/>
    <n v="0"/>
    <n v="0"/>
    <n v="9.2850000000000001"/>
    <n v="5.9510989800000003"/>
    <n v="8.9510989799999994"/>
    <n v="0.33351780414721699"/>
    <n v="9.2846167841472198"/>
    <n v="6.8181818181818205E-2"/>
    <n v="0"/>
    <n v="0.88636363636363602"/>
    <n v="0"/>
    <n v="0"/>
    <n v="0"/>
    <n v="6.8181818181818205E-2"/>
    <n v="0"/>
  </r>
  <r>
    <n v="650200"/>
    <x v="7"/>
    <x v="0"/>
    <n v="4"/>
    <x v="2"/>
    <s v="Torrance"/>
    <n v="0"/>
    <n v="0"/>
    <n v="1"/>
    <n v="0"/>
    <n v="1"/>
    <n v="0"/>
    <n v="1"/>
    <n v="6.8181818181818205E-2"/>
    <n v="0"/>
    <n v="0.88636363636363602"/>
    <n v="0"/>
    <n v="0"/>
    <n v="0"/>
    <n v="6.8181818181818205E-2"/>
    <n v="0"/>
  </r>
  <r>
    <n v="650502"/>
    <x v="7"/>
    <x v="0"/>
    <n v="4"/>
    <x v="2"/>
    <s v="Torrance"/>
    <n v="0"/>
    <n v="0"/>
    <n v="0"/>
    <n v="0"/>
    <n v="0"/>
    <n v="0"/>
    <n v="0"/>
    <n v="6.8181818181818205E-2"/>
    <n v="0"/>
    <n v="0.88636363636363602"/>
    <n v="0"/>
    <n v="0"/>
    <n v="0"/>
    <n v="6.8181818181818205E-2"/>
    <n v="0"/>
  </r>
  <r>
    <n v="621324"/>
    <x v="7"/>
    <x v="0"/>
    <n v="4"/>
    <x v="2"/>
    <s v="Redondo Beach"/>
    <n v="0"/>
    <n v="0"/>
    <n v="10"/>
    <n v="0"/>
    <n v="10"/>
    <n v="0"/>
    <n v="10"/>
    <n v="6.8181818181818205E-2"/>
    <n v="0"/>
    <n v="0.88636363636363602"/>
    <n v="0"/>
    <n v="0"/>
    <n v="0"/>
    <n v="6.8181818181818205E-2"/>
    <n v="0"/>
  </r>
  <r>
    <n v="650603"/>
    <x v="7"/>
    <x v="0"/>
    <n v="4"/>
    <x v="2"/>
    <s v="Torrance"/>
    <n v="0"/>
    <n v="0"/>
    <n v="0"/>
    <n v="0"/>
    <n v="0"/>
    <n v="0"/>
    <n v="0"/>
    <n v="6.8181818181818205E-2"/>
    <n v="0"/>
    <n v="0.88636363636363602"/>
    <n v="0"/>
    <n v="0"/>
    <n v="0"/>
    <n v="6.8181818181818205E-2"/>
    <n v="0"/>
  </r>
  <r>
    <n v="650604"/>
    <x v="7"/>
    <x v="0"/>
    <n v="4"/>
    <x v="2"/>
    <s v="Torrance"/>
    <n v="0"/>
    <n v="0"/>
    <n v="0"/>
    <n v="0"/>
    <n v="0"/>
    <n v="0"/>
    <n v="0"/>
    <n v="6.8181818181818205E-2"/>
    <n v="0"/>
    <n v="0.88636363636363602"/>
    <n v="0"/>
    <n v="0"/>
    <n v="0"/>
    <n v="6.8181818181818205E-2"/>
    <n v="0"/>
  </r>
  <r>
    <n v="650701"/>
    <x v="7"/>
    <x v="0"/>
    <n v="4"/>
    <x v="2"/>
    <s v="Torrance"/>
    <n v="0"/>
    <n v="0"/>
    <n v="7.181"/>
    <n v="2.87839314"/>
    <n v="6.87839314"/>
    <n v="0.30290401228007202"/>
    <n v="7.1812971522800702"/>
    <n v="6.8181818181818205E-2"/>
    <n v="0"/>
    <n v="0.88636363636363602"/>
    <n v="0"/>
    <n v="0"/>
    <n v="0"/>
    <n v="6.8181818181818205E-2"/>
    <n v="0"/>
  </r>
  <r>
    <n v="650901"/>
    <x v="7"/>
    <x v="0"/>
    <n v="4"/>
    <x v="2"/>
    <s v="Torrance"/>
    <n v="1"/>
    <n v="1"/>
    <n v="0"/>
    <n v="0"/>
    <n v="0"/>
    <n v="0"/>
    <n v="0"/>
    <n v="6.8181818181818205E-2"/>
    <n v="14.6666666666667"/>
    <n v="0.88636363636363602"/>
    <n v="0"/>
    <n v="0"/>
    <n v="0"/>
    <n v="6.8181818181818205E-2"/>
    <n v="14.666666666666663"/>
  </r>
  <r>
    <n v="650902"/>
    <x v="7"/>
    <x v="0"/>
    <n v="4"/>
    <x v="2"/>
    <s v="Torrance"/>
    <n v="0"/>
    <n v="0"/>
    <n v="5.6859999999999999"/>
    <n v="3.4228962300000001"/>
    <n v="5.4228962300000001"/>
    <n v="0.26262460752244199"/>
    <n v="5.6855208375224402"/>
    <n v="6.8181818181818205E-2"/>
    <n v="0"/>
    <n v="0.88636363636363602"/>
    <n v="0"/>
    <n v="0"/>
    <n v="0"/>
    <n v="6.8181818181818205E-2"/>
    <n v="0"/>
  </r>
  <r>
    <n v="651304"/>
    <x v="7"/>
    <x v="0"/>
    <n v="4"/>
    <x v="2"/>
    <s v="Torrance"/>
    <n v="0"/>
    <n v="0"/>
    <n v="14.77"/>
    <n v="10.0181212"/>
    <n v="14.0181212"/>
    <n v="0.75168673147217202"/>
    <n v="14.769807931472201"/>
    <n v="6.8181818181818205E-2"/>
    <n v="0"/>
    <n v="0.88636363636363602"/>
    <n v="0"/>
    <n v="0"/>
    <n v="0"/>
    <n v="6.8181818181818205E-2"/>
    <n v="0"/>
  </r>
  <r>
    <n v="651402"/>
    <x v="7"/>
    <x v="0"/>
    <n v="4"/>
    <x v="2"/>
    <s v="Torrance"/>
    <n v="0"/>
    <n v="0"/>
    <n v="1.8080000000000001"/>
    <n v="1.73313217"/>
    <n v="1.73313217"/>
    <n v="7.4985510287253102E-2"/>
    <n v="1.8081176802872501"/>
    <n v="6.8181818181818205E-2"/>
    <n v="0"/>
    <n v="0.88636363636363602"/>
    <n v="0"/>
    <n v="0"/>
    <n v="0"/>
    <n v="6.8181818181818205E-2"/>
    <n v="0"/>
  </r>
  <r>
    <n v="980015"/>
    <x v="7"/>
    <x v="15"/>
    <n v="4"/>
    <x v="2"/>
    <s v="San Pedro"/>
    <n v="0"/>
    <n v="0"/>
    <n v="23.57"/>
    <n v="7.9825809899999998"/>
    <n v="22.982580989999999"/>
    <n v="0.587020551561939"/>
    <n v="23.569601541561902"/>
    <n v="6.8181818181818205E-2"/>
    <n v="0"/>
    <n v="0.11363636363636399"/>
    <n v="0.71428571428571397"/>
    <n v="0.2"/>
    <n v="0"/>
    <n v="0.25454545454545457"/>
    <n v="0"/>
  </r>
  <r>
    <n v="293202"/>
    <x v="7"/>
    <x v="15"/>
    <n v="4"/>
    <x v="2"/>
    <s v="Harbor Gateway"/>
    <n v="0"/>
    <n v="0"/>
    <n v="14.585000000000001"/>
    <n v="7.4477719899999997"/>
    <n v="14.44777199"/>
    <n v="0.13686147653500899"/>
    <n v="14.584633466534999"/>
    <n v="6.8181818181818205E-2"/>
    <n v="0"/>
    <n v="0.11363636363636399"/>
    <n v="0.71428571428571397"/>
    <n v="0.2"/>
    <n v="0"/>
    <n v="0.25454545454545457"/>
    <n v="0"/>
  </r>
  <r>
    <n v="294200"/>
    <x v="7"/>
    <x v="15"/>
    <n v="4"/>
    <x v="2"/>
    <s v="Wilmington"/>
    <n v="0"/>
    <n v="1"/>
    <n v="13"/>
    <n v="0"/>
    <n v="13"/>
    <n v="0"/>
    <n v="13"/>
    <n v="6.8181818181818205E-2"/>
    <n v="0"/>
    <n v="0.11363636363636399"/>
    <n v="0.71428571428571397"/>
    <n v="0.2"/>
    <n v="5"/>
    <n v="0.25454545454545457"/>
    <n v="3.9285714285714279"/>
  </r>
  <r>
    <n v="294302"/>
    <x v="7"/>
    <x v="15"/>
    <n v="4"/>
    <x v="2"/>
    <s v="Wilmington"/>
    <n v="0"/>
    <n v="0"/>
    <n v="10.19"/>
    <n v="3.9673993200000002"/>
    <n v="9.9673993200000002"/>
    <n v="0.22234520276481101"/>
    <n v="10.1897445227648"/>
    <n v="6.8181818181818205E-2"/>
    <n v="0"/>
    <n v="0.11363636363636399"/>
    <n v="0.71428571428571397"/>
    <n v="0.2"/>
    <n v="0"/>
    <n v="0.25454545454545457"/>
    <n v="0"/>
  </r>
  <r>
    <n v="297400"/>
    <x v="7"/>
    <x v="15"/>
    <n v="4"/>
    <x v="2"/>
    <s v="San Pedro"/>
    <n v="0"/>
    <n v="0"/>
    <n v="4.5910000000000002"/>
    <n v="1.43919657"/>
    <n v="4.43919657"/>
    <n v="0.15145200614003601"/>
    <n v="4.5906485761400404"/>
    <n v="6.8181818181818205E-2"/>
    <n v="0"/>
    <n v="0.11363636363636399"/>
    <n v="0.71428571428571397"/>
    <n v="0.2"/>
    <n v="0"/>
    <n v="0.25454545454545457"/>
    <n v="0"/>
  </r>
  <r>
    <n v="980025"/>
    <x v="7"/>
    <x v="0"/>
    <n v="2"/>
    <x v="3"/>
    <s v="Carson"/>
    <n v="0"/>
    <n v="0"/>
    <n v="7.5890000000000004"/>
    <n v="7.1397280600000004"/>
    <n v="7.1397280600000004"/>
    <n v="0.448782719192101"/>
    <n v="7.5885107791920996"/>
    <n v="3.3333333333333298E-2"/>
    <n v="0"/>
    <n v="0.82499999999999996"/>
    <n v="0"/>
    <n v="0"/>
    <n v="0"/>
    <n v="3.3333333333333298E-2"/>
    <n v="0"/>
  </r>
  <r>
    <n v="600703"/>
    <x v="7"/>
    <x v="0"/>
    <n v="2"/>
    <x v="3"/>
    <s v="Inglewood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3900"/>
    <x v="7"/>
    <x v="0"/>
    <n v="2"/>
    <x v="3"/>
    <s v="Lawndale"/>
    <n v="0"/>
    <n v="0"/>
    <n v="9.2850000000000001"/>
    <n v="5.9510989800000003"/>
    <n v="8.9510989799999994"/>
    <n v="0.33351780414721699"/>
    <n v="9.2846167841472198"/>
    <n v="3.3333333333333298E-2"/>
    <n v="0"/>
    <n v="0.82499999999999996"/>
    <n v="0"/>
    <n v="0"/>
    <n v="0"/>
    <n v="3.3333333333333298E-2"/>
    <n v="0"/>
  </r>
  <r>
    <n v="602509"/>
    <x v="7"/>
    <x v="0"/>
    <n v="2"/>
    <x v="3"/>
    <s v="Hawthorne"/>
    <n v="0"/>
    <n v="0"/>
    <n v="3.0950000000000002"/>
    <n v="1.9836996600000001"/>
    <n v="2.9836996600000001"/>
    <n v="0.11117260138240601"/>
    <n v="3.09487226138241"/>
    <n v="3.3333333333333298E-2"/>
    <n v="0"/>
    <n v="0.82499999999999996"/>
    <n v="0"/>
    <n v="0"/>
    <n v="0"/>
    <n v="3.3333333333333298E-2"/>
    <n v="0"/>
  </r>
  <r>
    <n v="603200"/>
    <x v="7"/>
    <x v="0"/>
    <n v="2"/>
    <x v="3"/>
    <s v="Gardena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20201"/>
    <x v="7"/>
    <x v="0"/>
    <n v="4"/>
    <x v="3"/>
    <s v="Manhattan Beach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980005"/>
    <x v="7"/>
    <x v="0"/>
    <n v="4"/>
    <x v="3"/>
    <s v="Torrance"/>
    <n v="0"/>
    <n v="0"/>
    <n v="9.1080000000000005"/>
    <n v="5.0438748599999998"/>
    <n v="9.0438748600000007"/>
    <n v="6.4475795278276501E-2"/>
    <n v="9.1083506552782794"/>
    <n v="3.3333333333333298E-2"/>
    <n v="0"/>
    <n v="0.82499999999999996"/>
    <n v="0"/>
    <n v="0"/>
    <n v="0"/>
    <n v="3.3333333333333298E-2"/>
    <n v="0"/>
  </r>
  <r>
    <n v="670407"/>
    <x v="7"/>
    <x v="0"/>
    <n v="4"/>
    <x v="3"/>
    <s v="Rancho Palos Verd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980030"/>
    <x v="7"/>
    <x v="0"/>
    <n v="4"/>
    <x v="3"/>
    <s v="El Segundo"/>
    <n v="0"/>
    <n v="0"/>
    <n v="1.7030000000000001"/>
    <n v="1.6812916200000001"/>
    <n v="1.6812916200000001"/>
    <n v="2.14919317594255E-2"/>
    <n v="1.7027835517594301"/>
    <n v="3.3333333333333298E-2"/>
    <n v="0"/>
    <n v="0.82499999999999996"/>
    <n v="0"/>
    <n v="0"/>
    <n v="0"/>
    <n v="3.3333333333333298E-2"/>
    <n v="0"/>
  </r>
  <r>
    <n v="543304"/>
    <x v="7"/>
    <x v="0"/>
    <n v="2"/>
    <x v="3"/>
    <s v="Carson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328"/>
    <x v="7"/>
    <x v="0"/>
    <n v="4"/>
    <x v="3"/>
    <s v="Palos Verdes Estat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3801"/>
    <x v="7"/>
    <x v="0"/>
    <n v="2"/>
    <x v="3"/>
    <s v="Lawndal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543321"/>
    <x v="7"/>
    <x v="0"/>
    <n v="2"/>
    <x v="3"/>
    <s v="Carson"/>
    <n v="0"/>
    <n v="0"/>
    <n v="10.474"/>
    <n v="9.9184982999999995"/>
    <n v="9.9184982999999995"/>
    <n v="0.55586300691202895"/>
    <n v="10.474361306912"/>
    <n v="3.3333333333333298E-2"/>
    <n v="0"/>
    <n v="0.82499999999999996"/>
    <n v="0"/>
    <n v="0"/>
    <n v="0"/>
    <n v="3.3333333333333298E-2"/>
    <n v="0"/>
  </r>
  <r>
    <n v="603500"/>
    <x v="7"/>
    <x v="0"/>
    <n v="2"/>
    <x v="3"/>
    <s v="Gardena"/>
    <n v="1"/>
    <n v="1"/>
    <n v="2"/>
    <n v="0"/>
    <n v="2"/>
    <n v="0"/>
    <n v="2"/>
    <n v="3.3333333333333298E-2"/>
    <n v="30"/>
    <n v="0.82499999999999996"/>
    <n v="0"/>
    <n v="0"/>
    <n v="0"/>
    <n v="3.3333333333333298E-2"/>
    <n v="30.000000000000032"/>
  </r>
  <r>
    <n v="543701"/>
    <x v="7"/>
    <x v="0"/>
    <n v="2"/>
    <x v="3"/>
    <s v="Carson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543802"/>
    <x v="7"/>
    <x v="0"/>
    <n v="2"/>
    <x v="3"/>
    <s v="Carson"/>
    <n v="0"/>
    <n v="0"/>
    <n v="2"/>
    <n v="0"/>
    <n v="2"/>
    <n v="0"/>
    <n v="2"/>
    <n v="3.3333333333333298E-2"/>
    <n v="0"/>
    <n v="0.82499999999999996"/>
    <n v="0"/>
    <n v="0"/>
    <n v="0"/>
    <n v="3.3333333333333298E-2"/>
    <n v="0"/>
  </r>
  <r>
    <n v="544002"/>
    <x v="7"/>
    <x v="0"/>
    <n v="4"/>
    <x v="3"/>
    <s v="Carson"/>
    <n v="0"/>
    <n v="0"/>
    <n v="1"/>
    <n v="0"/>
    <n v="1"/>
    <n v="0"/>
    <n v="1"/>
    <n v="3.3333333333333298E-2"/>
    <n v="0"/>
    <n v="0.82499999999999996"/>
    <n v="0"/>
    <n v="0"/>
    <n v="0"/>
    <n v="3.3333333333333298E-2"/>
    <n v="0"/>
  </r>
  <r>
    <n v="599100"/>
    <x v="7"/>
    <x v="0"/>
    <n v="4"/>
    <x v="3"/>
    <s v="Unincorporated Catalina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0302"/>
    <x v="7"/>
    <x v="0"/>
    <n v="2"/>
    <x v="3"/>
    <s v="Westmont / West Athen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0501"/>
    <x v="7"/>
    <x v="0"/>
    <n v="2"/>
    <x v="3"/>
    <s v="Inglewood"/>
    <n v="0"/>
    <n v="0"/>
    <n v="1"/>
    <n v="0"/>
    <n v="1"/>
    <n v="0"/>
    <n v="1"/>
    <n v="3.3333333333333298E-2"/>
    <n v="0"/>
    <n v="0.82499999999999996"/>
    <n v="0"/>
    <n v="0"/>
    <n v="0"/>
    <n v="3.3333333333333298E-2"/>
    <n v="0"/>
  </r>
  <r>
    <n v="600303"/>
    <x v="7"/>
    <x v="0"/>
    <n v="2"/>
    <x v="3"/>
    <s v="Westmont / West Athens"/>
    <n v="1"/>
    <n v="1"/>
    <n v="0"/>
    <n v="0"/>
    <n v="0"/>
    <n v="0"/>
    <n v="0"/>
    <n v="3.3333333333333298E-2"/>
    <n v="30"/>
    <n v="0.82499999999999996"/>
    <n v="0"/>
    <n v="0"/>
    <n v="0"/>
    <n v="3.3333333333333298E-2"/>
    <n v="30.000000000000032"/>
  </r>
  <r>
    <n v="602801"/>
    <x v="7"/>
    <x v="0"/>
    <n v="2"/>
    <x v="3"/>
    <s v="Westmont / West Athens"/>
    <n v="0"/>
    <n v="0"/>
    <n v="6.0949999999999998"/>
    <n v="1.9836996600000001"/>
    <n v="5.9836996600000001"/>
    <n v="0.11117260138240601"/>
    <n v="6.0948722613824096"/>
    <n v="3.3333333333333298E-2"/>
    <n v="0"/>
    <n v="0.82499999999999996"/>
    <n v="0"/>
    <n v="0"/>
    <n v="0"/>
    <n v="3.3333333333333298E-2"/>
    <n v="0"/>
  </r>
  <r>
    <n v="602506"/>
    <x v="7"/>
    <x v="0"/>
    <n v="2"/>
    <x v="3"/>
    <s v="Hawthorn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0911"/>
    <x v="7"/>
    <x v="0"/>
    <n v="2"/>
    <x v="3"/>
    <s v="Inglewood"/>
    <n v="0"/>
    <n v="0"/>
    <n v="1.8080000000000001"/>
    <n v="1.73313217"/>
    <n v="1.73313217"/>
    <n v="7.4985510287253102E-2"/>
    <n v="1.8081176802872501"/>
    <n v="3.3333333333333298E-2"/>
    <n v="0"/>
    <n v="0.82499999999999996"/>
    <n v="0"/>
    <n v="0"/>
    <n v="0"/>
    <n v="3.3333333333333298E-2"/>
    <n v="0"/>
  </r>
  <r>
    <n v="600912"/>
    <x v="7"/>
    <x v="0"/>
    <n v="2"/>
    <x v="3"/>
    <s v="Inglewood"/>
    <n v="0"/>
    <n v="0"/>
    <n v="8.1709999999999994"/>
    <n v="7.4899184500000002"/>
    <n v="7.4899184500000002"/>
    <n v="0.68079353484739702"/>
    <n v="8.1707119848474008"/>
    <n v="3.3333333333333298E-2"/>
    <n v="0"/>
    <n v="0.82499999999999996"/>
    <n v="0"/>
    <n v="0"/>
    <n v="0"/>
    <n v="3.3333333333333298E-2"/>
    <n v="0"/>
  </r>
  <r>
    <n v="601301"/>
    <x v="7"/>
    <x v="0"/>
    <n v="2"/>
    <x v="3"/>
    <s v="Inglewood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1303"/>
    <x v="7"/>
    <x v="0"/>
    <n v="2"/>
    <x v="3"/>
    <s v="Inglewood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543905"/>
    <x v="7"/>
    <x v="0"/>
    <n v="2"/>
    <x v="3"/>
    <s v="Carson"/>
    <n v="0"/>
    <n v="0"/>
    <n v="9.8490000000000002"/>
    <n v="9.5102913699999991"/>
    <n v="9.5102913699999991"/>
    <n v="0.33858135721723498"/>
    <n v="9.8488727272172394"/>
    <n v="3.3333333333333298E-2"/>
    <n v="0"/>
    <n v="0.82499999999999996"/>
    <n v="0"/>
    <n v="0"/>
    <n v="0"/>
    <n v="3.3333333333333298E-2"/>
    <n v="0"/>
  </r>
  <r>
    <n v="543601"/>
    <x v="7"/>
    <x v="0"/>
    <n v="2"/>
    <x v="3"/>
    <s v="Carson"/>
    <n v="0"/>
    <n v="0"/>
    <n v="9.8059999999999992"/>
    <n v="7.4336636599999997"/>
    <n v="9.4336636600000006"/>
    <n v="0.37231622333931802"/>
    <n v="9.8059798833393206"/>
    <n v="3.3333333333333298E-2"/>
    <n v="0"/>
    <n v="0.82499999999999996"/>
    <n v="0"/>
    <n v="0"/>
    <n v="0"/>
    <n v="3.3333333333333298E-2"/>
    <n v="0"/>
  </r>
  <r>
    <n v="601402"/>
    <x v="7"/>
    <x v="0"/>
    <n v="2"/>
    <x v="3"/>
    <s v="Inglewood"/>
    <n v="1"/>
    <n v="1"/>
    <n v="0"/>
    <n v="0"/>
    <n v="0"/>
    <n v="0"/>
    <n v="0"/>
    <n v="3.3333333333333298E-2"/>
    <n v="30"/>
    <n v="0.82499999999999996"/>
    <n v="0"/>
    <n v="0"/>
    <n v="0"/>
    <n v="3.3333333333333298E-2"/>
    <n v="30.000000000000032"/>
  </r>
  <r>
    <n v="602002"/>
    <x v="7"/>
    <x v="0"/>
    <n v="2"/>
    <x v="3"/>
    <s v="Hawthorne"/>
    <n v="0"/>
    <n v="0"/>
    <n v="2.0950000000000002"/>
    <n v="1.9836996600000001"/>
    <n v="1.9836996600000001"/>
    <n v="0.11117260138240601"/>
    <n v="2.09487226138241"/>
    <n v="3.3333333333333298E-2"/>
    <n v="0"/>
    <n v="0.82499999999999996"/>
    <n v="0"/>
    <n v="0"/>
    <n v="0"/>
    <n v="3.3333333333333298E-2"/>
    <n v="0"/>
  </r>
  <r>
    <n v="602106"/>
    <x v="7"/>
    <x v="0"/>
    <n v="2"/>
    <x v="3"/>
    <s v="Hawthorne"/>
    <n v="0"/>
    <n v="0"/>
    <n v="4"/>
    <n v="0"/>
    <n v="4"/>
    <n v="0"/>
    <n v="4"/>
    <n v="3.3333333333333298E-2"/>
    <n v="0"/>
    <n v="0.82499999999999996"/>
    <n v="0"/>
    <n v="0"/>
    <n v="0"/>
    <n v="3.3333333333333298E-2"/>
    <n v="0"/>
  </r>
  <r>
    <n v="651201"/>
    <x v="7"/>
    <x v="0"/>
    <n v="4"/>
    <x v="3"/>
    <s v="Torranc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2302"/>
    <x v="7"/>
    <x v="0"/>
    <n v="2"/>
    <x v="3"/>
    <s v="Hawthorne"/>
    <n v="0"/>
    <n v="0"/>
    <n v="1.9259999999999999"/>
    <n v="1.90487994"/>
    <n v="1.90487994"/>
    <n v="2.0625322082585301E-2"/>
    <n v="1.9255052620825901"/>
    <n v="3.3333333333333298E-2"/>
    <n v="0"/>
    <n v="0.82499999999999996"/>
    <n v="0"/>
    <n v="0"/>
    <n v="0"/>
    <n v="3.3333333333333298E-2"/>
    <n v="0"/>
  </r>
  <r>
    <n v="602403"/>
    <x v="7"/>
    <x v="0"/>
    <n v="2"/>
    <x v="3"/>
    <s v="Hawthorn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2504"/>
    <x v="7"/>
    <x v="0"/>
    <n v="2"/>
    <x v="3"/>
    <s v="Hawthorne"/>
    <n v="0"/>
    <n v="0"/>
    <n v="4.1900000000000004"/>
    <n v="3.9673993200000002"/>
    <n v="3.9673993200000002"/>
    <n v="0.22234520276481101"/>
    <n v="4.1897445227648102"/>
    <n v="3.3333333333333298E-2"/>
    <n v="0"/>
    <n v="0.82499999999999996"/>
    <n v="0"/>
    <n v="0"/>
    <n v="0"/>
    <n v="3.3333333333333298E-2"/>
    <n v="0"/>
  </r>
  <r>
    <n v="602507"/>
    <x v="7"/>
    <x v="0"/>
    <n v="2"/>
    <x v="3"/>
    <s v="Hawthorn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2003"/>
    <x v="7"/>
    <x v="0"/>
    <n v="2"/>
    <x v="3"/>
    <s v="Inglewood"/>
    <n v="0"/>
    <n v="0"/>
    <n v="1.9259999999999999"/>
    <n v="1.90487994"/>
    <n v="1.90487994"/>
    <n v="2.0625322082585301E-2"/>
    <n v="1.9255052620825901"/>
    <n v="3.3333333333333298E-2"/>
    <n v="0"/>
    <n v="0.82499999999999996"/>
    <n v="0"/>
    <n v="0"/>
    <n v="0"/>
    <n v="3.3333333333333298E-2"/>
    <n v="0"/>
  </r>
  <r>
    <n v="602508"/>
    <x v="7"/>
    <x v="0"/>
    <n v="2"/>
    <x v="3"/>
    <s v="Hawthorn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50605"/>
    <x v="7"/>
    <x v="0"/>
    <n v="4"/>
    <x v="3"/>
    <s v="Torrance"/>
    <n v="0"/>
    <n v="0"/>
    <n v="1.8080000000000001"/>
    <n v="1.73313217"/>
    <n v="1.73313217"/>
    <n v="7.4985510287253102E-2"/>
    <n v="1.8081176802872501"/>
    <n v="3.3333333333333298E-2"/>
    <n v="0"/>
    <n v="0.82499999999999996"/>
    <n v="0"/>
    <n v="0"/>
    <n v="0"/>
    <n v="3.3333333333333298E-2"/>
    <n v="0"/>
  </r>
  <r>
    <n v="603001"/>
    <x v="7"/>
    <x v="0"/>
    <n v="2"/>
    <x v="3"/>
    <s v="Gardena"/>
    <n v="0"/>
    <n v="0"/>
    <n v="3.9260000000000002"/>
    <n v="1.90487994"/>
    <n v="3.9048799399999998"/>
    <n v="2.0625322082585301E-2"/>
    <n v="3.9255052620825901"/>
    <n v="3.3333333333333298E-2"/>
    <n v="0"/>
    <n v="0.82499999999999996"/>
    <n v="0"/>
    <n v="0"/>
    <n v="0"/>
    <n v="3.3333333333333298E-2"/>
    <n v="0"/>
  </r>
  <r>
    <n v="602802"/>
    <x v="7"/>
    <x v="0"/>
    <n v="2"/>
    <x v="3"/>
    <s v="Westmont / West Athens"/>
    <n v="0"/>
    <n v="0"/>
    <n v="1"/>
    <n v="0"/>
    <n v="1"/>
    <n v="0"/>
    <n v="1"/>
    <n v="3.3333333333333298E-2"/>
    <n v="0"/>
    <n v="0.82499999999999996"/>
    <n v="0"/>
    <n v="0"/>
    <n v="0"/>
    <n v="3.3333333333333298E-2"/>
    <n v="0"/>
  </r>
  <r>
    <n v="602900"/>
    <x v="7"/>
    <x v="0"/>
    <n v="2"/>
    <x v="3"/>
    <s v="Gardena"/>
    <n v="0"/>
    <n v="0"/>
    <n v="10.093"/>
    <n v="7.6842311499999996"/>
    <n v="9.6842311500000005"/>
    <n v="0.40850331443447002"/>
    <n v="10.0927344644345"/>
    <n v="3.3333333333333298E-2"/>
    <n v="0"/>
    <n v="0.82499999999999996"/>
    <n v="0"/>
    <n v="0"/>
    <n v="0"/>
    <n v="3.3333333333333298E-2"/>
    <n v="0"/>
  </r>
  <r>
    <n v="603004"/>
    <x v="7"/>
    <x v="0"/>
    <n v="2"/>
    <x v="3"/>
    <s v="Gardena"/>
    <n v="0"/>
    <n v="0"/>
    <n v="4"/>
    <n v="0"/>
    <n v="4"/>
    <n v="0"/>
    <n v="4"/>
    <n v="3.3333333333333298E-2"/>
    <n v="0"/>
    <n v="0.82499999999999996"/>
    <n v="0"/>
    <n v="0"/>
    <n v="0"/>
    <n v="3.3333333333333298E-2"/>
    <n v="0"/>
  </r>
  <r>
    <n v="603005"/>
    <x v="7"/>
    <x v="0"/>
    <n v="2"/>
    <x v="3"/>
    <s v="Gardena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3102"/>
    <x v="7"/>
    <x v="0"/>
    <n v="2"/>
    <x v="3"/>
    <s v="Gardena"/>
    <n v="0"/>
    <n v="0"/>
    <n v="2"/>
    <n v="0"/>
    <n v="2"/>
    <n v="0"/>
    <n v="2"/>
    <n v="3.3333333333333298E-2"/>
    <n v="0"/>
    <n v="0.82499999999999996"/>
    <n v="0"/>
    <n v="0"/>
    <n v="0"/>
    <n v="3.3333333333333298E-2"/>
    <n v="0"/>
  </r>
  <r>
    <n v="603302"/>
    <x v="7"/>
    <x v="0"/>
    <n v="2"/>
    <x v="3"/>
    <s v="Gardena"/>
    <n v="0"/>
    <n v="0"/>
    <n v="8.3789999999999996"/>
    <n v="7.9347986400000003"/>
    <n v="7.9347986400000003"/>
    <n v="0.44469040552962302"/>
    <n v="8.3794890455296205"/>
    <n v="3.3333333333333298E-2"/>
    <n v="0"/>
    <n v="0.82499999999999996"/>
    <n v="0"/>
    <n v="0"/>
    <n v="0"/>
    <n v="3.3333333333333298E-2"/>
    <n v="0"/>
  </r>
  <r>
    <n v="670702"/>
    <x v="7"/>
    <x v="0"/>
    <n v="4"/>
    <x v="3"/>
    <s v="Rancho Palos Verd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3400"/>
    <x v="7"/>
    <x v="0"/>
    <n v="2"/>
    <x v="3"/>
    <s v="Gardena"/>
    <n v="0"/>
    <n v="0"/>
    <n v="2.0950000000000002"/>
    <n v="1.9836996600000001"/>
    <n v="1.9836996600000001"/>
    <n v="0.11117260138240601"/>
    <n v="2.09487226138241"/>
    <n v="3.3333333333333298E-2"/>
    <n v="0"/>
    <n v="0.82499999999999996"/>
    <n v="0"/>
    <n v="0"/>
    <n v="0"/>
    <n v="3.3333333333333298E-2"/>
    <n v="0"/>
  </r>
  <r>
    <n v="603702"/>
    <x v="7"/>
    <x v="0"/>
    <n v="2"/>
    <x v="3"/>
    <s v="Alondra Park"/>
    <n v="0"/>
    <n v="0"/>
    <n v="10.904999999999999"/>
    <n v="8.4482643599999996"/>
    <n v="10.44826436"/>
    <n v="0.45619386750448798"/>
    <n v="10.904458227504501"/>
    <n v="3.3333333333333298E-2"/>
    <n v="0"/>
    <n v="0.82499999999999996"/>
    <n v="0"/>
    <n v="0"/>
    <n v="0"/>
    <n v="3.3333333333333298E-2"/>
    <n v="0"/>
  </r>
  <r>
    <n v="603703"/>
    <x v="7"/>
    <x v="0"/>
    <n v="2"/>
    <x v="3"/>
    <s v="Hawthorne"/>
    <n v="0"/>
    <n v="0"/>
    <n v="3.0950000000000002"/>
    <n v="1.9836996600000001"/>
    <n v="2.9836996600000001"/>
    <n v="0.11117260138240601"/>
    <n v="3.09487226138241"/>
    <n v="3.3333333333333298E-2"/>
    <n v="0"/>
    <n v="0.82499999999999996"/>
    <n v="0"/>
    <n v="0"/>
    <n v="0"/>
    <n v="3.3333333333333298E-2"/>
    <n v="0"/>
  </r>
  <r>
    <n v="603704"/>
    <x v="7"/>
    <x v="0"/>
    <n v="2"/>
    <x v="3"/>
    <s v="Alondra Park"/>
    <n v="0"/>
    <n v="0"/>
    <n v="4"/>
    <n v="0"/>
    <n v="4"/>
    <n v="0"/>
    <n v="4"/>
    <n v="3.3333333333333298E-2"/>
    <n v="0"/>
    <n v="0.82499999999999996"/>
    <n v="0"/>
    <n v="0"/>
    <n v="0"/>
    <n v="3.3333333333333298E-2"/>
    <n v="0"/>
  </r>
  <r>
    <n v="604002"/>
    <x v="7"/>
    <x v="0"/>
    <n v="2"/>
    <x v="3"/>
    <s v="Lawndale"/>
    <n v="0"/>
    <n v="0"/>
    <n v="4.0949999999999998"/>
    <n v="1.9836996600000001"/>
    <n v="3.9836996600000001"/>
    <n v="0.11117260138240601"/>
    <n v="4.0948722613824096"/>
    <n v="3.3333333333333298E-2"/>
    <n v="0"/>
    <n v="0.82499999999999996"/>
    <n v="0"/>
    <n v="0"/>
    <n v="0"/>
    <n v="3.3333333333333298E-2"/>
    <n v="0"/>
  </r>
  <r>
    <n v="620001"/>
    <x v="7"/>
    <x v="0"/>
    <n v="4"/>
    <x v="3"/>
    <s v="El Segundo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20101"/>
    <x v="7"/>
    <x v="0"/>
    <n v="4"/>
    <x v="3"/>
    <s v="El Segundo"/>
    <n v="0"/>
    <n v="0"/>
    <n v="1.8080000000000001"/>
    <n v="1.73313217"/>
    <n v="1.73313217"/>
    <n v="7.4985510287253102E-2"/>
    <n v="1.8081176802872501"/>
    <n v="3.3333333333333298E-2"/>
    <n v="0"/>
    <n v="0.82499999999999996"/>
    <n v="0"/>
    <n v="0"/>
    <n v="0"/>
    <n v="3.3333333333333298E-2"/>
    <n v="0"/>
  </r>
  <r>
    <n v="620301"/>
    <x v="7"/>
    <x v="0"/>
    <n v="4"/>
    <x v="3"/>
    <s v="Manhattan Beach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20102"/>
    <x v="7"/>
    <x v="0"/>
    <n v="4"/>
    <x v="3"/>
    <s v="El Segundo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20400"/>
    <x v="7"/>
    <x v="0"/>
    <n v="4"/>
    <x v="3"/>
    <s v="Manhattan Beach"/>
    <n v="0"/>
    <n v="0"/>
    <n v="5.3250000000000002"/>
    <n v="5.07720868"/>
    <n v="5.07720868"/>
    <n v="0.24706283850987401"/>
    <n v="5.3242715185098701"/>
    <n v="3.3333333333333298E-2"/>
    <n v="0"/>
    <n v="0.82499999999999996"/>
    <n v="0"/>
    <n v="0"/>
    <n v="0"/>
    <n v="3.3333333333333298E-2"/>
    <n v="0"/>
  </r>
  <r>
    <n v="620522"/>
    <x v="7"/>
    <x v="0"/>
    <n v="4"/>
    <x v="3"/>
    <s v="Redondo Beach"/>
    <n v="0"/>
    <n v="0"/>
    <n v="8.19"/>
    <n v="3.9673993200000002"/>
    <n v="7.9673993200000002"/>
    <n v="0.22234520276481101"/>
    <n v="8.1897445227648102"/>
    <n v="3.3333333333333298E-2"/>
    <n v="0"/>
    <n v="0.82499999999999996"/>
    <n v="0"/>
    <n v="0"/>
    <n v="0"/>
    <n v="3.3333333333333298E-2"/>
    <n v="0"/>
  </r>
  <r>
    <n v="620901"/>
    <x v="7"/>
    <x v="0"/>
    <n v="4"/>
    <x v="3"/>
    <s v="Manhattan Beach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20904"/>
    <x v="7"/>
    <x v="0"/>
    <n v="4"/>
    <x v="3"/>
    <s v="Manhattan Beach"/>
    <n v="1"/>
    <n v="1"/>
    <n v="1"/>
    <n v="0"/>
    <n v="1"/>
    <n v="0"/>
    <n v="1"/>
    <n v="3.3333333333333298E-2"/>
    <n v="30"/>
    <n v="0.82499999999999996"/>
    <n v="0"/>
    <n v="0"/>
    <n v="0"/>
    <n v="3.3333333333333298E-2"/>
    <n v="30.000000000000032"/>
  </r>
  <r>
    <n v="621001"/>
    <x v="7"/>
    <x v="0"/>
    <n v="4"/>
    <x v="3"/>
    <s v="Hermosa Beach"/>
    <n v="0"/>
    <n v="0"/>
    <n v="1"/>
    <n v="0"/>
    <n v="1"/>
    <n v="0"/>
    <n v="1"/>
    <n v="3.3333333333333298E-2"/>
    <n v="0"/>
    <n v="0.82499999999999996"/>
    <n v="0"/>
    <n v="0"/>
    <n v="0"/>
    <n v="3.3333333333333298E-2"/>
    <n v="0"/>
  </r>
  <r>
    <n v="650001"/>
    <x v="7"/>
    <x v="0"/>
    <n v="4"/>
    <x v="3"/>
    <s v="Torranc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21102"/>
    <x v="7"/>
    <x v="0"/>
    <n v="4"/>
    <x v="3"/>
    <s v="Hermosa Beach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20701"/>
    <x v="7"/>
    <x v="0"/>
    <n v="4"/>
    <x v="3"/>
    <s v="Redondo Beach"/>
    <n v="0"/>
    <n v="0"/>
    <n v="9.9979999999999993"/>
    <n v="5.7005314900000004"/>
    <n v="9.7005314899999995"/>
    <n v="0.29733071305206499"/>
    <n v="9.9978622030520601"/>
    <n v="3.3333333333333298E-2"/>
    <n v="0"/>
    <n v="0.82499999999999996"/>
    <n v="0"/>
    <n v="0"/>
    <n v="0"/>
    <n v="3.3333333333333298E-2"/>
    <n v="0"/>
  </r>
  <r>
    <n v="620303"/>
    <x v="7"/>
    <x v="0"/>
    <n v="4"/>
    <x v="3"/>
    <s v="Manhattan Beach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50003"/>
    <x v="7"/>
    <x v="0"/>
    <n v="4"/>
    <x v="3"/>
    <s v="Torrance"/>
    <n v="0"/>
    <n v="0"/>
    <n v="2"/>
    <n v="0"/>
    <n v="2"/>
    <n v="0"/>
    <n v="2"/>
    <n v="3.3333333333333298E-2"/>
    <n v="0"/>
    <n v="0.82499999999999996"/>
    <n v="0"/>
    <n v="0"/>
    <n v="0"/>
    <n v="3.3333333333333298E-2"/>
    <n v="0"/>
  </r>
  <r>
    <n v="650101"/>
    <x v="7"/>
    <x v="0"/>
    <n v="4"/>
    <x v="3"/>
    <s v="Torrance"/>
    <n v="0"/>
    <n v="0"/>
    <n v="7.42"/>
    <n v="7.0609083400000001"/>
    <n v="7.0609083400000001"/>
    <n v="0.35823543989228002"/>
    <n v="7.4191437798922797"/>
    <n v="3.3333333333333298E-2"/>
    <n v="0"/>
    <n v="0.82499999999999996"/>
    <n v="0"/>
    <n v="0"/>
    <n v="0"/>
    <n v="3.3333333333333298E-2"/>
    <n v="0"/>
  </r>
  <r>
    <n v="650102"/>
    <x v="7"/>
    <x v="0"/>
    <n v="4"/>
    <x v="3"/>
    <s v="Torrance"/>
    <n v="0"/>
    <n v="0"/>
    <n v="4.4059999999999997"/>
    <n v="3.3625832400000002"/>
    <n v="4.3625832400000002"/>
    <n v="4.2983863518851001E-2"/>
    <n v="4.4055671035188499"/>
    <n v="3.3333333333333298E-2"/>
    <n v="0"/>
    <n v="0.82499999999999996"/>
    <n v="0"/>
    <n v="0"/>
    <n v="0"/>
    <n v="3.3333333333333298E-2"/>
    <n v="0"/>
  </r>
  <r>
    <n v="650501"/>
    <x v="7"/>
    <x v="0"/>
    <n v="4"/>
    <x v="3"/>
    <s v="Torrance"/>
    <n v="0"/>
    <n v="0"/>
    <n v="1"/>
    <n v="0"/>
    <n v="1"/>
    <n v="0"/>
    <n v="1"/>
    <n v="3.3333333333333298E-2"/>
    <n v="0"/>
    <n v="0.82499999999999996"/>
    <n v="0"/>
    <n v="0"/>
    <n v="0"/>
    <n v="3.3333333333333298E-2"/>
    <n v="0"/>
  </r>
  <r>
    <n v="650702"/>
    <x v="7"/>
    <x v="0"/>
    <n v="4"/>
    <x v="3"/>
    <s v="Torranc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50800"/>
    <x v="7"/>
    <x v="0"/>
    <n v="4"/>
    <x v="3"/>
    <s v="Torranc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51001"/>
    <x v="7"/>
    <x v="0"/>
    <n v="4"/>
    <x v="3"/>
    <s v="Torrance"/>
    <n v="0"/>
    <n v="0"/>
    <n v="1"/>
    <n v="0"/>
    <n v="1"/>
    <n v="0"/>
    <n v="1"/>
    <n v="3.3333333333333298E-2"/>
    <n v="0"/>
    <n v="0.82499999999999996"/>
    <n v="0"/>
    <n v="0"/>
    <n v="0"/>
    <n v="3.3333333333333298E-2"/>
    <n v="0"/>
  </r>
  <r>
    <n v="650602"/>
    <x v="7"/>
    <x v="0"/>
    <n v="4"/>
    <x v="3"/>
    <s v="Torrance"/>
    <n v="0"/>
    <n v="0"/>
    <n v="12.179"/>
    <n v="8.5789246299999995"/>
    <n v="11.578924629999999"/>
    <n v="0.60023472533213695"/>
    <n v="12.1791593553321"/>
    <n v="3.3333333333333298E-2"/>
    <n v="0"/>
    <n v="0.82499999999999996"/>
    <n v="0"/>
    <n v="0"/>
    <n v="0"/>
    <n v="3.3333333333333298E-2"/>
    <n v="0"/>
  </r>
  <r>
    <n v="650004"/>
    <x v="7"/>
    <x v="0"/>
    <n v="4"/>
    <x v="3"/>
    <s v="Torranc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51002"/>
    <x v="7"/>
    <x v="0"/>
    <n v="4"/>
    <x v="3"/>
    <s v="Torranc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51221"/>
    <x v="7"/>
    <x v="0"/>
    <n v="4"/>
    <x v="3"/>
    <s v="Torranc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51222"/>
    <x v="7"/>
    <x v="0"/>
    <n v="4"/>
    <x v="3"/>
    <s v="Torranc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51302"/>
    <x v="7"/>
    <x v="0"/>
    <n v="4"/>
    <x v="3"/>
    <s v="Torranc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51401"/>
    <x v="7"/>
    <x v="0"/>
    <n v="4"/>
    <x v="3"/>
    <s v="Torrance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001"/>
    <x v="7"/>
    <x v="0"/>
    <n v="4"/>
    <x v="3"/>
    <s v="Lomita"/>
    <n v="0"/>
    <n v="0"/>
    <n v="3.0950000000000002"/>
    <n v="1.9836996600000001"/>
    <n v="2.9836996600000001"/>
    <n v="0.11117260138240601"/>
    <n v="3.09487226138241"/>
    <n v="3.3333333333333298E-2"/>
    <n v="0"/>
    <n v="0.82499999999999996"/>
    <n v="0"/>
    <n v="0"/>
    <n v="0"/>
    <n v="3.3333333333333298E-2"/>
    <n v="0"/>
  </r>
  <r>
    <n v="670002"/>
    <x v="7"/>
    <x v="0"/>
    <n v="4"/>
    <x v="3"/>
    <s v="Lomita"/>
    <n v="0"/>
    <n v="0"/>
    <n v="10.901"/>
    <n v="9.4173633199999998"/>
    <n v="10.41736332"/>
    <n v="0.483488824721723"/>
    <n v="10.9008521447217"/>
    <n v="3.3333333333333298E-2"/>
    <n v="0"/>
    <n v="0.82499999999999996"/>
    <n v="0"/>
    <n v="0"/>
    <n v="0"/>
    <n v="3.3333333333333298E-2"/>
    <n v="0"/>
  </r>
  <r>
    <n v="670003"/>
    <x v="7"/>
    <x v="0"/>
    <n v="4"/>
    <x v="3"/>
    <s v="Lomita"/>
    <n v="0"/>
    <n v="0"/>
    <n v="2.5910000000000002"/>
    <n v="1.43919657"/>
    <n v="2.43919657"/>
    <n v="0.15145200614003601"/>
    <n v="2.59064857614004"/>
    <n v="3.3333333333333298E-2"/>
    <n v="0"/>
    <n v="0.82499999999999996"/>
    <n v="0"/>
    <n v="0"/>
    <n v="0"/>
    <n v="3.3333333333333298E-2"/>
    <n v="0"/>
  </r>
  <r>
    <n v="670100"/>
    <x v="7"/>
    <x v="0"/>
    <n v="4"/>
    <x v="3"/>
    <s v="Lomita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543702"/>
    <x v="7"/>
    <x v="0"/>
    <n v="2"/>
    <x v="3"/>
    <s v="Carson"/>
    <n v="0"/>
    <n v="0"/>
    <n v="4.851"/>
    <n v="3.8097598800000001"/>
    <n v="4.8097598799999997"/>
    <n v="4.1250644165170602E-2"/>
    <n v="4.8510105241651704"/>
    <n v="3.3333333333333298E-2"/>
    <n v="0"/>
    <n v="0.82499999999999996"/>
    <n v="0"/>
    <n v="0"/>
    <n v="0"/>
    <n v="3.3333333333333298E-2"/>
    <n v="0"/>
  </r>
  <r>
    <n v="670201"/>
    <x v="7"/>
    <x v="0"/>
    <n v="4"/>
    <x v="3"/>
    <s v="Rolling Hills Estat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202"/>
    <x v="7"/>
    <x v="0"/>
    <n v="4"/>
    <x v="3"/>
    <s v="Rolling Hills Estat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324"/>
    <x v="7"/>
    <x v="0"/>
    <n v="4"/>
    <x v="3"/>
    <s v="Palos Verdes Estat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326"/>
    <x v="7"/>
    <x v="0"/>
    <n v="4"/>
    <x v="3"/>
    <s v="Palos Verdes Estat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403"/>
    <x v="7"/>
    <x v="0"/>
    <n v="4"/>
    <x v="3"/>
    <s v="Rolling Hills Estat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405"/>
    <x v="7"/>
    <x v="0"/>
    <n v="4"/>
    <x v="3"/>
    <s v="Rancho Palos Verd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406"/>
    <x v="7"/>
    <x v="0"/>
    <n v="4"/>
    <x v="3"/>
    <s v="Rolling Hills Estat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411"/>
    <x v="7"/>
    <x v="0"/>
    <n v="4"/>
    <x v="3"/>
    <s v="Rancho Palos Verd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413"/>
    <x v="7"/>
    <x v="0"/>
    <n v="4"/>
    <x v="3"/>
    <s v="Rancho Palos Verd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70500"/>
    <x v="7"/>
    <x v="0"/>
    <n v="4"/>
    <x v="3"/>
    <s v="Rolling Hill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601302"/>
    <x v="7"/>
    <x v="0"/>
    <n v="2"/>
    <x v="3"/>
    <s v="Inglewood"/>
    <n v="0"/>
    <n v="0"/>
    <n v="8.7539999999999996"/>
    <n v="7.5265917099999999"/>
    <n v="8.5265917099999999"/>
    <n v="0.227408755834829"/>
    <n v="8.7540004658348298"/>
    <n v="3.3333333333333298E-2"/>
    <n v="0"/>
    <n v="0.82499999999999996"/>
    <n v="0"/>
    <n v="0"/>
    <n v="0"/>
    <n v="3.3333333333333298E-2"/>
    <n v="0"/>
  </r>
  <r>
    <n v="670602"/>
    <x v="7"/>
    <x v="0"/>
    <n v="4"/>
    <x v="3"/>
    <s v="Rancho Palos Verdes"/>
    <n v="0"/>
    <n v="0"/>
    <n v="0"/>
    <n v="0"/>
    <n v="0"/>
    <n v="0"/>
    <n v="0"/>
    <n v="3.3333333333333298E-2"/>
    <n v="0"/>
    <n v="0.82499999999999996"/>
    <n v="0"/>
    <n v="0"/>
    <n v="0"/>
    <n v="3.3333333333333298E-2"/>
    <n v="0"/>
  </r>
  <r>
    <n v="543306"/>
    <x v="7"/>
    <x v="0"/>
    <n v="2"/>
    <x v="3"/>
    <s v="Carson"/>
    <n v="0"/>
    <n v="0"/>
    <n v="10.474"/>
    <n v="9.9184982999999995"/>
    <n v="9.9184982999999995"/>
    <n v="0.55586300691202895"/>
    <n v="10.474361306912"/>
    <n v="3.3333333333333298E-2"/>
    <n v="0"/>
    <n v="0.82499999999999996"/>
    <n v="0"/>
    <n v="0"/>
    <n v="0"/>
    <n v="3.3333333333333298E-2"/>
    <n v="0"/>
  </r>
  <r>
    <n v="670701"/>
    <x v="7"/>
    <x v="0"/>
    <n v="4"/>
    <x v="3"/>
    <s v="Rancho Palos Verdes"/>
    <n v="0"/>
    <n v="0"/>
    <n v="2.0950000000000002"/>
    <n v="1.9836996600000001"/>
    <n v="1.9836996600000001"/>
    <n v="0.11117260138240601"/>
    <n v="2.09487226138241"/>
    <n v="3.3333333333333298E-2"/>
    <n v="0"/>
    <n v="0.82499999999999996"/>
    <n v="0"/>
    <n v="0"/>
    <n v="0"/>
    <n v="3.3333333333333298E-2"/>
    <n v="0"/>
  </r>
  <r>
    <n v="297602"/>
    <x v="7"/>
    <x v="15"/>
    <n v="4"/>
    <x v="3"/>
    <s v="San Pedro"/>
    <n v="0"/>
    <n v="0"/>
    <n v="1.8080000000000001"/>
    <n v="1.73313217"/>
    <n v="1.73313217"/>
    <n v="7.4985510287253102E-2"/>
    <n v="1.8081176802872501"/>
    <n v="3.3333333333333298E-2"/>
    <n v="0"/>
    <n v="0.17499999999999999"/>
    <n v="0.80769230769230804"/>
    <n v="4.7619047619047603E-2"/>
    <n v="0"/>
    <n v="7.9365079365079305E-2"/>
    <n v="0"/>
  </r>
  <r>
    <n v="297202"/>
    <x v="7"/>
    <x v="15"/>
    <n v="4"/>
    <x v="3"/>
    <s v="San Pedro"/>
    <n v="0"/>
    <n v="0"/>
    <n v="0"/>
    <n v="0"/>
    <n v="0"/>
    <n v="0"/>
    <n v="0"/>
    <n v="3.3333333333333298E-2"/>
    <n v="0"/>
    <n v="0.17499999999999999"/>
    <n v="0.80769230769230804"/>
    <n v="4.7619047619047603E-2"/>
    <n v="0"/>
    <n v="7.9365079365079305E-2"/>
    <n v="0"/>
  </r>
  <r>
    <n v="291110"/>
    <x v="7"/>
    <x v="15"/>
    <n v="2"/>
    <x v="3"/>
    <s v="Harbor Gateway"/>
    <n v="0"/>
    <n v="0"/>
    <n v="5.4420000000000002"/>
    <n v="5.2489564499999997"/>
    <n v="5.2489564499999997"/>
    <n v="0.192702650305207"/>
    <n v="5.4416591003052099"/>
    <n v="3.3333333333333298E-2"/>
    <n v="0"/>
    <n v="0.17499999999999999"/>
    <n v="0.80769230769230804"/>
    <n v="4.7619047619047603E-2"/>
    <n v="0"/>
    <n v="7.9365079365079305E-2"/>
    <n v="0"/>
  </r>
  <r>
    <n v="291210"/>
    <x v="7"/>
    <x v="15"/>
    <n v="2"/>
    <x v="3"/>
    <s v="Harbor Gateway"/>
    <n v="0"/>
    <n v="0"/>
    <n v="7.9459999999999997"/>
    <n v="5.7934595399999997"/>
    <n v="7.7934595399999997"/>
    <n v="0.152423245547576"/>
    <n v="7.94588278554758"/>
    <n v="3.3333333333333298E-2"/>
    <n v="0"/>
    <n v="0.17499999999999999"/>
    <n v="0.80769230769230804"/>
    <n v="4.7619047619047603E-2"/>
    <n v="0"/>
    <n v="7.9365079365079305E-2"/>
    <n v="0"/>
  </r>
  <r>
    <n v="293201"/>
    <x v="7"/>
    <x v="15"/>
    <n v="4"/>
    <x v="3"/>
    <s v="Harbor Gateway"/>
    <n v="0"/>
    <n v="0"/>
    <n v="10.462999999999999"/>
    <n v="9.1375360499999996"/>
    <n v="10.13753605"/>
    <n v="0.32450057377019698"/>
    <n v="10.462036623770199"/>
    <n v="3.3333333333333298E-2"/>
    <n v="0"/>
    <n v="0.17499999999999999"/>
    <n v="0.80769230769230804"/>
    <n v="4.7619047619047603E-2"/>
    <n v="0"/>
    <n v="7.9365079365079305E-2"/>
    <n v="0"/>
  </r>
  <r>
    <n v="293301"/>
    <x v="7"/>
    <x v="15"/>
    <n v="4"/>
    <x v="3"/>
    <s v="Harbor City"/>
    <n v="0"/>
    <n v="0"/>
    <n v="0"/>
    <n v="0"/>
    <n v="0"/>
    <n v="0"/>
    <n v="0"/>
    <n v="3.3333333333333298E-2"/>
    <n v="0"/>
    <n v="0.17499999999999999"/>
    <n v="0.80769230769230804"/>
    <n v="4.7619047619047603E-2"/>
    <n v="0"/>
    <n v="7.9365079365079305E-2"/>
    <n v="0"/>
  </r>
  <r>
    <n v="296401"/>
    <x v="7"/>
    <x v="15"/>
    <n v="4"/>
    <x v="3"/>
    <s v="San Pedro"/>
    <n v="0"/>
    <n v="0"/>
    <n v="1.8080000000000001"/>
    <n v="1.73313217"/>
    <n v="1.73313217"/>
    <n v="7.4985510287253102E-2"/>
    <n v="1.8081176802872501"/>
    <n v="3.3333333333333298E-2"/>
    <n v="0"/>
    <n v="0.17499999999999999"/>
    <n v="0.80769230769230804"/>
    <n v="4.7619047619047603E-2"/>
    <n v="0"/>
    <n v="7.9365079365079305E-2"/>
    <n v="0"/>
  </r>
  <r>
    <n v="293302"/>
    <x v="7"/>
    <x v="15"/>
    <n v="4"/>
    <x v="3"/>
    <s v="Harbor City"/>
    <n v="0"/>
    <n v="0"/>
    <n v="0"/>
    <n v="0"/>
    <n v="0"/>
    <n v="0"/>
    <n v="0"/>
    <n v="3.3333333333333298E-2"/>
    <n v="0"/>
    <n v="0.17499999999999999"/>
    <n v="0.80769230769230804"/>
    <n v="4.7619047619047603E-2"/>
    <n v="0"/>
    <n v="7.9365079365079305E-2"/>
    <n v="0"/>
  </r>
  <r>
    <n v="293306"/>
    <x v="7"/>
    <x v="15"/>
    <n v="4"/>
    <x v="3"/>
    <s v="Harbor City"/>
    <n v="0"/>
    <n v="0"/>
    <n v="0"/>
    <n v="0"/>
    <n v="0"/>
    <n v="0"/>
    <n v="0"/>
    <n v="3.3333333333333298E-2"/>
    <n v="0"/>
    <n v="0.17499999999999999"/>
    <n v="0.80769230769230804"/>
    <n v="4.7619047619047603E-2"/>
    <n v="0"/>
    <n v="7.9365079365079305E-2"/>
    <n v="0"/>
  </r>
  <r>
    <n v="293307"/>
    <x v="7"/>
    <x v="15"/>
    <n v="4"/>
    <x v="3"/>
    <s v="Harbor City"/>
    <n v="0"/>
    <n v="0"/>
    <n v="10.952999999999999"/>
    <n v="8.6633802400000004"/>
    <n v="10.66338024"/>
    <n v="0.28918009235188502"/>
    <n v="10.952560332351901"/>
    <n v="3.3333333333333298E-2"/>
    <n v="0"/>
    <n v="0.17499999999999999"/>
    <n v="0.80769230769230804"/>
    <n v="4.7619047619047603E-2"/>
    <n v="0"/>
    <n v="7.9365079365079305E-2"/>
    <n v="0"/>
  </r>
  <r>
    <n v="294110"/>
    <x v="7"/>
    <x v="15"/>
    <n v="4"/>
    <x v="3"/>
    <s v="Wilmington"/>
    <n v="0"/>
    <n v="0"/>
    <n v="1"/>
    <n v="0"/>
    <n v="1"/>
    <n v="0"/>
    <n v="1"/>
    <n v="3.3333333333333298E-2"/>
    <n v="0"/>
    <n v="0.17499999999999999"/>
    <n v="0.80769230769230804"/>
    <n v="4.7619047619047603E-2"/>
    <n v="0"/>
    <n v="7.9365079365079305E-2"/>
    <n v="0"/>
  </r>
  <r>
    <n v="294610"/>
    <x v="7"/>
    <x v="15"/>
    <n v="4"/>
    <x v="3"/>
    <s v="Wilmington"/>
    <n v="0"/>
    <n v="0"/>
    <n v="8.9979999999999993"/>
    <n v="5.7005314900000004"/>
    <n v="8.7005314899999995"/>
    <n v="0.29733071305206499"/>
    <n v="8.9978622030520601"/>
    <n v="3.3333333333333298E-2"/>
    <n v="0"/>
    <n v="0.17499999999999999"/>
    <n v="0.80769230769230804"/>
    <n v="4.7619047619047603E-2"/>
    <n v="0"/>
    <n v="7.9365079365079305E-2"/>
    <n v="0"/>
  </r>
  <r>
    <n v="294900"/>
    <x v="7"/>
    <x v="15"/>
    <n v="4"/>
    <x v="3"/>
    <s v="Wilmington"/>
    <n v="0"/>
    <n v="1"/>
    <n v="3.0950000000000002"/>
    <n v="1.9836996600000001"/>
    <n v="2.9836996600000001"/>
    <n v="0.11117260138240601"/>
    <n v="3.09487226138241"/>
    <n v="3.3333333333333298E-2"/>
    <n v="0"/>
    <n v="0.17499999999999999"/>
    <n v="0.80769230769230804"/>
    <n v="4.7619047619047603E-2"/>
    <n v="21"/>
    <n v="7.9365079365079305E-2"/>
    <n v="12.60000000000001"/>
  </r>
  <r>
    <n v="296210"/>
    <x v="7"/>
    <x v="15"/>
    <n v="4"/>
    <x v="3"/>
    <s v="San Pedro"/>
    <n v="0"/>
    <n v="0"/>
    <n v="13.77"/>
    <n v="10.0181212"/>
    <n v="13.0181212"/>
    <n v="0.75168673147217202"/>
    <n v="13.769807931472201"/>
    <n v="3.3333333333333298E-2"/>
    <n v="0"/>
    <n v="0.17499999999999999"/>
    <n v="0.80769230769230804"/>
    <n v="4.7619047619047603E-2"/>
    <n v="0"/>
    <n v="7.9365079365079305E-2"/>
    <n v="0"/>
  </r>
  <r>
    <n v="296901"/>
    <x v="7"/>
    <x v="15"/>
    <n v="4"/>
    <x v="3"/>
    <s v="San Pedro"/>
    <n v="0"/>
    <n v="0"/>
    <n v="0"/>
    <n v="0"/>
    <n v="0"/>
    <n v="0"/>
    <n v="0"/>
    <n v="3.3333333333333298E-2"/>
    <n v="0"/>
    <n v="0.17499999999999999"/>
    <n v="0.80769230769230804"/>
    <n v="4.7619047619047603E-2"/>
    <n v="0"/>
    <n v="7.9365079365079305E-2"/>
    <n v="0"/>
  </r>
  <r>
    <n v="297000"/>
    <x v="7"/>
    <x v="15"/>
    <n v="4"/>
    <x v="3"/>
    <s v="San Pedro"/>
    <n v="0"/>
    <n v="0"/>
    <n v="0"/>
    <n v="0"/>
    <n v="0"/>
    <n v="0"/>
    <n v="0"/>
    <n v="3.3333333333333298E-2"/>
    <n v="0"/>
    <n v="0.17499999999999999"/>
    <n v="0.80769230769230804"/>
    <n v="4.7619047619047603E-2"/>
    <n v="0"/>
    <n v="7.9365079365079305E-2"/>
    <n v="0"/>
  </r>
  <r>
    <n v="297201"/>
    <x v="7"/>
    <x v="15"/>
    <n v="4"/>
    <x v="3"/>
    <s v="San Pedro"/>
    <n v="0"/>
    <n v="0"/>
    <n v="4"/>
    <n v="0"/>
    <n v="4"/>
    <n v="0"/>
    <n v="4"/>
    <n v="3.3333333333333298E-2"/>
    <n v="0"/>
    <n v="0.17499999999999999"/>
    <n v="0.80769230769230804"/>
    <n v="4.7619047619047603E-2"/>
    <n v="0"/>
    <n v="7.9365079365079305E-2"/>
    <n v="0"/>
  </r>
  <r>
    <n v="297300"/>
    <x v="7"/>
    <x v="15"/>
    <n v="4"/>
    <x v="3"/>
    <s v="San Pedro"/>
    <n v="0"/>
    <n v="0"/>
    <n v="0"/>
    <n v="0"/>
    <n v="0"/>
    <n v="0"/>
    <n v="0"/>
    <n v="3.3333333333333298E-2"/>
    <n v="0"/>
    <n v="0.17499999999999999"/>
    <n v="0.80769230769230804"/>
    <n v="4.7619047619047603E-2"/>
    <n v="0"/>
    <n v="7.9365079365079305E-2"/>
    <n v="0"/>
  </r>
  <r>
    <n v="297500"/>
    <x v="7"/>
    <x v="15"/>
    <n v="4"/>
    <x v="3"/>
    <s v="San Pedro"/>
    <n v="0"/>
    <n v="0"/>
    <n v="8.3789999999999996"/>
    <n v="7.9347986400000003"/>
    <n v="7.9347986400000003"/>
    <n v="0.44469040552962302"/>
    <n v="8.3794890455296205"/>
    <n v="3.3333333333333298E-2"/>
    <n v="0"/>
    <n v="0.17499999999999999"/>
    <n v="0.80769230769230804"/>
    <n v="4.7619047619047603E-2"/>
    <n v="0"/>
    <n v="7.9365079365079305E-2"/>
    <n v="0"/>
  </r>
  <r>
    <n v="297601"/>
    <x v="7"/>
    <x v="15"/>
    <n v="4"/>
    <x v="3"/>
    <s v="San Pedro"/>
    <n v="0"/>
    <n v="0"/>
    <n v="5.19"/>
    <n v="3.9673993200000002"/>
    <n v="4.9673993200000002"/>
    <n v="0.22234520276481101"/>
    <n v="5.1897445227648102"/>
    <n v="3.3333333333333298E-2"/>
    <n v="0"/>
    <n v="0.17499999999999999"/>
    <n v="0.80769230769230804"/>
    <n v="4.7619047619047603E-2"/>
    <n v="0"/>
    <n v="7.9365079365079305E-2"/>
    <n v="0"/>
  </r>
  <r>
    <n v="980031"/>
    <x v="7"/>
    <x v="15"/>
    <n v="4"/>
    <x v="3"/>
    <s v="Wilmington"/>
    <n v="0"/>
    <n v="0"/>
    <n v="10.474"/>
    <n v="9.9184982999999995"/>
    <n v="9.9184982999999995"/>
    <n v="0.55586300691202895"/>
    <n v="10.474361306912"/>
    <n v="3.3333333333333298E-2"/>
    <n v="0"/>
    <n v="0.17499999999999999"/>
    <n v="0.80769230769230804"/>
    <n v="4.7619047619047603E-2"/>
    <n v="0"/>
    <n v="7.9365079365079305E-2"/>
    <n v="0"/>
  </r>
  <r>
    <n v="206200"/>
    <x v="8"/>
    <x v="12"/>
    <n v="1"/>
    <x v="4"/>
    <s v="Skid Row"/>
    <n v="1"/>
    <n v="1"/>
    <n v="519.49599999999998"/>
    <n v="372.63396153000002"/>
    <n v="514.63396152999997"/>
    <n v="4.8670707393716297"/>
    <n v="519.50103226937199"/>
    <n v="1"/>
    <n v="1"/>
    <n v="0"/>
    <n v="0"/>
    <n v="0"/>
    <n v="0"/>
    <n v="1"/>
    <n v="1"/>
  </r>
  <r>
    <n v="206300"/>
    <x v="8"/>
    <x v="12"/>
    <n v="2"/>
    <x v="4"/>
    <s v="Skid Row"/>
    <n v="1"/>
    <n v="1"/>
    <n v="1211.0440000000001"/>
    <n v="701.46323719999998"/>
    <n v="1199.4632372000001"/>
    <n v="11.585002561328499"/>
    <n v="1211.04823976133"/>
    <n v="1"/>
    <n v="1"/>
    <n v="0"/>
    <n v="0"/>
    <n v="0"/>
    <n v="0"/>
    <n v="1"/>
    <n v="1"/>
  </r>
  <r>
    <n v="207301"/>
    <x v="8"/>
    <x v="12"/>
    <n v="1"/>
    <x v="4"/>
    <s v="Skid Row"/>
    <n v="1"/>
    <n v="1"/>
    <n v="148.43799999999999"/>
    <n v="28.126022460000002"/>
    <n v="148.12602246"/>
    <n v="0.31111305059246003"/>
    <n v="148.43713551059199"/>
    <n v="1"/>
    <n v="1"/>
    <n v="0"/>
    <n v="0"/>
    <n v="0"/>
    <n v="0"/>
    <n v="1"/>
    <n v="1"/>
  </r>
  <r>
    <n v="207302"/>
    <x v="8"/>
    <x v="12"/>
    <n v="1"/>
    <x v="4"/>
    <s v="Skid Row"/>
    <n v="1"/>
    <n v="1"/>
    <n v="59.552999999999997"/>
    <n v="11.429279640000001"/>
    <n v="59.429279639999997"/>
    <n v="0.123751932495512"/>
    <n v="59.553031572495499"/>
    <n v="1"/>
    <n v="1"/>
    <n v="0"/>
    <n v="0"/>
    <n v="0"/>
    <n v="0"/>
    <n v="1"/>
    <n v="1"/>
  </r>
  <r>
    <n v="273100"/>
    <x v="9"/>
    <x v="13"/>
    <n v="3"/>
    <x v="5"/>
    <s v="Venice"/>
    <n v="1"/>
    <n v="1"/>
    <n v="53.963999999999999"/>
    <n v="43.994885269999997"/>
    <n v="51.994885269999997"/>
    <n v="1.9687885417055699"/>
    <n v="53.963673811705597"/>
    <n v="1"/>
    <n v="1"/>
    <n v="0"/>
    <n v="0"/>
    <n v="0"/>
    <n v="0"/>
    <n v="1"/>
    <n v="1"/>
  </r>
  <r>
    <n v="273200"/>
    <x v="9"/>
    <x v="13"/>
    <n v="3"/>
    <x v="5"/>
    <s v="Venice"/>
    <n v="1"/>
    <n v="1"/>
    <n v="110.09399999999999"/>
    <n v="84.206665470000004"/>
    <n v="106.20666547"/>
    <n v="3.8868047412926399"/>
    <n v="110.093470211293"/>
    <n v="1"/>
    <n v="1"/>
    <n v="0"/>
    <n v="0"/>
    <n v="0"/>
    <n v="0"/>
    <n v="1"/>
    <n v="1"/>
  </r>
  <r>
    <n v="273300"/>
    <x v="9"/>
    <x v="13"/>
    <n v="3"/>
    <x v="5"/>
    <s v="Venice"/>
    <n v="1"/>
    <n v="1"/>
    <n v="232.108"/>
    <n v="206.13290509999999"/>
    <n v="225.13290509999999"/>
    <n v="6.9752722552423698"/>
    <n v="232.10817735524199"/>
    <n v="1"/>
    <n v="1"/>
    <n v="0"/>
    <n v="0"/>
    <n v="0"/>
    <n v="0"/>
    <n v="1"/>
    <n v="1"/>
  </r>
  <r>
    <n v="273402"/>
    <x v="9"/>
    <x v="13"/>
    <n v="3"/>
    <x v="5"/>
    <s v="Venice"/>
    <n v="1"/>
    <n v="1"/>
    <n v="202.62100000000001"/>
    <n v="153.43167256000001"/>
    <n v="197.43167256000001"/>
    <n v="5.1900117179174101"/>
    <n v="202.62168427791701"/>
    <n v="1"/>
    <n v="1"/>
    <n v="0"/>
    <n v="0"/>
    <n v="0"/>
    <n v="0"/>
    <n v="1"/>
    <n v="1"/>
  </r>
  <r>
    <n v="273502"/>
    <x v="9"/>
    <x v="13"/>
    <n v="3"/>
    <x v="5"/>
    <s v="Venice"/>
    <n v="1"/>
    <n v="1"/>
    <n v="121.93"/>
    <n v="91.622628410000004"/>
    <n v="118.62262841"/>
    <n v="3.3066436968222601"/>
    <n v="121.929272106822"/>
    <n v="1"/>
    <n v="1"/>
    <n v="0"/>
    <n v="0"/>
    <n v="0"/>
    <n v="0"/>
    <n v="1"/>
    <n v="1"/>
  </r>
  <r>
    <n v="273600"/>
    <x v="9"/>
    <x v="13"/>
    <n v="3"/>
    <x v="5"/>
    <s v="Venice"/>
    <n v="1"/>
    <n v="1"/>
    <n v="71.881"/>
    <n v="44.149704"/>
    <n v="70.149704"/>
    <n v="1.7307564734290799"/>
    <n v="71.880460473429096"/>
    <n v="1"/>
    <n v="1"/>
    <n v="0"/>
    <n v="0"/>
    <n v="0"/>
    <n v="0"/>
    <n v="1"/>
    <n v="1"/>
  </r>
  <r>
    <n v="273700"/>
    <x v="9"/>
    <x v="13"/>
    <n v="3"/>
    <x v="5"/>
    <s v="Venice"/>
    <n v="1"/>
    <n v="1"/>
    <n v="8.3789999999999996"/>
    <n v="7.9347986400000003"/>
    <n v="7.9347986400000003"/>
    <n v="0.44469040552962302"/>
    <n v="8.3794890455296205"/>
    <n v="1"/>
    <n v="1"/>
    <n v="0"/>
    <n v="0"/>
    <n v="0"/>
    <n v="0"/>
    <n v="1"/>
    <n v="1"/>
  </r>
  <r>
    <n v="273800"/>
    <x v="9"/>
    <x v="13"/>
    <n v="2"/>
    <x v="5"/>
    <s v="Venice"/>
    <n v="1"/>
    <n v="1"/>
    <n v="43.029000000000003"/>
    <n v="34.055043689999998"/>
    <n v="42.055043689999998"/>
    <n v="0.97426992174147198"/>
    <n v="43.0293136117415"/>
    <n v="1"/>
    <n v="1"/>
    <n v="0"/>
    <n v="0"/>
    <n v="0"/>
    <n v="0"/>
    <n v="1"/>
    <n v="1"/>
  </r>
  <r>
    <n v="273902"/>
    <x v="9"/>
    <x v="13"/>
    <n v="3"/>
    <x v="5"/>
    <s v="Venice"/>
    <n v="1"/>
    <n v="1"/>
    <n v="43.603000000000002"/>
    <n v="24.789180900000002"/>
    <n v="42.789180899999998"/>
    <n v="0.81314608222621199"/>
    <n v="43.602326982226202"/>
    <n v="1"/>
    <n v="1"/>
    <n v="0"/>
    <n v="0"/>
    <n v="0"/>
    <n v="0"/>
    <n v="1"/>
    <n v="1"/>
  </r>
  <r>
    <n v="274100"/>
    <x v="9"/>
    <x v="13"/>
    <n v="2"/>
    <x v="5"/>
    <s v="Venice"/>
    <n v="1"/>
    <n v="1"/>
    <n v="30.367999999999999"/>
    <n v="12.54632395"/>
    <n v="29.546323950000001"/>
    <n v="0.82257992809694802"/>
    <n v="30.368903878097001"/>
    <n v="1"/>
    <n v="1"/>
    <n v="0"/>
    <n v="0"/>
    <n v="0"/>
    <n v="0"/>
    <n v="1"/>
    <n v="1"/>
  </r>
  <r>
    <n v="274202"/>
    <x v="9"/>
    <x v="13"/>
    <n v="3"/>
    <x v="5"/>
    <s v="Venice"/>
    <n v="1"/>
    <n v="1"/>
    <n v="25.228000000000002"/>
    <n v="18.33359166"/>
    <n v="24.33359166"/>
    <n v="0.89460346725314199"/>
    <n v="25.228195127253102"/>
    <n v="1"/>
    <n v="1"/>
    <n v="0"/>
    <n v="0"/>
    <n v="0"/>
    <n v="0"/>
    <n v="1"/>
    <n v="1"/>
  </r>
  <r>
    <n v="189600"/>
    <x v="10"/>
    <x v="3"/>
    <n v="3"/>
    <x v="0"/>
    <s v="Hollywood"/>
    <n v="1"/>
    <n v="1"/>
    <n v="24.263999999999999"/>
    <n v="13.6206817"/>
    <n v="23.620681699999999"/>
    <n v="0.64409669759425503"/>
    <n v="24.264778397594299"/>
    <n v="0.46666666666666701"/>
    <n v="2.1428571428571401"/>
    <n v="0.133333333333333"/>
    <n v="0.25"/>
    <n v="0"/>
    <n v="0"/>
    <n v="0.46666666666666701"/>
    <n v="2.1428571428571415"/>
  </r>
  <r>
    <n v="191901"/>
    <x v="10"/>
    <x v="3"/>
    <n v="3"/>
    <x v="0"/>
    <s v="Hollywood"/>
    <n v="1"/>
    <n v="1"/>
    <n v="55.198"/>
    <n v="32.119163460000003"/>
    <n v="54.119163460000003"/>
    <n v="1.07847514850987"/>
    <n v="55.197638608509898"/>
    <n v="0.46666666666666701"/>
    <n v="2.1428571428571401"/>
    <n v="0.133333333333333"/>
    <n v="0.25"/>
    <n v="0"/>
    <n v="0"/>
    <n v="0.46666666666666701"/>
    <n v="2.1428571428571415"/>
  </r>
  <r>
    <n v="190700"/>
    <x v="10"/>
    <x v="11"/>
    <n v="3"/>
    <x v="0"/>
    <s v="Hollywood"/>
    <n v="0"/>
    <n v="0"/>
    <n v="83.406000000000006"/>
    <n v="54.658331459999999"/>
    <n v="82.658331459999999"/>
    <n v="0.74726445739676794"/>
    <n v="83.405595917396795"/>
    <n v="0.46666666666666701"/>
    <n v="0"/>
    <n v="0.86666666666666703"/>
    <n v="0.46428571428571402"/>
    <n v="0"/>
    <n v="0"/>
    <n v="0.46666666666666701"/>
    <n v="0"/>
  </r>
  <r>
    <n v="190801"/>
    <x v="10"/>
    <x v="11"/>
    <n v="3"/>
    <x v="0"/>
    <s v="Hollywood"/>
    <n v="1"/>
    <n v="1"/>
    <n v="139.22300000000001"/>
    <n v="93.567048560000003"/>
    <n v="135.56704855999999"/>
    <n v="3.6551863459964098"/>
    <n v="139.222234905996"/>
    <n v="0.46666666666666701"/>
    <n v="2.1428571428571401"/>
    <n v="0.86666666666666703"/>
    <n v="0.46428571428571402"/>
    <n v="0"/>
    <n v="0"/>
    <n v="0.46666666666666701"/>
    <n v="2.1428571428571415"/>
  </r>
  <r>
    <n v="190802"/>
    <x v="10"/>
    <x v="11"/>
    <n v="3"/>
    <x v="0"/>
    <s v="Hollywood"/>
    <n v="0"/>
    <n v="0"/>
    <n v="38.219000000000001"/>
    <n v="26.14989795"/>
    <n v="37.149897950000003"/>
    <n v="1.06924865867145"/>
    <n v="38.219146608671501"/>
    <n v="0.46666666666666701"/>
    <n v="0"/>
    <n v="0.86666666666666703"/>
    <n v="0.46428571428571402"/>
    <n v="0"/>
    <n v="0"/>
    <n v="0.46666666666666701"/>
    <n v="0"/>
  </r>
  <r>
    <n v="190901"/>
    <x v="10"/>
    <x v="11"/>
    <n v="3"/>
    <x v="0"/>
    <s v="Hollywood"/>
    <n v="0"/>
    <n v="0"/>
    <n v="71.058999999999997"/>
    <n v="35.400430630000002"/>
    <n v="70.400430630000002"/>
    <n v="0.65836050457809703"/>
    <n v="71.058791134578101"/>
    <n v="0.46666666666666701"/>
    <n v="0"/>
    <n v="0.86666666666666703"/>
    <n v="0.46428571428571402"/>
    <n v="0"/>
    <n v="0"/>
    <n v="0.46666666666666701"/>
    <n v="0"/>
  </r>
  <r>
    <n v="191000"/>
    <x v="10"/>
    <x v="11"/>
    <n v="3"/>
    <x v="0"/>
    <s v="Hollywood"/>
    <n v="0"/>
    <n v="0"/>
    <n v="52.250999999999998"/>
    <n v="33.667298459999998"/>
    <n v="51.667298459999998"/>
    <n v="0.58337499429084405"/>
    <n v="52.250673454290798"/>
    <n v="0.46666666666666701"/>
    <n v="0"/>
    <n v="0.86666666666666703"/>
    <n v="0.46428571428571402"/>
    <n v="0"/>
    <n v="0"/>
    <n v="0.46666666666666701"/>
    <n v="0"/>
  </r>
  <r>
    <n v="191120"/>
    <x v="10"/>
    <x v="11"/>
    <n v="3"/>
    <x v="0"/>
    <s v="Hollywood"/>
    <n v="0"/>
    <n v="0"/>
    <n v="22.388999999999999"/>
    <n v="15.536151869999999"/>
    <n v="21.536151870000001"/>
    <n v="0.85148300816876099"/>
    <n v="22.3876348781688"/>
    <n v="0.46666666666666701"/>
    <n v="0"/>
    <n v="0.86666666666666703"/>
    <n v="0.46428571428571402"/>
    <n v="0"/>
    <n v="0"/>
    <n v="0.46666666666666701"/>
    <n v="0"/>
  </r>
  <r>
    <n v="191301"/>
    <x v="10"/>
    <x v="11"/>
    <n v="3"/>
    <x v="0"/>
    <s v="Hollywood"/>
    <n v="0"/>
    <n v="0"/>
    <n v="50.807000000000002"/>
    <n v="45.038885919999998"/>
    <n v="50.038885919999998"/>
    <n v="0.76843149147217205"/>
    <n v="50.807317411472198"/>
    <n v="0.46666666666666701"/>
    <n v="0"/>
    <n v="0.86666666666666703"/>
    <n v="0.46428571428571402"/>
    <n v="0"/>
    <n v="0"/>
    <n v="0.46666666666666701"/>
    <n v="0"/>
  </r>
  <r>
    <n v="191500"/>
    <x v="10"/>
    <x v="11"/>
    <n v="3"/>
    <x v="0"/>
    <s v="Hollywood"/>
    <n v="1"/>
    <n v="1"/>
    <n v="16.808"/>
    <n v="1.73313217"/>
    <n v="16.733132170000001"/>
    <n v="7.4985510287253102E-2"/>
    <n v="16.8081176802873"/>
    <n v="0.46666666666666701"/>
    <n v="2.1428571428571401"/>
    <n v="0.86666666666666703"/>
    <n v="0.46428571428571402"/>
    <n v="0"/>
    <n v="0"/>
    <n v="0.46666666666666701"/>
    <n v="2.1428571428571415"/>
  </r>
  <r>
    <n v="191620"/>
    <x v="10"/>
    <x v="11"/>
    <n v="3"/>
    <x v="0"/>
    <s v="Hollywood"/>
    <n v="1"/>
    <n v="1"/>
    <n v="38.517000000000003"/>
    <n v="36.664918550000003"/>
    <n v="36.664918550000003"/>
    <n v="1.8520819263016199"/>
    <n v="38.517000476301597"/>
    <n v="0.46666666666666701"/>
    <n v="2.1428571428571401"/>
    <n v="0.86666666666666703"/>
    <n v="0.46428571428571402"/>
    <n v="0"/>
    <n v="0"/>
    <n v="0.46666666666666701"/>
    <n v="2.1428571428571415"/>
  </r>
  <r>
    <n v="191610"/>
    <x v="10"/>
    <x v="11"/>
    <n v="2"/>
    <x v="0"/>
    <s v="Hollywood"/>
    <n v="1"/>
    <n v="1"/>
    <n v="79.066999999999993"/>
    <n v="52.339987389999997"/>
    <n v="76.339987390000005"/>
    <n v="2.7269491887073598"/>
    <n v="79.066936578707399"/>
    <n v="0.46666666666666701"/>
    <n v="2.1428571428571401"/>
    <n v="0.86666666666666703"/>
    <n v="0.46428571428571402"/>
    <n v="0"/>
    <n v="0"/>
    <n v="0.46666666666666701"/>
    <n v="2.1428571428571415"/>
  </r>
  <r>
    <n v="191810"/>
    <x v="10"/>
    <x v="11"/>
    <n v="3"/>
    <x v="0"/>
    <s v="Hollywood"/>
    <n v="1"/>
    <n v="1"/>
    <n v="48.704000000000001"/>
    <n v="41.20096358"/>
    <n v="47.20096358"/>
    <n v="1.5034523473249599"/>
    <n v="48.704415927325002"/>
    <n v="0.46666666666666701"/>
    <n v="2.1428571428571401"/>
    <n v="0.86666666666666703"/>
    <n v="0.46428571428571402"/>
    <n v="0"/>
    <n v="0"/>
    <n v="0.46666666666666701"/>
    <n v="2.1428571428571415"/>
  </r>
  <r>
    <n v="191820"/>
    <x v="10"/>
    <x v="11"/>
    <n v="3"/>
    <x v="0"/>
    <s v="Hollywood"/>
    <n v="0"/>
    <n v="0"/>
    <n v="44.003999999999998"/>
    <n v="38.335781480000001"/>
    <n v="42.335781480000001"/>
    <n v="1.66825463222621"/>
    <n v="44.004036112226203"/>
    <n v="0.46666666666666701"/>
    <n v="0"/>
    <n v="0.86666666666666703"/>
    <n v="0.46428571428571402"/>
    <n v="0"/>
    <n v="0"/>
    <n v="0.46666666666666701"/>
    <n v="0"/>
  </r>
  <r>
    <n v="192700"/>
    <x v="10"/>
    <x v="11"/>
    <n v="2"/>
    <x v="0"/>
    <s v="Hollywood"/>
    <n v="0"/>
    <n v="0"/>
    <n v="117.051"/>
    <n v="97.206460849999999"/>
    <n v="115.20646085"/>
    <n v="1.84391523438061"/>
    <n v="117.050376084381"/>
    <n v="0.46666666666666701"/>
    <n v="0"/>
    <n v="0.86666666666666703"/>
    <n v="0.46428571428571402"/>
    <n v="0"/>
    <n v="0"/>
    <n v="0.46666666666666701"/>
    <n v="0"/>
  </r>
  <r>
    <n v="189300"/>
    <x v="10"/>
    <x v="3"/>
    <n v="3"/>
    <x v="2"/>
    <s v="Hollywood"/>
    <n v="0"/>
    <n v="0"/>
    <n v="2"/>
    <n v="0"/>
    <n v="2"/>
    <n v="0"/>
    <n v="2"/>
    <n v="0.2"/>
    <n v="0"/>
    <n v="0.2"/>
    <n v="6.25E-2"/>
    <n v="0"/>
    <n v="0"/>
    <n v="0.2"/>
    <n v="0"/>
  </r>
  <r>
    <n v="190100"/>
    <x v="10"/>
    <x v="11"/>
    <n v="3"/>
    <x v="2"/>
    <s v="Hollywood"/>
    <n v="1"/>
    <n v="1"/>
    <n v="36.389000000000003"/>
    <n v="16.434903550000001"/>
    <n v="35.434903550000001"/>
    <n v="0.95437785156193899"/>
    <n v="36.389281401561902"/>
    <n v="0.2"/>
    <n v="5"/>
    <n v="0.8"/>
    <n v="0.4"/>
    <n v="0"/>
    <n v="0"/>
    <n v="0.2"/>
    <n v="5"/>
  </r>
  <r>
    <n v="190510"/>
    <x v="10"/>
    <x v="11"/>
    <n v="3"/>
    <x v="2"/>
    <s v="Hollywood"/>
    <n v="0"/>
    <n v="0"/>
    <n v="10.926"/>
    <n v="1.90487994"/>
    <n v="10.904879940000001"/>
    <n v="2.0625322082585301E-2"/>
    <n v="10.9255052620826"/>
    <n v="0.2"/>
    <n v="0"/>
    <n v="0.8"/>
    <n v="0.4"/>
    <n v="0"/>
    <n v="0"/>
    <n v="0.2"/>
    <n v="0"/>
  </r>
  <r>
    <n v="191110"/>
    <x v="10"/>
    <x v="11"/>
    <n v="3"/>
    <x v="2"/>
    <s v="Hollywood"/>
    <n v="0"/>
    <n v="0"/>
    <n v="24.213999999999999"/>
    <n v="5.0957154100000004"/>
    <n v="24.09571541"/>
    <n v="0.11796937380610401"/>
    <n v="24.213684783806102"/>
    <n v="0.2"/>
    <n v="0"/>
    <n v="0.8"/>
    <n v="0.4"/>
    <n v="0"/>
    <n v="0"/>
    <n v="0.2"/>
    <n v="0"/>
  </r>
  <r>
    <n v="191201"/>
    <x v="10"/>
    <x v="11"/>
    <n v="3"/>
    <x v="2"/>
    <s v="Hollywood"/>
    <n v="0"/>
    <n v="0"/>
    <n v="29.959"/>
    <n v="14.79186288"/>
    <n v="29.79186288"/>
    <n v="0.166735796014363"/>
    <n v="29.9585986760144"/>
    <n v="0.2"/>
    <n v="0"/>
    <n v="0.8"/>
    <n v="0.4"/>
    <n v="0"/>
    <n v="0"/>
    <n v="0.2"/>
    <n v="0"/>
  </r>
  <r>
    <n v="189400"/>
    <x v="10"/>
    <x v="3"/>
    <n v="3"/>
    <x v="3"/>
    <s v="Hollywood"/>
    <n v="0"/>
    <n v="0"/>
    <n v="10.7"/>
    <n v="10.061489310000001"/>
    <n v="10.061489310000001"/>
    <n v="0.63903314452423698"/>
    <n v="10.700522454524201"/>
    <n v="7.69230769230769E-2"/>
    <n v="0"/>
    <n v="0.230769230769231"/>
    <n v="6.8181818181818205E-2"/>
    <n v="9.3023255813953501E-2"/>
    <n v="0"/>
    <n v="0.16279069767441862"/>
    <n v="0"/>
  </r>
  <r>
    <n v="189500"/>
    <x v="10"/>
    <x v="3"/>
    <n v="3"/>
    <x v="3"/>
    <s v="Hollywood"/>
    <n v="0"/>
    <n v="0"/>
    <n v="3.0950000000000002"/>
    <n v="1.9836996600000001"/>
    <n v="2.9836996600000001"/>
    <n v="0.11117260138240601"/>
    <n v="3.09487226138241"/>
    <n v="7.69230769230769E-2"/>
    <n v="0"/>
    <n v="0.230769230769231"/>
    <n v="6.8181818181818205E-2"/>
    <n v="9.3023255813953501E-2"/>
    <n v="0"/>
    <n v="0.16279069767441862"/>
    <n v="0"/>
  </r>
  <r>
    <n v="189701"/>
    <x v="10"/>
    <x v="3"/>
    <n v="3"/>
    <x v="3"/>
    <s v="Hollywood"/>
    <n v="0"/>
    <n v="0"/>
    <n v="9.9589999999999996"/>
    <n v="8.8536347400000004"/>
    <n v="9.8536347400000004"/>
    <n v="0.10572643944344701"/>
    <n v="9.9593611794434498"/>
    <n v="7.69230769230769E-2"/>
    <n v="0"/>
    <n v="0.230769230769231"/>
    <n v="6.8181818181818205E-2"/>
    <n v="9.3023255813953501E-2"/>
    <n v="0"/>
    <n v="0.16279069767441862"/>
    <n v="0"/>
  </r>
  <r>
    <n v="190301"/>
    <x v="10"/>
    <x v="11"/>
    <n v="3"/>
    <x v="3"/>
    <s v="Hollywood"/>
    <n v="0"/>
    <n v="0"/>
    <n v="5.9260000000000002"/>
    <n v="1.90487994"/>
    <n v="5.9048799399999998"/>
    <n v="2.0625322082585301E-2"/>
    <n v="5.9255052620825897"/>
    <n v="7.69230769230769E-2"/>
    <n v="0"/>
    <n v="0.76923076923076905"/>
    <n v="0.3125"/>
    <n v="0"/>
    <n v="0"/>
    <n v="7.69230769230769E-2"/>
    <n v="0"/>
  </r>
  <r>
    <n v="190520"/>
    <x v="10"/>
    <x v="11"/>
    <n v="3"/>
    <x v="3"/>
    <s v="Hollywood"/>
    <n v="0"/>
    <n v="0"/>
    <n v="1.8080000000000001"/>
    <n v="1.73313217"/>
    <n v="1.73313217"/>
    <n v="7.4985510287253102E-2"/>
    <n v="1.8081176802872501"/>
    <n v="7.69230769230769E-2"/>
    <n v="0"/>
    <n v="0.76923076923076905"/>
    <n v="0.3125"/>
    <n v="0"/>
    <n v="0"/>
    <n v="7.69230769230769E-2"/>
    <n v="0"/>
  </r>
  <r>
    <n v="190902"/>
    <x v="10"/>
    <x v="11"/>
    <n v="3"/>
    <x v="3"/>
    <s v="Hollywood"/>
    <n v="1"/>
    <n v="1"/>
    <n v="28.312000000000001"/>
    <n v="24.03006495"/>
    <n v="27.03006495"/>
    <n v="1.2807707478096999"/>
    <n v="28.310835697809701"/>
    <n v="7.69230769230769E-2"/>
    <n v="13"/>
    <n v="0.76923076923076905"/>
    <n v="0.3125"/>
    <n v="0"/>
    <n v="0"/>
    <n v="7.69230769230769E-2"/>
    <n v="13.000000000000004"/>
  </r>
  <r>
    <n v="191203"/>
    <x v="10"/>
    <x v="11"/>
    <n v="3"/>
    <x v="3"/>
    <s v="Hollywood"/>
    <n v="0"/>
    <n v="0"/>
    <n v="24.521999999999998"/>
    <n v="19.325627430000001"/>
    <n v="23.325627430000001"/>
    <n v="1.1964111436265701"/>
    <n v="24.522038573626599"/>
    <n v="7.69230769230769E-2"/>
    <n v="0"/>
    <n v="0.76923076923076905"/>
    <n v="0.3125"/>
    <n v="0"/>
    <n v="0"/>
    <n v="7.69230769230769E-2"/>
    <n v="0"/>
  </r>
  <r>
    <n v="191204"/>
    <x v="10"/>
    <x v="11"/>
    <n v="3"/>
    <x v="3"/>
    <s v="Hollywood"/>
    <n v="0"/>
    <n v="0"/>
    <n v="6.9889999999999999"/>
    <n v="4.6115253100000002"/>
    <n v="6.6115253100000002"/>
    <n v="0.377889522567325"/>
    <n v="6.9894148325673298"/>
    <n v="7.69230769230769E-2"/>
    <n v="0"/>
    <n v="0.76923076923076905"/>
    <n v="0.3125"/>
    <n v="0"/>
    <n v="0"/>
    <n v="7.69230769230769E-2"/>
    <n v="0"/>
  </r>
  <r>
    <n v="191302"/>
    <x v="10"/>
    <x v="11"/>
    <n v="3"/>
    <x v="3"/>
    <s v="Hollywood"/>
    <n v="0"/>
    <n v="0"/>
    <n v="24.010999999999999"/>
    <n v="14.698934830000001"/>
    <n v="23.698934829999999"/>
    <n v="0.31164326351885102"/>
    <n v="24.010578093518799"/>
    <n v="7.69230769230769E-2"/>
    <n v="0"/>
    <n v="0.76923076923076905"/>
    <n v="0.3125"/>
    <n v="0"/>
    <n v="0"/>
    <n v="7.69230769230769E-2"/>
    <n v="0"/>
  </r>
  <r>
    <n v="191410"/>
    <x v="10"/>
    <x v="11"/>
    <n v="3"/>
    <x v="3"/>
    <s v="Hollywood"/>
    <n v="0"/>
    <n v="0"/>
    <n v="12.11"/>
    <n v="8.6222927400000007"/>
    <n v="11.622292740000001"/>
    <n v="0.48758113838420097"/>
    <n v="12.109873878384199"/>
    <n v="7.69230769230769E-2"/>
    <n v="0"/>
    <n v="0.76923076923076905"/>
    <n v="0.3125"/>
    <n v="0"/>
    <n v="0"/>
    <n v="7.69230769230769E-2"/>
    <n v="0"/>
  </r>
  <r>
    <n v="191420"/>
    <x v="10"/>
    <x v="11"/>
    <n v="2"/>
    <x v="3"/>
    <s v="Hollywood"/>
    <n v="0"/>
    <n v="0"/>
    <n v="6"/>
    <n v="0"/>
    <n v="6"/>
    <n v="0"/>
    <n v="6"/>
    <n v="7.69230769230769E-2"/>
    <n v="0"/>
    <n v="0.76923076923076905"/>
    <n v="0.3125"/>
    <n v="0"/>
    <n v="0"/>
    <n v="7.69230769230769E-2"/>
    <n v="0"/>
  </r>
  <r>
    <n v="191710"/>
    <x v="10"/>
    <x v="11"/>
    <n v="3"/>
    <x v="3"/>
    <s v="Hollywood"/>
    <n v="0"/>
    <n v="0"/>
    <n v="12.819000000000001"/>
    <n v="7.5535708799999997"/>
    <n v="12.553570880000001"/>
    <n v="0.26446245660682199"/>
    <n v="12.818033336606801"/>
    <n v="7.69230769230769E-2"/>
    <n v="0"/>
    <n v="0.76923076923076905"/>
    <n v="0.3125"/>
    <n v="0"/>
    <n v="0"/>
    <n v="7.69230769230769E-2"/>
    <n v="0"/>
  </r>
  <r>
    <n v="191720"/>
    <x v="10"/>
    <x v="11"/>
    <n v="3"/>
    <x v="3"/>
    <s v="Hollywood"/>
    <n v="0"/>
    <n v="0"/>
    <n v="6.923"/>
    <n v="6.70665975"/>
    <n v="6.70665975"/>
    <n v="0.21506119174147201"/>
    <n v="6.9217209417414702"/>
    <n v="7.69230769230769E-2"/>
    <n v="0"/>
    <n v="0.76923076923076905"/>
    <n v="0.3125"/>
    <n v="0"/>
    <n v="0"/>
    <n v="7.69230769230769E-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9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gridDropZones="1" multipleFieldFilters="0">
  <location ref="A3:F121" firstHeaderRow="1" firstDataRow="2" firstDataCol="3"/>
  <pivotFields count="21">
    <pivotField dataField="1" compact="0" outline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16">
        <item x="0"/>
        <item x="8"/>
        <item x="1"/>
        <item x="2"/>
        <item x="3"/>
        <item x="7"/>
        <item x="4"/>
        <item x="5"/>
        <item x="14"/>
        <item x="9"/>
        <item x="10"/>
        <item x="13"/>
        <item x="6"/>
        <item x="11"/>
        <item x="12"/>
        <item x="15"/>
      </items>
    </pivotField>
    <pivotField compact="0" outline="0" showAl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2"/>
    <field x="4"/>
    <field x="1"/>
  </rowFields>
  <rowItems count="117">
    <i>
      <x/>
      <x/>
      <x/>
    </i>
    <i r="2">
      <x v="1"/>
    </i>
    <i r="2">
      <x v="2"/>
    </i>
    <i r="2">
      <x v="4"/>
    </i>
    <i r="2">
      <x v="5"/>
    </i>
    <i r="2">
      <x v="6"/>
    </i>
    <i r="2">
      <x v="7"/>
    </i>
    <i r="1">
      <x v="1"/>
      <x/>
    </i>
    <i r="2">
      <x v="2"/>
    </i>
    <i r="2">
      <x v="4"/>
    </i>
    <i r="2">
      <x v="5"/>
    </i>
    <i r="2">
      <x v="6"/>
    </i>
    <i r="2">
      <x v="7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>
      <x v="1"/>
      <x/>
      <x v="3"/>
    </i>
    <i r="1">
      <x v="1"/>
      <x v="3"/>
    </i>
    <i r="1">
      <x v="2"/>
      <x v="3"/>
    </i>
    <i r="2">
      <x v="5"/>
    </i>
    <i r="1">
      <x v="3"/>
      <x v="3"/>
    </i>
    <i r="2">
      <x v="5"/>
    </i>
    <i>
      <x v="2"/>
      <x/>
      <x v="1"/>
    </i>
    <i r="1">
      <x v="1"/>
      <x v="1"/>
    </i>
    <i r="1">
      <x v="2"/>
      <x v="1"/>
    </i>
    <i r="1">
      <x v="3"/>
      <x v="1"/>
    </i>
    <i>
      <x v="3"/>
      <x/>
      <x v="1"/>
    </i>
    <i r="1">
      <x v="1"/>
      <x v="1"/>
    </i>
    <i r="1">
      <x v="2"/>
      <x v="1"/>
    </i>
    <i r="1">
      <x v="3"/>
      <x v="1"/>
    </i>
    <i>
      <x v="4"/>
      <x/>
      <x v="1"/>
    </i>
    <i r="2">
      <x v="3"/>
    </i>
    <i r="2">
      <x v="10"/>
    </i>
    <i r="1">
      <x v="1"/>
      <x v="3"/>
    </i>
    <i r="1">
      <x v="2"/>
      <x v="1"/>
    </i>
    <i r="2">
      <x v="3"/>
    </i>
    <i r="2">
      <x v="10"/>
    </i>
    <i r="1">
      <x v="3"/>
      <x v="1"/>
    </i>
    <i r="2">
      <x v="3"/>
    </i>
    <i r="2">
      <x v="4"/>
    </i>
    <i r="2">
      <x v="10"/>
    </i>
    <i>
      <x v="5"/>
      <x/>
      <x v="3"/>
    </i>
    <i r="2">
      <x v="4"/>
    </i>
    <i r="1">
      <x v="2"/>
      <x v="1"/>
    </i>
    <i r="2">
      <x v="3"/>
    </i>
    <i r="2">
      <x v="4"/>
    </i>
    <i r="1">
      <x v="3"/>
      <x v="1"/>
    </i>
    <i r="2">
      <x v="3"/>
    </i>
    <i r="2">
      <x v="4"/>
    </i>
    <i>
      <x v="6"/>
      <x/>
      <x v="1"/>
    </i>
    <i r="1">
      <x v="1"/>
      <x v="1"/>
    </i>
    <i r="1">
      <x v="2"/>
      <x v="1"/>
    </i>
    <i r="1">
      <x v="3"/>
      <x v="1"/>
    </i>
    <i>
      <x v="7"/>
      <x/>
      <x v="1"/>
    </i>
    <i r="1">
      <x v="1"/>
      <x v="1"/>
    </i>
    <i r="1">
      <x v="2"/>
      <x v="1"/>
    </i>
    <i r="1">
      <x v="3"/>
      <x v="1"/>
    </i>
    <i>
      <x v="8"/>
      <x/>
      <x v="5"/>
    </i>
    <i r="1">
      <x v="1"/>
      <x v="5"/>
    </i>
    <i r="1">
      <x v="2"/>
      <x v="5"/>
    </i>
    <i r="1">
      <x v="3"/>
      <x v="5"/>
    </i>
    <i>
      <x v="9"/>
      <x/>
      <x v="3"/>
    </i>
    <i r="2">
      <x v="5"/>
    </i>
    <i r="1">
      <x v="1"/>
      <x v="5"/>
    </i>
    <i r="1">
      <x v="2"/>
      <x v="5"/>
    </i>
    <i r="1">
      <x v="3"/>
      <x v="5"/>
    </i>
    <i>
      <x v="10"/>
      <x/>
      <x v="3"/>
    </i>
    <i r="2">
      <x v="4"/>
    </i>
    <i r="2">
      <x v="5"/>
    </i>
    <i r="1">
      <x v="1"/>
      <x v="3"/>
    </i>
    <i r="2">
      <x v="5"/>
    </i>
    <i r="1">
      <x v="2"/>
      <x v="3"/>
    </i>
    <i r="2">
      <x v="5"/>
    </i>
    <i r="1">
      <x v="3"/>
      <x v="3"/>
    </i>
    <i r="2">
      <x v="4"/>
    </i>
    <i r="2">
      <x v="5"/>
    </i>
    <i>
      <x v="11"/>
      <x/>
      <x v="4"/>
    </i>
    <i r="1">
      <x v="1"/>
      <x v="4"/>
    </i>
    <i r="1">
      <x v="2"/>
      <x v="4"/>
    </i>
    <i r="1">
      <x v="3"/>
      <x v="4"/>
    </i>
    <i r="1">
      <x v="5"/>
      <x v="9"/>
    </i>
    <i>
      <x v="12"/>
      <x/>
      <x v="1"/>
    </i>
    <i r="1">
      <x v="1"/>
      <x v="1"/>
    </i>
    <i r="1">
      <x v="2"/>
      <x v="1"/>
    </i>
    <i r="1">
      <x v="3"/>
      <x v="1"/>
    </i>
    <i>
      <x v="13"/>
      <x/>
      <x v="3"/>
    </i>
    <i r="2">
      <x v="10"/>
    </i>
    <i r="1">
      <x v="1"/>
      <x v="3"/>
    </i>
    <i r="1">
      <x v="2"/>
      <x v="3"/>
    </i>
    <i r="2">
      <x v="10"/>
    </i>
    <i r="1">
      <x v="3"/>
      <x v="3"/>
    </i>
    <i r="2">
      <x v="10"/>
    </i>
    <i>
      <x v="14"/>
      <x/>
      <x v="3"/>
    </i>
    <i r="1">
      <x v="1"/>
      <x v="3"/>
    </i>
    <i r="1">
      <x v="2"/>
      <x v="3"/>
    </i>
    <i r="1">
      <x v="3"/>
      <x v="3"/>
    </i>
    <i r="1">
      <x v="4"/>
      <x v="8"/>
    </i>
    <i>
      <x v="15"/>
      <x/>
      <x v="5"/>
    </i>
    <i r="2">
      <x v="7"/>
    </i>
    <i r="1">
      <x v="1"/>
      <x v="7"/>
    </i>
    <i r="1">
      <x v="2"/>
      <x v="5"/>
    </i>
    <i r="2">
      <x v="7"/>
    </i>
    <i r="1">
      <x v="3"/>
      <x v="5"/>
    </i>
    <i r="2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ract" fld="0" subtotal="count" baseField="3" baseItem="0" numFmtId="3"/>
    <dataField name="Max of SelectionProb_SPA" fld="13" subtotal="max" baseField="1" baseItem="1"/>
    <dataField name="Max of SelectionProb_addCD" fld="17" subtotal="max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5" firstHeaderRow="0" firstDataRow="1" firstDataCol="1"/>
  <pivotFields count="21">
    <pivotField dataField="1" showAll="0"/>
    <pivotField showAll="0"/>
    <pivotField axis="axisRow" showAll="0">
      <items count="17">
        <item x="0"/>
        <item x="8"/>
        <item x="1"/>
        <item x="2"/>
        <item x="3"/>
        <item x="7"/>
        <item x="4"/>
        <item x="5"/>
        <item x="14"/>
        <item x="9"/>
        <item x="10"/>
        <item x="13"/>
        <item x="6"/>
        <item x="11"/>
        <item x="12"/>
        <item x="15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2"/>
    <field x="4"/>
  </rowFields>
  <rowItems count="8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 r="1">
      <x v="5"/>
    </i>
    <i>
      <x v="12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 r="1">
      <x v="2"/>
    </i>
    <i r="1">
      <x v="3"/>
    </i>
    <i>
      <x v="14"/>
    </i>
    <i r="1">
      <x/>
    </i>
    <i r="1">
      <x v="1"/>
    </i>
    <i r="1">
      <x v="2"/>
    </i>
    <i r="1">
      <x v="3"/>
    </i>
    <i r="1">
      <x v="4"/>
    </i>
    <i>
      <x v="1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ct" fld="0" subtotal="count" baseField="2" baseItem="0"/>
    <dataField name="Sum of SamplingWeight_CD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23"/>
  <sheetViews>
    <sheetView workbookViewId="0">
      <pane xSplit="3" ySplit="4" topLeftCell="D105" activePane="bottomRight" state="frozen"/>
      <selection pane="topRight" activeCell="D1" sqref="D1"/>
      <selection pane="bottomLeft" activeCell="A5" sqref="A5"/>
      <selection pane="bottomRight" activeCell="J5" sqref="J5"/>
    </sheetView>
  </sheetViews>
  <sheetFormatPr defaultRowHeight="15" x14ac:dyDescent="0.25"/>
  <cols>
    <col min="1" max="1" width="6.5703125" customWidth="1"/>
    <col min="2" max="2" width="17.140625" customWidth="1"/>
    <col min="3" max="3" width="6.7109375" bestFit="1" customWidth="1"/>
    <col min="4" max="4" width="13.42578125" customWidth="1"/>
    <col min="5" max="5" width="24.85546875" customWidth="1"/>
    <col min="6" max="6" width="27.28515625" customWidth="1"/>
    <col min="7" max="14" width="12.7109375" customWidth="1"/>
    <col min="15" max="15" width="32.28515625" bestFit="1" customWidth="1"/>
  </cols>
  <sheetData>
    <row r="3" spans="1:11" x14ac:dyDescent="0.25">
      <c r="D3" s="1" t="s">
        <v>12</v>
      </c>
    </row>
    <row r="4" spans="1:11" x14ac:dyDescent="0.25">
      <c r="A4" s="1" t="s">
        <v>1</v>
      </c>
      <c r="B4" s="1" t="s">
        <v>2</v>
      </c>
      <c r="C4" s="1" t="s">
        <v>0</v>
      </c>
      <c r="D4" t="s">
        <v>13</v>
      </c>
      <c r="E4" t="s">
        <v>16</v>
      </c>
      <c r="F4" t="s">
        <v>11</v>
      </c>
      <c r="G4" t="s">
        <v>1</v>
      </c>
      <c r="H4" t="s">
        <v>2</v>
      </c>
      <c r="I4" t="s">
        <v>0</v>
      </c>
      <c r="J4" t="s">
        <v>17</v>
      </c>
      <c r="K4" t="s">
        <v>18</v>
      </c>
    </row>
    <row r="5" spans="1:11" x14ac:dyDescent="0.25">
      <c r="A5">
        <v>0</v>
      </c>
      <c r="B5" t="s">
        <v>3</v>
      </c>
      <c r="C5">
        <v>1</v>
      </c>
      <c r="D5" s="5">
        <v>20</v>
      </c>
      <c r="E5" s="4">
        <v>0.55000000000000004</v>
      </c>
      <c r="F5" s="4">
        <v>0</v>
      </c>
      <c r="G5">
        <f>IF(A5="",G4,A5)</f>
        <v>0</v>
      </c>
      <c r="H5" t="str">
        <f>IF(B5="",H4,B5)</f>
        <v>CVCTE</v>
      </c>
      <c r="I5">
        <f>C5</f>
        <v>1</v>
      </c>
      <c r="J5" t="str">
        <f>CONCATENATE(G5,H5,I5)</f>
        <v>0CVCTE1</v>
      </c>
      <c r="K5">
        <f>F5</f>
        <v>0</v>
      </c>
    </row>
    <row r="6" spans="1:11" x14ac:dyDescent="0.25">
      <c r="C6">
        <v>2</v>
      </c>
      <c r="D6" s="5">
        <v>14</v>
      </c>
      <c r="E6" s="4">
        <v>0.17910447761194001</v>
      </c>
      <c r="F6" s="4">
        <v>0</v>
      </c>
      <c r="G6">
        <f t="shared" ref="G6:H69" si="0">IF(A6="",G5,A6)</f>
        <v>0</v>
      </c>
      <c r="H6" t="str">
        <f t="shared" si="0"/>
        <v>CVCTE</v>
      </c>
      <c r="I6">
        <f t="shared" ref="I6:I69" si="1">C6</f>
        <v>2</v>
      </c>
      <c r="J6" t="str">
        <f t="shared" ref="J6:J69" si="2">CONCATENATE(G6,H6,I6)</f>
        <v>0CVCTE2</v>
      </c>
      <c r="K6">
        <f t="shared" ref="K6:K69" si="3">F6</f>
        <v>0</v>
      </c>
    </row>
    <row r="7" spans="1:11" x14ac:dyDescent="0.25">
      <c r="C7">
        <v>3</v>
      </c>
      <c r="D7" s="5">
        <v>102</v>
      </c>
      <c r="E7" s="4">
        <v>0.41176470588235298</v>
      </c>
      <c r="F7" s="4">
        <v>0</v>
      </c>
      <c r="G7">
        <f t="shared" si="0"/>
        <v>0</v>
      </c>
      <c r="H7" t="str">
        <f t="shared" si="0"/>
        <v>CVCTE</v>
      </c>
      <c r="I7">
        <f t="shared" si="1"/>
        <v>3</v>
      </c>
      <c r="J7" t="str">
        <f t="shared" si="2"/>
        <v>0CVCTE3</v>
      </c>
      <c r="K7">
        <f t="shared" si="3"/>
        <v>0</v>
      </c>
    </row>
    <row r="8" spans="1:11" x14ac:dyDescent="0.25">
      <c r="C8">
        <v>5</v>
      </c>
      <c r="D8" s="5">
        <v>10</v>
      </c>
      <c r="E8" s="4">
        <v>0.35</v>
      </c>
      <c r="F8" s="4">
        <v>0</v>
      </c>
      <c r="G8">
        <f t="shared" si="0"/>
        <v>0</v>
      </c>
      <c r="H8" t="str">
        <f t="shared" si="0"/>
        <v>CVCTE</v>
      </c>
      <c r="I8">
        <f t="shared" si="1"/>
        <v>5</v>
      </c>
      <c r="J8" t="str">
        <f t="shared" si="2"/>
        <v>0CVCTE5</v>
      </c>
      <c r="K8">
        <f t="shared" si="3"/>
        <v>0</v>
      </c>
    </row>
    <row r="9" spans="1:11" x14ac:dyDescent="0.25">
      <c r="C9">
        <v>6</v>
      </c>
      <c r="D9" s="5">
        <v>12</v>
      </c>
      <c r="E9" s="4">
        <v>0.16393442622950799</v>
      </c>
      <c r="F9" s="4">
        <v>0</v>
      </c>
      <c r="G9">
        <f t="shared" si="0"/>
        <v>0</v>
      </c>
      <c r="H9" t="str">
        <f t="shared" si="0"/>
        <v>CVCTE</v>
      </c>
      <c r="I9">
        <f t="shared" si="1"/>
        <v>6</v>
      </c>
      <c r="J9" t="str">
        <f t="shared" si="2"/>
        <v>0CVCTE6</v>
      </c>
      <c r="K9">
        <f t="shared" si="3"/>
        <v>0</v>
      </c>
    </row>
    <row r="10" spans="1:11" x14ac:dyDescent="0.25">
      <c r="C10">
        <v>7</v>
      </c>
      <c r="D10" s="5">
        <v>96</v>
      </c>
      <c r="E10" s="4">
        <v>0.23958333333333301</v>
      </c>
      <c r="F10" s="4">
        <v>0</v>
      </c>
      <c r="G10">
        <f t="shared" si="0"/>
        <v>0</v>
      </c>
      <c r="H10" t="str">
        <f t="shared" si="0"/>
        <v>CVCTE</v>
      </c>
      <c r="I10">
        <f t="shared" si="1"/>
        <v>7</v>
      </c>
      <c r="J10" t="str">
        <f t="shared" si="2"/>
        <v>0CVCTE7</v>
      </c>
      <c r="K10">
        <f t="shared" si="3"/>
        <v>0</v>
      </c>
    </row>
    <row r="11" spans="1:11" x14ac:dyDescent="0.25">
      <c r="C11">
        <v>8</v>
      </c>
      <c r="D11" s="5">
        <v>50</v>
      </c>
      <c r="E11" s="4">
        <v>0.27272727272727298</v>
      </c>
      <c r="F11" s="4">
        <v>0</v>
      </c>
      <c r="G11">
        <f t="shared" si="0"/>
        <v>0</v>
      </c>
      <c r="H11" t="str">
        <f t="shared" si="0"/>
        <v>CVCTE</v>
      </c>
      <c r="I11">
        <f t="shared" si="1"/>
        <v>8</v>
      </c>
      <c r="J11" t="str">
        <f t="shared" si="2"/>
        <v>0CVCTE8</v>
      </c>
      <c r="K11">
        <f t="shared" si="3"/>
        <v>0</v>
      </c>
    </row>
    <row r="12" spans="1:11" x14ac:dyDescent="0.25">
      <c r="B12" t="s">
        <v>6</v>
      </c>
      <c r="C12">
        <v>1</v>
      </c>
      <c r="D12" s="5">
        <v>9</v>
      </c>
      <c r="E12" s="4">
        <v>1</v>
      </c>
      <c r="F12" s="4">
        <v>0</v>
      </c>
      <c r="G12">
        <f t="shared" si="0"/>
        <v>0</v>
      </c>
      <c r="H12" t="str">
        <f t="shared" si="0"/>
        <v>FAMILY</v>
      </c>
      <c r="I12">
        <f t="shared" si="1"/>
        <v>1</v>
      </c>
      <c r="J12" t="str">
        <f t="shared" si="2"/>
        <v>0FAMILY1</v>
      </c>
      <c r="K12">
        <f t="shared" si="3"/>
        <v>0</v>
      </c>
    </row>
    <row r="13" spans="1:11" x14ac:dyDescent="0.25">
      <c r="C13">
        <v>3</v>
      </c>
      <c r="D13" s="5">
        <v>6</v>
      </c>
      <c r="E13" s="4">
        <v>1</v>
      </c>
      <c r="F13" s="4">
        <v>0</v>
      </c>
      <c r="G13">
        <f t="shared" si="0"/>
        <v>0</v>
      </c>
      <c r="H13" t="str">
        <f t="shared" si="0"/>
        <v>FAMILY</v>
      </c>
      <c r="I13">
        <f t="shared" si="1"/>
        <v>3</v>
      </c>
      <c r="J13" t="str">
        <f t="shared" si="2"/>
        <v>0FAMILY3</v>
      </c>
      <c r="K13">
        <f t="shared" si="3"/>
        <v>0</v>
      </c>
    </row>
    <row r="14" spans="1:11" x14ac:dyDescent="0.25">
      <c r="C14">
        <v>5</v>
      </c>
      <c r="D14" s="5">
        <v>2</v>
      </c>
      <c r="E14" s="4">
        <v>1</v>
      </c>
      <c r="F14" s="4">
        <v>0</v>
      </c>
      <c r="G14">
        <f t="shared" si="0"/>
        <v>0</v>
      </c>
      <c r="H14" t="str">
        <f t="shared" si="0"/>
        <v>FAMILY</v>
      </c>
      <c r="I14">
        <f t="shared" si="1"/>
        <v>5</v>
      </c>
      <c r="J14" t="str">
        <f t="shared" si="2"/>
        <v>0FAMILY5</v>
      </c>
      <c r="K14">
        <f t="shared" si="3"/>
        <v>0</v>
      </c>
    </row>
    <row r="15" spans="1:11" x14ac:dyDescent="0.25">
      <c r="C15">
        <v>6</v>
      </c>
      <c r="D15" s="5">
        <v>1</v>
      </c>
      <c r="E15" s="4">
        <v>1</v>
      </c>
      <c r="F15" s="4">
        <v>0</v>
      </c>
      <c r="G15">
        <f t="shared" si="0"/>
        <v>0</v>
      </c>
      <c r="H15" t="str">
        <f t="shared" si="0"/>
        <v>FAMILY</v>
      </c>
      <c r="I15">
        <f t="shared" si="1"/>
        <v>6</v>
      </c>
      <c r="J15" t="str">
        <f t="shared" si="2"/>
        <v>0FAMILY6</v>
      </c>
      <c r="K15">
        <f t="shared" si="3"/>
        <v>0</v>
      </c>
    </row>
    <row r="16" spans="1:11" x14ac:dyDescent="0.25">
      <c r="C16">
        <v>7</v>
      </c>
      <c r="D16" s="5">
        <v>5</v>
      </c>
      <c r="E16" s="4">
        <v>1</v>
      </c>
      <c r="F16" s="4">
        <v>0</v>
      </c>
      <c r="G16">
        <f t="shared" si="0"/>
        <v>0</v>
      </c>
      <c r="H16" t="str">
        <f t="shared" si="0"/>
        <v>FAMILY</v>
      </c>
      <c r="I16">
        <f t="shared" si="1"/>
        <v>7</v>
      </c>
      <c r="J16" t="str">
        <f t="shared" si="2"/>
        <v>0FAMILY7</v>
      </c>
      <c r="K16">
        <f t="shared" si="3"/>
        <v>0</v>
      </c>
    </row>
    <row r="17" spans="2:11" x14ac:dyDescent="0.25">
      <c r="C17">
        <v>8</v>
      </c>
      <c r="D17" s="5">
        <v>4</v>
      </c>
      <c r="E17" s="4">
        <v>1</v>
      </c>
      <c r="F17" s="4">
        <v>0</v>
      </c>
      <c r="G17">
        <f t="shared" si="0"/>
        <v>0</v>
      </c>
      <c r="H17" t="str">
        <f t="shared" si="0"/>
        <v>FAMILY</v>
      </c>
      <c r="I17">
        <f t="shared" si="1"/>
        <v>8</v>
      </c>
      <c r="J17" t="str">
        <f t="shared" si="2"/>
        <v>0FAMILY8</v>
      </c>
      <c r="K17">
        <f t="shared" si="3"/>
        <v>0</v>
      </c>
    </row>
    <row r="18" spans="2:11" x14ac:dyDescent="0.25">
      <c r="B18" t="s">
        <v>5</v>
      </c>
      <c r="C18">
        <v>1</v>
      </c>
      <c r="D18" s="5">
        <v>5</v>
      </c>
      <c r="E18" s="4">
        <v>0.2</v>
      </c>
      <c r="F18" s="4">
        <v>0</v>
      </c>
      <c r="G18">
        <f t="shared" si="0"/>
        <v>0</v>
      </c>
      <c r="H18" t="str">
        <f t="shared" si="0"/>
        <v>INDIV</v>
      </c>
      <c r="I18">
        <f t="shared" si="1"/>
        <v>1</v>
      </c>
      <c r="J18" t="str">
        <f t="shared" si="2"/>
        <v>0INDIV1</v>
      </c>
      <c r="K18">
        <f t="shared" si="3"/>
        <v>0</v>
      </c>
    </row>
    <row r="19" spans="2:11" x14ac:dyDescent="0.25">
      <c r="C19">
        <v>2</v>
      </c>
      <c r="D19" s="5">
        <v>17</v>
      </c>
      <c r="E19" s="4">
        <v>4.8387096774193498E-2</v>
      </c>
      <c r="F19" s="4">
        <v>0</v>
      </c>
      <c r="G19">
        <f t="shared" si="0"/>
        <v>0</v>
      </c>
      <c r="H19" t="str">
        <f t="shared" si="0"/>
        <v>INDIV</v>
      </c>
      <c r="I19">
        <f t="shared" si="1"/>
        <v>2</v>
      </c>
      <c r="J19" t="str">
        <f t="shared" si="2"/>
        <v>0INDIV2</v>
      </c>
      <c r="K19">
        <f t="shared" si="3"/>
        <v>0</v>
      </c>
    </row>
    <row r="20" spans="2:11" x14ac:dyDescent="0.25">
      <c r="C20">
        <v>3</v>
      </c>
      <c r="D20" s="5">
        <v>56</v>
      </c>
      <c r="E20" s="4">
        <v>8.9285714285714302E-2</v>
      </c>
      <c r="F20" s="4">
        <v>0</v>
      </c>
      <c r="G20">
        <f t="shared" si="0"/>
        <v>0</v>
      </c>
      <c r="H20" t="str">
        <f t="shared" si="0"/>
        <v>INDIV</v>
      </c>
      <c r="I20">
        <f t="shared" si="1"/>
        <v>3</v>
      </c>
      <c r="J20" t="str">
        <f t="shared" si="2"/>
        <v>0INDIV3</v>
      </c>
      <c r="K20">
        <f t="shared" si="3"/>
        <v>0</v>
      </c>
    </row>
    <row r="21" spans="2:11" x14ac:dyDescent="0.25">
      <c r="C21">
        <v>4</v>
      </c>
      <c r="D21" s="5">
        <v>7</v>
      </c>
      <c r="E21" s="4">
        <v>8.5106382978723402E-2</v>
      </c>
      <c r="F21" s="4">
        <v>0</v>
      </c>
      <c r="G21">
        <f t="shared" si="0"/>
        <v>0</v>
      </c>
      <c r="H21" t="str">
        <f t="shared" si="0"/>
        <v>INDIV</v>
      </c>
      <c r="I21">
        <f t="shared" si="1"/>
        <v>4</v>
      </c>
      <c r="J21" t="str">
        <f t="shared" si="2"/>
        <v>0INDIV4</v>
      </c>
      <c r="K21">
        <f t="shared" si="3"/>
        <v>0</v>
      </c>
    </row>
    <row r="22" spans="2:11" x14ac:dyDescent="0.25">
      <c r="C22">
        <v>5</v>
      </c>
      <c r="D22" s="5">
        <v>7</v>
      </c>
      <c r="E22" s="4">
        <v>7.69230769230769E-2</v>
      </c>
      <c r="F22" s="4">
        <v>0</v>
      </c>
      <c r="G22">
        <f t="shared" si="0"/>
        <v>0</v>
      </c>
      <c r="H22" t="str">
        <f t="shared" si="0"/>
        <v>INDIV</v>
      </c>
      <c r="I22">
        <f t="shared" si="1"/>
        <v>5</v>
      </c>
      <c r="J22" t="str">
        <f t="shared" si="2"/>
        <v>0INDIV5</v>
      </c>
      <c r="K22">
        <f t="shared" si="3"/>
        <v>0</v>
      </c>
    </row>
    <row r="23" spans="2:11" x14ac:dyDescent="0.25">
      <c r="C23">
        <v>6</v>
      </c>
      <c r="D23" s="5">
        <v>9</v>
      </c>
      <c r="E23" s="4">
        <v>3.2258064516128997E-2</v>
      </c>
      <c r="F23" s="4">
        <v>0</v>
      </c>
      <c r="G23">
        <f t="shared" si="0"/>
        <v>0</v>
      </c>
      <c r="H23" t="str">
        <f t="shared" si="0"/>
        <v>INDIV</v>
      </c>
      <c r="I23">
        <f t="shared" si="1"/>
        <v>6</v>
      </c>
      <c r="J23" t="str">
        <f t="shared" si="2"/>
        <v>0INDIV6</v>
      </c>
      <c r="K23">
        <f t="shared" si="3"/>
        <v>0</v>
      </c>
    </row>
    <row r="24" spans="2:11" x14ac:dyDescent="0.25">
      <c r="C24">
        <v>7</v>
      </c>
      <c r="D24" s="5">
        <v>55</v>
      </c>
      <c r="E24" s="4">
        <v>9.0909090909090898E-2</v>
      </c>
      <c r="F24" s="4">
        <v>0</v>
      </c>
      <c r="G24">
        <f t="shared" si="0"/>
        <v>0</v>
      </c>
      <c r="H24" t="str">
        <f t="shared" si="0"/>
        <v>INDIV</v>
      </c>
      <c r="I24">
        <f t="shared" si="1"/>
        <v>7</v>
      </c>
      <c r="J24" t="str">
        <f t="shared" si="2"/>
        <v>0INDIV7</v>
      </c>
      <c r="K24">
        <f t="shared" si="3"/>
        <v>0</v>
      </c>
    </row>
    <row r="25" spans="2:11" x14ac:dyDescent="0.25">
      <c r="C25">
        <v>8</v>
      </c>
      <c r="D25" s="5">
        <v>39</v>
      </c>
      <c r="E25" s="4">
        <v>6.8181818181818205E-2</v>
      </c>
      <c r="F25" s="4">
        <v>0</v>
      </c>
      <c r="G25">
        <f t="shared" si="0"/>
        <v>0</v>
      </c>
      <c r="H25" t="str">
        <f t="shared" si="0"/>
        <v>INDIV</v>
      </c>
      <c r="I25">
        <f t="shared" si="1"/>
        <v>8</v>
      </c>
      <c r="J25" t="str">
        <f t="shared" si="2"/>
        <v>0INDIV8</v>
      </c>
      <c r="K25">
        <f t="shared" si="3"/>
        <v>0</v>
      </c>
    </row>
    <row r="26" spans="2:11" x14ac:dyDescent="0.25">
      <c r="B26" t="s">
        <v>4</v>
      </c>
      <c r="C26">
        <v>1</v>
      </c>
      <c r="D26" s="5">
        <v>50</v>
      </c>
      <c r="E26" s="4">
        <v>0.02</v>
      </c>
      <c r="F26" s="4">
        <v>0</v>
      </c>
      <c r="G26">
        <f t="shared" si="0"/>
        <v>0</v>
      </c>
      <c r="H26" t="str">
        <f t="shared" si="0"/>
        <v>NON-HS</v>
      </c>
      <c r="I26">
        <f t="shared" si="1"/>
        <v>1</v>
      </c>
      <c r="J26" t="str">
        <f t="shared" si="2"/>
        <v>0NON-HS1</v>
      </c>
      <c r="K26">
        <f t="shared" si="3"/>
        <v>0</v>
      </c>
    </row>
    <row r="27" spans="2:11" x14ac:dyDescent="0.25">
      <c r="C27">
        <v>2</v>
      </c>
      <c r="D27" s="5">
        <v>83</v>
      </c>
      <c r="E27" s="4">
        <v>2.2140221402214E-2</v>
      </c>
      <c r="F27" s="4">
        <v>0</v>
      </c>
      <c r="G27">
        <f t="shared" si="0"/>
        <v>0</v>
      </c>
      <c r="H27" t="str">
        <f t="shared" si="0"/>
        <v>NON-HS</v>
      </c>
      <c r="I27">
        <f t="shared" si="1"/>
        <v>2</v>
      </c>
      <c r="J27" t="str">
        <f t="shared" si="2"/>
        <v>0NON-HS2</v>
      </c>
      <c r="K27">
        <f t="shared" si="3"/>
        <v>0</v>
      </c>
    </row>
    <row r="28" spans="2:11" x14ac:dyDescent="0.25">
      <c r="C28">
        <v>3</v>
      </c>
      <c r="D28" s="5">
        <v>194</v>
      </c>
      <c r="E28" s="4">
        <v>3.09278350515464E-2</v>
      </c>
      <c r="F28" s="4">
        <v>0</v>
      </c>
      <c r="G28">
        <f t="shared" si="0"/>
        <v>0</v>
      </c>
      <c r="H28" t="str">
        <f t="shared" si="0"/>
        <v>NON-HS</v>
      </c>
      <c r="I28">
        <f t="shared" si="1"/>
        <v>3</v>
      </c>
      <c r="J28" t="str">
        <f t="shared" si="2"/>
        <v>0NON-HS3</v>
      </c>
      <c r="K28">
        <f t="shared" si="3"/>
        <v>0</v>
      </c>
    </row>
    <row r="29" spans="2:11" x14ac:dyDescent="0.25">
      <c r="C29">
        <v>4</v>
      </c>
      <c r="D29" s="5">
        <v>1</v>
      </c>
      <c r="E29" s="4">
        <v>2.6315789473684199E-2</v>
      </c>
      <c r="F29" s="4">
        <v>0</v>
      </c>
      <c r="G29">
        <f t="shared" si="0"/>
        <v>0</v>
      </c>
      <c r="H29" t="str">
        <f t="shared" si="0"/>
        <v>NON-HS</v>
      </c>
      <c r="I29">
        <f t="shared" si="1"/>
        <v>4</v>
      </c>
      <c r="J29" t="str">
        <f t="shared" si="2"/>
        <v>0NON-HS4</v>
      </c>
      <c r="K29">
        <f t="shared" si="3"/>
        <v>0</v>
      </c>
    </row>
    <row r="30" spans="2:11" x14ac:dyDescent="0.25">
      <c r="C30">
        <v>5</v>
      </c>
      <c r="D30" s="5">
        <v>23</v>
      </c>
      <c r="E30" s="4">
        <v>3.2258064516128997E-2</v>
      </c>
      <c r="F30" s="4">
        <v>0</v>
      </c>
      <c r="G30">
        <f t="shared" si="0"/>
        <v>0</v>
      </c>
      <c r="H30" t="str">
        <f t="shared" si="0"/>
        <v>NON-HS</v>
      </c>
      <c r="I30">
        <f t="shared" si="1"/>
        <v>5</v>
      </c>
      <c r="J30" t="str">
        <f t="shared" si="2"/>
        <v>0NON-HS5</v>
      </c>
      <c r="K30">
        <f t="shared" si="3"/>
        <v>0</v>
      </c>
    </row>
    <row r="31" spans="2:11" x14ac:dyDescent="0.25">
      <c r="C31">
        <v>6</v>
      </c>
      <c r="D31" s="5">
        <v>48</v>
      </c>
      <c r="E31" s="4">
        <v>2.34375E-2</v>
      </c>
      <c r="F31" s="4">
        <v>0</v>
      </c>
      <c r="G31">
        <f t="shared" si="0"/>
        <v>0</v>
      </c>
      <c r="H31" t="str">
        <f t="shared" si="0"/>
        <v>NON-HS</v>
      </c>
      <c r="I31">
        <f t="shared" si="1"/>
        <v>6</v>
      </c>
      <c r="J31" t="str">
        <f t="shared" si="2"/>
        <v>0NON-HS6</v>
      </c>
      <c r="K31">
        <f t="shared" si="3"/>
        <v>0</v>
      </c>
    </row>
    <row r="32" spans="2:11" x14ac:dyDescent="0.25">
      <c r="C32">
        <v>7</v>
      </c>
      <c r="D32" s="5">
        <v>132</v>
      </c>
      <c r="E32" s="4">
        <v>4.5454545454545497E-2</v>
      </c>
      <c r="F32" s="4">
        <v>0</v>
      </c>
      <c r="G32">
        <f t="shared" si="0"/>
        <v>0</v>
      </c>
      <c r="H32" t="str">
        <f t="shared" si="0"/>
        <v>NON-HS</v>
      </c>
      <c r="I32">
        <f t="shared" si="1"/>
        <v>7</v>
      </c>
      <c r="J32" t="str">
        <f t="shared" si="2"/>
        <v>0NON-HS7</v>
      </c>
      <c r="K32">
        <f t="shared" si="3"/>
        <v>0</v>
      </c>
    </row>
    <row r="33" spans="1:11" x14ac:dyDescent="0.25">
      <c r="C33">
        <v>8</v>
      </c>
      <c r="D33" s="5">
        <v>99</v>
      </c>
      <c r="E33" s="4">
        <v>3.3333333333333298E-2</v>
      </c>
      <c r="F33" s="4">
        <v>0</v>
      </c>
      <c r="G33">
        <f t="shared" si="0"/>
        <v>0</v>
      </c>
      <c r="H33" t="str">
        <f t="shared" si="0"/>
        <v>NON-HS</v>
      </c>
      <c r="I33">
        <f t="shared" si="1"/>
        <v>8</v>
      </c>
      <c r="J33" t="str">
        <f t="shared" si="2"/>
        <v>0NON-HS8</v>
      </c>
      <c r="K33">
        <f t="shared" si="3"/>
        <v>0</v>
      </c>
    </row>
    <row r="34" spans="1:11" x14ac:dyDescent="0.25">
      <c r="A34">
        <v>1</v>
      </c>
      <c r="B34" t="s">
        <v>3</v>
      </c>
      <c r="C34">
        <v>4</v>
      </c>
      <c r="D34" s="5">
        <v>25</v>
      </c>
      <c r="E34" s="4">
        <v>0.164383561643836</v>
      </c>
      <c r="F34" s="4">
        <v>0.30434782608695699</v>
      </c>
      <c r="G34">
        <f t="shared" si="0"/>
        <v>1</v>
      </c>
      <c r="H34" t="str">
        <f t="shared" si="0"/>
        <v>CVCTE</v>
      </c>
      <c r="I34">
        <f t="shared" si="1"/>
        <v>4</v>
      </c>
      <c r="J34" t="str">
        <f t="shared" si="2"/>
        <v>1CVCTE4</v>
      </c>
      <c r="K34">
        <f t="shared" si="3"/>
        <v>0.30434782608695699</v>
      </c>
    </row>
    <row r="35" spans="1:11" x14ac:dyDescent="0.25">
      <c r="B35" t="s">
        <v>6</v>
      </c>
      <c r="C35">
        <v>4</v>
      </c>
      <c r="D35" s="5">
        <v>3</v>
      </c>
      <c r="E35" s="4">
        <v>1</v>
      </c>
      <c r="F35" s="4">
        <v>0</v>
      </c>
      <c r="G35">
        <f t="shared" si="0"/>
        <v>1</v>
      </c>
      <c r="H35" t="str">
        <f t="shared" si="0"/>
        <v>FAMILY</v>
      </c>
      <c r="I35">
        <f t="shared" si="1"/>
        <v>4</v>
      </c>
      <c r="J35" t="str">
        <f t="shared" si="2"/>
        <v>1FAMILY4</v>
      </c>
      <c r="K35">
        <f t="shared" si="3"/>
        <v>0</v>
      </c>
    </row>
    <row r="36" spans="1:11" x14ac:dyDescent="0.25">
      <c r="B36" t="s">
        <v>5</v>
      </c>
      <c r="C36">
        <v>4</v>
      </c>
      <c r="D36" s="5">
        <v>9</v>
      </c>
      <c r="E36" s="4">
        <v>8.5106382978723402E-2</v>
      </c>
      <c r="F36" s="4">
        <v>0</v>
      </c>
      <c r="G36">
        <f t="shared" si="0"/>
        <v>1</v>
      </c>
      <c r="H36" t="str">
        <f t="shared" si="0"/>
        <v>INDIV</v>
      </c>
      <c r="I36">
        <f t="shared" si="1"/>
        <v>4</v>
      </c>
      <c r="J36" t="str">
        <f t="shared" si="2"/>
        <v>1INDIV4</v>
      </c>
      <c r="K36">
        <f t="shared" si="3"/>
        <v>0</v>
      </c>
    </row>
    <row r="37" spans="1:11" x14ac:dyDescent="0.25">
      <c r="C37">
        <v>6</v>
      </c>
      <c r="D37" s="5">
        <v>1</v>
      </c>
      <c r="E37" s="4">
        <v>3.2258064516128997E-2</v>
      </c>
      <c r="F37" s="4">
        <v>0</v>
      </c>
      <c r="G37">
        <f t="shared" si="0"/>
        <v>1</v>
      </c>
      <c r="H37" t="str">
        <f t="shared" si="0"/>
        <v>INDIV</v>
      </c>
      <c r="I37">
        <f t="shared" si="1"/>
        <v>6</v>
      </c>
      <c r="J37" t="str">
        <f t="shared" si="2"/>
        <v>1INDIV6</v>
      </c>
      <c r="K37">
        <f t="shared" si="3"/>
        <v>0</v>
      </c>
    </row>
    <row r="38" spans="1:11" x14ac:dyDescent="0.25">
      <c r="B38" t="s">
        <v>4</v>
      </c>
      <c r="C38">
        <v>4</v>
      </c>
      <c r="D38" s="5">
        <v>30</v>
      </c>
      <c r="E38" s="4">
        <v>2.6315789473684199E-2</v>
      </c>
      <c r="F38" s="4">
        <v>0.1</v>
      </c>
      <c r="G38">
        <f t="shared" si="0"/>
        <v>1</v>
      </c>
      <c r="H38" t="str">
        <f t="shared" si="0"/>
        <v>NON-HS</v>
      </c>
      <c r="I38">
        <f t="shared" si="1"/>
        <v>4</v>
      </c>
      <c r="J38" t="str">
        <f t="shared" si="2"/>
        <v>1NON-HS4</v>
      </c>
      <c r="K38">
        <f t="shared" si="3"/>
        <v>0.1</v>
      </c>
    </row>
    <row r="39" spans="1:11" x14ac:dyDescent="0.25">
      <c r="C39">
        <v>6</v>
      </c>
      <c r="D39" s="5">
        <v>2</v>
      </c>
      <c r="E39" s="4">
        <v>2.34375E-2</v>
      </c>
      <c r="F39" s="4">
        <v>0</v>
      </c>
      <c r="G39">
        <f t="shared" si="0"/>
        <v>1</v>
      </c>
      <c r="H39" t="str">
        <f t="shared" si="0"/>
        <v>NON-HS</v>
      </c>
      <c r="I39">
        <f t="shared" si="1"/>
        <v>6</v>
      </c>
      <c r="J39" t="str">
        <f t="shared" si="2"/>
        <v>1NON-HS6</v>
      </c>
      <c r="K39">
        <f t="shared" si="3"/>
        <v>0</v>
      </c>
    </row>
    <row r="40" spans="1:11" x14ac:dyDescent="0.25">
      <c r="A40">
        <v>2</v>
      </c>
      <c r="B40" t="s">
        <v>3</v>
      </c>
      <c r="C40">
        <v>2</v>
      </c>
      <c r="D40" s="5">
        <v>28</v>
      </c>
      <c r="E40" s="4">
        <v>0.17910447761194001</v>
      </c>
      <c r="F40" s="4">
        <v>0.36363636363636398</v>
      </c>
      <c r="G40">
        <f t="shared" si="0"/>
        <v>2</v>
      </c>
      <c r="H40" t="str">
        <f t="shared" si="0"/>
        <v>CVCTE</v>
      </c>
      <c r="I40">
        <f t="shared" si="1"/>
        <v>2</v>
      </c>
      <c r="J40" t="str">
        <f t="shared" si="2"/>
        <v>2CVCTE2</v>
      </c>
      <c r="K40">
        <f t="shared" si="3"/>
        <v>0.36363636363636398</v>
      </c>
    </row>
    <row r="41" spans="1:11" x14ac:dyDescent="0.25">
      <c r="B41" t="s">
        <v>6</v>
      </c>
      <c r="C41">
        <v>2</v>
      </c>
      <c r="D41" s="5">
        <v>1</v>
      </c>
      <c r="E41" s="4">
        <v>1</v>
      </c>
      <c r="F41" s="4">
        <v>0</v>
      </c>
      <c r="G41">
        <f t="shared" si="0"/>
        <v>2</v>
      </c>
      <c r="H41" t="str">
        <f t="shared" si="0"/>
        <v>FAMILY</v>
      </c>
      <c r="I41">
        <f t="shared" si="1"/>
        <v>2</v>
      </c>
      <c r="J41" t="str">
        <f t="shared" si="2"/>
        <v>2FAMILY2</v>
      </c>
      <c r="K41">
        <f t="shared" si="3"/>
        <v>0</v>
      </c>
    </row>
    <row r="42" spans="1:11" x14ac:dyDescent="0.25">
      <c r="B42" t="s">
        <v>5</v>
      </c>
      <c r="C42">
        <v>2</v>
      </c>
      <c r="D42" s="5">
        <v>11</v>
      </c>
      <c r="E42" s="4">
        <v>4.8387096774193498E-2</v>
      </c>
      <c r="F42" s="4">
        <v>0.18181818181818199</v>
      </c>
      <c r="G42">
        <f t="shared" si="0"/>
        <v>2</v>
      </c>
      <c r="H42" t="str">
        <f t="shared" si="0"/>
        <v>INDIV</v>
      </c>
      <c r="I42">
        <f t="shared" si="1"/>
        <v>2</v>
      </c>
      <c r="J42" t="str">
        <f t="shared" si="2"/>
        <v>2INDIV2</v>
      </c>
      <c r="K42">
        <f t="shared" si="3"/>
        <v>0.18181818181818199</v>
      </c>
    </row>
    <row r="43" spans="1:11" x14ac:dyDescent="0.25">
      <c r="B43" t="s">
        <v>4</v>
      </c>
      <c r="C43">
        <v>2</v>
      </c>
      <c r="D43" s="5">
        <v>28</v>
      </c>
      <c r="E43" s="4">
        <v>2.2140221402214E-2</v>
      </c>
      <c r="F43" s="4">
        <v>7.4074074074074098E-2</v>
      </c>
      <c r="G43">
        <f t="shared" si="0"/>
        <v>2</v>
      </c>
      <c r="H43" t="str">
        <f t="shared" si="0"/>
        <v>NON-HS</v>
      </c>
      <c r="I43">
        <f t="shared" si="1"/>
        <v>2</v>
      </c>
      <c r="J43" t="str">
        <f t="shared" si="2"/>
        <v>2NON-HS2</v>
      </c>
      <c r="K43">
        <f t="shared" si="3"/>
        <v>7.4074074074074098E-2</v>
      </c>
    </row>
    <row r="44" spans="1:11" x14ac:dyDescent="0.25">
      <c r="A44">
        <v>3</v>
      </c>
      <c r="B44" t="s">
        <v>3</v>
      </c>
      <c r="C44">
        <v>2</v>
      </c>
      <c r="D44" s="5">
        <v>18</v>
      </c>
      <c r="E44" s="4">
        <v>0.17910447761194001</v>
      </c>
      <c r="F44" s="4">
        <v>0.76470588235294101</v>
      </c>
      <c r="G44">
        <f t="shared" si="0"/>
        <v>3</v>
      </c>
      <c r="H44" t="str">
        <f t="shared" si="0"/>
        <v>CVCTE</v>
      </c>
      <c r="I44">
        <f t="shared" si="1"/>
        <v>2</v>
      </c>
      <c r="J44" t="str">
        <f t="shared" si="2"/>
        <v>3CVCTE2</v>
      </c>
      <c r="K44">
        <f t="shared" si="3"/>
        <v>0.76470588235294101</v>
      </c>
    </row>
    <row r="45" spans="1:11" x14ac:dyDescent="0.25">
      <c r="B45" t="s">
        <v>6</v>
      </c>
      <c r="C45">
        <v>2</v>
      </c>
      <c r="D45" s="5">
        <v>1</v>
      </c>
      <c r="E45" s="4">
        <v>1</v>
      </c>
      <c r="F45" s="4">
        <v>0</v>
      </c>
      <c r="G45">
        <f t="shared" si="0"/>
        <v>3</v>
      </c>
      <c r="H45" t="str">
        <f t="shared" si="0"/>
        <v>FAMILY</v>
      </c>
      <c r="I45">
        <f t="shared" si="1"/>
        <v>2</v>
      </c>
      <c r="J45" t="str">
        <f t="shared" si="2"/>
        <v>3FAMILY2</v>
      </c>
      <c r="K45">
        <f t="shared" si="3"/>
        <v>0</v>
      </c>
    </row>
    <row r="46" spans="1:11" x14ac:dyDescent="0.25">
      <c r="B46" t="s">
        <v>5</v>
      </c>
      <c r="C46">
        <v>2</v>
      </c>
      <c r="D46" s="5">
        <v>6</v>
      </c>
      <c r="E46" s="4">
        <v>4.8387096774193498E-2</v>
      </c>
      <c r="F46" s="4">
        <v>0.2</v>
      </c>
      <c r="G46">
        <f t="shared" si="0"/>
        <v>3</v>
      </c>
      <c r="H46" t="str">
        <f t="shared" si="0"/>
        <v>INDIV</v>
      </c>
      <c r="I46">
        <f t="shared" si="1"/>
        <v>2</v>
      </c>
      <c r="J46" t="str">
        <f t="shared" si="2"/>
        <v>3INDIV2</v>
      </c>
      <c r="K46">
        <f t="shared" si="3"/>
        <v>0.2</v>
      </c>
    </row>
    <row r="47" spans="1:11" x14ac:dyDescent="0.25">
      <c r="B47" t="s">
        <v>4</v>
      </c>
      <c r="C47">
        <v>2</v>
      </c>
      <c r="D47" s="5">
        <v>35</v>
      </c>
      <c r="E47" s="4">
        <v>2.2140221402214E-2</v>
      </c>
      <c r="F47" s="4">
        <v>0.25714285714285701</v>
      </c>
      <c r="G47">
        <f t="shared" si="0"/>
        <v>3</v>
      </c>
      <c r="H47" t="str">
        <f t="shared" si="0"/>
        <v>NON-HS</v>
      </c>
      <c r="I47">
        <f t="shared" si="1"/>
        <v>2</v>
      </c>
      <c r="J47" t="str">
        <f t="shared" si="2"/>
        <v>3NON-HS2</v>
      </c>
      <c r="K47">
        <f t="shared" si="3"/>
        <v>0.25714285714285701</v>
      </c>
    </row>
    <row r="48" spans="1:11" x14ac:dyDescent="0.25">
      <c r="A48">
        <v>4</v>
      </c>
      <c r="B48" t="s">
        <v>3</v>
      </c>
      <c r="C48">
        <v>2</v>
      </c>
      <c r="D48" s="5">
        <v>3</v>
      </c>
      <c r="E48" s="4">
        <v>0.17910447761194001</v>
      </c>
      <c r="F48" s="4">
        <v>0.6</v>
      </c>
      <c r="G48">
        <f t="shared" si="0"/>
        <v>4</v>
      </c>
      <c r="H48" t="str">
        <f t="shared" si="0"/>
        <v>CVCTE</v>
      </c>
      <c r="I48">
        <f t="shared" si="1"/>
        <v>2</v>
      </c>
      <c r="J48" t="str">
        <f t="shared" si="2"/>
        <v>4CVCTE2</v>
      </c>
      <c r="K48">
        <f t="shared" si="3"/>
        <v>0.6</v>
      </c>
    </row>
    <row r="49" spans="1:11" x14ac:dyDescent="0.25">
      <c r="C49">
        <v>4</v>
      </c>
      <c r="D49" s="5">
        <v>3</v>
      </c>
      <c r="E49" s="4">
        <v>0.164383561643836</v>
      </c>
      <c r="F49" s="4">
        <v>0.6</v>
      </c>
      <c r="G49">
        <f t="shared" si="0"/>
        <v>4</v>
      </c>
      <c r="H49" t="str">
        <f t="shared" si="0"/>
        <v>CVCTE</v>
      </c>
      <c r="I49">
        <f t="shared" si="1"/>
        <v>4</v>
      </c>
      <c r="J49" t="str">
        <f t="shared" si="2"/>
        <v>4CVCTE4</v>
      </c>
      <c r="K49">
        <f t="shared" si="3"/>
        <v>0.6</v>
      </c>
    </row>
    <row r="50" spans="1:11" x14ac:dyDescent="0.25">
      <c r="C50">
        <v>11</v>
      </c>
      <c r="D50" s="5">
        <v>2</v>
      </c>
      <c r="E50" s="4">
        <v>0.46666666666666701</v>
      </c>
      <c r="F50" s="4">
        <v>0</v>
      </c>
      <c r="G50">
        <f t="shared" si="0"/>
        <v>4</v>
      </c>
      <c r="H50" t="str">
        <f t="shared" si="0"/>
        <v>CVCTE</v>
      </c>
      <c r="I50">
        <f t="shared" si="1"/>
        <v>11</v>
      </c>
      <c r="J50" t="str">
        <f t="shared" si="2"/>
        <v>4CVCTE11</v>
      </c>
      <c r="K50">
        <f t="shared" si="3"/>
        <v>0</v>
      </c>
    </row>
    <row r="51" spans="1:11" x14ac:dyDescent="0.25">
      <c r="B51" t="s">
        <v>6</v>
      </c>
      <c r="C51">
        <v>4</v>
      </c>
      <c r="D51" s="5">
        <v>1</v>
      </c>
      <c r="E51" s="4">
        <v>1</v>
      </c>
      <c r="F51" s="4">
        <v>0</v>
      </c>
      <c r="G51">
        <f t="shared" si="0"/>
        <v>4</v>
      </c>
      <c r="H51" t="str">
        <f t="shared" si="0"/>
        <v>FAMILY</v>
      </c>
      <c r="I51">
        <f t="shared" si="1"/>
        <v>4</v>
      </c>
      <c r="J51" t="str">
        <f t="shared" si="2"/>
        <v>4FAMILY4</v>
      </c>
      <c r="K51">
        <f t="shared" si="3"/>
        <v>0</v>
      </c>
    </row>
    <row r="52" spans="1:11" x14ac:dyDescent="0.25">
      <c r="B52" t="s">
        <v>5</v>
      </c>
      <c r="C52">
        <v>2</v>
      </c>
      <c r="D52" s="5">
        <v>6</v>
      </c>
      <c r="E52" s="4">
        <v>4.8387096774193498E-2</v>
      </c>
      <c r="F52" s="4">
        <v>0.14285714285714299</v>
      </c>
      <c r="G52">
        <f t="shared" si="0"/>
        <v>4</v>
      </c>
      <c r="H52" t="str">
        <f t="shared" si="0"/>
        <v>INDIV</v>
      </c>
      <c r="I52">
        <f t="shared" si="1"/>
        <v>2</v>
      </c>
      <c r="J52" t="str">
        <f t="shared" si="2"/>
        <v>4INDIV2</v>
      </c>
      <c r="K52">
        <f t="shared" si="3"/>
        <v>0.14285714285714299</v>
      </c>
    </row>
    <row r="53" spans="1:11" x14ac:dyDescent="0.25">
      <c r="C53">
        <v>4</v>
      </c>
      <c r="D53" s="5">
        <v>9</v>
      </c>
      <c r="E53" s="4">
        <v>8.5106382978723402E-2</v>
      </c>
      <c r="F53" s="4">
        <v>0.14285714285714299</v>
      </c>
      <c r="G53">
        <f t="shared" si="0"/>
        <v>4</v>
      </c>
      <c r="H53" t="str">
        <f t="shared" si="0"/>
        <v>INDIV</v>
      </c>
      <c r="I53">
        <f t="shared" si="1"/>
        <v>4</v>
      </c>
      <c r="J53" t="str">
        <f t="shared" si="2"/>
        <v>4INDIV4</v>
      </c>
      <c r="K53">
        <f t="shared" si="3"/>
        <v>0.14285714285714299</v>
      </c>
    </row>
    <row r="54" spans="1:11" x14ac:dyDescent="0.25">
      <c r="C54">
        <v>11</v>
      </c>
      <c r="D54" s="5">
        <v>1</v>
      </c>
      <c r="E54" s="4">
        <v>0.2</v>
      </c>
      <c r="F54" s="4">
        <v>0</v>
      </c>
      <c r="G54">
        <f t="shared" si="0"/>
        <v>4</v>
      </c>
      <c r="H54" t="str">
        <f t="shared" si="0"/>
        <v>INDIV</v>
      </c>
      <c r="I54">
        <f t="shared" si="1"/>
        <v>11</v>
      </c>
      <c r="J54" t="str">
        <f t="shared" si="2"/>
        <v>4INDIV11</v>
      </c>
      <c r="K54">
        <f t="shared" si="3"/>
        <v>0</v>
      </c>
    </row>
    <row r="55" spans="1:11" x14ac:dyDescent="0.25">
      <c r="B55" t="s">
        <v>4</v>
      </c>
      <c r="C55">
        <v>2</v>
      </c>
      <c r="D55" s="5">
        <v>14</v>
      </c>
      <c r="E55" s="4">
        <v>2.2140221402214E-2</v>
      </c>
      <c r="F55" s="4">
        <v>9.3023255813953501E-2</v>
      </c>
      <c r="G55">
        <f t="shared" si="0"/>
        <v>4</v>
      </c>
      <c r="H55" t="str">
        <f t="shared" si="0"/>
        <v>NON-HS</v>
      </c>
      <c r="I55">
        <f t="shared" si="1"/>
        <v>2</v>
      </c>
      <c r="J55" t="str">
        <f t="shared" si="2"/>
        <v>4NON-HS2</v>
      </c>
      <c r="K55">
        <f t="shared" si="3"/>
        <v>9.3023255813953501E-2</v>
      </c>
    </row>
    <row r="56" spans="1:11" x14ac:dyDescent="0.25">
      <c r="C56">
        <v>4</v>
      </c>
      <c r="D56" s="5">
        <v>26</v>
      </c>
      <c r="E56" s="4">
        <v>2.6315789473684199E-2</v>
      </c>
      <c r="F56" s="4">
        <v>9.3023255813953501E-2</v>
      </c>
      <c r="G56">
        <f t="shared" si="0"/>
        <v>4</v>
      </c>
      <c r="H56" t="str">
        <f t="shared" si="0"/>
        <v>NON-HS</v>
      </c>
      <c r="I56">
        <f t="shared" si="1"/>
        <v>4</v>
      </c>
      <c r="J56" t="str">
        <f t="shared" si="2"/>
        <v>4NON-HS4</v>
      </c>
      <c r="K56">
        <f t="shared" si="3"/>
        <v>9.3023255813953501E-2</v>
      </c>
    </row>
    <row r="57" spans="1:11" x14ac:dyDescent="0.25">
      <c r="C57">
        <v>5</v>
      </c>
      <c r="D57" s="5">
        <v>1</v>
      </c>
      <c r="E57" s="4">
        <v>3.2258064516128997E-2</v>
      </c>
      <c r="F57" s="4">
        <v>0</v>
      </c>
      <c r="G57">
        <f t="shared" si="0"/>
        <v>4</v>
      </c>
      <c r="H57" t="str">
        <f t="shared" si="0"/>
        <v>NON-HS</v>
      </c>
      <c r="I57">
        <f t="shared" si="1"/>
        <v>5</v>
      </c>
      <c r="J57" t="str">
        <f t="shared" si="2"/>
        <v>4NON-HS5</v>
      </c>
      <c r="K57">
        <f t="shared" si="3"/>
        <v>0</v>
      </c>
    </row>
    <row r="58" spans="1:11" x14ac:dyDescent="0.25">
      <c r="C58">
        <v>11</v>
      </c>
      <c r="D58" s="5">
        <v>3</v>
      </c>
      <c r="E58" s="4">
        <v>7.69230769230769E-2</v>
      </c>
      <c r="F58" s="4">
        <v>9.3023255813953501E-2</v>
      </c>
      <c r="G58">
        <f t="shared" si="0"/>
        <v>4</v>
      </c>
      <c r="H58" t="str">
        <f t="shared" si="0"/>
        <v>NON-HS</v>
      </c>
      <c r="I58">
        <f t="shared" si="1"/>
        <v>11</v>
      </c>
      <c r="J58" t="str">
        <f t="shared" si="2"/>
        <v>4NON-HS11</v>
      </c>
      <c r="K58">
        <f t="shared" si="3"/>
        <v>9.3023255813953501E-2</v>
      </c>
    </row>
    <row r="59" spans="1:11" x14ac:dyDescent="0.25">
      <c r="A59">
        <v>5</v>
      </c>
      <c r="B59" t="s">
        <v>3</v>
      </c>
      <c r="C59">
        <v>4</v>
      </c>
      <c r="D59" s="5">
        <v>2</v>
      </c>
      <c r="E59" s="4">
        <v>0.164383561643836</v>
      </c>
      <c r="F59" s="4">
        <v>0.5</v>
      </c>
      <c r="G59">
        <f t="shared" si="0"/>
        <v>5</v>
      </c>
      <c r="H59" t="str">
        <f t="shared" si="0"/>
        <v>CVCTE</v>
      </c>
      <c r="I59">
        <f t="shared" si="1"/>
        <v>4</v>
      </c>
      <c r="J59" t="str">
        <f t="shared" si="2"/>
        <v>5CVCTE4</v>
      </c>
      <c r="K59">
        <f t="shared" si="3"/>
        <v>0.5</v>
      </c>
    </row>
    <row r="60" spans="1:11" x14ac:dyDescent="0.25">
      <c r="C60">
        <v>5</v>
      </c>
      <c r="D60" s="5">
        <v>7</v>
      </c>
      <c r="E60" s="4">
        <v>0.35</v>
      </c>
      <c r="F60" s="4">
        <v>0</v>
      </c>
      <c r="G60">
        <f t="shared" si="0"/>
        <v>5</v>
      </c>
      <c r="H60" t="str">
        <f t="shared" si="0"/>
        <v>CVCTE</v>
      </c>
      <c r="I60">
        <f t="shared" si="1"/>
        <v>5</v>
      </c>
      <c r="J60" t="str">
        <f t="shared" si="2"/>
        <v>5CVCTE5</v>
      </c>
      <c r="K60">
        <f t="shared" si="3"/>
        <v>0</v>
      </c>
    </row>
    <row r="61" spans="1:11" x14ac:dyDescent="0.25">
      <c r="B61" t="s">
        <v>5</v>
      </c>
      <c r="C61">
        <v>2</v>
      </c>
      <c r="D61" s="5">
        <v>1</v>
      </c>
      <c r="E61" s="4">
        <v>4.8387096774193498E-2</v>
      </c>
      <c r="F61" s="4">
        <v>0</v>
      </c>
      <c r="G61">
        <f t="shared" si="0"/>
        <v>5</v>
      </c>
      <c r="H61" t="str">
        <f t="shared" si="0"/>
        <v>INDIV</v>
      </c>
      <c r="I61">
        <f t="shared" si="1"/>
        <v>2</v>
      </c>
      <c r="J61" t="str">
        <f t="shared" si="2"/>
        <v>5INDIV2</v>
      </c>
      <c r="K61">
        <f t="shared" si="3"/>
        <v>0</v>
      </c>
    </row>
    <row r="62" spans="1:11" x14ac:dyDescent="0.25">
      <c r="C62">
        <v>4</v>
      </c>
      <c r="D62" s="5">
        <v>4</v>
      </c>
      <c r="E62" s="4">
        <v>8.5106382978723402E-2</v>
      </c>
      <c r="F62" s="4">
        <v>0.16666666666666699</v>
      </c>
      <c r="G62">
        <f t="shared" si="0"/>
        <v>5</v>
      </c>
      <c r="H62" t="str">
        <f t="shared" si="0"/>
        <v>INDIV</v>
      </c>
      <c r="I62">
        <f t="shared" si="1"/>
        <v>4</v>
      </c>
      <c r="J62" t="str">
        <f t="shared" si="2"/>
        <v>5INDIV4</v>
      </c>
      <c r="K62">
        <f t="shared" si="3"/>
        <v>0.16666666666666699</v>
      </c>
    </row>
    <row r="63" spans="1:11" x14ac:dyDescent="0.25">
      <c r="C63">
        <v>5</v>
      </c>
      <c r="D63" s="5">
        <v>4</v>
      </c>
      <c r="E63" s="4">
        <v>7.69230769230769E-2</v>
      </c>
      <c r="F63" s="4">
        <v>0.16666666666666699</v>
      </c>
      <c r="G63">
        <f t="shared" si="0"/>
        <v>5</v>
      </c>
      <c r="H63" t="str">
        <f t="shared" si="0"/>
        <v>INDIV</v>
      </c>
      <c r="I63">
        <f t="shared" si="1"/>
        <v>5</v>
      </c>
      <c r="J63" t="str">
        <f t="shared" si="2"/>
        <v>5INDIV5</v>
      </c>
      <c r="K63">
        <f t="shared" si="3"/>
        <v>0.16666666666666699</v>
      </c>
    </row>
    <row r="64" spans="1:11" x14ac:dyDescent="0.25">
      <c r="B64" t="s">
        <v>4</v>
      </c>
      <c r="C64">
        <v>2</v>
      </c>
      <c r="D64" s="5">
        <v>10</v>
      </c>
      <c r="E64" s="4">
        <v>2.2140221402214E-2</v>
      </c>
      <c r="F64" s="4">
        <v>5.8823529411764698E-2</v>
      </c>
      <c r="G64">
        <f t="shared" si="0"/>
        <v>5</v>
      </c>
      <c r="H64" t="str">
        <f t="shared" si="0"/>
        <v>NON-HS</v>
      </c>
      <c r="I64">
        <f t="shared" si="1"/>
        <v>2</v>
      </c>
      <c r="J64" t="str">
        <f t="shared" si="2"/>
        <v>5NON-HS2</v>
      </c>
      <c r="K64">
        <f t="shared" si="3"/>
        <v>5.8823529411764698E-2</v>
      </c>
    </row>
    <row r="65" spans="1:11" x14ac:dyDescent="0.25">
      <c r="C65">
        <v>4</v>
      </c>
      <c r="D65" s="5">
        <v>10</v>
      </c>
      <c r="E65" s="4">
        <v>2.6315789473684199E-2</v>
      </c>
      <c r="F65" s="4">
        <v>5.8823529411764698E-2</v>
      </c>
      <c r="G65">
        <f t="shared" si="0"/>
        <v>5</v>
      </c>
      <c r="H65" t="str">
        <f t="shared" si="0"/>
        <v>NON-HS</v>
      </c>
      <c r="I65">
        <f t="shared" si="1"/>
        <v>4</v>
      </c>
      <c r="J65" t="str">
        <f t="shared" si="2"/>
        <v>5NON-HS4</v>
      </c>
      <c r="K65">
        <f t="shared" si="3"/>
        <v>5.8823529411764698E-2</v>
      </c>
    </row>
    <row r="66" spans="1:11" x14ac:dyDescent="0.25">
      <c r="C66">
        <v>5</v>
      </c>
      <c r="D66" s="5">
        <v>31</v>
      </c>
      <c r="E66" s="4">
        <v>3.2258064516128997E-2</v>
      </c>
      <c r="F66" s="4">
        <v>5.8823529411764698E-2</v>
      </c>
      <c r="G66">
        <f t="shared" si="0"/>
        <v>5</v>
      </c>
      <c r="H66" t="str">
        <f t="shared" si="0"/>
        <v>NON-HS</v>
      </c>
      <c r="I66">
        <f t="shared" si="1"/>
        <v>5</v>
      </c>
      <c r="J66" t="str">
        <f t="shared" si="2"/>
        <v>5NON-HS5</v>
      </c>
      <c r="K66">
        <f t="shared" si="3"/>
        <v>5.8823529411764698E-2</v>
      </c>
    </row>
    <row r="67" spans="1:11" x14ac:dyDescent="0.25">
      <c r="A67">
        <v>6</v>
      </c>
      <c r="B67" t="s">
        <v>3</v>
      </c>
      <c r="C67">
        <v>2</v>
      </c>
      <c r="D67" s="5">
        <v>29</v>
      </c>
      <c r="E67" s="4">
        <v>0.17910447761194001</v>
      </c>
      <c r="F67" s="4">
        <v>0.33333333333333298</v>
      </c>
      <c r="G67">
        <f t="shared" si="0"/>
        <v>6</v>
      </c>
      <c r="H67" t="str">
        <f t="shared" si="0"/>
        <v>CVCTE</v>
      </c>
      <c r="I67">
        <f t="shared" si="1"/>
        <v>2</v>
      </c>
      <c r="J67" t="str">
        <f t="shared" si="2"/>
        <v>6CVCTE2</v>
      </c>
      <c r="K67">
        <f t="shared" si="3"/>
        <v>0.33333333333333298</v>
      </c>
    </row>
    <row r="68" spans="1:11" x14ac:dyDescent="0.25">
      <c r="B68" t="s">
        <v>6</v>
      </c>
      <c r="C68">
        <v>2</v>
      </c>
      <c r="D68" s="5">
        <v>3</v>
      </c>
      <c r="E68" s="4">
        <v>1</v>
      </c>
      <c r="F68" s="4">
        <v>0</v>
      </c>
      <c r="G68">
        <f t="shared" si="0"/>
        <v>6</v>
      </c>
      <c r="H68" t="str">
        <f t="shared" si="0"/>
        <v>FAMILY</v>
      </c>
      <c r="I68">
        <f t="shared" si="1"/>
        <v>2</v>
      </c>
      <c r="J68" t="str">
        <f t="shared" si="2"/>
        <v>6FAMILY2</v>
      </c>
      <c r="K68">
        <f t="shared" si="3"/>
        <v>0</v>
      </c>
    </row>
    <row r="69" spans="1:11" x14ac:dyDescent="0.25">
      <c r="B69" t="s">
        <v>5</v>
      </c>
      <c r="C69">
        <v>2</v>
      </c>
      <c r="D69" s="5">
        <v>8</v>
      </c>
      <c r="E69" s="4">
        <v>4.8387096774193498E-2</v>
      </c>
      <c r="F69" s="4">
        <v>0</v>
      </c>
      <c r="G69">
        <f t="shared" si="0"/>
        <v>6</v>
      </c>
      <c r="H69" t="str">
        <f t="shared" si="0"/>
        <v>INDIV</v>
      </c>
      <c r="I69">
        <f t="shared" si="1"/>
        <v>2</v>
      </c>
      <c r="J69" t="str">
        <f t="shared" si="2"/>
        <v>6INDIV2</v>
      </c>
      <c r="K69">
        <f t="shared" si="3"/>
        <v>0</v>
      </c>
    </row>
    <row r="70" spans="1:11" x14ac:dyDescent="0.25">
      <c r="B70" t="s">
        <v>4</v>
      </c>
      <c r="C70">
        <v>2</v>
      </c>
      <c r="D70" s="5">
        <v>26</v>
      </c>
      <c r="E70" s="4">
        <v>2.2140221402214E-2</v>
      </c>
      <c r="F70" s="4">
        <v>0</v>
      </c>
      <c r="G70">
        <f t="shared" ref="G70:H121" si="4">IF(A70="",G69,A70)</f>
        <v>6</v>
      </c>
      <c r="H70" t="str">
        <f t="shared" si="4"/>
        <v>NON-HS</v>
      </c>
      <c r="I70">
        <f t="shared" ref="I70:I121" si="5">C70</f>
        <v>2</v>
      </c>
      <c r="J70" t="str">
        <f t="shared" ref="J70:J121" si="6">CONCATENATE(G70,H70,I70)</f>
        <v>6NON-HS2</v>
      </c>
      <c r="K70">
        <f t="shared" ref="K70:K121" si="7">F70</f>
        <v>0</v>
      </c>
    </row>
    <row r="71" spans="1:11" x14ac:dyDescent="0.25">
      <c r="A71">
        <v>7</v>
      </c>
      <c r="B71" t="s">
        <v>3</v>
      </c>
      <c r="C71">
        <v>2</v>
      </c>
      <c r="D71" s="5">
        <v>28</v>
      </c>
      <c r="E71" s="4">
        <v>0.17910447761194001</v>
      </c>
      <c r="F71" s="4">
        <v>0.40909090909090901</v>
      </c>
      <c r="G71">
        <f t="shared" si="4"/>
        <v>7</v>
      </c>
      <c r="H71" t="str">
        <f t="shared" si="4"/>
        <v>CVCTE</v>
      </c>
      <c r="I71">
        <f t="shared" si="5"/>
        <v>2</v>
      </c>
      <c r="J71" t="str">
        <f t="shared" si="6"/>
        <v>7CVCTE2</v>
      </c>
      <c r="K71">
        <f t="shared" si="7"/>
        <v>0.40909090909090901</v>
      </c>
    </row>
    <row r="72" spans="1:11" x14ac:dyDescent="0.25">
      <c r="B72" t="s">
        <v>6</v>
      </c>
      <c r="C72">
        <v>2</v>
      </c>
      <c r="D72" s="5">
        <v>2</v>
      </c>
      <c r="E72" s="4">
        <v>1</v>
      </c>
      <c r="F72" s="4">
        <v>0</v>
      </c>
      <c r="G72">
        <f t="shared" si="4"/>
        <v>7</v>
      </c>
      <c r="H72" t="str">
        <f t="shared" si="4"/>
        <v>FAMILY</v>
      </c>
      <c r="I72">
        <f t="shared" si="5"/>
        <v>2</v>
      </c>
      <c r="J72" t="str">
        <f t="shared" si="6"/>
        <v>7FAMILY2</v>
      </c>
      <c r="K72">
        <f t="shared" si="7"/>
        <v>0</v>
      </c>
    </row>
    <row r="73" spans="1:11" x14ac:dyDescent="0.25">
      <c r="B73" t="s">
        <v>5</v>
      </c>
      <c r="C73">
        <v>2</v>
      </c>
      <c r="D73" s="5">
        <v>9</v>
      </c>
      <c r="E73" s="4">
        <v>4.8387096774193498E-2</v>
      </c>
      <c r="F73" s="4">
        <v>0.22222222222222199</v>
      </c>
      <c r="G73">
        <f t="shared" si="4"/>
        <v>7</v>
      </c>
      <c r="H73" t="str">
        <f t="shared" si="4"/>
        <v>INDIV</v>
      </c>
      <c r="I73">
        <f t="shared" si="5"/>
        <v>2</v>
      </c>
      <c r="J73" t="str">
        <f t="shared" si="6"/>
        <v>7INDIV2</v>
      </c>
      <c r="K73">
        <f t="shared" si="7"/>
        <v>0.22222222222222199</v>
      </c>
    </row>
    <row r="74" spans="1:11" x14ac:dyDescent="0.25">
      <c r="B74" t="s">
        <v>4</v>
      </c>
      <c r="C74">
        <v>2</v>
      </c>
      <c r="D74" s="5">
        <v>26</v>
      </c>
      <c r="E74" s="4">
        <v>2.2140221402214E-2</v>
      </c>
      <c r="F74" s="4">
        <v>0.04</v>
      </c>
      <c r="G74">
        <f t="shared" si="4"/>
        <v>7</v>
      </c>
      <c r="H74" t="str">
        <f t="shared" si="4"/>
        <v>NON-HS</v>
      </c>
      <c r="I74">
        <f t="shared" si="5"/>
        <v>2</v>
      </c>
      <c r="J74" t="str">
        <f t="shared" si="6"/>
        <v>7NON-HS2</v>
      </c>
      <c r="K74">
        <f t="shared" si="7"/>
        <v>0.04</v>
      </c>
    </row>
    <row r="75" spans="1:11" x14ac:dyDescent="0.25">
      <c r="A75">
        <v>8</v>
      </c>
      <c r="B75" t="s">
        <v>3</v>
      </c>
      <c r="C75">
        <v>6</v>
      </c>
      <c r="D75" s="5">
        <v>13</v>
      </c>
      <c r="E75" s="4">
        <v>0.16393442622950799</v>
      </c>
      <c r="F75" s="4">
        <v>0.5</v>
      </c>
      <c r="G75">
        <f t="shared" si="4"/>
        <v>8</v>
      </c>
      <c r="H75" t="str">
        <f t="shared" si="4"/>
        <v>CVCTE</v>
      </c>
      <c r="I75">
        <f t="shared" si="5"/>
        <v>6</v>
      </c>
      <c r="J75" t="str">
        <f t="shared" si="6"/>
        <v>8CVCTE6</v>
      </c>
      <c r="K75">
        <f t="shared" si="7"/>
        <v>0.5</v>
      </c>
    </row>
    <row r="76" spans="1:11" x14ac:dyDescent="0.25">
      <c r="B76" t="s">
        <v>6</v>
      </c>
      <c r="C76">
        <v>6</v>
      </c>
      <c r="D76" s="5">
        <v>2</v>
      </c>
      <c r="E76" s="4">
        <v>1</v>
      </c>
      <c r="F76" s="4">
        <v>0</v>
      </c>
      <c r="G76">
        <f t="shared" si="4"/>
        <v>8</v>
      </c>
      <c r="H76" t="str">
        <f t="shared" si="4"/>
        <v>FAMILY</v>
      </c>
      <c r="I76">
        <f t="shared" si="5"/>
        <v>6</v>
      </c>
      <c r="J76" t="str">
        <f t="shared" si="6"/>
        <v>8FAMILY6</v>
      </c>
      <c r="K76">
        <f t="shared" si="7"/>
        <v>0</v>
      </c>
    </row>
    <row r="77" spans="1:11" x14ac:dyDescent="0.25">
      <c r="B77" t="s">
        <v>5</v>
      </c>
      <c r="C77">
        <v>6</v>
      </c>
      <c r="D77" s="5">
        <v>6</v>
      </c>
      <c r="E77" s="4">
        <v>3.2258064516128997E-2</v>
      </c>
      <c r="F77" s="4">
        <v>0.16666666666666699</v>
      </c>
      <c r="G77">
        <f t="shared" si="4"/>
        <v>8</v>
      </c>
      <c r="H77" t="str">
        <f t="shared" si="4"/>
        <v>INDIV</v>
      </c>
      <c r="I77">
        <f t="shared" si="5"/>
        <v>6</v>
      </c>
      <c r="J77" t="str">
        <f t="shared" si="6"/>
        <v>8INDIV6</v>
      </c>
      <c r="K77">
        <f t="shared" si="7"/>
        <v>0.16666666666666699</v>
      </c>
    </row>
    <row r="78" spans="1:11" x14ac:dyDescent="0.25">
      <c r="B78" t="s">
        <v>4</v>
      </c>
      <c r="C78">
        <v>6</v>
      </c>
      <c r="D78" s="5">
        <v>34</v>
      </c>
      <c r="E78" s="4">
        <v>2.34375E-2</v>
      </c>
      <c r="F78" s="4">
        <v>0.15151515151515199</v>
      </c>
      <c r="G78">
        <f t="shared" si="4"/>
        <v>8</v>
      </c>
      <c r="H78" t="str">
        <f t="shared" si="4"/>
        <v>NON-HS</v>
      </c>
      <c r="I78">
        <f t="shared" si="5"/>
        <v>6</v>
      </c>
      <c r="J78" t="str">
        <f t="shared" si="6"/>
        <v>8NON-HS6</v>
      </c>
      <c r="K78">
        <f t="shared" si="7"/>
        <v>0.15151515151515199</v>
      </c>
    </row>
    <row r="79" spans="1:11" x14ac:dyDescent="0.25">
      <c r="A79">
        <v>9</v>
      </c>
      <c r="B79" t="s">
        <v>3</v>
      </c>
      <c r="C79">
        <v>4</v>
      </c>
      <c r="D79" s="5">
        <v>2</v>
      </c>
      <c r="E79" s="4">
        <v>0.164383561643836</v>
      </c>
      <c r="F79" s="4">
        <v>0</v>
      </c>
      <c r="G79">
        <f t="shared" si="4"/>
        <v>9</v>
      </c>
      <c r="H79" t="str">
        <f t="shared" si="4"/>
        <v>CVCTE</v>
      </c>
      <c r="I79">
        <f t="shared" si="5"/>
        <v>4</v>
      </c>
      <c r="J79" t="str">
        <f t="shared" si="6"/>
        <v>9CVCTE4</v>
      </c>
      <c r="K79">
        <f t="shared" si="7"/>
        <v>0</v>
      </c>
    </row>
    <row r="80" spans="1:11" x14ac:dyDescent="0.25">
      <c r="C80">
        <v>6</v>
      </c>
      <c r="D80" s="5">
        <v>24</v>
      </c>
      <c r="E80" s="4">
        <v>0.16393442622950799</v>
      </c>
      <c r="F80" s="4">
        <v>0.14285714285714299</v>
      </c>
      <c r="G80">
        <f t="shared" si="4"/>
        <v>9</v>
      </c>
      <c r="H80" t="str">
        <f t="shared" si="4"/>
        <v>CVCTE</v>
      </c>
      <c r="I80">
        <f t="shared" si="5"/>
        <v>6</v>
      </c>
      <c r="J80" t="str">
        <f t="shared" si="6"/>
        <v>9CVCTE6</v>
      </c>
      <c r="K80">
        <f t="shared" si="7"/>
        <v>0.14285714285714299</v>
      </c>
    </row>
    <row r="81" spans="1:11" x14ac:dyDescent="0.25">
      <c r="B81" t="s">
        <v>6</v>
      </c>
      <c r="C81">
        <v>6</v>
      </c>
      <c r="D81" s="5">
        <v>2</v>
      </c>
      <c r="E81" s="4">
        <v>1</v>
      </c>
      <c r="F81" s="4">
        <v>0</v>
      </c>
      <c r="G81">
        <f t="shared" si="4"/>
        <v>9</v>
      </c>
      <c r="H81" t="str">
        <f t="shared" si="4"/>
        <v>FAMILY</v>
      </c>
      <c r="I81">
        <f t="shared" si="5"/>
        <v>6</v>
      </c>
      <c r="J81" t="str">
        <f t="shared" si="6"/>
        <v>9FAMILY6</v>
      </c>
      <c r="K81">
        <f t="shared" si="7"/>
        <v>0</v>
      </c>
    </row>
    <row r="82" spans="1:11" x14ac:dyDescent="0.25">
      <c r="B82" t="s">
        <v>5</v>
      </c>
      <c r="C82">
        <v>6</v>
      </c>
      <c r="D82" s="5">
        <v>11</v>
      </c>
      <c r="E82" s="4">
        <v>3.2258064516128997E-2</v>
      </c>
      <c r="F82" s="4">
        <v>0</v>
      </c>
      <c r="G82">
        <f t="shared" si="4"/>
        <v>9</v>
      </c>
      <c r="H82" t="str">
        <f t="shared" si="4"/>
        <v>INDIV</v>
      </c>
      <c r="I82">
        <f t="shared" si="5"/>
        <v>6</v>
      </c>
      <c r="J82" t="str">
        <f t="shared" si="6"/>
        <v>9INDIV6</v>
      </c>
      <c r="K82">
        <f t="shared" si="7"/>
        <v>0</v>
      </c>
    </row>
    <row r="83" spans="1:11" x14ac:dyDescent="0.25">
      <c r="B83" t="s">
        <v>4</v>
      </c>
      <c r="C83">
        <v>6</v>
      </c>
      <c r="D83" s="5">
        <v>23</v>
      </c>
      <c r="E83" s="4">
        <v>2.34375E-2</v>
      </c>
      <c r="F83" s="4">
        <v>0</v>
      </c>
      <c r="G83">
        <f t="shared" si="4"/>
        <v>9</v>
      </c>
      <c r="H83" t="str">
        <f t="shared" si="4"/>
        <v>NON-HS</v>
      </c>
      <c r="I83">
        <f t="shared" si="5"/>
        <v>6</v>
      </c>
      <c r="J83" t="str">
        <f t="shared" si="6"/>
        <v>9NON-HS6</v>
      </c>
      <c r="K83">
        <f t="shared" si="7"/>
        <v>0</v>
      </c>
    </row>
    <row r="84" spans="1:11" x14ac:dyDescent="0.25">
      <c r="A84">
        <v>10</v>
      </c>
      <c r="B84" t="s">
        <v>3</v>
      </c>
      <c r="C84">
        <v>4</v>
      </c>
      <c r="D84" s="5">
        <v>10</v>
      </c>
      <c r="E84" s="4">
        <v>0.164383561643836</v>
      </c>
      <c r="F84" s="4">
        <v>8.3333333333333301E-2</v>
      </c>
      <c r="G84">
        <f t="shared" si="4"/>
        <v>10</v>
      </c>
      <c r="H84" t="str">
        <f t="shared" si="4"/>
        <v>CVCTE</v>
      </c>
      <c r="I84">
        <f t="shared" si="5"/>
        <v>4</v>
      </c>
      <c r="J84" t="str">
        <f t="shared" si="6"/>
        <v>10CVCTE4</v>
      </c>
      <c r="K84">
        <f t="shared" si="7"/>
        <v>8.3333333333333301E-2</v>
      </c>
    </row>
    <row r="85" spans="1:11" x14ac:dyDescent="0.25">
      <c r="C85">
        <v>5</v>
      </c>
      <c r="D85" s="5">
        <v>1</v>
      </c>
      <c r="E85" s="4">
        <v>0.35</v>
      </c>
      <c r="F85" s="4">
        <v>0</v>
      </c>
      <c r="G85">
        <f t="shared" si="4"/>
        <v>10</v>
      </c>
      <c r="H85" t="str">
        <f t="shared" si="4"/>
        <v>CVCTE</v>
      </c>
      <c r="I85">
        <f t="shared" si="5"/>
        <v>5</v>
      </c>
      <c r="J85" t="str">
        <f t="shared" si="6"/>
        <v>10CVCTE5</v>
      </c>
      <c r="K85">
        <f t="shared" si="7"/>
        <v>0</v>
      </c>
    </row>
    <row r="86" spans="1:11" x14ac:dyDescent="0.25">
      <c r="C86">
        <v>6</v>
      </c>
      <c r="D86" s="5">
        <v>7</v>
      </c>
      <c r="E86" s="4">
        <v>0.16393442622950799</v>
      </c>
      <c r="F86" s="4">
        <v>8.3333333333333301E-2</v>
      </c>
      <c r="G86">
        <f t="shared" si="4"/>
        <v>10</v>
      </c>
      <c r="H86" t="str">
        <f t="shared" si="4"/>
        <v>CVCTE</v>
      </c>
      <c r="I86">
        <f t="shared" si="5"/>
        <v>6</v>
      </c>
      <c r="J86" t="str">
        <f t="shared" si="6"/>
        <v>10CVCTE6</v>
      </c>
      <c r="K86">
        <f t="shared" si="7"/>
        <v>8.3333333333333301E-2</v>
      </c>
    </row>
    <row r="87" spans="1:11" x14ac:dyDescent="0.25">
      <c r="B87" t="s">
        <v>6</v>
      </c>
      <c r="C87">
        <v>4</v>
      </c>
      <c r="D87" s="5">
        <v>1</v>
      </c>
      <c r="E87" s="4">
        <v>1</v>
      </c>
      <c r="F87" s="4">
        <v>0</v>
      </c>
      <c r="G87">
        <f t="shared" si="4"/>
        <v>10</v>
      </c>
      <c r="H87" t="str">
        <f t="shared" si="4"/>
        <v>FAMILY</v>
      </c>
      <c r="I87">
        <f t="shared" si="5"/>
        <v>4</v>
      </c>
      <c r="J87" t="str">
        <f t="shared" si="6"/>
        <v>10FAMILY4</v>
      </c>
      <c r="K87">
        <f t="shared" si="7"/>
        <v>0</v>
      </c>
    </row>
    <row r="88" spans="1:11" x14ac:dyDescent="0.25">
      <c r="C88">
        <v>6</v>
      </c>
      <c r="D88" s="5">
        <v>3</v>
      </c>
      <c r="E88" s="4">
        <v>1</v>
      </c>
      <c r="F88" s="4">
        <v>0</v>
      </c>
      <c r="G88">
        <f t="shared" si="4"/>
        <v>10</v>
      </c>
      <c r="H88" t="str">
        <f t="shared" si="4"/>
        <v>FAMILY</v>
      </c>
      <c r="I88">
        <f t="shared" si="5"/>
        <v>6</v>
      </c>
      <c r="J88" t="str">
        <f t="shared" si="6"/>
        <v>10FAMILY6</v>
      </c>
      <c r="K88">
        <f t="shared" si="7"/>
        <v>0</v>
      </c>
    </row>
    <row r="89" spans="1:11" x14ac:dyDescent="0.25">
      <c r="B89" t="s">
        <v>5</v>
      </c>
      <c r="C89">
        <v>4</v>
      </c>
      <c r="D89" s="5">
        <v>2</v>
      </c>
      <c r="E89" s="4">
        <v>8.5106382978723402E-2</v>
      </c>
      <c r="F89" s="4">
        <v>0.25</v>
      </c>
      <c r="G89">
        <f t="shared" si="4"/>
        <v>10</v>
      </c>
      <c r="H89" t="str">
        <f t="shared" si="4"/>
        <v>INDIV</v>
      </c>
      <c r="I89">
        <f t="shared" si="5"/>
        <v>4</v>
      </c>
      <c r="J89" t="str">
        <f t="shared" si="6"/>
        <v>10INDIV4</v>
      </c>
      <c r="K89">
        <f t="shared" si="7"/>
        <v>0.25</v>
      </c>
    </row>
    <row r="90" spans="1:11" x14ac:dyDescent="0.25">
      <c r="C90">
        <v>6</v>
      </c>
      <c r="D90" s="5">
        <v>2</v>
      </c>
      <c r="E90" s="4">
        <v>3.2258064516128997E-2</v>
      </c>
      <c r="F90" s="4">
        <v>0.25</v>
      </c>
      <c r="G90">
        <f t="shared" si="4"/>
        <v>10</v>
      </c>
      <c r="H90" t="str">
        <f t="shared" si="4"/>
        <v>INDIV</v>
      </c>
      <c r="I90">
        <f t="shared" si="5"/>
        <v>6</v>
      </c>
      <c r="J90" t="str">
        <f t="shared" si="6"/>
        <v>10INDIV6</v>
      </c>
      <c r="K90">
        <f t="shared" si="7"/>
        <v>0.25</v>
      </c>
    </row>
    <row r="91" spans="1:11" x14ac:dyDescent="0.25">
      <c r="B91" t="s">
        <v>4</v>
      </c>
      <c r="C91">
        <v>4</v>
      </c>
      <c r="D91" s="5">
        <v>26</v>
      </c>
      <c r="E91" s="4">
        <v>2.6315789473684199E-2</v>
      </c>
      <c r="F91" s="4">
        <v>9.0909090909090898E-2</v>
      </c>
      <c r="G91">
        <f t="shared" si="4"/>
        <v>10</v>
      </c>
      <c r="H91" t="str">
        <f t="shared" si="4"/>
        <v>NON-HS</v>
      </c>
      <c r="I91">
        <f t="shared" si="5"/>
        <v>4</v>
      </c>
      <c r="J91" t="str">
        <f t="shared" si="6"/>
        <v>10NON-HS4</v>
      </c>
      <c r="K91">
        <f t="shared" si="7"/>
        <v>9.0909090909090898E-2</v>
      </c>
    </row>
    <row r="92" spans="1:11" x14ac:dyDescent="0.25">
      <c r="C92">
        <v>5</v>
      </c>
      <c r="D92" s="5">
        <v>3</v>
      </c>
      <c r="E92" s="4">
        <v>3.2258064516128997E-2</v>
      </c>
      <c r="F92" s="4">
        <v>9.0909090909090898E-2</v>
      </c>
      <c r="G92">
        <f t="shared" si="4"/>
        <v>10</v>
      </c>
      <c r="H92" t="str">
        <f t="shared" si="4"/>
        <v>NON-HS</v>
      </c>
      <c r="I92">
        <f t="shared" si="5"/>
        <v>5</v>
      </c>
      <c r="J92" t="str">
        <f t="shared" si="6"/>
        <v>10NON-HS5</v>
      </c>
      <c r="K92">
        <f t="shared" si="7"/>
        <v>9.0909090909090898E-2</v>
      </c>
    </row>
    <row r="93" spans="1:11" x14ac:dyDescent="0.25">
      <c r="C93">
        <v>6</v>
      </c>
      <c r="D93" s="5">
        <v>16</v>
      </c>
      <c r="E93" s="4">
        <v>2.34375E-2</v>
      </c>
      <c r="F93" s="4">
        <v>9.0909090909090898E-2</v>
      </c>
      <c r="G93">
        <f t="shared" si="4"/>
        <v>10</v>
      </c>
      <c r="H93" t="str">
        <f t="shared" si="4"/>
        <v>NON-HS</v>
      </c>
      <c r="I93">
        <f t="shared" si="5"/>
        <v>6</v>
      </c>
      <c r="J93" t="str">
        <f t="shared" si="6"/>
        <v>10NON-HS6</v>
      </c>
      <c r="K93">
        <f t="shared" si="7"/>
        <v>9.0909090909090898E-2</v>
      </c>
    </row>
    <row r="94" spans="1:11" x14ac:dyDescent="0.25">
      <c r="A94">
        <v>11</v>
      </c>
      <c r="B94" t="s">
        <v>3</v>
      </c>
      <c r="C94">
        <v>5</v>
      </c>
      <c r="D94" s="5">
        <v>22</v>
      </c>
      <c r="E94" s="4">
        <v>0.35</v>
      </c>
      <c r="F94" s="4">
        <v>0.41176470588235298</v>
      </c>
      <c r="G94">
        <f t="shared" si="4"/>
        <v>11</v>
      </c>
      <c r="H94" t="str">
        <f t="shared" si="4"/>
        <v>CVCTE</v>
      </c>
      <c r="I94">
        <f t="shared" si="5"/>
        <v>5</v>
      </c>
      <c r="J94" t="str">
        <f t="shared" si="6"/>
        <v>11CVCTE5</v>
      </c>
      <c r="K94">
        <f t="shared" si="7"/>
        <v>0.41176470588235298</v>
      </c>
    </row>
    <row r="95" spans="1:11" x14ac:dyDescent="0.25">
      <c r="B95" t="s">
        <v>6</v>
      </c>
      <c r="C95">
        <v>5</v>
      </c>
      <c r="D95" s="5">
        <v>2</v>
      </c>
      <c r="E95" s="4">
        <v>1</v>
      </c>
      <c r="F95" s="4">
        <v>0</v>
      </c>
      <c r="G95">
        <f t="shared" si="4"/>
        <v>11</v>
      </c>
      <c r="H95" t="str">
        <f t="shared" si="4"/>
        <v>FAMILY</v>
      </c>
      <c r="I95">
        <f t="shared" si="5"/>
        <v>5</v>
      </c>
      <c r="J95" t="str">
        <f t="shared" si="6"/>
        <v>11FAMILY5</v>
      </c>
      <c r="K95">
        <f t="shared" si="7"/>
        <v>0</v>
      </c>
    </row>
    <row r="96" spans="1:11" x14ac:dyDescent="0.25">
      <c r="B96" t="s">
        <v>5</v>
      </c>
      <c r="C96">
        <v>5</v>
      </c>
      <c r="D96" s="5">
        <v>2</v>
      </c>
      <c r="E96" s="4">
        <v>7.69230769230769E-2</v>
      </c>
      <c r="F96" s="4">
        <v>0.5</v>
      </c>
      <c r="G96">
        <f t="shared" si="4"/>
        <v>11</v>
      </c>
      <c r="H96" t="str">
        <f t="shared" si="4"/>
        <v>INDIV</v>
      </c>
      <c r="I96">
        <f t="shared" si="5"/>
        <v>5</v>
      </c>
      <c r="J96" t="str">
        <f t="shared" si="6"/>
        <v>11INDIV5</v>
      </c>
      <c r="K96">
        <f t="shared" si="7"/>
        <v>0.5</v>
      </c>
    </row>
    <row r="97" spans="1:11" x14ac:dyDescent="0.25">
      <c r="B97" t="s">
        <v>4</v>
      </c>
      <c r="C97">
        <v>5</v>
      </c>
      <c r="D97" s="5">
        <v>35</v>
      </c>
      <c r="E97" s="4">
        <v>3.2258064516128997E-2</v>
      </c>
      <c r="F97" s="4">
        <v>0</v>
      </c>
      <c r="G97">
        <f t="shared" si="4"/>
        <v>11</v>
      </c>
      <c r="H97" t="str">
        <f t="shared" si="4"/>
        <v>NON-HS</v>
      </c>
      <c r="I97">
        <f t="shared" si="5"/>
        <v>5</v>
      </c>
      <c r="J97" t="str">
        <f t="shared" si="6"/>
        <v>11NON-HS5</v>
      </c>
      <c r="K97">
        <f t="shared" si="7"/>
        <v>0</v>
      </c>
    </row>
    <row r="98" spans="1:11" x14ac:dyDescent="0.25">
      <c r="B98" t="s">
        <v>8</v>
      </c>
      <c r="C98">
        <v>10</v>
      </c>
      <c r="D98" s="5">
        <v>11</v>
      </c>
      <c r="E98" s="4">
        <v>1</v>
      </c>
      <c r="F98" s="4">
        <v>0</v>
      </c>
      <c r="G98">
        <f t="shared" si="4"/>
        <v>11</v>
      </c>
      <c r="H98" t="str">
        <f t="shared" si="4"/>
        <v>VENICE</v>
      </c>
      <c r="I98">
        <f t="shared" si="5"/>
        <v>10</v>
      </c>
      <c r="J98" t="str">
        <f t="shared" si="6"/>
        <v>11VENICE10</v>
      </c>
      <c r="K98">
        <f t="shared" si="7"/>
        <v>0</v>
      </c>
    </row>
    <row r="99" spans="1:11" x14ac:dyDescent="0.25">
      <c r="A99">
        <v>12</v>
      </c>
      <c r="B99" t="s">
        <v>3</v>
      </c>
      <c r="C99">
        <v>2</v>
      </c>
      <c r="D99" s="5">
        <v>14</v>
      </c>
      <c r="E99" s="4">
        <v>0.17910447761194001</v>
      </c>
      <c r="F99" s="4">
        <v>1</v>
      </c>
      <c r="G99">
        <f t="shared" si="4"/>
        <v>12</v>
      </c>
      <c r="H99" t="str">
        <f t="shared" si="4"/>
        <v>CVCTE</v>
      </c>
      <c r="I99">
        <f t="shared" si="5"/>
        <v>2</v>
      </c>
      <c r="J99" t="str">
        <f t="shared" si="6"/>
        <v>12CVCTE2</v>
      </c>
      <c r="K99">
        <f t="shared" si="7"/>
        <v>1</v>
      </c>
    </row>
    <row r="100" spans="1:11" x14ac:dyDescent="0.25">
      <c r="B100" t="s">
        <v>6</v>
      </c>
      <c r="C100">
        <v>2</v>
      </c>
      <c r="D100" s="5">
        <v>1</v>
      </c>
      <c r="E100" s="4">
        <v>1</v>
      </c>
      <c r="F100" s="4">
        <v>0</v>
      </c>
      <c r="G100">
        <f t="shared" si="4"/>
        <v>12</v>
      </c>
      <c r="H100" t="str">
        <f t="shared" si="4"/>
        <v>FAMILY</v>
      </c>
      <c r="I100">
        <f t="shared" si="5"/>
        <v>2</v>
      </c>
      <c r="J100" t="str">
        <f t="shared" si="6"/>
        <v>12FAMILY2</v>
      </c>
      <c r="K100">
        <f t="shared" si="7"/>
        <v>0</v>
      </c>
    </row>
    <row r="101" spans="1:11" x14ac:dyDescent="0.25">
      <c r="B101" t="s">
        <v>5</v>
      </c>
      <c r="C101">
        <v>2</v>
      </c>
      <c r="D101" s="5">
        <v>4</v>
      </c>
      <c r="E101" s="4">
        <v>4.8387096774193498E-2</v>
      </c>
      <c r="F101" s="4">
        <v>0.25</v>
      </c>
      <c r="G101">
        <f t="shared" si="4"/>
        <v>12</v>
      </c>
      <c r="H101" t="str">
        <f t="shared" si="4"/>
        <v>INDIV</v>
      </c>
      <c r="I101">
        <f t="shared" si="5"/>
        <v>2</v>
      </c>
      <c r="J101" t="str">
        <f t="shared" si="6"/>
        <v>12INDIV2</v>
      </c>
      <c r="K101">
        <f t="shared" si="7"/>
        <v>0.25</v>
      </c>
    </row>
    <row r="102" spans="1:11" x14ac:dyDescent="0.25">
      <c r="B102" t="s">
        <v>4</v>
      </c>
      <c r="C102">
        <v>2</v>
      </c>
      <c r="D102" s="5">
        <v>49</v>
      </c>
      <c r="E102" s="4">
        <v>2.2140221402214E-2</v>
      </c>
      <c r="F102" s="4">
        <v>0.30612244897959201</v>
      </c>
      <c r="G102">
        <f t="shared" si="4"/>
        <v>12</v>
      </c>
      <c r="H102" t="str">
        <f t="shared" si="4"/>
        <v>NON-HS</v>
      </c>
      <c r="I102">
        <f t="shared" si="5"/>
        <v>2</v>
      </c>
      <c r="J102" t="str">
        <f t="shared" si="6"/>
        <v>12NON-HS2</v>
      </c>
      <c r="K102">
        <f t="shared" si="7"/>
        <v>0.30612244897959201</v>
      </c>
    </row>
    <row r="103" spans="1:11" x14ac:dyDescent="0.25">
      <c r="A103">
        <v>13</v>
      </c>
      <c r="B103" t="s">
        <v>3</v>
      </c>
      <c r="C103">
        <v>4</v>
      </c>
      <c r="D103" s="5">
        <v>15</v>
      </c>
      <c r="E103" s="4">
        <v>0.164383561643836</v>
      </c>
      <c r="F103" s="4">
        <v>0.230769230769231</v>
      </c>
      <c r="G103">
        <f t="shared" si="4"/>
        <v>13</v>
      </c>
      <c r="H103" t="str">
        <f t="shared" si="4"/>
        <v>CVCTE</v>
      </c>
      <c r="I103">
        <f t="shared" si="5"/>
        <v>4</v>
      </c>
      <c r="J103" t="str">
        <f t="shared" si="6"/>
        <v>13CVCTE4</v>
      </c>
      <c r="K103">
        <f t="shared" si="7"/>
        <v>0.230769230769231</v>
      </c>
    </row>
    <row r="104" spans="1:11" x14ac:dyDescent="0.25">
      <c r="C104">
        <v>11</v>
      </c>
      <c r="D104" s="5">
        <v>13</v>
      </c>
      <c r="E104" s="4">
        <v>0.46666666666666701</v>
      </c>
      <c r="F104" s="4">
        <v>0</v>
      </c>
      <c r="G104">
        <f t="shared" si="4"/>
        <v>13</v>
      </c>
      <c r="H104" t="str">
        <f t="shared" si="4"/>
        <v>CVCTE</v>
      </c>
      <c r="I104">
        <f t="shared" si="5"/>
        <v>11</v>
      </c>
      <c r="J104" t="str">
        <f t="shared" si="6"/>
        <v>13CVCTE11</v>
      </c>
      <c r="K104">
        <f t="shared" si="7"/>
        <v>0</v>
      </c>
    </row>
    <row r="105" spans="1:11" x14ac:dyDescent="0.25">
      <c r="B105" t="s">
        <v>6</v>
      </c>
      <c r="C105">
        <v>4</v>
      </c>
      <c r="D105" s="5">
        <v>3</v>
      </c>
      <c r="E105" s="4">
        <v>1</v>
      </c>
      <c r="F105" s="4">
        <v>0</v>
      </c>
      <c r="G105">
        <f t="shared" si="4"/>
        <v>13</v>
      </c>
      <c r="H105" t="str">
        <f t="shared" si="4"/>
        <v>FAMILY</v>
      </c>
      <c r="I105">
        <f t="shared" si="5"/>
        <v>4</v>
      </c>
      <c r="J105" t="str">
        <f t="shared" si="6"/>
        <v>13FAMILY4</v>
      </c>
      <c r="K105">
        <f t="shared" si="7"/>
        <v>0</v>
      </c>
    </row>
    <row r="106" spans="1:11" x14ac:dyDescent="0.25">
      <c r="B106" t="s">
        <v>5</v>
      </c>
      <c r="C106">
        <v>4</v>
      </c>
      <c r="D106" s="5">
        <v>6</v>
      </c>
      <c r="E106" s="4">
        <v>8.5106382978723402E-2</v>
      </c>
      <c r="F106" s="4">
        <v>0</v>
      </c>
      <c r="G106">
        <f t="shared" si="4"/>
        <v>13</v>
      </c>
      <c r="H106" t="str">
        <f t="shared" si="4"/>
        <v>INDIV</v>
      </c>
      <c r="I106">
        <f t="shared" si="5"/>
        <v>4</v>
      </c>
      <c r="J106" t="str">
        <f t="shared" si="6"/>
        <v>13INDIV4</v>
      </c>
      <c r="K106">
        <f t="shared" si="7"/>
        <v>0</v>
      </c>
    </row>
    <row r="107" spans="1:11" x14ac:dyDescent="0.25">
      <c r="C107">
        <v>11</v>
      </c>
      <c r="D107" s="5">
        <v>4</v>
      </c>
      <c r="E107" s="4">
        <v>0.2</v>
      </c>
      <c r="F107" s="4">
        <v>0</v>
      </c>
      <c r="G107">
        <f t="shared" si="4"/>
        <v>13</v>
      </c>
      <c r="H107" t="str">
        <f t="shared" si="4"/>
        <v>INDIV</v>
      </c>
      <c r="I107">
        <f t="shared" si="5"/>
        <v>11</v>
      </c>
      <c r="J107" t="str">
        <f t="shared" si="6"/>
        <v>13INDIV11</v>
      </c>
      <c r="K107">
        <f t="shared" si="7"/>
        <v>0</v>
      </c>
    </row>
    <row r="108" spans="1:11" x14ac:dyDescent="0.25">
      <c r="B108" t="s">
        <v>4</v>
      </c>
      <c r="C108">
        <v>4</v>
      </c>
      <c r="D108" s="5">
        <v>22</v>
      </c>
      <c r="E108" s="4">
        <v>2.6315789473684199E-2</v>
      </c>
      <c r="F108" s="4">
        <v>9.0909090909090898E-2</v>
      </c>
      <c r="G108">
        <f t="shared" si="4"/>
        <v>13</v>
      </c>
      <c r="H108" t="str">
        <f t="shared" si="4"/>
        <v>NON-HS</v>
      </c>
      <c r="I108">
        <f t="shared" si="5"/>
        <v>4</v>
      </c>
      <c r="J108" t="str">
        <f t="shared" si="6"/>
        <v>13NON-HS4</v>
      </c>
      <c r="K108">
        <f t="shared" si="7"/>
        <v>9.0909090909090898E-2</v>
      </c>
    </row>
    <row r="109" spans="1:11" x14ac:dyDescent="0.25">
      <c r="C109">
        <v>11</v>
      </c>
      <c r="D109" s="5">
        <v>10</v>
      </c>
      <c r="E109" s="4">
        <v>7.69230769230769E-2</v>
      </c>
      <c r="F109" s="4">
        <v>0</v>
      </c>
      <c r="G109">
        <f t="shared" si="4"/>
        <v>13</v>
      </c>
      <c r="H109" t="str">
        <f t="shared" si="4"/>
        <v>NON-HS</v>
      </c>
      <c r="I109">
        <f t="shared" si="5"/>
        <v>11</v>
      </c>
      <c r="J109" t="str">
        <f t="shared" si="6"/>
        <v>13NON-HS11</v>
      </c>
      <c r="K109">
        <f t="shared" si="7"/>
        <v>0</v>
      </c>
    </row>
    <row r="110" spans="1:11" x14ac:dyDescent="0.25">
      <c r="A110">
        <v>14</v>
      </c>
      <c r="B110" t="s">
        <v>3</v>
      </c>
      <c r="C110">
        <v>4</v>
      </c>
      <c r="D110" s="5">
        <v>16</v>
      </c>
      <c r="E110" s="4">
        <v>0.164383561643836</v>
      </c>
      <c r="F110" s="4">
        <v>0.38461538461538503</v>
      </c>
      <c r="G110">
        <f t="shared" si="4"/>
        <v>14</v>
      </c>
      <c r="H110" t="str">
        <f t="shared" si="4"/>
        <v>CVCTE</v>
      </c>
      <c r="I110">
        <f t="shared" si="5"/>
        <v>4</v>
      </c>
      <c r="J110" t="str">
        <f t="shared" si="6"/>
        <v>14CVCTE4</v>
      </c>
      <c r="K110">
        <f t="shared" si="7"/>
        <v>0.38461538461538503</v>
      </c>
    </row>
    <row r="111" spans="1:11" x14ac:dyDescent="0.25">
      <c r="B111" t="s">
        <v>6</v>
      </c>
      <c r="C111">
        <v>4</v>
      </c>
      <c r="D111" s="5">
        <v>3</v>
      </c>
      <c r="E111" s="4">
        <v>1</v>
      </c>
      <c r="F111" s="4">
        <v>0</v>
      </c>
      <c r="G111">
        <f t="shared" si="4"/>
        <v>14</v>
      </c>
      <c r="H111" t="str">
        <f t="shared" si="4"/>
        <v>FAMILY</v>
      </c>
      <c r="I111">
        <f t="shared" si="5"/>
        <v>4</v>
      </c>
      <c r="J111" t="str">
        <f t="shared" si="6"/>
        <v>14FAMILY4</v>
      </c>
      <c r="K111">
        <f t="shared" si="7"/>
        <v>0</v>
      </c>
    </row>
    <row r="112" spans="1:11" x14ac:dyDescent="0.25">
      <c r="B112" t="s">
        <v>5</v>
      </c>
      <c r="C112">
        <v>4</v>
      </c>
      <c r="D112" s="5">
        <v>10</v>
      </c>
      <c r="E112" s="4">
        <v>8.5106382978723402E-2</v>
      </c>
      <c r="F112" s="4">
        <v>0.4</v>
      </c>
      <c r="G112">
        <f t="shared" si="4"/>
        <v>14</v>
      </c>
      <c r="H112" t="str">
        <f t="shared" si="4"/>
        <v>INDIV</v>
      </c>
      <c r="I112">
        <f t="shared" si="5"/>
        <v>4</v>
      </c>
      <c r="J112" t="str">
        <f t="shared" si="6"/>
        <v>14INDIV4</v>
      </c>
      <c r="K112">
        <f t="shared" si="7"/>
        <v>0.4</v>
      </c>
    </row>
    <row r="113" spans="1:11" x14ac:dyDescent="0.25">
      <c r="B113" t="s">
        <v>4</v>
      </c>
      <c r="C113">
        <v>4</v>
      </c>
      <c r="D113" s="5">
        <v>37</v>
      </c>
      <c r="E113" s="4">
        <v>2.6315789473684199E-2</v>
      </c>
      <c r="F113" s="4">
        <v>2.8571428571428598E-2</v>
      </c>
      <c r="G113">
        <f t="shared" si="4"/>
        <v>14</v>
      </c>
      <c r="H113" t="str">
        <f t="shared" si="4"/>
        <v>NON-HS</v>
      </c>
      <c r="I113">
        <f t="shared" si="5"/>
        <v>4</v>
      </c>
      <c r="J113" t="str">
        <f t="shared" si="6"/>
        <v>14NON-HS4</v>
      </c>
      <c r="K113">
        <f t="shared" si="7"/>
        <v>2.8571428571428598E-2</v>
      </c>
    </row>
    <row r="114" spans="1:11" x14ac:dyDescent="0.25">
      <c r="B114" t="s">
        <v>7</v>
      </c>
      <c r="C114">
        <v>9</v>
      </c>
      <c r="D114" s="5">
        <v>4</v>
      </c>
      <c r="E114" s="4">
        <v>1</v>
      </c>
      <c r="F114" s="4">
        <v>0</v>
      </c>
      <c r="G114">
        <f t="shared" si="4"/>
        <v>14</v>
      </c>
      <c r="H114" t="str">
        <f t="shared" si="4"/>
        <v>SKIDROW</v>
      </c>
      <c r="I114">
        <f t="shared" si="5"/>
        <v>9</v>
      </c>
      <c r="J114" t="str">
        <f t="shared" si="6"/>
        <v>14SKIDROW9</v>
      </c>
      <c r="K114">
        <f t="shared" si="7"/>
        <v>0</v>
      </c>
    </row>
    <row r="115" spans="1:11" x14ac:dyDescent="0.25">
      <c r="A115">
        <v>15</v>
      </c>
      <c r="B115" t="s">
        <v>3</v>
      </c>
      <c r="C115">
        <v>6</v>
      </c>
      <c r="D115" s="5">
        <v>5</v>
      </c>
      <c r="E115" s="4">
        <v>0.16393442622950799</v>
      </c>
      <c r="F115" s="4">
        <v>0</v>
      </c>
      <c r="G115">
        <f t="shared" si="4"/>
        <v>15</v>
      </c>
      <c r="H115" t="str">
        <f t="shared" si="4"/>
        <v>CVCTE</v>
      </c>
      <c r="I115">
        <f t="shared" si="5"/>
        <v>6</v>
      </c>
      <c r="J115" t="str">
        <f t="shared" si="6"/>
        <v>15CVCTE6</v>
      </c>
      <c r="K115">
        <f t="shared" si="7"/>
        <v>0</v>
      </c>
    </row>
    <row r="116" spans="1:11" x14ac:dyDescent="0.25">
      <c r="C116">
        <v>8</v>
      </c>
      <c r="D116" s="5">
        <v>27</v>
      </c>
      <c r="E116" s="4">
        <v>0.27272727272727298</v>
      </c>
      <c r="F116" s="4">
        <v>5.2631578947368397E-2</v>
      </c>
      <c r="G116">
        <f t="shared" si="4"/>
        <v>15</v>
      </c>
      <c r="H116" t="str">
        <f t="shared" si="4"/>
        <v>CVCTE</v>
      </c>
      <c r="I116">
        <f t="shared" si="5"/>
        <v>8</v>
      </c>
      <c r="J116" t="str">
        <f t="shared" si="6"/>
        <v>15CVCTE8</v>
      </c>
      <c r="K116">
        <f t="shared" si="7"/>
        <v>5.2631578947368397E-2</v>
      </c>
    </row>
    <row r="117" spans="1:11" x14ac:dyDescent="0.25">
      <c r="B117" t="s">
        <v>6</v>
      </c>
      <c r="C117">
        <v>8</v>
      </c>
      <c r="D117" s="5">
        <v>1</v>
      </c>
      <c r="E117" s="4">
        <v>1</v>
      </c>
      <c r="F117" s="4">
        <v>0</v>
      </c>
      <c r="G117">
        <f t="shared" si="4"/>
        <v>15</v>
      </c>
      <c r="H117" t="str">
        <f t="shared" si="4"/>
        <v>FAMILY</v>
      </c>
      <c r="I117">
        <f t="shared" si="5"/>
        <v>8</v>
      </c>
      <c r="J117" t="str">
        <f t="shared" si="6"/>
        <v>15FAMILY8</v>
      </c>
      <c r="K117">
        <f t="shared" si="7"/>
        <v>0</v>
      </c>
    </row>
    <row r="118" spans="1:11" x14ac:dyDescent="0.25">
      <c r="B118" t="s">
        <v>5</v>
      </c>
      <c r="C118">
        <v>6</v>
      </c>
      <c r="D118" s="5">
        <v>2</v>
      </c>
      <c r="E118" s="4">
        <v>3.2258064516128997E-2</v>
      </c>
      <c r="F118" s="4">
        <v>0</v>
      </c>
      <c r="G118">
        <f t="shared" si="4"/>
        <v>15</v>
      </c>
      <c r="H118" t="str">
        <f t="shared" si="4"/>
        <v>INDIV</v>
      </c>
      <c r="I118">
        <f t="shared" si="5"/>
        <v>6</v>
      </c>
      <c r="J118" t="str">
        <f t="shared" si="6"/>
        <v>15INDIV6</v>
      </c>
      <c r="K118">
        <f t="shared" si="7"/>
        <v>0</v>
      </c>
    </row>
    <row r="119" spans="1:11" x14ac:dyDescent="0.25">
      <c r="C119">
        <v>8</v>
      </c>
      <c r="D119" s="5">
        <v>5</v>
      </c>
      <c r="E119" s="4">
        <v>6.8181818181818205E-2</v>
      </c>
      <c r="F119" s="4">
        <v>0.2</v>
      </c>
      <c r="G119">
        <f t="shared" si="4"/>
        <v>15</v>
      </c>
      <c r="H119" t="str">
        <f t="shared" si="4"/>
        <v>INDIV</v>
      </c>
      <c r="I119">
        <f t="shared" si="5"/>
        <v>8</v>
      </c>
      <c r="J119" t="str">
        <f t="shared" si="6"/>
        <v>15INDIV8</v>
      </c>
      <c r="K119">
        <f t="shared" si="7"/>
        <v>0.2</v>
      </c>
    </row>
    <row r="120" spans="1:11" x14ac:dyDescent="0.25">
      <c r="B120" t="s">
        <v>4</v>
      </c>
      <c r="C120">
        <v>6</v>
      </c>
      <c r="D120" s="5">
        <v>5</v>
      </c>
      <c r="E120" s="4">
        <v>2.34375E-2</v>
      </c>
      <c r="F120" s="4">
        <v>0</v>
      </c>
      <c r="G120">
        <f t="shared" si="4"/>
        <v>15</v>
      </c>
      <c r="H120" t="str">
        <f t="shared" si="4"/>
        <v>NON-HS</v>
      </c>
      <c r="I120">
        <f t="shared" si="5"/>
        <v>6</v>
      </c>
      <c r="J120" t="str">
        <f t="shared" si="6"/>
        <v>15NON-HS6</v>
      </c>
      <c r="K120">
        <f t="shared" si="7"/>
        <v>0</v>
      </c>
    </row>
    <row r="121" spans="1:11" x14ac:dyDescent="0.25">
      <c r="C121">
        <v>8</v>
      </c>
      <c r="D121" s="5">
        <v>21</v>
      </c>
      <c r="E121" s="4">
        <v>3.3333333333333298E-2</v>
      </c>
      <c r="F121" s="4">
        <v>4.7619047619047603E-2</v>
      </c>
      <c r="G121">
        <f t="shared" si="4"/>
        <v>15</v>
      </c>
      <c r="H121" t="str">
        <f t="shared" si="4"/>
        <v>NON-HS</v>
      </c>
      <c r="I121">
        <f t="shared" si="5"/>
        <v>8</v>
      </c>
      <c r="J121" t="str">
        <f t="shared" si="6"/>
        <v>15NON-HS8</v>
      </c>
      <c r="K121">
        <f t="shared" si="7"/>
        <v>4.7619047619047603E-2</v>
      </c>
    </row>
    <row r="123" spans="1:11" x14ac:dyDescent="0.25">
      <c r="D123" s="5">
        <f>SUM(D34:D121)</f>
        <v>1004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5"/>
  <sheetViews>
    <sheetView topLeftCell="A8" workbookViewId="0">
      <selection activeCell="C29" sqref="C29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26.28515625" bestFit="1" customWidth="1"/>
  </cols>
  <sheetData>
    <row r="3" spans="1:3" x14ac:dyDescent="0.25">
      <c r="A3" s="1" t="s">
        <v>9</v>
      </c>
      <c r="B3" t="s">
        <v>13</v>
      </c>
      <c r="C3" t="s">
        <v>19</v>
      </c>
    </row>
    <row r="4" spans="1:3" x14ac:dyDescent="0.25">
      <c r="A4" s="2">
        <v>0</v>
      </c>
      <c r="B4" s="4">
        <v>1156</v>
      </c>
      <c r="C4" s="4">
        <v>1225.6047619047627</v>
      </c>
    </row>
    <row r="5" spans="1:3" x14ac:dyDescent="0.25">
      <c r="A5" s="3" t="s">
        <v>3</v>
      </c>
      <c r="B5" s="4">
        <v>304</v>
      </c>
      <c r="C5" s="4">
        <v>319.9380952380958</v>
      </c>
    </row>
    <row r="6" spans="1:3" x14ac:dyDescent="0.25">
      <c r="A6" s="3" t="s">
        <v>6</v>
      </c>
      <c r="B6" s="4">
        <v>27</v>
      </c>
      <c r="C6" s="4">
        <v>27</v>
      </c>
    </row>
    <row r="7" spans="1:3" x14ac:dyDescent="0.25">
      <c r="A7" s="3" t="s">
        <v>5</v>
      </c>
      <c r="B7" s="4">
        <v>195</v>
      </c>
      <c r="C7" s="4">
        <v>180.66666666666666</v>
      </c>
    </row>
    <row r="8" spans="1:3" x14ac:dyDescent="0.25">
      <c r="A8" s="3" t="s">
        <v>4</v>
      </c>
      <c r="B8" s="4">
        <v>630</v>
      </c>
      <c r="C8" s="4">
        <v>698</v>
      </c>
    </row>
    <row r="9" spans="1:3" x14ac:dyDescent="0.25">
      <c r="A9" s="2">
        <v>1</v>
      </c>
      <c r="B9" s="4">
        <v>70</v>
      </c>
      <c r="C9" s="4">
        <v>67.890335744479032</v>
      </c>
    </row>
    <row r="10" spans="1:3" x14ac:dyDescent="0.25">
      <c r="A10" s="3" t="s">
        <v>3</v>
      </c>
      <c r="B10" s="4">
        <v>25</v>
      </c>
      <c r="C10" s="4">
        <v>28.885016595542865</v>
      </c>
    </row>
    <row r="11" spans="1:3" x14ac:dyDescent="0.25">
      <c r="A11" s="3" t="s">
        <v>6</v>
      </c>
      <c r="B11" s="4">
        <v>3</v>
      </c>
      <c r="C11" s="4">
        <v>3</v>
      </c>
    </row>
    <row r="12" spans="1:3" x14ac:dyDescent="0.25">
      <c r="A12" s="3" t="s">
        <v>5</v>
      </c>
      <c r="B12" s="4">
        <v>10</v>
      </c>
      <c r="C12" s="4">
        <v>11.75</v>
      </c>
    </row>
    <row r="13" spans="1:3" x14ac:dyDescent="0.25">
      <c r="A13" s="3" t="s">
        <v>4</v>
      </c>
      <c r="B13" s="4">
        <v>32</v>
      </c>
      <c r="C13" s="4">
        <v>24.255319148936174</v>
      </c>
    </row>
    <row r="14" spans="1:3" x14ac:dyDescent="0.25">
      <c r="A14" s="2">
        <v>2</v>
      </c>
      <c r="B14" s="4">
        <v>68</v>
      </c>
      <c r="C14" s="4">
        <v>126.59717809337886</v>
      </c>
    </row>
    <row r="15" spans="1:3" x14ac:dyDescent="0.25">
      <c r="A15" s="3" t="s">
        <v>3</v>
      </c>
      <c r="B15" s="4">
        <v>28</v>
      </c>
      <c r="C15" s="4">
        <v>50.25000000000005</v>
      </c>
    </row>
    <row r="16" spans="1:3" x14ac:dyDescent="0.25">
      <c r="A16" s="3" t="s">
        <v>6</v>
      </c>
      <c r="B16" s="4">
        <v>1</v>
      </c>
      <c r="C16" s="4">
        <v>1</v>
      </c>
    </row>
    <row r="17" spans="1:3" x14ac:dyDescent="0.25">
      <c r="A17" s="3" t="s">
        <v>5</v>
      </c>
      <c r="B17" s="4">
        <v>11</v>
      </c>
      <c r="C17" s="4">
        <v>9.0331125827814507</v>
      </c>
    </row>
    <row r="18" spans="1:3" x14ac:dyDescent="0.25">
      <c r="A18" s="3" t="s">
        <v>4</v>
      </c>
      <c r="B18" s="4">
        <v>28</v>
      </c>
      <c r="C18" s="4">
        <v>66.314065510597345</v>
      </c>
    </row>
    <row r="19" spans="1:3" x14ac:dyDescent="0.25">
      <c r="A19" s="2">
        <v>3</v>
      </c>
      <c r="B19" s="4">
        <v>60</v>
      </c>
      <c r="C19" s="4">
        <v>80.447221292442947</v>
      </c>
    </row>
    <row r="20" spans="1:3" x14ac:dyDescent="0.25">
      <c r="A20" s="3" t="s">
        <v>3</v>
      </c>
      <c r="B20" s="4">
        <v>18</v>
      </c>
      <c r="C20" s="4">
        <v>21.695411679361637</v>
      </c>
    </row>
    <row r="21" spans="1:3" x14ac:dyDescent="0.25">
      <c r="A21" s="3" t="s">
        <v>6</v>
      </c>
      <c r="B21" s="4">
        <v>1</v>
      </c>
      <c r="C21" s="4">
        <v>1</v>
      </c>
    </row>
    <row r="22" spans="1:3" x14ac:dyDescent="0.25">
      <c r="A22" s="3" t="s">
        <v>5</v>
      </c>
      <c r="B22" s="4">
        <v>6</v>
      </c>
      <c r="C22" s="4">
        <v>24.855855855855879</v>
      </c>
    </row>
    <row r="23" spans="1:3" x14ac:dyDescent="0.25">
      <c r="A23" s="3" t="s">
        <v>4</v>
      </c>
      <c r="B23" s="4">
        <v>35</v>
      </c>
      <c r="C23" s="4">
        <v>32.895953757225456</v>
      </c>
    </row>
    <row r="24" spans="1:3" x14ac:dyDescent="0.25">
      <c r="A24" s="2">
        <v>4</v>
      </c>
      <c r="B24" s="4">
        <v>69</v>
      </c>
      <c r="C24" s="4">
        <v>72.942062155324749</v>
      </c>
    </row>
    <row r="25" spans="1:3" x14ac:dyDescent="0.25">
      <c r="A25" s="3" t="s">
        <v>3</v>
      </c>
      <c r="B25" s="4">
        <v>8</v>
      </c>
      <c r="C25" s="4">
        <v>14.835714285714271</v>
      </c>
    </row>
    <row r="26" spans="1:3" x14ac:dyDescent="0.25">
      <c r="A26" s="3" t="s">
        <v>6</v>
      </c>
      <c r="B26" s="4">
        <v>1</v>
      </c>
      <c r="C26" s="4">
        <v>1</v>
      </c>
    </row>
    <row r="27" spans="1:3" x14ac:dyDescent="0.25">
      <c r="A27" s="3" t="s">
        <v>5</v>
      </c>
      <c r="B27" s="4">
        <v>16</v>
      </c>
      <c r="C27" s="4">
        <v>22.599999999999994</v>
      </c>
    </row>
    <row r="28" spans="1:3" x14ac:dyDescent="0.25">
      <c r="A28" s="3" t="s">
        <v>4</v>
      </c>
      <c r="B28" s="4">
        <v>44</v>
      </c>
      <c r="C28" s="4">
        <v>34.506347869610465</v>
      </c>
    </row>
    <row r="29" spans="1:3" x14ac:dyDescent="0.25">
      <c r="A29" s="2">
        <v>5</v>
      </c>
      <c r="B29" s="4">
        <v>69</v>
      </c>
      <c r="C29" s="4">
        <v>79.475189555727724</v>
      </c>
    </row>
    <row r="30" spans="1:3" x14ac:dyDescent="0.25">
      <c r="A30" s="3" t="s">
        <v>3</v>
      </c>
      <c r="B30" s="4">
        <v>9</v>
      </c>
      <c r="C30" s="4">
        <v>16.003361344537815</v>
      </c>
    </row>
    <row r="31" spans="1:3" x14ac:dyDescent="0.25">
      <c r="A31" s="3" t="s">
        <v>5</v>
      </c>
      <c r="B31" s="4">
        <v>9</v>
      </c>
      <c r="C31" s="4">
        <v>29.083333333333332</v>
      </c>
    </row>
    <row r="32" spans="1:3" x14ac:dyDescent="0.25">
      <c r="A32" s="3" t="s">
        <v>4</v>
      </c>
      <c r="B32" s="4">
        <v>51</v>
      </c>
      <c r="C32" s="4">
        <v>34.388494877856587</v>
      </c>
    </row>
    <row r="33" spans="1:3" x14ac:dyDescent="0.25">
      <c r="A33" s="2">
        <v>6</v>
      </c>
      <c r="B33" s="4">
        <v>66</v>
      </c>
      <c r="C33" s="4">
        <v>159.58699633699652</v>
      </c>
    </row>
    <row r="34" spans="1:3" x14ac:dyDescent="0.25">
      <c r="A34" s="3" t="s">
        <v>3</v>
      </c>
      <c r="B34" s="4">
        <v>29</v>
      </c>
      <c r="C34" s="4">
        <v>45.5869963369964</v>
      </c>
    </row>
    <row r="35" spans="1:3" x14ac:dyDescent="0.25">
      <c r="A35" s="3" t="s">
        <v>6</v>
      </c>
      <c r="B35" s="4">
        <v>3</v>
      </c>
      <c r="C35" s="4">
        <v>3</v>
      </c>
    </row>
    <row r="36" spans="1:3" x14ac:dyDescent="0.25">
      <c r="A36" s="3" t="s">
        <v>5</v>
      </c>
      <c r="B36" s="4">
        <v>8</v>
      </c>
      <c r="C36" s="4">
        <v>20.666666666666689</v>
      </c>
    </row>
    <row r="37" spans="1:3" x14ac:dyDescent="0.25">
      <c r="A37" s="3" t="s">
        <v>4</v>
      </c>
      <c r="B37" s="4">
        <v>26</v>
      </c>
      <c r="C37" s="4">
        <v>90.333333333333428</v>
      </c>
    </row>
    <row r="38" spans="1:3" x14ac:dyDescent="0.25">
      <c r="A38" s="2">
        <v>7</v>
      </c>
      <c r="B38" s="4">
        <v>65</v>
      </c>
      <c r="C38" s="4">
        <v>122.16678046518922</v>
      </c>
    </row>
    <row r="39" spans="1:3" x14ac:dyDescent="0.25">
      <c r="A39" s="3" t="s">
        <v>3</v>
      </c>
      <c r="B39" s="4">
        <v>28</v>
      </c>
      <c r="C39" s="4">
        <v>50.978260869565283</v>
      </c>
    </row>
    <row r="40" spans="1:3" x14ac:dyDescent="0.25">
      <c r="A40" s="3" t="s">
        <v>6</v>
      </c>
      <c r="B40" s="4">
        <v>2</v>
      </c>
      <c r="C40" s="4">
        <v>2</v>
      </c>
    </row>
    <row r="41" spans="1:3" x14ac:dyDescent="0.25">
      <c r="A41" s="3" t="s">
        <v>5</v>
      </c>
      <c r="B41" s="4">
        <v>9</v>
      </c>
      <c r="C41" s="4">
        <v>7.6965517241379393</v>
      </c>
    </row>
    <row r="42" spans="1:3" x14ac:dyDescent="0.25">
      <c r="A42" s="3" t="s">
        <v>4</v>
      </c>
      <c r="B42" s="4">
        <v>26</v>
      </c>
      <c r="C42" s="4">
        <v>61.491967871485997</v>
      </c>
    </row>
    <row r="43" spans="1:3" x14ac:dyDescent="0.25">
      <c r="A43" s="2">
        <v>8</v>
      </c>
      <c r="B43" s="4">
        <v>55</v>
      </c>
      <c r="C43" s="4">
        <v>95.414463206494872</v>
      </c>
    </row>
    <row r="44" spans="1:3" x14ac:dyDescent="0.25">
      <c r="A44" s="3" t="s">
        <v>3</v>
      </c>
      <c r="B44" s="4">
        <v>13</v>
      </c>
      <c r="C44" s="4">
        <v>16.409859154929588</v>
      </c>
    </row>
    <row r="45" spans="1:3" x14ac:dyDescent="0.25">
      <c r="A45" s="3" t="s">
        <v>6</v>
      </c>
      <c r="B45" s="4">
        <v>2</v>
      </c>
      <c r="C45" s="4">
        <v>2</v>
      </c>
    </row>
    <row r="46" spans="1:3" x14ac:dyDescent="0.25">
      <c r="A46" s="3" t="s">
        <v>5</v>
      </c>
      <c r="B46" s="4">
        <v>6</v>
      </c>
      <c r="C46" s="4">
        <v>5.166666666666659</v>
      </c>
    </row>
    <row r="47" spans="1:3" x14ac:dyDescent="0.25">
      <c r="A47" s="3" t="s">
        <v>4</v>
      </c>
      <c r="B47" s="4">
        <v>34</v>
      </c>
      <c r="C47" s="4">
        <v>71.837937384898623</v>
      </c>
    </row>
    <row r="48" spans="1:3" x14ac:dyDescent="0.25">
      <c r="A48" s="2">
        <v>9</v>
      </c>
      <c r="B48" s="4">
        <v>62</v>
      </c>
      <c r="C48" s="4">
        <v>110.63677685950418</v>
      </c>
    </row>
    <row r="49" spans="1:3" x14ac:dyDescent="0.25">
      <c r="A49" s="3" t="s">
        <v>3</v>
      </c>
      <c r="B49" s="4">
        <v>26</v>
      </c>
      <c r="C49" s="4">
        <v>34.970110192837481</v>
      </c>
    </row>
    <row r="50" spans="1:3" x14ac:dyDescent="0.25">
      <c r="A50" s="3" t="s">
        <v>6</v>
      </c>
      <c r="B50" s="4">
        <v>2</v>
      </c>
      <c r="C50" s="4">
        <v>2</v>
      </c>
    </row>
    <row r="51" spans="1:3" x14ac:dyDescent="0.25">
      <c r="A51" s="3" t="s">
        <v>5</v>
      </c>
      <c r="B51" s="4">
        <v>11</v>
      </c>
      <c r="C51" s="4">
        <v>31.000000000000036</v>
      </c>
    </row>
    <row r="52" spans="1:3" x14ac:dyDescent="0.25">
      <c r="A52" s="3" t="s">
        <v>4</v>
      </c>
      <c r="B52" s="4">
        <v>23</v>
      </c>
      <c r="C52" s="4">
        <v>42.666666666666664</v>
      </c>
    </row>
    <row r="53" spans="1:3" x14ac:dyDescent="0.25">
      <c r="A53" s="2">
        <v>10</v>
      </c>
      <c r="B53" s="4">
        <v>71</v>
      </c>
      <c r="C53" s="4">
        <v>118.20926481533949</v>
      </c>
    </row>
    <row r="54" spans="1:3" x14ac:dyDescent="0.25">
      <c r="A54" s="3" t="s">
        <v>3</v>
      </c>
      <c r="B54" s="4">
        <v>18</v>
      </c>
      <c r="C54" s="4">
        <v>37.580313588850139</v>
      </c>
    </row>
    <row r="55" spans="1:3" x14ac:dyDescent="0.25">
      <c r="A55" s="3" t="s">
        <v>6</v>
      </c>
      <c r="B55" s="4">
        <v>4</v>
      </c>
      <c r="C55" s="4">
        <v>4</v>
      </c>
    </row>
    <row r="56" spans="1:3" x14ac:dyDescent="0.25">
      <c r="A56" s="3" t="s">
        <v>5</v>
      </c>
      <c r="B56" s="4">
        <v>4</v>
      </c>
      <c r="C56" s="4">
        <v>3.1864406779661021</v>
      </c>
    </row>
    <row r="57" spans="1:3" x14ac:dyDescent="0.25">
      <c r="A57" s="3" t="s">
        <v>4</v>
      </c>
      <c r="B57" s="4">
        <v>45</v>
      </c>
      <c r="C57" s="4">
        <v>73.442510548523231</v>
      </c>
    </row>
    <row r="58" spans="1:3" x14ac:dyDescent="0.25">
      <c r="A58" s="2">
        <v>11</v>
      </c>
      <c r="B58" s="4">
        <v>72</v>
      </c>
      <c r="C58" s="4">
        <v>102.47619047619054</v>
      </c>
    </row>
    <row r="59" spans="1:3" x14ac:dyDescent="0.25">
      <c r="A59" s="3" t="s">
        <v>3</v>
      </c>
      <c r="B59" s="4">
        <v>22</v>
      </c>
      <c r="C59" s="4">
        <v>25.61904761904762</v>
      </c>
    </row>
    <row r="60" spans="1:3" x14ac:dyDescent="0.25">
      <c r="A60" s="3" t="s">
        <v>6</v>
      </c>
      <c r="B60" s="4">
        <v>2</v>
      </c>
      <c r="C60" s="4">
        <v>2</v>
      </c>
    </row>
    <row r="61" spans="1:3" x14ac:dyDescent="0.25">
      <c r="A61" s="3" t="s">
        <v>5</v>
      </c>
      <c r="B61" s="4">
        <v>2</v>
      </c>
      <c r="C61" s="4">
        <v>1.8571428571428572</v>
      </c>
    </row>
    <row r="62" spans="1:3" x14ac:dyDescent="0.25">
      <c r="A62" s="3" t="s">
        <v>4</v>
      </c>
      <c r="B62" s="4">
        <v>35</v>
      </c>
      <c r="C62" s="4">
        <v>62.000000000000071</v>
      </c>
    </row>
    <row r="63" spans="1:3" x14ac:dyDescent="0.25">
      <c r="A63" s="3" t="s">
        <v>8</v>
      </c>
      <c r="B63" s="4">
        <v>11</v>
      </c>
      <c r="C63" s="4">
        <v>11</v>
      </c>
    </row>
    <row r="64" spans="1:3" x14ac:dyDescent="0.25">
      <c r="A64" s="2">
        <v>12</v>
      </c>
      <c r="B64" s="4">
        <v>68</v>
      </c>
      <c r="C64" s="4">
        <v>65.151425771777539</v>
      </c>
    </row>
    <row r="65" spans="1:3" x14ac:dyDescent="0.25">
      <c r="A65" s="3" t="s">
        <v>3</v>
      </c>
      <c r="B65" s="4">
        <v>14</v>
      </c>
      <c r="C65" s="4">
        <v>14</v>
      </c>
    </row>
    <row r="66" spans="1:3" x14ac:dyDescent="0.25">
      <c r="A66" s="3" t="s">
        <v>6</v>
      </c>
      <c r="B66" s="4">
        <v>1</v>
      </c>
      <c r="C66" s="4">
        <v>1</v>
      </c>
    </row>
    <row r="67" spans="1:3" x14ac:dyDescent="0.25">
      <c r="A67" s="3" t="s">
        <v>5</v>
      </c>
      <c r="B67" s="4">
        <v>4</v>
      </c>
      <c r="C67" s="4">
        <v>3.4929577464788735</v>
      </c>
    </row>
    <row r="68" spans="1:3" x14ac:dyDescent="0.25">
      <c r="A68" s="3" t="s">
        <v>4</v>
      </c>
      <c r="B68" s="4">
        <v>49</v>
      </c>
      <c r="C68" s="4">
        <v>46.658468025298653</v>
      </c>
    </row>
    <row r="69" spans="1:3" x14ac:dyDescent="0.25">
      <c r="A69" s="2">
        <v>13</v>
      </c>
      <c r="B69" s="4">
        <v>73</v>
      </c>
      <c r="C69" s="4">
        <v>81.445849136114589</v>
      </c>
    </row>
    <row r="70" spans="1:3" x14ac:dyDescent="0.25">
      <c r="A70" s="3" t="s">
        <v>3</v>
      </c>
      <c r="B70" s="4">
        <v>28</v>
      </c>
      <c r="C70" s="4">
        <v>31.279182469447917</v>
      </c>
    </row>
    <row r="71" spans="1:3" x14ac:dyDescent="0.25">
      <c r="A71" s="3" t="s">
        <v>6</v>
      </c>
      <c r="B71" s="4">
        <v>3</v>
      </c>
      <c r="C71" s="4">
        <v>3</v>
      </c>
    </row>
    <row r="72" spans="1:3" x14ac:dyDescent="0.25">
      <c r="A72" s="3" t="s">
        <v>5</v>
      </c>
      <c r="B72" s="4">
        <v>10</v>
      </c>
      <c r="C72" s="4">
        <v>16.75</v>
      </c>
    </row>
    <row r="73" spans="1:3" x14ac:dyDescent="0.25">
      <c r="A73" s="3" t="s">
        <v>4</v>
      </c>
      <c r="B73" s="4">
        <v>32</v>
      </c>
      <c r="C73" s="4">
        <v>30.416666666666675</v>
      </c>
    </row>
    <row r="74" spans="1:3" x14ac:dyDescent="0.25">
      <c r="A74" s="2">
        <v>14</v>
      </c>
      <c r="B74" s="4">
        <v>70</v>
      </c>
      <c r="C74" s="4">
        <v>138.88298839911411</v>
      </c>
    </row>
    <row r="75" spans="1:3" x14ac:dyDescent="0.25">
      <c r="A75" s="3" t="s">
        <v>3</v>
      </c>
      <c r="B75" s="4">
        <v>16</v>
      </c>
      <c r="C75" s="4">
        <v>28.54284164858997</v>
      </c>
    </row>
    <row r="76" spans="1:3" x14ac:dyDescent="0.25">
      <c r="A76" s="3" t="s">
        <v>6</v>
      </c>
      <c r="B76" s="4">
        <v>3</v>
      </c>
      <c r="C76" s="4">
        <v>3</v>
      </c>
    </row>
    <row r="77" spans="1:3" x14ac:dyDescent="0.25">
      <c r="A77" s="3" t="s">
        <v>5</v>
      </c>
      <c r="B77" s="4">
        <v>10</v>
      </c>
      <c r="C77" s="4">
        <v>8.8679245283018862</v>
      </c>
    </row>
    <row r="78" spans="1:3" x14ac:dyDescent="0.25">
      <c r="A78" s="3" t="s">
        <v>4</v>
      </c>
      <c r="B78" s="4">
        <v>37</v>
      </c>
      <c r="C78" s="4">
        <v>94.472222222222243</v>
      </c>
    </row>
    <row r="79" spans="1:3" x14ac:dyDescent="0.25">
      <c r="A79" s="3" t="s">
        <v>7</v>
      </c>
      <c r="B79" s="4">
        <v>4</v>
      </c>
      <c r="C79" s="4">
        <v>4</v>
      </c>
    </row>
    <row r="80" spans="1:3" x14ac:dyDescent="0.25">
      <c r="A80" s="2">
        <v>15</v>
      </c>
      <c r="B80" s="4">
        <v>66</v>
      </c>
      <c r="C80" s="4">
        <v>62.277289377289378</v>
      </c>
    </row>
    <row r="81" spans="1:3" x14ac:dyDescent="0.25">
      <c r="A81" s="3" t="s">
        <v>3</v>
      </c>
      <c r="B81" s="4">
        <v>32</v>
      </c>
      <c r="C81" s="4">
        <v>44.748717948717939</v>
      </c>
    </row>
    <row r="82" spans="1:3" x14ac:dyDescent="0.25">
      <c r="A82" s="3" t="s">
        <v>6</v>
      </c>
      <c r="B82" s="4">
        <v>1</v>
      </c>
      <c r="C82" s="4">
        <v>1</v>
      </c>
    </row>
    <row r="83" spans="1:3" x14ac:dyDescent="0.25">
      <c r="A83" s="3" t="s">
        <v>5</v>
      </c>
      <c r="B83" s="4">
        <v>7</v>
      </c>
      <c r="C83" s="4">
        <v>3.9285714285714279</v>
      </c>
    </row>
    <row r="84" spans="1:3" x14ac:dyDescent="0.25">
      <c r="A84" s="3" t="s">
        <v>4</v>
      </c>
      <c r="B84" s="4">
        <v>26</v>
      </c>
      <c r="C84" s="4">
        <v>12.60000000000001</v>
      </c>
    </row>
    <row r="85" spans="1:3" x14ac:dyDescent="0.25">
      <c r="A85" s="2" t="s">
        <v>10</v>
      </c>
      <c r="B85" s="4">
        <v>2160</v>
      </c>
      <c r="C85" s="4">
        <v>2709.2047735901265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2164"/>
  <sheetViews>
    <sheetView tabSelected="1" zoomScale="80" zoomScaleNormal="80" workbookViewId="0">
      <pane xSplit="5" ySplit="1" topLeftCell="I2137" activePane="bottomRight" state="frozen"/>
      <selection pane="topRight" activeCell="F1" sqref="F1"/>
      <selection pane="bottomLeft" activeCell="A2" sqref="A2"/>
      <selection pane="bottomRight" activeCell="R2148" sqref="R2148"/>
    </sheetView>
  </sheetViews>
  <sheetFormatPr defaultColWidth="9.5703125" defaultRowHeight="15" x14ac:dyDescent="0.25"/>
  <cols>
    <col min="1" max="1" width="8" customWidth="1"/>
    <col min="2" max="2" width="13" customWidth="1"/>
    <col min="3" max="3" width="12" customWidth="1"/>
    <col min="4" max="4" width="5" customWidth="1"/>
    <col min="5" max="5" width="9.42578125" bestFit="1" customWidth="1"/>
    <col min="6" max="6" width="30.5703125" customWidth="1"/>
    <col min="7" max="7" width="18.28515625" customWidth="1"/>
    <col min="8" max="8" width="18.42578125" customWidth="1"/>
    <col min="9" max="9" width="25" customWidth="1"/>
    <col min="10" max="11" width="10" customWidth="1"/>
    <col min="12" max="12" width="13" customWidth="1"/>
    <col min="13" max="13" width="10" customWidth="1"/>
    <col min="14" max="14" width="13.5703125" customWidth="1"/>
    <col min="15" max="15" width="15.7109375" customWidth="1"/>
    <col min="16" max="16" width="12.140625" customWidth="1"/>
    <col min="17" max="17" width="11.28515625" customWidth="1"/>
    <col min="18" max="18" width="15.140625" customWidth="1"/>
    <col min="19" max="19" width="17" bestFit="1" customWidth="1"/>
    <col min="20" max="20" width="12.28515625" customWidth="1"/>
    <col min="21" max="21" width="16" customWidth="1"/>
    <col min="25" max="25" width="14" customWidth="1"/>
  </cols>
  <sheetData>
    <row r="1" spans="1:25" s="11" customFormat="1" ht="30" x14ac:dyDescent="0.25">
      <c r="A1" s="9" t="str">
        <f>[1]Data!A1</f>
        <v>Tract</v>
      </c>
      <c r="B1" s="9" t="str">
        <f>[1]Data!B1</f>
        <v>SPA</v>
      </c>
      <c r="C1" s="9" t="str">
        <f>[1]Data!C1</f>
        <v>CD</v>
      </c>
      <c r="D1" s="9" t="str">
        <f>[1]Data!D1</f>
        <v>SD</v>
      </c>
      <c r="E1" s="9" t="str">
        <f>[1]Data!E1</f>
        <v>nstrata</v>
      </c>
      <c r="F1" s="9" t="str">
        <f>[1]Data!F1</f>
        <v>Community_Name</v>
      </c>
      <c r="G1" s="9" t="str">
        <f>[1]Data!G1</f>
        <v>selected_spa</v>
      </c>
      <c r="H1" s="9" t="str">
        <f>[1]Data!H1</f>
        <v>selected_cd</v>
      </c>
      <c r="I1" s="9" t="str">
        <f>[1]Data!I1</f>
        <v>Total_2017_CT_Population</v>
      </c>
      <c r="J1" s="9" t="str">
        <f>[1]Data!J1</f>
        <v>totcvctep</v>
      </c>
      <c r="K1" s="9" t="str">
        <f>[1]Data!K1</f>
        <v>totestind</v>
      </c>
      <c r="L1" s="9" t="str">
        <f>[1]Data!L1</f>
        <v>totestfammem</v>
      </c>
      <c r="M1" s="9" t="str">
        <f>[1]Data!M1</f>
        <v>totestpeo</v>
      </c>
      <c r="N1" s="9" t="str">
        <f>[1]Data!N1</f>
        <v>SelectionProb_SPA</v>
      </c>
      <c r="O1" s="9" t="str">
        <f>[1]Data!O1</f>
        <v>SamplingWeight_SPA</v>
      </c>
      <c r="P1" s="9" t="str">
        <f>[1]Data!P1</f>
        <v>perc_of_spa_strata</v>
      </c>
      <c r="Q1" s="9" t="str">
        <f>[1]Data!Q1</f>
        <v>perc_of_cd_strata</v>
      </c>
      <c r="R1" s="9" t="str">
        <f>[1]Data!R1</f>
        <v>SelectionProb_addCD</v>
      </c>
      <c r="S1" s="9" t="str">
        <f>[1]Data!S1</f>
        <v>SamplingWeight_addCD</v>
      </c>
      <c r="T1" s="10" t="s">
        <v>14</v>
      </c>
      <c r="U1" s="10" t="s">
        <v>15</v>
      </c>
      <c r="Y1" s="10" t="s">
        <v>14</v>
      </c>
    </row>
    <row r="2" spans="1:25" x14ac:dyDescent="0.25">
      <c r="A2" s="8">
        <f>[1]Data!A2</f>
        <v>900806</v>
      </c>
      <c r="B2" s="8">
        <f>[1]Data!B2</f>
        <v>1</v>
      </c>
      <c r="C2" s="8">
        <f>[1]Data!C2</f>
        <v>0</v>
      </c>
      <c r="D2" s="8">
        <f>[1]Data!D2</f>
        <v>5</v>
      </c>
      <c r="E2" s="8" t="str">
        <f>[1]Data!E2</f>
        <v>CVCTE</v>
      </c>
      <c r="F2" s="8" t="str">
        <f>[1]Data!F2</f>
        <v>Lancaster</v>
      </c>
      <c r="G2" s="8">
        <f>[1]Data!G2</f>
        <v>1</v>
      </c>
      <c r="H2" s="8">
        <f>[1]Data!H2</f>
        <v>1</v>
      </c>
      <c r="I2" s="8">
        <f>[1]Data!I2</f>
        <v>39.655000000000001</v>
      </c>
      <c r="J2" s="8">
        <f>[1]Data!J2</f>
        <v>16.282900000000001</v>
      </c>
      <c r="K2" s="8">
        <f>[1]Data!K2</f>
        <v>39.282899999999998</v>
      </c>
      <c r="L2" s="8">
        <f>[1]Data!L2</f>
        <v>0.371681380682226</v>
      </c>
      <c r="M2" s="8">
        <f>[1]Data!M2</f>
        <v>39.654581380682203</v>
      </c>
      <c r="N2" s="8">
        <f>[1]Data!N2</f>
        <v>0.55000000000000004</v>
      </c>
      <c r="O2" s="8">
        <f>[1]Data!O2</f>
        <v>1.8181818181818199</v>
      </c>
      <c r="P2" s="8">
        <f>[1]Data!P2</f>
        <v>1</v>
      </c>
      <c r="Q2" s="8">
        <f>[1]Data!Q2</f>
        <v>0</v>
      </c>
      <c r="R2" s="8">
        <f>[1]Data!R2</f>
        <v>0</v>
      </c>
      <c r="S2" s="8">
        <f>[1]Data!S2</f>
        <v>0</v>
      </c>
      <c r="T2">
        <f>N2+Y2*(1-N2)</f>
        <v>0.55000000000000004</v>
      </c>
      <c r="U2">
        <f>IF(T2="",0,1/T2*H2)</f>
        <v>1.8181818181818181</v>
      </c>
      <c r="V2" s="4" t="str">
        <f>TEXT(C2,"0")</f>
        <v>0</v>
      </c>
      <c r="W2" s="4" t="str">
        <f>TEXT(B2,"0")</f>
        <v>1</v>
      </c>
      <c r="X2" s="4" t="str">
        <f>CONCATENATE(V2,E2,W2)</f>
        <v>0CVCTE1</v>
      </c>
      <c r="Y2">
        <f>VLOOKUP(X2,Sheet1!$J$5:$K$121,2,FALSE)</f>
        <v>0</v>
      </c>
    </row>
    <row r="3" spans="1:25" x14ac:dyDescent="0.25">
      <c r="A3" s="8">
        <f>[1]Data!A3</f>
        <v>900300</v>
      </c>
      <c r="B3" s="8">
        <f>[1]Data!B3</f>
        <v>1</v>
      </c>
      <c r="C3" s="8">
        <f>[1]Data!C3</f>
        <v>0</v>
      </c>
      <c r="D3" s="8">
        <f>[1]Data!D3</f>
        <v>5</v>
      </c>
      <c r="E3" s="8" t="str">
        <f>[1]Data!E3</f>
        <v>CVCTE</v>
      </c>
      <c r="F3" s="8" t="str">
        <f>[1]Data!F3</f>
        <v>Unincorporated Antelope Valley</v>
      </c>
      <c r="G3" s="8">
        <f>[1]Data!G3</f>
        <v>1</v>
      </c>
      <c r="H3" s="8">
        <f>[1]Data!H3</f>
        <v>1</v>
      </c>
      <c r="I3" s="8">
        <f>[1]Data!I3</f>
        <v>40.488999999999997</v>
      </c>
      <c r="J3" s="8">
        <f>[1]Data!J3</f>
        <v>37.826908529999997</v>
      </c>
      <c r="K3" s="8">
        <f>[1]Data!K3</f>
        <v>39.826908529999997</v>
      </c>
      <c r="L3" s="8">
        <f>[1]Data!L3</f>
        <v>0.661438604506284</v>
      </c>
      <c r="M3" s="8">
        <f>[1]Data!M3</f>
        <v>40.488347134506299</v>
      </c>
      <c r="N3" s="8">
        <f>[1]Data!N3</f>
        <v>0.55000000000000004</v>
      </c>
      <c r="O3" s="8">
        <f>[1]Data!O3</f>
        <v>1.8181818181818199</v>
      </c>
      <c r="P3" s="8">
        <f>[1]Data!P3</f>
        <v>1</v>
      </c>
      <c r="Q3" s="8">
        <f>[1]Data!Q3</f>
        <v>0</v>
      </c>
      <c r="R3" s="8">
        <f>[1]Data!R3</f>
        <v>0</v>
      </c>
      <c r="S3" s="8">
        <f>[1]Data!S3</f>
        <v>0</v>
      </c>
      <c r="T3">
        <f t="shared" ref="T3:T66" si="0">N3+Y3*(1-N3)</f>
        <v>0.55000000000000004</v>
      </c>
      <c r="U3">
        <f t="shared" ref="U3:U66" si="1">IF(T3="",0,1/T3*H3)</f>
        <v>1.8181818181818181</v>
      </c>
      <c r="V3" s="4" t="str">
        <f t="shared" ref="V3:V66" si="2">TEXT(C3,"0")</f>
        <v>0</v>
      </c>
      <c r="W3" s="4" t="str">
        <f t="shared" ref="W3:W66" si="3">TEXT(B3,"0")</f>
        <v>1</v>
      </c>
      <c r="X3" s="4" t="str">
        <f t="shared" ref="X3:X66" si="4">CONCATENATE(V3,E3,W3)</f>
        <v>0CVCTE1</v>
      </c>
      <c r="Y3">
        <f>VLOOKUP(X3,Sheet1!$J$5:$K$121,2,FALSE)</f>
        <v>0</v>
      </c>
    </row>
    <row r="4" spans="1:25" x14ac:dyDescent="0.25">
      <c r="A4" s="8">
        <f>[1]Data!A4</f>
        <v>900103</v>
      </c>
      <c r="B4" s="8">
        <f>[1]Data!B4</f>
        <v>1</v>
      </c>
      <c r="C4" s="8">
        <f>[1]Data!C4</f>
        <v>0</v>
      </c>
      <c r="D4" s="8">
        <f>[1]Data!D4</f>
        <v>5</v>
      </c>
      <c r="E4" s="8" t="str">
        <f>[1]Data!E4</f>
        <v>CVCTE</v>
      </c>
      <c r="F4" s="8" t="str">
        <f>[1]Data!F4</f>
        <v>Unincorporated Antelope Valley</v>
      </c>
      <c r="G4" s="8">
        <f>[1]Data!G4</f>
        <v>1</v>
      </c>
      <c r="H4" s="8">
        <f>[1]Data!H4</f>
        <v>1</v>
      </c>
      <c r="I4" s="8">
        <f>[1]Data!I4</f>
        <v>97.194999999999993</v>
      </c>
      <c r="J4" s="8">
        <f>[1]Data!J4</f>
        <v>91.171364639999993</v>
      </c>
      <c r="K4" s="8">
        <f>[1]Data!K4</f>
        <v>92.171364639999993</v>
      </c>
      <c r="L4" s="8">
        <f>[1]Data!L4</f>
        <v>5.0233923842908403</v>
      </c>
      <c r="M4" s="8">
        <f>[1]Data!M4</f>
        <v>97.194757024290894</v>
      </c>
      <c r="N4" s="8">
        <f>[1]Data!N4</f>
        <v>0.55000000000000004</v>
      </c>
      <c r="O4" s="8">
        <f>[1]Data!O4</f>
        <v>1.8181818181818199</v>
      </c>
      <c r="P4" s="8">
        <f>[1]Data!P4</f>
        <v>1</v>
      </c>
      <c r="Q4" s="8">
        <f>[1]Data!Q4</f>
        <v>0</v>
      </c>
      <c r="R4" s="8">
        <f>[1]Data!R4</f>
        <v>0</v>
      </c>
      <c r="S4" s="8">
        <f>[1]Data!S4</f>
        <v>0</v>
      </c>
      <c r="T4">
        <f t="shared" si="0"/>
        <v>0.55000000000000004</v>
      </c>
      <c r="U4">
        <f t="shared" si="1"/>
        <v>1.8181818181818181</v>
      </c>
      <c r="V4" s="4" t="str">
        <f t="shared" si="2"/>
        <v>0</v>
      </c>
      <c r="W4" s="4" t="str">
        <f t="shared" si="3"/>
        <v>1</v>
      </c>
      <c r="X4" s="4" t="str">
        <f t="shared" si="4"/>
        <v>0CVCTE1</v>
      </c>
      <c r="Y4">
        <f>VLOOKUP(X4,Sheet1!$J$5:$K$121,2,FALSE)</f>
        <v>0</v>
      </c>
    </row>
    <row r="5" spans="1:25" x14ac:dyDescent="0.25">
      <c r="A5" s="8">
        <f>[1]Data!A5</f>
        <v>910401</v>
      </c>
      <c r="B5" s="8">
        <f>[1]Data!B5</f>
        <v>1</v>
      </c>
      <c r="C5" s="8">
        <f>[1]Data!C5</f>
        <v>0</v>
      </c>
      <c r="D5" s="8">
        <f>[1]Data!D5</f>
        <v>5</v>
      </c>
      <c r="E5" s="8" t="str">
        <f>[1]Data!E5</f>
        <v>CVCTE</v>
      </c>
      <c r="F5" s="8" t="str">
        <f>[1]Data!F5</f>
        <v>Palmdale</v>
      </c>
      <c r="G5" s="8">
        <f>[1]Data!G5</f>
        <v>0</v>
      </c>
      <c r="H5" s="8">
        <f>[1]Data!H5</f>
        <v>0</v>
      </c>
      <c r="I5" s="8">
        <f>[1]Data!I5</f>
        <v>5.5170000000000003</v>
      </c>
      <c r="J5" s="8">
        <f>[1]Data!J5</f>
        <v>3.3440765099999998</v>
      </c>
      <c r="K5" s="8">
        <f>[1]Data!K5</f>
        <v>5.3440765099999998</v>
      </c>
      <c r="L5" s="8">
        <f>[1]Data!L5</f>
        <v>0.17207732822262101</v>
      </c>
      <c r="M5" s="8">
        <f>[1]Data!M5</f>
        <v>5.5161538382226203</v>
      </c>
      <c r="N5" s="8">
        <f>[1]Data!N5</f>
        <v>0.55000000000000004</v>
      </c>
      <c r="O5" s="8">
        <f>[1]Data!O5</f>
        <v>0</v>
      </c>
      <c r="P5" s="8">
        <f>[1]Data!P5</f>
        <v>1</v>
      </c>
      <c r="Q5" s="8">
        <f>[1]Data!Q5</f>
        <v>0</v>
      </c>
      <c r="R5" s="8">
        <f>[1]Data!R5</f>
        <v>0</v>
      </c>
      <c r="S5" s="8">
        <f>[1]Data!S5</f>
        <v>0</v>
      </c>
      <c r="T5">
        <f t="shared" si="0"/>
        <v>0.55000000000000004</v>
      </c>
      <c r="U5">
        <f t="shared" si="1"/>
        <v>0</v>
      </c>
      <c r="V5" s="4" t="str">
        <f t="shared" si="2"/>
        <v>0</v>
      </c>
      <c r="W5" s="4" t="str">
        <f t="shared" si="3"/>
        <v>1</v>
      </c>
      <c r="X5" s="4" t="str">
        <f t="shared" si="4"/>
        <v>0CVCTE1</v>
      </c>
      <c r="Y5">
        <f>VLOOKUP(X5,Sheet1!$J$5:$K$121,2,FALSE)</f>
        <v>0</v>
      </c>
    </row>
    <row r="6" spans="1:25" x14ac:dyDescent="0.25">
      <c r="A6" s="8">
        <f>[1]Data!A6</f>
        <v>900900</v>
      </c>
      <c r="B6" s="8">
        <f>[1]Data!B6</f>
        <v>1</v>
      </c>
      <c r="C6" s="8">
        <f>[1]Data!C6</f>
        <v>0</v>
      </c>
      <c r="D6" s="8">
        <f>[1]Data!D6</f>
        <v>5</v>
      </c>
      <c r="E6" s="8" t="str">
        <f>[1]Data!E6</f>
        <v>CVCTE</v>
      </c>
      <c r="F6" s="8" t="str">
        <f>[1]Data!F6</f>
        <v>Unincorporated Antelope Valley</v>
      </c>
      <c r="G6" s="8">
        <f>[1]Data!G6</f>
        <v>1</v>
      </c>
      <c r="H6" s="8">
        <f>[1]Data!H6</f>
        <v>1</v>
      </c>
      <c r="I6" s="8">
        <f>[1]Data!I6</f>
        <v>14.664</v>
      </c>
      <c r="J6" s="8">
        <f>[1]Data!J6</f>
        <v>13.88589762</v>
      </c>
      <c r="K6" s="8">
        <f>[1]Data!K6</f>
        <v>13.88589762</v>
      </c>
      <c r="L6" s="8">
        <f>[1]Data!L6</f>
        <v>0.77820820967684001</v>
      </c>
      <c r="M6" s="8">
        <f>[1]Data!M6</f>
        <v>14.664105829676799</v>
      </c>
      <c r="N6" s="8">
        <f>[1]Data!N6</f>
        <v>0.55000000000000004</v>
      </c>
      <c r="O6" s="8">
        <f>[1]Data!O6</f>
        <v>1.8181818181818199</v>
      </c>
      <c r="P6" s="8">
        <f>[1]Data!P6</f>
        <v>1</v>
      </c>
      <c r="Q6" s="8">
        <f>[1]Data!Q6</f>
        <v>0</v>
      </c>
      <c r="R6" s="8">
        <f>[1]Data!R6</f>
        <v>0</v>
      </c>
      <c r="S6" s="8">
        <f>[1]Data!S6</f>
        <v>0</v>
      </c>
      <c r="T6">
        <f t="shared" si="0"/>
        <v>0.55000000000000004</v>
      </c>
      <c r="U6">
        <f t="shared" si="1"/>
        <v>1.8181818181818181</v>
      </c>
      <c r="V6" s="4" t="str">
        <f t="shared" si="2"/>
        <v>0</v>
      </c>
      <c r="W6" s="4" t="str">
        <f t="shared" si="3"/>
        <v>1</v>
      </c>
      <c r="X6" s="4" t="str">
        <f t="shared" si="4"/>
        <v>0CVCTE1</v>
      </c>
      <c r="Y6">
        <f>VLOOKUP(X6,Sheet1!$J$5:$K$121,2,FALSE)</f>
        <v>0</v>
      </c>
    </row>
    <row r="7" spans="1:25" x14ac:dyDescent="0.25">
      <c r="A7" s="8">
        <f>[1]Data!A7</f>
        <v>900609</v>
      </c>
      <c r="B7" s="8">
        <f>[1]Data!B7</f>
        <v>1</v>
      </c>
      <c r="C7" s="8">
        <f>[1]Data!C7</f>
        <v>0</v>
      </c>
      <c r="D7" s="8">
        <f>[1]Data!D7</f>
        <v>5</v>
      </c>
      <c r="E7" s="8" t="str">
        <f>[1]Data!E7</f>
        <v>CVCTE</v>
      </c>
      <c r="F7" s="8" t="str">
        <f>[1]Data!F7</f>
        <v>Lancaster</v>
      </c>
      <c r="G7" s="8">
        <f>[1]Data!G7</f>
        <v>1</v>
      </c>
      <c r="H7" s="8">
        <f>[1]Data!H7</f>
        <v>1</v>
      </c>
      <c r="I7" s="8">
        <f>[1]Data!I7</f>
        <v>75.650000000000006</v>
      </c>
      <c r="J7" s="8">
        <f>[1]Data!J7</f>
        <v>73.843141020000004</v>
      </c>
      <c r="K7" s="8">
        <f>[1]Data!K7</f>
        <v>74.843141020000004</v>
      </c>
      <c r="L7" s="8">
        <f>[1]Data!L7</f>
        <v>0.80612078057450598</v>
      </c>
      <c r="M7" s="8">
        <f>[1]Data!M7</f>
        <v>75.649261800574493</v>
      </c>
      <c r="N7" s="8">
        <f>[1]Data!N7</f>
        <v>0.55000000000000004</v>
      </c>
      <c r="O7" s="8">
        <f>[1]Data!O7</f>
        <v>1.8181818181818199</v>
      </c>
      <c r="P7" s="8">
        <f>[1]Data!P7</f>
        <v>1</v>
      </c>
      <c r="Q7" s="8">
        <f>[1]Data!Q7</f>
        <v>0</v>
      </c>
      <c r="R7" s="8">
        <f>[1]Data!R7</f>
        <v>0</v>
      </c>
      <c r="S7" s="8">
        <f>[1]Data!S7</f>
        <v>0</v>
      </c>
      <c r="T7">
        <f t="shared" si="0"/>
        <v>0.55000000000000004</v>
      </c>
      <c r="U7">
        <f t="shared" si="1"/>
        <v>1.8181818181818181</v>
      </c>
      <c r="V7" s="4" t="str">
        <f t="shared" si="2"/>
        <v>0</v>
      </c>
      <c r="W7" s="4" t="str">
        <f t="shared" si="3"/>
        <v>1</v>
      </c>
      <c r="X7" s="4" t="str">
        <f t="shared" si="4"/>
        <v>0CVCTE1</v>
      </c>
      <c r="Y7">
        <f>VLOOKUP(X7,Sheet1!$J$5:$K$121,2,FALSE)</f>
        <v>0</v>
      </c>
    </row>
    <row r="8" spans="1:25" x14ac:dyDescent="0.25">
      <c r="A8" s="8">
        <f>[1]Data!A8</f>
        <v>901209</v>
      </c>
      <c r="B8" s="8">
        <f>[1]Data!B8</f>
        <v>1</v>
      </c>
      <c r="C8" s="8">
        <f>[1]Data!C8</f>
        <v>0</v>
      </c>
      <c r="D8" s="8">
        <f>[1]Data!D8</f>
        <v>5</v>
      </c>
      <c r="E8" s="8" t="str">
        <f>[1]Data!E8</f>
        <v>CVCTE</v>
      </c>
      <c r="F8" s="8" t="str">
        <f>[1]Data!F8</f>
        <v>Unincorporated Antelope Valley</v>
      </c>
      <c r="G8" s="8">
        <f>[1]Data!G8</f>
        <v>0</v>
      </c>
      <c r="H8" s="8">
        <f>[1]Data!H8</f>
        <v>0</v>
      </c>
      <c r="I8" s="8">
        <f>[1]Data!I8</f>
        <v>6.7809999999999997</v>
      </c>
      <c r="J8" s="8">
        <f>[1]Data!J8</f>
        <v>5.4065958900000002</v>
      </c>
      <c r="K8" s="8">
        <f>[1]Data!K8</f>
        <v>6.4065958900000002</v>
      </c>
      <c r="L8" s="8">
        <f>[1]Data!L8</f>
        <v>0.37379720890484702</v>
      </c>
      <c r="M8" s="8">
        <f>[1]Data!M8</f>
        <v>6.7803930989048498</v>
      </c>
      <c r="N8" s="8">
        <f>[1]Data!N8</f>
        <v>0.55000000000000004</v>
      </c>
      <c r="O8" s="8">
        <f>[1]Data!O8</f>
        <v>0</v>
      </c>
      <c r="P8" s="8">
        <f>[1]Data!P8</f>
        <v>1</v>
      </c>
      <c r="Q8" s="8">
        <f>[1]Data!Q8</f>
        <v>0</v>
      </c>
      <c r="R8" s="8">
        <f>[1]Data!R8</f>
        <v>0</v>
      </c>
      <c r="S8" s="8">
        <f>[1]Data!S8</f>
        <v>0</v>
      </c>
      <c r="T8">
        <f t="shared" si="0"/>
        <v>0.55000000000000004</v>
      </c>
      <c r="U8">
        <f t="shared" si="1"/>
        <v>0</v>
      </c>
      <c r="V8" s="4" t="str">
        <f t="shared" si="2"/>
        <v>0</v>
      </c>
      <c r="W8" s="4" t="str">
        <f t="shared" si="3"/>
        <v>1</v>
      </c>
      <c r="X8" s="4" t="str">
        <f t="shared" si="4"/>
        <v>0CVCTE1</v>
      </c>
      <c r="Y8">
        <f>VLOOKUP(X8,Sheet1!$J$5:$K$121,2,FALSE)</f>
        <v>0</v>
      </c>
    </row>
    <row r="9" spans="1:25" x14ac:dyDescent="0.25">
      <c r="A9" s="8">
        <f>[1]Data!A9</f>
        <v>900607</v>
      </c>
      <c r="B9" s="8">
        <f>[1]Data!B9</f>
        <v>1</v>
      </c>
      <c r="C9" s="8">
        <f>[1]Data!C9</f>
        <v>0</v>
      </c>
      <c r="D9" s="8">
        <f>[1]Data!D9</f>
        <v>5</v>
      </c>
      <c r="E9" s="8" t="str">
        <f>[1]Data!E9</f>
        <v>CVCTE</v>
      </c>
      <c r="F9" s="8" t="str">
        <f>[1]Data!F9</f>
        <v>Lancaster</v>
      </c>
      <c r="G9" s="8">
        <f>[1]Data!G9</f>
        <v>0</v>
      </c>
      <c r="H9" s="8">
        <f>[1]Data!H9</f>
        <v>0</v>
      </c>
      <c r="I9" s="8">
        <f>[1]Data!I9</f>
        <v>46.170999999999999</v>
      </c>
      <c r="J9" s="8">
        <f>[1]Data!J9</f>
        <v>35.61962055</v>
      </c>
      <c r="K9" s="8">
        <f>[1]Data!K9</f>
        <v>45.61962055</v>
      </c>
      <c r="L9" s="8">
        <f>[1]Data!L9</f>
        <v>0.55113261280071801</v>
      </c>
      <c r="M9" s="8">
        <f>[1]Data!M9</f>
        <v>46.1707531628007</v>
      </c>
      <c r="N9" s="8">
        <f>[1]Data!N9</f>
        <v>0.55000000000000004</v>
      </c>
      <c r="O9" s="8">
        <f>[1]Data!O9</f>
        <v>0</v>
      </c>
      <c r="P9" s="8">
        <f>[1]Data!P9</f>
        <v>1</v>
      </c>
      <c r="Q9" s="8">
        <f>[1]Data!Q9</f>
        <v>0</v>
      </c>
      <c r="R9" s="8">
        <f>[1]Data!R9</f>
        <v>0</v>
      </c>
      <c r="S9" s="8">
        <f>[1]Data!S9</f>
        <v>0</v>
      </c>
      <c r="T9">
        <f t="shared" si="0"/>
        <v>0.55000000000000004</v>
      </c>
      <c r="U9">
        <f t="shared" si="1"/>
        <v>0</v>
      </c>
      <c r="V9" s="4" t="str">
        <f t="shared" si="2"/>
        <v>0</v>
      </c>
      <c r="W9" s="4" t="str">
        <f t="shared" si="3"/>
        <v>1</v>
      </c>
      <c r="X9" s="4" t="str">
        <f t="shared" si="4"/>
        <v>0CVCTE1</v>
      </c>
      <c r="Y9">
        <f>VLOOKUP(X9,Sheet1!$J$5:$K$121,2,FALSE)</f>
        <v>0</v>
      </c>
    </row>
    <row r="10" spans="1:25" x14ac:dyDescent="0.25">
      <c r="A10" s="8">
        <f>[1]Data!A10</f>
        <v>910403</v>
      </c>
      <c r="B10" s="8">
        <f>[1]Data!B10</f>
        <v>1</v>
      </c>
      <c r="C10" s="8">
        <f>[1]Data!C10</f>
        <v>0</v>
      </c>
      <c r="D10" s="8">
        <f>[1]Data!D10</f>
        <v>5</v>
      </c>
      <c r="E10" s="8" t="str">
        <f>[1]Data!E10</f>
        <v>CVCTE</v>
      </c>
      <c r="F10" s="8" t="str">
        <f>[1]Data!F10</f>
        <v>Palmdale</v>
      </c>
      <c r="G10" s="8">
        <f>[1]Data!G10</f>
        <v>1</v>
      </c>
      <c r="H10" s="8">
        <f>[1]Data!H10</f>
        <v>1</v>
      </c>
      <c r="I10" s="8">
        <f>[1]Data!I10</f>
        <v>60.744</v>
      </c>
      <c r="J10" s="8">
        <f>[1]Data!J10</f>
        <v>51.57562969</v>
      </c>
      <c r="K10" s="8">
        <f>[1]Data!K10</f>
        <v>59.57562969</v>
      </c>
      <c r="L10" s="8">
        <f>[1]Data!L10</f>
        <v>1.16863085123878</v>
      </c>
      <c r="M10" s="8">
        <f>[1]Data!M10</f>
        <v>60.744260541238802</v>
      </c>
      <c r="N10" s="8">
        <f>[1]Data!N10</f>
        <v>0.55000000000000004</v>
      </c>
      <c r="O10" s="8">
        <f>[1]Data!O10</f>
        <v>1.8181818181818199</v>
      </c>
      <c r="P10" s="8">
        <f>[1]Data!P10</f>
        <v>1</v>
      </c>
      <c r="Q10" s="8">
        <f>[1]Data!Q10</f>
        <v>0</v>
      </c>
      <c r="R10" s="8">
        <f>[1]Data!R10</f>
        <v>0</v>
      </c>
      <c r="S10" s="8">
        <f>[1]Data!S10</f>
        <v>0</v>
      </c>
      <c r="T10">
        <f t="shared" si="0"/>
        <v>0.55000000000000004</v>
      </c>
      <c r="U10">
        <f t="shared" si="1"/>
        <v>1.8181818181818181</v>
      </c>
      <c r="V10" s="4" t="str">
        <f t="shared" si="2"/>
        <v>0</v>
      </c>
      <c r="W10" s="4" t="str">
        <f t="shared" si="3"/>
        <v>1</v>
      </c>
      <c r="X10" s="4" t="str">
        <f t="shared" si="4"/>
        <v>0CVCTE1</v>
      </c>
      <c r="Y10">
        <f>VLOOKUP(X10,Sheet1!$J$5:$K$121,2,FALSE)</f>
        <v>0</v>
      </c>
    </row>
    <row r="11" spans="1:25" x14ac:dyDescent="0.25">
      <c r="A11" s="8">
        <f>[1]Data!A11</f>
        <v>900602</v>
      </c>
      <c r="B11" s="8">
        <f>[1]Data!B11</f>
        <v>1</v>
      </c>
      <c r="C11" s="8">
        <f>[1]Data!C11</f>
        <v>0</v>
      </c>
      <c r="D11" s="8">
        <f>[1]Data!D11</f>
        <v>5</v>
      </c>
      <c r="E11" s="8" t="str">
        <f>[1]Data!E11</f>
        <v>CVCTE</v>
      </c>
      <c r="F11" s="8" t="str">
        <f>[1]Data!F11</f>
        <v>Lancaster</v>
      </c>
      <c r="G11" s="8">
        <f>[1]Data!G11</f>
        <v>1</v>
      </c>
      <c r="H11" s="8">
        <f>[1]Data!H11</f>
        <v>1</v>
      </c>
      <c r="I11" s="8">
        <f>[1]Data!I11</f>
        <v>9.6859999999999999</v>
      </c>
      <c r="J11" s="8">
        <f>[1]Data!J11</f>
        <v>3.4228962300000001</v>
      </c>
      <c r="K11" s="8">
        <f>[1]Data!K11</f>
        <v>9.4228962299999992</v>
      </c>
      <c r="L11" s="8">
        <f>[1]Data!L11</f>
        <v>0.26262460752244199</v>
      </c>
      <c r="M11" s="8">
        <f>[1]Data!M11</f>
        <v>9.6855208375224393</v>
      </c>
      <c r="N11" s="8">
        <f>[1]Data!N11</f>
        <v>0.55000000000000004</v>
      </c>
      <c r="O11" s="8">
        <f>[1]Data!O11</f>
        <v>1.8181818181818199</v>
      </c>
      <c r="P11" s="8">
        <f>[1]Data!P11</f>
        <v>1</v>
      </c>
      <c r="Q11" s="8">
        <f>[1]Data!Q11</f>
        <v>0</v>
      </c>
      <c r="R11" s="8">
        <f>[1]Data!R11</f>
        <v>0</v>
      </c>
      <c r="S11" s="8">
        <f>[1]Data!S11</f>
        <v>0</v>
      </c>
      <c r="T11">
        <f t="shared" si="0"/>
        <v>0.55000000000000004</v>
      </c>
      <c r="U11">
        <f t="shared" si="1"/>
        <v>1.8181818181818181</v>
      </c>
      <c r="V11" s="4" t="str">
        <f t="shared" si="2"/>
        <v>0</v>
      </c>
      <c r="W11" s="4" t="str">
        <f t="shared" si="3"/>
        <v>1</v>
      </c>
      <c r="X11" s="4" t="str">
        <f t="shared" si="4"/>
        <v>0CVCTE1</v>
      </c>
      <c r="Y11">
        <f>VLOOKUP(X11,Sheet1!$J$5:$K$121,2,FALSE)</f>
        <v>0</v>
      </c>
    </row>
    <row r="12" spans="1:25" x14ac:dyDescent="0.25">
      <c r="A12" s="8">
        <f>[1]Data!A12</f>
        <v>910501</v>
      </c>
      <c r="B12" s="8">
        <f>[1]Data!B12</f>
        <v>1</v>
      </c>
      <c r="C12" s="8">
        <f>[1]Data!C12</f>
        <v>0</v>
      </c>
      <c r="D12" s="8">
        <f>[1]Data!D12</f>
        <v>5</v>
      </c>
      <c r="E12" s="8" t="str">
        <f>[1]Data!E12</f>
        <v>CVCTE</v>
      </c>
      <c r="F12" s="8" t="str">
        <f>[1]Data!F12</f>
        <v>Palmdale</v>
      </c>
      <c r="G12" s="8">
        <f>[1]Data!G12</f>
        <v>1</v>
      </c>
      <c r="H12" s="8">
        <f>[1]Data!H12</f>
        <v>1</v>
      </c>
      <c r="I12" s="8">
        <f>[1]Data!I12</f>
        <v>22.483000000000001</v>
      </c>
      <c r="J12" s="8">
        <f>[1]Data!J12</f>
        <v>13.026115649999999</v>
      </c>
      <c r="K12" s="8">
        <f>[1]Data!K12</f>
        <v>22.026115650000001</v>
      </c>
      <c r="L12" s="8">
        <f>[1]Data!L12</f>
        <v>0.456298497235189</v>
      </c>
      <c r="M12" s="8">
        <f>[1]Data!M12</f>
        <v>22.4824141472352</v>
      </c>
      <c r="N12" s="8">
        <f>[1]Data!N12</f>
        <v>0.55000000000000004</v>
      </c>
      <c r="O12" s="8">
        <f>[1]Data!O12</f>
        <v>1.8181818181818199</v>
      </c>
      <c r="P12" s="8">
        <f>[1]Data!P12</f>
        <v>1</v>
      </c>
      <c r="Q12" s="8">
        <f>[1]Data!Q12</f>
        <v>0</v>
      </c>
      <c r="R12" s="8">
        <f>[1]Data!R12</f>
        <v>0</v>
      </c>
      <c r="S12" s="8">
        <f>[1]Data!S12</f>
        <v>0</v>
      </c>
      <c r="T12">
        <f t="shared" si="0"/>
        <v>0.55000000000000004</v>
      </c>
      <c r="U12">
        <f t="shared" si="1"/>
        <v>1.8181818181818181</v>
      </c>
      <c r="V12" s="4" t="str">
        <f t="shared" si="2"/>
        <v>0</v>
      </c>
      <c r="W12" s="4" t="str">
        <f t="shared" si="3"/>
        <v>1</v>
      </c>
      <c r="X12" s="4" t="str">
        <f t="shared" si="4"/>
        <v>0CVCTE1</v>
      </c>
      <c r="Y12">
        <f>VLOOKUP(X12,Sheet1!$J$5:$K$121,2,FALSE)</f>
        <v>0</v>
      </c>
    </row>
    <row r="13" spans="1:25" x14ac:dyDescent="0.25">
      <c r="A13" s="8">
        <f>[1]Data!A13</f>
        <v>901008</v>
      </c>
      <c r="B13" s="8">
        <f>[1]Data!B13</f>
        <v>1</v>
      </c>
      <c r="C13" s="8">
        <f>[1]Data!C13</f>
        <v>0</v>
      </c>
      <c r="D13" s="8">
        <f>[1]Data!D13</f>
        <v>5</v>
      </c>
      <c r="E13" s="8" t="str">
        <f>[1]Data!E13</f>
        <v>CVCTE</v>
      </c>
      <c r="F13" s="8" t="str">
        <f>[1]Data!F13</f>
        <v>Lancaster</v>
      </c>
      <c r="G13" s="8">
        <f>[1]Data!G13</f>
        <v>1</v>
      </c>
      <c r="H13" s="8">
        <f>[1]Data!H13</f>
        <v>1</v>
      </c>
      <c r="I13" s="8">
        <f>[1]Data!I13</f>
        <v>15.217000000000001</v>
      </c>
      <c r="J13" s="8">
        <f>[1]Data!J13</f>
        <v>10.08774972</v>
      </c>
      <c r="K13" s="8">
        <f>[1]Data!K13</f>
        <v>15.08774972</v>
      </c>
      <c r="L13" s="8">
        <f>[1]Data!L13</f>
        <v>0.128951590556553</v>
      </c>
      <c r="M13" s="8">
        <f>[1]Data!M13</f>
        <v>15.2167013105566</v>
      </c>
      <c r="N13" s="8">
        <f>[1]Data!N13</f>
        <v>0.55000000000000004</v>
      </c>
      <c r="O13" s="8">
        <f>[1]Data!O13</f>
        <v>1.8181818181818199</v>
      </c>
      <c r="P13" s="8">
        <f>[1]Data!P13</f>
        <v>1</v>
      </c>
      <c r="Q13" s="8">
        <f>[1]Data!Q13</f>
        <v>0</v>
      </c>
      <c r="R13" s="8">
        <f>[1]Data!R13</f>
        <v>0</v>
      </c>
      <c r="S13" s="8">
        <f>[1]Data!S13</f>
        <v>0</v>
      </c>
      <c r="T13">
        <f t="shared" si="0"/>
        <v>0.55000000000000004</v>
      </c>
      <c r="U13">
        <f t="shared" si="1"/>
        <v>1.8181818181818181</v>
      </c>
      <c r="V13" s="4" t="str">
        <f t="shared" si="2"/>
        <v>0</v>
      </c>
      <c r="W13" s="4" t="str">
        <f t="shared" si="3"/>
        <v>1</v>
      </c>
      <c r="X13" s="4" t="str">
        <f t="shared" si="4"/>
        <v>0CVCTE1</v>
      </c>
      <c r="Y13">
        <f>VLOOKUP(X13,Sheet1!$J$5:$K$121,2,FALSE)</f>
        <v>0</v>
      </c>
    </row>
    <row r="14" spans="1:25" x14ac:dyDescent="0.25">
      <c r="A14" s="8">
        <f>[1]Data!A14</f>
        <v>900501</v>
      </c>
      <c r="B14" s="8">
        <f>[1]Data!B14</f>
        <v>1</v>
      </c>
      <c r="C14" s="8">
        <f>[1]Data!C14</f>
        <v>0</v>
      </c>
      <c r="D14" s="8">
        <f>[1]Data!D14</f>
        <v>5</v>
      </c>
      <c r="E14" s="8" t="str">
        <f>[1]Data!E14</f>
        <v>CVCTE</v>
      </c>
      <c r="F14" s="8" t="str">
        <f>[1]Data!F14</f>
        <v>Lancaster</v>
      </c>
      <c r="G14" s="8">
        <f>[1]Data!G14</f>
        <v>0</v>
      </c>
      <c r="H14" s="8">
        <f>[1]Data!H14</f>
        <v>0</v>
      </c>
      <c r="I14" s="8">
        <f>[1]Data!I14</f>
        <v>21.324999999999999</v>
      </c>
      <c r="J14" s="8">
        <f>[1]Data!J14</f>
        <v>5.07720868</v>
      </c>
      <c r="K14" s="8">
        <f>[1]Data!K14</f>
        <v>21.077208679999998</v>
      </c>
      <c r="L14" s="8">
        <f>[1]Data!L14</f>
        <v>0.24706283850987401</v>
      </c>
      <c r="M14" s="8">
        <f>[1]Data!M14</f>
        <v>21.324271518509899</v>
      </c>
      <c r="N14" s="8">
        <f>[1]Data!N14</f>
        <v>0.55000000000000004</v>
      </c>
      <c r="O14" s="8">
        <f>[1]Data!O14</f>
        <v>0</v>
      </c>
      <c r="P14" s="8">
        <f>[1]Data!P14</f>
        <v>1</v>
      </c>
      <c r="Q14" s="8">
        <f>[1]Data!Q14</f>
        <v>0</v>
      </c>
      <c r="R14" s="8">
        <f>[1]Data!R14</f>
        <v>0</v>
      </c>
      <c r="S14" s="8">
        <f>[1]Data!S14</f>
        <v>0</v>
      </c>
      <c r="T14">
        <f t="shared" si="0"/>
        <v>0.55000000000000004</v>
      </c>
      <c r="U14">
        <f t="shared" si="1"/>
        <v>0</v>
      </c>
      <c r="V14" s="4" t="str">
        <f t="shared" si="2"/>
        <v>0</v>
      </c>
      <c r="W14" s="4" t="str">
        <f t="shared" si="3"/>
        <v>1</v>
      </c>
      <c r="X14" s="4" t="str">
        <f t="shared" si="4"/>
        <v>0CVCTE1</v>
      </c>
      <c r="Y14">
        <f>VLOOKUP(X14,Sheet1!$J$5:$K$121,2,FALSE)</f>
        <v>0</v>
      </c>
    </row>
    <row r="15" spans="1:25" x14ac:dyDescent="0.25">
      <c r="A15" s="8">
        <f>[1]Data!A15</f>
        <v>900703</v>
      </c>
      <c r="B15" s="8">
        <f>[1]Data!B15</f>
        <v>1</v>
      </c>
      <c r="C15" s="8">
        <f>[1]Data!C15</f>
        <v>0</v>
      </c>
      <c r="D15" s="8">
        <f>[1]Data!D15</f>
        <v>5</v>
      </c>
      <c r="E15" s="8" t="str">
        <f>[1]Data!E15</f>
        <v>CVCTE</v>
      </c>
      <c r="F15" s="8" t="str">
        <f>[1]Data!F15</f>
        <v>Lancaster</v>
      </c>
      <c r="G15" s="8">
        <f>[1]Data!G15</f>
        <v>1</v>
      </c>
      <c r="H15" s="8">
        <f>[1]Data!H15</f>
        <v>1</v>
      </c>
      <c r="I15" s="8">
        <f>[1]Data!I15</f>
        <v>65.837000000000003</v>
      </c>
      <c r="J15" s="8">
        <f>[1]Data!J15</f>
        <v>48.827896819999999</v>
      </c>
      <c r="K15" s="8">
        <f>[1]Data!K15</f>
        <v>64.827896820000007</v>
      </c>
      <c r="L15" s="8">
        <f>[1]Data!L15</f>
        <v>1.00976769678636</v>
      </c>
      <c r="M15" s="8">
        <f>[1]Data!M15</f>
        <v>65.837664516786404</v>
      </c>
      <c r="N15" s="8">
        <f>[1]Data!N15</f>
        <v>0.55000000000000004</v>
      </c>
      <c r="O15" s="8">
        <f>[1]Data!O15</f>
        <v>1.8181818181818199</v>
      </c>
      <c r="P15" s="8">
        <f>[1]Data!P15</f>
        <v>1</v>
      </c>
      <c r="Q15" s="8">
        <f>[1]Data!Q15</f>
        <v>0</v>
      </c>
      <c r="R15" s="8">
        <f>[1]Data!R15</f>
        <v>0</v>
      </c>
      <c r="S15" s="8">
        <f>[1]Data!S15</f>
        <v>0</v>
      </c>
      <c r="T15">
        <f t="shared" si="0"/>
        <v>0.55000000000000004</v>
      </c>
      <c r="U15">
        <f t="shared" si="1"/>
        <v>1.8181818181818181</v>
      </c>
      <c r="V15" s="4" t="str">
        <f t="shared" si="2"/>
        <v>0</v>
      </c>
      <c r="W15" s="4" t="str">
        <f t="shared" si="3"/>
        <v>1</v>
      </c>
      <c r="X15" s="4" t="str">
        <f t="shared" si="4"/>
        <v>0CVCTE1</v>
      </c>
      <c r="Y15">
        <f>VLOOKUP(X15,Sheet1!$J$5:$K$121,2,FALSE)</f>
        <v>0</v>
      </c>
    </row>
    <row r="16" spans="1:25" x14ac:dyDescent="0.25">
      <c r="A16" s="8">
        <f>[1]Data!A16</f>
        <v>900605</v>
      </c>
      <c r="B16" s="8">
        <f>[1]Data!B16</f>
        <v>1</v>
      </c>
      <c r="C16" s="8">
        <f>[1]Data!C16</f>
        <v>0</v>
      </c>
      <c r="D16" s="8">
        <f>[1]Data!D16</f>
        <v>5</v>
      </c>
      <c r="E16" s="8" t="str">
        <f>[1]Data!E16</f>
        <v>CVCTE</v>
      </c>
      <c r="F16" s="8" t="str">
        <f>[1]Data!F16</f>
        <v>Lancaster</v>
      </c>
      <c r="G16" s="8">
        <f>[1]Data!G16</f>
        <v>0</v>
      </c>
      <c r="H16" s="8">
        <f>[1]Data!H16</f>
        <v>0</v>
      </c>
      <c r="I16" s="8">
        <f>[1]Data!I16</f>
        <v>3.181</v>
      </c>
      <c r="J16" s="8">
        <f>[1]Data!J16</f>
        <v>2.87839314</v>
      </c>
      <c r="K16" s="8">
        <f>[1]Data!K16</f>
        <v>2.87839314</v>
      </c>
      <c r="L16" s="8">
        <f>[1]Data!L16</f>
        <v>0.30290401228007202</v>
      </c>
      <c r="M16" s="8">
        <f>[1]Data!M16</f>
        <v>3.1812971522800702</v>
      </c>
      <c r="N16" s="8">
        <f>[1]Data!N16</f>
        <v>0.55000000000000004</v>
      </c>
      <c r="O16" s="8">
        <f>[1]Data!O16</f>
        <v>0</v>
      </c>
      <c r="P16" s="8">
        <f>[1]Data!P16</f>
        <v>1</v>
      </c>
      <c r="Q16" s="8">
        <f>[1]Data!Q16</f>
        <v>0</v>
      </c>
      <c r="R16" s="8">
        <f>[1]Data!R16</f>
        <v>0</v>
      </c>
      <c r="S16" s="8">
        <f>[1]Data!S16</f>
        <v>0</v>
      </c>
      <c r="T16">
        <f t="shared" si="0"/>
        <v>0.55000000000000004</v>
      </c>
      <c r="U16">
        <f t="shared" si="1"/>
        <v>0</v>
      </c>
      <c r="V16" s="4" t="str">
        <f t="shared" si="2"/>
        <v>0</v>
      </c>
      <c r="W16" s="4" t="str">
        <f t="shared" si="3"/>
        <v>1</v>
      </c>
      <c r="X16" s="4" t="str">
        <f t="shared" si="4"/>
        <v>0CVCTE1</v>
      </c>
      <c r="Y16">
        <f>VLOOKUP(X16,Sheet1!$J$5:$K$121,2,FALSE)</f>
        <v>0</v>
      </c>
    </row>
    <row r="17" spans="1:25" x14ac:dyDescent="0.25">
      <c r="A17" s="8">
        <f>[1]Data!A17</f>
        <v>900104</v>
      </c>
      <c r="B17" s="8">
        <f>[1]Data!B17</f>
        <v>1</v>
      </c>
      <c r="C17" s="8">
        <f>[1]Data!C17</f>
        <v>0</v>
      </c>
      <c r="D17" s="8">
        <f>[1]Data!D17</f>
        <v>5</v>
      </c>
      <c r="E17" s="8" t="str">
        <f>[1]Data!E17</f>
        <v>CVCTE</v>
      </c>
      <c r="F17" s="8" t="str">
        <f>[1]Data!F17</f>
        <v>Unincorporated Antelope Valley</v>
      </c>
      <c r="G17" s="8">
        <f>[1]Data!G17</f>
        <v>0</v>
      </c>
      <c r="H17" s="8">
        <f>[1]Data!H17</f>
        <v>0</v>
      </c>
      <c r="I17" s="8">
        <f>[1]Data!I17</f>
        <v>117.57599999999999</v>
      </c>
      <c r="J17" s="8">
        <f>[1]Data!J17</f>
        <v>108.22235605</v>
      </c>
      <c r="K17" s="8">
        <f>[1]Data!K17</f>
        <v>112.22235605</v>
      </c>
      <c r="L17" s="8">
        <f>[1]Data!L17</f>
        <v>5.3539277505385998</v>
      </c>
      <c r="M17" s="8">
        <f>[1]Data!M17</f>
        <v>117.576283800539</v>
      </c>
      <c r="N17" s="8">
        <f>[1]Data!N17</f>
        <v>0.55000000000000004</v>
      </c>
      <c r="O17" s="8">
        <f>[1]Data!O17</f>
        <v>0</v>
      </c>
      <c r="P17" s="8">
        <f>[1]Data!P17</f>
        <v>1</v>
      </c>
      <c r="Q17" s="8">
        <f>[1]Data!Q17</f>
        <v>0</v>
      </c>
      <c r="R17" s="8">
        <f>[1]Data!R17</f>
        <v>0</v>
      </c>
      <c r="S17" s="8">
        <f>[1]Data!S17</f>
        <v>0</v>
      </c>
      <c r="T17">
        <f t="shared" si="0"/>
        <v>0.55000000000000004</v>
      </c>
      <c r="U17">
        <f t="shared" si="1"/>
        <v>0</v>
      </c>
      <c r="V17" s="4" t="str">
        <f t="shared" si="2"/>
        <v>0</v>
      </c>
      <c r="W17" s="4" t="str">
        <f t="shared" si="3"/>
        <v>1</v>
      </c>
      <c r="X17" s="4" t="str">
        <f t="shared" si="4"/>
        <v>0CVCTE1</v>
      </c>
      <c r="Y17">
        <f>VLOOKUP(X17,Sheet1!$J$5:$K$121,2,FALSE)</f>
        <v>0</v>
      </c>
    </row>
    <row r="18" spans="1:25" x14ac:dyDescent="0.25">
      <c r="A18" s="8">
        <f>[1]Data!A18</f>
        <v>910812</v>
      </c>
      <c r="B18" s="8">
        <f>[1]Data!B18</f>
        <v>1</v>
      </c>
      <c r="C18" s="8">
        <f>[1]Data!C18</f>
        <v>0</v>
      </c>
      <c r="D18" s="8">
        <f>[1]Data!D18</f>
        <v>5</v>
      </c>
      <c r="E18" s="8" t="str">
        <f>[1]Data!E18</f>
        <v>CVCTE</v>
      </c>
      <c r="F18" s="8" t="str">
        <f>[1]Data!F18</f>
        <v>Unincorporated Antelope Valley</v>
      </c>
      <c r="G18" s="8">
        <f>[1]Data!G18</f>
        <v>0</v>
      </c>
      <c r="H18" s="8">
        <f>[1]Data!H18</f>
        <v>0</v>
      </c>
      <c r="I18" s="8">
        <f>[1]Data!I18</f>
        <v>82.486000000000004</v>
      </c>
      <c r="J18" s="8">
        <f>[1]Data!J18</f>
        <v>79.241247479999998</v>
      </c>
      <c r="K18" s="8">
        <f>[1]Data!K18</f>
        <v>80.241247479999998</v>
      </c>
      <c r="L18" s="8">
        <f>[1]Data!L18</f>
        <v>2.2455088853860001</v>
      </c>
      <c r="M18" s="8">
        <f>[1]Data!M18</f>
        <v>82.486756365386</v>
      </c>
      <c r="N18" s="8">
        <f>[1]Data!N18</f>
        <v>0.55000000000000004</v>
      </c>
      <c r="O18" s="8">
        <f>[1]Data!O18</f>
        <v>0</v>
      </c>
      <c r="P18" s="8">
        <f>[1]Data!P18</f>
        <v>1</v>
      </c>
      <c r="Q18" s="8">
        <f>[1]Data!Q18</f>
        <v>0</v>
      </c>
      <c r="R18" s="8">
        <f>[1]Data!R18</f>
        <v>0</v>
      </c>
      <c r="S18" s="8">
        <f>[1]Data!S18</f>
        <v>0</v>
      </c>
      <c r="T18">
        <f t="shared" si="0"/>
        <v>0.55000000000000004</v>
      </c>
      <c r="U18">
        <f t="shared" si="1"/>
        <v>0</v>
      </c>
      <c r="V18" s="4" t="str">
        <f t="shared" si="2"/>
        <v>0</v>
      </c>
      <c r="W18" s="4" t="str">
        <f t="shared" si="3"/>
        <v>1</v>
      </c>
      <c r="X18" s="4" t="str">
        <f t="shared" si="4"/>
        <v>0CVCTE1</v>
      </c>
      <c r="Y18">
        <f>VLOOKUP(X18,Sheet1!$J$5:$K$121,2,FALSE)</f>
        <v>0</v>
      </c>
    </row>
    <row r="19" spans="1:25" x14ac:dyDescent="0.25">
      <c r="A19" s="8">
        <f>[1]Data!A19</f>
        <v>910805</v>
      </c>
      <c r="B19" s="8">
        <f>[1]Data!B19</f>
        <v>1</v>
      </c>
      <c r="C19" s="8">
        <f>[1]Data!C19</f>
        <v>0</v>
      </c>
      <c r="D19" s="8">
        <f>[1]Data!D19</f>
        <v>5</v>
      </c>
      <c r="E19" s="8" t="str">
        <f>[1]Data!E19</f>
        <v>CVCTE</v>
      </c>
      <c r="F19" s="8" t="str">
        <f>[1]Data!F19</f>
        <v>Unincorporated Antelope Valley</v>
      </c>
      <c r="G19" s="8">
        <f>[1]Data!G19</f>
        <v>0</v>
      </c>
      <c r="H19" s="8">
        <f>[1]Data!H19</f>
        <v>0</v>
      </c>
      <c r="I19" s="8">
        <f>[1]Data!I19</f>
        <v>263.99299999999999</v>
      </c>
      <c r="J19" s="8">
        <f>[1]Data!J19</f>
        <v>246.9753493</v>
      </c>
      <c r="K19" s="8">
        <f>[1]Data!K19</f>
        <v>250.9753493</v>
      </c>
      <c r="L19" s="8">
        <f>[1]Data!L19</f>
        <v>13.0188499999282</v>
      </c>
      <c r="M19" s="8">
        <f>[1]Data!M19</f>
        <v>263.99419929992803</v>
      </c>
      <c r="N19" s="8">
        <f>[1]Data!N19</f>
        <v>0.55000000000000004</v>
      </c>
      <c r="O19" s="8">
        <f>[1]Data!O19</f>
        <v>0</v>
      </c>
      <c r="P19" s="8">
        <f>[1]Data!P19</f>
        <v>1</v>
      </c>
      <c r="Q19" s="8">
        <f>[1]Data!Q19</f>
        <v>0</v>
      </c>
      <c r="R19" s="8">
        <f>[1]Data!R19</f>
        <v>0</v>
      </c>
      <c r="S19" s="8">
        <f>[1]Data!S19</f>
        <v>0</v>
      </c>
      <c r="T19">
        <f t="shared" si="0"/>
        <v>0.55000000000000004</v>
      </c>
      <c r="U19">
        <f t="shared" si="1"/>
        <v>0</v>
      </c>
      <c r="V19" s="4" t="str">
        <f t="shared" si="2"/>
        <v>0</v>
      </c>
      <c r="W19" s="4" t="str">
        <f t="shared" si="3"/>
        <v>1</v>
      </c>
      <c r="X19" s="4" t="str">
        <f t="shared" si="4"/>
        <v>0CVCTE1</v>
      </c>
      <c r="Y19">
        <f>VLOOKUP(X19,Sheet1!$J$5:$K$121,2,FALSE)</f>
        <v>0</v>
      </c>
    </row>
    <row r="20" spans="1:25" x14ac:dyDescent="0.25">
      <c r="A20" s="8">
        <f>[1]Data!A20</f>
        <v>910002</v>
      </c>
      <c r="B20" s="8">
        <f>[1]Data!B20</f>
        <v>1</v>
      </c>
      <c r="C20" s="8">
        <f>[1]Data!C20</f>
        <v>0</v>
      </c>
      <c r="D20" s="8">
        <f>[1]Data!D20</f>
        <v>5</v>
      </c>
      <c r="E20" s="8" t="str">
        <f>[1]Data!E20</f>
        <v>CVCTE</v>
      </c>
      <c r="F20" s="8" t="str">
        <f>[1]Data!F20</f>
        <v>Unincorporated Antelope Valley</v>
      </c>
      <c r="G20" s="8">
        <f>[1]Data!G20</f>
        <v>1</v>
      </c>
      <c r="H20" s="8">
        <f>[1]Data!H20</f>
        <v>1</v>
      </c>
      <c r="I20" s="8">
        <f>[1]Data!I20</f>
        <v>0</v>
      </c>
      <c r="J20" s="8">
        <f>[1]Data!J20</f>
        <v>0</v>
      </c>
      <c r="K20" s="8">
        <f>[1]Data!K20</f>
        <v>0</v>
      </c>
      <c r="L20" s="8">
        <f>[1]Data!L20</f>
        <v>0</v>
      </c>
      <c r="M20" s="8">
        <f>[1]Data!M20</f>
        <v>0</v>
      </c>
      <c r="N20" s="8">
        <f>[1]Data!N20</f>
        <v>0.55000000000000004</v>
      </c>
      <c r="O20" s="8">
        <f>[1]Data!O20</f>
        <v>1.8181818181818199</v>
      </c>
      <c r="P20" s="8">
        <f>[1]Data!P20</f>
        <v>1</v>
      </c>
      <c r="Q20" s="8">
        <f>[1]Data!Q20</f>
        <v>0</v>
      </c>
      <c r="R20" s="8">
        <f>[1]Data!R20</f>
        <v>0</v>
      </c>
      <c r="S20" s="8">
        <f>[1]Data!S20</f>
        <v>0</v>
      </c>
      <c r="T20">
        <f t="shared" si="0"/>
        <v>0.55000000000000004</v>
      </c>
      <c r="U20">
        <f t="shared" si="1"/>
        <v>1.8181818181818181</v>
      </c>
      <c r="V20" s="4" t="str">
        <f t="shared" si="2"/>
        <v>0</v>
      </c>
      <c r="W20" s="4" t="str">
        <f t="shared" si="3"/>
        <v>1</v>
      </c>
      <c r="X20" s="4" t="str">
        <f t="shared" si="4"/>
        <v>0CVCTE1</v>
      </c>
      <c r="Y20">
        <f>VLOOKUP(X20,Sheet1!$J$5:$K$121,2,FALSE)</f>
        <v>0</v>
      </c>
    </row>
    <row r="21" spans="1:25" x14ac:dyDescent="0.25">
      <c r="A21" s="8">
        <f>[1]Data!A21</f>
        <v>910202</v>
      </c>
      <c r="B21" s="8">
        <f>[1]Data!B21</f>
        <v>1</v>
      </c>
      <c r="C21" s="8">
        <f>[1]Data!C21</f>
        <v>0</v>
      </c>
      <c r="D21" s="8">
        <f>[1]Data!D21</f>
        <v>5</v>
      </c>
      <c r="E21" s="8" t="str">
        <f>[1]Data!E21</f>
        <v>CVCTE</v>
      </c>
      <c r="F21" s="8" t="str">
        <f>[1]Data!F21</f>
        <v>Palmdale</v>
      </c>
      <c r="G21" s="8">
        <f>[1]Data!G21</f>
        <v>0</v>
      </c>
      <c r="H21" s="8">
        <f>[1]Data!H21</f>
        <v>0</v>
      </c>
      <c r="I21" s="8">
        <f>[1]Data!I21</f>
        <v>552.55799999999999</v>
      </c>
      <c r="J21" s="8">
        <f>[1]Data!J21</f>
        <v>512.99724968999999</v>
      </c>
      <c r="K21" s="8">
        <f>[1]Data!K21</f>
        <v>523.99724968999999</v>
      </c>
      <c r="L21" s="8">
        <f>[1]Data!L21</f>
        <v>28.562341324901301</v>
      </c>
      <c r="M21" s="8">
        <f>[1]Data!M21</f>
        <v>552.559591014901</v>
      </c>
      <c r="N21" s="8">
        <f>[1]Data!N21</f>
        <v>0.55000000000000004</v>
      </c>
      <c r="O21" s="8">
        <f>[1]Data!O21</f>
        <v>0</v>
      </c>
      <c r="P21" s="8">
        <f>[1]Data!P21</f>
        <v>1</v>
      </c>
      <c r="Q21" s="8">
        <f>[1]Data!Q21</f>
        <v>0</v>
      </c>
      <c r="R21" s="8">
        <f>[1]Data!R21</f>
        <v>0</v>
      </c>
      <c r="S21" s="8">
        <f>[1]Data!S21</f>
        <v>0</v>
      </c>
      <c r="T21">
        <f t="shared" si="0"/>
        <v>0.55000000000000004</v>
      </c>
      <c r="U21">
        <f t="shared" si="1"/>
        <v>0</v>
      </c>
      <c r="V21" s="4" t="str">
        <f t="shared" si="2"/>
        <v>0</v>
      </c>
      <c r="W21" s="4" t="str">
        <f t="shared" si="3"/>
        <v>1</v>
      </c>
      <c r="X21" s="4" t="str">
        <f t="shared" si="4"/>
        <v>0CVCTE1</v>
      </c>
      <c r="Y21">
        <f>VLOOKUP(X21,Sheet1!$J$5:$K$121,2,FALSE)</f>
        <v>0</v>
      </c>
    </row>
    <row r="22" spans="1:25" x14ac:dyDescent="0.25">
      <c r="A22" s="8">
        <f>[1]Data!A22</f>
        <v>800102</v>
      </c>
      <c r="B22" s="8">
        <f>[1]Data!B22</f>
        <v>2</v>
      </c>
      <c r="C22" s="8">
        <f>[1]Data!C22</f>
        <v>0</v>
      </c>
      <c r="D22" s="8">
        <f>[1]Data!D22</f>
        <v>3</v>
      </c>
      <c r="E22" s="8" t="str">
        <f>[1]Data!E22</f>
        <v>CVCTE</v>
      </c>
      <c r="F22" s="8" t="str">
        <f>[1]Data!F22</f>
        <v>Topanga</v>
      </c>
      <c r="G22" s="8">
        <f>[1]Data!G22</f>
        <v>1</v>
      </c>
      <c r="H22" s="8">
        <f>[1]Data!H22</f>
        <v>1</v>
      </c>
      <c r="I22" s="8">
        <f>[1]Data!I22</f>
        <v>124.69</v>
      </c>
      <c r="J22" s="8">
        <f>[1]Data!J22</f>
        <v>70.248496000000003</v>
      </c>
      <c r="K22" s="8">
        <f>[1]Data!K22</f>
        <v>121.248496</v>
      </c>
      <c r="L22" s="8">
        <f>[1]Data!L22</f>
        <v>3.4422692591920998</v>
      </c>
      <c r="M22" s="8">
        <f>[1]Data!M22</f>
        <v>124.69076525919201</v>
      </c>
      <c r="N22" s="8">
        <f>[1]Data!N22</f>
        <v>0.17910447761194001</v>
      </c>
      <c r="O22" s="8">
        <f>[1]Data!O22</f>
        <v>5.5833333333333304</v>
      </c>
      <c r="P22" s="8">
        <f>[1]Data!P22</f>
        <v>0.104477611940299</v>
      </c>
      <c r="Q22" s="8">
        <f>[1]Data!Q22</f>
        <v>0</v>
      </c>
      <c r="R22" s="8">
        <f>[1]Data!R22</f>
        <v>0</v>
      </c>
      <c r="S22" s="8">
        <f>[1]Data!S22</f>
        <v>0</v>
      </c>
      <c r="T22">
        <f t="shared" si="0"/>
        <v>0.17910447761194001</v>
      </c>
      <c r="U22">
        <f t="shared" si="1"/>
        <v>5.5833333333333419</v>
      </c>
      <c r="V22" s="4" t="str">
        <f t="shared" si="2"/>
        <v>0</v>
      </c>
      <c r="W22" s="4" t="str">
        <f t="shared" si="3"/>
        <v>2</v>
      </c>
      <c r="X22" s="4" t="str">
        <f t="shared" si="4"/>
        <v>0CVCTE2</v>
      </c>
      <c r="Y22">
        <f>VLOOKUP(X22,Sheet1!$J$5:$K$121,2,FALSE)</f>
        <v>0</v>
      </c>
    </row>
    <row r="23" spans="1:25" x14ac:dyDescent="0.25">
      <c r="A23" s="8">
        <f>[1]Data!A23</f>
        <v>310900</v>
      </c>
      <c r="B23" s="8">
        <f>[1]Data!B23</f>
        <v>2</v>
      </c>
      <c r="C23" s="8">
        <f>[1]Data!C23</f>
        <v>0</v>
      </c>
      <c r="D23" s="8">
        <f>[1]Data!D23</f>
        <v>5</v>
      </c>
      <c r="E23" s="8" t="str">
        <f>[1]Data!E23</f>
        <v>CVCTE</v>
      </c>
      <c r="F23" s="8" t="str">
        <f>[1]Data!F23</f>
        <v>Burbank</v>
      </c>
      <c r="G23" s="8">
        <f>[1]Data!G23</f>
        <v>0</v>
      </c>
      <c r="H23" s="8">
        <f>[1]Data!H23</f>
        <v>0</v>
      </c>
      <c r="I23" s="8">
        <f>[1]Data!I23</f>
        <v>23.233000000000001</v>
      </c>
      <c r="J23" s="8">
        <f>[1]Data!J23</f>
        <v>20.86075129</v>
      </c>
      <c r="K23" s="8">
        <f>[1]Data!K23</f>
        <v>22.86075129</v>
      </c>
      <c r="L23" s="8">
        <f>[1]Data!L23</f>
        <v>0.37178601041292603</v>
      </c>
      <c r="M23" s="8">
        <f>[1]Data!M23</f>
        <v>23.232537300412901</v>
      </c>
      <c r="N23" s="8">
        <f>[1]Data!N23</f>
        <v>0.17910447761194001</v>
      </c>
      <c r="O23" s="8">
        <f>[1]Data!O23</f>
        <v>0</v>
      </c>
      <c r="P23" s="8">
        <f>[1]Data!P23</f>
        <v>0.104477611940299</v>
      </c>
      <c r="Q23" s="8">
        <f>[1]Data!Q23</f>
        <v>0</v>
      </c>
      <c r="R23" s="8">
        <f>[1]Data!R23</f>
        <v>0</v>
      </c>
      <c r="S23" s="8">
        <f>[1]Data!S23</f>
        <v>0</v>
      </c>
      <c r="T23">
        <f t="shared" si="0"/>
        <v>0.17910447761194001</v>
      </c>
      <c r="U23">
        <f t="shared" si="1"/>
        <v>0</v>
      </c>
      <c r="V23" s="4" t="str">
        <f t="shared" si="2"/>
        <v>0</v>
      </c>
      <c r="W23" s="4" t="str">
        <f t="shared" si="3"/>
        <v>2</v>
      </c>
      <c r="X23" s="4" t="str">
        <f t="shared" si="4"/>
        <v>0CVCTE2</v>
      </c>
      <c r="Y23">
        <f>VLOOKUP(X23,Sheet1!$J$5:$K$121,2,FALSE)</f>
        <v>0</v>
      </c>
    </row>
    <row r="24" spans="1:25" x14ac:dyDescent="0.25">
      <c r="A24" s="8">
        <f>[1]Data!A24</f>
        <v>920023</v>
      </c>
      <c r="B24" s="8">
        <f>[1]Data!B24</f>
        <v>2</v>
      </c>
      <c r="C24" s="8">
        <f>[1]Data!C24</f>
        <v>0</v>
      </c>
      <c r="D24" s="8">
        <f>[1]Data!D24</f>
        <v>5</v>
      </c>
      <c r="E24" s="8" t="str">
        <f>[1]Data!E24</f>
        <v>CVCTE</v>
      </c>
      <c r="F24" s="8" t="str">
        <f>[1]Data!F24</f>
        <v>Santa Clarita</v>
      </c>
      <c r="G24" s="8">
        <f>[1]Data!G24</f>
        <v>1</v>
      </c>
      <c r="H24" s="8">
        <f>[1]Data!H24</f>
        <v>1</v>
      </c>
      <c r="I24" s="8">
        <f>[1]Data!I24</f>
        <v>26.373000000000001</v>
      </c>
      <c r="J24" s="8">
        <f>[1]Data!J24</f>
        <v>25.036393109999999</v>
      </c>
      <c r="K24" s="8">
        <f>[1]Data!K24</f>
        <v>25.036393109999999</v>
      </c>
      <c r="L24" s="8">
        <f>[1]Data!L24</f>
        <v>1.3366825446858199</v>
      </c>
      <c r="M24" s="8">
        <f>[1]Data!M24</f>
        <v>26.373075654685799</v>
      </c>
      <c r="N24" s="8">
        <f>[1]Data!N24</f>
        <v>0.17910447761194001</v>
      </c>
      <c r="O24" s="8">
        <f>[1]Data!O24</f>
        <v>5.5833333333333304</v>
      </c>
      <c r="P24" s="8">
        <f>[1]Data!P24</f>
        <v>0.104477611940299</v>
      </c>
      <c r="Q24" s="8">
        <f>[1]Data!Q24</f>
        <v>0</v>
      </c>
      <c r="R24" s="8">
        <f>[1]Data!R24</f>
        <v>0</v>
      </c>
      <c r="S24" s="8">
        <f>[1]Data!S24</f>
        <v>0</v>
      </c>
      <c r="T24">
        <f t="shared" si="0"/>
        <v>0.17910447761194001</v>
      </c>
      <c r="U24">
        <f t="shared" si="1"/>
        <v>5.5833333333333419</v>
      </c>
      <c r="V24" s="4" t="str">
        <f t="shared" si="2"/>
        <v>0</v>
      </c>
      <c r="W24" s="4" t="str">
        <f t="shared" si="3"/>
        <v>2</v>
      </c>
      <c r="X24" s="4" t="str">
        <f t="shared" si="4"/>
        <v>0CVCTE2</v>
      </c>
      <c r="Y24">
        <f>VLOOKUP(X24,Sheet1!$J$5:$K$121,2,FALSE)</f>
        <v>0</v>
      </c>
    </row>
    <row r="25" spans="1:25" x14ac:dyDescent="0.25">
      <c r="A25" s="8">
        <f>[1]Data!A25</f>
        <v>800331</v>
      </c>
      <c r="B25" s="8">
        <f>[1]Data!B25</f>
        <v>2</v>
      </c>
      <c r="C25" s="8">
        <f>[1]Data!C25</f>
        <v>0</v>
      </c>
      <c r="D25" s="8">
        <f>[1]Data!D25</f>
        <v>3</v>
      </c>
      <c r="E25" s="8" t="str">
        <f>[1]Data!E25</f>
        <v>CVCTE</v>
      </c>
      <c r="F25" s="8" t="str">
        <f>[1]Data!F25</f>
        <v>Agoura Hills</v>
      </c>
      <c r="G25" s="8">
        <f>[1]Data!G25</f>
        <v>1</v>
      </c>
      <c r="H25" s="8">
        <f>[1]Data!H25</f>
        <v>1</v>
      </c>
      <c r="I25" s="8">
        <f>[1]Data!I25</f>
        <v>25.498000000000001</v>
      </c>
      <c r="J25" s="8">
        <f>[1]Data!J25</f>
        <v>16.985042530000001</v>
      </c>
      <c r="K25" s="8">
        <f>[1]Data!K25</f>
        <v>24.985042530000001</v>
      </c>
      <c r="L25" s="8">
        <f>[1]Data!L25</f>
        <v>0.51249653452423705</v>
      </c>
      <c r="M25" s="8">
        <f>[1]Data!M25</f>
        <v>25.497539064524201</v>
      </c>
      <c r="N25" s="8">
        <f>[1]Data!N25</f>
        <v>0.17910447761194001</v>
      </c>
      <c r="O25" s="8">
        <f>[1]Data!O25</f>
        <v>5.5833333333333304</v>
      </c>
      <c r="P25" s="8">
        <f>[1]Data!P25</f>
        <v>0.104477611940299</v>
      </c>
      <c r="Q25" s="8">
        <f>[1]Data!Q25</f>
        <v>0</v>
      </c>
      <c r="R25" s="8">
        <f>[1]Data!R25</f>
        <v>0</v>
      </c>
      <c r="S25" s="8">
        <f>[1]Data!S25</f>
        <v>0</v>
      </c>
      <c r="T25">
        <f t="shared" si="0"/>
        <v>0.17910447761194001</v>
      </c>
      <c r="U25">
        <f t="shared" si="1"/>
        <v>5.5833333333333419</v>
      </c>
      <c r="V25" s="4" t="str">
        <f t="shared" si="2"/>
        <v>0</v>
      </c>
      <c r="W25" s="4" t="str">
        <f t="shared" si="3"/>
        <v>2</v>
      </c>
      <c r="X25" s="4" t="str">
        <f t="shared" si="4"/>
        <v>0CVCTE2</v>
      </c>
      <c r="Y25">
        <f>VLOOKUP(X25,Sheet1!$J$5:$K$121,2,FALSE)</f>
        <v>0</v>
      </c>
    </row>
    <row r="26" spans="1:25" x14ac:dyDescent="0.25">
      <c r="A26" s="8">
        <f>[1]Data!A26</f>
        <v>920314</v>
      </c>
      <c r="B26" s="8">
        <f>[1]Data!B26</f>
        <v>2</v>
      </c>
      <c r="C26" s="8">
        <f>[1]Data!C26</f>
        <v>0</v>
      </c>
      <c r="D26" s="8">
        <f>[1]Data!D26</f>
        <v>5</v>
      </c>
      <c r="E26" s="8" t="str">
        <f>[1]Data!E26</f>
        <v>CVCTE</v>
      </c>
      <c r="F26" s="8" t="str">
        <f>[1]Data!F26</f>
        <v>Santa Clarita</v>
      </c>
      <c r="G26" s="8">
        <f>[1]Data!G26</f>
        <v>0</v>
      </c>
      <c r="H26" s="8">
        <f>[1]Data!H26</f>
        <v>0</v>
      </c>
      <c r="I26" s="8">
        <f>[1]Data!I26</f>
        <v>38.238</v>
      </c>
      <c r="J26" s="8">
        <f>[1]Data!J26</f>
        <v>35.798263200000001</v>
      </c>
      <c r="K26" s="8">
        <f>[1]Data!K26</f>
        <v>35.798263200000001</v>
      </c>
      <c r="L26" s="8">
        <f>[1]Data!L26</f>
        <v>2.4397373205206501</v>
      </c>
      <c r="M26" s="8">
        <f>[1]Data!M26</f>
        <v>38.2380005205207</v>
      </c>
      <c r="N26" s="8">
        <f>[1]Data!N26</f>
        <v>0.17910447761194001</v>
      </c>
      <c r="O26" s="8">
        <f>[1]Data!O26</f>
        <v>0</v>
      </c>
      <c r="P26" s="8">
        <f>[1]Data!P26</f>
        <v>0.104477611940299</v>
      </c>
      <c r="Q26" s="8">
        <f>[1]Data!Q26</f>
        <v>0</v>
      </c>
      <c r="R26" s="8">
        <f>[1]Data!R26</f>
        <v>0</v>
      </c>
      <c r="S26" s="8">
        <f>[1]Data!S26</f>
        <v>0</v>
      </c>
      <c r="T26">
        <f t="shared" si="0"/>
        <v>0.17910447761194001</v>
      </c>
      <c r="U26">
        <f t="shared" si="1"/>
        <v>0</v>
      </c>
      <c r="V26" s="4" t="str">
        <f t="shared" si="2"/>
        <v>0</v>
      </c>
      <c r="W26" s="4" t="str">
        <f t="shared" si="3"/>
        <v>2</v>
      </c>
      <c r="X26" s="4" t="str">
        <f t="shared" si="4"/>
        <v>0CVCTE2</v>
      </c>
      <c r="Y26">
        <f>VLOOKUP(X26,Sheet1!$J$5:$K$121,2,FALSE)</f>
        <v>0</v>
      </c>
    </row>
    <row r="27" spans="1:25" x14ac:dyDescent="0.25">
      <c r="A27" s="8">
        <f>[1]Data!A27</f>
        <v>920102</v>
      </c>
      <c r="B27" s="8">
        <f>[1]Data!B27</f>
        <v>2</v>
      </c>
      <c r="C27" s="8">
        <f>[1]Data!C27</f>
        <v>0</v>
      </c>
      <c r="D27" s="8">
        <f>[1]Data!D27</f>
        <v>5</v>
      </c>
      <c r="E27" s="8" t="str">
        <f>[1]Data!E27</f>
        <v>CVCTE</v>
      </c>
      <c r="F27" s="8" t="str">
        <f>[1]Data!F27</f>
        <v>Agua Dulce</v>
      </c>
      <c r="G27" s="8">
        <f>[1]Data!G27</f>
        <v>0</v>
      </c>
      <c r="H27" s="8">
        <f>[1]Data!H27</f>
        <v>0</v>
      </c>
      <c r="I27" s="8">
        <f>[1]Data!I27</f>
        <v>17.081</v>
      </c>
      <c r="J27" s="8">
        <f>[1]Data!J27</f>
        <v>11.39700478</v>
      </c>
      <c r="K27" s="8">
        <f>[1]Data!K27</f>
        <v>16.39700478</v>
      </c>
      <c r="L27" s="8">
        <f>[1]Data!L27</f>
        <v>0.68349799360861796</v>
      </c>
      <c r="M27" s="8">
        <f>[1]Data!M27</f>
        <v>17.0805027736086</v>
      </c>
      <c r="N27" s="8">
        <f>[1]Data!N27</f>
        <v>0.17910447761194001</v>
      </c>
      <c r="O27" s="8">
        <f>[1]Data!O27</f>
        <v>0</v>
      </c>
      <c r="P27" s="8">
        <f>[1]Data!P27</f>
        <v>0.104477611940299</v>
      </c>
      <c r="Q27" s="8">
        <f>[1]Data!Q27</f>
        <v>0</v>
      </c>
      <c r="R27" s="8">
        <f>[1]Data!R27</f>
        <v>0</v>
      </c>
      <c r="S27" s="8">
        <f>[1]Data!S27</f>
        <v>0</v>
      </c>
      <c r="T27">
        <f t="shared" si="0"/>
        <v>0.17910447761194001</v>
      </c>
      <c r="U27">
        <f t="shared" si="1"/>
        <v>0</v>
      </c>
      <c r="V27" s="4" t="str">
        <f t="shared" si="2"/>
        <v>0</v>
      </c>
      <c r="W27" s="4" t="str">
        <f t="shared" si="3"/>
        <v>2</v>
      </c>
      <c r="X27" s="4" t="str">
        <f t="shared" si="4"/>
        <v>0CVCTE2</v>
      </c>
      <c r="Y27">
        <f>VLOOKUP(X27,Sheet1!$J$5:$K$121,2,FALSE)</f>
        <v>0</v>
      </c>
    </row>
    <row r="28" spans="1:25" x14ac:dyDescent="0.25">
      <c r="A28" s="8">
        <f>[1]Data!A28</f>
        <v>920035</v>
      </c>
      <c r="B28" s="8">
        <f>[1]Data!B28</f>
        <v>2</v>
      </c>
      <c r="C28" s="8">
        <f>[1]Data!C28</f>
        <v>0</v>
      </c>
      <c r="D28" s="8">
        <f>[1]Data!D28</f>
        <v>5</v>
      </c>
      <c r="E28" s="8" t="str">
        <f>[1]Data!E28</f>
        <v>CVCTE</v>
      </c>
      <c r="F28" s="8" t="str">
        <f>[1]Data!F28</f>
        <v>Santa Clarita</v>
      </c>
      <c r="G28" s="8">
        <f>[1]Data!G28</f>
        <v>0</v>
      </c>
      <c r="H28" s="8">
        <f>[1]Data!H28</f>
        <v>0</v>
      </c>
      <c r="I28" s="8">
        <f>[1]Data!I28</f>
        <v>0</v>
      </c>
      <c r="J28" s="8">
        <f>[1]Data!J28</f>
        <v>0</v>
      </c>
      <c r="K28" s="8">
        <f>[1]Data!K28</f>
        <v>0</v>
      </c>
      <c r="L28" s="8">
        <f>[1]Data!L28</f>
        <v>0</v>
      </c>
      <c r="M28" s="8">
        <f>[1]Data!M28</f>
        <v>0</v>
      </c>
      <c r="N28" s="8">
        <f>[1]Data!N28</f>
        <v>0.17910447761194001</v>
      </c>
      <c r="O28" s="8">
        <f>[1]Data!O28</f>
        <v>0</v>
      </c>
      <c r="P28" s="8">
        <f>[1]Data!P28</f>
        <v>0.104477611940299</v>
      </c>
      <c r="Q28" s="8">
        <f>[1]Data!Q28</f>
        <v>0</v>
      </c>
      <c r="R28" s="8">
        <f>[1]Data!R28</f>
        <v>0</v>
      </c>
      <c r="S28" s="8">
        <f>[1]Data!S28</f>
        <v>0</v>
      </c>
      <c r="T28">
        <f t="shared" si="0"/>
        <v>0.17910447761194001</v>
      </c>
      <c r="U28">
        <f t="shared" si="1"/>
        <v>0</v>
      </c>
      <c r="V28" s="4" t="str">
        <f t="shared" si="2"/>
        <v>0</v>
      </c>
      <c r="W28" s="4" t="str">
        <f t="shared" si="3"/>
        <v>2</v>
      </c>
      <c r="X28" s="4" t="str">
        <f t="shared" si="4"/>
        <v>0CVCTE2</v>
      </c>
      <c r="Y28">
        <f>VLOOKUP(X28,Sheet1!$J$5:$K$121,2,FALSE)</f>
        <v>0</v>
      </c>
    </row>
    <row r="29" spans="1:25" x14ac:dyDescent="0.25">
      <c r="A29" s="8">
        <f>[1]Data!A29</f>
        <v>310701</v>
      </c>
      <c r="B29" s="8">
        <f>[1]Data!B29</f>
        <v>2</v>
      </c>
      <c r="C29" s="8">
        <f>[1]Data!C29</f>
        <v>0</v>
      </c>
      <c r="D29" s="8">
        <f>[1]Data!D29</f>
        <v>5</v>
      </c>
      <c r="E29" s="8" t="str">
        <f>[1]Data!E29</f>
        <v>CVCTE</v>
      </c>
      <c r="F29" s="8" t="str">
        <f>[1]Data!F29</f>
        <v>Burbank</v>
      </c>
      <c r="G29" s="8">
        <f>[1]Data!G29</f>
        <v>1</v>
      </c>
      <c r="H29" s="8">
        <f>[1]Data!H29</f>
        <v>1</v>
      </c>
      <c r="I29" s="8">
        <f>[1]Data!I29</f>
        <v>31.359000000000002</v>
      </c>
      <c r="J29" s="8">
        <f>[1]Data!J29</f>
        <v>28.656757420000002</v>
      </c>
      <c r="K29" s="8">
        <f>[1]Data!K29</f>
        <v>30.656757420000002</v>
      </c>
      <c r="L29" s="8">
        <f>[1]Data!L29</f>
        <v>0.701486242244165</v>
      </c>
      <c r="M29" s="8">
        <f>[1]Data!M29</f>
        <v>31.358243662244199</v>
      </c>
      <c r="N29" s="8">
        <f>[1]Data!N29</f>
        <v>0.17910447761194001</v>
      </c>
      <c r="O29" s="8">
        <f>[1]Data!O29</f>
        <v>5.5833333333333304</v>
      </c>
      <c r="P29" s="8">
        <f>[1]Data!P29</f>
        <v>0.104477611940299</v>
      </c>
      <c r="Q29" s="8">
        <f>[1]Data!Q29</f>
        <v>0</v>
      </c>
      <c r="R29" s="8">
        <f>[1]Data!R29</f>
        <v>0</v>
      </c>
      <c r="S29" s="8">
        <f>[1]Data!S29</f>
        <v>0</v>
      </c>
      <c r="T29">
        <f t="shared" si="0"/>
        <v>0.17910447761194001</v>
      </c>
      <c r="U29">
        <f t="shared" si="1"/>
        <v>5.5833333333333419</v>
      </c>
      <c r="V29" s="4" t="str">
        <f t="shared" si="2"/>
        <v>0</v>
      </c>
      <c r="W29" s="4" t="str">
        <f t="shared" si="3"/>
        <v>2</v>
      </c>
      <c r="X29" s="4" t="str">
        <f t="shared" si="4"/>
        <v>0CVCTE2</v>
      </c>
      <c r="Y29">
        <f>VLOOKUP(X29,Sheet1!$J$5:$K$121,2,FALSE)</f>
        <v>0</v>
      </c>
    </row>
    <row r="30" spans="1:25" x14ac:dyDescent="0.25">
      <c r="A30" s="8">
        <f>[1]Data!A30</f>
        <v>920031</v>
      </c>
      <c r="B30" s="8">
        <f>[1]Data!B30</f>
        <v>2</v>
      </c>
      <c r="C30" s="8">
        <f>[1]Data!C30</f>
        <v>0</v>
      </c>
      <c r="D30" s="8">
        <f>[1]Data!D30</f>
        <v>5</v>
      </c>
      <c r="E30" s="8" t="str">
        <f>[1]Data!E30</f>
        <v>CVCTE</v>
      </c>
      <c r="F30" s="8" t="str">
        <f>[1]Data!F30</f>
        <v>Santa Clarita</v>
      </c>
      <c r="G30" s="8">
        <f>[1]Data!G30</f>
        <v>0</v>
      </c>
      <c r="H30" s="8">
        <f>[1]Data!H30</f>
        <v>0</v>
      </c>
      <c r="I30" s="8">
        <f>[1]Data!I30</f>
        <v>7.4939999999999998</v>
      </c>
      <c r="J30" s="8">
        <f>[1]Data!J30</f>
        <v>5.1560284000000003</v>
      </c>
      <c r="K30" s="8">
        <f>[1]Data!K30</f>
        <v>7.1560284000000003</v>
      </c>
      <c r="L30" s="8">
        <f>[1]Data!L30</f>
        <v>0.33761011780969502</v>
      </c>
      <c r="M30" s="8">
        <f>[1]Data!M30</f>
        <v>7.4936385178096998</v>
      </c>
      <c r="N30" s="8">
        <f>[1]Data!N30</f>
        <v>0.17910447761194001</v>
      </c>
      <c r="O30" s="8">
        <f>[1]Data!O30</f>
        <v>0</v>
      </c>
      <c r="P30" s="8">
        <f>[1]Data!P30</f>
        <v>0.104477611940299</v>
      </c>
      <c r="Q30" s="8">
        <f>[1]Data!Q30</f>
        <v>0</v>
      </c>
      <c r="R30" s="8">
        <f>[1]Data!R30</f>
        <v>0</v>
      </c>
      <c r="S30" s="8">
        <f>[1]Data!S30</f>
        <v>0</v>
      </c>
      <c r="T30">
        <f t="shared" si="0"/>
        <v>0.17910447761194001</v>
      </c>
      <c r="U30">
        <f t="shared" si="1"/>
        <v>0</v>
      </c>
      <c r="V30" s="4" t="str">
        <f t="shared" si="2"/>
        <v>0</v>
      </c>
      <c r="W30" s="4" t="str">
        <f t="shared" si="3"/>
        <v>2</v>
      </c>
      <c r="X30" s="4" t="str">
        <f t="shared" si="4"/>
        <v>0CVCTE2</v>
      </c>
      <c r="Y30">
        <f>VLOOKUP(X30,Sheet1!$J$5:$K$121,2,FALSE)</f>
        <v>0</v>
      </c>
    </row>
    <row r="31" spans="1:25" x14ac:dyDescent="0.25">
      <c r="A31" s="8">
        <f>[1]Data!A31</f>
        <v>920115</v>
      </c>
      <c r="B31" s="8">
        <f>[1]Data!B31</f>
        <v>2</v>
      </c>
      <c r="C31" s="8">
        <f>[1]Data!C31</f>
        <v>0</v>
      </c>
      <c r="D31" s="8">
        <f>[1]Data!D31</f>
        <v>5</v>
      </c>
      <c r="E31" s="8" t="str">
        <f>[1]Data!E31</f>
        <v>CVCTE</v>
      </c>
      <c r="F31" s="8" t="str">
        <f>[1]Data!F31</f>
        <v>Santa Clarita</v>
      </c>
      <c r="G31" s="8">
        <f>[1]Data!G31</f>
        <v>0</v>
      </c>
      <c r="H31" s="8">
        <f>[1]Data!H31</f>
        <v>0</v>
      </c>
      <c r="I31" s="8">
        <f>[1]Data!I31</f>
        <v>0</v>
      </c>
      <c r="J31" s="8">
        <f>[1]Data!J31</f>
        <v>0</v>
      </c>
      <c r="K31" s="8">
        <f>[1]Data!K31</f>
        <v>0</v>
      </c>
      <c r="L31" s="8">
        <f>[1]Data!L31</f>
        <v>0</v>
      </c>
      <c r="M31" s="8">
        <f>[1]Data!M31</f>
        <v>0</v>
      </c>
      <c r="N31" s="8">
        <f>[1]Data!N31</f>
        <v>0.17910447761194001</v>
      </c>
      <c r="O31" s="8">
        <f>[1]Data!O31</f>
        <v>0</v>
      </c>
      <c r="P31" s="8">
        <f>[1]Data!P31</f>
        <v>0.104477611940299</v>
      </c>
      <c r="Q31" s="8">
        <f>[1]Data!Q31</f>
        <v>0</v>
      </c>
      <c r="R31" s="8">
        <f>[1]Data!R31</f>
        <v>0</v>
      </c>
      <c r="S31" s="8">
        <f>[1]Data!S31</f>
        <v>0</v>
      </c>
      <c r="T31">
        <f t="shared" si="0"/>
        <v>0.17910447761194001</v>
      </c>
      <c r="U31">
        <f t="shared" si="1"/>
        <v>0</v>
      </c>
      <c r="V31" s="4" t="str">
        <f t="shared" si="2"/>
        <v>0</v>
      </c>
      <c r="W31" s="4" t="str">
        <f t="shared" si="3"/>
        <v>2</v>
      </c>
      <c r="X31" s="4" t="str">
        <f t="shared" si="4"/>
        <v>0CVCTE2</v>
      </c>
      <c r="Y31">
        <f>VLOOKUP(X31,Sheet1!$J$5:$K$121,2,FALSE)</f>
        <v>0</v>
      </c>
    </row>
    <row r="32" spans="1:25" x14ac:dyDescent="0.25">
      <c r="A32" s="8">
        <f>[1]Data!A32</f>
        <v>310702</v>
      </c>
      <c r="B32" s="8">
        <f>[1]Data!B32</f>
        <v>2</v>
      </c>
      <c r="C32" s="8">
        <f>[1]Data!C32</f>
        <v>0</v>
      </c>
      <c r="D32" s="8">
        <f>[1]Data!D32</f>
        <v>5</v>
      </c>
      <c r="E32" s="8" t="str">
        <f>[1]Data!E32</f>
        <v>CVCTE</v>
      </c>
      <c r="F32" s="8" t="str">
        <f>[1]Data!F32</f>
        <v>Burbank</v>
      </c>
      <c r="G32" s="8">
        <f>[1]Data!G32</f>
        <v>0</v>
      </c>
      <c r="H32" s="8">
        <f>[1]Data!H32</f>
        <v>0</v>
      </c>
      <c r="I32" s="8">
        <f>[1]Data!I32</f>
        <v>22.795000000000002</v>
      </c>
      <c r="J32" s="8">
        <f>[1]Data!J32</f>
        <v>12.04518897</v>
      </c>
      <c r="K32" s="8">
        <f>[1]Data!K32</f>
        <v>22.045188970000002</v>
      </c>
      <c r="L32" s="8">
        <f>[1]Data!L32</f>
        <v>0.75020574590664302</v>
      </c>
      <c r="M32" s="8">
        <f>[1]Data!M32</f>
        <v>22.7953947159066</v>
      </c>
      <c r="N32" s="8">
        <f>[1]Data!N32</f>
        <v>0.17910447761194001</v>
      </c>
      <c r="O32" s="8">
        <f>[1]Data!O32</f>
        <v>0</v>
      </c>
      <c r="P32" s="8">
        <f>[1]Data!P32</f>
        <v>0.104477611940299</v>
      </c>
      <c r="Q32" s="8">
        <f>[1]Data!Q32</f>
        <v>0</v>
      </c>
      <c r="R32" s="8">
        <f>[1]Data!R32</f>
        <v>0</v>
      </c>
      <c r="S32" s="8">
        <f>[1]Data!S32</f>
        <v>0</v>
      </c>
      <c r="T32">
        <f t="shared" si="0"/>
        <v>0.17910447761194001</v>
      </c>
      <c r="U32">
        <f t="shared" si="1"/>
        <v>0</v>
      </c>
      <c r="V32" s="4" t="str">
        <f t="shared" si="2"/>
        <v>0</v>
      </c>
      <c r="W32" s="4" t="str">
        <f t="shared" si="3"/>
        <v>2</v>
      </c>
      <c r="X32" s="4" t="str">
        <f t="shared" si="4"/>
        <v>0CVCTE2</v>
      </c>
      <c r="Y32">
        <f>VLOOKUP(X32,Sheet1!$J$5:$K$121,2,FALSE)</f>
        <v>0</v>
      </c>
    </row>
    <row r="33" spans="1:25" x14ac:dyDescent="0.25">
      <c r="A33" s="8">
        <f>[1]Data!A33</f>
        <v>920337</v>
      </c>
      <c r="B33" s="8">
        <f>[1]Data!B33</f>
        <v>2</v>
      </c>
      <c r="C33" s="8">
        <f>[1]Data!C33</f>
        <v>0</v>
      </c>
      <c r="D33" s="8">
        <f>[1]Data!D33</f>
        <v>5</v>
      </c>
      <c r="E33" s="8" t="str">
        <f>[1]Data!E33</f>
        <v>CVCTE</v>
      </c>
      <c r="F33" s="8" t="str">
        <f>[1]Data!F33</f>
        <v>Santa Clarita</v>
      </c>
      <c r="G33" s="8">
        <f>[1]Data!G33</f>
        <v>1</v>
      </c>
      <c r="H33" s="8">
        <f>[1]Data!H33</f>
        <v>1</v>
      </c>
      <c r="I33" s="8">
        <f>[1]Data!I33</f>
        <v>1.8080000000000001</v>
      </c>
      <c r="J33" s="8">
        <f>[1]Data!J33</f>
        <v>1.73313217</v>
      </c>
      <c r="K33" s="8">
        <f>[1]Data!K33</f>
        <v>1.73313217</v>
      </c>
      <c r="L33" s="8">
        <f>[1]Data!L33</f>
        <v>7.4985510287253102E-2</v>
      </c>
      <c r="M33" s="8">
        <f>[1]Data!M33</f>
        <v>1.8081176802872501</v>
      </c>
      <c r="N33" s="8">
        <f>[1]Data!N33</f>
        <v>0.17910447761194001</v>
      </c>
      <c r="O33" s="8">
        <f>[1]Data!O33</f>
        <v>5.5833333333333304</v>
      </c>
      <c r="P33" s="8">
        <f>[1]Data!P33</f>
        <v>0.104477611940299</v>
      </c>
      <c r="Q33" s="8">
        <f>[1]Data!Q33</f>
        <v>0</v>
      </c>
      <c r="R33" s="8">
        <f>[1]Data!R33</f>
        <v>0</v>
      </c>
      <c r="S33" s="8">
        <f>[1]Data!S33</f>
        <v>0</v>
      </c>
      <c r="T33">
        <f t="shared" si="0"/>
        <v>0.17910447761194001</v>
      </c>
      <c r="U33">
        <f t="shared" si="1"/>
        <v>5.5833333333333419</v>
      </c>
      <c r="V33" s="4" t="str">
        <f t="shared" si="2"/>
        <v>0</v>
      </c>
      <c r="W33" s="4" t="str">
        <f t="shared" si="3"/>
        <v>2</v>
      </c>
      <c r="X33" s="4" t="str">
        <f t="shared" si="4"/>
        <v>0CVCTE2</v>
      </c>
      <c r="Y33">
        <f>VLOOKUP(X33,Sheet1!$J$5:$K$121,2,FALSE)</f>
        <v>0</v>
      </c>
    </row>
    <row r="34" spans="1:25" x14ac:dyDescent="0.25">
      <c r="A34" s="8">
        <f>[1]Data!A34</f>
        <v>930200</v>
      </c>
      <c r="B34" s="8">
        <f>[1]Data!B34</f>
        <v>2</v>
      </c>
      <c r="C34" s="8">
        <f>[1]Data!C34</f>
        <v>0</v>
      </c>
      <c r="D34" s="8">
        <f>[1]Data!D34</f>
        <v>5</v>
      </c>
      <c r="E34" s="8" t="str">
        <f>[1]Data!E34</f>
        <v>CVCTE</v>
      </c>
      <c r="F34" s="8" t="str">
        <f>[1]Data!F34</f>
        <v>Angeles National Forest</v>
      </c>
      <c r="G34" s="8">
        <f>[1]Data!G34</f>
        <v>0</v>
      </c>
      <c r="H34" s="8">
        <f>[1]Data!H34</f>
        <v>0</v>
      </c>
      <c r="I34" s="8">
        <f>[1]Data!I34</f>
        <v>29.187999999999999</v>
      </c>
      <c r="J34" s="8">
        <f>[1]Data!J34</f>
        <v>16.18027786</v>
      </c>
      <c r="K34" s="8">
        <f>[1]Data!K34</f>
        <v>28.18027786</v>
      </c>
      <c r="L34" s="8">
        <f>[1]Data!L34</f>
        <v>1.00702732797127</v>
      </c>
      <c r="M34" s="8">
        <f>[1]Data!M34</f>
        <v>29.187305187971301</v>
      </c>
      <c r="N34" s="8">
        <f>[1]Data!N34</f>
        <v>0.17910447761194001</v>
      </c>
      <c r="O34" s="8">
        <f>[1]Data!O34</f>
        <v>0</v>
      </c>
      <c r="P34" s="8">
        <f>[1]Data!P34</f>
        <v>0.104477611940299</v>
      </c>
      <c r="Q34" s="8">
        <f>[1]Data!Q34</f>
        <v>0</v>
      </c>
      <c r="R34" s="8">
        <f>[1]Data!R34</f>
        <v>0</v>
      </c>
      <c r="S34" s="8">
        <f>[1]Data!S34</f>
        <v>0</v>
      </c>
      <c r="T34">
        <f t="shared" si="0"/>
        <v>0.17910447761194001</v>
      </c>
      <c r="U34">
        <f t="shared" si="1"/>
        <v>0</v>
      </c>
      <c r="V34" s="4" t="str">
        <f t="shared" si="2"/>
        <v>0</v>
      </c>
      <c r="W34" s="4" t="str">
        <f t="shared" si="3"/>
        <v>2</v>
      </c>
      <c r="X34" s="4" t="str">
        <f t="shared" si="4"/>
        <v>0CVCTE2</v>
      </c>
      <c r="Y34">
        <f>VLOOKUP(X34,Sheet1!$J$5:$K$121,2,FALSE)</f>
        <v>0</v>
      </c>
    </row>
    <row r="35" spans="1:25" x14ac:dyDescent="0.25">
      <c r="A35" s="8">
        <f>[1]Data!A35</f>
        <v>310501</v>
      </c>
      <c r="B35" s="8">
        <f>[1]Data!B35</f>
        <v>2</v>
      </c>
      <c r="C35" s="8">
        <f>[1]Data!C35</f>
        <v>0</v>
      </c>
      <c r="D35" s="8">
        <f>[1]Data!D35</f>
        <v>5</v>
      </c>
      <c r="E35" s="8" t="str">
        <f>[1]Data!E35</f>
        <v>CVCTE</v>
      </c>
      <c r="F35" s="8" t="str">
        <f>[1]Data!F35</f>
        <v>Burbank</v>
      </c>
      <c r="G35" s="8">
        <f>[1]Data!G35</f>
        <v>1</v>
      </c>
      <c r="H35" s="8">
        <f>[1]Data!H35</f>
        <v>1</v>
      </c>
      <c r="I35" s="8">
        <f>[1]Data!I35</f>
        <v>15.803000000000001</v>
      </c>
      <c r="J35" s="8">
        <f>[1]Data!J35</f>
        <v>13.13419515</v>
      </c>
      <c r="K35" s="8">
        <f>[1]Data!K35</f>
        <v>15.13419515</v>
      </c>
      <c r="L35" s="8">
        <f>[1]Data!L35</f>
        <v>0.66964693639138195</v>
      </c>
      <c r="M35" s="8">
        <f>[1]Data!M35</f>
        <v>15.8038420863914</v>
      </c>
      <c r="N35" s="8">
        <f>[1]Data!N35</f>
        <v>0.17910447761194001</v>
      </c>
      <c r="O35" s="8">
        <f>[1]Data!O35</f>
        <v>5.5833333333333304</v>
      </c>
      <c r="P35" s="8">
        <f>[1]Data!P35</f>
        <v>0.104477611940299</v>
      </c>
      <c r="Q35" s="8">
        <f>[1]Data!Q35</f>
        <v>0</v>
      </c>
      <c r="R35" s="8">
        <f>[1]Data!R35</f>
        <v>0</v>
      </c>
      <c r="S35" s="8">
        <f>[1]Data!S35</f>
        <v>0</v>
      </c>
      <c r="T35">
        <f t="shared" si="0"/>
        <v>0.17910447761194001</v>
      </c>
      <c r="U35">
        <f t="shared" si="1"/>
        <v>5.5833333333333419</v>
      </c>
      <c r="V35" s="4" t="str">
        <f t="shared" si="2"/>
        <v>0</v>
      </c>
      <c r="W35" s="4" t="str">
        <f t="shared" si="3"/>
        <v>2</v>
      </c>
      <c r="X35" s="4" t="str">
        <f t="shared" si="4"/>
        <v>0CVCTE2</v>
      </c>
      <c r="Y35">
        <f>VLOOKUP(X35,Sheet1!$J$5:$K$121,2,FALSE)</f>
        <v>0</v>
      </c>
    </row>
    <row r="36" spans="1:25" x14ac:dyDescent="0.25">
      <c r="A36" s="8">
        <f>[1]Data!A36</f>
        <v>402402</v>
      </c>
      <c r="B36" s="8">
        <f>[1]Data!B36</f>
        <v>3</v>
      </c>
      <c r="C36" s="8">
        <f>[1]Data!C36</f>
        <v>0</v>
      </c>
      <c r="D36" s="8">
        <f>[1]Data!D36</f>
        <v>1</v>
      </c>
      <c r="E36" s="8" t="str">
        <f>[1]Data!E36</f>
        <v>CVCTE</v>
      </c>
      <c r="F36" s="8" t="str">
        <f>[1]Data!F36</f>
        <v>Pomona</v>
      </c>
      <c r="G36" s="8">
        <f>[1]Data!G36</f>
        <v>0</v>
      </c>
      <c r="H36" s="8">
        <f>[1]Data!H36</f>
        <v>0</v>
      </c>
      <c r="I36" s="8">
        <f>[1]Data!I36</f>
        <v>35.807000000000002</v>
      </c>
      <c r="J36" s="8">
        <f>[1]Data!J36</f>
        <v>25.276726409999998</v>
      </c>
      <c r="K36" s="8">
        <f>[1]Data!K36</f>
        <v>34.276726410000002</v>
      </c>
      <c r="L36" s="8">
        <f>[1]Data!L36</f>
        <v>1.5299289477737901</v>
      </c>
      <c r="M36" s="8">
        <f>[1]Data!M36</f>
        <v>35.806655357773799</v>
      </c>
      <c r="N36" s="8">
        <f>[1]Data!N36</f>
        <v>0.41176470588235298</v>
      </c>
      <c r="O36" s="8">
        <f>[1]Data!O36</f>
        <v>0</v>
      </c>
      <c r="P36" s="8">
        <f>[1]Data!P36</f>
        <v>1</v>
      </c>
      <c r="Q36" s="8">
        <f>[1]Data!Q36</f>
        <v>0</v>
      </c>
      <c r="R36" s="8">
        <f>[1]Data!R36</f>
        <v>0</v>
      </c>
      <c r="S36" s="8">
        <f>[1]Data!S36</f>
        <v>0</v>
      </c>
      <c r="T36">
        <f t="shared" si="0"/>
        <v>0.41176470588235298</v>
      </c>
      <c r="U36">
        <f t="shared" si="1"/>
        <v>0</v>
      </c>
      <c r="V36" s="4" t="str">
        <f t="shared" si="2"/>
        <v>0</v>
      </c>
      <c r="W36" s="4" t="str">
        <f t="shared" si="3"/>
        <v>3</v>
      </c>
      <c r="X36" s="4" t="str">
        <f t="shared" si="4"/>
        <v>0CVCTE3</v>
      </c>
      <c r="Y36">
        <f>VLOOKUP(X36,Sheet1!$J$5:$K$121,2,FALSE)</f>
        <v>0</v>
      </c>
    </row>
    <row r="37" spans="1:25" x14ac:dyDescent="0.25">
      <c r="A37" s="8">
        <f>[1]Data!A37</f>
        <v>406000</v>
      </c>
      <c r="B37" s="8">
        <f>[1]Data!B37</f>
        <v>3</v>
      </c>
      <c r="C37" s="8">
        <f>[1]Data!C37</f>
        <v>0</v>
      </c>
      <c r="D37" s="8">
        <f>[1]Data!D37</f>
        <v>5</v>
      </c>
      <c r="E37" s="8" t="str">
        <f>[1]Data!E37</f>
        <v>CVCTE</v>
      </c>
      <c r="F37" s="8" t="str">
        <f>[1]Data!F37</f>
        <v>Covina</v>
      </c>
      <c r="G37" s="8">
        <f>[1]Data!G37</f>
        <v>1</v>
      </c>
      <c r="H37" s="8">
        <f>[1]Data!H37</f>
        <v>1</v>
      </c>
      <c r="I37" s="8">
        <f>[1]Data!I37</f>
        <v>17.417999999999999</v>
      </c>
      <c r="J37" s="8">
        <f>[1]Data!J37</f>
        <v>12.76143983</v>
      </c>
      <c r="K37" s="8">
        <f>[1]Data!K37</f>
        <v>16.76143983</v>
      </c>
      <c r="L37" s="8">
        <f>[1]Data!L37</f>
        <v>0.65556615294434495</v>
      </c>
      <c r="M37" s="8">
        <f>[1]Data!M37</f>
        <v>17.4170059829443</v>
      </c>
      <c r="N37" s="8">
        <f>[1]Data!N37</f>
        <v>0.41176470588235298</v>
      </c>
      <c r="O37" s="8">
        <f>[1]Data!O37</f>
        <v>2.4285714285714302</v>
      </c>
      <c r="P37" s="8">
        <f>[1]Data!P37</f>
        <v>1</v>
      </c>
      <c r="Q37" s="8">
        <f>[1]Data!Q37</f>
        <v>0</v>
      </c>
      <c r="R37" s="8">
        <f>[1]Data!R37</f>
        <v>0</v>
      </c>
      <c r="S37" s="8">
        <f>[1]Data!S37</f>
        <v>0</v>
      </c>
      <c r="T37">
        <f t="shared" si="0"/>
        <v>0.41176470588235298</v>
      </c>
      <c r="U37">
        <f t="shared" si="1"/>
        <v>2.4285714285714284</v>
      </c>
      <c r="V37" s="4" t="str">
        <f t="shared" si="2"/>
        <v>0</v>
      </c>
      <c r="W37" s="4" t="str">
        <f t="shared" si="3"/>
        <v>3</v>
      </c>
      <c r="X37" s="4" t="str">
        <f t="shared" si="4"/>
        <v>0CVCTE3</v>
      </c>
      <c r="Y37">
        <f>VLOOKUP(X37,Sheet1!$J$5:$K$121,2,FALSE)</f>
        <v>0</v>
      </c>
    </row>
    <row r="38" spans="1:25" x14ac:dyDescent="0.25">
      <c r="A38" s="8">
        <f>[1]Data!A38</f>
        <v>404803</v>
      </c>
      <c r="B38" s="8">
        <f>[1]Data!B38</f>
        <v>3</v>
      </c>
      <c r="C38" s="8">
        <f>[1]Data!C38</f>
        <v>0</v>
      </c>
      <c r="D38" s="8">
        <f>[1]Data!D38</f>
        <v>1</v>
      </c>
      <c r="E38" s="8" t="str">
        <f>[1]Data!E38</f>
        <v>CVCTE</v>
      </c>
      <c r="F38" s="8" t="str">
        <f>[1]Data!F38</f>
        <v>Baldwin Park</v>
      </c>
      <c r="G38" s="8">
        <f>[1]Data!G38</f>
        <v>0</v>
      </c>
      <c r="H38" s="8">
        <f>[1]Data!H38</f>
        <v>0</v>
      </c>
      <c r="I38" s="8">
        <f>[1]Data!I38</f>
        <v>22.2</v>
      </c>
      <c r="J38" s="8">
        <f>[1]Data!J38</f>
        <v>12.467504229999999</v>
      </c>
      <c r="K38" s="8">
        <f>[1]Data!K38</f>
        <v>21.467504229999999</v>
      </c>
      <c r="L38" s="8">
        <f>[1]Data!L38</f>
        <v>0.73203264879712704</v>
      </c>
      <c r="M38" s="8">
        <f>[1]Data!M38</f>
        <v>22.199536878797101</v>
      </c>
      <c r="N38" s="8">
        <f>[1]Data!N38</f>
        <v>0.41176470588235298</v>
      </c>
      <c r="O38" s="8">
        <f>[1]Data!O38</f>
        <v>0</v>
      </c>
      <c r="P38" s="8">
        <f>[1]Data!P38</f>
        <v>1</v>
      </c>
      <c r="Q38" s="8">
        <f>[1]Data!Q38</f>
        <v>0</v>
      </c>
      <c r="R38" s="8">
        <f>[1]Data!R38</f>
        <v>0</v>
      </c>
      <c r="S38" s="8">
        <f>[1]Data!S38</f>
        <v>0</v>
      </c>
      <c r="T38">
        <f t="shared" si="0"/>
        <v>0.41176470588235298</v>
      </c>
      <c r="U38">
        <f t="shared" si="1"/>
        <v>0</v>
      </c>
      <c r="V38" s="4" t="str">
        <f t="shared" si="2"/>
        <v>0</v>
      </c>
      <c r="W38" s="4" t="str">
        <f t="shared" si="3"/>
        <v>3</v>
      </c>
      <c r="X38" s="4" t="str">
        <f t="shared" si="4"/>
        <v>0CVCTE3</v>
      </c>
      <c r="Y38">
        <f>VLOOKUP(X38,Sheet1!$J$5:$K$121,2,FALSE)</f>
        <v>0</v>
      </c>
    </row>
    <row r="39" spans="1:25" x14ac:dyDescent="0.25">
      <c r="A39" s="8">
        <f>[1]Data!A39</f>
        <v>405800</v>
      </c>
      <c r="B39" s="8">
        <f>[1]Data!B39</f>
        <v>3</v>
      </c>
      <c r="C39" s="8">
        <f>[1]Data!C39</f>
        <v>0</v>
      </c>
      <c r="D39" s="8">
        <f>[1]Data!D39</f>
        <v>5</v>
      </c>
      <c r="E39" s="8" t="str">
        <f>[1]Data!E39</f>
        <v>CVCTE</v>
      </c>
      <c r="F39" s="8" t="str">
        <f>[1]Data!F39</f>
        <v>Covina</v>
      </c>
      <c r="G39" s="8">
        <f>[1]Data!G39</f>
        <v>0</v>
      </c>
      <c r="H39" s="8">
        <f>[1]Data!H39</f>
        <v>0</v>
      </c>
      <c r="I39" s="8">
        <f>[1]Data!I39</f>
        <v>20.123999999999999</v>
      </c>
      <c r="J39" s="8">
        <f>[1]Data!J39</f>
        <v>14.685901299999999</v>
      </c>
      <c r="K39" s="8">
        <f>[1]Data!K39</f>
        <v>18.685901300000001</v>
      </c>
      <c r="L39" s="8">
        <f>[1]Data!L39</f>
        <v>1.4380535655475799</v>
      </c>
      <c r="M39" s="8">
        <f>[1]Data!M39</f>
        <v>20.123954865547599</v>
      </c>
      <c r="N39" s="8">
        <f>[1]Data!N39</f>
        <v>0.41176470588235298</v>
      </c>
      <c r="O39" s="8">
        <f>[1]Data!O39</f>
        <v>0</v>
      </c>
      <c r="P39" s="8">
        <f>[1]Data!P39</f>
        <v>1</v>
      </c>
      <c r="Q39" s="8">
        <f>[1]Data!Q39</f>
        <v>0</v>
      </c>
      <c r="R39" s="8">
        <f>[1]Data!R39</f>
        <v>0</v>
      </c>
      <c r="S39" s="8">
        <f>[1]Data!S39</f>
        <v>0</v>
      </c>
      <c r="T39">
        <f t="shared" si="0"/>
        <v>0.41176470588235298</v>
      </c>
      <c r="U39">
        <f t="shared" si="1"/>
        <v>0</v>
      </c>
      <c r="V39" s="4" t="str">
        <f t="shared" si="2"/>
        <v>0</v>
      </c>
      <c r="W39" s="4" t="str">
        <f t="shared" si="3"/>
        <v>3</v>
      </c>
      <c r="X39" s="4" t="str">
        <f t="shared" si="4"/>
        <v>0CVCTE3</v>
      </c>
      <c r="Y39">
        <f>VLOOKUP(X39,Sheet1!$J$5:$K$121,2,FALSE)</f>
        <v>0</v>
      </c>
    </row>
    <row r="40" spans="1:25" x14ac:dyDescent="0.25">
      <c r="A40" s="8">
        <f>[1]Data!A40</f>
        <v>406500</v>
      </c>
      <c r="B40" s="8">
        <f>[1]Data!B40</f>
        <v>3</v>
      </c>
      <c r="C40" s="8">
        <f>[1]Data!C40</f>
        <v>0</v>
      </c>
      <c r="D40" s="8">
        <f>[1]Data!D40</f>
        <v>1</v>
      </c>
      <c r="E40" s="8" t="str">
        <f>[1]Data!E40</f>
        <v>CVCTE</v>
      </c>
      <c r="F40" s="8" t="str">
        <f>[1]Data!F40</f>
        <v>West Covina</v>
      </c>
      <c r="G40" s="8">
        <f>[1]Data!G40</f>
        <v>0</v>
      </c>
      <c r="H40" s="8">
        <f>[1]Data!H40</f>
        <v>0</v>
      </c>
      <c r="I40" s="8">
        <f>[1]Data!I40</f>
        <v>16.649000000000001</v>
      </c>
      <c r="J40" s="8">
        <f>[1]Data!J40</f>
        <v>7.4747511600000003</v>
      </c>
      <c r="K40" s="8">
        <f>[1]Data!K40</f>
        <v>16.47475116</v>
      </c>
      <c r="L40" s="8">
        <f>[1]Data!L40</f>
        <v>0.17391517730700201</v>
      </c>
      <c r="M40" s="8">
        <f>[1]Data!M40</f>
        <v>16.648666337306999</v>
      </c>
      <c r="N40" s="8">
        <f>[1]Data!N40</f>
        <v>0.41176470588235298</v>
      </c>
      <c r="O40" s="8">
        <f>[1]Data!O40</f>
        <v>0</v>
      </c>
      <c r="P40" s="8">
        <f>[1]Data!P40</f>
        <v>1</v>
      </c>
      <c r="Q40" s="8">
        <f>[1]Data!Q40</f>
        <v>0</v>
      </c>
      <c r="R40" s="8">
        <f>[1]Data!R40</f>
        <v>0</v>
      </c>
      <c r="S40" s="8">
        <f>[1]Data!S40</f>
        <v>0</v>
      </c>
      <c r="T40">
        <f t="shared" si="0"/>
        <v>0.41176470588235298</v>
      </c>
      <c r="U40">
        <f t="shared" si="1"/>
        <v>0</v>
      </c>
      <c r="V40" s="4" t="str">
        <f t="shared" si="2"/>
        <v>0</v>
      </c>
      <c r="W40" s="4" t="str">
        <f t="shared" si="3"/>
        <v>3</v>
      </c>
      <c r="X40" s="4" t="str">
        <f t="shared" si="4"/>
        <v>0CVCTE3</v>
      </c>
      <c r="Y40">
        <f>VLOOKUP(X40,Sheet1!$J$5:$K$121,2,FALSE)</f>
        <v>0</v>
      </c>
    </row>
    <row r="41" spans="1:25" x14ac:dyDescent="0.25">
      <c r="A41" s="8">
        <f>[1]Data!A41</f>
        <v>408401</v>
      </c>
      <c r="B41" s="8">
        <f>[1]Data!B41</f>
        <v>3</v>
      </c>
      <c r="C41" s="8">
        <f>[1]Data!C41</f>
        <v>0</v>
      </c>
      <c r="D41" s="8">
        <f>[1]Data!D41</f>
        <v>4</v>
      </c>
      <c r="E41" s="8" t="str">
        <f>[1]Data!E41</f>
        <v>CVCTE</v>
      </c>
      <c r="F41" s="8" t="str">
        <f>[1]Data!F41</f>
        <v>Hacienda Heights</v>
      </c>
      <c r="G41" s="8">
        <f>[1]Data!G41</f>
        <v>1</v>
      </c>
      <c r="H41" s="8">
        <f>[1]Data!H41</f>
        <v>1</v>
      </c>
      <c r="I41" s="8">
        <f>[1]Data!I41</f>
        <v>10.01</v>
      </c>
      <c r="J41" s="8">
        <f>[1]Data!J41</f>
        <v>8.5001049099999992</v>
      </c>
      <c r="K41" s="8">
        <f>[1]Data!K41</f>
        <v>9.5001049099999992</v>
      </c>
      <c r="L41" s="8">
        <f>[1]Data!L41</f>
        <v>0.50968744603231597</v>
      </c>
      <c r="M41" s="8">
        <f>[1]Data!M41</f>
        <v>10.0097923560323</v>
      </c>
      <c r="N41" s="8">
        <f>[1]Data!N41</f>
        <v>0.41176470588235298</v>
      </c>
      <c r="O41" s="8">
        <f>[1]Data!O41</f>
        <v>2.4285714285714302</v>
      </c>
      <c r="P41" s="8">
        <f>[1]Data!P41</f>
        <v>1</v>
      </c>
      <c r="Q41" s="8">
        <f>[1]Data!Q41</f>
        <v>0</v>
      </c>
      <c r="R41" s="8">
        <f>[1]Data!R41</f>
        <v>0</v>
      </c>
      <c r="S41" s="8">
        <f>[1]Data!S41</f>
        <v>0</v>
      </c>
      <c r="T41">
        <f t="shared" si="0"/>
        <v>0.41176470588235298</v>
      </c>
      <c r="U41">
        <f t="shared" si="1"/>
        <v>2.4285714285714284</v>
      </c>
      <c r="V41" s="4" t="str">
        <f t="shared" si="2"/>
        <v>0</v>
      </c>
      <c r="W41" s="4" t="str">
        <f t="shared" si="3"/>
        <v>3</v>
      </c>
      <c r="X41" s="4" t="str">
        <f t="shared" si="4"/>
        <v>0CVCTE3</v>
      </c>
      <c r="Y41">
        <f>VLOOKUP(X41,Sheet1!$J$5:$K$121,2,FALSE)</f>
        <v>0</v>
      </c>
    </row>
    <row r="42" spans="1:25" x14ac:dyDescent="0.25">
      <c r="A42" s="8">
        <f>[1]Data!A42</f>
        <v>406901</v>
      </c>
      <c r="B42" s="8">
        <f>[1]Data!B42</f>
        <v>3</v>
      </c>
      <c r="C42" s="8">
        <f>[1]Data!C42</f>
        <v>0</v>
      </c>
      <c r="D42" s="8">
        <f>[1]Data!D42</f>
        <v>1</v>
      </c>
      <c r="E42" s="8" t="str">
        <f>[1]Data!E42</f>
        <v>CVCTE</v>
      </c>
      <c r="F42" s="8" t="str">
        <f>[1]Data!F42</f>
        <v>West Puente Valley</v>
      </c>
      <c r="G42" s="8">
        <f>[1]Data!G42</f>
        <v>0</v>
      </c>
      <c r="H42" s="8">
        <f>[1]Data!H42</f>
        <v>0</v>
      </c>
      <c r="I42" s="8">
        <f>[1]Data!I42</f>
        <v>13.97</v>
      </c>
      <c r="J42" s="8">
        <f>[1]Data!J42</f>
        <v>9.3739952100000004</v>
      </c>
      <c r="K42" s="8">
        <f>[1]Data!K42</f>
        <v>13.37399521</v>
      </c>
      <c r="L42" s="8">
        <f>[1]Data!L42</f>
        <v>0.59614241166965898</v>
      </c>
      <c r="M42" s="8">
        <f>[1]Data!M42</f>
        <v>13.9701376216697</v>
      </c>
      <c r="N42" s="8">
        <f>[1]Data!N42</f>
        <v>0.41176470588235298</v>
      </c>
      <c r="O42" s="8">
        <f>[1]Data!O42</f>
        <v>0</v>
      </c>
      <c r="P42" s="8">
        <f>[1]Data!P42</f>
        <v>1</v>
      </c>
      <c r="Q42" s="8">
        <f>[1]Data!Q42</f>
        <v>0</v>
      </c>
      <c r="R42" s="8">
        <f>[1]Data!R42</f>
        <v>0</v>
      </c>
      <c r="S42" s="8">
        <f>[1]Data!S42</f>
        <v>0</v>
      </c>
      <c r="T42">
        <f t="shared" si="0"/>
        <v>0.41176470588235298</v>
      </c>
      <c r="U42">
        <f t="shared" si="1"/>
        <v>0</v>
      </c>
      <c r="V42" s="4" t="str">
        <f t="shared" si="2"/>
        <v>0</v>
      </c>
      <c r="W42" s="4" t="str">
        <f t="shared" si="3"/>
        <v>3</v>
      </c>
      <c r="X42" s="4" t="str">
        <f t="shared" si="4"/>
        <v>0CVCTE3</v>
      </c>
      <c r="Y42">
        <f>VLOOKUP(X42,Sheet1!$J$5:$K$121,2,FALSE)</f>
        <v>0</v>
      </c>
    </row>
    <row r="43" spans="1:25" x14ac:dyDescent="0.25">
      <c r="A43" s="8">
        <f>[1]Data!A43</f>
        <v>408140</v>
      </c>
      <c r="B43" s="8">
        <f>[1]Data!B43</f>
        <v>3</v>
      </c>
      <c r="C43" s="8">
        <f>[1]Data!C43</f>
        <v>0</v>
      </c>
      <c r="D43" s="8">
        <f>[1]Data!D43</f>
        <v>1</v>
      </c>
      <c r="E43" s="8" t="str">
        <f>[1]Data!E43</f>
        <v>CVCTE</v>
      </c>
      <c r="F43" s="8" t="str">
        <f>[1]Data!F43</f>
        <v>South San Jose Hills</v>
      </c>
      <c r="G43" s="8">
        <f>[1]Data!G43</f>
        <v>0</v>
      </c>
      <c r="H43" s="8">
        <f>[1]Data!H43</f>
        <v>0</v>
      </c>
      <c r="I43" s="8">
        <f>[1]Data!I43</f>
        <v>5.8289999999999997</v>
      </c>
      <c r="J43" s="8">
        <f>[1]Data!J43</f>
        <v>5.6217117700000001</v>
      </c>
      <c r="K43" s="8">
        <f>[1]Data!K43</f>
        <v>5.6217117700000001</v>
      </c>
      <c r="L43" s="8">
        <f>[1]Data!L43</f>
        <v>0.20678343375224401</v>
      </c>
      <c r="M43" s="8">
        <f>[1]Data!M43</f>
        <v>5.8284952037522402</v>
      </c>
      <c r="N43" s="8">
        <f>[1]Data!N43</f>
        <v>0.41176470588235298</v>
      </c>
      <c r="O43" s="8">
        <f>[1]Data!O43</f>
        <v>0</v>
      </c>
      <c r="P43" s="8">
        <f>[1]Data!P43</f>
        <v>1</v>
      </c>
      <c r="Q43" s="8">
        <f>[1]Data!Q43</f>
        <v>0</v>
      </c>
      <c r="R43" s="8">
        <f>[1]Data!R43</f>
        <v>0</v>
      </c>
      <c r="S43" s="8">
        <f>[1]Data!S43</f>
        <v>0</v>
      </c>
      <c r="T43">
        <f t="shared" si="0"/>
        <v>0.41176470588235298</v>
      </c>
      <c r="U43">
        <f t="shared" si="1"/>
        <v>0</v>
      </c>
      <c r="V43" s="4" t="str">
        <f t="shared" si="2"/>
        <v>0</v>
      </c>
      <c r="W43" s="4" t="str">
        <f t="shared" si="3"/>
        <v>3</v>
      </c>
      <c r="X43" s="4" t="str">
        <f t="shared" si="4"/>
        <v>0CVCTE3</v>
      </c>
      <c r="Y43">
        <f>VLOOKUP(X43,Sheet1!$J$5:$K$121,2,FALSE)</f>
        <v>0</v>
      </c>
    </row>
    <row r="44" spans="1:25" x14ac:dyDescent="0.25">
      <c r="A44" s="8">
        <f>[1]Data!A44</f>
        <v>401500</v>
      </c>
      <c r="B44" s="8">
        <f>[1]Data!B44</f>
        <v>3</v>
      </c>
      <c r="C44" s="8">
        <f>[1]Data!C44</f>
        <v>0</v>
      </c>
      <c r="D44" s="8">
        <f>[1]Data!D44</f>
        <v>5</v>
      </c>
      <c r="E44" s="8" t="str">
        <f>[1]Data!E44</f>
        <v>CVCTE</v>
      </c>
      <c r="F44" s="8" t="str">
        <f>[1]Data!F44</f>
        <v>La Verne</v>
      </c>
      <c r="G44" s="8">
        <f>[1]Data!G44</f>
        <v>0</v>
      </c>
      <c r="H44" s="8">
        <f>[1]Data!H44</f>
        <v>0</v>
      </c>
      <c r="I44" s="8">
        <f>[1]Data!I44</f>
        <v>7.202</v>
      </c>
      <c r="J44" s="8">
        <f>[1]Data!J44</f>
        <v>6.7669727399999999</v>
      </c>
      <c r="K44" s="8">
        <f>[1]Data!K44</f>
        <v>6.7669727399999999</v>
      </c>
      <c r="L44" s="8">
        <f>[1]Data!L44</f>
        <v>0.434701935745063</v>
      </c>
      <c r="M44" s="8">
        <f>[1]Data!M44</f>
        <v>7.2016746757450596</v>
      </c>
      <c r="N44" s="8">
        <f>[1]Data!N44</f>
        <v>0.41176470588235298</v>
      </c>
      <c r="O44" s="8">
        <f>[1]Data!O44</f>
        <v>0</v>
      </c>
      <c r="P44" s="8">
        <f>[1]Data!P44</f>
        <v>1</v>
      </c>
      <c r="Q44" s="8">
        <f>[1]Data!Q44</f>
        <v>0</v>
      </c>
      <c r="R44" s="8">
        <f>[1]Data!R44</f>
        <v>0</v>
      </c>
      <c r="S44" s="8">
        <f>[1]Data!S44</f>
        <v>0</v>
      </c>
      <c r="T44">
        <f t="shared" si="0"/>
        <v>0.41176470588235298</v>
      </c>
      <c r="U44">
        <f t="shared" si="1"/>
        <v>0</v>
      </c>
      <c r="V44" s="4" t="str">
        <f t="shared" si="2"/>
        <v>0</v>
      </c>
      <c r="W44" s="4" t="str">
        <f t="shared" si="3"/>
        <v>3</v>
      </c>
      <c r="X44" s="4" t="str">
        <f t="shared" si="4"/>
        <v>0CVCTE3</v>
      </c>
      <c r="Y44">
        <f>VLOOKUP(X44,Sheet1!$J$5:$K$121,2,FALSE)</f>
        <v>0</v>
      </c>
    </row>
    <row r="45" spans="1:25" x14ac:dyDescent="0.25">
      <c r="A45" s="8">
        <f>[1]Data!A45</f>
        <v>407802</v>
      </c>
      <c r="B45" s="8">
        <f>[1]Data!B45</f>
        <v>3</v>
      </c>
      <c r="C45" s="8">
        <f>[1]Data!C45</f>
        <v>0</v>
      </c>
      <c r="D45" s="8">
        <f>[1]Data!D45</f>
        <v>1</v>
      </c>
      <c r="E45" s="8" t="str">
        <f>[1]Data!E45</f>
        <v>CVCTE</v>
      </c>
      <c r="F45" s="8" t="str">
        <f>[1]Data!F45</f>
        <v>Industry</v>
      </c>
      <c r="G45" s="8">
        <f>[1]Data!G45</f>
        <v>0</v>
      </c>
      <c r="H45" s="8">
        <f>[1]Data!H45</f>
        <v>0</v>
      </c>
      <c r="I45" s="8">
        <f>[1]Data!I45</f>
        <v>4.1900000000000004</v>
      </c>
      <c r="J45" s="8">
        <f>[1]Data!J45</f>
        <v>3.9673993200000002</v>
      </c>
      <c r="K45" s="8">
        <f>[1]Data!K45</f>
        <v>3.9673993200000002</v>
      </c>
      <c r="L45" s="8">
        <f>[1]Data!L45</f>
        <v>0.22234520276481101</v>
      </c>
      <c r="M45" s="8">
        <f>[1]Data!M45</f>
        <v>4.1897445227648102</v>
      </c>
      <c r="N45" s="8">
        <f>[1]Data!N45</f>
        <v>0.41176470588235298</v>
      </c>
      <c r="O45" s="8">
        <f>[1]Data!O45</f>
        <v>0</v>
      </c>
      <c r="P45" s="8">
        <f>[1]Data!P45</f>
        <v>1</v>
      </c>
      <c r="Q45" s="8">
        <f>[1]Data!Q45</f>
        <v>0</v>
      </c>
      <c r="R45" s="8">
        <f>[1]Data!R45</f>
        <v>0</v>
      </c>
      <c r="S45" s="8">
        <f>[1]Data!S45</f>
        <v>0</v>
      </c>
      <c r="T45">
        <f t="shared" si="0"/>
        <v>0.41176470588235298</v>
      </c>
      <c r="U45">
        <f t="shared" si="1"/>
        <v>0</v>
      </c>
      <c r="V45" s="4" t="str">
        <f t="shared" si="2"/>
        <v>0</v>
      </c>
      <c r="W45" s="4" t="str">
        <f t="shared" si="3"/>
        <v>3</v>
      </c>
      <c r="X45" s="4" t="str">
        <f t="shared" si="4"/>
        <v>0CVCTE3</v>
      </c>
      <c r="Y45">
        <f>VLOOKUP(X45,Sheet1!$J$5:$K$121,2,FALSE)</f>
        <v>0</v>
      </c>
    </row>
    <row r="46" spans="1:25" x14ac:dyDescent="0.25">
      <c r="A46" s="8">
        <f>[1]Data!A46</f>
        <v>407102</v>
      </c>
      <c r="B46" s="8">
        <f>[1]Data!B46</f>
        <v>3</v>
      </c>
      <c r="C46" s="8">
        <f>[1]Data!C46</f>
        <v>0</v>
      </c>
      <c r="D46" s="8">
        <f>[1]Data!D46</f>
        <v>1</v>
      </c>
      <c r="E46" s="8" t="str">
        <f>[1]Data!E46</f>
        <v>CVCTE</v>
      </c>
      <c r="F46" s="8" t="str">
        <f>[1]Data!F46</f>
        <v>La Puente</v>
      </c>
      <c r="G46" s="8">
        <f>[1]Data!G46</f>
        <v>1</v>
      </c>
      <c r="H46" s="8">
        <f>[1]Data!H46</f>
        <v>1</v>
      </c>
      <c r="I46" s="8">
        <f>[1]Data!I46</f>
        <v>5.19</v>
      </c>
      <c r="J46" s="8">
        <f>[1]Data!J46</f>
        <v>3.9673993200000002</v>
      </c>
      <c r="K46" s="8">
        <f>[1]Data!K46</f>
        <v>4.9673993200000002</v>
      </c>
      <c r="L46" s="8">
        <f>[1]Data!L46</f>
        <v>0.22234520276481101</v>
      </c>
      <c r="M46" s="8">
        <f>[1]Data!M46</f>
        <v>5.1897445227648102</v>
      </c>
      <c r="N46" s="8">
        <f>[1]Data!N46</f>
        <v>0.41176470588235298</v>
      </c>
      <c r="O46" s="8">
        <f>[1]Data!O46</f>
        <v>2.4285714285714302</v>
      </c>
      <c r="P46" s="8">
        <f>[1]Data!P46</f>
        <v>1</v>
      </c>
      <c r="Q46" s="8">
        <f>[1]Data!Q46</f>
        <v>0</v>
      </c>
      <c r="R46" s="8">
        <f>[1]Data!R46</f>
        <v>0</v>
      </c>
      <c r="S46" s="8">
        <f>[1]Data!S46</f>
        <v>0</v>
      </c>
      <c r="T46">
        <f t="shared" si="0"/>
        <v>0.41176470588235298</v>
      </c>
      <c r="U46">
        <f t="shared" si="1"/>
        <v>2.4285714285714284</v>
      </c>
      <c r="V46" s="4" t="str">
        <f t="shared" si="2"/>
        <v>0</v>
      </c>
      <c r="W46" s="4" t="str">
        <f t="shared" si="3"/>
        <v>3</v>
      </c>
      <c r="X46" s="4" t="str">
        <f t="shared" si="4"/>
        <v>0CVCTE3</v>
      </c>
      <c r="Y46">
        <f>VLOOKUP(X46,Sheet1!$J$5:$K$121,2,FALSE)</f>
        <v>0</v>
      </c>
    </row>
    <row r="47" spans="1:25" x14ac:dyDescent="0.25">
      <c r="A47" s="8">
        <f>[1]Data!A47</f>
        <v>401202</v>
      </c>
      <c r="B47" s="8">
        <f>[1]Data!B47</f>
        <v>3</v>
      </c>
      <c r="C47" s="8">
        <f>[1]Data!C47</f>
        <v>0</v>
      </c>
      <c r="D47" s="8">
        <f>[1]Data!D47</f>
        <v>5</v>
      </c>
      <c r="E47" s="8" t="str">
        <f>[1]Data!E47</f>
        <v>CVCTE</v>
      </c>
      <c r="F47" s="8" t="str">
        <f>[1]Data!F47</f>
        <v>Glendora</v>
      </c>
      <c r="G47" s="8">
        <f>[1]Data!G47</f>
        <v>1</v>
      </c>
      <c r="H47" s="8">
        <f>[1]Data!H47</f>
        <v>1</v>
      </c>
      <c r="I47" s="8">
        <f>[1]Data!I47</f>
        <v>19.908000000000001</v>
      </c>
      <c r="J47" s="8">
        <f>[1]Data!J47</f>
        <v>14.078448570000001</v>
      </c>
      <c r="K47" s="8">
        <f>[1]Data!K47</f>
        <v>19.078448569999999</v>
      </c>
      <c r="L47" s="8">
        <f>[1]Data!L47</f>
        <v>0.82912446673249596</v>
      </c>
      <c r="M47" s="8">
        <f>[1]Data!M47</f>
        <v>19.907573036732501</v>
      </c>
      <c r="N47" s="8">
        <f>[1]Data!N47</f>
        <v>0.41176470588235298</v>
      </c>
      <c r="O47" s="8">
        <f>[1]Data!O47</f>
        <v>2.4285714285714302</v>
      </c>
      <c r="P47" s="8">
        <f>[1]Data!P47</f>
        <v>1</v>
      </c>
      <c r="Q47" s="8">
        <f>[1]Data!Q47</f>
        <v>0</v>
      </c>
      <c r="R47" s="8">
        <f>[1]Data!R47</f>
        <v>0</v>
      </c>
      <c r="S47" s="8">
        <f>[1]Data!S47</f>
        <v>0</v>
      </c>
      <c r="T47">
        <f t="shared" si="0"/>
        <v>0.41176470588235298</v>
      </c>
      <c r="U47">
        <f t="shared" si="1"/>
        <v>2.4285714285714284</v>
      </c>
      <c r="V47" s="4" t="str">
        <f t="shared" si="2"/>
        <v>0</v>
      </c>
      <c r="W47" s="4" t="str">
        <f t="shared" si="3"/>
        <v>3</v>
      </c>
      <c r="X47" s="4" t="str">
        <f t="shared" si="4"/>
        <v>0CVCTE3</v>
      </c>
      <c r="Y47">
        <f>VLOOKUP(X47,Sheet1!$J$5:$K$121,2,FALSE)</f>
        <v>0</v>
      </c>
    </row>
    <row r="48" spans="1:25" x14ac:dyDescent="0.25">
      <c r="A48" s="8">
        <f>[1]Data!A48</f>
        <v>402801</v>
      </c>
      <c r="B48" s="8">
        <f>[1]Data!B48</f>
        <v>3</v>
      </c>
      <c r="C48" s="8">
        <f>[1]Data!C48</f>
        <v>0</v>
      </c>
      <c r="D48" s="8">
        <f>[1]Data!D48</f>
        <v>1</v>
      </c>
      <c r="E48" s="8" t="str">
        <f>[1]Data!E48</f>
        <v>CVCTE</v>
      </c>
      <c r="F48" s="8" t="str">
        <f>[1]Data!F48</f>
        <v>Pomona</v>
      </c>
      <c r="G48" s="8">
        <f>[1]Data!G48</f>
        <v>0</v>
      </c>
      <c r="H48" s="8">
        <f>[1]Data!H48</f>
        <v>0</v>
      </c>
      <c r="I48" s="8">
        <f>[1]Data!I48</f>
        <v>32.106999999999999</v>
      </c>
      <c r="J48" s="8">
        <f>[1]Data!J48</f>
        <v>16.920331139999998</v>
      </c>
      <c r="K48" s="8">
        <f>[1]Data!K48</f>
        <v>31.920331139999998</v>
      </c>
      <c r="L48" s="8">
        <f>[1]Data!L48</f>
        <v>0.18649450842010801</v>
      </c>
      <c r="M48" s="8">
        <f>[1]Data!M48</f>
        <v>32.106825648420099</v>
      </c>
      <c r="N48" s="8">
        <f>[1]Data!N48</f>
        <v>0.41176470588235298</v>
      </c>
      <c r="O48" s="8">
        <f>[1]Data!O48</f>
        <v>0</v>
      </c>
      <c r="P48" s="8">
        <f>[1]Data!P48</f>
        <v>1</v>
      </c>
      <c r="Q48" s="8">
        <f>[1]Data!Q48</f>
        <v>0</v>
      </c>
      <c r="R48" s="8">
        <f>[1]Data!R48</f>
        <v>0</v>
      </c>
      <c r="S48" s="8">
        <f>[1]Data!S48</f>
        <v>0</v>
      </c>
      <c r="T48">
        <f t="shared" si="0"/>
        <v>0.41176470588235298</v>
      </c>
      <c r="U48">
        <f t="shared" si="1"/>
        <v>0</v>
      </c>
      <c r="V48" s="4" t="str">
        <f t="shared" si="2"/>
        <v>0</v>
      </c>
      <c r="W48" s="4" t="str">
        <f t="shared" si="3"/>
        <v>3</v>
      </c>
      <c r="X48" s="4" t="str">
        <f t="shared" si="4"/>
        <v>0CVCTE3</v>
      </c>
      <c r="Y48">
        <f>VLOOKUP(X48,Sheet1!$J$5:$K$121,2,FALSE)</f>
        <v>0</v>
      </c>
    </row>
    <row r="49" spans="1:25" x14ac:dyDescent="0.25">
      <c r="A49" s="8">
        <f>[1]Data!A49</f>
        <v>402902</v>
      </c>
      <c r="B49" s="8">
        <f>[1]Data!B49</f>
        <v>3</v>
      </c>
      <c r="C49" s="8">
        <f>[1]Data!C49</f>
        <v>0</v>
      </c>
      <c r="D49" s="8">
        <f>[1]Data!D49</f>
        <v>1</v>
      </c>
      <c r="E49" s="8" t="str">
        <f>[1]Data!E49</f>
        <v>CVCTE</v>
      </c>
      <c r="F49" s="8" t="str">
        <f>[1]Data!F49</f>
        <v>Pomona</v>
      </c>
      <c r="G49" s="8">
        <f>[1]Data!G49</f>
        <v>1</v>
      </c>
      <c r="H49" s="8">
        <f>[1]Data!H49</f>
        <v>1</v>
      </c>
      <c r="I49" s="8">
        <f>[1]Data!I49</f>
        <v>13.276</v>
      </c>
      <c r="J49" s="8">
        <f>[1]Data!J49</f>
        <v>4.8620928000000001</v>
      </c>
      <c r="K49" s="8">
        <f>[1]Data!K49</f>
        <v>12.862092799999999</v>
      </c>
      <c r="L49" s="8">
        <f>[1]Data!L49</f>
        <v>0.414076613662478</v>
      </c>
      <c r="M49" s="8">
        <f>[1]Data!M49</f>
        <v>13.276169413662499</v>
      </c>
      <c r="N49" s="8">
        <f>[1]Data!N49</f>
        <v>0.41176470588235298</v>
      </c>
      <c r="O49" s="8">
        <f>[1]Data!O49</f>
        <v>2.4285714285714302</v>
      </c>
      <c r="P49" s="8">
        <f>[1]Data!P49</f>
        <v>1</v>
      </c>
      <c r="Q49" s="8">
        <f>[1]Data!Q49</f>
        <v>0</v>
      </c>
      <c r="R49" s="8">
        <f>[1]Data!R49</f>
        <v>0</v>
      </c>
      <c r="S49" s="8">
        <f>[1]Data!S49</f>
        <v>0</v>
      </c>
      <c r="T49">
        <f t="shared" si="0"/>
        <v>0.41176470588235298</v>
      </c>
      <c r="U49">
        <f t="shared" si="1"/>
        <v>2.4285714285714284</v>
      </c>
      <c r="V49" s="4" t="str">
        <f t="shared" si="2"/>
        <v>0</v>
      </c>
      <c r="W49" s="4" t="str">
        <f t="shared" si="3"/>
        <v>3</v>
      </c>
      <c r="X49" s="4" t="str">
        <f t="shared" si="4"/>
        <v>0CVCTE3</v>
      </c>
      <c r="Y49">
        <f>VLOOKUP(X49,Sheet1!$J$5:$K$121,2,FALSE)</f>
        <v>0</v>
      </c>
    </row>
    <row r="50" spans="1:25" x14ac:dyDescent="0.25">
      <c r="A50" s="8">
        <f>[1]Data!A50</f>
        <v>433200</v>
      </c>
      <c r="B50" s="8">
        <f>[1]Data!B50</f>
        <v>3</v>
      </c>
      <c r="C50" s="8">
        <f>[1]Data!C50</f>
        <v>0</v>
      </c>
      <c r="D50" s="8">
        <f>[1]Data!D50</f>
        <v>1</v>
      </c>
      <c r="E50" s="8" t="str">
        <f>[1]Data!E50</f>
        <v>CVCTE</v>
      </c>
      <c r="F50" s="8" t="str">
        <f>[1]Data!F50</f>
        <v>El Monte</v>
      </c>
      <c r="G50" s="8">
        <f>[1]Data!G50</f>
        <v>1</v>
      </c>
      <c r="H50" s="8">
        <f>[1]Data!H50</f>
        <v>1</v>
      </c>
      <c r="I50" s="8">
        <f>[1]Data!I50</f>
        <v>33.274999999999999</v>
      </c>
      <c r="J50" s="8">
        <f>[1]Data!J50</f>
        <v>17.074971340000001</v>
      </c>
      <c r="K50" s="8">
        <f>[1]Data!K50</f>
        <v>32.074971339999998</v>
      </c>
      <c r="L50" s="8">
        <f>[1]Data!L50</f>
        <v>1.19875873886894</v>
      </c>
      <c r="M50" s="8">
        <f>[1]Data!M50</f>
        <v>33.273730078868901</v>
      </c>
      <c r="N50" s="8">
        <f>[1]Data!N50</f>
        <v>0.41176470588235298</v>
      </c>
      <c r="O50" s="8">
        <f>[1]Data!O50</f>
        <v>2.4285714285714302</v>
      </c>
      <c r="P50" s="8">
        <f>[1]Data!P50</f>
        <v>1</v>
      </c>
      <c r="Q50" s="8">
        <f>[1]Data!Q50</f>
        <v>0</v>
      </c>
      <c r="R50" s="8">
        <f>[1]Data!R50</f>
        <v>0</v>
      </c>
      <c r="S50" s="8">
        <f>[1]Data!S50</f>
        <v>0</v>
      </c>
      <c r="T50">
        <f t="shared" si="0"/>
        <v>0.41176470588235298</v>
      </c>
      <c r="U50">
        <f t="shared" si="1"/>
        <v>2.4285714285714284</v>
      </c>
      <c r="V50" s="4" t="str">
        <f t="shared" si="2"/>
        <v>0</v>
      </c>
      <c r="W50" s="4" t="str">
        <f t="shared" si="3"/>
        <v>3</v>
      </c>
      <c r="X50" s="4" t="str">
        <f t="shared" si="4"/>
        <v>0CVCTE3</v>
      </c>
      <c r="Y50">
        <f>VLOOKUP(X50,Sheet1!$J$5:$K$121,2,FALSE)</f>
        <v>0</v>
      </c>
    </row>
    <row r="51" spans="1:25" x14ac:dyDescent="0.25">
      <c r="A51" s="8">
        <f>[1]Data!A51</f>
        <v>433307</v>
      </c>
      <c r="B51" s="8">
        <f>[1]Data!B51</f>
        <v>3</v>
      </c>
      <c r="C51" s="8">
        <f>[1]Data!C51</f>
        <v>0</v>
      </c>
      <c r="D51" s="8">
        <f>[1]Data!D51</f>
        <v>1</v>
      </c>
      <c r="E51" s="8" t="str">
        <f>[1]Data!E51</f>
        <v>CVCTE</v>
      </c>
      <c r="F51" s="8" t="str">
        <f>[1]Data!F51</f>
        <v>El Monte</v>
      </c>
      <c r="G51" s="8">
        <f>[1]Data!G51</f>
        <v>0</v>
      </c>
      <c r="H51" s="8">
        <f>[1]Data!H51</f>
        <v>0</v>
      </c>
      <c r="I51" s="8">
        <f>[1]Data!I51</f>
        <v>1.8080000000000001</v>
      </c>
      <c r="J51" s="8">
        <f>[1]Data!J51</f>
        <v>1.73313217</v>
      </c>
      <c r="K51" s="8">
        <f>[1]Data!K51</f>
        <v>1.73313217</v>
      </c>
      <c r="L51" s="8">
        <f>[1]Data!L51</f>
        <v>7.4985510287253102E-2</v>
      </c>
      <c r="M51" s="8">
        <f>[1]Data!M51</f>
        <v>1.8081176802872501</v>
      </c>
      <c r="N51" s="8">
        <f>[1]Data!N51</f>
        <v>0.41176470588235298</v>
      </c>
      <c r="O51" s="8">
        <f>[1]Data!O51</f>
        <v>0</v>
      </c>
      <c r="P51" s="8">
        <f>[1]Data!P51</f>
        <v>1</v>
      </c>
      <c r="Q51" s="8">
        <f>[1]Data!Q51</f>
        <v>0</v>
      </c>
      <c r="R51" s="8">
        <f>[1]Data!R51</f>
        <v>0</v>
      </c>
      <c r="S51" s="8">
        <f>[1]Data!S51</f>
        <v>0</v>
      </c>
      <c r="T51">
        <f t="shared" si="0"/>
        <v>0.41176470588235298</v>
      </c>
      <c r="U51">
        <f t="shared" si="1"/>
        <v>0</v>
      </c>
      <c r="V51" s="4" t="str">
        <f t="shared" si="2"/>
        <v>0</v>
      </c>
      <c r="W51" s="4" t="str">
        <f t="shared" si="3"/>
        <v>3</v>
      </c>
      <c r="X51" s="4" t="str">
        <f t="shared" si="4"/>
        <v>0CVCTE3</v>
      </c>
      <c r="Y51">
        <f>VLOOKUP(X51,Sheet1!$J$5:$K$121,2,FALSE)</f>
        <v>0</v>
      </c>
    </row>
    <row r="52" spans="1:25" x14ac:dyDescent="0.25">
      <c r="A52" s="8">
        <f>[1]Data!A52</f>
        <v>433102</v>
      </c>
      <c r="B52" s="8">
        <f>[1]Data!B52</f>
        <v>3</v>
      </c>
      <c r="C52" s="8">
        <f>[1]Data!C52</f>
        <v>0</v>
      </c>
      <c r="D52" s="8">
        <f>[1]Data!D52</f>
        <v>1</v>
      </c>
      <c r="E52" s="8" t="str">
        <f>[1]Data!E52</f>
        <v>CVCTE</v>
      </c>
      <c r="F52" s="8" t="str">
        <f>[1]Data!F52</f>
        <v>El Monte</v>
      </c>
      <c r="G52" s="8">
        <f>[1]Data!G52</f>
        <v>0</v>
      </c>
      <c r="H52" s="8">
        <f>[1]Data!H52</f>
        <v>0</v>
      </c>
      <c r="I52" s="8">
        <f>[1]Data!I52</f>
        <v>36.436999999999998</v>
      </c>
      <c r="J52" s="8">
        <f>[1]Data!J52</f>
        <v>34.064250600000001</v>
      </c>
      <c r="K52" s="8">
        <f>[1]Data!K52</f>
        <v>36.064250600000001</v>
      </c>
      <c r="L52" s="8">
        <f>[1]Data!L52</f>
        <v>0.37212240716337502</v>
      </c>
      <c r="M52" s="8">
        <f>[1]Data!M52</f>
        <v>36.436373007163397</v>
      </c>
      <c r="N52" s="8">
        <f>[1]Data!N52</f>
        <v>0.41176470588235298</v>
      </c>
      <c r="O52" s="8">
        <f>[1]Data!O52</f>
        <v>0</v>
      </c>
      <c r="P52" s="8">
        <f>[1]Data!P52</f>
        <v>1</v>
      </c>
      <c r="Q52" s="8">
        <f>[1]Data!Q52</f>
        <v>0</v>
      </c>
      <c r="R52" s="8">
        <f>[1]Data!R52</f>
        <v>0</v>
      </c>
      <c r="S52" s="8">
        <f>[1]Data!S52</f>
        <v>0</v>
      </c>
      <c r="T52">
        <f t="shared" si="0"/>
        <v>0.41176470588235298</v>
      </c>
      <c r="U52">
        <f t="shared" si="1"/>
        <v>0</v>
      </c>
      <c r="V52" s="4" t="str">
        <f t="shared" si="2"/>
        <v>0</v>
      </c>
      <c r="W52" s="4" t="str">
        <f t="shared" si="3"/>
        <v>3</v>
      </c>
      <c r="X52" s="4" t="str">
        <f t="shared" si="4"/>
        <v>0CVCTE3</v>
      </c>
      <c r="Y52">
        <f>VLOOKUP(X52,Sheet1!$J$5:$K$121,2,FALSE)</f>
        <v>0</v>
      </c>
    </row>
    <row r="53" spans="1:25" x14ac:dyDescent="0.25">
      <c r="A53" s="8">
        <f>[1]Data!A53</f>
        <v>431100</v>
      </c>
      <c r="B53" s="8">
        <f>[1]Data!B53</f>
        <v>3</v>
      </c>
      <c r="C53" s="8">
        <f>[1]Data!C53</f>
        <v>0</v>
      </c>
      <c r="D53" s="8">
        <f>[1]Data!D53</f>
        <v>5</v>
      </c>
      <c r="E53" s="8" t="str">
        <f>[1]Data!E53</f>
        <v>CVCTE</v>
      </c>
      <c r="F53" s="8" t="str">
        <f>[1]Data!F53</f>
        <v>Monrovia</v>
      </c>
      <c r="G53" s="8">
        <f>[1]Data!G53</f>
        <v>0</v>
      </c>
      <c r="H53" s="8">
        <f>[1]Data!H53</f>
        <v>0</v>
      </c>
      <c r="I53" s="8">
        <f>[1]Data!I53</f>
        <v>8.1159999999999997</v>
      </c>
      <c r="J53" s="8">
        <f>[1]Data!J53</f>
        <v>5.87227926</v>
      </c>
      <c r="K53" s="8">
        <f>[1]Data!K53</f>
        <v>7.87227926</v>
      </c>
      <c r="L53" s="8">
        <f>[1]Data!L53</f>
        <v>0.24297052484739701</v>
      </c>
      <c r="M53" s="8">
        <f>[1]Data!M53</f>
        <v>8.1152497848473999</v>
      </c>
      <c r="N53" s="8">
        <f>[1]Data!N53</f>
        <v>0.41176470588235298</v>
      </c>
      <c r="O53" s="8">
        <f>[1]Data!O53</f>
        <v>0</v>
      </c>
      <c r="P53" s="8">
        <f>[1]Data!P53</f>
        <v>1</v>
      </c>
      <c r="Q53" s="8">
        <f>[1]Data!Q53</f>
        <v>0</v>
      </c>
      <c r="R53" s="8">
        <f>[1]Data!R53</f>
        <v>0</v>
      </c>
      <c r="S53" s="8">
        <f>[1]Data!S53</f>
        <v>0</v>
      </c>
      <c r="T53">
        <f t="shared" si="0"/>
        <v>0.41176470588235298</v>
      </c>
      <c r="U53">
        <f t="shared" si="1"/>
        <v>0</v>
      </c>
      <c r="V53" s="4" t="str">
        <f t="shared" si="2"/>
        <v>0</v>
      </c>
      <c r="W53" s="4" t="str">
        <f t="shared" si="3"/>
        <v>3</v>
      </c>
      <c r="X53" s="4" t="str">
        <f t="shared" si="4"/>
        <v>0CVCTE3</v>
      </c>
      <c r="Y53">
        <f>VLOOKUP(X53,Sheet1!$J$5:$K$121,2,FALSE)</f>
        <v>0</v>
      </c>
    </row>
    <row r="54" spans="1:25" x14ac:dyDescent="0.25">
      <c r="A54" s="8">
        <f>[1]Data!A54</f>
        <v>433501</v>
      </c>
      <c r="B54" s="8">
        <f>[1]Data!B54</f>
        <v>3</v>
      </c>
      <c r="C54" s="8">
        <f>[1]Data!C54</f>
        <v>0</v>
      </c>
      <c r="D54" s="8">
        <f>[1]Data!D54</f>
        <v>1</v>
      </c>
      <c r="E54" s="8" t="str">
        <f>[1]Data!E54</f>
        <v>CVCTE</v>
      </c>
      <c r="F54" s="8" t="str">
        <f>[1]Data!F54</f>
        <v>South El Monte</v>
      </c>
      <c r="G54" s="8">
        <f>[1]Data!G54</f>
        <v>1</v>
      </c>
      <c r="H54" s="8">
        <f>[1]Data!H54</f>
        <v>1</v>
      </c>
      <c r="I54" s="8">
        <f>[1]Data!I54</f>
        <v>25.878</v>
      </c>
      <c r="J54" s="8">
        <f>[1]Data!J54</f>
        <v>21.898975879999998</v>
      </c>
      <c r="K54" s="8">
        <f>[1]Data!K54</f>
        <v>24.898975879999998</v>
      </c>
      <c r="L54" s="8">
        <f>[1]Data!L54</f>
        <v>0.98006672671454198</v>
      </c>
      <c r="M54" s="8">
        <f>[1]Data!M54</f>
        <v>25.879042606714499</v>
      </c>
      <c r="N54" s="8">
        <f>[1]Data!N54</f>
        <v>0.41176470588235298</v>
      </c>
      <c r="O54" s="8">
        <f>[1]Data!O54</f>
        <v>2.4285714285714302</v>
      </c>
      <c r="P54" s="8">
        <f>[1]Data!P54</f>
        <v>1</v>
      </c>
      <c r="Q54" s="8">
        <f>[1]Data!Q54</f>
        <v>0</v>
      </c>
      <c r="R54" s="8">
        <f>[1]Data!R54</f>
        <v>0</v>
      </c>
      <c r="S54" s="8">
        <f>[1]Data!S54</f>
        <v>0</v>
      </c>
      <c r="T54">
        <f t="shared" si="0"/>
        <v>0.41176470588235298</v>
      </c>
      <c r="U54">
        <f t="shared" si="1"/>
        <v>2.4285714285714284</v>
      </c>
      <c r="V54" s="4" t="str">
        <f t="shared" si="2"/>
        <v>0</v>
      </c>
      <c r="W54" s="4" t="str">
        <f t="shared" si="3"/>
        <v>3</v>
      </c>
      <c r="X54" s="4" t="str">
        <f t="shared" si="4"/>
        <v>0CVCTE3</v>
      </c>
      <c r="Y54">
        <f>VLOOKUP(X54,Sheet1!$J$5:$K$121,2,FALSE)</f>
        <v>0</v>
      </c>
    </row>
    <row r="55" spans="1:25" x14ac:dyDescent="0.25">
      <c r="A55" s="8">
        <f>[1]Data!A55</f>
        <v>432401</v>
      </c>
      <c r="B55" s="8">
        <f>[1]Data!B55</f>
        <v>3</v>
      </c>
      <c r="C55" s="8">
        <f>[1]Data!C55</f>
        <v>0</v>
      </c>
      <c r="D55" s="8">
        <f>[1]Data!D55</f>
        <v>1</v>
      </c>
      <c r="E55" s="8" t="str">
        <f>[1]Data!E55</f>
        <v>CVCTE</v>
      </c>
      <c r="F55" s="8" t="str">
        <f>[1]Data!F55</f>
        <v>El Monte</v>
      </c>
      <c r="G55" s="8">
        <f>[1]Data!G55</f>
        <v>0</v>
      </c>
      <c r="H55" s="8">
        <f>[1]Data!H55</f>
        <v>0</v>
      </c>
      <c r="I55" s="8">
        <f>[1]Data!I55</f>
        <v>1</v>
      </c>
      <c r="J55" s="8">
        <f>[1]Data!J55</f>
        <v>0</v>
      </c>
      <c r="K55" s="8">
        <f>[1]Data!K55</f>
        <v>1</v>
      </c>
      <c r="L55" s="8">
        <f>[1]Data!L55</f>
        <v>0</v>
      </c>
      <c r="M55" s="8">
        <f>[1]Data!M55</f>
        <v>1</v>
      </c>
      <c r="N55" s="8">
        <f>[1]Data!N55</f>
        <v>0.41176470588235298</v>
      </c>
      <c r="O55" s="8">
        <f>[1]Data!O55</f>
        <v>0</v>
      </c>
      <c r="P55" s="8">
        <f>[1]Data!P55</f>
        <v>1</v>
      </c>
      <c r="Q55" s="8">
        <f>[1]Data!Q55</f>
        <v>0</v>
      </c>
      <c r="R55" s="8">
        <f>[1]Data!R55</f>
        <v>0</v>
      </c>
      <c r="S55" s="8">
        <f>[1]Data!S55</f>
        <v>0</v>
      </c>
      <c r="T55">
        <f t="shared" si="0"/>
        <v>0.41176470588235298</v>
      </c>
      <c r="U55">
        <f t="shared" si="1"/>
        <v>0</v>
      </c>
      <c r="V55" s="4" t="str">
        <f t="shared" si="2"/>
        <v>0</v>
      </c>
      <c r="W55" s="4" t="str">
        <f t="shared" si="3"/>
        <v>3</v>
      </c>
      <c r="X55" s="4" t="str">
        <f t="shared" si="4"/>
        <v>0CVCTE3</v>
      </c>
      <c r="Y55">
        <f>VLOOKUP(X55,Sheet1!$J$5:$K$121,2,FALSE)</f>
        <v>0</v>
      </c>
    </row>
    <row r="56" spans="1:25" x14ac:dyDescent="0.25">
      <c r="A56" s="8">
        <f>[1]Data!A56</f>
        <v>408501</v>
      </c>
      <c r="B56" s="8">
        <f>[1]Data!B56</f>
        <v>3</v>
      </c>
      <c r="C56" s="8">
        <f>[1]Data!C56</f>
        <v>0</v>
      </c>
      <c r="D56" s="8">
        <f>[1]Data!D56</f>
        <v>4</v>
      </c>
      <c r="E56" s="8" t="str">
        <f>[1]Data!E56</f>
        <v>CVCTE</v>
      </c>
      <c r="F56" s="8" t="str">
        <f>[1]Data!F56</f>
        <v>Hacienda Heights</v>
      </c>
      <c r="G56" s="8">
        <f>[1]Data!G56</f>
        <v>0</v>
      </c>
      <c r="H56" s="8">
        <f>[1]Data!H56</f>
        <v>0</v>
      </c>
      <c r="I56" s="8">
        <f>[1]Data!I56</f>
        <v>13.702</v>
      </c>
      <c r="J56" s="8">
        <f>[1]Data!J56</f>
        <v>7.6195197600000002</v>
      </c>
      <c r="K56" s="8">
        <f>[1]Data!K56</f>
        <v>13.619519759999999</v>
      </c>
      <c r="L56" s="8">
        <f>[1]Data!L56</f>
        <v>8.2501288330341094E-2</v>
      </c>
      <c r="M56" s="8">
        <f>[1]Data!M56</f>
        <v>13.7020210483303</v>
      </c>
      <c r="N56" s="8">
        <f>[1]Data!N56</f>
        <v>0.41176470588235298</v>
      </c>
      <c r="O56" s="8">
        <f>[1]Data!O56</f>
        <v>0</v>
      </c>
      <c r="P56" s="8">
        <f>[1]Data!P56</f>
        <v>1</v>
      </c>
      <c r="Q56" s="8">
        <f>[1]Data!Q56</f>
        <v>0</v>
      </c>
      <c r="R56" s="8">
        <f>[1]Data!R56</f>
        <v>0</v>
      </c>
      <c r="S56" s="8">
        <f>[1]Data!S56</f>
        <v>0</v>
      </c>
      <c r="T56">
        <f t="shared" si="0"/>
        <v>0.41176470588235298</v>
      </c>
      <c r="U56">
        <f t="shared" si="1"/>
        <v>0</v>
      </c>
      <c r="V56" s="4" t="str">
        <f t="shared" si="2"/>
        <v>0</v>
      </c>
      <c r="W56" s="4" t="str">
        <f t="shared" si="3"/>
        <v>3</v>
      </c>
      <c r="X56" s="4" t="str">
        <f t="shared" si="4"/>
        <v>0CVCTE3</v>
      </c>
      <c r="Y56">
        <f>VLOOKUP(X56,Sheet1!$J$5:$K$121,2,FALSE)</f>
        <v>0</v>
      </c>
    </row>
    <row r="57" spans="1:25" x14ac:dyDescent="0.25">
      <c r="A57" s="8">
        <f>[1]Data!A57</f>
        <v>405102</v>
      </c>
      <c r="B57" s="8">
        <f>[1]Data!B57</f>
        <v>3</v>
      </c>
      <c r="C57" s="8">
        <f>[1]Data!C57</f>
        <v>0</v>
      </c>
      <c r="D57" s="8">
        <f>[1]Data!D57</f>
        <v>1</v>
      </c>
      <c r="E57" s="8" t="str">
        <f>[1]Data!E57</f>
        <v>CVCTE</v>
      </c>
      <c r="F57" s="8" t="str">
        <f>[1]Data!F57</f>
        <v>Baldwin Park</v>
      </c>
      <c r="G57" s="8">
        <f>[1]Data!G57</f>
        <v>0</v>
      </c>
      <c r="H57" s="8">
        <f>[1]Data!H57</f>
        <v>0</v>
      </c>
      <c r="I57" s="8">
        <f>[1]Data!I57</f>
        <v>11.68</v>
      </c>
      <c r="J57" s="8">
        <f>[1]Data!J57</f>
        <v>9.4314716500000007</v>
      </c>
      <c r="K57" s="8">
        <f>[1]Data!K57</f>
        <v>11.431471650000001</v>
      </c>
      <c r="L57" s="8">
        <f>[1]Data!L57</f>
        <v>0.248034077917415</v>
      </c>
      <c r="M57" s="8">
        <f>[1]Data!M57</f>
        <v>11.6795057279174</v>
      </c>
      <c r="N57" s="8">
        <f>[1]Data!N57</f>
        <v>0.41176470588235298</v>
      </c>
      <c r="O57" s="8">
        <f>[1]Data!O57</f>
        <v>0</v>
      </c>
      <c r="P57" s="8">
        <f>[1]Data!P57</f>
        <v>1</v>
      </c>
      <c r="Q57" s="8">
        <f>[1]Data!Q57</f>
        <v>0</v>
      </c>
      <c r="R57" s="8">
        <f>[1]Data!R57</f>
        <v>0</v>
      </c>
      <c r="S57" s="8">
        <f>[1]Data!S57</f>
        <v>0</v>
      </c>
      <c r="T57">
        <f t="shared" si="0"/>
        <v>0.41176470588235298</v>
      </c>
      <c r="U57">
        <f t="shared" si="1"/>
        <v>0</v>
      </c>
      <c r="V57" s="4" t="str">
        <f t="shared" si="2"/>
        <v>0</v>
      </c>
      <c r="W57" s="4" t="str">
        <f t="shared" si="3"/>
        <v>3</v>
      </c>
      <c r="X57" s="4" t="str">
        <f t="shared" si="4"/>
        <v>0CVCTE3</v>
      </c>
      <c r="Y57">
        <f>VLOOKUP(X57,Sheet1!$J$5:$K$121,2,FALSE)</f>
        <v>0</v>
      </c>
    </row>
    <row r="58" spans="1:25" x14ac:dyDescent="0.25">
      <c r="A58" s="8">
        <f>[1]Data!A58</f>
        <v>408703</v>
      </c>
      <c r="B58" s="8">
        <f>[1]Data!B58</f>
        <v>3</v>
      </c>
      <c r="C58" s="8">
        <f>[1]Data!C58</f>
        <v>0</v>
      </c>
      <c r="D58" s="8">
        <f>[1]Data!D58</f>
        <v>4</v>
      </c>
      <c r="E58" s="8" t="str">
        <f>[1]Data!E58</f>
        <v>CVCTE</v>
      </c>
      <c r="F58" s="8" t="str">
        <f>[1]Data!F58</f>
        <v>Rowland Heights</v>
      </c>
      <c r="G58" s="8">
        <f>[1]Data!G58</f>
        <v>0</v>
      </c>
      <c r="H58" s="8">
        <f>[1]Data!H58</f>
        <v>0</v>
      </c>
      <c r="I58" s="8">
        <f>[1]Data!I58</f>
        <v>0</v>
      </c>
      <c r="J58" s="8">
        <f>[1]Data!J58</f>
        <v>0</v>
      </c>
      <c r="K58" s="8">
        <f>[1]Data!K58</f>
        <v>0</v>
      </c>
      <c r="L58" s="8">
        <f>[1]Data!L58</f>
        <v>0</v>
      </c>
      <c r="M58" s="8">
        <f>[1]Data!M58</f>
        <v>0</v>
      </c>
      <c r="N58" s="8">
        <f>[1]Data!N58</f>
        <v>0.41176470588235298</v>
      </c>
      <c r="O58" s="8">
        <f>[1]Data!O58</f>
        <v>0</v>
      </c>
      <c r="P58" s="8">
        <f>[1]Data!P58</f>
        <v>1</v>
      </c>
      <c r="Q58" s="8">
        <f>[1]Data!Q58</f>
        <v>0</v>
      </c>
      <c r="R58" s="8">
        <f>[1]Data!R58</f>
        <v>0</v>
      </c>
      <c r="S58" s="8">
        <f>[1]Data!S58</f>
        <v>0</v>
      </c>
      <c r="T58">
        <f t="shared" si="0"/>
        <v>0.41176470588235298</v>
      </c>
      <c r="U58">
        <f t="shared" si="1"/>
        <v>0</v>
      </c>
      <c r="V58" s="4" t="str">
        <f t="shared" si="2"/>
        <v>0</v>
      </c>
      <c r="W58" s="4" t="str">
        <f t="shared" si="3"/>
        <v>3</v>
      </c>
      <c r="X58" s="4" t="str">
        <f t="shared" si="4"/>
        <v>0CVCTE3</v>
      </c>
      <c r="Y58">
        <f>VLOOKUP(X58,Sheet1!$J$5:$K$121,2,FALSE)</f>
        <v>0</v>
      </c>
    </row>
    <row r="59" spans="1:25" x14ac:dyDescent="0.25">
      <c r="A59" s="8">
        <f>[1]Data!A59</f>
        <v>401304</v>
      </c>
      <c r="B59" s="8">
        <f>[1]Data!B59</f>
        <v>3</v>
      </c>
      <c r="C59" s="8">
        <f>[1]Data!C59</f>
        <v>0</v>
      </c>
      <c r="D59" s="8">
        <f>[1]Data!D59</f>
        <v>5</v>
      </c>
      <c r="E59" s="8" t="str">
        <f>[1]Data!E59</f>
        <v>CVCTE</v>
      </c>
      <c r="F59" s="8" t="str">
        <f>[1]Data!F59</f>
        <v>San Dimas</v>
      </c>
      <c r="G59" s="8">
        <f>[1]Data!G59</f>
        <v>0</v>
      </c>
      <c r="H59" s="8">
        <f>[1]Data!H59</f>
        <v>0</v>
      </c>
      <c r="I59" s="8">
        <f>[1]Data!I59</f>
        <v>0</v>
      </c>
      <c r="J59" s="8">
        <f>[1]Data!J59</f>
        <v>0</v>
      </c>
      <c r="K59" s="8">
        <f>[1]Data!K59</f>
        <v>0</v>
      </c>
      <c r="L59" s="8">
        <f>[1]Data!L59</f>
        <v>0</v>
      </c>
      <c r="M59" s="8">
        <f>[1]Data!M59</f>
        <v>0</v>
      </c>
      <c r="N59" s="8">
        <f>[1]Data!N59</f>
        <v>0.41176470588235298</v>
      </c>
      <c r="O59" s="8">
        <f>[1]Data!O59</f>
        <v>0</v>
      </c>
      <c r="P59" s="8">
        <f>[1]Data!P59</f>
        <v>1</v>
      </c>
      <c r="Q59" s="8">
        <f>[1]Data!Q59</f>
        <v>0</v>
      </c>
      <c r="R59" s="8">
        <f>[1]Data!R59</f>
        <v>0</v>
      </c>
      <c r="S59" s="8">
        <f>[1]Data!S59</f>
        <v>0</v>
      </c>
      <c r="T59">
        <f t="shared" si="0"/>
        <v>0.41176470588235298</v>
      </c>
      <c r="U59">
        <f t="shared" si="1"/>
        <v>0</v>
      </c>
      <c r="V59" s="4" t="str">
        <f t="shared" si="2"/>
        <v>0</v>
      </c>
      <c r="W59" s="4" t="str">
        <f t="shared" si="3"/>
        <v>3</v>
      </c>
      <c r="X59" s="4" t="str">
        <f t="shared" si="4"/>
        <v>0CVCTE3</v>
      </c>
      <c r="Y59">
        <f>VLOOKUP(X59,Sheet1!$J$5:$K$121,2,FALSE)</f>
        <v>0</v>
      </c>
    </row>
    <row r="60" spans="1:25" x14ac:dyDescent="0.25">
      <c r="A60" s="8">
        <f>[1]Data!A60</f>
        <v>403801</v>
      </c>
      <c r="B60" s="8">
        <f>[1]Data!B60</f>
        <v>3</v>
      </c>
      <c r="C60" s="8">
        <f>[1]Data!C60</f>
        <v>0</v>
      </c>
      <c r="D60" s="8">
        <f>[1]Data!D60</f>
        <v>5</v>
      </c>
      <c r="E60" s="8" t="str">
        <f>[1]Data!E60</f>
        <v>CVCTE</v>
      </c>
      <c r="F60" s="8" t="str">
        <f>[1]Data!F60</f>
        <v>Charter Oak</v>
      </c>
      <c r="G60" s="8">
        <f>[1]Data!G60</f>
        <v>1</v>
      </c>
      <c r="H60" s="8">
        <f>[1]Data!H60</f>
        <v>1</v>
      </c>
      <c r="I60" s="8">
        <f>[1]Data!I60</f>
        <v>5.2759999999999998</v>
      </c>
      <c r="J60" s="8">
        <f>[1]Data!J60</f>
        <v>4.8620928000000001</v>
      </c>
      <c r="K60" s="8">
        <f>[1]Data!K60</f>
        <v>4.8620928000000001</v>
      </c>
      <c r="L60" s="8">
        <f>[1]Data!L60</f>
        <v>0.414076613662478</v>
      </c>
      <c r="M60" s="8">
        <f>[1]Data!M60</f>
        <v>5.2761694136624797</v>
      </c>
      <c r="N60" s="8">
        <f>[1]Data!N60</f>
        <v>0.41176470588235298</v>
      </c>
      <c r="O60" s="8">
        <f>[1]Data!O60</f>
        <v>2.4285714285714302</v>
      </c>
      <c r="P60" s="8">
        <f>[1]Data!P60</f>
        <v>1</v>
      </c>
      <c r="Q60" s="8">
        <f>[1]Data!Q60</f>
        <v>0</v>
      </c>
      <c r="R60" s="8">
        <f>[1]Data!R60</f>
        <v>0</v>
      </c>
      <c r="S60" s="8">
        <f>[1]Data!S60</f>
        <v>0</v>
      </c>
      <c r="T60">
        <f t="shared" si="0"/>
        <v>0.41176470588235298</v>
      </c>
      <c r="U60">
        <f t="shared" si="1"/>
        <v>2.4285714285714284</v>
      </c>
      <c r="V60" s="4" t="str">
        <f t="shared" si="2"/>
        <v>0</v>
      </c>
      <c r="W60" s="4" t="str">
        <f t="shared" si="3"/>
        <v>3</v>
      </c>
      <c r="X60" s="4" t="str">
        <f t="shared" si="4"/>
        <v>0CVCTE3</v>
      </c>
      <c r="Y60">
        <f>VLOOKUP(X60,Sheet1!$J$5:$K$121,2,FALSE)</f>
        <v>0</v>
      </c>
    </row>
    <row r="61" spans="1:25" x14ac:dyDescent="0.25">
      <c r="A61" s="8">
        <f>[1]Data!A61</f>
        <v>407002</v>
      </c>
      <c r="B61" s="8">
        <f>[1]Data!B61</f>
        <v>3</v>
      </c>
      <c r="C61" s="8">
        <f>[1]Data!C61</f>
        <v>0</v>
      </c>
      <c r="D61" s="8">
        <f>[1]Data!D61</f>
        <v>1</v>
      </c>
      <c r="E61" s="8" t="str">
        <f>[1]Data!E61</f>
        <v>CVCTE</v>
      </c>
      <c r="F61" s="8" t="str">
        <f>[1]Data!F61</f>
        <v>Industry</v>
      </c>
      <c r="G61" s="8">
        <f>[1]Data!G61</f>
        <v>1</v>
      </c>
      <c r="H61" s="8">
        <f>[1]Data!H61</f>
        <v>1</v>
      </c>
      <c r="I61" s="8">
        <f>[1]Data!I61</f>
        <v>119.64</v>
      </c>
      <c r="J61" s="8">
        <f>[1]Data!J61</f>
        <v>75.756779399999999</v>
      </c>
      <c r="K61" s="8">
        <f>[1]Data!K61</f>
        <v>118.7567794</v>
      </c>
      <c r="L61" s="8">
        <f>[1]Data!L61</f>
        <v>0.88272911132854603</v>
      </c>
      <c r="M61" s="8">
        <f>[1]Data!M61</f>
        <v>119.639508511329</v>
      </c>
      <c r="N61" s="8">
        <f>[1]Data!N61</f>
        <v>0.41176470588235298</v>
      </c>
      <c r="O61" s="8">
        <f>[1]Data!O61</f>
        <v>2.4285714285714302</v>
      </c>
      <c r="P61" s="8">
        <f>[1]Data!P61</f>
        <v>1</v>
      </c>
      <c r="Q61" s="8">
        <f>[1]Data!Q61</f>
        <v>0</v>
      </c>
      <c r="R61" s="8">
        <f>[1]Data!R61</f>
        <v>0</v>
      </c>
      <c r="S61" s="8">
        <f>[1]Data!S61</f>
        <v>0</v>
      </c>
      <c r="T61">
        <f t="shared" si="0"/>
        <v>0.41176470588235298</v>
      </c>
      <c r="U61">
        <f t="shared" si="1"/>
        <v>2.4285714285714284</v>
      </c>
      <c r="V61" s="4" t="str">
        <f t="shared" si="2"/>
        <v>0</v>
      </c>
      <c r="W61" s="4" t="str">
        <f t="shared" si="3"/>
        <v>3</v>
      </c>
      <c r="X61" s="4" t="str">
        <f t="shared" si="4"/>
        <v>0CVCTE3</v>
      </c>
      <c r="Y61">
        <f>VLOOKUP(X61,Sheet1!$J$5:$K$121,2,FALSE)</f>
        <v>0</v>
      </c>
    </row>
    <row r="62" spans="1:25" x14ac:dyDescent="0.25">
      <c r="A62" s="8">
        <f>[1]Data!A62</f>
        <v>480802</v>
      </c>
      <c r="B62" s="8">
        <f>[1]Data!B62</f>
        <v>3</v>
      </c>
      <c r="C62" s="8">
        <f>[1]Data!C62</f>
        <v>0</v>
      </c>
      <c r="D62" s="8">
        <f>[1]Data!D62</f>
        <v>5</v>
      </c>
      <c r="E62" s="8" t="str">
        <f>[1]Data!E62</f>
        <v>CVCTE</v>
      </c>
      <c r="F62" s="8" t="str">
        <f>[1]Data!F62</f>
        <v>Alhambra</v>
      </c>
      <c r="G62" s="8">
        <f>[1]Data!G62</f>
        <v>0</v>
      </c>
      <c r="H62" s="8">
        <f>[1]Data!H62</f>
        <v>0</v>
      </c>
      <c r="I62" s="8">
        <f>[1]Data!I62</f>
        <v>7.9459999999999997</v>
      </c>
      <c r="J62" s="8">
        <f>[1]Data!J62</f>
        <v>5.7934595399999997</v>
      </c>
      <c r="K62" s="8">
        <f>[1]Data!K62</f>
        <v>7.7934595399999997</v>
      </c>
      <c r="L62" s="8">
        <f>[1]Data!L62</f>
        <v>0.152423245547576</v>
      </c>
      <c r="M62" s="8">
        <f>[1]Data!M62</f>
        <v>7.94588278554758</v>
      </c>
      <c r="N62" s="8">
        <f>[1]Data!N62</f>
        <v>0.41176470588235298</v>
      </c>
      <c r="O62" s="8">
        <f>[1]Data!O62</f>
        <v>0</v>
      </c>
      <c r="P62" s="8">
        <f>[1]Data!P62</f>
        <v>1</v>
      </c>
      <c r="Q62" s="8">
        <f>[1]Data!Q62</f>
        <v>0</v>
      </c>
      <c r="R62" s="8">
        <f>[1]Data!R62</f>
        <v>0</v>
      </c>
      <c r="S62" s="8">
        <f>[1]Data!S62</f>
        <v>0</v>
      </c>
      <c r="T62">
        <f t="shared" si="0"/>
        <v>0.41176470588235298</v>
      </c>
      <c r="U62">
        <f t="shared" si="1"/>
        <v>0</v>
      </c>
      <c r="V62" s="4" t="str">
        <f t="shared" si="2"/>
        <v>0</v>
      </c>
      <c r="W62" s="4" t="str">
        <f t="shared" si="3"/>
        <v>3</v>
      </c>
      <c r="X62" s="4" t="str">
        <f t="shared" si="4"/>
        <v>0CVCTE3</v>
      </c>
      <c r="Y62">
        <f>VLOOKUP(X62,Sheet1!$J$5:$K$121,2,FALSE)</f>
        <v>0</v>
      </c>
    </row>
    <row r="63" spans="1:25" x14ac:dyDescent="0.25">
      <c r="A63" s="8">
        <f>[1]Data!A63</f>
        <v>433700</v>
      </c>
      <c r="B63" s="8">
        <f>[1]Data!B63</f>
        <v>3</v>
      </c>
      <c r="C63" s="8">
        <f>[1]Data!C63</f>
        <v>0</v>
      </c>
      <c r="D63" s="8">
        <f>[1]Data!D63</f>
        <v>1</v>
      </c>
      <c r="E63" s="8" t="str">
        <f>[1]Data!E63</f>
        <v>CVCTE</v>
      </c>
      <c r="F63" s="8" t="str">
        <f>[1]Data!F63</f>
        <v>South El Monte</v>
      </c>
      <c r="G63" s="8">
        <f>[1]Data!G63</f>
        <v>1</v>
      </c>
      <c r="H63" s="8">
        <f>[1]Data!H63</f>
        <v>1</v>
      </c>
      <c r="I63" s="8">
        <f>[1]Data!I63</f>
        <v>19.937000000000001</v>
      </c>
      <c r="J63" s="8">
        <f>[1]Data!J63</f>
        <v>19.056034350000001</v>
      </c>
      <c r="K63" s="8">
        <f>[1]Data!K63</f>
        <v>19.056034350000001</v>
      </c>
      <c r="L63" s="8">
        <f>[1]Data!L63</f>
        <v>0.88036358068222598</v>
      </c>
      <c r="M63" s="8">
        <f>[1]Data!M63</f>
        <v>19.936397930682201</v>
      </c>
      <c r="N63" s="8">
        <f>[1]Data!N63</f>
        <v>0.41176470588235298</v>
      </c>
      <c r="O63" s="8">
        <f>[1]Data!O63</f>
        <v>2.4285714285714302</v>
      </c>
      <c r="P63" s="8">
        <f>[1]Data!P63</f>
        <v>1</v>
      </c>
      <c r="Q63" s="8">
        <f>[1]Data!Q63</f>
        <v>0</v>
      </c>
      <c r="R63" s="8">
        <f>[1]Data!R63</f>
        <v>0</v>
      </c>
      <c r="S63" s="8">
        <f>[1]Data!S63</f>
        <v>0</v>
      </c>
      <c r="T63">
        <f t="shared" si="0"/>
        <v>0.41176470588235298</v>
      </c>
      <c r="U63">
        <f t="shared" si="1"/>
        <v>2.4285714285714284</v>
      </c>
      <c r="V63" s="4" t="str">
        <f t="shared" si="2"/>
        <v>0</v>
      </c>
      <c r="W63" s="4" t="str">
        <f t="shared" si="3"/>
        <v>3</v>
      </c>
      <c r="X63" s="4" t="str">
        <f t="shared" si="4"/>
        <v>0CVCTE3</v>
      </c>
      <c r="Y63">
        <f>VLOOKUP(X63,Sheet1!$J$5:$K$121,2,FALSE)</f>
        <v>0</v>
      </c>
    </row>
    <row r="64" spans="1:25" x14ac:dyDescent="0.25">
      <c r="A64" s="8">
        <f>[1]Data!A64</f>
        <v>404802</v>
      </c>
      <c r="B64" s="8">
        <f>[1]Data!B64</f>
        <v>3</v>
      </c>
      <c r="C64" s="8">
        <f>[1]Data!C64</f>
        <v>0</v>
      </c>
      <c r="D64" s="8">
        <f>[1]Data!D64</f>
        <v>1</v>
      </c>
      <c r="E64" s="8" t="str">
        <f>[1]Data!E64</f>
        <v>CVCTE</v>
      </c>
      <c r="F64" s="8" t="str">
        <f>[1]Data!F64</f>
        <v>Baldwin Park</v>
      </c>
      <c r="G64" s="8">
        <f>[1]Data!G64</f>
        <v>1</v>
      </c>
      <c r="H64" s="8">
        <f>[1]Data!H64</f>
        <v>1</v>
      </c>
      <c r="I64" s="8">
        <f>[1]Data!I64</f>
        <v>15.507999999999999</v>
      </c>
      <c r="J64" s="8">
        <f>[1]Data!J64</f>
        <v>11.79462148</v>
      </c>
      <c r="K64" s="8">
        <f>[1]Data!K64</f>
        <v>14.79462148</v>
      </c>
      <c r="L64" s="8">
        <f>[1]Data!L64</f>
        <v>0.71401865481148996</v>
      </c>
      <c r="M64" s="8">
        <f>[1]Data!M64</f>
        <v>15.5086401348115</v>
      </c>
      <c r="N64" s="8">
        <f>[1]Data!N64</f>
        <v>0.41176470588235298</v>
      </c>
      <c r="O64" s="8">
        <f>[1]Data!O64</f>
        <v>2.4285714285714302</v>
      </c>
      <c r="P64" s="8">
        <f>[1]Data!P64</f>
        <v>1</v>
      </c>
      <c r="Q64" s="8">
        <f>[1]Data!Q64</f>
        <v>0</v>
      </c>
      <c r="R64" s="8">
        <f>[1]Data!R64</f>
        <v>0</v>
      </c>
      <c r="S64" s="8">
        <f>[1]Data!S64</f>
        <v>0</v>
      </c>
      <c r="T64">
        <f t="shared" si="0"/>
        <v>0.41176470588235298</v>
      </c>
      <c r="U64">
        <f t="shared" si="1"/>
        <v>2.4285714285714284</v>
      </c>
      <c r="V64" s="4" t="str">
        <f t="shared" si="2"/>
        <v>0</v>
      </c>
      <c r="W64" s="4" t="str">
        <f t="shared" si="3"/>
        <v>3</v>
      </c>
      <c r="X64" s="4" t="str">
        <f t="shared" si="4"/>
        <v>0CVCTE3</v>
      </c>
      <c r="Y64">
        <f>VLOOKUP(X64,Sheet1!$J$5:$K$121,2,FALSE)</f>
        <v>0</v>
      </c>
    </row>
    <row r="65" spans="1:25" x14ac:dyDescent="0.25">
      <c r="A65" s="8">
        <f>[1]Data!A65</f>
        <v>404401</v>
      </c>
      <c r="B65" s="8">
        <f>[1]Data!B65</f>
        <v>3</v>
      </c>
      <c r="C65" s="8">
        <f>[1]Data!C65</f>
        <v>0</v>
      </c>
      <c r="D65" s="8">
        <f>[1]Data!D65</f>
        <v>1</v>
      </c>
      <c r="E65" s="8" t="str">
        <f>[1]Data!E65</f>
        <v>CVCTE</v>
      </c>
      <c r="F65" s="8" t="str">
        <f>[1]Data!F65</f>
        <v>Azusa</v>
      </c>
      <c r="G65" s="8">
        <f>[1]Data!G65</f>
        <v>0</v>
      </c>
      <c r="H65" s="8">
        <f>[1]Data!H65</f>
        <v>0</v>
      </c>
      <c r="I65" s="8">
        <f>[1]Data!I65</f>
        <v>6.2759999999999998</v>
      </c>
      <c r="J65" s="8">
        <f>[1]Data!J65</f>
        <v>4.8620928000000001</v>
      </c>
      <c r="K65" s="8">
        <f>[1]Data!K65</f>
        <v>5.8620928000000001</v>
      </c>
      <c r="L65" s="8">
        <f>[1]Data!L65</f>
        <v>0.414076613662478</v>
      </c>
      <c r="M65" s="8">
        <f>[1]Data!M65</f>
        <v>6.2761694136624797</v>
      </c>
      <c r="N65" s="8">
        <f>[1]Data!N65</f>
        <v>0.41176470588235298</v>
      </c>
      <c r="O65" s="8">
        <f>[1]Data!O65</f>
        <v>0</v>
      </c>
      <c r="P65" s="8">
        <f>[1]Data!P65</f>
        <v>1</v>
      </c>
      <c r="Q65" s="8">
        <f>[1]Data!Q65</f>
        <v>0</v>
      </c>
      <c r="R65" s="8">
        <f>[1]Data!R65</f>
        <v>0</v>
      </c>
      <c r="S65" s="8">
        <f>[1]Data!S65</f>
        <v>0</v>
      </c>
      <c r="T65">
        <f t="shared" si="0"/>
        <v>0.41176470588235298</v>
      </c>
      <c r="U65">
        <f t="shared" si="1"/>
        <v>0</v>
      </c>
      <c r="V65" s="4" t="str">
        <f t="shared" si="2"/>
        <v>0</v>
      </c>
      <c r="W65" s="4" t="str">
        <f t="shared" si="3"/>
        <v>3</v>
      </c>
      <c r="X65" s="4" t="str">
        <f t="shared" si="4"/>
        <v>0CVCTE3</v>
      </c>
      <c r="Y65">
        <f>VLOOKUP(X65,Sheet1!$J$5:$K$121,2,FALSE)</f>
        <v>0</v>
      </c>
    </row>
    <row r="66" spans="1:25" x14ac:dyDescent="0.25">
      <c r="A66" s="8">
        <f>[1]Data!A66</f>
        <v>406300</v>
      </c>
      <c r="B66" s="8">
        <f>[1]Data!B66</f>
        <v>3</v>
      </c>
      <c r="C66" s="8">
        <f>[1]Data!C66</f>
        <v>0</v>
      </c>
      <c r="D66" s="8">
        <f>[1]Data!D66</f>
        <v>1</v>
      </c>
      <c r="E66" s="8" t="str">
        <f>[1]Data!E66</f>
        <v>CVCTE</v>
      </c>
      <c r="F66" s="8" t="str">
        <f>[1]Data!F66</f>
        <v>West Covina</v>
      </c>
      <c r="G66" s="8">
        <f>[1]Data!G66</f>
        <v>0</v>
      </c>
      <c r="H66" s="8">
        <f>[1]Data!H66</f>
        <v>0</v>
      </c>
      <c r="I66" s="8">
        <f>[1]Data!I66</f>
        <v>7.2759999999999998</v>
      </c>
      <c r="J66" s="8">
        <f>[1]Data!J66</f>
        <v>4.8620928000000001</v>
      </c>
      <c r="K66" s="8">
        <f>[1]Data!K66</f>
        <v>6.8620928000000001</v>
      </c>
      <c r="L66" s="8">
        <f>[1]Data!L66</f>
        <v>0.414076613662478</v>
      </c>
      <c r="M66" s="8">
        <f>[1]Data!M66</f>
        <v>7.2761694136624797</v>
      </c>
      <c r="N66" s="8">
        <f>[1]Data!N66</f>
        <v>0.41176470588235298</v>
      </c>
      <c r="O66" s="8">
        <f>[1]Data!O66</f>
        <v>0</v>
      </c>
      <c r="P66" s="8">
        <f>[1]Data!P66</f>
        <v>1</v>
      </c>
      <c r="Q66" s="8">
        <f>[1]Data!Q66</f>
        <v>0</v>
      </c>
      <c r="R66" s="8">
        <f>[1]Data!R66</f>
        <v>0</v>
      </c>
      <c r="S66" s="8">
        <f>[1]Data!S66</f>
        <v>0</v>
      </c>
      <c r="T66">
        <f t="shared" si="0"/>
        <v>0.41176470588235298</v>
      </c>
      <c r="U66">
        <f t="shared" si="1"/>
        <v>0</v>
      </c>
      <c r="V66" s="4" t="str">
        <f t="shared" si="2"/>
        <v>0</v>
      </c>
      <c r="W66" s="4" t="str">
        <f t="shared" si="3"/>
        <v>3</v>
      </c>
      <c r="X66" s="4" t="str">
        <f t="shared" si="4"/>
        <v>0CVCTE3</v>
      </c>
      <c r="Y66">
        <f>VLOOKUP(X66,Sheet1!$J$5:$K$121,2,FALSE)</f>
        <v>0</v>
      </c>
    </row>
    <row r="67" spans="1:25" x14ac:dyDescent="0.25">
      <c r="A67" s="8">
        <f>[1]Data!A67</f>
        <v>406101</v>
      </c>
      <c r="B67" s="8">
        <f>[1]Data!B67</f>
        <v>3</v>
      </c>
      <c r="C67" s="8">
        <f>[1]Data!C67</f>
        <v>0</v>
      </c>
      <c r="D67" s="8">
        <f>[1]Data!D67</f>
        <v>5</v>
      </c>
      <c r="E67" s="8" t="str">
        <f>[1]Data!E67</f>
        <v>CVCTE</v>
      </c>
      <c r="F67" s="8" t="str">
        <f>[1]Data!F67</f>
        <v>Covina</v>
      </c>
      <c r="G67" s="8">
        <f>[1]Data!G67</f>
        <v>1</v>
      </c>
      <c r="H67" s="8">
        <f>[1]Data!H67</f>
        <v>1</v>
      </c>
      <c r="I67" s="8">
        <f>[1]Data!I67</f>
        <v>16.202000000000002</v>
      </c>
      <c r="J67" s="8">
        <f>[1]Data!J67</f>
        <v>6.7669727399999999</v>
      </c>
      <c r="K67" s="8">
        <f>[1]Data!K67</f>
        <v>15.76697274</v>
      </c>
      <c r="L67" s="8">
        <f>[1]Data!L67</f>
        <v>0.434701935745063</v>
      </c>
      <c r="M67" s="8">
        <f>[1]Data!M67</f>
        <v>16.2016746757451</v>
      </c>
      <c r="N67" s="8">
        <f>[1]Data!N67</f>
        <v>0.41176470588235298</v>
      </c>
      <c r="O67" s="8">
        <f>[1]Data!O67</f>
        <v>2.4285714285714302</v>
      </c>
      <c r="P67" s="8">
        <f>[1]Data!P67</f>
        <v>1</v>
      </c>
      <c r="Q67" s="8">
        <f>[1]Data!Q67</f>
        <v>0</v>
      </c>
      <c r="R67" s="8">
        <f>[1]Data!R67</f>
        <v>0</v>
      </c>
      <c r="S67" s="8">
        <f>[1]Data!S67</f>
        <v>0</v>
      </c>
      <c r="T67">
        <f t="shared" ref="T67:T130" si="5">N67+Y67*(1-N67)</f>
        <v>0.41176470588235298</v>
      </c>
      <c r="U67">
        <f t="shared" ref="U67:U130" si="6">IF(T67="",0,1/T67*H67)</f>
        <v>2.4285714285714284</v>
      </c>
      <c r="V67" s="4" t="str">
        <f t="shared" ref="V67:V130" si="7">TEXT(C67,"0")</f>
        <v>0</v>
      </c>
      <c r="W67" s="4" t="str">
        <f t="shared" ref="W67:W130" si="8">TEXT(B67,"0")</f>
        <v>3</v>
      </c>
      <c r="X67" s="4" t="str">
        <f t="shared" ref="X67:X130" si="9">CONCATENATE(V67,E67,W67)</f>
        <v>0CVCTE3</v>
      </c>
      <c r="Y67">
        <f>VLOOKUP(X67,Sheet1!$J$5:$K$121,2,FALSE)</f>
        <v>0</v>
      </c>
    </row>
    <row r="68" spans="1:25" x14ac:dyDescent="0.25">
      <c r="A68" s="8">
        <f>[1]Data!A68</f>
        <v>408402</v>
      </c>
      <c r="B68" s="8">
        <f>[1]Data!B68</f>
        <v>3</v>
      </c>
      <c r="C68" s="8">
        <f>[1]Data!C68</f>
        <v>0</v>
      </c>
      <c r="D68" s="8">
        <f>[1]Data!D68</f>
        <v>4</v>
      </c>
      <c r="E68" s="8" t="str">
        <f>[1]Data!E68</f>
        <v>CVCTE</v>
      </c>
      <c r="F68" s="8" t="str">
        <f>[1]Data!F68</f>
        <v>Hacienda Heights</v>
      </c>
      <c r="G68" s="8">
        <f>[1]Data!G68</f>
        <v>0</v>
      </c>
      <c r="H68" s="8">
        <f>[1]Data!H68</f>
        <v>0</v>
      </c>
      <c r="I68" s="8">
        <f>[1]Data!I68</f>
        <v>9.9529999999999994</v>
      </c>
      <c r="J68" s="8">
        <f>[1]Data!J68</f>
        <v>7.19598285</v>
      </c>
      <c r="K68" s="8">
        <f>[1]Data!K68</f>
        <v>9.19598285</v>
      </c>
      <c r="L68" s="8">
        <f>[1]Data!L68</f>
        <v>0.75726003070018</v>
      </c>
      <c r="M68" s="8">
        <f>[1]Data!M68</f>
        <v>9.9532428807001807</v>
      </c>
      <c r="N68" s="8">
        <f>[1]Data!N68</f>
        <v>0.41176470588235298</v>
      </c>
      <c r="O68" s="8">
        <f>[1]Data!O68</f>
        <v>0</v>
      </c>
      <c r="P68" s="8">
        <f>[1]Data!P68</f>
        <v>1</v>
      </c>
      <c r="Q68" s="8">
        <f>[1]Data!Q68</f>
        <v>0</v>
      </c>
      <c r="R68" s="8">
        <f>[1]Data!R68</f>
        <v>0</v>
      </c>
      <c r="S68" s="8">
        <f>[1]Data!S68</f>
        <v>0</v>
      </c>
      <c r="T68">
        <f t="shared" si="5"/>
        <v>0.41176470588235298</v>
      </c>
      <c r="U68">
        <f t="shared" si="6"/>
        <v>0</v>
      </c>
      <c r="V68" s="4" t="str">
        <f t="shared" si="7"/>
        <v>0</v>
      </c>
      <c r="W68" s="4" t="str">
        <f t="shared" si="8"/>
        <v>3</v>
      </c>
      <c r="X68" s="4" t="str">
        <f t="shared" si="9"/>
        <v>0CVCTE3</v>
      </c>
      <c r="Y68">
        <f>VLOOKUP(X68,Sheet1!$J$5:$K$121,2,FALSE)</f>
        <v>0</v>
      </c>
    </row>
    <row r="69" spans="1:25" x14ac:dyDescent="0.25">
      <c r="A69" s="8">
        <f>[1]Data!A69</f>
        <v>403721</v>
      </c>
      <c r="B69" s="8">
        <f>[1]Data!B69</f>
        <v>3</v>
      </c>
      <c r="C69" s="8">
        <f>[1]Data!C69</f>
        <v>0</v>
      </c>
      <c r="D69" s="8">
        <f>[1]Data!D69</f>
        <v>5</v>
      </c>
      <c r="E69" s="8" t="str">
        <f>[1]Data!E69</f>
        <v>CVCTE</v>
      </c>
      <c r="F69" s="8" t="str">
        <f>[1]Data!F69</f>
        <v>Covina</v>
      </c>
      <c r="G69" s="8">
        <f>[1]Data!G69</f>
        <v>0</v>
      </c>
      <c r="H69" s="8">
        <f>[1]Data!H69</f>
        <v>0</v>
      </c>
      <c r="I69" s="8">
        <f>[1]Data!I69</f>
        <v>6.4939999999999998</v>
      </c>
      <c r="J69" s="8">
        <f>[1]Data!J69</f>
        <v>5.1560284000000003</v>
      </c>
      <c r="K69" s="8">
        <f>[1]Data!K69</f>
        <v>6.1560284000000003</v>
      </c>
      <c r="L69" s="8">
        <f>[1]Data!L69</f>
        <v>0.33761011780969502</v>
      </c>
      <c r="M69" s="8">
        <f>[1]Data!M69</f>
        <v>6.4936385178096998</v>
      </c>
      <c r="N69" s="8">
        <f>[1]Data!N69</f>
        <v>0.41176470588235298</v>
      </c>
      <c r="O69" s="8">
        <f>[1]Data!O69</f>
        <v>0</v>
      </c>
      <c r="P69" s="8">
        <f>[1]Data!P69</f>
        <v>1</v>
      </c>
      <c r="Q69" s="8">
        <f>[1]Data!Q69</f>
        <v>0</v>
      </c>
      <c r="R69" s="8">
        <f>[1]Data!R69</f>
        <v>0</v>
      </c>
      <c r="S69" s="8">
        <f>[1]Data!S69</f>
        <v>0</v>
      </c>
      <c r="T69">
        <f t="shared" si="5"/>
        <v>0.41176470588235298</v>
      </c>
      <c r="U69">
        <f t="shared" si="6"/>
        <v>0</v>
      </c>
      <c r="V69" s="4" t="str">
        <f t="shared" si="7"/>
        <v>0</v>
      </c>
      <c r="W69" s="4" t="str">
        <f t="shared" si="8"/>
        <v>3</v>
      </c>
      <c r="X69" s="4" t="str">
        <f t="shared" si="9"/>
        <v>0CVCTE3</v>
      </c>
      <c r="Y69">
        <f>VLOOKUP(X69,Sheet1!$J$5:$K$121,2,FALSE)</f>
        <v>0</v>
      </c>
    </row>
    <row r="70" spans="1:25" x14ac:dyDescent="0.25">
      <c r="A70" s="8">
        <f>[1]Data!A70</f>
        <v>404703</v>
      </c>
      <c r="B70" s="8">
        <f>[1]Data!B70</f>
        <v>3</v>
      </c>
      <c r="C70" s="8">
        <f>[1]Data!C70</f>
        <v>0</v>
      </c>
      <c r="D70" s="8">
        <f>[1]Data!D70</f>
        <v>1</v>
      </c>
      <c r="E70" s="8" t="str">
        <f>[1]Data!E70</f>
        <v>CVCTE</v>
      </c>
      <c r="F70" s="8" t="str">
        <f>[1]Data!F70</f>
        <v>Baldwin Park</v>
      </c>
      <c r="G70" s="8">
        <f>[1]Data!G70</f>
        <v>0</v>
      </c>
      <c r="H70" s="8">
        <f>[1]Data!H70</f>
        <v>0</v>
      </c>
      <c r="I70" s="8">
        <f>[1]Data!I70</f>
        <v>5.4420000000000002</v>
      </c>
      <c r="J70" s="8">
        <f>[1]Data!J70</f>
        <v>5.2489564499999997</v>
      </c>
      <c r="K70" s="8">
        <f>[1]Data!K70</f>
        <v>5.2489564499999997</v>
      </c>
      <c r="L70" s="8">
        <f>[1]Data!L70</f>
        <v>0.192702650305207</v>
      </c>
      <c r="M70" s="8">
        <f>[1]Data!M70</f>
        <v>5.4416591003052099</v>
      </c>
      <c r="N70" s="8">
        <f>[1]Data!N70</f>
        <v>0.41176470588235298</v>
      </c>
      <c r="O70" s="8">
        <f>[1]Data!O70</f>
        <v>0</v>
      </c>
      <c r="P70" s="8">
        <f>[1]Data!P70</f>
        <v>1</v>
      </c>
      <c r="Q70" s="8">
        <f>[1]Data!Q70</f>
        <v>0</v>
      </c>
      <c r="R70" s="8">
        <f>[1]Data!R70</f>
        <v>0</v>
      </c>
      <c r="S70" s="8">
        <f>[1]Data!S70</f>
        <v>0</v>
      </c>
      <c r="T70">
        <f t="shared" si="5"/>
        <v>0.41176470588235298</v>
      </c>
      <c r="U70">
        <f t="shared" si="6"/>
        <v>0</v>
      </c>
      <c r="V70" s="4" t="str">
        <f t="shared" si="7"/>
        <v>0</v>
      </c>
      <c r="W70" s="4" t="str">
        <f t="shared" si="8"/>
        <v>3</v>
      </c>
      <c r="X70" s="4" t="str">
        <f t="shared" si="9"/>
        <v>0CVCTE3</v>
      </c>
      <c r="Y70">
        <f>VLOOKUP(X70,Sheet1!$J$5:$K$121,2,FALSE)</f>
        <v>0</v>
      </c>
    </row>
    <row r="71" spans="1:25" x14ac:dyDescent="0.25">
      <c r="A71" s="8">
        <f>[1]Data!A71</f>
        <v>482402</v>
      </c>
      <c r="B71" s="8">
        <f>[1]Data!B71</f>
        <v>3</v>
      </c>
      <c r="C71" s="8">
        <f>[1]Data!C71</f>
        <v>0</v>
      </c>
      <c r="D71" s="8">
        <f>[1]Data!D71</f>
        <v>1</v>
      </c>
      <c r="E71" s="8" t="str">
        <f>[1]Data!E71</f>
        <v>CVCTE</v>
      </c>
      <c r="F71" s="8" t="str">
        <f>[1]Data!F71</f>
        <v>Rosemead</v>
      </c>
      <c r="G71" s="8">
        <f>[1]Data!G71</f>
        <v>0</v>
      </c>
      <c r="H71" s="8">
        <f>[1]Data!H71</f>
        <v>0</v>
      </c>
      <c r="I71" s="8">
        <f>[1]Data!I71</f>
        <v>2.0950000000000002</v>
      </c>
      <c r="J71" s="8">
        <f>[1]Data!J71</f>
        <v>1.9836996600000001</v>
      </c>
      <c r="K71" s="8">
        <f>[1]Data!K71</f>
        <v>1.9836996600000001</v>
      </c>
      <c r="L71" s="8">
        <f>[1]Data!L71</f>
        <v>0.11117260138240601</v>
      </c>
      <c r="M71" s="8">
        <f>[1]Data!M71</f>
        <v>2.09487226138241</v>
      </c>
      <c r="N71" s="8">
        <f>[1]Data!N71</f>
        <v>0.41176470588235298</v>
      </c>
      <c r="O71" s="8">
        <f>[1]Data!O71</f>
        <v>0</v>
      </c>
      <c r="P71" s="8">
        <f>[1]Data!P71</f>
        <v>1</v>
      </c>
      <c r="Q71" s="8">
        <f>[1]Data!Q71</f>
        <v>0</v>
      </c>
      <c r="R71" s="8">
        <f>[1]Data!R71</f>
        <v>0</v>
      </c>
      <c r="S71" s="8">
        <f>[1]Data!S71</f>
        <v>0</v>
      </c>
      <c r="T71">
        <f t="shared" si="5"/>
        <v>0.41176470588235298</v>
      </c>
      <c r="U71">
        <f t="shared" si="6"/>
        <v>0</v>
      </c>
      <c r="V71" s="4" t="str">
        <f t="shared" si="7"/>
        <v>0</v>
      </c>
      <c r="W71" s="4" t="str">
        <f t="shared" si="8"/>
        <v>3</v>
      </c>
      <c r="X71" s="4" t="str">
        <f t="shared" si="9"/>
        <v>0CVCTE3</v>
      </c>
      <c r="Y71">
        <f>VLOOKUP(X71,Sheet1!$J$5:$K$121,2,FALSE)</f>
        <v>0</v>
      </c>
    </row>
    <row r="72" spans="1:25" x14ac:dyDescent="0.25">
      <c r="A72" s="8">
        <f>[1]Data!A72</f>
        <v>404701</v>
      </c>
      <c r="B72" s="8">
        <f>[1]Data!B72</f>
        <v>3</v>
      </c>
      <c r="C72" s="8">
        <f>[1]Data!C72</f>
        <v>0</v>
      </c>
      <c r="D72" s="8">
        <f>[1]Data!D72</f>
        <v>1</v>
      </c>
      <c r="E72" s="8" t="str">
        <f>[1]Data!E72</f>
        <v>CVCTE</v>
      </c>
      <c r="F72" s="8" t="str">
        <f>[1]Data!F72</f>
        <v>Baldwin Park</v>
      </c>
      <c r="G72" s="8">
        <f>[1]Data!G72</f>
        <v>0</v>
      </c>
      <c r="H72" s="8">
        <f>[1]Data!H72</f>
        <v>0</v>
      </c>
      <c r="I72" s="8">
        <f>[1]Data!I72</f>
        <v>13.176</v>
      </c>
      <c r="J72" s="8">
        <f>[1]Data!J72</f>
        <v>8.8869685599999997</v>
      </c>
      <c r="K72" s="8">
        <f>[1]Data!K72</f>
        <v>12.88696856</v>
      </c>
      <c r="L72" s="8">
        <f>[1]Data!L72</f>
        <v>0.28831348267504497</v>
      </c>
      <c r="M72" s="8">
        <f>[1]Data!M72</f>
        <v>13.175282042675001</v>
      </c>
      <c r="N72" s="8">
        <f>[1]Data!N72</f>
        <v>0.41176470588235298</v>
      </c>
      <c r="O72" s="8">
        <f>[1]Data!O72</f>
        <v>0</v>
      </c>
      <c r="P72" s="8">
        <f>[1]Data!P72</f>
        <v>1</v>
      </c>
      <c r="Q72" s="8">
        <f>[1]Data!Q72</f>
        <v>0</v>
      </c>
      <c r="R72" s="8">
        <f>[1]Data!R72</f>
        <v>0</v>
      </c>
      <c r="S72" s="8">
        <f>[1]Data!S72</f>
        <v>0</v>
      </c>
      <c r="T72">
        <f t="shared" si="5"/>
        <v>0.41176470588235298</v>
      </c>
      <c r="U72">
        <f t="shared" si="6"/>
        <v>0</v>
      </c>
      <c r="V72" s="4" t="str">
        <f t="shared" si="7"/>
        <v>0</v>
      </c>
      <c r="W72" s="4" t="str">
        <f t="shared" si="8"/>
        <v>3</v>
      </c>
      <c r="X72" s="4" t="str">
        <f t="shared" si="9"/>
        <v>0CVCTE3</v>
      </c>
      <c r="Y72">
        <f>VLOOKUP(X72,Sheet1!$J$5:$K$121,2,FALSE)</f>
        <v>0</v>
      </c>
    </row>
    <row r="73" spans="1:25" x14ac:dyDescent="0.25">
      <c r="A73" s="8">
        <f>[1]Data!A73</f>
        <v>407602</v>
      </c>
      <c r="B73" s="8">
        <f>[1]Data!B73</f>
        <v>3</v>
      </c>
      <c r="C73" s="8">
        <f>[1]Data!C73</f>
        <v>0</v>
      </c>
      <c r="D73" s="8">
        <f>[1]Data!D73</f>
        <v>1</v>
      </c>
      <c r="E73" s="8" t="str">
        <f>[1]Data!E73</f>
        <v>CVCTE</v>
      </c>
      <c r="F73" s="8" t="str">
        <f>[1]Data!F73</f>
        <v>La Puente</v>
      </c>
      <c r="G73" s="8">
        <f>[1]Data!G73</f>
        <v>0</v>
      </c>
      <c r="H73" s="8">
        <f>[1]Data!H73</f>
        <v>0</v>
      </c>
      <c r="I73" s="8">
        <f>[1]Data!I73</f>
        <v>11.776999999999999</v>
      </c>
      <c r="J73" s="8">
        <f>[1]Data!J73</f>
        <v>5.7146398200000004</v>
      </c>
      <c r="K73" s="8">
        <f>[1]Data!K73</f>
        <v>11.71463982</v>
      </c>
      <c r="L73" s="8">
        <f>[1]Data!L73</f>
        <v>6.18759662477558E-2</v>
      </c>
      <c r="M73" s="8">
        <f>[1]Data!M73</f>
        <v>11.776515786247799</v>
      </c>
      <c r="N73" s="8">
        <f>[1]Data!N73</f>
        <v>0.41176470588235298</v>
      </c>
      <c r="O73" s="8">
        <f>[1]Data!O73</f>
        <v>0</v>
      </c>
      <c r="P73" s="8">
        <f>[1]Data!P73</f>
        <v>1</v>
      </c>
      <c r="Q73" s="8">
        <f>[1]Data!Q73</f>
        <v>0</v>
      </c>
      <c r="R73" s="8">
        <f>[1]Data!R73</f>
        <v>0</v>
      </c>
      <c r="S73" s="8">
        <f>[1]Data!S73</f>
        <v>0</v>
      </c>
      <c r="T73">
        <f t="shared" si="5"/>
        <v>0.41176470588235298</v>
      </c>
      <c r="U73">
        <f t="shared" si="6"/>
        <v>0</v>
      </c>
      <c r="V73" s="4" t="str">
        <f t="shared" si="7"/>
        <v>0</v>
      </c>
      <c r="W73" s="4" t="str">
        <f t="shared" si="8"/>
        <v>3</v>
      </c>
      <c r="X73" s="4" t="str">
        <f t="shared" si="9"/>
        <v>0CVCTE3</v>
      </c>
      <c r="Y73">
        <f>VLOOKUP(X73,Sheet1!$J$5:$K$121,2,FALSE)</f>
        <v>0</v>
      </c>
    </row>
    <row r="74" spans="1:25" x14ac:dyDescent="0.25">
      <c r="A74" s="8">
        <f>[1]Data!A74</f>
        <v>432300</v>
      </c>
      <c r="B74" s="8">
        <f>[1]Data!B74</f>
        <v>3</v>
      </c>
      <c r="C74" s="8">
        <f>[1]Data!C74</f>
        <v>0</v>
      </c>
      <c r="D74" s="8">
        <f>[1]Data!D74</f>
        <v>1</v>
      </c>
      <c r="E74" s="8" t="str">
        <f>[1]Data!E74</f>
        <v>CVCTE</v>
      </c>
      <c r="F74" s="8" t="str">
        <f>[1]Data!F74</f>
        <v>El Monte</v>
      </c>
      <c r="G74" s="8">
        <f>[1]Data!G74</f>
        <v>1</v>
      </c>
      <c r="H74" s="8">
        <f>[1]Data!H74</f>
        <v>1</v>
      </c>
      <c r="I74" s="8">
        <f>[1]Data!I74</f>
        <v>10.707000000000001</v>
      </c>
      <c r="J74" s="8">
        <f>[1]Data!J74</f>
        <v>7.31147583</v>
      </c>
      <c r="K74" s="8">
        <f>[1]Data!K74</f>
        <v>10.311475829999999</v>
      </c>
      <c r="L74" s="8">
        <f>[1]Data!L74</f>
        <v>0.39442253098743302</v>
      </c>
      <c r="M74" s="8">
        <f>[1]Data!M74</f>
        <v>10.705898360987399</v>
      </c>
      <c r="N74" s="8">
        <f>[1]Data!N74</f>
        <v>0.41176470588235298</v>
      </c>
      <c r="O74" s="8">
        <f>[1]Data!O74</f>
        <v>2.4285714285714302</v>
      </c>
      <c r="P74" s="8">
        <f>[1]Data!P74</f>
        <v>1</v>
      </c>
      <c r="Q74" s="8">
        <f>[1]Data!Q74</f>
        <v>0</v>
      </c>
      <c r="R74" s="8">
        <f>[1]Data!R74</f>
        <v>0</v>
      </c>
      <c r="S74" s="8">
        <f>[1]Data!S74</f>
        <v>0</v>
      </c>
      <c r="T74">
        <f t="shared" si="5"/>
        <v>0.41176470588235298</v>
      </c>
      <c r="U74">
        <f t="shared" si="6"/>
        <v>2.4285714285714284</v>
      </c>
      <c r="V74" s="4" t="str">
        <f t="shared" si="7"/>
        <v>0</v>
      </c>
      <c r="W74" s="4" t="str">
        <f t="shared" si="8"/>
        <v>3</v>
      </c>
      <c r="X74" s="4" t="str">
        <f t="shared" si="9"/>
        <v>0CVCTE3</v>
      </c>
      <c r="Y74">
        <f>VLOOKUP(X74,Sheet1!$J$5:$K$121,2,FALSE)</f>
        <v>0</v>
      </c>
    </row>
    <row r="75" spans="1:25" x14ac:dyDescent="0.25">
      <c r="A75" s="8">
        <f>[1]Data!A75</f>
        <v>405203</v>
      </c>
      <c r="B75" s="8">
        <f>[1]Data!B75</f>
        <v>3</v>
      </c>
      <c r="C75" s="8">
        <f>[1]Data!C75</f>
        <v>0</v>
      </c>
      <c r="D75" s="8">
        <f>[1]Data!D75</f>
        <v>1</v>
      </c>
      <c r="E75" s="8" t="str">
        <f>[1]Data!E75</f>
        <v>CVCTE</v>
      </c>
      <c r="F75" s="8" t="str">
        <f>[1]Data!F75</f>
        <v>Baldwin Park</v>
      </c>
      <c r="G75" s="8">
        <f>[1]Data!G75</f>
        <v>0</v>
      </c>
      <c r="H75" s="8">
        <f>[1]Data!H75</f>
        <v>0</v>
      </c>
      <c r="I75" s="8">
        <f>[1]Data!I75</f>
        <v>7.806</v>
      </c>
      <c r="J75" s="8">
        <f>[1]Data!J75</f>
        <v>7.4336636599999997</v>
      </c>
      <c r="K75" s="8">
        <f>[1]Data!K75</f>
        <v>7.4336636599999997</v>
      </c>
      <c r="L75" s="8">
        <f>[1]Data!L75</f>
        <v>0.37231622333931802</v>
      </c>
      <c r="M75" s="8">
        <f>[1]Data!M75</f>
        <v>7.8059798833393197</v>
      </c>
      <c r="N75" s="8">
        <f>[1]Data!N75</f>
        <v>0.41176470588235298</v>
      </c>
      <c r="O75" s="8">
        <f>[1]Data!O75</f>
        <v>0</v>
      </c>
      <c r="P75" s="8">
        <f>[1]Data!P75</f>
        <v>1</v>
      </c>
      <c r="Q75" s="8">
        <f>[1]Data!Q75</f>
        <v>0</v>
      </c>
      <c r="R75" s="8">
        <f>[1]Data!R75</f>
        <v>0</v>
      </c>
      <c r="S75" s="8">
        <f>[1]Data!S75</f>
        <v>0</v>
      </c>
      <c r="T75">
        <f t="shared" si="5"/>
        <v>0.41176470588235298</v>
      </c>
      <c r="U75">
        <f t="shared" si="6"/>
        <v>0</v>
      </c>
      <c r="V75" s="4" t="str">
        <f t="shared" si="7"/>
        <v>0</v>
      </c>
      <c r="W75" s="4" t="str">
        <f t="shared" si="8"/>
        <v>3</v>
      </c>
      <c r="X75" s="4" t="str">
        <f t="shared" si="9"/>
        <v>0CVCTE3</v>
      </c>
      <c r="Y75">
        <f>VLOOKUP(X75,Sheet1!$J$5:$K$121,2,FALSE)</f>
        <v>0</v>
      </c>
    </row>
    <row r="76" spans="1:25" x14ac:dyDescent="0.25">
      <c r="A76" s="8">
        <f>[1]Data!A76</f>
        <v>405002</v>
      </c>
      <c r="B76" s="8">
        <f>[1]Data!B76</f>
        <v>3</v>
      </c>
      <c r="C76" s="8">
        <f>[1]Data!C76</f>
        <v>0</v>
      </c>
      <c r="D76" s="8">
        <f>[1]Data!D76</f>
        <v>1</v>
      </c>
      <c r="E76" s="8" t="str">
        <f>[1]Data!E76</f>
        <v>CVCTE</v>
      </c>
      <c r="F76" s="8" t="str">
        <f>[1]Data!F76</f>
        <v>Baldwin Park</v>
      </c>
      <c r="G76" s="8">
        <f>[1]Data!G76</f>
        <v>0</v>
      </c>
      <c r="H76" s="8">
        <f>[1]Data!H76</f>
        <v>0</v>
      </c>
      <c r="I76" s="8">
        <f>[1]Data!I76</f>
        <v>15.186999999999999</v>
      </c>
      <c r="J76" s="8">
        <f>[1]Data!J76</f>
        <v>9.6679308099999997</v>
      </c>
      <c r="K76" s="8">
        <f>[1]Data!K76</f>
        <v>14.66793081</v>
      </c>
      <c r="L76" s="8">
        <f>[1]Data!L76</f>
        <v>0.519675915816876</v>
      </c>
      <c r="M76" s="8">
        <f>[1]Data!M76</f>
        <v>15.187606725816901</v>
      </c>
      <c r="N76" s="8">
        <f>[1]Data!N76</f>
        <v>0.41176470588235298</v>
      </c>
      <c r="O76" s="8">
        <f>[1]Data!O76</f>
        <v>0</v>
      </c>
      <c r="P76" s="8">
        <f>[1]Data!P76</f>
        <v>1</v>
      </c>
      <c r="Q76" s="8">
        <f>[1]Data!Q76</f>
        <v>0</v>
      </c>
      <c r="R76" s="8">
        <f>[1]Data!R76</f>
        <v>0</v>
      </c>
      <c r="S76" s="8">
        <f>[1]Data!S76</f>
        <v>0</v>
      </c>
      <c r="T76">
        <f t="shared" si="5"/>
        <v>0.41176470588235298</v>
      </c>
      <c r="U76">
        <f t="shared" si="6"/>
        <v>0</v>
      </c>
      <c r="V76" s="4" t="str">
        <f t="shared" si="7"/>
        <v>0</v>
      </c>
      <c r="W76" s="4" t="str">
        <f t="shared" si="8"/>
        <v>3</v>
      </c>
      <c r="X76" s="4" t="str">
        <f t="shared" si="9"/>
        <v>0CVCTE3</v>
      </c>
      <c r="Y76">
        <f>VLOOKUP(X76,Sheet1!$J$5:$K$121,2,FALSE)</f>
        <v>0</v>
      </c>
    </row>
    <row r="77" spans="1:25" x14ac:dyDescent="0.25">
      <c r="A77" s="8">
        <f>[1]Data!A77</f>
        <v>433101</v>
      </c>
      <c r="B77" s="8">
        <f>[1]Data!B77</f>
        <v>3</v>
      </c>
      <c r="C77" s="8">
        <f>[1]Data!C77</f>
        <v>0</v>
      </c>
      <c r="D77" s="8">
        <f>[1]Data!D77</f>
        <v>1</v>
      </c>
      <c r="E77" s="8" t="str">
        <f>[1]Data!E77</f>
        <v>CVCTE</v>
      </c>
      <c r="F77" s="8" t="str">
        <f>[1]Data!F77</f>
        <v>El Monte</v>
      </c>
      <c r="G77" s="8">
        <f>[1]Data!G77</f>
        <v>1</v>
      </c>
      <c r="H77" s="8">
        <f>[1]Data!H77</f>
        <v>1</v>
      </c>
      <c r="I77" s="8">
        <f>[1]Data!I77</f>
        <v>2</v>
      </c>
      <c r="J77" s="8">
        <f>[1]Data!J77</f>
        <v>0</v>
      </c>
      <c r="K77" s="8">
        <f>[1]Data!K77</f>
        <v>2</v>
      </c>
      <c r="L77" s="8">
        <f>[1]Data!L77</f>
        <v>0</v>
      </c>
      <c r="M77" s="8">
        <f>[1]Data!M77</f>
        <v>2</v>
      </c>
      <c r="N77" s="8">
        <f>[1]Data!N77</f>
        <v>0.41176470588235298</v>
      </c>
      <c r="O77" s="8">
        <f>[1]Data!O77</f>
        <v>2.4285714285714302</v>
      </c>
      <c r="P77" s="8">
        <f>[1]Data!P77</f>
        <v>1</v>
      </c>
      <c r="Q77" s="8">
        <f>[1]Data!Q77</f>
        <v>0</v>
      </c>
      <c r="R77" s="8">
        <f>[1]Data!R77</f>
        <v>0</v>
      </c>
      <c r="S77" s="8">
        <f>[1]Data!S77</f>
        <v>0</v>
      </c>
      <c r="T77">
        <f t="shared" si="5"/>
        <v>0.41176470588235298</v>
      </c>
      <c r="U77">
        <f t="shared" si="6"/>
        <v>2.4285714285714284</v>
      </c>
      <c r="V77" s="4" t="str">
        <f t="shared" si="7"/>
        <v>0</v>
      </c>
      <c r="W77" s="4" t="str">
        <f t="shared" si="8"/>
        <v>3</v>
      </c>
      <c r="X77" s="4" t="str">
        <f t="shared" si="9"/>
        <v>0CVCTE3</v>
      </c>
      <c r="Y77">
        <f>VLOOKUP(X77,Sheet1!$J$5:$K$121,2,FALSE)</f>
        <v>0</v>
      </c>
    </row>
    <row r="78" spans="1:25" x14ac:dyDescent="0.25">
      <c r="A78" s="8">
        <f>[1]Data!A78</f>
        <v>401704</v>
      </c>
      <c r="B78" s="8">
        <f>[1]Data!B78</f>
        <v>3</v>
      </c>
      <c r="C78" s="8">
        <f>[1]Data!C78</f>
        <v>0</v>
      </c>
      <c r="D78" s="8">
        <f>[1]Data!D78</f>
        <v>1</v>
      </c>
      <c r="E78" s="8" t="str">
        <f>[1]Data!E78</f>
        <v>CVCTE</v>
      </c>
      <c r="F78" s="8" t="str">
        <f>[1]Data!F78</f>
        <v>Pomona</v>
      </c>
      <c r="G78" s="8">
        <f>[1]Data!G78</f>
        <v>1</v>
      </c>
      <c r="H78" s="8">
        <f>[1]Data!H78</f>
        <v>1</v>
      </c>
      <c r="I78" s="8">
        <f>[1]Data!I78</f>
        <v>11.589</v>
      </c>
      <c r="J78" s="8">
        <f>[1]Data!J78</f>
        <v>7.1397280600000004</v>
      </c>
      <c r="K78" s="8">
        <f>[1]Data!K78</f>
        <v>11.139728059999999</v>
      </c>
      <c r="L78" s="8">
        <f>[1]Data!L78</f>
        <v>0.448782719192101</v>
      </c>
      <c r="M78" s="8">
        <f>[1]Data!M78</f>
        <v>11.5885107791921</v>
      </c>
      <c r="N78" s="8">
        <f>[1]Data!N78</f>
        <v>0.41176470588235298</v>
      </c>
      <c r="O78" s="8">
        <f>[1]Data!O78</f>
        <v>2.4285714285714302</v>
      </c>
      <c r="P78" s="8">
        <f>[1]Data!P78</f>
        <v>1</v>
      </c>
      <c r="Q78" s="8">
        <f>[1]Data!Q78</f>
        <v>0</v>
      </c>
      <c r="R78" s="8">
        <f>[1]Data!R78</f>
        <v>0</v>
      </c>
      <c r="S78" s="8">
        <f>[1]Data!S78</f>
        <v>0</v>
      </c>
      <c r="T78">
        <f t="shared" si="5"/>
        <v>0.41176470588235298</v>
      </c>
      <c r="U78">
        <f t="shared" si="6"/>
        <v>2.4285714285714284</v>
      </c>
      <c r="V78" s="4" t="str">
        <f t="shared" si="7"/>
        <v>0</v>
      </c>
      <c r="W78" s="4" t="str">
        <f t="shared" si="8"/>
        <v>3</v>
      </c>
      <c r="X78" s="4" t="str">
        <f t="shared" si="9"/>
        <v>0CVCTE3</v>
      </c>
      <c r="Y78">
        <f>VLOOKUP(X78,Sheet1!$J$5:$K$121,2,FALSE)</f>
        <v>0</v>
      </c>
    </row>
    <row r="79" spans="1:25" x14ac:dyDescent="0.25">
      <c r="A79" s="8">
        <f>[1]Data!A79</f>
        <v>433601</v>
      </c>
      <c r="B79" s="8">
        <f>[1]Data!B79</f>
        <v>3</v>
      </c>
      <c r="C79" s="8">
        <f>[1]Data!C79</f>
        <v>0</v>
      </c>
      <c r="D79" s="8">
        <f>[1]Data!D79</f>
        <v>1</v>
      </c>
      <c r="E79" s="8" t="str">
        <f>[1]Data!E79</f>
        <v>CVCTE</v>
      </c>
      <c r="F79" s="8" t="str">
        <f>[1]Data!F79</f>
        <v>Rosemead</v>
      </c>
      <c r="G79" s="8">
        <f>[1]Data!G79</f>
        <v>0</v>
      </c>
      <c r="H79" s="8">
        <f>[1]Data!H79</f>
        <v>0</v>
      </c>
      <c r="I79" s="8">
        <f>[1]Data!I79</f>
        <v>5.5540000000000003</v>
      </c>
      <c r="J79" s="8">
        <f>[1]Data!J79</f>
        <v>5.4910515000000002</v>
      </c>
      <c r="K79" s="8">
        <f>[1]Data!K79</f>
        <v>5.4910515000000002</v>
      </c>
      <c r="L79" s="8">
        <f>[1]Data!L79</f>
        <v>6.2742575924596006E-2</v>
      </c>
      <c r="M79" s="8">
        <f>[1]Data!M79</f>
        <v>5.5537940759245998</v>
      </c>
      <c r="N79" s="8">
        <f>[1]Data!N79</f>
        <v>0.41176470588235298</v>
      </c>
      <c r="O79" s="8">
        <f>[1]Data!O79</f>
        <v>0</v>
      </c>
      <c r="P79" s="8">
        <f>[1]Data!P79</f>
        <v>1</v>
      </c>
      <c r="Q79" s="8">
        <f>[1]Data!Q79</f>
        <v>0</v>
      </c>
      <c r="R79" s="8">
        <f>[1]Data!R79</f>
        <v>0</v>
      </c>
      <c r="S79" s="8">
        <f>[1]Data!S79</f>
        <v>0</v>
      </c>
      <c r="T79">
        <f t="shared" si="5"/>
        <v>0.41176470588235298</v>
      </c>
      <c r="U79">
        <f t="shared" si="6"/>
        <v>0</v>
      </c>
      <c r="V79" s="4" t="str">
        <f t="shared" si="7"/>
        <v>0</v>
      </c>
      <c r="W79" s="4" t="str">
        <f t="shared" si="8"/>
        <v>3</v>
      </c>
      <c r="X79" s="4" t="str">
        <f t="shared" si="9"/>
        <v>0CVCTE3</v>
      </c>
      <c r="Y79">
        <f>VLOOKUP(X79,Sheet1!$J$5:$K$121,2,FALSE)</f>
        <v>0</v>
      </c>
    </row>
    <row r="80" spans="1:25" x14ac:dyDescent="0.25">
      <c r="A80" s="8">
        <f>[1]Data!A80</f>
        <v>432801</v>
      </c>
      <c r="B80" s="8">
        <f>[1]Data!B80</f>
        <v>3</v>
      </c>
      <c r="C80" s="8">
        <f>[1]Data!C80</f>
        <v>0</v>
      </c>
      <c r="D80" s="8">
        <f>[1]Data!D80</f>
        <v>1</v>
      </c>
      <c r="E80" s="8" t="str">
        <f>[1]Data!E80</f>
        <v>CVCTE</v>
      </c>
      <c r="F80" s="8" t="str">
        <f>[1]Data!F80</f>
        <v>El Monte</v>
      </c>
      <c r="G80" s="8">
        <f>[1]Data!G80</f>
        <v>1</v>
      </c>
      <c r="H80" s="8">
        <f>[1]Data!H80</f>
        <v>1</v>
      </c>
      <c r="I80" s="8">
        <f>[1]Data!I80</f>
        <v>50.546999999999997</v>
      </c>
      <c r="J80" s="8">
        <f>[1]Data!J80</f>
        <v>25.5858293</v>
      </c>
      <c r="K80" s="8">
        <f>[1]Data!K80</f>
        <v>48.5858293</v>
      </c>
      <c r="L80" s="8">
        <f>[1]Data!L80</f>
        <v>1.9603408094614001</v>
      </c>
      <c r="M80" s="8">
        <f>[1]Data!M80</f>
        <v>50.5461701094614</v>
      </c>
      <c r="N80" s="8">
        <f>[1]Data!N80</f>
        <v>0.41176470588235298</v>
      </c>
      <c r="O80" s="8">
        <f>[1]Data!O80</f>
        <v>2.4285714285714302</v>
      </c>
      <c r="P80" s="8">
        <f>[1]Data!P80</f>
        <v>1</v>
      </c>
      <c r="Q80" s="8">
        <f>[1]Data!Q80</f>
        <v>0</v>
      </c>
      <c r="R80" s="8">
        <f>[1]Data!R80</f>
        <v>0</v>
      </c>
      <c r="S80" s="8">
        <f>[1]Data!S80</f>
        <v>0</v>
      </c>
      <c r="T80">
        <f t="shared" si="5"/>
        <v>0.41176470588235298</v>
      </c>
      <c r="U80">
        <f t="shared" si="6"/>
        <v>2.4285714285714284</v>
      </c>
      <c r="V80" s="4" t="str">
        <f t="shared" si="7"/>
        <v>0</v>
      </c>
      <c r="W80" s="4" t="str">
        <f t="shared" si="8"/>
        <v>3</v>
      </c>
      <c r="X80" s="4" t="str">
        <f t="shared" si="9"/>
        <v>0CVCTE3</v>
      </c>
      <c r="Y80">
        <f>VLOOKUP(X80,Sheet1!$J$5:$K$121,2,FALSE)</f>
        <v>0</v>
      </c>
    </row>
    <row r="81" spans="1:25" x14ac:dyDescent="0.25">
      <c r="A81" s="8">
        <f>[1]Data!A81</f>
        <v>401800</v>
      </c>
      <c r="B81" s="8">
        <f>[1]Data!B81</f>
        <v>3</v>
      </c>
      <c r="C81" s="8">
        <f>[1]Data!C81</f>
        <v>0</v>
      </c>
      <c r="D81" s="8">
        <f>[1]Data!D81</f>
        <v>1</v>
      </c>
      <c r="E81" s="8" t="str">
        <f>[1]Data!E81</f>
        <v>CVCTE</v>
      </c>
      <c r="F81" s="8" t="str">
        <f>[1]Data!F81</f>
        <v>Claremont</v>
      </c>
      <c r="G81" s="8">
        <f>[1]Data!G81</f>
        <v>0</v>
      </c>
      <c r="H81" s="8">
        <f>[1]Data!H81</f>
        <v>0</v>
      </c>
      <c r="I81" s="8">
        <f>[1]Data!I81</f>
        <v>2</v>
      </c>
      <c r="J81" s="8">
        <f>[1]Data!J81</f>
        <v>0</v>
      </c>
      <c r="K81" s="8">
        <f>[1]Data!K81</f>
        <v>2</v>
      </c>
      <c r="L81" s="8">
        <f>[1]Data!L81</f>
        <v>0</v>
      </c>
      <c r="M81" s="8">
        <f>[1]Data!M81</f>
        <v>2</v>
      </c>
      <c r="N81" s="8">
        <f>[1]Data!N81</f>
        <v>0.41176470588235298</v>
      </c>
      <c r="O81" s="8">
        <f>[1]Data!O81</f>
        <v>0</v>
      </c>
      <c r="P81" s="8">
        <f>[1]Data!P81</f>
        <v>1</v>
      </c>
      <c r="Q81" s="8">
        <f>[1]Data!Q81</f>
        <v>0</v>
      </c>
      <c r="R81" s="8">
        <f>[1]Data!R81</f>
        <v>0</v>
      </c>
      <c r="S81" s="8">
        <f>[1]Data!S81</f>
        <v>0</v>
      </c>
      <c r="T81">
        <f t="shared" si="5"/>
        <v>0.41176470588235298</v>
      </c>
      <c r="U81">
        <f t="shared" si="6"/>
        <v>0</v>
      </c>
      <c r="V81" s="4" t="str">
        <f t="shared" si="7"/>
        <v>0</v>
      </c>
      <c r="W81" s="4" t="str">
        <f t="shared" si="8"/>
        <v>3</v>
      </c>
      <c r="X81" s="4" t="str">
        <f t="shared" si="9"/>
        <v>0CVCTE3</v>
      </c>
      <c r="Y81">
        <f>VLOOKUP(X81,Sheet1!$J$5:$K$121,2,FALSE)</f>
        <v>0</v>
      </c>
    </row>
    <row r="82" spans="1:25" x14ac:dyDescent="0.25">
      <c r="A82" s="8">
        <f>[1]Data!A82</f>
        <v>406902</v>
      </c>
      <c r="B82" s="8">
        <f>[1]Data!B82</f>
        <v>3</v>
      </c>
      <c r="C82" s="8">
        <f>[1]Data!C82</f>
        <v>0</v>
      </c>
      <c r="D82" s="8">
        <f>[1]Data!D82</f>
        <v>1</v>
      </c>
      <c r="E82" s="8" t="str">
        <f>[1]Data!E82</f>
        <v>CVCTE</v>
      </c>
      <c r="F82" s="8" t="str">
        <f>[1]Data!F82</f>
        <v>West Puente Valley</v>
      </c>
      <c r="G82" s="8">
        <f>[1]Data!G82</f>
        <v>0</v>
      </c>
      <c r="H82" s="8">
        <f>[1]Data!H82</f>
        <v>0</v>
      </c>
      <c r="I82" s="8">
        <f>[1]Data!I82</f>
        <v>8.093</v>
      </c>
      <c r="J82" s="8">
        <f>[1]Data!J82</f>
        <v>7.6842311499999996</v>
      </c>
      <c r="K82" s="8">
        <f>[1]Data!K82</f>
        <v>7.6842311499999996</v>
      </c>
      <c r="L82" s="8">
        <f>[1]Data!L82</f>
        <v>0.40850331443447002</v>
      </c>
      <c r="M82" s="8">
        <f>[1]Data!M82</f>
        <v>8.0927344644344696</v>
      </c>
      <c r="N82" s="8">
        <f>[1]Data!N82</f>
        <v>0.41176470588235298</v>
      </c>
      <c r="O82" s="8">
        <f>[1]Data!O82</f>
        <v>0</v>
      </c>
      <c r="P82" s="8">
        <f>[1]Data!P82</f>
        <v>1</v>
      </c>
      <c r="Q82" s="8">
        <f>[1]Data!Q82</f>
        <v>0</v>
      </c>
      <c r="R82" s="8">
        <f>[1]Data!R82</f>
        <v>0</v>
      </c>
      <c r="S82" s="8">
        <f>[1]Data!S82</f>
        <v>0</v>
      </c>
      <c r="T82">
        <f t="shared" si="5"/>
        <v>0.41176470588235298</v>
      </c>
      <c r="U82">
        <f t="shared" si="6"/>
        <v>0</v>
      </c>
      <c r="V82" s="4" t="str">
        <f t="shared" si="7"/>
        <v>0</v>
      </c>
      <c r="W82" s="4" t="str">
        <f t="shared" si="8"/>
        <v>3</v>
      </c>
      <c r="X82" s="4" t="str">
        <f t="shared" si="9"/>
        <v>0CVCTE3</v>
      </c>
      <c r="Y82">
        <f>VLOOKUP(X82,Sheet1!$J$5:$K$121,2,FALSE)</f>
        <v>0</v>
      </c>
    </row>
    <row r="83" spans="1:25" x14ac:dyDescent="0.25">
      <c r="A83" s="8">
        <f>[1]Data!A83</f>
        <v>480302</v>
      </c>
      <c r="B83" s="8">
        <f>[1]Data!B83</f>
        <v>3</v>
      </c>
      <c r="C83" s="8">
        <f>[1]Data!C83</f>
        <v>0</v>
      </c>
      <c r="D83" s="8">
        <f>[1]Data!D83</f>
        <v>5</v>
      </c>
      <c r="E83" s="8" t="str">
        <f>[1]Data!E83</f>
        <v>CVCTE</v>
      </c>
      <c r="F83" s="8" t="str">
        <f>[1]Data!F83</f>
        <v>Alhambra</v>
      </c>
      <c r="G83" s="8">
        <f>[1]Data!G83</f>
        <v>0</v>
      </c>
      <c r="H83" s="8">
        <f>[1]Data!H83</f>
        <v>0</v>
      </c>
      <c r="I83" s="8">
        <f>[1]Data!I83</f>
        <v>7.6589999999999998</v>
      </c>
      <c r="J83" s="8">
        <f>[1]Data!J83</f>
        <v>5.5428920499999998</v>
      </c>
      <c r="K83" s="8">
        <f>[1]Data!K83</f>
        <v>7.5428920499999998</v>
      </c>
      <c r="L83" s="8">
        <f>[1]Data!L83</f>
        <v>0.116236154452424</v>
      </c>
      <c r="M83" s="8">
        <f>[1]Data!M83</f>
        <v>7.6591282044524203</v>
      </c>
      <c r="N83" s="8">
        <f>[1]Data!N83</f>
        <v>0.41176470588235298</v>
      </c>
      <c r="O83" s="8">
        <f>[1]Data!O83</f>
        <v>0</v>
      </c>
      <c r="P83" s="8">
        <f>[1]Data!P83</f>
        <v>1</v>
      </c>
      <c r="Q83" s="8">
        <f>[1]Data!Q83</f>
        <v>0</v>
      </c>
      <c r="R83" s="8">
        <f>[1]Data!R83</f>
        <v>0</v>
      </c>
      <c r="S83" s="8">
        <f>[1]Data!S83</f>
        <v>0</v>
      </c>
      <c r="T83">
        <f t="shared" si="5"/>
        <v>0.41176470588235298</v>
      </c>
      <c r="U83">
        <f t="shared" si="6"/>
        <v>0</v>
      </c>
      <c r="V83" s="4" t="str">
        <f t="shared" si="7"/>
        <v>0</v>
      </c>
      <c r="W83" s="4" t="str">
        <f t="shared" si="8"/>
        <v>3</v>
      </c>
      <c r="X83" s="4" t="str">
        <f t="shared" si="9"/>
        <v>0CVCTE3</v>
      </c>
      <c r="Y83">
        <f>VLOOKUP(X83,Sheet1!$J$5:$K$121,2,FALSE)</f>
        <v>0</v>
      </c>
    </row>
    <row r="84" spans="1:25" x14ac:dyDescent="0.25">
      <c r="A84" s="8">
        <f>[1]Data!A84</f>
        <v>404801</v>
      </c>
      <c r="B84" s="8">
        <f>[1]Data!B84</f>
        <v>3</v>
      </c>
      <c r="C84" s="8">
        <f>[1]Data!C84</f>
        <v>0</v>
      </c>
      <c r="D84" s="8">
        <f>[1]Data!D84</f>
        <v>1</v>
      </c>
      <c r="E84" s="8" t="str">
        <f>[1]Data!E84</f>
        <v>CVCTE</v>
      </c>
      <c r="F84" s="8" t="str">
        <f>[1]Data!F84</f>
        <v>Baldwin Park</v>
      </c>
      <c r="G84" s="8">
        <f>[1]Data!G84</f>
        <v>0</v>
      </c>
      <c r="H84" s="8">
        <f>[1]Data!H84</f>
        <v>0</v>
      </c>
      <c r="I84" s="8">
        <f>[1]Data!I84</f>
        <v>6.6120000000000001</v>
      </c>
      <c r="J84" s="8">
        <f>[1]Data!J84</f>
        <v>5.3277761699999999</v>
      </c>
      <c r="K84" s="8">
        <f>[1]Data!K84</f>
        <v>6.3277761699999999</v>
      </c>
      <c r="L84" s="8">
        <f>[1]Data!L84</f>
        <v>0.28324992960502698</v>
      </c>
      <c r="M84" s="8">
        <f>[1]Data!M84</f>
        <v>6.6110260996050298</v>
      </c>
      <c r="N84" s="8">
        <f>[1]Data!N84</f>
        <v>0.41176470588235298</v>
      </c>
      <c r="O84" s="8">
        <f>[1]Data!O84</f>
        <v>0</v>
      </c>
      <c r="P84" s="8">
        <f>[1]Data!P84</f>
        <v>1</v>
      </c>
      <c r="Q84" s="8">
        <f>[1]Data!Q84</f>
        <v>0</v>
      </c>
      <c r="R84" s="8">
        <f>[1]Data!R84</f>
        <v>0</v>
      </c>
      <c r="S84" s="8">
        <f>[1]Data!S84</f>
        <v>0</v>
      </c>
      <c r="T84">
        <f t="shared" si="5"/>
        <v>0.41176470588235298</v>
      </c>
      <c r="U84">
        <f t="shared" si="6"/>
        <v>0</v>
      </c>
      <c r="V84" s="4" t="str">
        <f t="shared" si="7"/>
        <v>0</v>
      </c>
      <c r="W84" s="4" t="str">
        <f t="shared" si="8"/>
        <v>3</v>
      </c>
      <c r="X84" s="4" t="str">
        <f t="shared" si="9"/>
        <v>0CVCTE3</v>
      </c>
      <c r="Y84">
        <f>VLOOKUP(X84,Sheet1!$J$5:$K$121,2,FALSE)</f>
        <v>0</v>
      </c>
    </row>
    <row r="85" spans="1:25" x14ac:dyDescent="0.25">
      <c r="A85" s="8">
        <f>[1]Data!A85</f>
        <v>404202</v>
      </c>
      <c r="B85" s="8">
        <f>[1]Data!B85</f>
        <v>3</v>
      </c>
      <c r="C85" s="8">
        <f>[1]Data!C85</f>
        <v>0</v>
      </c>
      <c r="D85" s="8">
        <f>[1]Data!D85</f>
        <v>1</v>
      </c>
      <c r="E85" s="8" t="str">
        <f>[1]Data!E85</f>
        <v>CVCTE</v>
      </c>
      <c r="F85" s="8" t="str">
        <f>[1]Data!F85</f>
        <v>Azusa</v>
      </c>
      <c r="G85" s="8">
        <f>[1]Data!G85</f>
        <v>0</v>
      </c>
      <c r="H85" s="8">
        <f>[1]Data!H85</f>
        <v>0</v>
      </c>
      <c r="I85" s="8">
        <f>[1]Data!I85</f>
        <v>16.623000000000001</v>
      </c>
      <c r="J85" s="8">
        <f>[1]Data!J85</f>
        <v>8.1273495899999997</v>
      </c>
      <c r="K85" s="8">
        <f>[1]Data!K85</f>
        <v>16.127349590000001</v>
      </c>
      <c r="L85" s="8">
        <f>[1]Data!L85</f>
        <v>0.49560666258527802</v>
      </c>
      <c r="M85" s="8">
        <f>[1]Data!M85</f>
        <v>16.622956252585301</v>
      </c>
      <c r="N85" s="8">
        <f>[1]Data!N85</f>
        <v>0.41176470588235298</v>
      </c>
      <c r="O85" s="8">
        <f>[1]Data!O85</f>
        <v>0</v>
      </c>
      <c r="P85" s="8">
        <f>[1]Data!P85</f>
        <v>1</v>
      </c>
      <c r="Q85" s="8">
        <f>[1]Data!Q85</f>
        <v>0</v>
      </c>
      <c r="R85" s="8">
        <f>[1]Data!R85</f>
        <v>0</v>
      </c>
      <c r="S85" s="8">
        <f>[1]Data!S85</f>
        <v>0</v>
      </c>
      <c r="T85">
        <f t="shared" si="5"/>
        <v>0.41176470588235298</v>
      </c>
      <c r="U85">
        <f t="shared" si="6"/>
        <v>0</v>
      </c>
      <c r="V85" s="4" t="str">
        <f t="shared" si="7"/>
        <v>0</v>
      </c>
      <c r="W85" s="4" t="str">
        <f t="shared" si="8"/>
        <v>3</v>
      </c>
      <c r="X85" s="4" t="str">
        <f t="shared" si="9"/>
        <v>0CVCTE3</v>
      </c>
      <c r="Y85">
        <f>VLOOKUP(X85,Sheet1!$J$5:$K$121,2,FALSE)</f>
        <v>0</v>
      </c>
    </row>
    <row r="86" spans="1:25" x14ac:dyDescent="0.25">
      <c r="A86" s="8">
        <f>[1]Data!A86</f>
        <v>404600</v>
      </c>
      <c r="B86" s="8">
        <f>[1]Data!B86</f>
        <v>3</v>
      </c>
      <c r="C86" s="8">
        <f>[1]Data!C86</f>
        <v>0</v>
      </c>
      <c r="D86" s="8">
        <f>[1]Data!D86</f>
        <v>1</v>
      </c>
      <c r="E86" s="8" t="str">
        <f>[1]Data!E86</f>
        <v>CVCTE</v>
      </c>
      <c r="F86" s="8" t="str">
        <f>[1]Data!F86</f>
        <v>Irwindale</v>
      </c>
      <c r="G86" s="8">
        <f>[1]Data!G86</f>
        <v>1</v>
      </c>
      <c r="H86" s="8">
        <f>[1]Data!H86</f>
        <v>1</v>
      </c>
      <c r="I86" s="8">
        <f>[1]Data!I86</f>
        <v>49.503</v>
      </c>
      <c r="J86" s="8">
        <f>[1]Data!J86</f>
        <v>34.520061349999999</v>
      </c>
      <c r="K86" s="8">
        <f>[1]Data!K86</f>
        <v>47.520061349999999</v>
      </c>
      <c r="L86" s="8">
        <f>[1]Data!L86</f>
        <v>1.9820305016158</v>
      </c>
      <c r="M86" s="8">
        <f>[1]Data!M86</f>
        <v>49.502091851615802</v>
      </c>
      <c r="N86" s="8">
        <f>[1]Data!N86</f>
        <v>0.41176470588235298</v>
      </c>
      <c r="O86" s="8">
        <f>[1]Data!O86</f>
        <v>2.4285714285714302</v>
      </c>
      <c r="P86" s="8">
        <f>[1]Data!P86</f>
        <v>1</v>
      </c>
      <c r="Q86" s="8">
        <f>[1]Data!Q86</f>
        <v>0</v>
      </c>
      <c r="R86" s="8">
        <f>[1]Data!R86</f>
        <v>0</v>
      </c>
      <c r="S86" s="8">
        <f>[1]Data!S86</f>
        <v>0</v>
      </c>
      <c r="T86">
        <f t="shared" si="5"/>
        <v>0.41176470588235298</v>
      </c>
      <c r="U86">
        <f t="shared" si="6"/>
        <v>2.4285714285714284</v>
      </c>
      <c r="V86" s="4" t="str">
        <f t="shared" si="7"/>
        <v>0</v>
      </c>
      <c r="W86" s="4" t="str">
        <f t="shared" si="8"/>
        <v>3</v>
      </c>
      <c r="X86" s="4" t="str">
        <f t="shared" si="9"/>
        <v>0CVCTE3</v>
      </c>
      <c r="Y86">
        <f>VLOOKUP(X86,Sheet1!$J$5:$K$121,2,FALSE)</f>
        <v>0</v>
      </c>
    </row>
    <row r="87" spans="1:25" x14ac:dyDescent="0.25">
      <c r="A87" s="8">
        <f>[1]Data!A87</f>
        <v>431001</v>
      </c>
      <c r="B87" s="8">
        <f>[1]Data!B87</f>
        <v>3</v>
      </c>
      <c r="C87" s="8">
        <f>[1]Data!C87</f>
        <v>0</v>
      </c>
      <c r="D87" s="8">
        <f>[1]Data!D87</f>
        <v>5</v>
      </c>
      <c r="E87" s="8" t="str">
        <f>[1]Data!E87</f>
        <v>CVCTE</v>
      </c>
      <c r="F87" s="8" t="str">
        <f>[1]Data!F87</f>
        <v>Monrovia</v>
      </c>
      <c r="G87" s="8">
        <f>[1]Data!G87</f>
        <v>0</v>
      </c>
      <c r="H87" s="8">
        <f>[1]Data!H87</f>
        <v>0</v>
      </c>
      <c r="I87" s="8">
        <f>[1]Data!I87</f>
        <v>12.462999999999999</v>
      </c>
      <c r="J87" s="8">
        <f>[1]Data!J87</f>
        <v>9.1375360499999996</v>
      </c>
      <c r="K87" s="8">
        <f>[1]Data!K87</f>
        <v>12.13753605</v>
      </c>
      <c r="L87" s="8">
        <f>[1]Data!L87</f>
        <v>0.32450057377019698</v>
      </c>
      <c r="M87" s="8">
        <f>[1]Data!M87</f>
        <v>12.462036623770199</v>
      </c>
      <c r="N87" s="8">
        <f>[1]Data!N87</f>
        <v>0.41176470588235298</v>
      </c>
      <c r="O87" s="8">
        <f>[1]Data!O87</f>
        <v>0</v>
      </c>
      <c r="P87" s="8">
        <f>[1]Data!P87</f>
        <v>1</v>
      </c>
      <c r="Q87" s="8">
        <f>[1]Data!Q87</f>
        <v>0</v>
      </c>
      <c r="R87" s="8">
        <f>[1]Data!R87</f>
        <v>0</v>
      </c>
      <c r="S87" s="8">
        <f>[1]Data!S87</f>
        <v>0</v>
      </c>
      <c r="T87">
        <f t="shared" si="5"/>
        <v>0.41176470588235298</v>
      </c>
      <c r="U87">
        <f t="shared" si="6"/>
        <v>0</v>
      </c>
      <c r="V87" s="4" t="str">
        <f t="shared" si="7"/>
        <v>0</v>
      </c>
      <c r="W87" s="4" t="str">
        <f t="shared" si="8"/>
        <v>3</v>
      </c>
      <c r="X87" s="4" t="str">
        <f t="shared" si="9"/>
        <v>0CVCTE3</v>
      </c>
      <c r="Y87">
        <f>VLOOKUP(X87,Sheet1!$J$5:$K$121,2,FALSE)</f>
        <v>0</v>
      </c>
    </row>
    <row r="88" spans="1:25" x14ac:dyDescent="0.25">
      <c r="A88" s="8">
        <f>[1]Data!A88</f>
        <v>404504</v>
      </c>
      <c r="B88" s="8">
        <f>[1]Data!B88</f>
        <v>3</v>
      </c>
      <c r="C88" s="8">
        <f>[1]Data!C88</f>
        <v>0</v>
      </c>
      <c r="D88" s="8">
        <f>[1]Data!D88</f>
        <v>1</v>
      </c>
      <c r="E88" s="8" t="str">
        <f>[1]Data!E88</f>
        <v>CVCTE</v>
      </c>
      <c r="F88" s="8" t="str">
        <f>[1]Data!F88</f>
        <v>Azusa</v>
      </c>
      <c r="G88" s="8">
        <f>[1]Data!G88</f>
        <v>1</v>
      </c>
      <c r="H88" s="8">
        <f>[1]Data!H88</f>
        <v>1</v>
      </c>
      <c r="I88" s="8">
        <f>[1]Data!I88</f>
        <v>11.211</v>
      </c>
      <c r="J88" s="8">
        <f>[1]Data!J88</f>
        <v>7.8559789200000001</v>
      </c>
      <c r="K88" s="8">
        <f>[1]Data!K88</f>
        <v>10.85597892</v>
      </c>
      <c r="L88" s="8">
        <f>[1]Data!L88</f>
        <v>0.35414312622980199</v>
      </c>
      <c r="M88" s="8">
        <f>[1]Data!M88</f>
        <v>11.210122046229801</v>
      </c>
      <c r="N88" s="8">
        <f>[1]Data!N88</f>
        <v>0.41176470588235298</v>
      </c>
      <c r="O88" s="8">
        <f>[1]Data!O88</f>
        <v>2.4285714285714302</v>
      </c>
      <c r="P88" s="8">
        <f>[1]Data!P88</f>
        <v>1</v>
      </c>
      <c r="Q88" s="8">
        <f>[1]Data!Q88</f>
        <v>0</v>
      </c>
      <c r="R88" s="8">
        <f>[1]Data!R88</f>
        <v>0</v>
      </c>
      <c r="S88" s="8">
        <f>[1]Data!S88</f>
        <v>0</v>
      </c>
      <c r="T88">
        <f t="shared" si="5"/>
        <v>0.41176470588235298</v>
      </c>
      <c r="U88">
        <f t="shared" si="6"/>
        <v>2.4285714285714284</v>
      </c>
      <c r="V88" s="4" t="str">
        <f t="shared" si="7"/>
        <v>0</v>
      </c>
      <c r="W88" s="4" t="str">
        <f t="shared" si="8"/>
        <v>3</v>
      </c>
      <c r="X88" s="4" t="str">
        <f t="shared" si="9"/>
        <v>0CVCTE3</v>
      </c>
      <c r="Y88">
        <f>VLOOKUP(X88,Sheet1!$J$5:$K$121,2,FALSE)</f>
        <v>0</v>
      </c>
    </row>
    <row r="89" spans="1:25" x14ac:dyDescent="0.25">
      <c r="A89" s="8">
        <f>[1]Data!A89</f>
        <v>460200</v>
      </c>
      <c r="B89" s="8">
        <f>[1]Data!B89</f>
        <v>3</v>
      </c>
      <c r="C89" s="8">
        <f>[1]Data!C89</f>
        <v>0</v>
      </c>
      <c r="D89" s="8">
        <f>[1]Data!D89</f>
        <v>5</v>
      </c>
      <c r="E89" s="8" t="str">
        <f>[1]Data!E89</f>
        <v>CVCTE</v>
      </c>
      <c r="F89" s="8" t="str">
        <f>[1]Data!F89</f>
        <v>Altadena</v>
      </c>
      <c r="G89" s="8">
        <f>[1]Data!G89</f>
        <v>1</v>
      </c>
      <c r="H89" s="8">
        <f>[1]Data!H89</f>
        <v>1</v>
      </c>
      <c r="I89" s="8">
        <f>[1]Data!I89</f>
        <v>7.1970000000000001</v>
      </c>
      <c r="J89" s="8">
        <f>[1]Data!J89</f>
        <v>6.8373200199999999</v>
      </c>
      <c r="K89" s="8">
        <f>[1]Data!K89</f>
        <v>6.8373200199999999</v>
      </c>
      <c r="L89" s="8">
        <f>[1]Data!L89</f>
        <v>0.35910204956912001</v>
      </c>
      <c r="M89" s="8">
        <f>[1]Data!M89</f>
        <v>7.1964220695691203</v>
      </c>
      <c r="N89" s="8">
        <f>[1]Data!N89</f>
        <v>0.41176470588235298</v>
      </c>
      <c r="O89" s="8">
        <f>[1]Data!O89</f>
        <v>2.4285714285714302</v>
      </c>
      <c r="P89" s="8">
        <f>[1]Data!P89</f>
        <v>1</v>
      </c>
      <c r="Q89" s="8">
        <f>[1]Data!Q89</f>
        <v>0</v>
      </c>
      <c r="R89" s="8">
        <f>[1]Data!R89</f>
        <v>0</v>
      </c>
      <c r="S89" s="8">
        <f>[1]Data!S89</f>
        <v>0</v>
      </c>
      <c r="T89">
        <f t="shared" si="5"/>
        <v>0.41176470588235298</v>
      </c>
      <c r="U89">
        <f t="shared" si="6"/>
        <v>2.4285714285714284</v>
      </c>
      <c r="V89" s="4" t="str">
        <f t="shared" si="7"/>
        <v>0</v>
      </c>
      <c r="W89" s="4" t="str">
        <f t="shared" si="8"/>
        <v>3</v>
      </c>
      <c r="X89" s="4" t="str">
        <f t="shared" si="9"/>
        <v>0CVCTE3</v>
      </c>
      <c r="Y89">
        <f>VLOOKUP(X89,Sheet1!$J$5:$K$121,2,FALSE)</f>
        <v>0</v>
      </c>
    </row>
    <row r="90" spans="1:25" x14ac:dyDescent="0.25">
      <c r="A90" s="8">
        <f>[1]Data!A90</f>
        <v>404501</v>
      </c>
      <c r="B90" s="8">
        <f>[1]Data!B90</f>
        <v>3</v>
      </c>
      <c r="C90" s="8">
        <f>[1]Data!C90</f>
        <v>0</v>
      </c>
      <c r="D90" s="8">
        <f>[1]Data!D90</f>
        <v>1</v>
      </c>
      <c r="E90" s="8" t="str">
        <f>[1]Data!E90</f>
        <v>CVCTE</v>
      </c>
      <c r="F90" s="8" t="str">
        <f>[1]Data!F90</f>
        <v>Azusa</v>
      </c>
      <c r="G90" s="8">
        <f>[1]Data!G90</f>
        <v>0</v>
      </c>
      <c r="H90" s="8">
        <f>[1]Data!H90</f>
        <v>0</v>
      </c>
      <c r="I90" s="8">
        <f>[1]Data!I90</f>
        <v>12.988</v>
      </c>
      <c r="J90" s="8">
        <f>[1]Data!J90</f>
        <v>7.6323905999999999</v>
      </c>
      <c r="K90" s="8">
        <f>[1]Data!K90</f>
        <v>12.632390600000001</v>
      </c>
      <c r="L90" s="8">
        <f>[1]Data!L90</f>
        <v>0.35500973590664298</v>
      </c>
      <c r="M90" s="8">
        <f>[1]Data!M90</f>
        <v>12.987400335906599</v>
      </c>
      <c r="N90" s="8">
        <f>[1]Data!N90</f>
        <v>0.41176470588235298</v>
      </c>
      <c r="O90" s="8">
        <f>[1]Data!O90</f>
        <v>0</v>
      </c>
      <c r="P90" s="8">
        <f>[1]Data!P90</f>
        <v>1</v>
      </c>
      <c r="Q90" s="8">
        <f>[1]Data!Q90</f>
        <v>0</v>
      </c>
      <c r="R90" s="8">
        <f>[1]Data!R90</f>
        <v>0</v>
      </c>
      <c r="S90" s="8">
        <f>[1]Data!S90</f>
        <v>0</v>
      </c>
      <c r="T90">
        <f t="shared" si="5"/>
        <v>0.41176470588235298</v>
      </c>
      <c r="U90">
        <f t="shared" si="6"/>
        <v>0</v>
      </c>
      <c r="V90" s="4" t="str">
        <f t="shared" si="7"/>
        <v>0</v>
      </c>
      <c r="W90" s="4" t="str">
        <f t="shared" si="8"/>
        <v>3</v>
      </c>
      <c r="X90" s="4" t="str">
        <f t="shared" si="9"/>
        <v>0CVCTE3</v>
      </c>
      <c r="Y90">
        <f>VLOOKUP(X90,Sheet1!$J$5:$K$121,2,FALSE)</f>
        <v>0</v>
      </c>
    </row>
    <row r="91" spans="1:25" x14ac:dyDescent="0.25">
      <c r="A91" s="8">
        <f>[1]Data!A91</f>
        <v>482401</v>
      </c>
      <c r="B91" s="8">
        <f>[1]Data!B91</f>
        <v>3</v>
      </c>
      <c r="C91" s="8">
        <f>[1]Data!C91</f>
        <v>0</v>
      </c>
      <c r="D91" s="8">
        <f>[1]Data!D91</f>
        <v>1</v>
      </c>
      <c r="E91" s="8" t="str">
        <f>[1]Data!E91</f>
        <v>CVCTE</v>
      </c>
      <c r="F91" s="8" t="str">
        <f>[1]Data!F91</f>
        <v>Rosemead</v>
      </c>
      <c r="G91" s="8">
        <f>[1]Data!G91</f>
        <v>0</v>
      </c>
      <c r="H91" s="8">
        <f>[1]Data!H91</f>
        <v>0</v>
      </c>
      <c r="I91" s="8">
        <f>[1]Data!I91</f>
        <v>17.548999999999999</v>
      </c>
      <c r="J91" s="8">
        <f>[1]Data!J91</f>
        <v>10.03222953</v>
      </c>
      <c r="K91" s="8">
        <f>[1]Data!K91</f>
        <v>17.032229529999999</v>
      </c>
      <c r="L91" s="8">
        <f>[1]Data!L91</f>
        <v>0.51623198466786402</v>
      </c>
      <c r="M91" s="8">
        <f>[1]Data!M91</f>
        <v>17.548461514667899</v>
      </c>
      <c r="N91" s="8">
        <f>[1]Data!N91</f>
        <v>0.41176470588235298</v>
      </c>
      <c r="O91" s="8">
        <f>[1]Data!O91</f>
        <v>0</v>
      </c>
      <c r="P91" s="8">
        <f>[1]Data!P91</f>
        <v>1</v>
      </c>
      <c r="Q91" s="8">
        <f>[1]Data!Q91</f>
        <v>0</v>
      </c>
      <c r="R91" s="8">
        <f>[1]Data!R91</f>
        <v>0</v>
      </c>
      <c r="S91" s="8">
        <f>[1]Data!S91</f>
        <v>0</v>
      </c>
      <c r="T91">
        <f t="shared" si="5"/>
        <v>0.41176470588235298</v>
      </c>
      <c r="U91">
        <f t="shared" si="6"/>
        <v>0</v>
      </c>
      <c r="V91" s="4" t="str">
        <f t="shared" si="7"/>
        <v>0</v>
      </c>
      <c r="W91" s="4" t="str">
        <f t="shared" si="8"/>
        <v>3</v>
      </c>
      <c r="X91" s="4" t="str">
        <f t="shared" si="9"/>
        <v>0CVCTE3</v>
      </c>
      <c r="Y91">
        <f>VLOOKUP(X91,Sheet1!$J$5:$K$121,2,FALSE)</f>
        <v>0</v>
      </c>
    </row>
    <row r="92" spans="1:25" x14ac:dyDescent="0.25">
      <c r="A92" s="8">
        <f>[1]Data!A92</f>
        <v>481202</v>
      </c>
      <c r="B92" s="8">
        <f>[1]Data!B92</f>
        <v>3</v>
      </c>
      <c r="C92" s="8">
        <f>[1]Data!C92</f>
        <v>0</v>
      </c>
      <c r="D92" s="8">
        <f>[1]Data!D92</f>
        <v>5</v>
      </c>
      <c r="E92" s="8" t="str">
        <f>[1]Data!E92</f>
        <v>CVCTE</v>
      </c>
      <c r="F92" s="8" t="str">
        <f>[1]Data!F92</f>
        <v>East San Gabriel</v>
      </c>
      <c r="G92" s="8">
        <f>[1]Data!G92</f>
        <v>0</v>
      </c>
      <c r="H92" s="8">
        <f>[1]Data!H92</f>
        <v>0</v>
      </c>
      <c r="I92" s="8">
        <f>[1]Data!I92</f>
        <v>3.6160000000000001</v>
      </c>
      <c r="J92" s="8">
        <f>[1]Data!J92</f>
        <v>3.4662643399999999</v>
      </c>
      <c r="K92" s="8">
        <f>[1]Data!K92</f>
        <v>3.4662643399999999</v>
      </c>
      <c r="L92" s="8">
        <f>[1]Data!L92</f>
        <v>0.14997102057450601</v>
      </c>
      <c r="M92" s="8">
        <f>[1]Data!M92</f>
        <v>3.6162353605745099</v>
      </c>
      <c r="N92" s="8">
        <f>[1]Data!N92</f>
        <v>0.41176470588235298</v>
      </c>
      <c r="O92" s="8">
        <f>[1]Data!O92</f>
        <v>0</v>
      </c>
      <c r="P92" s="8">
        <f>[1]Data!P92</f>
        <v>1</v>
      </c>
      <c r="Q92" s="8">
        <f>[1]Data!Q92</f>
        <v>0</v>
      </c>
      <c r="R92" s="8">
        <f>[1]Data!R92</f>
        <v>0</v>
      </c>
      <c r="S92" s="8">
        <f>[1]Data!S92</f>
        <v>0</v>
      </c>
      <c r="T92">
        <f t="shared" si="5"/>
        <v>0.41176470588235298</v>
      </c>
      <c r="U92">
        <f t="shared" si="6"/>
        <v>0</v>
      </c>
      <c r="V92" s="4" t="str">
        <f t="shared" si="7"/>
        <v>0</v>
      </c>
      <c r="W92" s="4" t="str">
        <f t="shared" si="8"/>
        <v>3</v>
      </c>
      <c r="X92" s="4" t="str">
        <f t="shared" si="9"/>
        <v>0CVCTE3</v>
      </c>
      <c r="Y92">
        <f>VLOOKUP(X92,Sheet1!$J$5:$K$121,2,FALSE)</f>
        <v>0</v>
      </c>
    </row>
    <row r="93" spans="1:25" x14ac:dyDescent="0.25">
      <c r="A93" s="8">
        <f>[1]Data!A93</f>
        <v>480600</v>
      </c>
      <c r="B93" s="8">
        <f>[1]Data!B93</f>
        <v>3</v>
      </c>
      <c r="C93" s="8">
        <f>[1]Data!C93</f>
        <v>0</v>
      </c>
      <c r="D93" s="8">
        <f>[1]Data!D93</f>
        <v>5</v>
      </c>
      <c r="E93" s="8" t="str">
        <f>[1]Data!E93</f>
        <v>CVCTE</v>
      </c>
      <c r="F93" s="8" t="str">
        <f>[1]Data!F93</f>
        <v>South Pasadena</v>
      </c>
      <c r="G93" s="8">
        <f>[1]Data!G93</f>
        <v>1</v>
      </c>
      <c r="H93" s="8">
        <f>[1]Data!H93</f>
        <v>1</v>
      </c>
      <c r="I93" s="8">
        <f>[1]Data!I93</f>
        <v>9.1809999999999992</v>
      </c>
      <c r="J93" s="8">
        <f>[1]Data!J93</f>
        <v>2.87839314</v>
      </c>
      <c r="K93" s="8">
        <f>[1]Data!K93</f>
        <v>8.87839314</v>
      </c>
      <c r="L93" s="8">
        <f>[1]Data!L93</f>
        <v>0.30290401228007202</v>
      </c>
      <c r="M93" s="8">
        <f>[1]Data!M93</f>
        <v>9.1812971522800702</v>
      </c>
      <c r="N93" s="8">
        <f>[1]Data!N93</f>
        <v>0.41176470588235298</v>
      </c>
      <c r="O93" s="8">
        <f>[1]Data!O93</f>
        <v>2.4285714285714302</v>
      </c>
      <c r="P93" s="8">
        <f>[1]Data!P93</f>
        <v>1</v>
      </c>
      <c r="Q93" s="8">
        <f>[1]Data!Q93</f>
        <v>0</v>
      </c>
      <c r="R93" s="8">
        <f>[1]Data!R93</f>
        <v>0</v>
      </c>
      <c r="S93" s="8">
        <f>[1]Data!S93</f>
        <v>0</v>
      </c>
      <c r="T93">
        <f t="shared" si="5"/>
        <v>0.41176470588235298</v>
      </c>
      <c r="U93">
        <f t="shared" si="6"/>
        <v>2.4285714285714284</v>
      </c>
      <c r="V93" s="4" t="str">
        <f t="shared" si="7"/>
        <v>0</v>
      </c>
      <c r="W93" s="4" t="str">
        <f t="shared" si="8"/>
        <v>3</v>
      </c>
      <c r="X93" s="4" t="str">
        <f t="shared" si="9"/>
        <v>0CVCTE3</v>
      </c>
      <c r="Y93">
        <f>VLOOKUP(X93,Sheet1!$J$5:$K$121,2,FALSE)</f>
        <v>0</v>
      </c>
    </row>
    <row r="94" spans="1:25" x14ac:dyDescent="0.25">
      <c r="A94" s="8">
        <f>[1]Data!A94</f>
        <v>402303</v>
      </c>
      <c r="B94" s="8">
        <f>[1]Data!B94</f>
        <v>3</v>
      </c>
      <c r="C94" s="8">
        <f>[1]Data!C94</f>
        <v>0</v>
      </c>
      <c r="D94" s="8">
        <f>[1]Data!D94</f>
        <v>1</v>
      </c>
      <c r="E94" s="8" t="str">
        <f>[1]Data!E94</f>
        <v>CVCTE</v>
      </c>
      <c r="F94" s="8" t="str">
        <f>[1]Data!F94</f>
        <v>Pomona</v>
      </c>
      <c r="G94" s="8">
        <f>[1]Data!G94</f>
        <v>0</v>
      </c>
      <c r="H94" s="8">
        <f>[1]Data!H94</f>
        <v>0</v>
      </c>
      <c r="I94" s="8">
        <f>[1]Data!I94</f>
        <v>3</v>
      </c>
      <c r="J94" s="8">
        <f>[1]Data!J94</f>
        <v>0</v>
      </c>
      <c r="K94" s="8">
        <f>[1]Data!K94</f>
        <v>3</v>
      </c>
      <c r="L94" s="8">
        <f>[1]Data!L94</f>
        <v>0</v>
      </c>
      <c r="M94" s="8">
        <f>[1]Data!M94</f>
        <v>3</v>
      </c>
      <c r="N94" s="8">
        <f>[1]Data!N94</f>
        <v>0.41176470588235298</v>
      </c>
      <c r="O94" s="8">
        <f>[1]Data!O94</f>
        <v>0</v>
      </c>
      <c r="P94" s="8">
        <f>[1]Data!P94</f>
        <v>1</v>
      </c>
      <c r="Q94" s="8">
        <f>[1]Data!Q94</f>
        <v>0</v>
      </c>
      <c r="R94" s="8">
        <f>[1]Data!R94</f>
        <v>0</v>
      </c>
      <c r="S94" s="8">
        <f>[1]Data!S94</f>
        <v>0</v>
      </c>
      <c r="T94">
        <f t="shared" si="5"/>
        <v>0.41176470588235298</v>
      </c>
      <c r="U94">
        <f t="shared" si="6"/>
        <v>0</v>
      </c>
      <c r="V94" s="4" t="str">
        <f t="shared" si="7"/>
        <v>0</v>
      </c>
      <c r="W94" s="4" t="str">
        <f t="shared" si="8"/>
        <v>3</v>
      </c>
      <c r="X94" s="4" t="str">
        <f t="shared" si="9"/>
        <v>0CVCTE3</v>
      </c>
      <c r="Y94">
        <f>VLOOKUP(X94,Sheet1!$J$5:$K$121,2,FALSE)</f>
        <v>0</v>
      </c>
    </row>
    <row r="95" spans="1:25" x14ac:dyDescent="0.25">
      <c r="A95" s="8">
        <f>[1]Data!A95</f>
        <v>930301</v>
      </c>
      <c r="B95" s="8">
        <f>[1]Data!B95</f>
        <v>3</v>
      </c>
      <c r="C95" s="8">
        <f>[1]Data!C95</f>
        <v>0</v>
      </c>
      <c r="D95" s="8">
        <f>[1]Data!D95</f>
        <v>5</v>
      </c>
      <c r="E95" s="8" t="str">
        <f>[1]Data!E95</f>
        <v>CVCTE</v>
      </c>
      <c r="F95" s="8" t="str">
        <f>[1]Data!F95</f>
        <v>Angeles National Forest</v>
      </c>
      <c r="G95" s="8">
        <f>[1]Data!G95</f>
        <v>1</v>
      </c>
      <c r="H95" s="8">
        <f>[1]Data!H95</f>
        <v>1</v>
      </c>
      <c r="I95" s="8">
        <f>[1]Data!I95</f>
        <v>60.912999999999997</v>
      </c>
      <c r="J95" s="8">
        <f>[1]Data!J95</f>
        <v>33.341466560000001</v>
      </c>
      <c r="K95" s="8">
        <f>[1]Data!K95</f>
        <v>59.341466560000001</v>
      </c>
      <c r="L95" s="8">
        <f>[1]Data!L95</f>
        <v>1.57152495639138</v>
      </c>
      <c r="M95" s="8">
        <f>[1]Data!M95</f>
        <v>60.912991516391401</v>
      </c>
      <c r="N95" s="8">
        <f>[1]Data!N95</f>
        <v>0.41176470588235298</v>
      </c>
      <c r="O95" s="8">
        <f>[1]Data!O95</f>
        <v>2.4285714285714302</v>
      </c>
      <c r="P95" s="8">
        <f>[1]Data!P95</f>
        <v>1</v>
      </c>
      <c r="Q95" s="8">
        <f>[1]Data!Q95</f>
        <v>0</v>
      </c>
      <c r="R95" s="8">
        <f>[1]Data!R95</f>
        <v>0</v>
      </c>
      <c r="S95" s="8">
        <f>[1]Data!S95</f>
        <v>0</v>
      </c>
      <c r="T95">
        <f t="shared" si="5"/>
        <v>0.41176470588235298</v>
      </c>
      <c r="U95">
        <f t="shared" si="6"/>
        <v>2.4285714285714284</v>
      </c>
      <c r="V95" s="4" t="str">
        <f t="shared" si="7"/>
        <v>0</v>
      </c>
      <c r="W95" s="4" t="str">
        <f t="shared" si="8"/>
        <v>3</v>
      </c>
      <c r="X95" s="4" t="str">
        <f t="shared" si="9"/>
        <v>0CVCTE3</v>
      </c>
      <c r="Y95">
        <f>VLOOKUP(X95,Sheet1!$J$5:$K$121,2,FALSE)</f>
        <v>0</v>
      </c>
    </row>
    <row r="96" spans="1:25" x14ac:dyDescent="0.25">
      <c r="A96" s="8">
        <f>[1]Data!A96</f>
        <v>407302</v>
      </c>
      <c r="B96" s="8">
        <f>[1]Data!B96</f>
        <v>3</v>
      </c>
      <c r="C96" s="8">
        <f>[1]Data!C96</f>
        <v>0</v>
      </c>
      <c r="D96" s="8">
        <f>[1]Data!D96</f>
        <v>1</v>
      </c>
      <c r="E96" s="8" t="str">
        <f>[1]Data!E96</f>
        <v>CVCTE</v>
      </c>
      <c r="F96" s="8" t="str">
        <f>[1]Data!F96</f>
        <v>West Puente Valley</v>
      </c>
      <c r="G96" s="8">
        <f>[1]Data!G96</f>
        <v>0</v>
      </c>
      <c r="H96" s="8">
        <f>[1]Data!H96</f>
        <v>0</v>
      </c>
      <c r="I96" s="8">
        <f>[1]Data!I96</f>
        <v>4.9889999999999999</v>
      </c>
      <c r="J96" s="8">
        <f>[1]Data!J96</f>
        <v>4.6115253100000002</v>
      </c>
      <c r="K96" s="8">
        <f>[1]Data!K96</f>
        <v>4.6115253100000002</v>
      </c>
      <c r="L96" s="8">
        <f>[1]Data!L96</f>
        <v>0.377889522567325</v>
      </c>
      <c r="M96" s="8">
        <f>[1]Data!M96</f>
        <v>4.9894148325673298</v>
      </c>
      <c r="N96" s="8">
        <f>[1]Data!N96</f>
        <v>0.41176470588235298</v>
      </c>
      <c r="O96" s="8">
        <f>[1]Data!O96</f>
        <v>0</v>
      </c>
      <c r="P96" s="8">
        <f>[1]Data!P96</f>
        <v>1</v>
      </c>
      <c r="Q96" s="8">
        <f>[1]Data!Q96</f>
        <v>0</v>
      </c>
      <c r="R96" s="8">
        <f>[1]Data!R96</f>
        <v>0</v>
      </c>
      <c r="S96" s="8">
        <f>[1]Data!S96</f>
        <v>0</v>
      </c>
      <c r="T96">
        <f t="shared" si="5"/>
        <v>0.41176470588235298</v>
      </c>
      <c r="U96">
        <f t="shared" si="6"/>
        <v>0</v>
      </c>
      <c r="V96" s="4" t="str">
        <f t="shared" si="7"/>
        <v>0</v>
      </c>
      <c r="W96" s="4" t="str">
        <f t="shared" si="8"/>
        <v>3</v>
      </c>
      <c r="X96" s="4" t="str">
        <f t="shared" si="9"/>
        <v>0CVCTE3</v>
      </c>
      <c r="Y96">
        <f>VLOOKUP(X96,Sheet1!$J$5:$K$121,2,FALSE)</f>
        <v>0</v>
      </c>
    </row>
    <row r="97" spans="1:25" x14ac:dyDescent="0.25">
      <c r="A97" s="8">
        <f>[1]Data!A97</f>
        <v>930101</v>
      </c>
      <c r="B97" s="8">
        <f>[1]Data!B97</f>
        <v>3</v>
      </c>
      <c r="C97" s="8">
        <f>[1]Data!C97</f>
        <v>0</v>
      </c>
      <c r="D97" s="8">
        <f>[1]Data!D97</f>
        <v>5</v>
      </c>
      <c r="E97" s="8" t="str">
        <f>[1]Data!E97</f>
        <v>CVCTE</v>
      </c>
      <c r="F97" s="8" t="str">
        <f>[1]Data!F97</f>
        <v>Angeles National Forest</v>
      </c>
      <c r="G97" s="8">
        <f>[1]Data!G97</f>
        <v>0</v>
      </c>
      <c r="H97" s="8">
        <f>[1]Data!H97</f>
        <v>0</v>
      </c>
      <c r="I97" s="8">
        <f>[1]Data!I97</f>
        <v>43.985999999999997</v>
      </c>
      <c r="J97" s="8">
        <f>[1]Data!J97</f>
        <v>25.405949159999999</v>
      </c>
      <c r="K97" s="8">
        <f>[1]Data!K97</f>
        <v>43.405949159999999</v>
      </c>
      <c r="L97" s="8">
        <f>[1]Data!L97</f>
        <v>0.57969929612208304</v>
      </c>
      <c r="M97" s="8">
        <f>[1]Data!M97</f>
        <v>43.9856484561221</v>
      </c>
      <c r="N97" s="8">
        <f>[1]Data!N97</f>
        <v>0.41176470588235298</v>
      </c>
      <c r="O97" s="8">
        <f>[1]Data!O97</f>
        <v>0</v>
      </c>
      <c r="P97" s="8">
        <f>[1]Data!P97</f>
        <v>1</v>
      </c>
      <c r="Q97" s="8">
        <f>[1]Data!Q97</f>
        <v>0</v>
      </c>
      <c r="R97" s="8">
        <f>[1]Data!R97</f>
        <v>0</v>
      </c>
      <c r="S97" s="8">
        <f>[1]Data!S97</f>
        <v>0</v>
      </c>
      <c r="T97">
        <f t="shared" si="5"/>
        <v>0.41176470588235298</v>
      </c>
      <c r="U97">
        <f t="shared" si="6"/>
        <v>0</v>
      </c>
      <c r="V97" s="4" t="str">
        <f t="shared" si="7"/>
        <v>0</v>
      </c>
      <c r="W97" s="4" t="str">
        <f t="shared" si="8"/>
        <v>3</v>
      </c>
      <c r="X97" s="4" t="str">
        <f t="shared" si="9"/>
        <v>0CVCTE3</v>
      </c>
      <c r="Y97">
        <f>VLOOKUP(X97,Sheet1!$J$5:$K$121,2,FALSE)</f>
        <v>0</v>
      </c>
    </row>
    <row r="98" spans="1:25" x14ac:dyDescent="0.25">
      <c r="A98" s="8">
        <f>[1]Data!A98</f>
        <v>431502</v>
      </c>
      <c r="B98" s="8">
        <f>[1]Data!B98</f>
        <v>3</v>
      </c>
      <c r="C98" s="8">
        <f>[1]Data!C98</f>
        <v>0</v>
      </c>
      <c r="D98" s="8">
        <f>[1]Data!D98</f>
        <v>5</v>
      </c>
      <c r="E98" s="8" t="str">
        <f>[1]Data!E98</f>
        <v>CVCTE</v>
      </c>
      <c r="F98" s="8" t="str">
        <f>[1]Data!F98</f>
        <v>North El Monte</v>
      </c>
      <c r="G98" s="8">
        <f>[1]Data!G98</f>
        <v>1</v>
      </c>
      <c r="H98" s="8">
        <f>[1]Data!H98</f>
        <v>1</v>
      </c>
      <c r="I98" s="8">
        <f>[1]Data!I98</f>
        <v>0</v>
      </c>
      <c r="J98" s="8">
        <f>[1]Data!J98</f>
        <v>0</v>
      </c>
      <c r="K98" s="8">
        <f>[1]Data!K98</f>
        <v>0</v>
      </c>
      <c r="L98" s="8">
        <f>[1]Data!L98</f>
        <v>0</v>
      </c>
      <c r="M98" s="8">
        <f>[1]Data!M98</f>
        <v>0</v>
      </c>
      <c r="N98" s="8">
        <f>[1]Data!N98</f>
        <v>0.41176470588235298</v>
      </c>
      <c r="O98" s="8">
        <f>[1]Data!O98</f>
        <v>2.4285714285714302</v>
      </c>
      <c r="P98" s="8">
        <f>[1]Data!P98</f>
        <v>1</v>
      </c>
      <c r="Q98" s="8">
        <f>[1]Data!Q98</f>
        <v>0</v>
      </c>
      <c r="R98" s="8">
        <f>[1]Data!R98</f>
        <v>0</v>
      </c>
      <c r="S98" s="8">
        <f>[1]Data!S98</f>
        <v>0</v>
      </c>
      <c r="T98">
        <f t="shared" si="5"/>
        <v>0.41176470588235298</v>
      </c>
      <c r="U98">
        <f t="shared" si="6"/>
        <v>2.4285714285714284</v>
      </c>
      <c r="V98" s="4" t="str">
        <f t="shared" si="7"/>
        <v>0</v>
      </c>
      <c r="W98" s="4" t="str">
        <f t="shared" si="8"/>
        <v>3</v>
      </c>
      <c r="X98" s="4" t="str">
        <f t="shared" si="9"/>
        <v>0CVCTE3</v>
      </c>
      <c r="Y98">
        <f>VLOOKUP(X98,Sheet1!$J$5:$K$121,2,FALSE)</f>
        <v>0</v>
      </c>
    </row>
    <row r="99" spans="1:25" x14ac:dyDescent="0.25">
      <c r="A99" s="8">
        <f>[1]Data!A99</f>
        <v>434001</v>
      </c>
      <c r="B99" s="8">
        <f>[1]Data!B99</f>
        <v>3</v>
      </c>
      <c r="C99" s="8">
        <f>[1]Data!C99</f>
        <v>0</v>
      </c>
      <c r="D99" s="8">
        <f>[1]Data!D99</f>
        <v>1</v>
      </c>
      <c r="E99" s="8" t="str">
        <f>[1]Data!E99</f>
        <v>CVCTE</v>
      </c>
      <c r="F99" s="8" t="str">
        <f>[1]Data!F99</f>
        <v>El Monte</v>
      </c>
      <c r="G99" s="8">
        <f>[1]Data!G99</f>
        <v>1</v>
      </c>
      <c r="H99" s="8">
        <f>[1]Data!H99</f>
        <v>1</v>
      </c>
      <c r="I99" s="8">
        <f>[1]Data!I99</f>
        <v>1.9259999999999999</v>
      </c>
      <c r="J99" s="8">
        <f>[1]Data!J99</f>
        <v>1.90487994</v>
      </c>
      <c r="K99" s="8">
        <f>[1]Data!K99</f>
        <v>1.90487994</v>
      </c>
      <c r="L99" s="8">
        <f>[1]Data!L99</f>
        <v>2.0625322082585301E-2</v>
      </c>
      <c r="M99" s="8">
        <f>[1]Data!M99</f>
        <v>1.9255052620825901</v>
      </c>
      <c r="N99" s="8">
        <f>[1]Data!N99</f>
        <v>0.41176470588235298</v>
      </c>
      <c r="O99" s="8">
        <f>[1]Data!O99</f>
        <v>2.4285714285714302</v>
      </c>
      <c r="P99" s="8">
        <f>[1]Data!P99</f>
        <v>1</v>
      </c>
      <c r="Q99" s="8">
        <f>[1]Data!Q99</f>
        <v>0</v>
      </c>
      <c r="R99" s="8">
        <f>[1]Data!R99</f>
        <v>0</v>
      </c>
      <c r="S99" s="8">
        <f>[1]Data!S99</f>
        <v>0</v>
      </c>
      <c r="T99">
        <f t="shared" si="5"/>
        <v>0.41176470588235298</v>
      </c>
      <c r="U99">
        <f t="shared" si="6"/>
        <v>2.4285714285714284</v>
      </c>
      <c r="V99" s="4" t="str">
        <f t="shared" si="7"/>
        <v>0</v>
      </c>
      <c r="W99" s="4" t="str">
        <f t="shared" si="8"/>
        <v>3</v>
      </c>
      <c r="X99" s="4" t="str">
        <f t="shared" si="9"/>
        <v>0CVCTE3</v>
      </c>
      <c r="Y99">
        <f>VLOOKUP(X99,Sheet1!$J$5:$K$121,2,FALSE)</f>
        <v>0</v>
      </c>
    </row>
    <row r="100" spans="1:25" x14ac:dyDescent="0.25">
      <c r="A100" s="8">
        <f>[1]Data!A100</f>
        <v>433802</v>
      </c>
      <c r="B100" s="8">
        <f>[1]Data!B100</f>
        <v>3</v>
      </c>
      <c r="C100" s="8">
        <f>[1]Data!C100</f>
        <v>0</v>
      </c>
      <c r="D100" s="8">
        <f>[1]Data!D100</f>
        <v>1</v>
      </c>
      <c r="E100" s="8" t="str">
        <f>[1]Data!E100</f>
        <v>CVCTE</v>
      </c>
      <c r="F100" s="8" t="str">
        <f>[1]Data!F100</f>
        <v>Whittier Narrows</v>
      </c>
      <c r="G100" s="8">
        <f>[1]Data!G100</f>
        <v>0</v>
      </c>
      <c r="H100" s="8">
        <f>[1]Data!H100</f>
        <v>0</v>
      </c>
      <c r="I100" s="8">
        <f>[1]Data!I100</f>
        <v>85.631</v>
      </c>
      <c r="J100" s="8">
        <f>[1]Data!J100</f>
        <v>62.061660670000002</v>
      </c>
      <c r="K100" s="8">
        <f>[1]Data!K100</f>
        <v>84.061660669999995</v>
      </c>
      <c r="L100" s="8">
        <f>[1]Data!L100</f>
        <v>1.5698763513285501</v>
      </c>
      <c r="M100" s="8">
        <f>[1]Data!M100</f>
        <v>85.631537021328597</v>
      </c>
      <c r="N100" s="8">
        <f>[1]Data!N100</f>
        <v>0.41176470588235298</v>
      </c>
      <c r="O100" s="8">
        <f>[1]Data!O100</f>
        <v>0</v>
      </c>
      <c r="P100" s="8">
        <f>[1]Data!P100</f>
        <v>1</v>
      </c>
      <c r="Q100" s="8">
        <f>[1]Data!Q100</f>
        <v>0</v>
      </c>
      <c r="R100" s="8">
        <f>[1]Data!R100</f>
        <v>0</v>
      </c>
      <c r="S100" s="8">
        <f>[1]Data!S100</f>
        <v>0</v>
      </c>
      <c r="T100">
        <f t="shared" si="5"/>
        <v>0.41176470588235298</v>
      </c>
      <c r="U100">
        <f t="shared" si="6"/>
        <v>0</v>
      </c>
      <c r="V100" s="4" t="str">
        <f t="shared" si="7"/>
        <v>0</v>
      </c>
      <c r="W100" s="4" t="str">
        <f t="shared" si="8"/>
        <v>3</v>
      </c>
      <c r="X100" s="4" t="str">
        <f t="shared" si="9"/>
        <v>0CVCTE3</v>
      </c>
      <c r="Y100">
        <f>VLOOKUP(X100,Sheet1!$J$5:$K$121,2,FALSE)</f>
        <v>0</v>
      </c>
    </row>
    <row r="101" spans="1:25" x14ac:dyDescent="0.25">
      <c r="A101" s="8">
        <f>[1]Data!A101</f>
        <v>433302</v>
      </c>
      <c r="B101" s="8">
        <f>[1]Data!B101</f>
        <v>3</v>
      </c>
      <c r="C101" s="8">
        <f>[1]Data!C101</f>
        <v>0</v>
      </c>
      <c r="D101" s="8">
        <f>[1]Data!D101</f>
        <v>1</v>
      </c>
      <c r="E101" s="8" t="str">
        <f>[1]Data!E101</f>
        <v>CVCTE</v>
      </c>
      <c r="F101" s="8" t="str">
        <f>[1]Data!F101</f>
        <v>El Monte</v>
      </c>
      <c r="G101" s="8">
        <f>[1]Data!G101</f>
        <v>1</v>
      </c>
      <c r="H101" s="8">
        <f>[1]Data!H101</f>
        <v>1</v>
      </c>
      <c r="I101" s="8">
        <f>[1]Data!I101</f>
        <v>26.893999999999998</v>
      </c>
      <c r="J101" s="8">
        <f>[1]Data!J101</f>
        <v>24.39050537</v>
      </c>
      <c r="K101" s="8">
        <f>[1]Data!K101</f>
        <v>25.39050537</v>
      </c>
      <c r="L101" s="8">
        <f>[1]Data!L101</f>
        <v>1.5043447023518799</v>
      </c>
      <c r="M101" s="8">
        <f>[1]Data!M101</f>
        <v>26.8948500723519</v>
      </c>
      <c r="N101" s="8">
        <f>[1]Data!N101</f>
        <v>0.41176470588235298</v>
      </c>
      <c r="O101" s="8">
        <f>[1]Data!O101</f>
        <v>2.4285714285714302</v>
      </c>
      <c r="P101" s="8">
        <f>[1]Data!P101</f>
        <v>1</v>
      </c>
      <c r="Q101" s="8">
        <f>[1]Data!Q101</f>
        <v>0</v>
      </c>
      <c r="R101" s="8">
        <f>[1]Data!R101</f>
        <v>0</v>
      </c>
      <c r="S101" s="8">
        <f>[1]Data!S101</f>
        <v>0</v>
      </c>
      <c r="T101">
        <f t="shared" si="5"/>
        <v>0.41176470588235298</v>
      </c>
      <c r="U101">
        <f t="shared" si="6"/>
        <v>2.4285714285714284</v>
      </c>
      <c r="V101" s="4" t="str">
        <f t="shared" si="7"/>
        <v>0</v>
      </c>
      <c r="W101" s="4" t="str">
        <f t="shared" si="8"/>
        <v>3</v>
      </c>
      <c r="X101" s="4" t="str">
        <f t="shared" si="9"/>
        <v>0CVCTE3</v>
      </c>
      <c r="Y101">
        <f>VLOOKUP(X101,Sheet1!$J$5:$K$121,2,FALSE)</f>
        <v>0</v>
      </c>
    </row>
    <row r="102" spans="1:25" x14ac:dyDescent="0.25">
      <c r="A102" s="8">
        <f>[1]Data!A102</f>
        <v>407801</v>
      </c>
      <c r="B102" s="8">
        <f>[1]Data!B102</f>
        <v>3</v>
      </c>
      <c r="C102" s="8">
        <f>[1]Data!C102</f>
        <v>0</v>
      </c>
      <c r="D102" s="8">
        <f>[1]Data!D102</f>
        <v>1</v>
      </c>
      <c r="E102" s="8" t="str">
        <f>[1]Data!E102</f>
        <v>CVCTE</v>
      </c>
      <c r="F102" s="8" t="str">
        <f>[1]Data!F102</f>
        <v>Industry</v>
      </c>
      <c r="G102" s="8">
        <f>[1]Data!G102</f>
        <v>0</v>
      </c>
      <c r="H102" s="8">
        <f>[1]Data!H102</f>
        <v>0</v>
      </c>
      <c r="I102" s="8">
        <f>[1]Data!I102</f>
        <v>6.5540000000000003</v>
      </c>
      <c r="J102" s="8">
        <f>[1]Data!J102</f>
        <v>5.4910515000000002</v>
      </c>
      <c r="K102" s="8">
        <f>[1]Data!K102</f>
        <v>6.4910515000000002</v>
      </c>
      <c r="L102" s="8">
        <f>[1]Data!L102</f>
        <v>6.2742575924596006E-2</v>
      </c>
      <c r="M102" s="8">
        <f>[1]Data!M102</f>
        <v>6.5537940759245998</v>
      </c>
      <c r="N102" s="8">
        <f>[1]Data!N102</f>
        <v>0.41176470588235298</v>
      </c>
      <c r="O102" s="8">
        <f>[1]Data!O102</f>
        <v>0</v>
      </c>
      <c r="P102" s="8">
        <f>[1]Data!P102</f>
        <v>1</v>
      </c>
      <c r="Q102" s="8">
        <f>[1]Data!Q102</f>
        <v>0</v>
      </c>
      <c r="R102" s="8">
        <f>[1]Data!R102</f>
        <v>0</v>
      </c>
      <c r="S102" s="8">
        <f>[1]Data!S102</f>
        <v>0</v>
      </c>
      <c r="T102">
        <f t="shared" si="5"/>
        <v>0.41176470588235298</v>
      </c>
      <c r="U102">
        <f t="shared" si="6"/>
        <v>0</v>
      </c>
      <c r="V102" s="4" t="str">
        <f t="shared" si="7"/>
        <v>0</v>
      </c>
      <c r="W102" s="4" t="str">
        <f t="shared" si="8"/>
        <v>3</v>
      </c>
      <c r="X102" s="4" t="str">
        <f t="shared" si="9"/>
        <v>0CVCTE3</v>
      </c>
      <c r="Y102">
        <f>VLOOKUP(X102,Sheet1!$J$5:$K$121,2,FALSE)</f>
        <v>0</v>
      </c>
    </row>
    <row r="103" spans="1:25" x14ac:dyDescent="0.25">
      <c r="A103" s="8">
        <f>[1]Data!A103</f>
        <v>408723</v>
      </c>
      <c r="B103" s="8">
        <f>[1]Data!B103</f>
        <v>3</v>
      </c>
      <c r="C103" s="8">
        <f>[1]Data!C103</f>
        <v>0</v>
      </c>
      <c r="D103" s="8">
        <f>[1]Data!D103</f>
        <v>4</v>
      </c>
      <c r="E103" s="8" t="str">
        <f>[1]Data!E103</f>
        <v>CVCTE</v>
      </c>
      <c r="F103" s="8" t="str">
        <f>[1]Data!F103</f>
        <v>Rowland Heights</v>
      </c>
      <c r="G103" s="8">
        <f>[1]Data!G103</f>
        <v>1</v>
      </c>
      <c r="H103" s="8">
        <f>[1]Data!H103</f>
        <v>1</v>
      </c>
      <c r="I103" s="8">
        <f>[1]Data!I103</f>
        <v>7.6369999999999996</v>
      </c>
      <c r="J103" s="8">
        <f>[1]Data!J103</f>
        <v>7.3548439400000003</v>
      </c>
      <c r="K103" s="8">
        <f>[1]Data!K103</f>
        <v>7.3548439400000003</v>
      </c>
      <c r="L103" s="8">
        <f>[1]Data!L103</f>
        <v>0.28176894403949698</v>
      </c>
      <c r="M103" s="8">
        <f>[1]Data!M103</f>
        <v>7.6366128840394998</v>
      </c>
      <c r="N103" s="8">
        <f>[1]Data!N103</f>
        <v>0.41176470588235298</v>
      </c>
      <c r="O103" s="8">
        <f>[1]Data!O103</f>
        <v>2.4285714285714302</v>
      </c>
      <c r="P103" s="8">
        <f>[1]Data!P103</f>
        <v>1</v>
      </c>
      <c r="Q103" s="8">
        <f>[1]Data!Q103</f>
        <v>0</v>
      </c>
      <c r="R103" s="8">
        <f>[1]Data!R103</f>
        <v>0</v>
      </c>
      <c r="S103" s="8">
        <f>[1]Data!S103</f>
        <v>0</v>
      </c>
      <c r="T103">
        <f t="shared" si="5"/>
        <v>0.41176470588235298</v>
      </c>
      <c r="U103">
        <f t="shared" si="6"/>
        <v>2.4285714285714284</v>
      </c>
      <c r="V103" s="4" t="str">
        <f t="shared" si="7"/>
        <v>0</v>
      </c>
      <c r="W103" s="4" t="str">
        <f t="shared" si="8"/>
        <v>3</v>
      </c>
      <c r="X103" s="4" t="str">
        <f t="shared" si="9"/>
        <v>0CVCTE3</v>
      </c>
      <c r="Y103">
        <f>VLOOKUP(X103,Sheet1!$J$5:$K$121,2,FALSE)</f>
        <v>0</v>
      </c>
    </row>
    <row r="104" spans="1:25" x14ac:dyDescent="0.25">
      <c r="A104" s="8">
        <f>[1]Data!A104</f>
        <v>408704</v>
      </c>
      <c r="B104" s="8">
        <f>[1]Data!B104</f>
        <v>3</v>
      </c>
      <c r="C104" s="8">
        <f>[1]Data!C104</f>
        <v>0</v>
      </c>
      <c r="D104" s="8">
        <f>[1]Data!D104</f>
        <v>4</v>
      </c>
      <c r="E104" s="8" t="str">
        <f>[1]Data!E104</f>
        <v>CVCTE</v>
      </c>
      <c r="F104" s="8" t="str">
        <f>[1]Data!F104</f>
        <v>Rowland Heights</v>
      </c>
      <c r="G104" s="8">
        <f>[1]Data!G104</f>
        <v>1</v>
      </c>
      <c r="H104" s="8">
        <f>[1]Data!H104</f>
        <v>1</v>
      </c>
      <c r="I104" s="8">
        <f>[1]Data!I104</f>
        <v>7.0839999999999996</v>
      </c>
      <c r="J104" s="8">
        <f>[1]Data!J104</f>
        <v>6.5952249700000003</v>
      </c>
      <c r="K104" s="8">
        <f>[1]Data!K104</f>
        <v>6.5952249700000003</v>
      </c>
      <c r="L104" s="8">
        <f>[1]Data!L104</f>
        <v>0.48906212394973098</v>
      </c>
      <c r="M104" s="8">
        <f>[1]Data!M104</f>
        <v>7.0842870939497304</v>
      </c>
      <c r="N104" s="8">
        <f>[1]Data!N104</f>
        <v>0.41176470588235298</v>
      </c>
      <c r="O104" s="8">
        <f>[1]Data!O104</f>
        <v>2.4285714285714302</v>
      </c>
      <c r="P104" s="8">
        <f>[1]Data!P104</f>
        <v>1</v>
      </c>
      <c r="Q104" s="8">
        <f>[1]Data!Q104</f>
        <v>0</v>
      </c>
      <c r="R104" s="8">
        <f>[1]Data!R104</f>
        <v>0</v>
      </c>
      <c r="S104" s="8">
        <f>[1]Data!S104</f>
        <v>0</v>
      </c>
      <c r="T104">
        <f t="shared" si="5"/>
        <v>0.41176470588235298</v>
      </c>
      <c r="U104">
        <f t="shared" si="6"/>
        <v>2.4285714285714284</v>
      </c>
      <c r="V104" s="4" t="str">
        <f t="shared" si="7"/>
        <v>0</v>
      </c>
      <c r="W104" s="4" t="str">
        <f t="shared" si="8"/>
        <v>3</v>
      </c>
      <c r="X104" s="4" t="str">
        <f t="shared" si="9"/>
        <v>0CVCTE3</v>
      </c>
      <c r="Y104">
        <f>VLOOKUP(X104,Sheet1!$J$5:$K$121,2,FALSE)</f>
        <v>0</v>
      </c>
    </row>
    <row r="105" spans="1:25" x14ac:dyDescent="0.25">
      <c r="A105" s="8">
        <f>[1]Data!A105</f>
        <v>402200</v>
      </c>
      <c r="B105" s="8">
        <f>[1]Data!B105</f>
        <v>3</v>
      </c>
      <c r="C105" s="8">
        <f>[1]Data!C105</f>
        <v>0</v>
      </c>
      <c r="D105" s="8">
        <f>[1]Data!D105</f>
        <v>1</v>
      </c>
      <c r="E105" s="8" t="str">
        <f>[1]Data!E105</f>
        <v>CVCTE</v>
      </c>
      <c r="F105" s="8" t="str">
        <f>[1]Data!F105</f>
        <v>Pomona</v>
      </c>
      <c r="G105" s="8">
        <f>[1]Data!G105</f>
        <v>0</v>
      </c>
      <c r="H105" s="8">
        <f>[1]Data!H105</f>
        <v>0</v>
      </c>
      <c r="I105" s="8">
        <f>[1]Data!I105</f>
        <v>41.470999999999997</v>
      </c>
      <c r="J105" s="8">
        <f>[1]Data!J105</f>
        <v>14.720278110000001</v>
      </c>
      <c r="K105" s="8">
        <f>[1]Data!K105</f>
        <v>40.720278110000002</v>
      </c>
      <c r="L105" s="8">
        <f>[1]Data!L105</f>
        <v>0.75029887657091598</v>
      </c>
      <c r="M105" s="8">
        <f>[1]Data!M105</f>
        <v>41.470576986570897</v>
      </c>
      <c r="N105" s="8">
        <f>[1]Data!N105</f>
        <v>0.41176470588235298</v>
      </c>
      <c r="O105" s="8">
        <f>[1]Data!O105</f>
        <v>0</v>
      </c>
      <c r="P105" s="8">
        <f>[1]Data!P105</f>
        <v>1</v>
      </c>
      <c r="Q105" s="8">
        <f>[1]Data!Q105</f>
        <v>0</v>
      </c>
      <c r="R105" s="8">
        <f>[1]Data!R105</f>
        <v>0</v>
      </c>
      <c r="S105" s="8">
        <f>[1]Data!S105</f>
        <v>0</v>
      </c>
      <c r="T105">
        <f t="shared" si="5"/>
        <v>0.41176470588235298</v>
      </c>
      <c r="U105">
        <f t="shared" si="6"/>
        <v>0</v>
      </c>
      <c r="V105" s="4" t="str">
        <f t="shared" si="7"/>
        <v>0</v>
      </c>
      <c r="W105" s="4" t="str">
        <f t="shared" si="8"/>
        <v>3</v>
      </c>
      <c r="X105" s="4" t="str">
        <f t="shared" si="9"/>
        <v>0CVCTE3</v>
      </c>
      <c r="Y105">
        <f>VLOOKUP(X105,Sheet1!$J$5:$K$121,2,FALSE)</f>
        <v>0</v>
      </c>
    </row>
    <row r="106" spans="1:25" x14ac:dyDescent="0.25">
      <c r="A106" s="8">
        <f>[1]Data!A106</f>
        <v>408302</v>
      </c>
      <c r="B106" s="8">
        <f>[1]Data!B106</f>
        <v>3</v>
      </c>
      <c r="C106" s="8">
        <f>[1]Data!C106</f>
        <v>0</v>
      </c>
      <c r="D106" s="8">
        <f>[1]Data!D106</f>
        <v>1</v>
      </c>
      <c r="E106" s="8" t="str">
        <f>[1]Data!E106</f>
        <v>CVCTE</v>
      </c>
      <c r="F106" s="8" t="str">
        <f>[1]Data!F106</f>
        <v>Avocado Heights</v>
      </c>
      <c r="G106" s="8">
        <f>[1]Data!G106</f>
        <v>1</v>
      </c>
      <c r="H106" s="8">
        <f>[1]Data!H106</f>
        <v>1</v>
      </c>
      <c r="I106" s="8">
        <f>[1]Data!I106</f>
        <v>32.438000000000002</v>
      </c>
      <c r="J106" s="8">
        <f>[1]Data!J106</f>
        <v>22.187794319999998</v>
      </c>
      <c r="K106" s="8">
        <f>[1]Data!K106</f>
        <v>32.187794320000002</v>
      </c>
      <c r="L106" s="8">
        <f>[1]Data!L106</f>
        <v>0.25010369402154398</v>
      </c>
      <c r="M106" s="8">
        <f>[1]Data!M106</f>
        <v>32.437898014021499</v>
      </c>
      <c r="N106" s="8">
        <f>[1]Data!N106</f>
        <v>0.41176470588235298</v>
      </c>
      <c r="O106" s="8">
        <f>[1]Data!O106</f>
        <v>2.4285714285714302</v>
      </c>
      <c r="P106" s="8">
        <f>[1]Data!P106</f>
        <v>1</v>
      </c>
      <c r="Q106" s="8">
        <f>[1]Data!Q106</f>
        <v>0</v>
      </c>
      <c r="R106" s="8">
        <f>[1]Data!R106</f>
        <v>0</v>
      </c>
      <c r="S106" s="8">
        <f>[1]Data!S106</f>
        <v>0</v>
      </c>
      <c r="T106">
        <f t="shared" si="5"/>
        <v>0.41176470588235298</v>
      </c>
      <c r="U106">
        <f t="shared" si="6"/>
        <v>2.4285714285714284</v>
      </c>
      <c r="V106" s="4" t="str">
        <f t="shared" si="7"/>
        <v>0</v>
      </c>
      <c r="W106" s="4" t="str">
        <f t="shared" si="8"/>
        <v>3</v>
      </c>
      <c r="X106" s="4" t="str">
        <f t="shared" si="9"/>
        <v>0CVCTE3</v>
      </c>
      <c r="Y106">
        <f>VLOOKUP(X106,Sheet1!$J$5:$K$121,2,FALSE)</f>
        <v>0</v>
      </c>
    </row>
    <row r="107" spans="1:25" x14ac:dyDescent="0.25">
      <c r="A107" s="8">
        <f>[1]Data!A107</f>
        <v>430901</v>
      </c>
      <c r="B107" s="8">
        <f>[1]Data!B107</f>
        <v>3</v>
      </c>
      <c r="C107" s="8">
        <f>[1]Data!C107</f>
        <v>0</v>
      </c>
      <c r="D107" s="8">
        <f>[1]Data!D107</f>
        <v>5</v>
      </c>
      <c r="E107" s="8" t="str">
        <f>[1]Data!E107</f>
        <v>CVCTE</v>
      </c>
      <c r="F107" s="8" t="str">
        <f>[1]Data!F107</f>
        <v>Monrovia</v>
      </c>
      <c r="G107" s="8">
        <f>[1]Data!G107</f>
        <v>0</v>
      </c>
      <c r="H107" s="8">
        <f>[1]Data!H107</f>
        <v>0</v>
      </c>
      <c r="I107" s="8">
        <f>[1]Data!I107</f>
        <v>7.8289999999999997</v>
      </c>
      <c r="J107" s="8">
        <f>[1]Data!J107</f>
        <v>5.6217117700000001</v>
      </c>
      <c r="K107" s="8">
        <f>[1]Data!K107</f>
        <v>7.6217117700000001</v>
      </c>
      <c r="L107" s="8">
        <f>[1]Data!L107</f>
        <v>0.20678343375224401</v>
      </c>
      <c r="M107" s="8">
        <f>[1]Data!M107</f>
        <v>7.8284952037522402</v>
      </c>
      <c r="N107" s="8">
        <f>[1]Data!N107</f>
        <v>0.41176470588235298</v>
      </c>
      <c r="O107" s="8">
        <f>[1]Data!O107</f>
        <v>0</v>
      </c>
      <c r="P107" s="8">
        <f>[1]Data!P107</f>
        <v>1</v>
      </c>
      <c r="Q107" s="8">
        <f>[1]Data!Q107</f>
        <v>0</v>
      </c>
      <c r="R107" s="8">
        <f>[1]Data!R107</f>
        <v>0</v>
      </c>
      <c r="S107" s="8">
        <f>[1]Data!S107</f>
        <v>0</v>
      </c>
      <c r="T107">
        <f t="shared" si="5"/>
        <v>0.41176470588235298</v>
      </c>
      <c r="U107">
        <f t="shared" si="6"/>
        <v>0</v>
      </c>
      <c r="V107" s="4" t="str">
        <f t="shared" si="7"/>
        <v>0</v>
      </c>
      <c r="W107" s="4" t="str">
        <f t="shared" si="8"/>
        <v>3</v>
      </c>
      <c r="X107" s="4" t="str">
        <f t="shared" si="9"/>
        <v>0CVCTE3</v>
      </c>
      <c r="Y107">
        <f>VLOOKUP(X107,Sheet1!$J$5:$K$121,2,FALSE)</f>
        <v>0</v>
      </c>
    </row>
    <row r="108" spans="1:25" x14ac:dyDescent="0.25">
      <c r="A108" s="8">
        <f>[1]Data!A108</f>
        <v>433602</v>
      </c>
      <c r="B108" s="8">
        <f>[1]Data!B108</f>
        <v>3</v>
      </c>
      <c r="C108" s="8">
        <f>[1]Data!C108</f>
        <v>0</v>
      </c>
      <c r="D108" s="8">
        <f>[1]Data!D108</f>
        <v>1</v>
      </c>
      <c r="E108" s="8" t="str">
        <f>[1]Data!E108</f>
        <v>CVCTE</v>
      </c>
      <c r="F108" s="8" t="str">
        <f>[1]Data!F108</f>
        <v>Rosemead</v>
      </c>
      <c r="G108" s="8">
        <f>[1]Data!G108</f>
        <v>1</v>
      </c>
      <c r="H108" s="8">
        <f>[1]Data!H108</f>
        <v>1</v>
      </c>
      <c r="I108" s="8">
        <f>[1]Data!I108</f>
        <v>9.5909999999999993</v>
      </c>
      <c r="J108" s="8">
        <f>[1]Data!J108</f>
        <v>1.43919657</v>
      </c>
      <c r="K108" s="8">
        <f>[1]Data!K108</f>
        <v>9.43919657</v>
      </c>
      <c r="L108" s="8">
        <f>[1]Data!L108</f>
        <v>0.15145200614003601</v>
      </c>
      <c r="M108" s="8">
        <f>[1]Data!M108</f>
        <v>9.5906485761400404</v>
      </c>
      <c r="N108" s="8">
        <f>[1]Data!N108</f>
        <v>0.41176470588235298</v>
      </c>
      <c r="O108" s="8">
        <f>[1]Data!O108</f>
        <v>2.4285714285714302</v>
      </c>
      <c r="P108" s="8">
        <f>[1]Data!P108</f>
        <v>1</v>
      </c>
      <c r="Q108" s="8">
        <f>[1]Data!Q108</f>
        <v>0</v>
      </c>
      <c r="R108" s="8">
        <f>[1]Data!R108</f>
        <v>0</v>
      </c>
      <c r="S108" s="8">
        <f>[1]Data!S108</f>
        <v>0</v>
      </c>
      <c r="T108">
        <f t="shared" si="5"/>
        <v>0.41176470588235298</v>
      </c>
      <c r="U108">
        <f t="shared" si="6"/>
        <v>2.4285714285714284</v>
      </c>
      <c r="V108" s="4" t="str">
        <f t="shared" si="7"/>
        <v>0</v>
      </c>
      <c r="W108" s="4" t="str">
        <f t="shared" si="8"/>
        <v>3</v>
      </c>
      <c r="X108" s="4" t="str">
        <f t="shared" si="9"/>
        <v>0CVCTE3</v>
      </c>
      <c r="Y108">
        <f>VLOOKUP(X108,Sheet1!$J$5:$K$121,2,FALSE)</f>
        <v>0</v>
      </c>
    </row>
    <row r="109" spans="1:25" x14ac:dyDescent="0.25">
      <c r="A109" s="8">
        <f>[1]Data!A109</f>
        <v>431400</v>
      </c>
      <c r="B109" s="8">
        <f>[1]Data!B109</f>
        <v>3</v>
      </c>
      <c r="C109" s="8">
        <f>[1]Data!C109</f>
        <v>0</v>
      </c>
      <c r="D109" s="8">
        <f>[1]Data!D109</f>
        <v>5</v>
      </c>
      <c r="E109" s="8" t="str">
        <f>[1]Data!E109</f>
        <v>CVCTE</v>
      </c>
      <c r="F109" s="8" t="str">
        <f>[1]Data!F109</f>
        <v>Mayflower Village</v>
      </c>
      <c r="G109" s="8">
        <f>[1]Data!G109</f>
        <v>1</v>
      </c>
      <c r="H109" s="8">
        <f>[1]Data!H109</f>
        <v>1</v>
      </c>
      <c r="I109" s="8">
        <f>[1]Data!I109</f>
        <v>9.19</v>
      </c>
      <c r="J109" s="8">
        <f>[1]Data!J109</f>
        <v>3.9673993200000002</v>
      </c>
      <c r="K109" s="8">
        <f>[1]Data!K109</f>
        <v>8.9673993200000002</v>
      </c>
      <c r="L109" s="8">
        <f>[1]Data!L109</f>
        <v>0.22234520276481101</v>
      </c>
      <c r="M109" s="8">
        <f>[1]Data!M109</f>
        <v>9.1897445227648102</v>
      </c>
      <c r="N109" s="8">
        <f>[1]Data!N109</f>
        <v>0.41176470588235298</v>
      </c>
      <c r="O109" s="8">
        <f>[1]Data!O109</f>
        <v>2.4285714285714302</v>
      </c>
      <c r="P109" s="8">
        <f>[1]Data!P109</f>
        <v>1</v>
      </c>
      <c r="Q109" s="8">
        <f>[1]Data!Q109</f>
        <v>0</v>
      </c>
      <c r="R109" s="8">
        <f>[1]Data!R109</f>
        <v>0</v>
      </c>
      <c r="S109" s="8">
        <f>[1]Data!S109</f>
        <v>0</v>
      </c>
      <c r="T109">
        <f t="shared" si="5"/>
        <v>0.41176470588235298</v>
      </c>
      <c r="U109">
        <f t="shared" si="6"/>
        <v>2.4285714285714284</v>
      </c>
      <c r="V109" s="4" t="str">
        <f t="shared" si="7"/>
        <v>0</v>
      </c>
      <c r="W109" s="4" t="str">
        <f t="shared" si="8"/>
        <v>3</v>
      </c>
      <c r="X109" s="4" t="str">
        <f t="shared" si="9"/>
        <v>0CVCTE3</v>
      </c>
      <c r="Y109">
        <f>VLOOKUP(X109,Sheet1!$J$5:$K$121,2,FALSE)</f>
        <v>0</v>
      </c>
    </row>
    <row r="110" spans="1:25" x14ac:dyDescent="0.25">
      <c r="A110" s="8">
        <f>[1]Data!A110</f>
        <v>432802</v>
      </c>
      <c r="B110" s="8">
        <f>[1]Data!B110</f>
        <v>3</v>
      </c>
      <c r="C110" s="8">
        <f>[1]Data!C110</f>
        <v>0</v>
      </c>
      <c r="D110" s="8">
        <f>[1]Data!D110</f>
        <v>1</v>
      </c>
      <c r="E110" s="8" t="str">
        <f>[1]Data!E110</f>
        <v>CVCTE</v>
      </c>
      <c r="F110" s="8" t="str">
        <f>[1]Data!F110</f>
        <v>El Monte</v>
      </c>
      <c r="G110" s="8">
        <f>[1]Data!G110</f>
        <v>1</v>
      </c>
      <c r="H110" s="8">
        <f>[1]Data!H110</f>
        <v>1</v>
      </c>
      <c r="I110" s="8">
        <f>[1]Data!I110</f>
        <v>16.102</v>
      </c>
      <c r="J110" s="8">
        <f>[1]Data!J110</f>
        <v>4.8536203599999999</v>
      </c>
      <c r="K110" s="8">
        <f>[1]Data!K110</f>
        <v>15.853620360000001</v>
      </c>
      <c r="L110" s="8">
        <f>[1]Data!L110</f>
        <v>0.247929448186715</v>
      </c>
      <c r="M110" s="8">
        <f>[1]Data!M110</f>
        <v>16.1015498081867</v>
      </c>
      <c r="N110" s="8">
        <f>[1]Data!N110</f>
        <v>0.41176470588235298</v>
      </c>
      <c r="O110" s="8">
        <f>[1]Data!O110</f>
        <v>2.4285714285714302</v>
      </c>
      <c r="P110" s="8">
        <f>[1]Data!P110</f>
        <v>1</v>
      </c>
      <c r="Q110" s="8">
        <f>[1]Data!Q110</f>
        <v>0</v>
      </c>
      <c r="R110" s="8">
        <f>[1]Data!R110</f>
        <v>0</v>
      </c>
      <c r="S110" s="8">
        <f>[1]Data!S110</f>
        <v>0</v>
      </c>
      <c r="T110">
        <f t="shared" si="5"/>
        <v>0.41176470588235298</v>
      </c>
      <c r="U110">
        <f t="shared" si="6"/>
        <v>2.4285714285714284</v>
      </c>
      <c r="V110" s="4" t="str">
        <f t="shared" si="7"/>
        <v>0</v>
      </c>
      <c r="W110" s="4" t="str">
        <f t="shared" si="8"/>
        <v>3</v>
      </c>
      <c r="X110" s="4" t="str">
        <f t="shared" si="9"/>
        <v>0CVCTE3</v>
      </c>
      <c r="Y110">
        <f>VLOOKUP(X110,Sheet1!$J$5:$K$121,2,FALSE)</f>
        <v>0</v>
      </c>
    </row>
    <row r="111" spans="1:25" x14ac:dyDescent="0.25">
      <c r="A111" s="8">
        <f>[1]Data!A111</f>
        <v>408202</v>
      </c>
      <c r="B111" s="8">
        <f>[1]Data!B111</f>
        <v>3</v>
      </c>
      <c r="C111" s="8">
        <f>[1]Data!C111</f>
        <v>0</v>
      </c>
      <c r="D111" s="8">
        <f>[1]Data!D111</f>
        <v>1</v>
      </c>
      <c r="E111" s="8" t="str">
        <f>[1]Data!E111</f>
        <v>CVCTE</v>
      </c>
      <c r="F111" s="8" t="str">
        <f>[1]Data!F111</f>
        <v>Industry</v>
      </c>
      <c r="G111" s="8">
        <f>[1]Data!G111</f>
        <v>1</v>
      </c>
      <c r="H111" s="8">
        <f>[1]Data!H111</f>
        <v>1</v>
      </c>
      <c r="I111" s="8">
        <f>[1]Data!I111</f>
        <v>15.731999999999999</v>
      </c>
      <c r="J111" s="8">
        <f>[1]Data!J111</f>
        <v>9.3385435999999995</v>
      </c>
      <c r="K111" s="8">
        <f>[1]Data!K111</f>
        <v>15.3385436</v>
      </c>
      <c r="L111" s="8">
        <f>[1]Data!L111</f>
        <v>0.39294154542190302</v>
      </c>
      <c r="M111" s="8">
        <f>[1]Data!M111</f>
        <v>15.7314851454219</v>
      </c>
      <c r="N111" s="8">
        <f>[1]Data!N111</f>
        <v>0.41176470588235298</v>
      </c>
      <c r="O111" s="8">
        <f>[1]Data!O111</f>
        <v>2.4285714285714302</v>
      </c>
      <c r="P111" s="8">
        <f>[1]Data!P111</f>
        <v>1</v>
      </c>
      <c r="Q111" s="8">
        <f>[1]Data!Q111</f>
        <v>0</v>
      </c>
      <c r="R111" s="8">
        <f>[1]Data!R111</f>
        <v>0</v>
      </c>
      <c r="S111" s="8">
        <f>[1]Data!S111</f>
        <v>0</v>
      </c>
      <c r="T111">
        <f t="shared" si="5"/>
        <v>0.41176470588235298</v>
      </c>
      <c r="U111">
        <f t="shared" si="6"/>
        <v>2.4285714285714284</v>
      </c>
      <c r="V111" s="4" t="str">
        <f t="shared" si="7"/>
        <v>0</v>
      </c>
      <c r="W111" s="4" t="str">
        <f t="shared" si="8"/>
        <v>3</v>
      </c>
      <c r="X111" s="4" t="str">
        <f t="shared" si="9"/>
        <v>0CVCTE3</v>
      </c>
      <c r="Y111">
        <f>VLOOKUP(X111,Sheet1!$J$5:$K$121,2,FALSE)</f>
        <v>0</v>
      </c>
    </row>
    <row r="112" spans="1:25" x14ac:dyDescent="0.25">
      <c r="A112" s="8">
        <f>[1]Data!A112</f>
        <v>460301</v>
      </c>
      <c r="B112" s="8">
        <f>[1]Data!B112</f>
        <v>3</v>
      </c>
      <c r="C112" s="8">
        <f>[1]Data!C112</f>
        <v>0</v>
      </c>
      <c r="D112" s="8">
        <f>[1]Data!D112</f>
        <v>5</v>
      </c>
      <c r="E112" s="8" t="str">
        <f>[1]Data!E112</f>
        <v>CVCTE</v>
      </c>
      <c r="F112" s="8" t="str">
        <f>[1]Data!F112</f>
        <v>Altadena</v>
      </c>
      <c r="G112" s="8">
        <f>[1]Data!G112</f>
        <v>1</v>
      </c>
      <c r="H112" s="8">
        <f>[1]Data!H112</f>
        <v>1</v>
      </c>
      <c r="I112" s="8">
        <f>[1]Data!I112</f>
        <v>4.7720000000000002</v>
      </c>
      <c r="J112" s="8">
        <f>[1]Data!J112</f>
        <v>4.31758971</v>
      </c>
      <c r="K112" s="8">
        <f>[1]Data!K112</f>
        <v>4.31758971</v>
      </c>
      <c r="L112" s="8">
        <f>[1]Data!L112</f>
        <v>0.45435601842010798</v>
      </c>
      <c r="M112" s="8">
        <f>[1]Data!M112</f>
        <v>4.7719457284201097</v>
      </c>
      <c r="N112" s="8">
        <f>[1]Data!N112</f>
        <v>0.41176470588235298</v>
      </c>
      <c r="O112" s="8">
        <f>[1]Data!O112</f>
        <v>2.4285714285714302</v>
      </c>
      <c r="P112" s="8">
        <f>[1]Data!P112</f>
        <v>1</v>
      </c>
      <c r="Q112" s="8">
        <f>[1]Data!Q112</f>
        <v>0</v>
      </c>
      <c r="R112" s="8">
        <f>[1]Data!R112</f>
        <v>0</v>
      </c>
      <c r="S112" s="8">
        <f>[1]Data!S112</f>
        <v>0</v>
      </c>
      <c r="T112">
        <f t="shared" si="5"/>
        <v>0.41176470588235298</v>
      </c>
      <c r="U112">
        <f t="shared" si="6"/>
        <v>2.4285714285714284</v>
      </c>
      <c r="V112" s="4" t="str">
        <f t="shared" si="7"/>
        <v>0</v>
      </c>
      <c r="W112" s="4" t="str">
        <f t="shared" si="8"/>
        <v>3</v>
      </c>
      <c r="X112" s="4" t="str">
        <f t="shared" si="9"/>
        <v>0CVCTE3</v>
      </c>
      <c r="Y112">
        <f>VLOOKUP(X112,Sheet1!$J$5:$K$121,2,FALSE)</f>
        <v>0</v>
      </c>
    </row>
    <row r="113" spans="1:25" x14ac:dyDescent="0.25">
      <c r="A113" s="8">
        <f>[1]Data!A113</f>
        <v>408301</v>
      </c>
      <c r="B113" s="8">
        <f>[1]Data!B113</f>
        <v>3</v>
      </c>
      <c r="C113" s="8">
        <f>[1]Data!C113</f>
        <v>0</v>
      </c>
      <c r="D113" s="8">
        <f>[1]Data!D113</f>
        <v>1</v>
      </c>
      <c r="E113" s="8" t="str">
        <f>[1]Data!E113</f>
        <v>CVCTE</v>
      </c>
      <c r="F113" s="8" t="str">
        <f>[1]Data!F113</f>
        <v>Avocado Heights</v>
      </c>
      <c r="G113" s="8">
        <f>[1]Data!G113</f>
        <v>0</v>
      </c>
      <c r="H113" s="8">
        <f>[1]Data!H113</f>
        <v>0</v>
      </c>
      <c r="I113" s="8">
        <f>[1]Data!I113</f>
        <v>17.021999999999998</v>
      </c>
      <c r="J113" s="8">
        <f>[1]Data!J113</f>
        <v>14.5811454</v>
      </c>
      <c r="K113" s="8">
        <f>[1]Data!K113</f>
        <v>16.5811454</v>
      </c>
      <c r="L113" s="8">
        <f>[1]Data!L113</f>
        <v>0.44011085326750399</v>
      </c>
      <c r="M113" s="8">
        <f>[1]Data!M113</f>
        <v>17.021256253267499</v>
      </c>
      <c r="N113" s="8">
        <f>[1]Data!N113</f>
        <v>0.41176470588235298</v>
      </c>
      <c r="O113" s="8">
        <f>[1]Data!O113</f>
        <v>0</v>
      </c>
      <c r="P113" s="8">
        <f>[1]Data!P113</f>
        <v>1</v>
      </c>
      <c r="Q113" s="8">
        <f>[1]Data!Q113</f>
        <v>0</v>
      </c>
      <c r="R113" s="8">
        <f>[1]Data!R113</f>
        <v>0</v>
      </c>
      <c r="S113" s="8">
        <f>[1]Data!S113</f>
        <v>0</v>
      </c>
      <c r="T113">
        <f t="shared" si="5"/>
        <v>0.41176470588235298</v>
      </c>
      <c r="U113">
        <f t="shared" si="6"/>
        <v>0</v>
      </c>
      <c r="V113" s="4" t="str">
        <f t="shared" si="7"/>
        <v>0</v>
      </c>
      <c r="W113" s="4" t="str">
        <f t="shared" si="8"/>
        <v>3</v>
      </c>
      <c r="X113" s="4" t="str">
        <f t="shared" si="9"/>
        <v>0CVCTE3</v>
      </c>
      <c r="Y113">
        <f>VLOOKUP(X113,Sheet1!$J$5:$K$121,2,FALSE)</f>
        <v>0</v>
      </c>
    </row>
    <row r="114" spans="1:25" x14ac:dyDescent="0.25">
      <c r="A114" s="8">
        <f>[1]Data!A114</f>
        <v>402102</v>
      </c>
      <c r="B114" s="8">
        <f>[1]Data!B114</f>
        <v>3</v>
      </c>
      <c r="C114" s="8">
        <f>[1]Data!C114</f>
        <v>0</v>
      </c>
      <c r="D114" s="8">
        <f>[1]Data!D114</f>
        <v>1</v>
      </c>
      <c r="E114" s="8" t="str">
        <f>[1]Data!E114</f>
        <v>CVCTE</v>
      </c>
      <c r="F114" s="8" t="str">
        <f>[1]Data!F114</f>
        <v>Pomona</v>
      </c>
      <c r="G114" s="8">
        <f>[1]Data!G114</f>
        <v>0</v>
      </c>
      <c r="H114" s="8">
        <f>[1]Data!H114</f>
        <v>0</v>
      </c>
      <c r="I114" s="8">
        <f>[1]Data!I114</f>
        <v>18.265999999999998</v>
      </c>
      <c r="J114" s="8">
        <f>[1]Data!J114</f>
        <v>9.4736181100000003</v>
      </c>
      <c r="K114" s="8">
        <f>[1]Data!K114</f>
        <v>17.47361811</v>
      </c>
      <c r="L114" s="8">
        <f>[1]Data!L114</f>
        <v>0.79196613622980205</v>
      </c>
      <c r="M114" s="8">
        <f>[1]Data!M114</f>
        <v>18.2655842462298</v>
      </c>
      <c r="N114" s="8">
        <f>[1]Data!N114</f>
        <v>0.41176470588235298</v>
      </c>
      <c r="O114" s="8">
        <f>[1]Data!O114</f>
        <v>0</v>
      </c>
      <c r="P114" s="8">
        <f>[1]Data!P114</f>
        <v>1</v>
      </c>
      <c r="Q114" s="8">
        <f>[1]Data!Q114</f>
        <v>0</v>
      </c>
      <c r="R114" s="8">
        <f>[1]Data!R114</f>
        <v>0</v>
      </c>
      <c r="S114" s="8">
        <f>[1]Data!S114</f>
        <v>0</v>
      </c>
      <c r="T114">
        <f t="shared" si="5"/>
        <v>0.41176470588235298</v>
      </c>
      <c r="U114">
        <f t="shared" si="6"/>
        <v>0</v>
      </c>
      <c r="V114" s="4" t="str">
        <f t="shared" si="7"/>
        <v>0</v>
      </c>
      <c r="W114" s="4" t="str">
        <f t="shared" si="8"/>
        <v>3</v>
      </c>
      <c r="X114" s="4" t="str">
        <f t="shared" si="9"/>
        <v>0CVCTE3</v>
      </c>
      <c r="Y114">
        <f>VLOOKUP(X114,Sheet1!$J$5:$K$121,2,FALSE)</f>
        <v>0</v>
      </c>
    </row>
    <row r="115" spans="1:25" x14ac:dyDescent="0.25">
      <c r="A115" s="8">
        <f>[1]Data!A115</f>
        <v>405500</v>
      </c>
      <c r="B115" s="8">
        <f>[1]Data!B115</f>
        <v>3</v>
      </c>
      <c r="C115" s="8">
        <f>[1]Data!C115</f>
        <v>0</v>
      </c>
      <c r="D115" s="8">
        <f>[1]Data!D115</f>
        <v>1</v>
      </c>
      <c r="E115" s="8" t="str">
        <f>[1]Data!E115</f>
        <v>CVCTE</v>
      </c>
      <c r="F115" s="8" t="str">
        <f>[1]Data!F115</f>
        <v>West Covina</v>
      </c>
      <c r="G115" s="8">
        <f>[1]Data!G115</f>
        <v>1</v>
      </c>
      <c r="H115" s="8">
        <f>[1]Data!H115</f>
        <v>1</v>
      </c>
      <c r="I115" s="8">
        <f>[1]Data!I115</f>
        <v>9.5540000000000003</v>
      </c>
      <c r="J115" s="8">
        <f>[1]Data!J115</f>
        <v>5.4910515000000002</v>
      </c>
      <c r="K115" s="8">
        <f>[1]Data!K115</f>
        <v>9.4910514999999993</v>
      </c>
      <c r="L115" s="8">
        <f>[1]Data!L115</f>
        <v>6.2742575924596006E-2</v>
      </c>
      <c r="M115" s="8">
        <f>[1]Data!M115</f>
        <v>9.5537940759245892</v>
      </c>
      <c r="N115" s="8">
        <f>[1]Data!N115</f>
        <v>0.41176470588235298</v>
      </c>
      <c r="O115" s="8">
        <f>[1]Data!O115</f>
        <v>2.4285714285714302</v>
      </c>
      <c r="P115" s="8">
        <f>[1]Data!P115</f>
        <v>1</v>
      </c>
      <c r="Q115" s="8">
        <f>[1]Data!Q115</f>
        <v>0</v>
      </c>
      <c r="R115" s="8">
        <f>[1]Data!R115</f>
        <v>0</v>
      </c>
      <c r="S115" s="8">
        <f>[1]Data!S115</f>
        <v>0</v>
      </c>
      <c r="T115">
        <f t="shared" si="5"/>
        <v>0.41176470588235298</v>
      </c>
      <c r="U115">
        <f t="shared" si="6"/>
        <v>2.4285714285714284</v>
      </c>
      <c r="V115" s="4" t="str">
        <f t="shared" si="7"/>
        <v>0</v>
      </c>
      <c r="W115" s="4" t="str">
        <f t="shared" si="8"/>
        <v>3</v>
      </c>
      <c r="X115" s="4" t="str">
        <f t="shared" si="9"/>
        <v>0CVCTE3</v>
      </c>
      <c r="Y115">
        <f>VLOOKUP(X115,Sheet1!$J$5:$K$121,2,FALSE)</f>
        <v>0</v>
      </c>
    </row>
    <row r="116" spans="1:25" x14ac:dyDescent="0.25">
      <c r="A116" s="8">
        <f>[1]Data!A116</f>
        <v>432700</v>
      </c>
      <c r="B116" s="8">
        <f>[1]Data!B116</f>
        <v>3</v>
      </c>
      <c r="C116" s="8">
        <f>[1]Data!C116</f>
        <v>0</v>
      </c>
      <c r="D116" s="8">
        <f>[1]Data!D116</f>
        <v>1</v>
      </c>
      <c r="E116" s="8" t="str">
        <f>[1]Data!E116</f>
        <v>CVCTE</v>
      </c>
      <c r="F116" s="8" t="str">
        <f>[1]Data!F116</f>
        <v>El Monte</v>
      </c>
      <c r="G116" s="8">
        <f>[1]Data!G116</f>
        <v>1</v>
      </c>
      <c r="H116" s="8">
        <f>[1]Data!H116</f>
        <v>1</v>
      </c>
      <c r="I116" s="8">
        <f>[1]Data!I116</f>
        <v>6</v>
      </c>
      <c r="J116" s="8">
        <f>[1]Data!J116</f>
        <v>0</v>
      </c>
      <c r="K116" s="8">
        <f>[1]Data!K116</f>
        <v>6</v>
      </c>
      <c r="L116" s="8">
        <f>[1]Data!L116</f>
        <v>0</v>
      </c>
      <c r="M116" s="8">
        <f>[1]Data!M116</f>
        <v>6</v>
      </c>
      <c r="N116" s="8">
        <f>[1]Data!N116</f>
        <v>0.41176470588235298</v>
      </c>
      <c r="O116" s="8">
        <f>[1]Data!O116</f>
        <v>2.4285714285714302</v>
      </c>
      <c r="P116" s="8">
        <f>[1]Data!P116</f>
        <v>1</v>
      </c>
      <c r="Q116" s="8">
        <f>[1]Data!Q116</f>
        <v>0</v>
      </c>
      <c r="R116" s="8">
        <f>[1]Data!R116</f>
        <v>0</v>
      </c>
      <c r="S116" s="8">
        <f>[1]Data!S116</f>
        <v>0</v>
      </c>
      <c r="T116">
        <f t="shared" si="5"/>
        <v>0.41176470588235298</v>
      </c>
      <c r="U116">
        <f t="shared" si="6"/>
        <v>2.4285714285714284</v>
      </c>
      <c r="V116" s="4" t="str">
        <f t="shared" si="7"/>
        <v>0</v>
      </c>
      <c r="W116" s="4" t="str">
        <f t="shared" si="8"/>
        <v>3</v>
      </c>
      <c r="X116" s="4" t="str">
        <f t="shared" si="9"/>
        <v>0CVCTE3</v>
      </c>
      <c r="Y116">
        <f>VLOOKUP(X116,Sheet1!$J$5:$K$121,2,FALSE)</f>
        <v>0</v>
      </c>
    </row>
    <row r="117" spans="1:25" x14ac:dyDescent="0.25">
      <c r="A117" s="8">
        <f>[1]Data!A117</f>
        <v>406702</v>
      </c>
      <c r="B117" s="8">
        <f>[1]Data!B117</f>
        <v>3</v>
      </c>
      <c r="C117" s="8">
        <f>[1]Data!C117</f>
        <v>0</v>
      </c>
      <c r="D117" s="8">
        <f>[1]Data!D117</f>
        <v>1</v>
      </c>
      <c r="E117" s="8" t="str">
        <f>[1]Data!E117</f>
        <v>CVCTE</v>
      </c>
      <c r="F117" s="8" t="str">
        <f>[1]Data!F117</f>
        <v>West Covina</v>
      </c>
      <c r="G117" s="8">
        <f>[1]Data!G117</f>
        <v>0</v>
      </c>
      <c r="H117" s="8">
        <f>[1]Data!H117</f>
        <v>0</v>
      </c>
      <c r="I117" s="8">
        <f>[1]Data!I117</f>
        <v>88.826999999999998</v>
      </c>
      <c r="J117" s="8">
        <f>[1]Data!J117</f>
        <v>41.302364070000003</v>
      </c>
      <c r="K117" s="8">
        <f>[1]Data!K117</f>
        <v>87.302364069999996</v>
      </c>
      <c r="L117" s="8">
        <f>[1]Data!L117</f>
        <v>1.52469204529623</v>
      </c>
      <c r="M117" s="8">
        <f>[1]Data!M117</f>
        <v>88.827056115296202</v>
      </c>
      <c r="N117" s="8">
        <f>[1]Data!N117</f>
        <v>0.41176470588235298</v>
      </c>
      <c r="O117" s="8">
        <f>[1]Data!O117</f>
        <v>0</v>
      </c>
      <c r="P117" s="8">
        <f>[1]Data!P117</f>
        <v>1</v>
      </c>
      <c r="Q117" s="8">
        <f>[1]Data!Q117</f>
        <v>0</v>
      </c>
      <c r="R117" s="8">
        <f>[1]Data!R117</f>
        <v>0</v>
      </c>
      <c r="S117" s="8">
        <f>[1]Data!S117</f>
        <v>0</v>
      </c>
      <c r="T117">
        <f t="shared" si="5"/>
        <v>0.41176470588235298</v>
      </c>
      <c r="U117">
        <f t="shared" si="6"/>
        <v>0</v>
      </c>
      <c r="V117" s="4" t="str">
        <f t="shared" si="7"/>
        <v>0</v>
      </c>
      <c r="W117" s="4" t="str">
        <f t="shared" si="8"/>
        <v>3</v>
      </c>
      <c r="X117" s="4" t="str">
        <f t="shared" si="9"/>
        <v>0CVCTE3</v>
      </c>
      <c r="Y117">
        <f>VLOOKUP(X117,Sheet1!$J$5:$K$121,2,FALSE)</f>
        <v>0</v>
      </c>
    </row>
    <row r="118" spans="1:25" x14ac:dyDescent="0.25">
      <c r="A118" s="8">
        <f>[1]Data!A118</f>
        <v>405202</v>
      </c>
      <c r="B118" s="8">
        <f>[1]Data!B118</f>
        <v>3</v>
      </c>
      <c r="C118" s="8">
        <f>[1]Data!C118</f>
        <v>0</v>
      </c>
      <c r="D118" s="8">
        <f>[1]Data!D118</f>
        <v>1</v>
      </c>
      <c r="E118" s="8" t="str">
        <f>[1]Data!E118</f>
        <v>CVCTE</v>
      </c>
      <c r="F118" s="8" t="str">
        <f>[1]Data!F118</f>
        <v>Baldwin Park</v>
      </c>
      <c r="G118" s="8">
        <f>[1]Data!G118</f>
        <v>1</v>
      </c>
      <c r="H118" s="8">
        <f>[1]Data!H118</f>
        <v>1</v>
      </c>
      <c r="I118" s="8">
        <f>[1]Data!I118</f>
        <v>24.422000000000001</v>
      </c>
      <c r="J118" s="8">
        <f>[1]Data!J118</f>
        <v>10.899927999999999</v>
      </c>
      <c r="K118" s="8">
        <f>[1]Data!K118</f>
        <v>23.899927999999999</v>
      </c>
      <c r="L118" s="8">
        <f>[1]Data!L118</f>
        <v>0.52228724391382397</v>
      </c>
      <c r="M118" s="8">
        <f>[1]Data!M118</f>
        <v>24.422215243913801</v>
      </c>
      <c r="N118" s="8">
        <f>[1]Data!N118</f>
        <v>0.41176470588235298</v>
      </c>
      <c r="O118" s="8">
        <f>[1]Data!O118</f>
        <v>2.4285714285714302</v>
      </c>
      <c r="P118" s="8">
        <f>[1]Data!P118</f>
        <v>1</v>
      </c>
      <c r="Q118" s="8">
        <f>[1]Data!Q118</f>
        <v>0</v>
      </c>
      <c r="R118" s="8">
        <f>[1]Data!R118</f>
        <v>0</v>
      </c>
      <c r="S118" s="8">
        <f>[1]Data!S118</f>
        <v>0</v>
      </c>
      <c r="T118">
        <f t="shared" si="5"/>
        <v>0.41176470588235298</v>
      </c>
      <c r="U118">
        <f t="shared" si="6"/>
        <v>2.4285714285714284</v>
      </c>
      <c r="V118" s="4" t="str">
        <f t="shared" si="7"/>
        <v>0</v>
      </c>
      <c r="W118" s="4" t="str">
        <f t="shared" si="8"/>
        <v>3</v>
      </c>
      <c r="X118" s="4" t="str">
        <f t="shared" si="9"/>
        <v>0CVCTE3</v>
      </c>
      <c r="Y118">
        <f>VLOOKUP(X118,Sheet1!$J$5:$K$121,2,FALSE)</f>
        <v>0</v>
      </c>
    </row>
    <row r="119" spans="1:25" x14ac:dyDescent="0.25">
      <c r="A119" s="8">
        <f>[1]Data!A119</f>
        <v>402501</v>
      </c>
      <c r="B119" s="8">
        <f>[1]Data!B119</f>
        <v>3</v>
      </c>
      <c r="C119" s="8">
        <f>[1]Data!C119</f>
        <v>0</v>
      </c>
      <c r="D119" s="8">
        <f>[1]Data!D119</f>
        <v>1</v>
      </c>
      <c r="E119" s="8" t="str">
        <f>[1]Data!E119</f>
        <v>CVCTE</v>
      </c>
      <c r="F119" s="8" t="str">
        <f>[1]Data!F119</f>
        <v>Pomona</v>
      </c>
      <c r="G119" s="8">
        <f>[1]Data!G119</f>
        <v>0</v>
      </c>
      <c r="H119" s="8">
        <f>[1]Data!H119</f>
        <v>0</v>
      </c>
      <c r="I119" s="8">
        <f>[1]Data!I119</f>
        <v>34.143000000000001</v>
      </c>
      <c r="J119" s="8">
        <f>[1]Data!J119</f>
        <v>11.99262966</v>
      </c>
      <c r="K119" s="8">
        <f>[1]Data!K119</f>
        <v>33.992629659999999</v>
      </c>
      <c r="L119" s="8">
        <f>[1]Data!L119</f>
        <v>0.149576912639138</v>
      </c>
      <c r="M119" s="8">
        <f>[1]Data!M119</f>
        <v>34.142206572639097</v>
      </c>
      <c r="N119" s="8">
        <f>[1]Data!N119</f>
        <v>0.41176470588235298</v>
      </c>
      <c r="O119" s="8">
        <f>[1]Data!O119</f>
        <v>0</v>
      </c>
      <c r="P119" s="8">
        <f>[1]Data!P119</f>
        <v>1</v>
      </c>
      <c r="Q119" s="8">
        <f>[1]Data!Q119</f>
        <v>0</v>
      </c>
      <c r="R119" s="8">
        <f>[1]Data!R119</f>
        <v>0</v>
      </c>
      <c r="S119" s="8">
        <f>[1]Data!S119</f>
        <v>0</v>
      </c>
      <c r="T119">
        <f t="shared" si="5"/>
        <v>0.41176470588235298</v>
      </c>
      <c r="U119">
        <f t="shared" si="6"/>
        <v>0</v>
      </c>
      <c r="V119" s="4" t="str">
        <f t="shared" si="7"/>
        <v>0</v>
      </c>
      <c r="W119" s="4" t="str">
        <f t="shared" si="8"/>
        <v>3</v>
      </c>
      <c r="X119" s="4" t="str">
        <f t="shared" si="9"/>
        <v>0CVCTE3</v>
      </c>
      <c r="Y119">
        <f>VLOOKUP(X119,Sheet1!$J$5:$K$121,2,FALSE)</f>
        <v>0</v>
      </c>
    </row>
    <row r="120" spans="1:25" x14ac:dyDescent="0.25">
      <c r="A120" s="8">
        <f>[1]Data!A120</f>
        <v>407501</v>
      </c>
      <c r="B120" s="8">
        <f>[1]Data!B120</f>
        <v>3</v>
      </c>
      <c r="C120" s="8">
        <f>[1]Data!C120</f>
        <v>0</v>
      </c>
      <c r="D120" s="8">
        <f>[1]Data!D120</f>
        <v>1</v>
      </c>
      <c r="E120" s="8" t="str">
        <f>[1]Data!E120</f>
        <v>CVCTE</v>
      </c>
      <c r="F120" s="8" t="str">
        <f>[1]Data!F120</f>
        <v>Valinda</v>
      </c>
      <c r="G120" s="8">
        <f>[1]Data!G120</f>
        <v>0</v>
      </c>
      <c r="H120" s="8">
        <f>[1]Data!H120</f>
        <v>0</v>
      </c>
      <c r="I120" s="8">
        <f>[1]Data!I120</f>
        <v>16.196000000000002</v>
      </c>
      <c r="J120" s="8">
        <f>[1]Data!J120</f>
        <v>12.77554816</v>
      </c>
      <c r="K120" s="8">
        <f>[1]Data!K120</f>
        <v>15.77554816</v>
      </c>
      <c r="L120" s="8">
        <f>[1]Data!L120</f>
        <v>0.420111406140036</v>
      </c>
      <c r="M120" s="8">
        <f>[1]Data!M120</f>
        <v>16.195659566140002</v>
      </c>
      <c r="N120" s="8">
        <f>[1]Data!N120</f>
        <v>0.41176470588235298</v>
      </c>
      <c r="O120" s="8">
        <f>[1]Data!O120</f>
        <v>0</v>
      </c>
      <c r="P120" s="8">
        <f>[1]Data!P120</f>
        <v>1</v>
      </c>
      <c r="Q120" s="8">
        <f>[1]Data!Q120</f>
        <v>0</v>
      </c>
      <c r="R120" s="8">
        <f>[1]Data!R120</f>
        <v>0</v>
      </c>
      <c r="S120" s="8">
        <f>[1]Data!S120</f>
        <v>0</v>
      </c>
      <c r="T120">
        <f t="shared" si="5"/>
        <v>0.41176470588235298</v>
      </c>
      <c r="U120">
        <f t="shared" si="6"/>
        <v>0</v>
      </c>
      <c r="V120" s="4" t="str">
        <f t="shared" si="7"/>
        <v>0</v>
      </c>
      <c r="W120" s="4" t="str">
        <f t="shared" si="8"/>
        <v>3</v>
      </c>
      <c r="X120" s="4" t="str">
        <f t="shared" si="9"/>
        <v>0CVCTE3</v>
      </c>
      <c r="Y120">
        <f>VLOOKUP(X120,Sheet1!$J$5:$K$121,2,FALSE)</f>
        <v>0</v>
      </c>
    </row>
    <row r="121" spans="1:25" x14ac:dyDescent="0.25">
      <c r="A121" s="8">
        <f>[1]Data!A121</f>
        <v>404402</v>
      </c>
      <c r="B121" s="8">
        <f>[1]Data!B121</f>
        <v>3</v>
      </c>
      <c r="C121" s="8">
        <f>[1]Data!C121</f>
        <v>0</v>
      </c>
      <c r="D121" s="8">
        <f>[1]Data!D121</f>
        <v>1</v>
      </c>
      <c r="E121" s="8" t="str">
        <f>[1]Data!E121</f>
        <v>CVCTE</v>
      </c>
      <c r="F121" s="8" t="str">
        <f>[1]Data!F121</f>
        <v>Azusa</v>
      </c>
      <c r="G121" s="8">
        <f>[1]Data!G121</f>
        <v>1</v>
      </c>
      <c r="H121" s="8">
        <f>[1]Data!H121</f>
        <v>1</v>
      </c>
      <c r="I121" s="8">
        <f>[1]Data!I121</f>
        <v>28.78</v>
      </c>
      <c r="J121" s="8">
        <f>[1]Data!J121</f>
        <v>19.758176880000001</v>
      </c>
      <c r="K121" s="8">
        <f>[1]Data!K121</f>
        <v>27.758176880000001</v>
      </c>
      <c r="L121" s="8">
        <f>[1]Data!L121</f>
        <v>1.02117873452424</v>
      </c>
      <c r="M121" s="8">
        <f>[1]Data!M121</f>
        <v>28.779355614524199</v>
      </c>
      <c r="N121" s="8">
        <f>[1]Data!N121</f>
        <v>0.41176470588235298</v>
      </c>
      <c r="O121" s="8">
        <f>[1]Data!O121</f>
        <v>2.4285714285714302</v>
      </c>
      <c r="P121" s="8">
        <f>[1]Data!P121</f>
        <v>1</v>
      </c>
      <c r="Q121" s="8">
        <f>[1]Data!Q121</f>
        <v>0</v>
      </c>
      <c r="R121" s="8">
        <f>[1]Data!R121</f>
        <v>0</v>
      </c>
      <c r="S121" s="8">
        <f>[1]Data!S121</f>
        <v>0</v>
      </c>
      <c r="T121">
        <f t="shared" si="5"/>
        <v>0.41176470588235298</v>
      </c>
      <c r="U121">
        <f t="shared" si="6"/>
        <v>2.4285714285714284</v>
      </c>
      <c r="V121" s="4" t="str">
        <f t="shared" si="7"/>
        <v>0</v>
      </c>
      <c r="W121" s="4" t="str">
        <f t="shared" si="8"/>
        <v>3</v>
      </c>
      <c r="X121" s="4" t="str">
        <f t="shared" si="9"/>
        <v>0CVCTE3</v>
      </c>
      <c r="Y121">
        <f>VLOOKUP(X121,Sheet1!$J$5:$K$121,2,FALSE)</f>
        <v>0</v>
      </c>
    </row>
    <row r="122" spans="1:25" x14ac:dyDescent="0.25">
      <c r="A122" s="8">
        <f>[1]Data!A122</f>
        <v>482521</v>
      </c>
      <c r="B122" s="8">
        <f>[1]Data!B122</f>
        <v>3</v>
      </c>
      <c r="C122" s="8">
        <f>[1]Data!C122</f>
        <v>0</v>
      </c>
      <c r="D122" s="8">
        <f>[1]Data!D122</f>
        <v>1</v>
      </c>
      <c r="E122" s="8" t="str">
        <f>[1]Data!E122</f>
        <v>CVCTE</v>
      </c>
      <c r="F122" s="8" t="str">
        <f>[1]Data!F122</f>
        <v>South San Gabriel</v>
      </c>
      <c r="G122" s="8">
        <f>[1]Data!G122</f>
        <v>0</v>
      </c>
      <c r="H122" s="8">
        <f>[1]Data!H122</f>
        <v>0</v>
      </c>
      <c r="I122" s="8">
        <f>[1]Data!I122</f>
        <v>28.812999999999999</v>
      </c>
      <c r="J122" s="8">
        <f>[1]Data!J122</f>
        <v>25.781363649999999</v>
      </c>
      <c r="K122" s="8">
        <f>[1]Data!K122</f>
        <v>27.781363649999999</v>
      </c>
      <c r="L122" s="8">
        <f>[1]Data!L122</f>
        <v>1.03146494378815</v>
      </c>
      <c r="M122" s="8">
        <f>[1]Data!M122</f>
        <v>28.8128285937882</v>
      </c>
      <c r="N122" s="8">
        <f>[1]Data!N122</f>
        <v>0.41176470588235298</v>
      </c>
      <c r="O122" s="8">
        <f>[1]Data!O122</f>
        <v>0</v>
      </c>
      <c r="P122" s="8">
        <f>[1]Data!P122</f>
        <v>1</v>
      </c>
      <c r="Q122" s="8">
        <f>[1]Data!Q122</f>
        <v>0</v>
      </c>
      <c r="R122" s="8">
        <f>[1]Data!R122</f>
        <v>0</v>
      </c>
      <c r="S122" s="8">
        <f>[1]Data!S122</f>
        <v>0</v>
      </c>
      <c r="T122">
        <f t="shared" si="5"/>
        <v>0.41176470588235298</v>
      </c>
      <c r="U122">
        <f t="shared" si="6"/>
        <v>0</v>
      </c>
      <c r="V122" s="4" t="str">
        <f t="shared" si="7"/>
        <v>0</v>
      </c>
      <c r="W122" s="4" t="str">
        <f t="shared" si="8"/>
        <v>3</v>
      </c>
      <c r="X122" s="4" t="str">
        <f t="shared" si="9"/>
        <v>0CVCTE3</v>
      </c>
      <c r="Y122">
        <f>VLOOKUP(X122,Sheet1!$J$5:$K$121,2,FALSE)</f>
        <v>0</v>
      </c>
    </row>
    <row r="123" spans="1:25" x14ac:dyDescent="0.25">
      <c r="A123" s="8">
        <f>[1]Data!A123</f>
        <v>434004</v>
      </c>
      <c r="B123" s="8">
        <f>[1]Data!B123</f>
        <v>3</v>
      </c>
      <c r="C123" s="8">
        <f>[1]Data!C123</f>
        <v>0</v>
      </c>
      <c r="D123" s="8">
        <f>[1]Data!D123</f>
        <v>1</v>
      </c>
      <c r="E123" s="8" t="str">
        <f>[1]Data!E123</f>
        <v>CVCTE</v>
      </c>
      <c r="F123" s="8" t="str">
        <f>[1]Data!F123</f>
        <v>El Monte</v>
      </c>
      <c r="G123" s="8">
        <f>[1]Data!G123</f>
        <v>1</v>
      </c>
      <c r="H123" s="8">
        <f>[1]Data!H123</f>
        <v>1</v>
      </c>
      <c r="I123" s="8">
        <f>[1]Data!I123</f>
        <v>15.276</v>
      </c>
      <c r="J123" s="8">
        <f>[1]Data!J123</f>
        <v>4.8620928000000001</v>
      </c>
      <c r="K123" s="8">
        <f>[1]Data!K123</f>
        <v>14.862092799999999</v>
      </c>
      <c r="L123" s="8">
        <f>[1]Data!L123</f>
        <v>0.414076613662478</v>
      </c>
      <c r="M123" s="8">
        <f>[1]Data!M123</f>
        <v>15.276169413662499</v>
      </c>
      <c r="N123" s="8">
        <f>[1]Data!N123</f>
        <v>0.41176470588235298</v>
      </c>
      <c r="O123" s="8">
        <f>[1]Data!O123</f>
        <v>2.4285714285714302</v>
      </c>
      <c r="P123" s="8">
        <f>[1]Data!P123</f>
        <v>1</v>
      </c>
      <c r="Q123" s="8">
        <f>[1]Data!Q123</f>
        <v>0</v>
      </c>
      <c r="R123" s="8">
        <f>[1]Data!R123</f>
        <v>0</v>
      </c>
      <c r="S123" s="8">
        <f>[1]Data!S123</f>
        <v>0</v>
      </c>
      <c r="T123">
        <f t="shared" si="5"/>
        <v>0.41176470588235298</v>
      </c>
      <c r="U123">
        <f t="shared" si="6"/>
        <v>2.4285714285714284</v>
      </c>
      <c r="V123" s="4" t="str">
        <f t="shared" si="7"/>
        <v>0</v>
      </c>
      <c r="W123" s="4" t="str">
        <f t="shared" si="8"/>
        <v>3</v>
      </c>
      <c r="X123" s="4" t="str">
        <f t="shared" si="9"/>
        <v>0CVCTE3</v>
      </c>
      <c r="Y123">
        <f>VLOOKUP(X123,Sheet1!$J$5:$K$121,2,FALSE)</f>
        <v>0</v>
      </c>
    </row>
    <row r="124" spans="1:25" x14ac:dyDescent="0.25">
      <c r="A124" s="8">
        <f>[1]Data!A124</f>
        <v>430801</v>
      </c>
      <c r="B124" s="8">
        <f>[1]Data!B124</f>
        <v>3</v>
      </c>
      <c r="C124" s="8">
        <f>[1]Data!C124</f>
        <v>0</v>
      </c>
      <c r="D124" s="8">
        <f>[1]Data!D124</f>
        <v>5</v>
      </c>
      <c r="E124" s="8" t="str">
        <f>[1]Data!E124</f>
        <v>CVCTE</v>
      </c>
      <c r="F124" s="8" t="str">
        <f>[1]Data!F124</f>
        <v>Arcadia</v>
      </c>
      <c r="G124" s="8">
        <f>[1]Data!G124</f>
        <v>0</v>
      </c>
      <c r="H124" s="8">
        <f>[1]Data!H124</f>
        <v>0</v>
      </c>
      <c r="I124" s="8">
        <f>[1]Data!I124</f>
        <v>4.1900000000000004</v>
      </c>
      <c r="J124" s="8">
        <f>[1]Data!J124</f>
        <v>3.9673993200000002</v>
      </c>
      <c r="K124" s="8">
        <f>[1]Data!K124</f>
        <v>3.9673993200000002</v>
      </c>
      <c r="L124" s="8">
        <f>[1]Data!L124</f>
        <v>0.22234520276481101</v>
      </c>
      <c r="M124" s="8">
        <f>[1]Data!M124</f>
        <v>4.1897445227648102</v>
      </c>
      <c r="N124" s="8">
        <f>[1]Data!N124</f>
        <v>0.41176470588235298</v>
      </c>
      <c r="O124" s="8">
        <f>[1]Data!O124</f>
        <v>0</v>
      </c>
      <c r="P124" s="8">
        <f>[1]Data!P124</f>
        <v>1</v>
      </c>
      <c r="Q124" s="8">
        <f>[1]Data!Q124</f>
        <v>0</v>
      </c>
      <c r="R124" s="8">
        <f>[1]Data!R124</f>
        <v>0</v>
      </c>
      <c r="S124" s="8">
        <f>[1]Data!S124</f>
        <v>0</v>
      </c>
      <c r="T124">
        <f t="shared" si="5"/>
        <v>0.41176470588235298</v>
      </c>
      <c r="U124">
        <f t="shared" si="6"/>
        <v>0</v>
      </c>
      <c r="V124" s="4" t="str">
        <f t="shared" si="7"/>
        <v>0</v>
      </c>
      <c r="W124" s="4" t="str">
        <f t="shared" si="8"/>
        <v>3</v>
      </c>
      <c r="X124" s="4" t="str">
        <f t="shared" si="9"/>
        <v>0CVCTE3</v>
      </c>
      <c r="Y124">
        <f>VLOOKUP(X124,Sheet1!$J$5:$K$121,2,FALSE)</f>
        <v>0</v>
      </c>
    </row>
    <row r="125" spans="1:25" x14ac:dyDescent="0.25">
      <c r="A125" s="8">
        <f>[1]Data!A125</f>
        <v>403802</v>
      </c>
      <c r="B125" s="8">
        <f>[1]Data!B125</f>
        <v>3</v>
      </c>
      <c r="C125" s="8">
        <f>[1]Data!C125</f>
        <v>0</v>
      </c>
      <c r="D125" s="8">
        <f>[1]Data!D125</f>
        <v>5</v>
      </c>
      <c r="E125" s="8" t="str">
        <f>[1]Data!E125</f>
        <v>CVCTE</v>
      </c>
      <c r="F125" s="8" t="str">
        <f>[1]Data!F125</f>
        <v>Charter Oak</v>
      </c>
      <c r="G125" s="8">
        <f>[1]Data!G125</f>
        <v>0</v>
      </c>
      <c r="H125" s="8">
        <f>[1]Data!H125</f>
        <v>0</v>
      </c>
      <c r="I125" s="8">
        <f>[1]Data!I125</f>
        <v>26.207000000000001</v>
      </c>
      <c r="J125" s="8">
        <f>[1]Data!J125</f>
        <v>23.98847443</v>
      </c>
      <c r="K125" s="8">
        <f>[1]Data!K125</f>
        <v>24.98847443</v>
      </c>
      <c r="L125" s="8">
        <f>[1]Data!L125</f>
        <v>1.21884030816876</v>
      </c>
      <c r="M125" s="8">
        <f>[1]Data!M125</f>
        <v>26.207314738168801</v>
      </c>
      <c r="N125" s="8">
        <f>[1]Data!N125</f>
        <v>0.41176470588235298</v>
      </c>
      <c r="O125" s="8">
        <f>[1]Data!O125</f>
        <v>0</v>
      </c>
      <c r="P125" s="8">
        <f>[1]Data!P125</f>
        <v>1</v>
      </c>
      <c r="Q125" s="8">
        <f>[1]Data!Q125</f>
        <v>0</v>
      </c>
      <c r="R125" s="8">
        <f>[1]Data!R125</f>
        <v>0</v>
      </c>
      <c r="S125" s="8">
        <f>[1]Data!S125</f>
        <v>0</v>
      </c>
      <c r="T125">
        <f t="shared" si="5"/>
        <v>0.41176470588235298</v>
      </c>
      <c r="U125">
        <f t="shared" si="6"/>
        <v>0</v>
      </c>
      <c r="V125" s="4" t="str">
        <f t="shared" si="7"/>
        <v>0</v>
      </c>
      <c r="W125" s="4" t="str">
        <f t="shared" si="8"/>
        <v>3</v>
      </c>
      <c r="X125" s="4" t="str">
        <f t="shared" si="9"/>
        <v>0CVCTE3</v>
      </c>
      <c r="Y125">
        <f>VLOOKUP(X125,Sheet1!$J$5:$K$121,2,FALSE)</f>
        <v>0</v>
      </c>
    </row>
    <row r="126" spans="1:25" x14ac:dyDescent="0.25">
      <c r="A126" s="8">
        <f>[1]Data!A126</f>
        <v>432102</v>
      </c>
      <c r="B126" s="8">
        <f>[1]Data!B126</f>
        <v>3</v>
      </c>
      <c r="C126" s="8">
        <f>[1]Data!C126</f>
        <v>0</v>
      </c>
      <c r="D126" s="8">
        <f>[1]Data!D126</f>
        <v>5</v>
      </c>
      <c r="E126" s="8" t="str">
        <f>[1]Data!E126</f>
        <v>CVCTE</v>
      </c>
      <c r="F126" s="8" t="str">
        <f>[1]Data!F126</f>
        <v>Temple City</v>
      </c>
      <c r="G126" s="8">
        <f>[1]Data!G126</f>
        <v>0</v>
      </c>
      <c r="H126" s="8">
        <f>[1]Data!H126</f>
        <v>0</v>
      </c>
      <c r="I126" s="8">
        <f>[1]Data!I126</f>
        <v>0</v>
      </c>
      <c r="J126" s="8">
        <f>[1]Data!J126</f>
        <v>0</v>
      </c>
      <c r="K126" s="8">
        <f>[1]Data!K126</f>
        <v>0</v>
      </c>
      <c r="L126" s="8">
        <f>[1]Data!L126</f>
        <v>0</v>
      </c>
      <c r="M126" s="8">
        <f>[1]Data!M126</f>
        <v>0</v>
      </c>
      <c r="N126" s="8">
        <f>[1]Data!N126</f>
        <v>0.41176470588235298</v>
      </c>
      <c r="O126" s="8">
        <f>[1]Data!O126</f>
        <v>0</v>
      </c>
      <c r="P126" s="8">
        <f>[1]Data!P126</f>
        <v>1</v>
      </c>
      <c r="Q126" s="8">
        <f>[1]Data!Q126</f>
        <v>0</v>
      </c>
      <c r="R126" s="8">
        <f>[1]Data!R126</f>
        <v>0</v>
      </c>
      <c r="S126" s="8">
        <f>[1]Data!S126</f>
        <v>0</v>
      </c>
      <c r="T126">
        <f t="shared" si="5"/>
        <v>0.41176470588235298</v>
      </c>
      <c r="U126">
        <f t="shared" si="6"/>
        <v>0</v>
      </c>
      <c r="V126" s="4" t="str">
        <f t="shared" si="7"/>
        <v>0</v>
      </c>
      <c r="W126" s="4" t="str">
        <f t="shared" si="8"/>
        <v>3</v>
      </c>
      <c r="X126" s="4" t="str">
        <f t="shared" si="9"/>
        <v>0CVCTE3</v>
      </c>
      <c r="Y126">
        <f>VLOOKUP(X126,Sheet1!$J$5:$K$121,2,FALSE)</f>
        <v>0</v>
      </c>
    </row>
    <row r="127" spans="1:25" x14ac:dyDescent="0.25">
      <c r="A127" s="8">
        <f>[1]Data!A127</f>
        <v>407900</v>
      </c>
      <c r="B127" s="8">
        <f>[1]Data!B127</f>
        <v>3</v>
      </c>
      <c r="C127" s="8">
        <f>[1]Data!C127</f>
        <v>0</v>
      </c>
      <c r="D127" s="8">
        <f>[1]Data!D127</f>
        <v>1</v>
      </c>
      <c r="E127" s="8" t="str">
        <f>[1]Data!E127</f>
        <v>CVCTE</v>
      </c>
      <c r="F127" s="8" t="str">
        <f>[1]Data!F127</f>
        <v>Valinda</v>
      </c>
      <c r="G127" s="8">
        <f>[1]Data!G127</f>
        <v>0</v>
      </c>
      <c r="H127" s="8">
        <f>[1]Data!H127</f>
        <v>0</v>
      </c>
      <c r="I127" s="8">
        <f>[1]Data!I127</f>
        <v>17.062000000000001</v>
      </c>
      <c r="J127" s="8">
        <f>[1]Data!J127</f>
        <v>11.6657388</v>
      </c>
      <c r="K127" s="8">
        <f>[1]Data!K127</f>
        <v>16.6657388</v>
      </c>
      <c r="L127" s="8">
        <f>[1]Data!L127</f>
        <v>0.39539377039497298</v>
      </c>
      <c r="M127" s="8">
        <f>[1]Data!M127</f>
        <v>17.061132570394999</v>
      </c>
      <c r="N127" s="8">
        <f>[1]Data!N127</f>
        <v>0.41176470588235298</v>
      </c>
      <c r="O127" s="8">
        <f>[1]Data!O127</f>
        <v>0</v>
      </c>
      <c r="P127" s="8">
        <f>[1]Data!P127</f>
        <v>1</v>
      </c>
      <c r="Q127" s="8">
        <f>[1]Data!Q127</f>
        <v>0</v>
      </c>
      <c r="R127" s="8">
        <f>[1]Data!R127</f>
        <v>0</v>
      </c>
      <c r="S127" s="8">
        <f>[1]Data!S127</f>
        <v>0</v>
      </c>
      <c r="T127">
        <f t="shared" si="5"/>
        <v>0.41176470588235298</v>
      </c>
      <c r="U127">
        <f t="shared" si="6"/>
        <v>0</v>
      </c>
      <c r="V127" s="4" t="str">
        <f t="shared" si="7"/>
        <v>0</v>
      </c>
      <c r="W127" s="4" t="str">
        <f t="shared" si="8"/>
        <v>3</v>
      </c>
      <c r="X127" s="4" t="str">
        <f t="shared" si="9"/>
        <v>0CVCTE3</v>
      </c>
      <c r="Y127">
        <f>VLOOKUP(X127,Sheet1!$J$5:$K$121,2,FALSE)</f>
        <v>0</v>
      </c>
    </row>
    <row r="128" spans="1:25" x14ac:dyDescent="0.25">
      <c r="A128" s="8">
        <f>[1]Data!A128</f>
        <v>482701</v>
      </c>
      <c r="B128" s="8">
        <f>[1]Data!B128</f>
        <v>3</v>
      </c>
      <c r="C128" s="8">
        <f>[1]Data!C128</f>
        <v>0</v>
      </c>
      <c r="D128" s="8">
        <f>[1]Data!D128</f>
        <v>1</v>
      </c>
      <c r="E128" s="8" t="str">
        <f>[1]Data!E128</f>
        <v>CVCTE</v>
      </c>
      <c r="F128" s="8" t="str">
        <f>[1]Data!F128</f>
        <v>Monterey Park</v>
      </c>
      <c r="G128" s="8">
        <f>[1]Data!G128</f>
        <v>1</v>
      </c>
      <c r="H128" s="8">
        <f>[1]Data!H128</f>
        <v>1</v>
      </c>
      <c r="I128" s="8">
        <f>[1]Data!I128</f>
        <v>6.5110000000000001</v>
      </c>
      <c r="J128" s="8">
        <f>[1]Data!J128</f>
        <v>3.4144237899999998</v>
      </c>
      <c r="K128" s="8">
        <f>[1]Data!K128</f>
        <v>6.4144237899999998</v>
      </c>
      <c r="L128" s="8">
        <f>[1]Data!L128</f>
        <v>9.6477442046678602E-2</v>
      </c>
      <c r="M128" s="8">
        <f>[1]Data!M128</f>
        <v>6.5109012320466801</v>
      </c>
      <c r="N128" s="8">
        <f>[1]Data!N128</f>
        <v>0.41176470588235298</v>
      </c>
      <c r="O128" s="8">
        <f>[1]Data!O128</f>
        <v>2.4285714285714302</v>
      </c>
      <c r="P128" s="8">
        <f>[1]Data!P128</f>
        <v>1</v>
      </c>
      <c r="Q128" s="8">
        <f>[1]Data!Q128</f>
        <v>0</v>
      </c>
      <c r="R128" s="8">
        <f>[1]Data!R128</f>
        <v>0</v>
      </c>
      <c r="S128" s="8">
        <f>[1]Data!S128</f>
        <v>0</v>
      </c>
      <c r="T128">
        <f t="shared" si="5"/>
        <v>0.41176470588235298</v>
      </c>
      <c r="U128">
        <f t="shared" si="6"/>
        <v>2.4285714285714284</v>
      </c>
      <c r="V128" s="4" t="str">
        <f t="shared" si="7"/>
        <v>0</v>
      </c>
      <c r="W128" s="4" t="str">
        <f t="shared" si="8"/>
        <v>3</v>
      </c>
      <c r="X128" s="4" t="str">
        <f t="shared" si="9"/>
        <v>0CVCTE3</v>
      </c>
      <c r="Y128">
        <f>VLOOKUP(X128,Sheet1!$J$5:$K$121,2,FALSE)</f>
        <v>0</v>
      </c>
    </row>
    <row r="129" spans="1:25" x14ac:dyDescent="0.25">
      <c r="A129" s="8">
        <f>[1]Data!A129</f>
        <v>481901</v>
      </c>
      <c r="B129" s="8">
        <f>[1]Data!B129</f>
        <v>3</v>
      </c>
      <c r="C129" s="8">
        <f>[1]Data!C129</f>
        <v>0</v>
      </c>
      <c r="D129" s="8">
        <f>[1]Data!D129</f>
        <v>5</v>
      </c>
      <c r="E129" s="8" t="str">
        <f>[1]Data!E129</f>
        <v>CVCTE</v>
      </c>
      <c r="F129" s="8" t="str">
        <f>[1]Data!F129</f>
        <v>Alhambra</v>
      </c>
      <c r="G129" s="8">
        <f>[1]Data!G129</f>
        <v>0</v>
      </c>
      <c r="H129" s="8">
        <f>[1]Data!H129</f>
        <v>0</v>
      </c>
      <c r="I129" s="8">
        <f>[1]Data!I129</f>
        <v>33.914999999999999</v>
      </c>
      <c r="J129" s="8">
        <f>[1]Data!J129</f>
        <v>16.948369270000001</v>
      </c>
      <c r="K129" s="8">
        <f>[1]Data!K129</f>
        <v>32.948369270000001</v>
      </c>
      <c r="L129" s="8">
        <f>[1]Data!L129</f>
        <v>0.96588131353680395</v>
      </c>
      <c r="M129" s="8">
        <f>[1]Data!M129</f>
        <v>33.914250583536798</v>
      </c>
      <c r="N129" s="8">
        <f>[1]Data!N129</f>
        <v>0.41176470588235298</v>
      </c>
      <c r="O129" s="8">
        <f>[1]Data!O129</f>
        <v>0</v>
      </c>
      <c r="P129" s="8">
        <f>[1]Data!P129</f>
        <v>1</v>
      </c>
      <c r="Q129" s="8">
        <f>[1]Data!Q129</f>
        <v>0</v>
      </c>
      <c r="R129" s="8">
        <f>[1]Data!R129</f>
        <v>0</v>
      </c>
      <c r="S129" s="8">
        <f>[1]Data!S129</f>
        <v>0</v>
      </c>
      <c r="T129">
        <f t="shared" si="5"/>
        <v>0.41176470588235298</v>
      </c>
      <c r="U129">
        <f t="shared" si="6"/>
        <v>0</v>
      </c>
      <c r="V129" s="4" t="str">
        <f t="shared" si="7"/>
        <v>0</v>
      </c>
      <c r="W129" s="4" t="str">
        <f t="shared" si="8"/>
        <v>3</v>
      </c>
      <c r="X129" s="4" t="str">
        <f t="shared" si="9"/>
        <v>0CVCTE3</v>
      </c>
      <c r="Y129">
        <f>VLOOKUP(X129,Sheet1!$J$5:$K$121,2,FALSE)</f>
        <v>0</v>
      </c>
    </row>
    <row r="130" spans="1:25" x14ac:dyDescent="0.25">
      <c r="A130" s="8">
        <f>[1]Data!A130</f>
        <v>402304</v>
      </c>
      <c r="B130" s="8">
        <f>[1]Data!B130</f>
        <v>3</v>
      </c>
      <c r="C130" s="8">
        <f>[1]Data!C130</f>
        <v>0</v>
      </c>
      <c r="D130" s="8">
        <f>[1]Data!D130</f>
        <v>1</v>
      </c>
      <c r="E130" s="8" t="str">
        <f>[1]Data!E130</f>
        <v>CVCTE</v>
      </c>
      <c r="F130" s="8" t="str">
        <f>[1]Data!F130</f>
        <v>Pomona</v>
      </c>
      <c r="G130" s="8">
        <f>[1]Data!G130</f>
        <v>0</v>
      </c>
      <c r="H130" s="8">
        <f>[1]Data!H130</f>
        <v>0</v>
      </c>
      <c r="I130" s="8">
        <f>[1]Data!I130</f>
        <v>14.183</v>
      </c>
      <c r="J130" s="8">
        <f>[1]Data!J130</f>
        <v>9.0772230599999997</v>
      </c>
      <c r="K130" s="8">
        <f>[1]Data!K130</f>
        <v>14.07722306</v>
      </c>
      <c r="L130" s="8">
        <f>[1]Data!L130</f>
        <v>0.104859829766607</v>
      </c>
      <c r="M130" s="8">
        <f>[1]Data!M130</f>
        <v>14.182082889766599</v>
      </c>
      <c r="N130" s="8">
        <f>[1]Data!N130</f>
        <v>0.41176470588235298</v>
      </c>
      <c r="O130" s="8">
        <f>[1]Data!O130</f>
        <v>0</v>
      </c>
      <c r="P130" s="8">
        <f>[1]Data!P130</f>
        <v>1</v>
      </c>
      <c r="Q130" s="8">
        <f>[1]Data!Q130</f>
        <v>0</v>
      </c>
      <c r="R130" s="8">
        <f>[1]Data!R130</f>
        <v>0</v>
      </c>
      <c r="S130" s="8">
        <f>[1]Data!S130</f>
        <v>0</v>
      </c>
      <c r="T130">
        <f t="shared" si="5"/>
        <v>0.41176470588235298</v>
      </c>
      <c r="U130">
        <f t="shared" si="6"/>
        <v>0</v>
      </c>
      <c r="V130" s="4" t="str">
        <f t="shared" si="7"/>
        <v>0</v>
      </c>
      <c r="W130" s="4" t="str">
        <f t="shared" si="8"/>
        <v>3</v>
      </c>
      <c r="X130" s="4" t="str">
        <f t="shared" si="9"/>
        <v>0CVCTE3</v>
      </c>
      <c r="Y130">
        <f>VLOOKUP(X130,Sheet1!$J$5:$K$121,2,FALSE)</f>
        <v>0</v>
      </c>
    </row>
    <row r="131" spans="1:25" x14ac:dyDescent="0.25">
      <c r="A131" s="8">
        <f>[1]Data!A131</f>
        <v>408504</v>
      </c>
      <c r="B131" s="8">
        <f>[1]Data!B131</f>
        <v>3</v>
      </c>
      <c r="C131" s="8">
        <f>[1]Data!C131</f>
        <v>0</v>
      </c>
      <c r="D131" s="8">
        <f>[1]Data!D131</f>
        <v>4</v>
      </c>
      <c r="E131" s="8" t="str">
        <f>[1]Data!E131</f>
        <v>CVCTE</v>
      </c>
      <c r="F131" s="8" t="str">
        <f>[1]Data!F131</f>
        <v>Hacienda Heights</v>
      </c>
      <c r="G131" s="8">
        <f>[1]Data!G131</f>
        <v>0</v>
      </c>
      <c r="H131" s="8">
        <f>[1]Data!H131</f>
        <v>0</v>
      </c>
      <c r="I131" s="8">
        <f>[1]Data!I131</f>
        <v>4.7720000000000002</v>
      </c>
      <c r="J131" s="8">
        <f>[1]Data!J131</f>
        <v>4.31758971</v>
      </c>
      <c r="K131" s="8">
        <f>[1]Data!K131</f>
        <v>4.31758971</v>
      </c>
      <c r="L131" s="8">
        <f>[1]Data!L131</f>
        <v>0.45435601842010798</v>
      </c>
      <c r="M131" s="8">
        <f>[1]Data!M131</f>
        <v>4.7719457284201097</v>
      </c>
      <c r="N131" s="8">
        <f>[1]Data!N131</f>
        <v>0.41176470588235298</v>
      </c>
      <c r="O131" s="8">
        <f>[1]Data!O131</f>
        <v>0</v>
      </c>
      <c r="P131" s="8">
        <f>[1]Data!P131</f>
        <v>1</v>
      </c>
      <c r="Q131" s="8">
        <f>[1]Data!Q131</f>
        <v>0</v>
      </c>
      <c r="R131" s="8">
        <f>[1]Data!R131</f>
        <v>0</v>
      </c>
      <c r="S131" s="8">
        <f>[1]Data!S131</f>
        <v>0</v>
      </c>
      <c r="T131">
        <f t="shared" ref="T131:T194" si="10">N131+Y131*(1-N131)</f>
        <v>0.41176470588235298</v>
      </c>
      <c r="U131">
        <f t="shared" ref="U131:U194" si="11">IF(T131="",0,1/T131*H131)</f>
        <v>0</v>
      </c>
      <c r="V131" s="4" t="str">
        <f t="shared" ref="V131:V194" si="12">TEXT(C131,"0")</f>
        <v>0</v>
      </c>
      <c r="W131" s="4" t="str">
        <f t="shared" ref="W131:W194" si="13">TEXT(B131,"0")</f>
        <v>3</v>
      </c>
      <c r="X131" s="4" t="str">
        <f t="shared" ref="X131:X194" si="14">CONCATENATE(V131,E131,W131)</f>
        <v>0CVCTE3</v>
      </c>
      <c r="Y131">
        <f>VLOOKUP(X131,Sheet1!$J$5:$K$121,2,FALSE)</f>
        <v>0</v>
      </c>
    </row>
    <row r="132" spans="1:25" x14ac:dyDescent="0.25">
      <c r="A132" s="8">
        <f>[1]Data!A132</f>
        <v>403000</v>
      </c>
      <c r="B132" s="8">
        <f>[1]Data!B132</f>
        <v>3</v>
      </c>
      <c r="C132" s="8">
        <f>[1]Data!C132</f>
        <v>0</v>
      </c>
      <c r="D132" s="8">
        <f>[1]Data!D132</f>
        <v>1</v>
      </c>
      <c r="E132" s="8" t="str">
        <f>[1]Data!E132</f>
        <v>CVCTE</v>
      </c>
      <c r="F132" s="8" t="str">
        <f>[1]Data!F132</f>
        <v>Pomona</v>
      </c>
      <c r="G132" s="8">
        <f>[1]Data!G132</f>
        <v>1</v>
      </c>
      <c r="H132" s="8">
        <f>[1]Data!H132</f>
        <v>1</v>
      </c>
      <c r="I132" s="8">
        <f>[1]Data!I132</f>
        <v>23.338000000000001</v>
      </c>
      <c r="J132" s="8">
        <f>[1]Data!J132</f>
        <v>16.788433380000001</v>
      </c>
      <c r="K132" s="8">
        <f>[1]Data!K132</f>
        <v>22.788433380000001</v>
      </c>
      <c r="L132" s="8">
        <f>[1]Data!L132</f>
        <v>0.55041684497306997</v>
      </c>
      <c r="M132" s="8">
        <f>[1]Data!M132</f>
        <v>23.3388502249731</v>
      </c>
      <c r="N132" s="8">
        <f>[1]Data!N132</f>
        <v>0.41176470588235298</v>
      </c>
      <c r="O132" s="8">
        <f>[1]Data!O132</f>
        <v>2.4285714285714302</v>
      </c>
      <c r="P132" s="8">
        <f>[1]Data!P132</f>
        <v>1</v>
      </c>
      <c r="Q132" s="8">
        <f>[1]Data!Q132</f>
        <v>0</v>
      </c>
      <c r="R132" s="8">
        <f>[1]Data!R132</f>
        <v>0</v>
      </c>
      <c r="S132" s="8">
        <f>[1]Data!S132</f>
        <v>0</v>
      </c>
      <c r="T132">
        <f t="shared" si="10"/>
        <v>0.41176470588235298</v>
      </c>
      <c r="U132">
        <f t="shared" si="11"/>
        <v>2.4285714285714284</v>
      </c>
      <c r="V132" s="4" t="str">
        <f t="shared" si="12"/>
        <v>0</v>
      </c>
      <c r="W132" s="4" t="str">
        <f t="shared" si="13"/>
        <v>3</v>
      </c>
      <c r="X132" s="4" t="str">
        <f t="shared" si="14"/>
        <v>0CVCTE3</v>
      </c>
      <c r="Y132">
        <f>VLOOKUP(X132,Sheet1!$J$5:$K$121,2,FALSE)</f>
        <v>0</v>
      </c>
    </row>
    <row r="133" spans="1:25" x14ac:dyDescent="0.25">
      <c r="A133" s="8">
        <f>[1]Data!A133</f>
        <v>400603</v>
      </c>
      <c r="B133" s="8">
        <f>[1]Data!B133</f>
        <v>3</v>
      </c>
      <c r="C133" s="8">
        <f>[1]Data!C133</f>
        <v>0</v>
      </c>
      <c r="D133" s="8">
        <f>[1]Data!D133</f>
        <v>1</v>
      </c>
      <c r="E133" s="8" t="str">
        <f>[1]Data!E133</f>
        <v>CVCTE</v>
      </c>
      <c r="F133" s="8" t="str">
        <f>[1]Data!F133</f>
        <v>Azusa</v>
      </c>
      <c r="G133" s="8">
        <f>[1]Data!G133</f>
        <v>0</v>
      </c>
      <c r="H133" s="8">
        <f>[1]Data!H133</f>
        <v>0</v>
      </c>
      <c r="I133" s="8">
        <f>[1]Data!I133</f>
        <v>38.475000000000001</v>
      </c>
      <c r="J133" s="8">
        <f>[1]Data!J133</f>
        <v>16.430845349999998</v>
      </c>
      <c r="K133" s="8">
        <f>[1]Data!K133</f>
        <v>37.430845349999998</v>
      </c>
      <c r="L133" s="8">
        <f>[1]Data!L133</f>
        <v>1.0432144190664301</v>
      </c>
      <c r="M133" s="8">
        <f>[1]Data!M133</f>
        <v>38.4740597690664</v>
      </c>
      <c r="N133" s="8">
        <f>[1]Data!N133</f>
        <v>0.41176470588235298</v>
      </c>
      <c r="O133" s="8">
        <f>[1]Data!O133</f>
        <v>0</v>
      </c>
      <c r="P133" s="8">
        <f>[1]Data!P133</f>
        <v>1</v>
      </c>
      <c r="Q133" s="8">
        <f>[1]Data!Q133</f>
        <v>0</v>
      </c>
      <c r="R133" s="8">
        <f>[1]Data!R133</f>
        <v>0</v>
      </c>
      <c r="S133" s="8">
        <f>[1]Data!S133</f>
        <v>0</v>
      </c>
      <c r="T133">
        <f t="shared" si="10"/>
        <v>0.41176470588235298</v>
      </c>
      <c r="U133">
        <f t="shared" si="11"/>
        <v>0</v>
      </c>
      <c r="V133" s="4" t="str">
        <f t="shared" si="12"/>
        <v>0</v>
      </c>
      <c r="W133" s="4" t="str">
        <f t="shared" si="13"/>
        <v>3</v>
      </c>
      <c r="X133" s="4" t="str">
        <f t="shared" si="14"/>
        <v>0CVCTE3</v>
      </c>
      <c r="Y133">
        <f>VLOOKUP(X133,Sheet1!$J$5:$K$121,2,FALSE)</f>
        <v>0</v>
      </c>
    </row>
    <row r="134" spans="1:25" x14ac:dyDescent="0.25">
      <c r="A134" s="8">
        <f>[1]Data!A134</f>
        <v>481201</v>
      </c>
      <c r="B134" s="8">
        <f>[1]Data!B134</f>
        <v>3</v>
      </c>
      <c r="C134" s="8">
        <f>[1]Data!C134</f>
        <v>0</v>
      </c>
      <c r="D134" s="8">
        <f>[1]Data!D134</f>
        <v>5</v>
      </c>
      <c r="E134" s="8" t="str">
        <f>[1]Data!E134</f>
        <v>CVCTE</v>
      </c>
      <c r="F134" s="8" t="str">
        <f>[1]Data!F134</f>
        <v>Temple City</v>
      </c>
      <c r="G134" s="8">
        <f>[1]Data!G134</f>
        <v>1</v>
      </c>
      <c r="H134" s="8">
        <f>[1]Data!H134</f>
        <v>1</v>
      </c>
      <c r="I134" s="8">
        <f>[1]Data!I134</f>
        <v>11.058</v>
      </c>
      <c r="J134" s="8">
        <f>[1]Data!J134</f>
        <v>8.7152207900000001</v>
      </c>
      <c r="K134" s="8">
        <f>[1]Data!K134</f>
        <v>10.71522079</v>
      </c>
      <c r="L134" s="8">
        <f>[1]Data!L134</f>
        <v>0.34267367087971301</v>
      </c>
      <c r="M134" s="8">
        <f>[1]Data!M134</f>
        <v>11.0578944608797</v>
      </c>
      <c r="N134" s="8">
        <f>[1]Data!N134</f>
        <v>0.41176470588235298</v>
      </c>
      <c r="O134" s="8">
        <f>[1]Data!O134</f>
        <v>2.4285714285714302</v>
      </c>
      <c r="P134" s="8">
        <f>[1]Data!P134</f>
        <v>1</v>
      </c>
      <c r="Q134" s="8">
        <f>[1]Data!Q134</f>
        <v>0</v>
      </c>
      <c r="R134" s="8">
        <f>[1]Data!R134</f>
        <v>0</v>
      </c>
      <c r="S134" s="8">
        <f>[1]Data!S134</f>
        <v>0</v>
      </c>
      <c r="T134">
        <f t="shared" si="10"/>
        <v>0.41176470588235298</v>
      </c>
      <c r="U134">
        <f t="shared" si="11"/>
        <v>2.4285714285714284</v>
      </c>
      <c r="V134" s="4" t="str">
        <f t="shared" si="12"/>
        <v>0</v>
      </c>
      <c r="W134" s="4" t="str">
        <f t="shared" si="13"/>
        <v>3</v>
      </c>
      <c r="X134" s="4" t="str">
        <f t="shared" si="14"/>
        <v>0CVCTE3</v>
      </c>
      <c r="Y134">
        <f>VLOOKUP(X134,Sheet1!$J$5:$K$121,2,FALSE)</f>
        <v>0</v>
      </c>
    </row>
    <row r="135" spans="1:25" x14ac:dyDescent="0.25">
      <c r="A135" s="8">
        <f>[1]Data!A135</f>
        <v>404702</v>
      </c>
      <c r="B135" s="8">
        <f>[1]Data!B135</f>
        <v>3</v>
      </c>
      <c r="C135" s="8">
        <f>[1]Data!C135</f>
        <v>0</v>
      </c>
      <c r="D135" s="8">
        <f>[1]Data!D135</f>
        <v>1</v>
      </c>
      <c r="E135" s="8" t="str">
        <f>[1]Data!E135</f>
        <v>CVCTE</v>
      </c>
      <c r="F135" s="8" t="str">
        <f>[1]Data!F135</f>
        <v>Baldwin Park</v>
      </c>
      <c r="G135" s="8">
        <f>[1]Data!G135</f>
        <v>1</v>
      </c>
      <c r="H135" s="8">
        <f>[1]Data!H135</f>
        <v>1</v>
      </c>
      <c r="I135" s="8">
        <f>[1]Data!I135</f>
        <v>12.285</v>
      </c>
      <c r="J135" s="8">
        <f>[1]Data!J135</f>
        <v>5.9510989800000003</v>
      </c>
      <c r="K135" s="8">
        <f>[1]Data!K135</f>
        <v>11.951098979999999</v>
      </c>
      <c r="L135" s="8">
        <f>[1]Data!L135</f>
        <v>0.33351780414721699</v>
      </c>
      <c r="M135" s="8">
        <f>[1]Data!M135</f>
        <v>12.2846167841472</v>
      </c>
      <c r="N135" s="8">
        <f>[1]Data!N135</f>
        <v>0.41176470588235298</v>
      </c>
      <c r="O135" s="8">
        <f>[1]Data!O135</f>
        <v>2.4285714285714302</v>
      </c>
      <c r="P135" s="8">
        <f>[1]Data!P135</f>
        <v>1</v>
      </c>
      <c r="Q135" s="8">
        <f>[1]Data!Q135</f>
        <v>0</v>
      </c>
      <c r="R135" s="8">
        <f>[1]Data!R135</f>
        <v>0</v>
      </c>
      <c r="S135" s="8">
        <f>[1]Data!S135</f>
        <v>0</v>
      </c>
      <c r="T135">
        <f t="shared" si="10"/>
        <v>0.41176470588235298</v>
      </c>
      <c r="U135">
        <f t="shared" si="11"/>
        <v>2.4285714285714284</v>
      </c>
      <c r="V135" s="4" t="str">
        <f t="shared" si="12"/>
        <v>0</v>
      </c>
      <c r="W135" s="4" t="str">
        <f t="shared" si="13"/>
        <v>3</v>
      </c>
      <c r="X135" s="4" t="str">
        <f t="shared" si="14"/>
        <v>0CVCTE3</v>
      </c>
      <c r="Y135">
        <f>VLOOKUP(X135,Sheet1!$J$5:$K$121,2,FALSE)</f>
        <v>0</v>
      </c>
    </row>
    <row r="136" spans="1:25" x14ac:dyDescent="0.25">
      <c r="A136" s="8">
        <f>[1]Data!A136</f>
        <v>463101</v>
      </c>
      <c r="B136" s="8">
        <f>[1]Data!B136</f>
        <v>3</v>
      </c>
      <c r="C136" s="8">
        <f>[1]Data!C136</f>
        <v>0</v>
      </c>
      <c r="D136" s="8">
        <f>[1]Data!D136</f>
        <v>5</v>
      </c>
      <c r="E136" s="8" t="str">
        <f>[1]Data!E136</f>
        <v>CVCTE</v>
      </c>
      <c r="F136" s="8" t="str">
        <f>[1]Data!F136</f>
        <v>East Pasadena</v>
      </c>
      <c r="G136" s="8">
        <f>[1]Data!G136</f>
        <v>0</v>
      </c>
      <c r="H136" s="8">
        <f>[1]Data!H136</f>
        <v>0</v>
      </c>
      <c r="I136" s="8">
        <f>[1]Data!I136</f>
        <v>16.934000000000001</v>
      </c>
      <c r="J136" s="8">
        <f>[1]Data!J136</f>
        <v>14.55204844</v>
      </c>
      <c r="K136" s="8">
        <f>[1]Data!K136</f>
        <v>16.55204844</v>
      </c>
      <c r="L136" s="8">
        <f>[1]Data!L136</f>
        <v>0.382443329479354</v>
      </c>
      <c r="M136" s="8">
        <f>[1]Data!M136</f>
        <v>16.934491769479401</v>
      </c>
      <c r="N136" s="8">
        <f>[1]Data!N136</f>
        <v>0.41176470588235298</v>
      </c>
      <c r="O136" s="8">
        <f>[1]Data!O136</f>
        <v>0</v>
      </c>
      <c r="P136" s="8">
        <f>[1]Data!P136</f>
        <v>1</v>
      </c>
      <c r="Q136" s="8">
        <f>[1]Data!Q136</f>
        <v>0</v>
      </c>
      <c r="R136" s="8">
        <f>[1]Data!R136</f>
        <v>0</v>
      </c>
      <c r="S136" s="8">
        <f>[1]Data!S136</f>
        <v>0</v>
      </c>
      <c r="T136">
        <f t="shared" si="10"/>
        <v>0.41176470588235298</v>
      </c>
      <c r="U136">
        <f t="shared" si="11"/>
        <v>0</v>
      </c>
      <c r="V136" s="4" t="str">
        <f t="shared" si="12"/>
        <v>0</v>
      </c>
      <c r="W136" s="4" t="str">
        <f t="shared" si="13"/>
        <v>3</v>
      </c>
      <c r="X136" s="4" t="str">
        <f t="shared" si="14"/>
        <v>0CVCTE3</v>
      </c>
      <c r="Y136">
        <f>VLOOKUP(X136,Sheet1!$J$5:$K$121,2,FALSE)</f>
        <v>0</v>
      </c>
    </row>
    <row r="137" spans="1:25" x14ac:dyDescent="0.25">
      <c r="A137" s="8">
        <f>[1]Data!A137</f>
        <v>461000</v>
      </c>
      <c r="B137" s="8">
        <f>[1]Data!B137</f>
        <v>3</v>
      </c>
      <c r="C137" s="8">
        <f>[1]Data!C137</f>
        <v>0</v>
      </c>
      <c r="D137" s="8">
        <f>[1]Data!D137</f>
        <v>5</v>
      </c>
      <c r="E137" s="8" t="str">
        <f>[1]Data!E137</f>
        <v>CVCTE</v>
      </c>
      <c r="F137" s="8" t="str">
        <f>[1]Data!F137</f>
        <v>Altadena</v>
      </c>
      <c r="G137" s="8">
        <f>[1]Data!G137</f>
        <v>1</v>
      </c>
      <c r="H137" s="8">
        <f>[1]Data!H137</f>
        <v>1</v>
      </c>
      <c r="I137" s="8">
        <f>[1]Data!I137</f>
        <v>12.305</v>
      </c>
      <c r="J137" s="8">
        <f>[1]Data!J137</f>
        <v>9.8396785799999993</v>
      </c>
      <c r="K137" s="8">
        <f>[1]Data!K137</f>
        <v>11.839678579999999</v>
      </c>
      <c r="L137" s="8">
        <f>[1]Data!L137</f>
        <v>0.46531572761220802</v>
      </c>
      <c r="M137" s="8">
        <f>[1]Data!M137</f>
        <v>12.304994307612199</v>
      </c>
      <c r="N137" s="8">
        <f>[1]Data!N137</f>
        <v>0.41176470588235298</v>
      </c>
      <c r="O137" s="8">
        <f>[1]Data!O137</f>
        <v>2.4285714285714302</v>
      </c>
      <c r="P137" s="8">
        <f>[1]Data!P137</f>
        <v>1</v>
      </c>
      <c r="Q137" s="8">
        <f>[1]Data!Q137</f>
        <v>0</v>
      </c>
      <c r="R137" s="8">
        <f>[1]Data!R137</f>
        <v>0</v>
      </c>
      <c r="S137" s="8">
        <f>[1]Data!S137</f>
        <v>0</v>
      </c>
      <c r="T137">
        <f t="shared" si="10"/>
        <v>0.41176470588235298</v>
      </c>
      <c r="U137">
        <f t="shared" si="11"/>
        <v>2.4285714285714284</v>
      </c>
      <c r="V137" s="4" t="str">
        <f t="shared" si="12"/>
        <v>0</v>
      </c>
      <c r="W137" s="4" t="str">
        <f t="shared" si="13"/>
        <v>3</v>
      </c>
      <c r="X137" s="4" t="str">
        <f t="shared" si="14"/>
        <v>0CVCTE3</v>
      </c>
      <c r="Y137">
        <f>VLOOKUP(X137,Sheet1!$J$5:$K$121,2,FALSE)</f>
        <v>0</v>
      </c>
    </row>
    <row r="138" spans="1:25" x14ac:dyDescent="0.25">
      <c r="A138" s="8">
        <f>[1]Data!A138</f>
        <v>701100</v>
      </c>
      <c r="B138" s="8">
        <f>[1]Data!B138</f>
        <v>5</v>
      </c>
      <c r="C138" s="8">
        <f>[1]Data!C138</f>
        <v>0</v>
      </c>
      <c r="D138" s="8">
        <f>[1]Data!D138</f>
        <v>3</v>
      </c>
      <c r="E138" s="8" t="str">
        <f>[1]Data!E138</f>
        <v>CVCTE</v>
      </c>
      <c r="F138" s="8" t="str">
        <f>[1]Data!F138</f>
        <v>US Department of Affairs West LA Campus</v>
      </c>
      <c r="G138" s="8">
        <f>[1]Data!G138</f>
        <v>1</v>
      </c>
      <c r="H138" s="8">
        <f>[1]Data!H138</f>
        <v>1</v>
      </c>
      <c r="I138" s="8">
        <f>[1]Data!I138</f>
        <v>87.378</v>
      </c>
      <c r="J138" s="8">
        <f>[1]Data!J138</f>
        <v>73.754417129999993</v>
      </c>
      <c r="K138" s="8">
        <f>[1]Data!K138</f>
        <v>83.754417129999993</v>
      </c>
      <c r="L138" s="8">
        <f>[1]Data!L138</f>
        <v>3.62311576369838</v>
      </c>
      <c r="M138" s="8">
        <f>[1]Data!M138</f>
        <v>87.377532893698401</v>
      </c>
      <c r="N138" s="8">
        <f>[1]Data!N138</f>
        <v>0.35</v>
      </c>
      <c r="O138" s="8">
        <f>[1]Data!O138</f>
        <v>2.8571428571428599</v>
      </c>
      <c r="P138" s="8">
        <f>[1]Data!P138</f>
        <v>0.25</v>
      </c>
      <c r="Q138" s="8">
        <f>[1]Data!Q138</f>
        <v>0</v>
      </c>
      <c r="R138" s="8">
        <f>[1]Data!R138</f>
        <v>0</v>
      </c>
      <c r="S138" s="8">
        <f>[1]Data!S138</f>
        <v>0</v>
      </c>
      <c r="T138">
        <f t="shared" si="10"/>
        <v>0.35</v>
      </c>
      <c r="U138">
        <f t="shared" si="11"/>
        <v>2.8571428571428572</v>
      </c>
      <c r="V138" s="4" t="str">
        <f t="shared" si="12"/>
        <v>0</v>
      </c>
      <c r="W138" s="4" t="str">
        <f t="shared" si="13"/>
        <v>5</v>
      </c>
      <c r="X138" s="4" t="str">
        <f t="shared" si="14"/>
        <v>0CVCTE5</v>
      </c>
      <c r="Y138">
        <f>VLOOKUP(X138,Sheet1!$J$5:$K$121,2,FALSE)</f>
        <v>0</v>
      </c>
    </row>
    <row r="139" spans="1:25" x14ac:dyDescent="0.25">
      <c r="A139" s="8">
        <f>[1]Data!A139</f>
        <v>702600</v>
      </c>
      <c r="B139" s="8">
        <f>[1]Data!B139</f>
        <v>5</v>
      </c>
      <c r="C139" s="8">
        <f>[1]Data!C139</f>
        <v>0</v>
      </c>
      <c r="D139" s="8">
        <f>[1]Data!D139</f>
        <v>2</v>
      </c>
      <c r="E139" s="8" t="str">
        <f>[1]Data!E139</f>
        <v>CVCTE</v>
      </c>
      <c r="F139" s="8" t="str">
        <f>[1]Data!F139</f>
        <v>Culver City</v>
      </c>
      <c r="G139" s="8">
        <f>[1]Data!G139</f>
        <v>0</v>
      </c>
      <c r="H139" s="8">
        <f>[1]Data!H139</f>
        <v>0</v>
      </c>
      <c r="I139" s="8">
        <f>[1]Data!I139</f>
        <v>25.387</v>
      </c>
      <c r="J139" s="8">
        <f>[1]Data!J139</f>
        <v>22.135435040000001</v>
      </c>
      <c r="K139" s="8">
        <f>[1]Data!K139</f>
        <v>24.135435040000001</v>
      </c>
      <c r="L139" s="8">
        <f>[1]Data!L139</f>
        <v>1.251708564614</v>
      </c>
      <c r="M139" s="8">
        <f>[1]Data!M139</f>
        <v>25.387143604614</v>
      </c>
      <c r="N139" s="8">
        <f>[1]Data!N139</f>
        <v>0.35</v>
      </c>
      <c r="O139" s="8">
        <f>[1]Data!O139</f>
        <v>0</v>
      </c>
      <c r="P139" s="8">
        <f>[1]Data!P139</f>
        <v>0.25</v>
      </c>
      <c r="Q139" s="8">
        <f>[1]Data!Q139</f>
        <v>0</v>
      </c>
      <c r="R139" s="8">
        <f>[1]Data!R139</f>
        <v>0</v>
      </c>
      <c r="S139" s="8">
        <f>[1]Data!S139</f>
        <v>0</v>
      </c>
      <c r="T139">
        <f t="shared" si="10"/>
        <v>0.35</v>
      </c>
      <c r="U139">
        <f t="shared" si="11"/>
        <v>0</v>
      </c>
      <c r="V139" s="4" t="str">
        <f t="shared" si="12"/>
        <v>0</v>
      </c>
      <c r="W139" s="4" t="str">
        <f t="shared" si="13"/>
        <v>5</v>
      </c>
      <c r="X139" s="4" t="str">
        <f t="shared" si="14"/>
        <v>0CVCTE5</v>
      </c>
      <c r="Y139">
        <f>VLOOKUP(X139,Sheet1!$J$5:$K$121,2,FALSE)</f>
        <v>0</v>
      </c>
    </row>
    <row r="140" spans="1:25" x14ac:dyDescent="0.25">
      <c r="A140" s="8">
        <f>[1]Data!A140</f>
        <v>702102</v>
      </c>
      <c r="B140" s="8">
        <f>[1]Data!B140</f>
        <v>5</v>
      </c>
      <c r="C140" s="8">
        <f>[1]Data!C140</f>
        <v>0</v>
      </c>
      <c r="D140" s="8">
        <f>[1]Data!D140</f>
        <v>3</v>
      </c>
      <c r="E140" s="8" t="str">
        <f>[1]Data!E140</f>
        <v>CVCTE</v>
      </c>
      <c r="F140" s="8" t="str">
        <f>[1]Data!F140</f>
        <v>Santa Monica</v>
      </c>
      <c r="G140" s="8">
        <f>[1]Data!G140</f>
        <v>0</v>
      </c>
      <c r="H140" s="8">
        <f>[1]Data!H140</f>
        <v>0</v>
      </c>
      <c r="I140" s="8">
        <f>[1]Data!I140</f>
        <v>33.761000000000003</v>
      </c>
      <c r="J140" s="8">
        <f>[1]Data!J140</f>
        <v>8.9291150199999993</v>
      </c>
      <c r="K140" s="8">
        <f>[1]Data!K140</f>
        <v>32.929115019999998</v>
      </c>
      <c r="L140" s="8">
        <f>[1]Data!L140</f>
        <v>0.83224554098743297</v>
      </c>
      <c r="M140" s="8">
        <f>[1]Data!M140</f>
        <v>33.761360560987399</v>
      </c>
      <c r="N140" s="8">
        <f>[1]Data!N140</f>
        <v>0.35</v>
      </c>
      <c r="O140" s="8">
        <f>[1]Data!O140</f>
        <v>0</v>
      </c>
      <c r="P140" s="8">
        <f>[1]Data!P140</f>
        <v>0.25</v>
      </c>
      <c r="Q140" s="8">
        <f>[1]Data!Q140</f>
        <v>0</v>
      </c>
      <c r="R140" s="8">
        <f>[1]Data!R140</f>
        <v>0</v>
      </c>
      <c r="S140" s="8">
        <f>[1]Data!S140</f>
        <v>0</v>
      </c>
      <c r="T140">
        <f t="shared" si="10"/>
        <v>0.35</v>
      </c>
      <c r="U140">
        <f t="shared" si="11"/>
        <v>0</v>
      </c>
      <c r="V140" s="4" t="str">
        <f t="shared" si="12"/>
        <v>0</v>
      </c>
      <c r="W140" s="4" t="str">
        <f t="shared" si="13"/>
        <v>5</v>
      </c>
      <c r="X140" s="4" t="str">
        <f t="shared" si="14"/>
        <v>0CVCTE5</v>
      </c>
      <c r="Y140">
        <f>VLOOKUP(X140,Sheet1!$J$5:$K$121,2,FALSE)</f>
        <v>0</v>
      </c>
    </row>
    <row r="141" spans="1:25" x14ac:dyDescent="0.25">
      <c r="A141" s="8">
        <f>[1]Data!A141</f>
        <v>701802</v>
      </c>
      <c r="B141" s="8">
        <f>[1]Data!B141</f>
        <v>5</v>
      </c>
      <c r="C141" s="8">
        <f>[1]Data!C141</f>
        <v>0</v>
      </c>
      <c r="D141" s="8">
        <f>[1]Data!D141</f>
        <v>3</v>
      </c>
      <c r="E141" s="8" t="str">
        <f>[1]Data!E141</f>
        <v>CVCTE</v>
      </c>
      <c r="F141" s="8" t="str">
        <f>[1]Data!F141</f>
        <v>Santa Monica</v>
      </c>
      <c r="G141" s="8">
        <f>[1]Data!G141</f>
        <v>0</v>
      </c>
      <c r="H141" s="8">
        <f>[1]Data!H141</f>
        <v>0</v>
      </c>
      <c r="I141" s="8">
        <f>[1]Data!I141</f>
        <v>39.656999999999996</v>
      </c>
      <c r="J141" s="8">
        <f>[1]Data!J141</f>
        <v>11.24342354</v>
      </c>
      <c r="K141" s="8">
        <f>[1]Data!K141</f>
        <v>39.243423540000002</v>
      </c>
      <c r="L141" s="8">
        <f>[1]Data!L141</f>
        <v>0.41356686750448801</v>
      </c>
      <c r="M141" s="8">
        <f>[1]Data!M141</f>
        <v>39.656990407504502</v>
      </c>
      <c r="N141" s="8">
        <f>[1]Data!N141</f>
        <v>0.35</v>
      </c>
      <c r="O141" s="8">
        <f>[1]Data!O141</f>
        <v>0</v>
      </c>
      <c r="P141" s="8">
        <f>[1]Data!P141</f>
        <v>0.25</v>
      </c>
      <c r="Q141" s="8">
        <f>[1]Data!Q141</f>
        <v>0</v>
      </c>
      <c r="R141" s="8">
        <f>[1]Data!R141</f>
        <v>0</v>
      </c>
      <c r="S141" s="8">
        <f>[1]Data!S141</f>
        <v>0</v>
      </c>
      <c r="T141">
        <f t="shared" si="10"/>
        <v>0.35</v>
      </c>
      <c r="U141">
        <f t="shared" si="11"/>
        <v>0</v>
      </c>
      <c r="V141" s="4" t="str">
        <f t="shared" si="12"/>
        <v>0</v>
      </c>
      <c r="W141" s="4" t="str">
        <f t="shared" si="13"/>
        <v>5</v>
      </c>
      <c r="X141" s="4" t="str">
        <f t="shared" si="14"/>
        <v>0CVCTE5</v>
      </c>
      <c r="Y141">
        <f>VLOOKUP(X141,Sheet1!$J$5:$K$121,2,FALSE)</f>
        <v>0</v>
      </c>
    </row>
    <row r="142" spans="1:25" x14ac:dyDescent="0.25">
      <c r="A142" s="8">
        <f>[1]Data!A142</f>
        <v>701902</v>
      </c>
      <c r="B142" s="8">
        <f>[1]Data!B142</f>
        <v>5</v>
      </c>
      <c r="C142" s="8">
        <f>[1]Data!C142</f>
        <v>0</v>
      </c>
      <c r="D142" s="8">
        <f>[1]Data!D142</f>
        <v>3</v>
      </c>
      <c r="E142" s="8" t="str">
        <f>[1]Data!E142</f>
        <v>CVCTE</v>
      </c>
      <c r="F142" s="8" t="str">
        <f>[1]Data!F142</f>
        <v>Santa Monica</v>
      </c>
      <c r="G142" s="8">
        <f>[1]Data!G142</f>
        <v>0</v>
      </c>
      <c r="H142" s="8">
        <f>[1]Data!H142</f>
        <v>0</v>
      </c>
      <c r="I142" s="8">
        <f>[1]Data!I142</f>
        <v>234.72499999999999</v>
      </c>
      <c r="J142" s="8">
        <f>[1]Data!J142</f>
        <v>23.412933970000001</v>
      </c>
      <c r="K142" s="8">
        <f>[1]Data!K142</f>
        <v>233.41293397000001</v>
      </c>
      <c r="L142" s="8">
        <f>[1]Data!L142</f>
        <v>1.31090257965889</v>
      </c>
      <c r="M142" s="8">
        <f>[1]Data!M142</f>
        <v>234.72383654965901</v>
      </c>
      <c r="N142" s="8">
        <f>[1]Data!N142</f>
        <v>0.35</v>
      </c>
      <c r="O142" s="8">
        <f>[1]Data!O142</f>
        <v>0</v>
      </c>
      <c r="P142" s="8">
        <f>[1]Data!P142</f>
        <v>0.25</v>
      </c>
      <c r="Q142" s="8">
        <f>[1]Data!Q142</f>
        <v>0</v>
      </c>
      <c r="R142" s="8">
        <f>[1]Data!R142</f>
        <v>0</v>
      </c>
      <c r="S142" s="8">
        <f>[1]Data!S142</f>
        <v>0</v>
      </c>
      <c r="T142">
        <f t="shared" si="10"/>
        <v>0.35</v>
      </c>
      <c r="U142">
        <f t="shared" si="11"/>
        <v>0</v>
      </c>
      <c r="V142" s="4" t="str">
        <f t="shared" si="12"/>
        <v>0</v>
      </c>
      <c r="W142" s="4" t="str">
        <f t="shared" si="13"/>
        <v>5</v>
      </c>
      <c r="X142" s="4" t="str">
        <f t="shared" si="14"/>
        <v>0CVCTE5</v>
      </c>
      <c r="Y142">
        <f>VLOOKUP(X142,Sheet1!$J$5:$K$121,2,FALSE)</f>
        <v>0</v>
      </c>
    </row>
    <row r="143" spans="1:25" x14ac:dyDescent="0.25">
      <c r="A143" s="8">
        <f>[1]Data!A143</f>
        <v>702002</v>
      </c>
      <c r="B143" s="8">
        <f>[1]Data!B143</f>
        <v>5</v>
      </c>
      <c r="C143" s="8">
        <f>[1]Data!C143</f>
        <v>0</v>
      </c>
      <c r="D143" s="8">
        <f>[1]Data!D143</f>
        <v>3</v>
      </c>
      <c r="E143" s="8" t="str">
        <f>[1]Data!E143</f>
        <v>CVCTE</v>
      </c>
      <c r="F143" s="8" t="str">
        <f>[1]Data!F143</f>
        <v>Santa Monica</v>
      </c>
      <c r="G143" s="8">
        <f>[1]Data!G143</f>
        <v>0</v>
      </c>
      <c r="H143" s="8">
        <f>[1]Data!H143</f>
        <v>0</v>
      </c>
      <c r="I143" s="8">
        <f>[1]Data!I143</f>
        <v>54.728999999999999</v>
      </c>
      <c r="J143" s="8">
        <f>[1]Data!J143</f>
        <v>29.039206960000001</v>
      </c>
      <c r="K143" s="8">
        <f>[1]Data!K143</f>
        <v>53.039206960000001</v>
      </c>
      <c r="L143" s="8">
        <f>[1]Data!L143</f>
        <v>1.68918093157989</v>
      </c>
      <c r="M143" s="8">
        <f>[1]Data!M143</f>
        <v>54.728387891579899</v>
      </c>
      <c r="N143" s="8">
        <f>[1]Data!N143</f>
        <v>0.35</v>
      </c>
      <c r="O143" s="8">
        <f>[1]Data!O143</f>
        <v>0</v>
      </c>
      <c r="P143" s="8">
        <f>[1]Data!P143</f>
        <v>0.25</v>
      </c>
      <c r="Q143" s="8">
        <f>[1]Data!Q143</f>
        <v>0</v>
      </c>
      <c r="R143" s="8">
        <f>[1]Data!R143</f>
        <v>0</v>
      </c>
      <c r="S143" s="8">
        <f>[1]Data!S143</f>
        <v>0</v>
      </c>
      <c r="T143">
        <f t="shared" si="10"/>
        <v>0.35</v>
      </c>
      <c r="U143">
        <f t="shared" si="11"/>
        <v>0</v>
      </c>
      <c r="V143" s="4" t="str">
        <f t="shared" si="12"/>
        <v>0</v>
      </c>
      <c r="W143" s="4" t="str">
        <f t="shared" si="13"/>
        <v>5</v>
      </c>
      <c r="X143" s="4" t="str">
        <f t="shared" si="14"/>
        <v>0CVCTE5</v>
      </c>
      <c r="Y143">
        <f>VLOOKUP(X143,Sheet1!$J$5:$K$121,2,FALSE)</f>
        <v>0</v>
      </c>
    </row>
    <row r="144" spans="1:25" x14ac:dyDescent="0.25">
      <c r="A144" s="8">
        <f>[1]Data!A144</f>
        <v>703001</v>
      </c>
      <c r="B144" s="8">
        <f>[1]Data!B144</f>
        <v>5</v>
      </c>
      <c r="C144" s="8">
        <f>[1]Data!C144</f>
        <v>0</v>
      </c>
      <c r="D144" s="8">
        <f>[1]Data!D144</f>
        <v>2</v>
      </c>
      <c r="E144" s="8" t="str">
        <f>[1]Data!E144</f>
        <v>CVCTE</v>
      </c>
      <c r="F144" s="8" t="str">
        <f>[1]Data!F144</f>
        <v>Culver City</v>
      </c>
      <c r="G144" s="8">
        <f>[1]Data!G144</f>
        <v>0</v>
      </c>
      <c r="H144" s="8">
        <f>[1]Data!H144</f>
        <v>0</v>
      </c>
      <c r="I144" s="8">
        <f>[1]Data!I144</f>
        <v>32.656999999999996</v>
      </c>
      <c r="J144" s="8">
        <f>[1]Data!J144</f>
        <v>24.355053760000001</v>
      </c>
      <c r="K144" s="8">
        <f>[1]Data!K144</f>
        <v>31.355053760000001</v>
      </c>
      <c r="L144" s="8">
        <f>[1]Data!L144</f>
        <v>1.3011438361041301</v>
      </c>
      <c r="M144" s="8">
        <f>[1]Data!M144</f>
        <v>32.6561975961041</v>
      </c>
      <c r="N144" s="8">
        <f>[1]Data!N144</f>
        <v>0.35</v>
      </c>
      <c r="O144" s="8">
        <f>[1]Data!O144</f>
        <v>0</v>
      </c>
      <c r="P144" s="8">
        <f>[1]Data!P144</f>
        <v>0.25</v>
      </c>
      <c r="Q144" s="8">
        <f>[1]Data!Q144</f>
        <v>0</v>
      </c>
      <c r="R144" s="8">
        <f>[1]Data!R144</f>
        <v>0</v>
      </c>
      <c r="S144" s="8">
        <f>[1]Data!S144</f>
        <v>0</v>
      </c>
      <c r="T144">
        <f t="shared" si="10"/>
        <v>0.35</v>
      </c>
      <c r="U144">
        <f t="shared" si="11"/>
        <v>0</v>
      </c>
      <c r="V144" s="4" t="str">
        <f t="shared" si="12"/>
        <v>0</v>
      </c>
      <c r="W144" s="4" t="str">
        <f t="shared" si="13"/>
        <v>5</v>
      </c>
      <c r="X144" s="4" t="str">
        <f t="shared" si="14"/>
        <v>0CVCTE5</v>
      </c>
      <c r="Y144">
        <f>VLOOKUP(X144,Sheet1!$J$5:$K$121,2,FALSE)</f>
        <v>0</v>
      </c>
    </row>
    <row r="145" spans="1:25" x14ac:dyDescent="0.25">
      <c r="A145" s="8">
        <f>[1]Data!A145</f>
        <v>800410</v>
      </c>
      <c r="B145" s="8">
        <f>[1]Data!B145</f>
        <v>5</v>
      </c>
      <c r="C145" s="8">
        <f>[1]Data!C145</f>
        <v>0</v>
      </c>
      <c r="D145" s="8">
        <f>[1]Data!D145</f>
        <v>3</v>
      </c>
      <c r="E145" s="8" t="str">
        <f>[1]Data!E145</f>
        <v>CVCTE</v>
      </c>
      <c r="F145" s="8" t="str">
        <f>[1]Data!F145</f>
        <v>Malibu</v>
      </c>
      <c r="G145" s="8">
        <f>[1]Data!G145</f>
        <v>1</v>
      </c>
      <c r="H145" s="8">
        <f>[1]Data!H145</f>
        <v>1</v>
      </c>
      <c r="I145" s="8">
        <f>[1]Data!I145</f>
        <v>52.576000000000001</v>
      </c>
      <c r="J145" s="8">
        <f>[1]Data!J145</f>
        <v>23.01246488</v>
      </c>
      <c r="K145" s="8">
        <f>[1]Data!K145</f>
        <v>52.012464880000003</v>
      </c>
      <c r="L145" s="8">
        <f>[1]Data!L145</f>
        <v>0.56401038982046703</v>
      </c>
      <c r="M145" s="8">
        <f>[1]Data!M145</f>
        <v>52.576475269820499</v>
      </c>
      <c r="N145" s="8">
        <f>[1]Data!N145</f>
        <v>0.35</v>
      </c>
      <c r="O145" s="8">
        <f>[1]Data!O145</f>
        <v>2.8571428571428599</v>
      </c>
      <c r="P145" s="8">
        <f>[1]Data!P145</f>
        <v>0.25</v>
      </c>
      <c r="Q145" s="8">
        <f>[1]Data!Q145</f>
        <v>0</v>
      </c>
      <c r="R145" s="8">
        <f>[1]Data!R145</f>
        <v>0</v>
      </c>
      <c r="S145" s="8">
        <f>[1]Data!S145</f>
        <v>0</v>
      </c>
      <c r="T145">
        <f t="shared" si="10"/>
        <v>0.35</v>
      </c>
      <c r="U145">
        <f t="shared" si="11"/>
        <v>2.8571428571428572</v>
      </c>
      <c r="V145" s="4" t="str">
        <f t="shared" si="12"/>
        <v>0</v>
      </c>
      <c r="W145" s="4" t="str">
        <f t="shared" si="13"/>
        <v>5</v>
      </c>
      <c r="X145" s="4" t="str">
        <f t="shared" si="14"/>
        <v>0CVCTE5</v>
      </c>
      <c r="Y145">
        <f>VLOOKUP(X145,Sheet1!$J$5:$K$121,2,FALSE)</f>
        <v>0</v>
      </c>
    </row>
    <row r="146" spans="1:25" x14ac:dyDescent="0.25">
      <c r="A146" s="8">
        <f>[1]Data!A146</f>
        <v>800506</v>
      </c>
      <c r="B146" s="8">
        <f>[1]Data!B146</f>
        <v>5</v>
      </c>
      <c r="C146" s="8">
        <f>[1]Data!C146</f>
        <v>0</v>
      </c>
      <c r="D146" s="8">
        <f>[1]Data!D146</f>
        <v>3</v>
      </c>
      <c r="E146" s="8" t="str">
        <f>[1]Data!E146</f>
        <v>CVCTE</v>
      </c>
      <c r="F146" s="8" t="str">
        <f>[1]Data!F146</f>
        <v>Malibu</v>
      </c>
      <c r="G146" s="8">
        <f>[1]Data!G146</f>
        <v>0</v>
      </c>
      <c r="H146" s="8">
        <f>[1]Data!H146</f>
        <v>0</v>
      </c>
      <c r="I146" s="8">
        <f>[1]Data!I146</f>
        <v>47.537999999999997</v>
      </c>
      <c r="J146" s="8">
        <f>[1]Data!J146</f>
        <v>35.194165750000003</v>
      </c>
      <c r="K146" s="8">
        <f>[1]Data!K146</f>
        <v>46.194165750000003</v>
      </c>
      <c r="L146" s="8">
        <f>[1]Data!L146</f>
        <v>1.34345885034111</v>
      </c>
      <c r="M146" s="8">
        <f>[1]Data!M146</f>
        <v>47.537624600341097</v>
      </c>
      <c r="N146" s="8">
        <f>[1]Data!N146</f>
        <v>0.35</v>
      </c>
      <c r="O146" s="8">
        <f>[1]Data!O146</f>
        <v>0</v>
      </c>
      <c r="P146" s="8">
        <f>[1]Data!P146</f>
        <v>0.25</v>
      </c>
      <c r="Q146" s="8">
        <f>[1]Data!Q146</f>
        <v>0</v>
      </c>
      <c r="R146" s="8">
        <f>[1]Data!R146</f>
        <v>0</v>
      </c>
      <c r="S146" s="8">
        <f>[1]Data!S146</f>
        <v>0</v>
      </c>
      <c r="T146">
        <f t="shared" si="10"/>
        <v>0.35</v>
      </c>
      <c r="U146">
        <f t="shared" si="11"/>
        <v>0</v>
      </c>
      <c r="V146" s="4" t="str">
        <f t="shared" si="12"/>
        <v>0</v>
      </c>
      <c r="W146" s="4" t="str">
        <f t="shared" si="13"/>
        <v>5</v>
      </c>
      <c r="X146" s="4" t="str">
        <f t="shared" si="14"/>
        <v>0CVCTE5</v>
      </c>
      <c r="Y146">
        <f>VLOOKUP(X146,Sheet1!$J$5:$K$121,2,FALSE)</f>
        <v>0</v>
      </c>
    </row>
    <row r="147" spans="1:25" x14ac:dyDescent="0.25">
      <c r="A147" s="8">
        <f>[1]Data!A147</f>
        <v>701801</v>
      </c>
      <c r="B147" s="8">
        <f>[1]Data!B147</f>
        <v>5</v>
      </c>
      <c r="C147" s="8">
        <f>[1]Data!C147</f>
        <v>0</v>
      </c>
      <c r="D147" s="8">
        <f>[1]Data!D147</f>
        <v>3</v>
      </c>
      <c r="E147" s="8" t="str">
        <f>[1]Data!E147</f>
        <v>CVCTE</v>
      </c>
      <c r="F147" s="8" t="str">
        <f>[1]Data!F147</f>
        <v>Santa Monica</v>
      </c>
      <c r="G147" s="8">
        <f>[1]Data!G147</f>
        <v>1</v>
      </c>
      <c r="H147" s="8">
        <f>[1]Data!H147</f>
        <v>1</v>
      </c>
      <c r="I147" s="8">
        <f>[1]Data!I147</f>
        <v>12.282999999999999</v>
      </c>
      <c r="J147" s="8">
        <f>[1]Data!J147</f>
        <v>7.7320134999999999</v>
      </c>
      <c r="K147" s="8">
        <f>[1]Data!K147</f>
        <v>11.732013500000001</v>
      </c>
      <c r="L147" s="8">
        <f>[1]Data!L147</f>
        <v>0.55083346046678605</v>
      </c>
      <c r="M147" s="8">
        <f>[1]Data!M147</f>
        <v>12.2828469604668</v>
      </c>
      <c r="N147" s="8">
        <f>[1]Data!N147</f>
        <v>0.35</v>
      </c>
      <c r="O147" s="8">
        <f>[1]Data!O147</f>
        <v>2.8571428571428599</v>
      </c>
      <c r="P147" s="8">
        <f>[1]Data!P147</f>
        <v>0.25</v>
      </c>
      <c r="Q147" s="8">
        <f>[1]Data!Q147</f>
        <v>0</v>
      </c>
      <c r="R147" s="8">
        <f>[1]Data!R147</f>
        <v>0</v>
      </c>
      <c r="S147" s="8">
        <f>[1]Data!S147</f>
        <v>0</v>
      </c>
      <c r="T147">
        <f t="shared" si="10"/>
        <v>0.35</v>
      </c>
      <c r="U147">
        <f t="shared" si="11"/>
        <v>2.8571428571428572</v>
      </c>
      <c r="V147" s="4" t="str">
        <f t="shared" si="12"/>
        <v>0</v>
      </c>
      <c r="W147" s="4" t="str">
        <f t="shared" si="13"/>
        <v>5</v>
      </c>
      <c r="X147" s="4" t="str">
        <f t="shared" si="14"/>
        <v>0CVCTE5</v>
      </c>
      <c r="Y147">
        <f>VLOOKUP(X147,Sheet1!$J$5:$K$121,2,FALSE)</f>
        <v>0</v>
      </c>
    </row>
    <row r="148" spans="1:25" x14ac:dyDescent="0.25">
      <c r="A148" s="8">
        <f>[1]Data!A148</f>
        <v>540700</v>
      </c>
      <c r="B148" s="8">
        <f>[1]Data!B148</f>
        <v>6</v>
      </c>
      <c r="C148" s="8">
        <f>[1]Data!C148</f>
        <v>0</v>
      </c>
      <c r="D148" s="8">
        <f>[1]Data!D148</f>
        <v>2</v>
      </c>
      <c r="E148" s="8" t="str">
        <f>[1]Data!E148</f>
        <v>CVCTE</v>
      </c>
      <c r="F148" s="8" t="str">
        <f>[1]Data!F148</f>
        <v>Willowbrook</v>
      </c>
      <c r="G148" s="8">
        <f>[1]Data!G148</f>
        <v>0</v>
      </c>
      <c r="H148" s="8">
        <f>[1]Data!H148</f>
        <v>0</v>
      </c>
      <c r="I148" s="8">
        <f>[1]Data!I148</f>
        <v>46.247</v>
      </c>
      <c r="J148" s="8">
        <f>[1]Data!J148</f>
        <v>37.703861770000003</v>
      </c>
      <c r="K148" s="8">
        <f>[1]Data!K148</f>
        <v>44.703861770000003</v>
      </c>
      <c r="L148" s="8">
        <f>[1]Data!L148</f>
        <v>1.5434455116696599</v>
      </c>
      <c r="M148" s="8">
        <f>[1]Data!M148</f>
        <v>46.247307281669698</v>
      </c>
      <c r="N148" s="8">
        <f>[1]Data!N148</f>
        <v>0.16393442622950799</v>
      </c>
      <c r="O148" s="8">
        <f>[1]Data!O148</f>
        <v>0</v>
      </c>
      <c r="P148" s="8">
        <f>[1]Data!P148</f>
        <v>0.19672131147541</v>
      </c>
      <c r="Q148" s="8">
        <f>[1]Data!Q148</f>
        <v>0</v>
      </c>
      <c r="R148" s="8">
        <f>[1]Data!R148</f>
        <v>0</v>
      </c>
      <c r="S148" s="8">
        <f>[1]Data!S148</f>
        <v>0</v>
      </c>
      <c r="T148">
        <f t="shared" si="10"/>
        <v>0.16393442622950799</v>
      </c>
      <c r="U148">
        <f t="shared" si="11"/>
        <v>0</v>
      </c>
      <c r="V148" s="4" t="str">
        <f t="shared" si="12"/>
        <v>0</v>
      </c>
      <c r="W148" s="4" t="str">
        <f t="shared" si="13"/>
        <v>6</v>
      </c>
      <c r="X148" s="4" t="str">
        <f t="shared" si="14"/>
        <v>0CVCTE6</v>
      </c>
      <c r="Y148">
        <f>VLOOKUP(X148,Sheet1!$J$5:$K$121,2,FALSE)</f>
        <v>0</v>
      </c>
    </row>
    <row r="149" spans="1:25" x14ac:dyDescent="0.25">
      <c r="A149" s="8">
        <f>[1]Data!A149</f>
        <v>542602</v>
      </c>
      <c r="B149" s="8">
        <f>[1]Data!B149</f>
        <v>6</v>
      </c>
      <c r="C149" s="8">
        <f>[1]Data!C149</f>
        <v>0</v>
      </c>
      <c r="D149" s="8">
        <f>[1]Data!D149</f>
        <v>2</v>
      </c>
      <c r="E149" s="8" t="str">
        <f>[1]Data!E149</f>
        <v>CVCTE</v>
      </c>
      <c r="F149" s="8" t="str">
        <f>[1]Data!F149</f>
        <v>Compton</v>
      </c>
      <c r="G149" s="8">
        <f>[1]Data!G149</f>
        <v>0</v>
      </c>
      <c r="H149" s="8">
        <f>[1]Data!H149</f>
        <v>0</v>
      </c>
      <c r="I149" s="8">
        <f>[1]Data!I149</f>
        <v>53.640999999999998</v>
      </c>
      <c r="J149" s="8">
        <f>[1]Data!J149</f>
        <v>41.921109950000002</v>
      </c>
      <c r="K149" s="8">
        <f>[1]Data!K149</f>
        <v>50.921109950000002</v>
      </c>
      <c r="L149" s="8">
        <f>[1]Data!L149</f>
        <v>2.7188949364632</v>
      </c>
      <c r="M149" s="8">
        <f>[1]Data!M149</f>
        <v>53.640004886463203</v>
      </c>
      <c r="N149" s="8">
        <f>[1]Data!N149</f>
        <v>0.16393442622950799</v>
      </c>
      <c r="O149" s="8">
        <f>[1]Data!O149</f>
        <v>0</v>
      </c>
      <c r="P149" s="8">
        <f>[1]Data!P149</f>
        <v>0.19672131147541</v>
      </c>
      <c r="Q149" s="8">
        <f>[1]Data!Q149</f>
        <v>0</v>
      </c>
      <c r="R149" s="8">
        <f>[1]Data!R149</f>
        <v>0</v>
      </c>
      <c r="S149" s="8">
        <f>[1]Data!S149</f>
        <v>0</v>
      </c>
      <c r="T149">
        <f t="shared" si="10"/>
        <v>0.16393442622950799</v>
      </c>
      <c r="U149">
        <f t="shared" si="11"/>
        <v>0</v>
      </c>
      <c r="V149" s="4" t="str">
        <f t="shared" si="12"/>
        <v>0</v>
      </c>
      <c r="W149" s="4" t="str">
        <f t="shared" si="13"/>
        <v>6</v>
      </c>
      <c r="X149" s="4" t="str">
        <f t="shared" si="14"/>
        <v>0CVCTE6</v>
      </c>
      <c r="Y149">
        <f>VLOOKUP(X149,Sheet1!$J$5:$K$121,2,FALSE)</f>
        <v>0</v>
      </c>
    </row>
    <row r="150" spans="1:25" x14ac:dyDescent="0.25">
      <c r="A150" s="8">
        <f>[1]Data!A150</f>
        <v>535300</v>
      </c>
      <c r="B150" s="8">
        <f>[1]Data!B150</f>
        <v>6</v>
      </c>
      <c r="C150" s="8">
        <f>[1]Data!C150</f>
        <v>0</v>
      </c>
      <c r="D150" s="8">
        <f>[1]Data!D150</f>
        <v>2</v>
      </c>
      <c r="E150" s="8" t="str">
        <f>[1]Data!E150</f>
        <v>CVCTE</v>
      </c>
      <c r="F150" s="8" t="str">
        <f>[1]Data!F150</f>
        <v>Florence-Graham</v>
      </c>
      <c r="G150" s="8">
        <f>[1]Data!G150</f>
        <v>0</v>
      </c>
      <c r="H150" s="8">
        <f>[1]Data!H150</f>
        <v>0</v>
      </c>
      <c r="I150" s="8">
        <f>[1]Data!I150</f>
        <v>75.350999999999999</v>
      </c>
      <c r="J150" s="8">
        <f>[1]Data!J150</f>
        <v>67.032983209999998</v>
      </c>
      <c r="K150" s="8">
        <f>[1]Data!K150</f>
        <v>72.032983209999998</v>
      </c>
      <c r="L150" s="8">
        <f>[1]Data!L150</f>
        <v>3.3180441970197498</v>
      </c>
      <c r="M150" s="8">
        <f>[1]Data!M150</f>
        <v>75.351027407019799</v>
      </c>
      <c r="N150" s="8">
        <f>[1]Data!N150</f>
        <v>0.16393442622950799</v>
      </c>
      <c r="O150" s="8">
        <f>[1]Data!O150</f>
        <v>0</v>
      </c>
      <c r="P150" s="8">
        <f>[1]Data!P150</f>
        <v>0.19672131147541</v>
      </c>
      <c r="Q150" s="8">
        <f>[1]Data!Q150</f>
        <v>0</v>
      </c>
      <c r="R150" s="8">
        <f>[1]Data!R150</f>
        <v>0</v>
      </c>
      <c r="S150" s="8">
        <f>[1]Data!S150</f>
        <v>0</v>
      </c>
      <c r="T150">
        <f t="shared" si="10"/>
        <v>0.16393442622950799</v>
      </c>
      <c r="U150">
        <f t="shared" si="11"/>
        <v>0</v>
      </c>
      <c r="V150" s="4" t="str">
        <f t="shared" si="12"/>
        <v>0</v>
      </c>
      <c r="W150" s="4" t="str">
        <f t="shared" si="13"/>
        <v>6</v>
      </c>
      <c r="X150" s="4" t="str">
        <f t="shared" si="14"/>
        <v>0CVCTE6</v>
      </c>
      <c r="Y150">
        <f>VLOOKUP(X150,Sheet1!$J$5:$K$121,2,FALSE)</f>
        <v>0</v>
      </c>
    </row>
    <row r="151" spans="1:25" x14ac:dyDescent="0.25">
      <c r="A151" s="8">
        <f>[1]Data!A151</f>
        <v>534900</v>
      </c>
      <c r="B151" s="8">
        <f>[1]Data!B151</f>
        <v>6</v>
      </c>
      <c r="C151" s="8">
        <f>[1]Data!C151</f>
        <v>0</v>
      </c>
      <c r="D151" s="8">
        <f>[1]Data!D151</f>
        <v>2</v>
      </c>
      <c r="E151" s="8" t="str">
        <f>[1]Data!E151</f>
        <v>CVCTE</v>
      </c>
      <c r="F151" s="8" t="str">
        <f>[1]Data!F151</f>
        <v>Florence-Graham</v>
      </c>
      <c r="G151" s="8">
        <f>[1]Data!G151</f>
        <v>1</v>
      </c>
      <c r="H151" s="8">
        <f>[1]Data!H151</f>
        <v>1</v>
      </c>
      <c r="I151" s="8">
        <f>[1]Data!I151</f>
        <v>44.308999999999997</v>
      </c>
      <c r="J151" s="8">
        <f>[1]Data!J151</f>
        <v>34.201427189999997</v>
      </c>
      <c r="K151" s="8">
        <f>[1]Data!K151</f>
        <v>42.201427189999997</v>
      </c>
      <c r="L151" s="8">
        <f>[1]Data!L151</f>
        <v>2.1071907557809699</v>
      </c>
      <c r="M151" s="8">
        <f>[1]Data!M151</f>
        <v>44.308617945781002</v>
      </c>
      <c r="N151" s="8">
        <f>[1]Data!N151</f>
        <v>0.16393442622950799</v>
      </c>
      <c r="O151" s="8">
        <f>[1]Data!O151</f>
        <v>6.1</v>
      </c>
      <c r="P151" s="8">
        <f>[1]Data!P151</f>
        <v>0.19672131147541</v>
      </c>
      <c r="Q151" s="8">
        <f>[1]Data!Q151</f>
        <v>0</v>
      </c>
      <c r="R151" s="8">
        <f>[1]Data!R151</f>
        <v>0</v>
      </c>
      <c r="S151" s="8">
        <f>[1]Data!S151</f>
        <v>0</v>
      </c>
      <c r="T151">
        <f t="shared" si="10"/>
        <v>0.16393442622950799</v>
      </c>
      <c r="U151">
        <f t="shared" si="11"/>
        <v>6.1000000000000076</v>
      </c>
      <c r="V151" s="4" t="str">
        <f t="shared" si="12"/>
        <v>0</v>
      </c>
      <c r="W151" s="4" t="str">
        <f t="shared" si="13"/>
        <v>6</v>
      </c>
      <c r="X151" s="4" t="str">
        <f t="shared" si="14"/>
        <v>0CVCTE6</v>
      </c>
      <c r="Y151">
        <f>VLOOKUP(X151,Sheet1!$J$5:$K$121,2,FALSE)</f>
        <v>0</v>
      </c>
    </row>
    <row r="152" spans="1:25" x14ac:dyDescent="0.25">
      <c r="A152" s="8">
        <f>[1]Data!A152</f>
        <v>541001</v>
      </c>
      <c r="B152" s="8">
        <f>[1]Data!B152</f>
        <v>6</v>
      </c>
      <c r="C152" s="8">
        <f>[1]Data!C152</f>
        <v>0</v>
      </c>
      <c r="D152" s="8">
        <f>[1]Data!D152</f>
        <v>2</v>
      </c>
      <c r="E152" s="8" t="str">
        <f>[1]Data!E152</f>
        <v>CVCTE</v>
      </c>
      <c r="F152" s="8" t="str">
        <f>[1]Data!F152</f>
        <v>West Compton</v>
      </c>
      <c r="G152" s="8">
        <f>[1]Data!G152</f>
        <v>0</v>
      </c>
      <c r="H152" s="8">
        <f>[1]Data!H152</f>
        <v>0</v>
      </c>
      <c r="I152" s="8">
        <f>[1]Data!I152</f>
        <v>183.327</v>
      </c>
      <c r="J152" s="8">
        <f>[1]Data!J152</f>
        <v>172.96571359000001</v>
      </c>
      <c r="K152" s="8">
        <f>[1]Data!K152</f>
        <v>172.96571359000001</v>
      </c>
      <c r="L152" s="8">
        <f>[1]Data!L152</f>
        <v>10.3573867975224</v>
      </c>
      <c r="M152" s="8">
        <f>[1]Data!M152</f>
        <v>183.323100387522</v>
      </c>
      <c r="N152" s="8">
        <f>[1]Data!N152</f>
        <v>0.16393442622950799</v>
      </c>
      <c r="O152" s="8">
        <f>[1]Data!O152</f>
        <v>0</v>
      </c>
      <c r="P152" s="8">
        <f>[1]Data!P152</f>
        <v>0.19672131147541</v>
      </c>
      <c r="Q152" s="8">
        <f>[1]Data!Q152</f>
        <v>0</v>
      </c>
      <c r="R152" s="8">
        <f>[1]Data!R152</f>
        <v>0</v>
      </c>
      <c r="S152" s="8">
        <f>[1]Data!S152</f>
        <v>0</v>
      </c>
      <c r="T152">
        <f t="shared" si="10"/>
        <v>0.16393442622950799</v>
      </c>
      <c r="U152">
        <f t="shared" si="11"/>
        <v>0</v>
      </c>
      <c r="V152" s="4" t="str">
        <f t="shared" si="12"/>
        <v>0</v>
      </c>
      <c r="W152" s="4" t="str">
        <f t="shared" si="13"/>
        <v>6</v>
      </c>
      <c r="X152" s="4" t="str">
        <f t="shared" si="14"/>
        <v>0CVCTE6</v>
      </c>
      <c r="Y152">
        <f>VLOOKUP(X152,Sheet1!$J$5:$K$121,2,FALSE)</f>
        <v>0</v>
      </c>
    </row>
    <row r="153" spans="1:25" x14ac:dyDescent="0.25">
      <c r="A153" s="8">
        <f>[1]Data!A153</f>
        <v>541100</v>
      </c>
      <c r="B153" s="8">
        <f>[1]Data!B153</f>
        <v>6</v>
      </c>
      <c r="C153" s="8">
        <f>[1]Data!C153</f>
        <v>0</v>
      </c>
      <c r="D153" s="8">
        <f>[1]Data!D153</f>
        <v>2</v>
      </c>
      <c r="E153" s="8" t="str">
        <f>[1]Data!E153</f>
        <v>CVCTE</v>
      </c>
      <c r="F153" s="8" t="str">
        <f>[1]Data!F153</f>
        <v>West Compton</v>
      </c>
      <c r="G153" s="8">
        <f>[1]Data!G153</f>
        <v>0</v>
      </c>
      <c r="H153" s="8">
        <f>[1]Data!H153</f>
        <v>0</v>
      </c>
      <c r="I153" s="8">
        <f>[1]Data!I153</f>
        <v>47.991999999999997</v>
      </c>
      <c r="J153" s="8">
        <f>[1]Data!J153</f>
        <v>41.657692859999997</v>
      </c>
      <c r="K153" s="8">
        <f>[1]Data!K153</f>
        <v>45.657692859999997</v>
      </c>
      <c r="L153" s="8">
        <f>[1]Data!L153</f>
        <v>2.3346246290305199</v>
      </c>
      <c r="M153" s="8">
        <f>[1]Data!M153</f>
        <v>47.992317489030498</v>
      </c>
      <c r="N153" s="8">
        <f>[1]Data!N153</f>
        <v>0.16393442622950799</v>
      </c>
      <c r="O153" s="8">
        <f>[1]Data!O153</f>
        <v>0</v>
      </c>
      <c r="P153" s="8">
        <f>[1]Data!P153</f>
        <v>0.19672131147541</v>
      </c>
      <c r="Q153" s="8">
        <f>[1]Data!Q153</f>
        <v>0</v>
      </c>
      <c r="R153" s="8">
        <f>[1]Data!R153</f>
        <v>0</v>
      </c>
      <c r="S153" s="8">
        <f>[1]Data!S153</f>
        <v>0</v>
      </c>
      <c r="T153">
        <f t="shared" si="10"/>
        <v>0.16393442622950799</v>
      </c>
      <c r="U153">
        <f t="shared" si="11"/>
        <v>0</v>
      </c>
      <c r="V153" s="4" t="str">
        <f t="shared" si="12"/>
        <v>0</v>
      </c>
      <c r="W153" s="4" t="str">
        <f t="shared" si="13"/>
        <v>6</v>
      </c>
      <c r="X153" s="4" t="str">
        <f t="shared" si="14"/>
        <v>0CVCTE6</v>
      </c>
      <c r="Y153">
        <f>VLOOKUP(X153,Sheet1!$J$5:$K$121,2,FALSE)</f>
        <v>0</v>
      </c>
    </row>
    <row r="154" spans="1:25" x14ac:dyDescent="0.25">
      <c r="A154" s="8">
        <f>[1]Data!A154</f>
        <v>541300</v>
      </c>
      <c r="B154" s="8">
        <f>[1]Data!B154</f>
        <v>6</v>
      </c>
      <c r="C154" s="8">
        <f>[1]Data!C154</f>
        <v>0</v>
      </c>
      <c r="D154" s="8">
        <f>[1]Data!D154</f>
        <v>2</v>
      </c>
      <c r="E154" s="8" t="str">
        <f>[1]Data!E154</f>
        <v>CVCTE</v>
      </c>
      <c r="F154" s="8" t="str">
        <f>[1]Data!F154</f>
        <v>Compton</v>
      </c>
      <c r="G154" s="8">
        <f>[1]Data!G154</f>
        <v>0</v>
      </c>
      <c r="H154" s="8">
        <f>[1]Data!H154</f>
        <v>0</v>
      </c>
      <c r="I154" s="8">
        <f>[1]Data!I154</f>
        <v>10.42</v>
      </c>
      <c r="J154" s="8">
        <f>[1]Data!J154</f>
        <v>7.0609083400000001</v>
      </c>
      <c r="K154" s="8">
        <f>[1]Data!K154</f>
        <v>10.060908339999999</v>
      </c>
      <c r="L154" s="8">
        <f>[1]Data!L154</f>
        <v>0.35823543989228002</v>
      </c>
      <c r="M154" s="8">
        <f>[1]Data!M154</f>
        <v>10.4191437798923</v>
      </c>
      <c r="N154" s="8">
        <f>[1]Data!N154</f>
        <v>0.16393442622950799</v>
      </c>
      <c r="O154" s="8">
        <f>[1]Data!O154</f>
        <v>0</v>
      </c>
      <c r="P154" s="8">
        <f>[1]Data!P154</f>
        <v>0.19672131147541</v>
      </c>
      <c r="Q154" s="8">
        <f>[1]Data!Q154</f>
        <v>0</v>
      </c>
      <c r="R154" s="8">
        <f>[1]Data!R154</f>
        <v>0</v>
      </c>
      <c r="S154" s="8">
        <f>[1]Data!S154</f>
        <v>0</v>
      </c>
      <c r="T154">
        <f t="shared" si="10"/>
        <v>0.16393442622950799</v>
      </c>
      <c r="U154">
        <f t="shared" si="11"/>
        <v>0</v>
      </c>
      <c r="V154" s="4" t="str">
        <f t="shared" si="12"/>
        <v>0</v>
      </c>
      <c r="W154" s="4" t="str">
        <f t="shared" si="13"/>
        <v>6</v>
      </c>
      <c r="X154" s="4" t="str">
        <f t="shared" si="14"/>
        <v>0CVCTE6</v>
      </c>
      <c r="Y154">
        <f>VLOOKUP(X154,Sheet1!$J$5:$K$121,2,FALSE)</f>
        <v>0</v>
      </c>
    </row>
    <row r="155" spans="1:25" x14ac:dyDescent="0.25">
      <c r="A155" s="8">
        <f>[1]Data!A155</f>
        <v>542601</v>
      </c>
      <c r="B155" s="8">
        <f>[1]Data!B155</f>
        <v>6</v>
      </c>
      <c r="C155" s="8">
        <f>[1]Data!C155</f>
        <v>0</v>
      </c>
      <c r="D155" s="8">
        <f>[1]Data!D155</f>
        <v>2</v>
      </c>
      <c r="E155" s="8" t="str">
        <f>[1]Data!E155</f>
        <v>CVCTE</v>
      </c>
      <c r="F155" s="8" t="str">
        <f>[1]Data!F155</f>
        <v>Compton</v>
      </c>
      <c r="G155" s="8">
        <f>[1]Data!G155</f>
        <v>1</v>
      </c>
      <c r="H155" s="8">
        <f>[1]Data!H155</f>
        <v>1</v>
      </c>
      <c r="I155" s="8">
        <f>[1]Data!I155</f>
        <v>73.679000000000002</v>
      </c>
      <c r="J155" s="8">
        <f>[1]Data!J155</f>
        <v>67.066804210000001</v>
      </c>
      <c r="K155" s="8">
        <f>[1]Data!K155</f>
        <v>70.066804210000001</v>
      </c>
      <c r="L155" s="8">
        <f>[1]Data!L155</f>
        <v>3.6123402750448799</v>
      </c>
      <c r="M155" s="8">
        <f>[1]Data!M155</f>
        <v>73.679144485044901</v>
      </c>
      <c r="N155" s="8">
        <f>[1]Data!N155</f>
        <v>0.16393442622950799</v>
      </c>
      <c r="O155" s="8">
        <f>[1]Data!O155</f>
        <v>6.1</v>
      </c>
      <c r="P155" s="8">
        <f>[1]Data!P155</f>
        <v>0.19672131147541</v>
      </c>
      <c r="Q155" s="8">
        <f>[1]Data!Q155</f>
        <v>0</v>
      </c>
      <c r="R155" s="8">
        <f>[1]Data!R155</f>
        <v>0</v>
      </c>
      <c r="S155" s="8">
        <f>[1]Data!S155</f>
        <v>0</v>
      </c>
      <c r="T155">
        <f t="shared" si="10"/>
        <v>0.16393442622950799</v>
      </c>
      <c r="U155">
        <f t="shared" si="11"/>
        <v>6.1000000000000076</v>
      </c>
      <c r="V155" s="4" t="str">
        <f t="shared" si="12"/>
        <v>0</v>
      </c>
      <c r="W155" s="4" t="str">
        <f t="shared" si="13"/>
        <v>6</v>
      </c>
      <c r="X155" s="4" t="str">
        <f t="shared" si="14"/>
        <v>0CVCTE6</v>
      </c>
      <c r="Y155">
        <f>VLOOKUP(X155,Sheet1!$J$5:$K$121,2,FALSE)</f>
        <v>0</v>
      </c>
    </row>
    <row r="156" spans="1:25" x14ac:dyDescent="0.25">
      <c r="A156" s="8">
        <f>[1]Data!A156</f>
        <v>541200</v>
      </c>
      <c r="B156" s="8">
        <f>[1]Data!B156</f>
        <v>6</v>
      </c>
      <c r="C156" s="8">
        <f>[1]Data!C156</f>
        <v>0</v>
      </c>
      <c r="D156" s="8">
        <f>[1]Data!D156</f>
        <v>2</v>
      </c>
      <c r="E156" s="8" t="str">
        <f>[1]Data!E156</f>
        <v>CVCTE</v>
      </c>
      <c r="F156" s="8" t="str">
        <f>[1]Data!F156</f>
        <v>Compton</v>
      </c>
      <c r="G156" s="8">
        <f>[1]Data!G156</f>
        <v>0</v>
      </c>
      <c r="H156" s="8">
        <f>[1]Data!H156</f>
        <v>0</v>
      </c>
      <c r="I156" s="8">
        <f>[1]Data!I156</f>
        <v>0</v>
      </c>
      <c r="J156" s="8">
        <f>[1]Data!J156</f>
        <v>0</v>
      </c>
      <c r="K156" s="8">
        <f>[1]Data!K156</f>
        <v>0</v>
      </c>
      <c r="L156" s="8">
        <f>[1]Data!L156</f>
        <v>0</v>
      </c>
      <c r="M156" s="8">
        <f>[1]Data!M156</f>
        <v>0</v>
      </c>
      <c r="N156" s="8">
        <f>[1]Data!N156</f>
        <v>0.16393442622950799</v>
      </c>
      <c r="O156" s="8">
        <f>[1]Data!O156</f>
        <v>0</v>
      </c>
      <c r="P156" s="8">
        <f>[1]Data!P156</f>
        <v>0.19672131147541</v>
      </c>
      <c r="Q156" s="8">
        <f>[1]Data!Q156</f>
        <v>0</v>
      </c>
      <c r="R156" s="8">
        <f>[1]Data!R156</f>
        <v>0</v>
      </c>
      <c r="S156" s="8">
        <f>[1]Data!S156</f>
        <v>0</v>
      </c>
      <c r="T156">
        <f t="shared" si="10"/>
        <v>0.16393442622950799</v>
      </c>
      <c r="U156">
        <f t="shared" si="11"/>
        <v>0</v>
      </c>
      <c r="V156" s="4" t="str">
        <f t="shared" si="12"/>
        <v>0</v>
      </c>
      <c r="W156" s="4" t="str">
        <f t="shared" si="13"/>
        <v>6</v>
      </c>
      <c r="X156" s="4" t="str">
        <f t="shared" si="14"/>
        <v>0CVCTE6</v>
      </c>
      <c r="Y156">
        <f>VLOOKUP(X156,Sheet1!$J$5:$K$121,2,FALSE)</f>
        <v>0</v>
      </c>
    </row>
    <row r="157" spans="1:25" x14ac:dyDescent="0.25">
      <c r="A157" s="8">
        <f>[1]Data!A157</f>
        <v>540902</v>
      </c>
      <c r="B157" s="8">
        <f>[1]Data!B157</f>
        <v>6</v>
      </c>
      <c r="C157" s="8">
        <f>[1]Data!C157</f>
        <v>0</v>
      </c>
      <c r="D157" s="8">
        <f>[1]Data!D157</f>
        <v>2</v>
      </c>
      <c r="E157" s="8" t="str">
        <f>[1]Data!E157</f>
        <v>CVCTE</v>
      </c>
      <c r="F157" s="8" t="str">
        <f>[1]Data!F157</f>
        <v>Willowbrook</v>
      </c>
      <c r="G157" s="8">
        <f>[1]Data!G157</f>
        <v>0</v>
      </c>
      <c r="H157" s="8">
        <f>[1]Data!H157</f>
        <v>0</v>
      </c>
      <c r="I157" s="8">
        <f>[1]Data!I157</f>
        <v>176.56200000000001</v>
      </c>
      <c r="J157" s="8">
        <f>[1]Data!J157</f>
        <v>161.75104680999999</v>
      </c>
      <c r="K157" s="8">
        <f>[1]Data!K157</f>
        <v>166.75104680999999</v>
      </c>
      <c r="L157" s="8">
        <f>[1]Data!L157</f>
        <v>9.8062896042010799</v>
      </c>
      <c r="M157" s="8">
        <f>[1]Data!M157</f>
        <v>176.55733641420099</v>
      </c>
      <c r="N157" s="8">
        <f>[1]Data!N157</f>
        <v>0.16393442622950799</v>
      </c>
      <c r="O157" s="8">
        <f>[1]Data!O157</f>
        <v>0</v>
      </c>
      <c r="P157" s="8">
        <f>[1]Data!P157</f>
        <v>0.19672131147541</v>
      </c>
      <c r="Q157" s="8">
        <f>[1]Data!Q157</f>
        <v>0</v>
      </c>
      <c r="R157" s="8">
        <f>[1]Data!R157</f>
        <v>0</v>
      </c>
      <c r="S157" s="8">
        <f>[1]Data!S157</f>
        <v>0</v>
      </c>
      <c r="T157">
        <f t="shared" si="10"/>
        <v>0.16393442622950799</v>
      </c>
      <c r="U157">
        <f t="shared" si="11"/>
        <v>0</v>
      </c>
      <c r="V157" s="4" t="str">
        <f t="shared" si="12"/>
        <v>0</v>
      </c>
      <c r="W157" s="4" t="str">
        <f t="shared" si="13"/>
        <v>6</v>
      </c>
      <c r="X157" s="4" t="str">
        <f t="shared" si="14"/>
        <v>0CVCTE6</v>
      </c>
      <c r="Y157">
        <f>VLOOKUP(X157,Sheet1!$J$5:$K$121,2,FALSE)</f>
        <v>0</v>
      </c>
    </row>
    <row r="158" spans="1:25" x14ac:dyDescent="0.25">
      <c r="A158" s="8">
        <f>[1]Data!A158</f>
        <v>540800</v>
      </c>
      <c r="B158" s="8">
        <f>[1]Data!B158</f>
        <v>6</v>
      </c>
      <c r="C158" s="8">
        <f>[1]Data!C158</f>
        <v>0</v>
      </c>
      <c r="D158" s="8">
        <f>[1]Data!D158</f>
        <v>2</v>
      </c>
      <c r="E158" s="8" t="str">
        <f>[1]Data!E158</f>
        <v>CVCTE</v>
      </c>
      <c r="F158" s="8" t="str">
        <f>[1]Data!F158</f>
        <v>Willowbrook</v>
      </c>
      <c r="G158" s="8">
        <f>[1]Data!G158</f>
        <v>0</v>
      </c>
      <c r="H158" s="8">
        <f>[1]Data!H158</f>
        <v>0</v>
      </c>
      <c r="I158" s="8">
        <f>[1]Data!I158</f>
        <v>81.257999999999996</v>
      </c>
      <c r="J158" s="8">
        <f>[1]Data!J158</f>
        <v>72.542541569999997</v>
      </c>
      <c r="K158" s="8">
        <f>[1]Data!K158</f>
        <v>76.542541569999997</v>
      </c>
      <c r="L158" s="8">
        <f>[1]Data!L158</f>
        <v>4.7157456939138198</v>
      </c>
      <c r="M158" s="8">
        <f>[1]Data!M158</f>
        <v>81.2582872639138</v>
      </c>
      <c r="N158" s="8">
        <f>[1]Data!N158</f>
        <v>0.16393442622950799</v>
      </c>
      <c r="O158" s="8">
        <f>[1]Data!O158</f>
        <v>0</v>
      </c>
      <c r="P158" s="8">
        <f>[1]Data!P158</f>
        <v>0.19672131147541</v>
      </c>
      <c r="Q158" s="8">
        <f>[1]Data!Q158</f>
        <v>0</v>
      </c>
      <c r="R158" s="8">
        <f>[1]Data!R158</f>
        <v>0</v>
      </c>
      <c r="S158" s="8">
        <f>[1]Data!S158</f>
        <v>0</v>
      </c>
      <c r="T158">
        <f t="shared" si="10"/>
        <v>0.16393442622950799</v>
      </c>
      <c r="U158">
        <f t="shared" si="11"/>
        <v>0</v>
      </c>
      <c r="V158" s="4" t="str">
        <f t="shared" si="12"/>
        <v>0</v>
      </c>
      <c r="W158" s="4" t="str">
        <f t="shared" si="13"/>
        <v>6</v>
      </c>
      <c r="X158" s="4" t="str">
        <f t="shared" si="14"/>
        <v>0CVCTE6</v>
      </c>
      <c r="Y158">
        <f>VLOOKUP(X158,Sheet1!$J$5:$K$121,2,FALSE)</f>
        <v>0</v>
      </c>
    </row>
    <row r="159" spans="1:25" x14ac:dyDescent="0.25">
      <c r="A159" s="8">
        <f>[1]Data!A159</f>
        <v>535001</v>
      </c>
      <c r="B159" s="8">
        <f>[1]Data!B159</f>
        <v>6</v>
      </c>
      <c r="C159" s="8">
        <f>[1]Data!C159</f>
        <v>0</v>
      </c>
      <c r="D159" s="8">
        <f>[1]Data!D159</f>
        <v>2</v>
      </c>
      <c r="E159" s="8" t="str">
        <f>[1]Data!E159</f>
        <v>CVCTE</v>
      </c>
      <c r="F159" s="8" t="str">
        <f>[1]Data!F159</f>
        <v>Florence-Graham</v>
      </c>
      <c r="G159" s="8">
        <f>[1]Data!G159</f>
        <v>0</v>
      </c>
      <c r="H159" s="8">
        <f>[1]Data!H159</f>
        <v>0</v>
      </c>
      <c r="I159" s="8">
        <f>[1]Data!I159</f>
        <v>41.902999999999999</v>
      </c>
      <c r="J159" s="8">
        <f>[1]Data!J159</f>
        <v>31.40357844</v>
      </c>
      <c r="K159" s="8">
        <f>[1]Data!K159</f>
        <v>40.403578439999997</v>
      </c>
      <c r="L159" s="8">
        <f>[1]Data!L159</f>
        <v>1.49857986321364</v>
      </c>
      <c r="M159" s="8">
        <f>[1]Data!M159</f>
        <v>41.902158303213596</v>
      </c>
      <c r="N159" s="8">
        <f>[1]Data!N159</f>
        <v>0.16393442622950799</v>
      </c>
      <c r="O159" s="8">
        <f>[1]Data!O159</f>
        <v>0</v>
      </c>
      <c r="P159" s="8">
        <f>[1]Data!P159</f>
        <v>0.19672131147541</v>
      </c>
      <c r="Q159" s="8">
        <f>[1]Data!Q159</f>
        <v>0</v>
      </c>
      <c r="R159" s="8">
        <f>[1]Data!R159</f>
        <v>0</v>
      </c>
      <c r="S159" s="8">
        <f>[1]Data!S159</f>
        <v>0</v>
      </c>
      <c r="T159">
        <f t="shared" si="10"/>
        <v>0.16393442622950799</v>
      </c>
      <c r="U159">
        <f t="shared" si="11"/>
        <v>0</v>
      </c>
      <c r="V159" s="4" t="str">
        <f t="shared" si="12"/>
        <v>0</v>
      </c>
      <c r="W159" s="4" t="str">
        <f t="shared" si="13"/>
        <v>6</v>
      </c>
      <c r="X159" s="4" t="str">
        <f t="shared" si="14"/>
        <v>0CVCTE6</v>
      </c>
      <c r="Y159">
        <f>VLOOKUP(X159,Sheet1!$J$5:$K$121,2,FALSE)</f>
        <v>0</v>
      </c>
    </row>
    <row r="160" spans="1:25" x14ac:dyDescent="0.25">
      <c r="A160" s="8">
        <f>[1]Data!A160</f>
        <v>500300</v>
      </c>
      <c r="B160" s="8">
        <f>[1]Data!B160</f>
        <v>7</v>
      </c>
      <c r="C160" s="8">
        <f>[1]Data!C160</f>
        <v>0</v>
      </c>
      <c r="D160" s="8">
        <f>[1]Data!D160</f>
        <v>4</v>
      </c>
      <c r="E160" s="8" t="str">
        <f>[1]Data!E160</f>
        <v>CVCTE</v>
      </c>
      <c r="F160" s="8" t="str">
        <f>[1]Data!F160</f>
        <v>Unincorporated Whittier</v>
      </c>
      <c r="G160" s="8">
        <f>[1]Data!G160</f>
        <v>0</v>
      </c>
      <c r="H160" s="8">
        <f>[1]Data!H160</f>
        <v>0</v>
      </c>
      <c r="I160" s="8">
        <f>[1]Data!I160</f>
        <v>7.9459999999999997</v>
      </c>
      <c r="J160" s="8">
        <f>[1]Data!J160</f>
        <v>5.7934595399999997</v>
      </c>
      <c r="K160" s="8">
        <f>[1]Data!K160</f>
        <v>7.7934595399999997</v>
      </c>
      <c r="L160" s="8">
        <f>[1]Data!L160</f>
        <v>0.152423245547576</v>
      </c>
      <c r="M160" s="8">
        <f>[1]Data!M160</f>
        <v>7.94588278554758</v>
      </c>
      <c r="N160" s="8">
        <f>[1]Data!N160</f>
        <v>0.23958333333333301</v>
      </c>
      <c r="O160" s="8">
        <f>[1]Data!O160</f>
        <v>0</v>
      </c>
      <c r="P160" s="8">
        <f>[1]Data!P160</f>
        <v>1</v>
      </c>
      <c r="Q160" s="8">
        <f>[1]Data!Q160</f>
        <v>0</v>
      </c>
      <c r="R160" s="8">
        <f>[1]Data!R160</f>
        <v>0</v>
      </c>
      <c r="S160" s="8">
        <f>[1]Data!S160</f>
        <v>0</v>
      </c>
      <c r="T160">
        <f t="shared" si="10"/>
        <v>0.23958333333333301</v>
      </c>
      <c r="U160">
        <f t="shared" si="11"/>
        <v>0</v>
      </c>
      <c r="V160" s="4" t="str">
        <f t="shared" si="12"/>
        <v>0</v>
      </c>
      <c r="W160" s="4" t="str">
        <f t="shared" si="13"/>
        <v>7</v>
      </c>
      <c r="X160" s="4" t="str">
        <f t="shared" si="14"/>
        <v>0CVCTE7</v>
      </c>
      <c r="Y160">
        <f>VLOOKUP(X160,Sheet1!$J$5:$K$121,2,FALSE)</f>
        <v>0</v>
      </c>
    </row>
    <row r="161" spans="1:25" x14ac:dyDescent="0.25">
      <c r="A161" s="8">
        <f>[1]Data!A161</f>
        <v>500402</v>
      </c>
      <c r="B161" s="8">
        <f>[1]Data!B161</f>
        <v>7</v>
      </c>
      <c r="C161" s="8">
        <f>[1]Data!C161</f>
        <v>0</v>
      </c>
      <c r="D161" s="8">
        <f>[1]Data!D161</f>
        <v>1</v>
      </c>
      <c r="E161" s="8" t="str">
        <f>[1]Data!E161</f>
        <v>CVCTE</v>
      </c>
      <c r="F161" s="8" t="str">
        <f>[1]Data!F161</f>
        <v>Pico Rivera</v>
      </c>
      <c r="G161" s="8">
        <f>[1]Data!G161</f>
        <v>0</v>
      </c>
      <c r="H161" s="8">
        <f>[1]Data!H161</f>
        <v>0</v>
      </c>
      <c r="I161" s="8">
        <f>[1]Data!I161</f>
        <v>25.835000000000001</v>
      </c>
      <c r="J161" s="8">
        <f>[1]Data!J161</f>
        <v>21.375816069999999</v>
      </c>
      <c r="K161" s="8">
        <f>[1]Data!K161</f>
        <v>24.375816069999999</v>
      </c>
      <c r="L161" s="8">
        <f>[1]Data!L161</f>
        <v>1.45900174452424</v>
      </c>
      <c r="M161" s="8">
        <f>[1]Data!M161</f>
        <v>25.8348178145242</v>
      </c>
      <c r="N161" s="8">
        <f>[1]Data!N161</f>
        <v>0.23958333333333301</v>
      </c>
      <c r="O161" s="8">
        <f>[1]Data!O161</f>
        <v>0</v>
      </c>
      <c r="P161" s="8">
        <f>[1]Data!P161</f>
        <v>1</v>
      </c>
      <c r="Q161" s="8">
        <f>[1]Data!Q161</f>
        <v>0</v>
      </c>
      <c r="R161" s="8">
        <f>[1]Data!R161</f>
        <v>0</v>
      </c>
      <c r="S161" s="8">
        <f>[1]Data!S161</f>
        <v>0</v>
      </c>
      <c r="T161">
        <f t="shared" si="10"/>
        <v>0.23958333333333301</v>
      </c>
      <c r="U161">
        <f t="shared" si="11"/>
        <v>0</v>
      </c>
      <c r="V161" s="4" t="str">
        <f t="shared" si="12"/>
        <v>0</v>
      </c>
      <c r="W161" s="4" t="str">
        <f t="shared" si="13"/>
        <v>7</v>
      </c>
      <c r="X161" s="4" t="str">
        <f t="shared" si="14"/>
        <v>0CVCTE7</v>
      </c>
      <c r="Y161">
        <f>VLOOKUP(X161,Sheet1!$J$5:$K$121,2,FALSE)</f>
        <v>0</v>
      </c>
    </row>
    <row r="162" spans="1:25" x14ac:dyDescent="0.25">
      <c r="A162" s="8">
        <f>[1]Data!A162</f>
        <v>500403</v>
      </c>
      <c r="B162" s="8">
        <f>[1]Data!B162</f>
        <v>7</v>
      </c>
      <c r="C162" s="8">
        <f>[1]Data!C162</f>
        <v>0</v>
      </c>
      <c r="D162" s="8">
        <f>[1]Data!D162</f>
        <v>1</v>
      </c>
      <c r="E162" s="8" t="str">
        <f>[1]Data!E162</f>
        <v>CVCTE</v>
      </c>
      <c r="F162" s="8" t="str">
        <f>[1]Data!F162</f>
        <v>Pico Rivera</v>
      </c>
      <c r="G162" s="8">
        <f>[1]Data!G162</f>
        <v>0</v>
      </c>
      <c r="H162" s="8">
        <f>[1]Data!H162</f>
        <v>0</v>
      </c>
      <c r="I162" s="8">
        <f>[1]Data!I162</f>
        <v>4.6289999999999996</v>
      </c>
      <c r="J162" s="8">
        <f>[1]Data!J162</f>
        <v>3.5861715599999999</v>
      </c>
      <c r="K162" s="8">
        <f>[1]Data!K162</f>
        <v>4.5861715600000004</v>
      </c>
      <c r="L162" s="8">
        <f>[1]Data!L162</f>
        <v>4.2117253842010802E-2</v>
      </c>
      <c r="M162" s="8">
        <f>[1]Data!M162</f>
        <v>4.6282888138420102</v>
      </c>
      <c r="N162" s="8">
        <f>[1]Data!N162</f>
        <v>0.23958333333333301</v>
      </c>
      <c r="O162" s="8">
        <f>[1]Data!O162</f>
        <v>0</v>
      </c>
      <c r="P162" s="8">
        <f>[1]Data!P162</f>
        <v>1</v>
      </c>
      <c r="Q162" s="8">
        <f>[1]Data!Q162</f>
        <v>0</v>
      </c>
      <c r="R162" s="8">
        <f>[1]Data!R162</f>
        <v>0</v>
      </c>
      <c r="S162" s="8">
        <f>[1]Data!S162</f>
        <v>0</v>
      </c>
      <c r="T162">
        <f t="shared" si="10"/>
        <v>0.23958333333333301</v>
      </c>
      <c r="U162">
        <f t="shared" si="11"/>
        <v>0</v>
      </c>
      <c r="V162" s="4" t="str">
        <f t="shared" si="12"/>
        <v>0</v>
      </c>
      <c r="W162" s="4" t="str">
        <f t="shared" si="13"/>
        <v>7</v>
      </c>
      <c r="X162" s="4" t="str">
        <f t="shared" si="14"/>
        <v>0CVCTE7</v>
      </c>
      <c r="Y162">
        <f>VLOOKUP(X162,Sheet1!$J$5:$K$121,2,FALSE)</f>
        <v>0</v>
      </c>
    </row>
    <row r="163" spans="1:25" x14ac:dyDescent="0.25">
      <c r="A163" s="8">
        <f>[1]Data!A163</f>
        <v>500900</v>
      </c>
      <c r="B163" s="8">
        <f>[1]Data!B163</f>
        <v>7</v>
      </c>
      <c r="C163" s="8">
        <f>[1]Data!C163</f>
        <v>0</v>
      </c>
      <c r="D163" s="8">
        <f>[1]Data!D163</f>
        <v>1</v>
      </c>
      <c r="E163" s="8" t="str">
        <f>[1]Data!E163</f>
        <v>CVCTE</v>
      </c>
      <c r="F163" s="8" t="str">
        <f>[1]Data!F163</f>
        <v>Pico Rivera</v>
      </c>
      <c r="G163" s="8">
        <f>[1]Data!G163</f>
        <v>0</v>
      </c>
      <c r="H163" s="8">
        <f>[1]Data!H163</f>
        <v>0</v>
      </c>
      <c r="I163" s="8">
        <f>[1]Data!I163</f>
        <v>19.905999999999999</v>
      </c>
      <c r="J163" s="8">
        <f>[1]Data!J163</f>
        <v>14.3919657</v>
      </c>
      <c r="K163" s="8">
        <f>[1]Data!K163</f>
        <v>18.3919657</v>
      </c>
      <c r="L163" s="8">
        <f>[1]Data!L163</f>
        <v>1.51452006140036</v>
      </c>
      <c r="M163" s="8">
        <f>[1]Data!M163</f>
        <v>19.9064857614004</v>
      </c>
      <c r="N163" s="8">
        <f>[1]Data!N163</f>
        <v>0.23958333333333301</v>
      </c>
      <c r="O163" s="8">
        <f>[1]Data!O163</f>
        <v>0</v>
      </c>
      <c r="P163" s="8">
        <f>[1]Data!P163</f>
        <v>1</v>
      </c>
      <c r="Q163" s="8">
        <f>[1]Data!Q163</f>
        <v>0</v>
      </c>
      <c r="R163" s="8">
        <f>[1]Data!R163</f>
        <v>0</v>
      </c>
      <c r="S163" s="8">
        <f>[1]Data!S163</f>
        <v>0</v>
      </c>
      <c r="T163">
        <f t="shared" si="10"/>
        <v>0.23958333333333301</v>
      </c>
      <c r="U163">
        <f t="shared" si="11"/>
        <v>0</v>
      </c>
      <c r="V163" s="4" t="str">
        <f t="shared" si="12"/>
        <v>0</v>
      </c>
      <c r="W163" s="4" t="str">
        <f t="shared" si="13"/>
        <v>7</v>
      </c>
      <c r="X163" s="4" t="str">
        <f t="shared" si="14"/>
        <v>0CVCTE7</v>
      </c>
      <c r="Y163">
        <f>VLOOKUP(X163,Sheet1!$J$5:$K$121,2,FALSE)</f>
        <v>0</v>
      </c>
    </row>
    <row r="164" spans="1:25" x14ac:dyDescent="0.25">
      <c r="A164" s="8">
        <f>[1]Data!A164</f>
        <v>501400</v>
      </c>
      <c r="B164" s="8">
        <f>[1]Data!B164</f>
        <v>7</v>
      </c>
      <c r="C164" s="8">
        <f>[1]Data!C164</f>
        <v>0</v>
      </c>
      <c r="D164" s="8">
        <f>[1]Data!D164</f>
        <v>4</v>
      </c>
      <c r="E164" s="8" t="str">
        <f>[1]Data!E164</f>
        <v>CVCTE</v>
      </c>
      <c r="F164" s="8" t="str">
        <f>[1]Data!F164</f>
        <v>Whittier</v>
      </c>
      <c r="G164" s="8">
        <f>[1]Data!G164</f>
        <v>1</v>
      </c>
      <c r="H164" s="8">
        <f>[1]Data!H164</f>
        <v>1</v>
      </c>
      <c r="I164" s="8">
        <f>[1]Data!I164</f>
        <v>32.357999999999997</v>
      </c>
      <c r="J164" s="8">
        <f>[1]Data!J164</f>
        <v>17.157849259999999</v>
      </c>
      <c r="K164" s="8">
        <f>[1]Data!K164</f>
        <v>31.157849259999999</v>
      </c>
      <c r="L164" s="8">
        <f>[1]Data!L164</f>
        <v>1.2004694506642699</v>
      </c>
      <c r="M164" s="8">
        <f>[1]Data!M164</f>
        <v>32.3583187106643</v>
      </c>
      <c r="N164" s="8">
        <f>[1]Data!N164</f>
        <v>0.23958333333333301</v>
      </c>
      <c r="O164" s="8">
        <f>[1]Data!O164</f>
        <v>4.1739130434782599</v>
      </c>
      <c r="P164" s="8">
        <f>[1]Data!P164</f>
        <v>1</v>
      </c>
      <c r="Q164" s="8">
        <f>[1]Data!Q164</f>
        <v>0</v>
      </c>
      <c r="R164" s="8">
        <f>[1]Data!R164</f>
        <v>0</v>
      </c>
      <c r="S164" s="8">
        <f>[1]Data!S164</f>
        <v>0</v>
      </c>
      <c r="T164">
        <f t="shared" si="10"/>
        <v>0.23958333333333301</v>
      </c>
      <c r="U164">
        <f t="shared" si="11"/>
        <v>4.1739130434782661</v>
      </c>
      <c r="V164" s="4" t="str">
        <f t="shared" si="12"/>
        <v>0</v>
      </c>
      <c r="W164" s="4" t="str">
        <f t="shared" si="13"/>
        <v>7</v>
      </c>
      <c r="X164" s="4" t="str">
        <f t="shared" si="14"/>
        <v>0CVCTE7</v>
      </c>
      <c r="Y164">
        <f>VLOOKUP(X164,Sheet1!$J$5:$K$121,2,FALSE)</f>
        <v>0</v>
      </c>
    </row>
    <row r="165" spans="1:25" x14ac:dyDescent="0.25">
      <c r="A165" s="8">
        <f>[1]Data!A165</f>
        <v>502004</v>
      </c>
      <c r="B165" s="8">
        <f>[1]Data!B165</f>
        <v>7</v>
      </c>
      <c r="C165" s="8">
        <f>[1]Data!C165</f>
        <v>0</v>
      </c>
      <c r="D165" s="8">
        <f>[1]Data!D165</f>
        <v>4</v>
      </c>
      <c r="E165" s="8" t="str">
        <f>[1]Data!E165</f>
        <v>CVCTE</v>
      </c>
      <c r="F165" s="8" t="str">
        <f>[1]Data!F165</f>
        <v>Whittier</v>
      </c>
      <c r="G165" s="8">
        <f>[1]Data!G165</f>
        <v>0</v>
      </c>
      <c r="H165" s="8">
        <f>[1]Data!H165</f>
        <v>0</v>
      </c>
      <c r="I165" s="8">
        <f>[1]Data!I165</f>
        <v>21.166</v>
      </c>
      <c r="J165" s="8">
        <f>[1]Data!J165</f>
        <v>18.89098143</v>
      </c>
      <c r="K165" s="8">
        <f>[1]Data!K165</f>
        <v>19.89098143</v>
      </c>
      <c r="L165" s="8">
        <f>[1]Data!L165</f>
        <v>1.27545496095153</v>
      </c>
      <c r="M165" s="8">
        <f>[1]Data!M165</f>
        <v>21.1664363909515</v>
      </c>
      <c r="N165" s="8">
        <f>[1]Data!N165</f>
        <v>0.23958333333333301</v>
      </c>
      <c r="O165" s="8">
        <f>[1]Data!O165</f>
        <v>0</v>
      </c>
      <c r="P165" s="8">
        <f>[1]Data!P165</f>
        <v>1</v>
      </c>
      <c r="Q165" s="8">
        <f>[1]Data!Q165</f>
        <v>0</v>
      </c>
      <c r="R165" s="8">
        <f>[1]Data!R165</f>
        <v>0</v>
      </c>
      <c r="S165" s="8">
        <f>[1]Data!S165</f>
        <v>0</v>
      </c>
      <c r="T165">
        <f t="shared" si="10"/>
        <v>0.23958333333333301</v>
      </c>
      <c r="U165">
        <f t="shared" si="11"/>
        <v>0</v>
      </c>
      <c r="V165" s="4" t="str">
        <f t="shared" si="12"/>
        <v>0</v>
      </c>
      <c r="W165" s="4" t="str">
        <f t="shared" si="13"/>
        <v>7</v>
      </c>
      <c r="X165" s="4" t="str">
        <f t="shared" si="14"/>
        <v>0CVCTE7</v>
      </c>
      <c r="Y165">
        <f>VLOOKUP(X165,Sheet1!$J$5:$K$121,2,FALSE)</f>
        <v>0</v>
      </c>
    </row>
    <row r="166" spans="1:25" x14ac:dyDescent="0.25">
      <c r="A166" s="8">
        <f>[1]Data!A166</f>
        <v>502100</v>
      </c>
      <c r="B166" s="8">
        <f>[1]Data!B166</f>
        <v>7</v>
      </c>
      <c r="C166" s="8">
        <f>[1]Data!C166</f>
        <v>0</v>
      </c>
      <c r="D166" s="8">
        <f>[1]Data!D166</f>
        <v>4</v>
      </c>
      <c r="E166" s="8" t="str">
        <f>[1]Data!E166</f>
        <v>CVCTE</v>
      </c>
      <c r="F166" s="8" t="str">
        <f>[1]Data!F166</f>
        <v>Whittier</v>
      </c>
      <c r="G166" s="8">
        <f>[1]Data!G166</f>
        <v>1</v>
      </c>
      <c r="H166" s="8">
        <f>[1]Data!H166</f>
        <v>1</v>
      </c>
      <c r="I166" s="8">
        <f>[1]Data!I166</f>
        <v>15.246</v>
      </c>
      <c r="J166" s="8">
        <f>[1]Data!J166</f>
        <v>14.23608801</v>
      </c>
      <c r="K166" s="8">
        <f>[1]Data!K166</f>
        <v>14.23608801</v>
      </c>
      <c r="L166" s="8">
        <f>[1]Data!L166</f>
        <v>1.0102190253321399</v>
      </c>
      <c r="M166" s="8">
        <f>[1]Data!M166</f>
        <v>15.2463070353321</v>
      </c>
      <c r="N166" s="8">
        <f>[1]Data!N166</f>
        <v>0.23958333333333301</v>
      </c>
      <c r="O166" s="8">
        <f>[1]Data!O166</f>
        <v>4.1739130434782599</v>
      </c>
      <c r="P166" s="8">
        <f>[1]Data!P166</f>
        <v>1</v>
      </c>
      <c r="Q166" s="8">
        <f>[1]Data!Q166</f>
        <v>0</v>
      </c>
      <c r="R166" s="8">
        <f>[1]Data!R166</f>
        <v>0</v>
      </c>
      <c r="S166" s="8">
        <f>[1]Data!S166</f>
        <v>0</v>
      </c>
      <c r="T166">
        <f t="shared" si="10"/>
        <v>0.23958333333333301</v>
      </c>
      <c r="U166">
        <f t="shared" si="11"/>
        <v>4.1739130434782661</v>
      </c>
      <c r="V166" s="4" t="str">
        <f t="shared" si="12"/>
        <v>0</v>
      </c>
      <c r="W166" s="4" t="str">
        <f t="shared" si="13"/>
        <v>7</v>
      </c>
      <c r="X166" s="4" t="str">
        <f t="shared" si="14"/>
        <v>0CVCTE7</v>
      </c>
      <c r="Y166">
        <f>VLOOKUP(X166,Sheet1!$J$5:$K$121,2,FALSE)</f>
        <v>0</v>
      </c>
    </row>
    <row r="167" spans="1:25" x14ac:dyDescent="0.25">
      <c r="A167" s="8">
        <f>[1]Data!A167</f>
        <v>502301</v>
      </c>
      <c r="B167" s="8">
        <f>[1]Data!B167</f>
        <v>7</v>
      </c>
      <c r="C167" s="8">
        <f>[1]Data!C167</f>
        <v>0</v>
      </c>
      <c r="D167" s="8">
        <f>[1]Data!D167</f>
        <v>4</v>
      </c>
      <c r="E167" s="8" t="str">
        <f>[1]Data!E167</f>
        <v>CVCTE</v>
      </c>
      <c r="F167" s="8" t="str">
        <f>[1]Data!F167</f>
        <v>Los Nietos</v>
      </c>
      <c r="G167" s="8">
        <f>[1]Data!G167</f>
        <v>0</v>
      </c>
      <c r="H167" s="8">
        <f>[1]Data!H167</f>
        <v>0</v>
      </c>
      <c r="I167" s="8">
        <f>[1]Data!I167</f>
        <v>21.771999999999998</v>
      </c>
      <c r="J167" s="8">
        <f>[1]Data!J167</f>
        <v>16.216951120000001</v>
      </c>
      <c r="K167" s="8">
        <f>[1]Data!K167</f>
        <v>21.216951120000001</v>
      </c>
      <c r="L167" s="8">
        <f>[1]Data!L167</f>
        <v>0.55364254895870701</v>
      </c>
      <c r="M167" s="8">
        <f>[1]Data!M167</f>
        <v>21.7705936689587</v>
      </c>
      <c r="N167" s="8">
        <f>[1]Data!N167</f>
        <v>0.23958333333333301</v>
      </c>
      <c r="O167" s="8">
        <f>[1]Data!O167</f>
        <v>0</v>
      </c>
      <c r="P167" s="8">
        <f>[1]Data!P167</f>
        <v>1</v>
      </c>
      <c r="Q167" s="8">
        <f>[1]Data!Q167</f>
        <v>0</v>
      </c>
      <c r="R167" s="8">
        <f>[1]Data!R167</f>
        <v>0</v>
      </c>
      <c r="S167" s="8">
        <f>[1]Data!S167</f>
        <v>0</v>
      </c>
      <c r="T167">
        <f t="shared" si="10"/>
        <v>0.23958333333333301</v>
      </c>
      <c r="U167">
        <f t="shared" si="11"/>
        <v>0</v>
      </c>
      <c r="V167" s="4" t="str">
        <f t="shared" si="12"/>
        <v>0</v>
      </c>
      <c r="W167" s="4" t="str">
        <f t="shared" si="13"/>
        <v>7</v>
      </c>
      <c r="X167" s="4" t="str">
        <f t="shared" si="14"/>
        <v>0CVCTE7</v>
      </c>
      <c r="Y167">
        <f>VLOOKUP(X167,Sheet1!$J$5:$K$121,2,FALSE)</f>
        <v>0</v>
      </c>
    </row>
    <row r="168" spans="1:25" x14ac:dyDescent="0.25">
      <c r="A168" s="8">
        <f>[1]Data!A168</f>
        <v>502302</v>
      </c>
      <c r="B168" s="8">
        <f>[1]Data!B168</f>
        <v>7</v>
      </c>
      <c r="C168" s="8">
        <f>[1]Data!C168</f>
        <v>0</v>
      </c>
      <c r="D168" s="8">
        <f>[1]Data!D168</f>
        <v>4</v>
      </c>
      <c r="E168" s="8" t="str">
        <f>[1]Data!E168</f>
        <v>CVCTE</v>
      </c>
      <c r="F168" s="8" t="str">
        <f>[1]Data!F168</f>
        <v>Los Nietos</v>
      </c>
      <c r="G168" s="8">
        <f>[1]Data!G168</f>
        <v>0</v>
      </c>
      <c r="H168" s="8">
        <f>[1]Data!H168</f>
        <v>0</v>
      </c>
      <c r="I168" s="8">
        <f>[1]Data!I168</f>
        <v>15.247999999999999</v>
      </c>
      <c r="J168" s="8">
        <f>[1]Data!J168</f>
        <v>12.68262011</v>
      </c>
      <c r="K168" s="8">
        <f>[1]Data!K168</f>
        <v>14.68262011</v>
      </c>
      <c r="L168" s="8">
        <f>[1]Data!L168</f>
        <v>0.56501887364452397</v>
      </c>
      <c r="M168" s="8">
        <f>[1]Data!M168</f>
        <v>15.247638983644499</v>
      </c>
      <c r="N168" s="8">
        <f>[1]Data!N168</f>
        <v>0.23958333333333301</v>
      </c>
      <c r="O168" s="8">
        <f>[1]Data!O168</f>
        <v>0</v>
      </c>
      <c r="P168" s="8">
        <f>[1]Data!P168</f>
        <v>1</v>
      </c>
      <c r="Q168" s="8">
        <f>[1]Data!Q168</f>
        <v>0</v>
      </c>
      <c r="R168" s="8">
        <f>[1]Data!R168</f>
        <v>0</v>
      </c>
      <c r="S168" s="8">
        <f>[1]Data!S168</f>
        <v>0</v>
      </c>
      <c r="T168">
        <f t="shared" si="10"/>
        <v>0.23958333333333301</v>
      </c>
      <c r="U168">
        <f t="shared" si="11"/>
        <v>0</v>
      </c>
      <c r="V168" s="4" t="str">
        <f t="shared" si="12"/>
        <v>0</v>
      </c>
      <c r="W168" s="4" t="str">
        <f t="shared" si="13"/>
        <v>7</v>
      </c>
      <c r="X168" s="4" t="str">
        <f t="shared" si="14"/>
        <v>0CVCTE7</v>
      </c>
      <c r="Y168">
        <f>VLOOKUP(X168,Sheet1!$J$5:$K$121,2,FALSE)</f>
        <v>0</v>
      </c>
    </row>
    <row r="169" spans="1:25" x14ac:dyDescent="0.25">
      <c r="A169" s="8">
        <f>[1]Data!A169</f>
        <v>502601</v>
      </c>
      <c r="B169" s="8">
        <f>[1]Data!B169</f>
        <v>7</v>
      </c>
      <c r="C169" s="8">
        <f>[1]Data!C169</f>
        <v>0</v>
      </c>
      <c r="D169" s="8">
        <f>[1]Data!D169</f>
        <v>1</v>
      </c>
      <c r="E169" s="8" t="str">
        <f>[1]Data!E169</f>
        <v>CVCTE</v>
      </c>
      <c r="F169" s="8" t="str">
        <f>[1]Data!F169</f>
        <v>Pico Rivera</v>
      </c>
      <c r="G169" s="8">
        <f>[1]Data!G169</f>
        <v>0</v>
      </c>
      <c r="H169" s="8">
        <f>[1]Data!H169</f>
        <v>0</v>
      </c>
      <c r="I169" s="8">
        <f>[1]Data!I169</f>
        <v>15.148999999999999</v>
      </c>
      <c r="J169" s="8">
        <f>[1]Data!J169</f>
        <v>12.821034060000001</v>
      </c>
      <c r="K169" s="8">
        <f>[1]Data!K169</f>
        <v>14.821034060000001</v>
      </c>
      <c r="L169" s="8">
        <f>[1]Data!L169</f>
        <v>0.32807164220825902</v>
      </c>
      <c r="M169" s="8">
        <f>[1]Data!M169</f>
        <v>15.149105702208301</v>
      </c>
      <c r="N169" s="8">
        <f>[1]Data!N169</f>
        <v>0.23958333333333301</v>
      </c>
      <c r="O169" s="8">
        <f>[1]Data!O169</f>
        <v>0</v>
      </c>
      <c r="P169" s="8">
        <f>[1]Data!P169</f>
        <v>1</v>
      </c>
      <c r="Q169" s="8">
        <f>[1]Data!Q169</f>
        <v>0</v>
      </c>
      <c r="R169" s="8">
        <f>[1]Data!R169</f>
        <v>0</v>
      </c>
      <c r="S169" s="8">
        <f>[1]Data!S169</f>
        <v>0</v>
      </c>
      <c r="T169">
        <f t="shared" si="10"/>
        <v>0.23958333333333301</v>
      </c>
      <c r="U169">
        <f t="shared" si="11"/>
        <v>0</v>
      </c>
      <c r="V169" s="4" t="str">
        <f t="shared" si="12"/>
        <v>0</v>
      </c>
      <c r="W169" s="4" t="str">
        <f t="shared" si="13"/>
        <v>7</v>
      </c>
      <c r="X169" s="4" t="str">
        <f t="shared" si="14"/>
        <v>0CVCTE7</v>
      </c>
      <c r="Y169">
        <f>VLOOKUP(X169,Sheet1!$J$5:$K$121,2,FALSE)</f>
        <v>0</v>
      </c>
    </row>
    <row r="170" spans="1:25" x14ac:dyDescent="0.25">
      <c r="A170" s="8">
        <f>[1]Data!A170</f>
        <v>503105</v>
      </c>
      <c r="B170" s="8">
        <f>[1]Data!B170</f>
        <v>7</v>
      </c>
      <c r="C170" s="8">
        <f>[1]Data!C170</f>
        <v>0</v>
      </c>
      <c r="D170" s="8">
        <f>[1]Data!D170</f>
        <v>4</v>
      </c>
      <c r="E170" s="8" t="str">
        <f>[1]Data!E170</f>
        <v>CVCTE</v>
      </c>
      <c r="F170" s="8" t="str">
        <f>[1]Data!F170</f>
        <v>South Whittier</v>
      </c>
      <c r="G170" s="8">
        <f>[1]Data!G170</f>
        <v>0</v>
      </c>
      <c r="H170" s="8">
        <f>[1]Data!H170</f>
        <v>0</v>
      </c>
      <c r="I170" s="8">
        <f>[1]Data!I170</f>
        <v>11.305</v>
      </c>
      <c r="J170" s="8">
        <f>[1]Data!J170</f>
        <v>9.8396785799999993</v>
      </c>
      <c r="K170" s="8">
        <f>[1]Data!K170</f>
        <v>10.839678579999999</v>
      </c>
      <c r="L170" s="8">
        <f>[1]Data!L170</f>
        <v>0.46531572761220802</v>
      </c>
      <c r="M170" s="8">
        <f>[1]Data!M170</f>
        <v>11.304994307612199</v>
      </c>
      <c r="N170" s="8">
        <f>[1]Data!N170</f>
        <v>0.23958333333333301</v>
      </c>
      <c r="O170" s="8">
        <f>[1]Data!O170</f>
        <v>0</v>
      </c>
      <c r="P170" s="8">
        <f>[1]Data!P170</f>
        <v>1</v>
      </c>
      <c r="Q170" s="8">
        <f>[1]Data!Q170</f>
        <v>0</v>
      </c>
      <c r="R170" s="8">
        <f>[1]Data!R170</f>
        <v>0</v>
      </c>
      <c r="S170" s="8">
        <f>[1]Data!S170</f>
        <v>0</v>
      </c>
      <c r="T170">
        <f t="shared" si="10"/>
        <v>0.23958333333333301</v>
      </c>
      <c r="U170">
        <f t="shared" si="11"/>
        <v>0</v>
      </c>
      <c r="V170" s="4" t="str">
        <f t="shared" si="12"/>
        <v>0</v>
      </c>
      <c r="W170" s="4" t="str">
        <f t="shared" si="13"/>
        <v>7</v>
      </c>
      <c r="X170" s="4" t="str">
        <f t="shared" si="14"/>
        <v>0CVCTE7</v>
      </c>
      <c r="Y170">
        <f>VLOOKUP(X170,Sheet1!$J$5:$K$121,2,FALSE)</f>
        <v>0</v>
      </c>
    </row>
    <row r="171" spans="1:25" x14ac:dyDescent="0.25">
      <c r="A171" s="8">
        <f>[1]Data!A171</f>
        <v>555212</v>
      </c>
      <c r="B171" s="8">
        <f>[1]Data!B171</f>
        <v>7</v>
      </c>
      <c r="C171" s="8">
        <f>[1]Data!C171</f>
        <v>0</v>
      </c>
      <c r="D171" s="8">
        <f>[1]Data!D171</f>
        <v>4</v>
      </c>
      <c r="E171" s="8" t="str">
        <f>[1]Data!E171</f>
        <v>CVCTE</v>
      </c>
      <c r="F171" s="8" t="str">
        <f>[1]Data!F171</f>
        <v>Hawaiian Gardens</v>
      </c>
      <c r="G171" s="8">
        <f>[1]Data!G171</f>
        <v>0</v>
      </c>
      <c r="H171" s="8">
        <f>[1]Data!H171</f>
        <v>0</v>
      </c>
      <c r="I171" s="8">
        <f>[1]Data!I171</f>
        <v>38.176000000000002</v>
      </c>
      <c r="J171" s="8">
        <f>[1]Data!J171</f>
        <v>22.25920056</v>
      </c>
      <c r="K171" s="8">
        <f>[1]Data!K171</f>
        <v>37.259200559999996</v>
      </c>
      <c r="L171" s="8">
        <f>[1]Data!L171</f>
        <v>0.91683691219030505</v>
      </c>
      <c r="M171" s="8">
        <f>[1]Data!M171</f>
        <v>38.176037472190302</v>
      </c>
      <c r="N171" s="8">
        <f>[1]Data!N171</f>
        <v>0.23958333333333301</v>
      </c>
      <c r="O171" s="8">
        <f>[1]Data!O171</f>
        <v>0</v>
      </c>
      <c r="P171" s="8">
        <f>[1]Data!P171</f>
        <v>1</v>
      </c>
      <c r="Q171" s="8">
        <f>[1]Data!Q171</f>
        <v>0</v>
      </c>
      <c r="R171" s="8">
        <f>[1]Data!R171</f>
        <v>0</v>
      </c>
      <c r="S171" s="8">
        <f>[1]Data!S171</f>
        <v>0</v>
      </c>
      <c r="T171">
        <f t="shared" si="10"/>
        <v>0.23958333333333301</v>
      </c>
      <c r="U171">
        <f t="shared" si="11"/>
        <v>0</v>
      </c>
      <c r="V171" s="4" t="str">
        <f t="shared" si="12"/>
        <v>0</v>
      </c>
      <c r="W171" s="4" t="str">
        <f t="shared" si="13"/>
        <v>7</v>
      </c>
      <c r="X171" s="4" t="str">
        <f t="shared" si="14"/>
        <v>0CVCTE7</v>
      </c>
      <c r="Y171">
        <f>VLOOKUP(X171,Sheet1!$J$5:$K$121,2,FALSE)</f>
        <v>0</v>
      </c>
    </row>
    <row r="172" spans="1:25" x14ac:dyDescent="0.25">
      <c r="A172" s="8">
        <f>[1]Data!A172</f>
        <v>530004</v>
      </c>
      <c r="B172" s="8">
        <f>[1]Data!B172</f>
        <v>7</v>
      </c>
      <c r="C172" s="8">
        <f>[1]Data!C172</f>
        <v>0</v>
      </c>
      <c r="D172" s="8">
        <f>[1]Data!D172</f>
        <v>1</v>
      </c>
      <c r="E172" s="8" t="str">
        <f>[1]Data!E172</f>
        <v>CVCTE</v>
      </c>
      <c r="F172" s="8" t="str">
        <f>[1]Data!F172</f>
        <v>Montebello</v>
      </c>
      <c r="G172" s="8">
        <f>[1]Data!G172</f>
        <v>0</v>
      </c>
      <c r="H172" s="8">
        <f>[1]Data!H172</f>
        <v>0</v>
      </c>
      <c r="I172" s="8">
        <f>[1]Data!I172</f>
        <v>93.516999999999996</v>
      </c>
      <c r="J172" s="8">
        <f>[1]Data!J172</f>
        <v>75.864734569999996</v>
      </c>
      <c r="K172" s="8">
        <f>[1]Data!K172</f>
        <v>90.864734569999996</v>
      </c>
      <c r="L172" s="8">
        <f>[1]Data!L172</f>
        <v>2.65173585561939</v>
      </c>
      <c r="M172" s="8">
        <f>[1]Data!M172</f>
        <v>93.516470425619403</v>
      </c>
      <c r="N172" s="8">
        <f>[1]Data!N172</f>
        <v>0.23958333333333301</v>
      </c>
      <c r="O172" s="8">
        <f>[1]Data!O172</f>
        <v>0</v>
      </c>
      <c r="P172" s="8">
        <f>[1]Data!P172</f>
        <v>1</v>
      </c>
      <c r="Q172" s="8">
        <f>[1]Data!Q172</f>
        <v>0</v>
      </c>
      <c r="R172" s="8">
        <f>[1]Data!R172</f>
        <v>0</v>
      </c>
      <c r="S172" s="8">
        <f>[1]Data!S172</f>
        <v>0</v>
      </c>
      <c r="T172">
        <f t="shared" si="10"/>
        <v>0.23958333333333301</v>
      </c>
      <c r="U172">
        <f t="shared" si="11"/>
        <v>0</v>
      </c>
      <c r="V172" s="4" t="str">
        <f t="shared" si="12"/>
        <v>0</v>
      </c>
      <c r="W172" s="4" t="str">
        <f t="shared" si="13"/>
        <v>7</v>
      </c>
      <c r="X172" s="4" t="str">
        <f t="shared" si="14"/>
        <v>0CVCTE7</v>
      </c>
      <c r="Y172">
        <f>VLOOKUP(X172,Sheet1!$J$5:$K$121,2,FALSE)</f>
        <v>0</v>
      </c>
    </row>
    <row r="173" spans="1:25" x14ac:dyDescent="0.25">
      <c r="A173" s="8">
        <f>[1]Data!A173</f>
        <v>530006</v>
      </c>
      <c r="B173" s="8">
        <f>[1]Data!B173</f>
        <v>7</v>
      </c>
      <c r="C173" s="8">
        <f>[1]Data!C173</f>
        <v>0</v>
      </c>
      <c r="D173" s="8">
        <f>[1]Data!D173</f>
        <v>1</v>
      </c>
      <c r="E173" s="8" t="str">
        <f>[1]Data!E173</f>
        <v>CVCTE</v>
      </c>
      <c r="F173" s="8" t="str">
        <f>[1]Data!F173</f>
        <v>Montebello</v>
      </c>
      <c r="G173" s="8">
        <f>[1]Data!G173</f>
        <v>0</v>
      </c>
      <c r="H173" s="8">
        <f>[1]Data!H173</f>
        <v>0</v>
      </c>
      <c r="I173" s="8">
        <f>[1]Data!I173</f>
        <v>21.253</v>
      </c>
      <c r="J173" s="8">
        <f>[1]Data!J173</f>
        <v>19.785674910000001</v>
      </c>
      <c r="K173" s="8">
        <f>[1]Data!K173</f>
        <v>19.785674910000001</v>
      </c>
      <c r="L173" s="8">
        <f>[1]Data!L173</f>
        <v>1.46718637184919</v>
      </c>
      <c r="M173" s="8">
        <f>[1]Data!M173</f>
        <v>21.252861281849199</v>
      </c>
      <c r="N173" s="8">
        <f>[1]Data!N173</f>
        <v>0.23958333333333301</v>
      </c>
      <c r="O173" s="8">
        <f>[1]Data!O173</f>
        <v>0</v>
      </c>
      <c r="P173" s="8">
        <f>[1]Data!P173</f>
        <v>1</v>
      </c>
      <c r="Q173" s="8">
        <f>[1]Data!Q173</f>
        <v>0</v>
      </c>
      <c r="R173" s="8">
        <f>[1]Data!R173</f>
        <v>0</v>
      </c>
      <c r="S173" s="8">
        <f>[1]Data!S173</f>
        <v>0</v>
      </c>
      <c r="T173">
        <f t="shared" si="10"/>
        <v>0.23958333333333301</v>
      </c>
      <c r="U173">
        <f t="shared" si="11"/>
        <v>0</v>
      </c>
      <c r="V173" s="4" t="str">
        <f t="shared" si="12"/>
        <v>0</v>
      </c>
      <c r="W173" s="4" t="str">
        <f t="shared" si="13"/>
        <v>7</v>
      </c>
      <c r="X173" s="4" t="str">
        <f t="shared" si="14"/>
        <v>0CVCTE7</v>
      </c>
      <c r="Y173">
        <f>VLOOKUP(X173,Sheet1!$J$5:$K$121,2,FALSE)</f>
        <v>0</v>
      </c>
    </row>
    <row r="174" spans="1:25" x14ac:dyDescent="0.25">
      <c r="A174" s="8">
        <f>[1]Data!A174</f>
        <v>530102</v>
      </c>
      <c r="B174" s="8">
        <f>[1]Data!B174</f>
        <v>7</v>
      </c>
      <c r="C174" s="8">
        <f>[1]Data!C174</f>
        <v>0</v>
      </c>
      <c r="D174" s="8">
        <f>[1]Data!D174</f>
        <v>1</v>
      </c>
      <c r="E174" s="8" t="str">
        <f>[1]Data!E174</f>
        <v>CVCTE</v>
      </c>
      <c r="F174" s="8" t="str">
        <f>[1]Data!F174</f>
        <v>Montebello</v>
      </c>
      <c r="G174" s="8">
        <f>[1]Data!G174</f>
        <v>0</v>
      </c>
      <c r="H174" s="8">
        <f>[1]Data!H174</f>
        <v>0</v>
      </c>
      <c r="I174" s="8">
        <f>[1]Data!I174</f>
        <v>10.917999999999999</v>
      </c>
      <c r="J174" s="8">
        <f>[1]Data!J174</f>
        <v>10.35542491</v>
      </c>
      <c r="K174" s="8">
        <f>[1]Data!K174</f>
        <v>10.35542491</v>
      </c>
      <c r="L174" s="8">
        <f>[1]Data!L174</f>
        <v>0.56256664867145401</v>
      </c>
      <c r="M174" s="8">
        <f>[1]Data!M174</f>
        <v>10.917991558671501</v>
      </c>
      <c r="N174" s="8">
        <f>[1]Data!N174</f>
        <v>0.23958333333333301</v>
      </c>
      <c r="O174" s="8">
        <f>[1]Data!O174</f>
        <v>0</v>
      </c>
      <c r="P174" s="8">
        <f>[1]Data!P174</f>
        <v>1</v>
      </c>
      <c r="Q174" s="8">
        <f>[1]Data!Q174</f>
        <v>0</v>
      </c>
      <c r="R174" s="8">
        <f>[1]Data!R174</f>
        <v>0</v>
      </c>
      <c r="S174" s="8">
        <f>[1]Data!S174</f>
        <v>0</v>
      </c>
      <c r="T174">
        <f t="shared" si="10"/>
        <v>0.23958333333333301</v>
      </c>
      <c r="U174">
        <f t="shared" si="11"/>
        <v>0</v>
      </c>
      <c r="V174" s="4" t="str">
        <f t="shared" si="12"/>
        <v>0</v>
      </c>
      <c r="W174" s="4" t="str">
        <f t="shared" si="13"/>
        <v>7</v>
      </c>
      <c r="X174" s="4" t="str">
        <f t="shared" si="14"/>
        <v>0CVCTE7</v>
      </c>
      <c r="Y174">
        <f>VLOOKUP(X174,Sheet1!$J$5:$K$121,2,FALSE)</f>
        <v>0</v>
      </c>
    </row>
    <row r="175" spans="1:25" x14ac:dyDescent="0.25">
      <c r="A175" s="8">
        <f>[1]Data!A175</f>
        <v>530202</v>
      </c>
      <c r="B175" s="8">
        <f>[1]Data!B175</f>
        <v>7</v>
      </c>
      <c r="C175" s="8">
        <f>[1]Data!C175</f>
        <v>0</v>
      </c>
      <c r="D175" s="8">
        <f>[1]Data!D175</f>
        <v>1</v>
      </c>
      <c r="E175" s="8" t="str">
        <f>[1]Data!E175</f>
        <v>CVCTE</v>
      </c>
      <c r="F175" s="8" t="str">
        <f>[1]Data!F175</f>
        <v>Montebello</v>
      </c>
      <c r="G175" s="8">
        <f>[1]Data!G175</f>
        <v>0</v>
      </c>
      <c r="H175" s="8">
        <f>[1]Data!H175</f>
        <v>0</v>
      </c>
      <c r="I175" s="8">
        <f>[1]Data!I175</f>
        <v>14.535</v>
      </c>
      <c r="J175" s="8">
        <f>[1]Data!J175</f>
        <v>13.82168925</v>
      </c>
      <c r="K175" s="8">
        <f>[1]Data!K175</f>
        <v>13.82168925</v>
      </c>
      <c r="L175" s="8">
        <f>[1]Data!L175</f>
        <v>0.71253766924595996</v>
      </c>
      <c r="M175" s="8">
        <f>[1]Data!M175</f>
        <v>14.534226919246001</v>
      </c>
      <c r="N175" s="8">
        <f>[1]Data!N175</f>
        <v>0.23958333333333301</v>
      </c>
      <c r="O175" s="8">
        <f>[1]Data!O175</f>
        <v>0</v>
      </c>
      <c r="P175" s="8">
        <f>[1]Data!P175</f>
        <v>1</v>
      </c>
      <c r="Q175" s="8">
        <f>[1]Data!Q175</f>
        <v>0</v>
      </c>
      <c r="R175" s="8">
        <f>[1]Data!R175</f>
        <v>0</v>
      </c>
      <c r="S175" s="8">
        <f>[1]Data!S175</f>
        <v>0</v>
      </c>
      <c r="T175">
        <f t="shared" si="10"/>
        <v>0.23958333333333301</v>
      </c>
      <c r="U175">
        <f t="shared" si="11"/>
        <v>0</v>
      </c>
      <c r="V175" s="4" t="str">
        <f t="shared" si="12"/>
        <v>0</v>
      </c>
      <c r="W175" s="4" t="str">
        <f t="shared" si="13"/>
        <v>7</v>
      </c>
      <c r="X175" s="4" t="str">
        <f t="shared" si="14"/>
        <v>0CVCTE7</v>
      </c>
      <c r="Y175">
        <f>VLOOKUP(X175,Sheet1!$J$5:$K$121,2,FALSE)</f>
        <v>0</v>
      </c>
    </row>
    <row r="176" spans="1:25" x14ac:dyDescent="0.25">
      <c r="A176" s="8">
        <f>[1]Data!A176</f>
        <v>530204</v>
      </c>
      <c r="B176" s="8">
        <f>[1]Data!B176</f>
        <v>7</v>
      </c>
      <c r="C176" s="8">
        <f>[1]Data!C176</f>
        <v>0</v>
      </c>
      <c r="D176" s="8">
        <f>[1]Data!D176</f>
        <v>1</v>
      </c>
      <c r="E176" s="8" t="str">
        <f>[1]Data!E176</f>
        <v>CVCTE</v>
      </c>
      <c r="F176" s="8" t="str">
        <f>[1]Data!F176</f>
        <v>Montebello</v>
      </c>
      <c r="G176" s="8">
        <f>[1]Data!G176</f>
        <v>0</v>
      </c>
      <c r="H176" s="8">
        <f>[1]Data!H176</f>
        <v>0</v>
      </c>
      <c r="I176" s="8">
        <f>[1]Data!I176</f>
        <v>49.884999999999998</v>
      </c>
      <c r="J176" s="8">
        <f>[1]Data!J176</f>
        <v>46.266197689999998</v>
      </c>
      <c r="K176" s="8">
        <f>[1]Data!K176</f>
        <v>46.266197689999998</v>
      </c>
      <c r="L176" s="8">
        <f>[1]Data!L176</f>
        <v>3.6192585922082601</v>
      </c>
      <c r="M176" s="8">
        <f>[1]Data!M176</f>
        <v>49.885456282208303</v>
      </c>
      <c r="N176" s="8">
        <f>[1]Data!N176</f>
        <v>0.23958333333333301</v>
      </c>
      <c r="O176" s="8">
        <f>[1]Data!O176</f>
        <v>0</v>
      </c>
      <c r="P176" s="8">
        <f>[1]Data!P176</f>
        <v>1</v>
      </c>
      <c r="Q176" s="8">
        <f>[1]Data!Q176</f>
        <v>0</v>
      </c>
      <c r="R176" s="8">
        <f>[1]Data!R176</f>
        <v>0</v>
      </c>
      <c r="S176" s="8">
        <f>[1]Data!S176</f>
        <v>0</v>
      </c>
      <c r="T176">
        <f t="shared" si="10"/>
        <v>0.23958333333333301</v>
      </c>
      <c r="U176">
        <f t="shared" si="11"/>
        <v>0</v>
      </c>
      <c r="V176" s="4" t="str">
        <f t="shared" si="12"/>
        <v>0</v>
      </c>
      <c r="W176" s="4" t="str">
        <f t="shared" si="13"/>
        <v>7</v>
      </c>
      <c r="X176" s="4" t="str">
        <f t="shared" si="14"/>
        <v>0CVCTE7</v>
      </c>
      <c r="Y176">
        <f>VLOOKUP(X176,Sheet1!$J$5:$K$121,2,FALSE)</f>
        <v>0</v>
      </c>
    </row>
    <row r="177" spans="1:25" x14ac:dyDescent="0.25">
      <c r="A177" s="8">
        <f>[1]Data!A177</f>
        <v>530902</v>
      </c>
      <c r="B177" s="8">
        <f>[1]Data!B177</f>
        <v>7</v>
      </c>
      <c r="C177" s="8">
        <f>[1]Data!C177</f>
        <v>0</v>
      </c>
      <c r="D177" s="8">
        <f>[1]Data!D177</f>
        <v>1</v>
      </c>
      <c r="E177" s="8" t="str">
        <f>[1]Data!E177</f>
        <v>CVCTE</v>
      </c>
      <c r="F177" s="8" t="str">
        <f>[1]Data!F177</f>
        <v>East Los Angeles</v>
      </c>
      <c r="G177" s="8">
        <f>[1]Data!G177</f>
        <v>0</v>
      </c>
      <c r="H177" s="8">
        <f>[1]Data!H177</f>
        <v>0</v>
      </c>
      <c r="I177" s="8">
        <f>[1]Data!I177</f>
        <v>16.751999999999999</v>
      </c>
      <c r="J177" s="8">
        <f>[1]Data!J177</f>
        <v>14.11562485</v>
      </c>
      <c r="K177" s="8">
        <f>[1]Data!K177</f>
        <v>16.11562485</v>
      </c>
      <c r="L177" s="8">
        <f>[1]Data!L177</f>
        <v>0.63607117339317798</v>
      </c>
      <c r="M177" s="8">
        <f>[1]Data!M177</f>
        <v>16.751696023393201</v>
      </c>
      <c r="N177" s="8">
        <f>[1]Data!N177</f>
        <v>0.23958333333333301</v>
      </c>
      <c r="O177" s="8">
        <f>[1]Data!O177</f>
        <v>0</v>
      </c>
      <c r="P177" s="8">
        <f>[1]Data!P177</f>
        <v>1</v>
      </c>
      <c r="Q177" s="8">
        <f>[1]Data!Q177</f>
        <v>0</v>
      </c>
      <c r="R177" s="8">
        <f>[1]Data!R177</f>
        <v>0</v>
      </c>
      <c r="S177" s="8">
        <f>[1]Data!S177</f>
        <v>0</v>
      </c>
      <c r="T177">
        <f t="shared" si="10"/>
        <v>0.23958333333333301</v>
      </c>
      <c r="U177">
        <f t="shared" si="11"/>
        <v>0</v>
      </c>
      <c r="V177" s="4" t="str">
        <f t="shared" si="12"/>
        <v>0</v>
      </c>
      <c r="W177" s="4" t="str">
        <f t="shared" si="13"/>
        <v>7</v>
      </c>
      <c r="X177" s="4" t="str">
        <f t="shared" si="14"/>
        <v>0CVCTE7</v>
      </c>
      <c r="Y177">
        <f>VLOOKUP(X177,Sheet1!$J$5:$K$121,2,FALSE)</f>
        <v>0</v>
      </c>
    </row>
    <row r="178" spans="1:25" x14ac:dyDescent="0.25">
      <c r="A178" s="8">
        <f>[1]Data!A178</f>
        <v>573403</v>
      </c>
      <c r="B178" s="8">
        <f>[1]Data!B178</f>
        <v>7</v>
      </c>
      <c r="C178" s="8">
        <f>[1]Data!C178</f>
        <v>0</v>
      </c>
      <c r="D178" s="8">
        <f>[1]Data!D178</f>
        <v>4</v>
      </c>
      <c r="E178" s="8" t="str">
        <f>[1]Data!E178</f>
        <v>CVCTE</v>
      </c>
      <c r="F178" s="8" t="str">
        <f>[1]Data!F178</f>
        <v>Signal Hill</v>
      </c>
      <c r="G178" s="8">
        <f>[1]Data!G178</f>
        <v>0</v>
      </c>
      <c r="H178" s="8">
        <f>[1]Data!H178</f>
        <v>0</v>
      </c>
      <c r="I178" s="8">
        <f>[1]Data!I178</f>
        <v>12.135</v>
      </c>
      <c r="J178" s="8">
        <f>[1]Data!J178</f>
        <v>10.07437599</v>
      </c>
      <c r="K178" s="8">
        <f>[1]Data!K178</f>
        <v>11.07437599</v>
      </c>
      <c r="L178" s="8">
        <f>[1]Data!L178</f>
        <v>1.0601640429802499</v>
      </c>
      <c r="M178" s="8">
        <f>[1]Data!M178</f>
        <v>12.134540032980301</v>
      </c>
      <c r="N178" s="8">
        <f>[1]Data!N178</f>
        <v>0.23958333333333301</v>
      </c>
      <c r="O178" s="8">
        <f>[1]Data!O178</f>
        <v>0</v>
      </c>
      <c r="P178" s="8">
        <f>[1]Data!P178</f>
        <v>1</v>
      </c>
      <c r="Q178" s="8">
        <f>[1]Data!Q178</f>
        <v>0</v>
      </c>
      <c r="R178" s="8">
        <f>[1]Data!R178</f>
        <v>0</v>
      </c>
      <c r="S178" s="8">
        <f>[1]Data!S178</f>
        <v>0</v>
      </c>
      <c r="T178">
        <f t="shared" si="10"/>
        <v>0.23958333333333301</v>
      </c>
      <c r="U178">
        <f t="shared" si="11"/>
        <v>0</v>
      </c>
      <c r="V178" s="4" t="str">
        <f t="shared" si="12"/>
        <v>0</v>
      </c>
      <c r="W178" s="4" t="str">
        <f t="shared" si="13"/>
        <v>7</v>
      </c>
      <c r="X178" s="4" t="str">
        <f t="shared" si="14"/>
        <v>0CVCTE7</v>
      </c>
      <c r="Y178">
        <f>VLOOKUP(X178,Sheet1!$J$5:$K$121,2,FALSE)</f>
        <v>0</v>
      </c>
    </row>
    <row r="179" spans="1:25" x14ac:dyDescent="0.25">
      <c r="A179" s="8">
        <f>[1]Data!A179</f>
        <v>554204</v>
      </c>
      <c r="B179" s="8">
        <f>[1]Data!B179</f>
        <v>7</v>
      </c>
      <c r="C179" s="8">
        <f>[1]Data!C179</f>
        <v>0</v>
      </c>
      <c r="D179" s="8">
        <f>[1]Data!D179</f>
        <v>4</v>
      </c>
      <c r="E179" s="8" t="str">
        <f>[1]Data!E179</f>
        <v>CVCTE</v>
      </c>
      <c r="F179" s="8" t="str">
        <f>[1]Data!F179</f>
        <v>Bellflower</v>
      </c>
      <c r="G179" s="8">
        <f>[1]Data!G179</f>
        <v>0</v>
      </c>
      <c r="H179" s="8">
        <f>[1]Data!H179</f>
        <v>0</v>
      </c>
      <c r="I179" s="8">
        <f>[1]Data!I179</f>
        <v>22.785</v>
      </c>
      <c r="J179" s="8">
        <f>[1]Data!J179</f>
        <v>18.361808320000002</v>
      </c>
      <c r="K179" s="8">
        <f>[1]Data!K179</f>
        <v>22.361808320000002</v>
      </c>
      <c r="L179" s="8">
        <f>[1]Data!L179</f>
        <v>0.42369397364452399</v>
      </c>
      <c r="M179" s="8">
        <f>[1]Data!M179</f>
        <v>22.785502293644502</v>
      </c>
      <c r="N179" s="8">
        <f>[1]Data!N179</f>
        <v>0.23958333333333301</v>
      </c>
      <c r="O179" s="8">
        <f>[1]Data!O179</f>
        <v>0</v>
      </c>
      <c r="P179" s="8">
        <f>[1]Data!P179</f>
        <v>1</v>
      </c>
      <c r="Q179" s="8">
        <f>[1]Data!Q179</f>
        <v>0</v>
      </c>
      <c r="R179" s="8">
        <f>[1]Data!R179</f>
        <v>0</v>
      </c>
      <c r="S179" s="8">
        <f>[1]Data!S179</f>
        <v>0</v>
      </c>
      <c r="T179">
        <f t="shared" si="10"/>
        <v>0.23958333333333301</v>
      </c>
      <c r="U179">
        <f t="shared" si="11"/>
        <v>0</v>
      </c>
      <c r="V179" s="4" t="str">
        <f t="shared" si="12"/>
        <v>0</v>
      </c>
      <c r="W179" s="4" t="str">
        <f t="shared" si="13"/>
        <v>7</v>
      </c>
      <c r="X179" s="4" t="str">
        <f t="shared" si="14"/>
        <v>0CVCTE7</v>
      </c>
      <c r="Y179">
        <f>VLOOKUP(X179,Sheet1!$J$5:$K$121,2,FALSE)</f>
        <v>0</v>
      </c>
    </row>
    <row r="180" spans="1:25" x14ac:dyDescent="0.25">
      <c r="A180" s="8">
        <f>[1]Data!A180</f>
        <v>552200</v>
      </c>
      <c r="B180" s="8">
        <f>[1]Data!B180</f>
        <v>7</v>
      </c>
      <c r="C180" s="8">
        <f>[1]Data!C180</f>
        <v>0</v>
      </c>
      <c r="D180" s="8">
        <f>[1]Data!D180</f>
        <v>4</v>
      </c>
      <c r="E180" s="8" t="str">
        <f>[1]Data!E180</f>
        <v>CVCTE</v>
      </c>
      <c r="F180" s="8" t="str">
        <f>[1]Data!F180</f>
        <v>Norwalk</v>
      </c>
      <c r="G180" s="8">
        <f>[1]Data!G180</f>
        <v>0</v>
      </c>
      <c r="H180" s="8">
        <f>[1]Data!H180</f>
        <v>0</v>
      </c>
      <c r="I180" s="8">
        <f>[1]Data!I180</f>
        <v>30.594000000000001</v>
      </c>
      <c r="J180" s="8">
        <f>[1]Data!J180</f>
        <v>19.206438840000001</v>
      </c>
      <c r="K180" s="8">
        <f>[1]Data!K180</f>
        <v>30.206438840000001</v>
      </c>
      <c r="L180" s="8">
        <f>[1]Data!L180</f>
        <v>0.38734777942549398</v>
      </c>
      <c r="M180" s="8">
        <f>[1]Data!M180</f>
        <v>30.593786619425501</v>
      </c>
      <c r="N180" s="8">
        <f>[1]Data!N180</f>
        <v>0.23958333333333301</v>
      </c>
      <c r="O180" s="8">
        <f>[1]Data!O180</f>
        <v>0</v>
      </c>
      <c r="P180" s="8">
        <f>[1]Data!P180</f>
        <v>1</v>
      </c>
      <c r="Q180" s="8">
        <f>[1]Data!Q180</f>
        <v>0</v>
      </c>
      <c r="R180" s="8">
        <f>[1]Data!R180</f>
        <v>0</v>
      </c>
      <c r="S180" s="8">
        <f>[1]Data!S180</f>
        <v>0</v>
      </c>
      <c r="T180">
        <f t="shared" si="10"/>
        <v>0.23958333333333301</v>
      </c>
      <c r="U180">
        <f t="shared" si="11"/>
        <v>0</v>
      </c>
      <c r="V180" s="4" t="str">
        <f t="shared" si="12"/>
        <v>0</v>
      </c>
      <c r="W180" s="4" t="str">
        <f t="shared" si="13"/>
        <v>7</v>
      </c>
      <c r="X180" s="4" t="str">
        <f t="shared" si="14"/>
        <v>0CVCTE7</v>
      </c>
      <c r="Y180">
        <f>VLOOKUP(X180,Sheet1!$J$5:$K$121,2,FALSE)</f>
        <v>0</v>
      </c>
    </row>
    <row r="181" spans="1:25" x14ac:dyDescent="0.25">
      <c r="A181" s="8">
        <f>[1]Data!A181</f>
        <v>531000</v>
      </c>
      <c r="B181" s="8">
        <f>[1]Data!B181</f>
        <v>7</v>
      </c>
      <c r="C181" s="8">
        <f>[1]Data!C181</f>
        <v>0</v>
      </c>
      <c r="D181" s="8">
        <f>[1]Data!D181</f>
        <v>1</v>
      </c>
      <c r="E181" s="8" t="str">
        <f>[1]Data!E181</f>
        <v>CVCTE</v>
      </c>
      <c r="F181" s="8" t="str">
        <f>[1]Data!F181</f>
        <v>East Los Angeles</v>
      </c>
      <c r="G181" s="8">
        <f>[1]Data!G181</f>
        <v>0</v>
      </c>
      <c r="H181" s="8">
        <f>[1]Data!H181</f>
        <v>0</v>
      </c>
      <c r="I181" s="8">
        <f>[1]Data!I181</f>
        <v>30.222000000000001</v>
      </c>
      <c r="J181" s="8">
        <f>[1]Data!J181</f>
        <v>25.895634980000001</v>
      </c>
      <c r="K181" s="8">
        <f>[1]Data!K181</f>
        <v>28.895634980000001</v>
      </c>
      <c r="L181" s="8">
        <f>[1]Data!L181</f>
        <v>1.3252130893357299</v>
      </c>
      <c r="M181" s="8">
        <f>[1]Data!M181</f>
        <v>30.220848069335698</v>
      </c>
      <c r="N181" s="8">
        <f>[1]Data!N181</f>
        <v>0.23958333333333301</v>
      </c>
      <c r="O181" s="8">
        <f>[1]Data!O181</f>
        <v>0</v>
      </c>
      <c r="P181" s="8">
        <f>[1]Data!P181</f>
        <v>1</v>
      </c>
      <c r="Q181" s="8">
        <f>[1]Data!Q181</f>
        <v>0</v>
      </c>
      <c r="R181" s="8">
        <f>[1]Data!R181</f>
        <v>0</v>
      </c>
      <c r="S181" s="8">
        <f>[1]Data!S181</f>
        <v>0</v>
      </c>
      <c r="T181">
        <f t="shared" si="10"/>
        <v>0.23958333333333301</v>
      </c>
      <c r="U181">
        <f t="shared" si="11"/>
        <v>0</v>
      </c>
      <c r="V181" s="4" t="str">
        <f t="shared" si="12"/>
        <v>0</v>
      </c>
      <c r="W181" s="4" t="str">
        <f t="shared" si="13"/>
        <v>7</v>
      </c>
      <c r="X181" s="4" t="str">
        <f t="shared" si="14"/>
        <v>0CVCTE7</v>
      </c>
      <c r="Y181">
        <f>VLOOKUP(X181,Sheet1!$J$5:$K$121,2,FALSE)</f>
        <v>0</v>
      </c>
    </row>
    <row r="182" spans="1:25" x14ac:dyDescent="0.25">
      <c r="A182" s="8">
        <f>[1]Data!A182</f>
        <v>531102</v>
      </c>
      <c r="B182" s="8">
        <f>[1]Data!B182</f>
        <v>7</v>
      </c>
      <c r="C182" s="8">
        <f>[1]Data!C182</f>
        <v>0</v>
      </c>
      <c r="D182" s="8">
        <f>[1]Data!D182</f>
        <v>1</v>
      </c>
      <c r="E182" s="8" t="str">
        <f>[1]Data!E182</f>
        <v>CVCTE</v>
      </c>
      <c r="F182" s="8" t="str">
        <f>[1]Data!F182</f>
        <v>East Los Angeles</v>
      </c>
      <c r="G182" s="8">
        <f>[1]Data!G182</f>
        <v>1</v>
      </c>
      <c r="H182" s="8">
        <f>[1]Data!H182</f>
        <v>1</v>
      </c>
      <c r="I182" s="8">
        <f>[1]Data!I182</f>
        <v>13.752000000000001</v>
      </c>
      <c r="J182" s="8">
        <f>[1]Data!J182</f>
        <v>13.227123199999999</v>
      </c>
      <c r="K182" s="8">
        <f>[1]Data!K182</f>
        <v>13.227123199999999</v>
      </c>
      <c r="L182" s="8">
        <f>[1]Data!L182</f>
        <v>0.52473946888689404</v>
      </c>
      <c r="M182" s="8">
        <f>[1]Data!M182</f>
        <v>13.751862668886901</v>
      </c>
      <c r="N182" s="8">
        <f>[1]Data!N182</f>
        <v>0.23958333333333301</v>
      </c>
      <c r="O182" s="8">
        <f>[1]Data!O182</f>
        <v>4.1739130434782599</v>
      </c>
      <c r="P182" s="8">
        <f>[1]Data!P182</f>
        <v>1</v>
      </c>
      <c r="Q182" s="8">
        <f>[1]Data!Q182</f>
        <v>0</v>
      </c>
      <c r="R182" s="8">
        <f>[1]Data!R182</f>
        <v>0</v>
      </c>
      <c r="S182" s="8">
        <f>[1]Data!S182</f>
        <v>0</v>
      </c>
      <c r="T182">
        <f t="shared" si="10"/>
        <v>0.23958333333333301</v>
      </c>
      <c r="U182">
        <f t="shared" si="11"/>
        <v>4.1739130434782661</v>
      </c>
      <c r="V182" s="4" t="str">
        <f t="shared" si="12"/>
        <v>0</v>
      </c>
      <c r="W182" s="4" t="str">
        <f t="shared" si="13"/>
        <v>7</v>
      </c>
      <c r="X182" s="4" t="str">
        <f t="shared" si="14"/>
        <v>0CVCTE7</v>
      </c>
      <c r="Y182">
        <f>VLOOKUP(X182,Sheet1!$J$5:$K$121,2,FALSE)</f>
        <v>0</v>
      </c>
    </row>
    <row r="183" spans="1:25" x14ac:dyDescent="0.25">
      <c r="A183" s="8">
        <f>[1]Data!A183</f>
        <v>531503</v>
      </c>
      <c r="B183" s="8">
        <f>[1]Data!B183</f>
        <v>7</v>
      </c>
      <c r="C183" s="8">
        <f>[1]Data!C183</f>
        <v>0</v>
      </c>
      <c r="D183" s="8">
        <f>[1]Data!D183</f>
        <v>1</v>
      </c>
      <c r="E183" s="8" t="str">
        <f>[1]Data!E183</f>
        <v>CVCTE</v>
      </c>
      <c r="F183" s="8" t="str">
        <f>[1]Data!F183</f>
        <v>East Los Angeles</v>
      </c>
      <c r="G183" s="8">
        <f>[1]Data!G183</f>
        <v>0</v>
      </c>
      <c r="H183" s="8">
        <f>[1]Data!H183</f>
        <v>0</v>
      </c>
      <c r="I183" s="8">
        <f>[1]Data!I183</f>
        <v>26.588999999999999</v>
      </c>
      <c r="J183" s="8">
        <f>[1]Data!J183</f>
        <v>24.659023650000002</v>
      </c>
      <c r="K183" s="8">
        <f>[1]Data!K183</f>
        <v>25.659023650000002</v>
      </c>
      <c r="L183" s="8">
        <f>[1]Data!L183</f>
        <v>0.92943671007181305</v>
      </c>
      <c r="M183" s="8">
        <f>[1]Data!M183</f>
        <v>26.588460360071799</v>
      </c>
      <c r="N183" s="8">
        <f>[1]Data!N183</f>
        <v>0.23958333333333301</v>
      </c>
      <c r="O183" s="8">
        <f>[1]Data!O183</f>
        <v>0</v>
      </c>
      <c r="P183" s="8">
        <f>[1]Data!P183</f>
        <v>1</v>
      </c>
      <c r="Q183" s="8">
        <f>[1]Data!Q183</f>
        <v>0</v>
      </c>
      <c r="R183" s="8">
        <f>[1]Data!R183</f>
        <v>0</v>
      </c>
      <c r="S183" s="8">
        <f>[1]Data!S183</f>
        <v>0</v>
      </c>
      <c r="T183">
        <f t="shared" si="10"/>
        <v>0.23958333333333301</v>
      </c>
      <c r="U183">
        <f t="shared" si="11"/>
        <v>0</v>
      </c>
      <c r="V183" s="4" t="str">
        <f t="shared" si="12"/>
        <v>0</v>
      </c>
      <c r="W183" s="4" t="str">
        <f t="shared" si="13"/>
        <v>7</v>
      </c>
      <c r="X183" s="4" t="str">
        <f t="shared" si="14"/>
        <v>0CVCTE7</v>
      </c>
      <c r="Y183">
        <f>VLOOKUP(X183,Sheet1!$J$5:$K$121,2,FALSE)</f>
        <v>0</v>
      </c>
    </row>
    <row r="184" spans="1:25" x14ac:dyDescent="0.25">
      <c r="A184" s="8">
        <f>[1]Data!A184</f>
        <v>531602</v>
      </c>
      <c r="B184" s="8">
        <f>[1]Data!B184</f>
        <v>7</v>
      </c>
      <c r="C184" s="8">
        <f>[1]Data!C184</f>
        <v>0</v>
      </c>
      <c r="D184" s="8">
        <f>[1]Data!D184</f>
        <v>1</v>
      </c>
      <c r="E184" s="8" t="str">
        <f>[1]Data!E184</f>
        <v>CVCTE</v>
      </c>
      <c r="F184" s="8" t="str">
        <f>[1]Data!F184</f>
        <v>East Los Angeles</v>
      </c>
      <c r="G184" s="8">
        <f>[1]Data!G184</f>
        <v>1</v>
      </c>
      <c r="H184" s="8">
        <f>[1]Data!H184</f>
        <v>1</v>
      </c>
      <c r="I184" s="8">
        <f>[1]Data!I184</f>
        <v>42.887</v>
      </c>
      <c r="J184" s="8">
        <f>[1]Data!J184</f>
        <v>36.988113929999997</v>
      </c>
      <c r="K184" s="8">
        <f>[1]Data!K184</f>
        <v>40.988113929999997</v>
      </c>
      <c r="L184" s="8">
        <f>[1]Data!L184</f>
        <v>1.8984165903052099</v>
      </c>
      <c r="M184" s="8">
        <f>[1]Data!M184</f>
        <v>42.8865305203052</v>
      </c>
      <c r="N184" s="8">
        <f>[1]Data!N184</f>
        <v>0.23958333333333301</v>
      </c>
      <c r="O184" s="8">
        <f>[1]Data!O184</f>
        <v>4.1739130434782599</v>
      </c>
      <c r="P184" s="8">
        <f>[1]Data!P184</f>
        <v>1</v>
      </c>
      <c r="Q184" s="8">
        <f>[1]Data!Q184</f>
        <v>0</v>
      </c>
      <c r="R184" s="8">
        <f>[1]Data!R184</f>
        <v>0</v>
      </c>
      <c r="S184" s="8">
        <f>[1]Data!S184</f>
        <v>0</v>
      </c>
      <c r="T184">
        <f t="shared" si="10"/>
        <v>0.23958333333333301</v>
      </c>
      <c r="U184">
        <f t="shared" si="11"/>
        <v>4.1739130434782661</v>
      </c>
      <c r="V184" s="4" t="str">
        <f t="shared" si="12"/>
        <v>0</v>
      </c>
      <c r="W184" s="4" t="str">
        <f t="shared" si="13"/>
        <v>7</v>
      </c>
      <c r="X184" s="4" t="str">
        <f t="shared" si="14"/>
        <v>0CVCTE7</v>
      </c>
      <c r="Y184">
        <f>VLOOKUP(X184,Sheet1!$J$5:$K$121,2,FALSE)</f>
        <v>0</v>
      </c>
    </row>
    <row r="185" spans="1:25" x14ac:dyDescent="0.25">
      <c r="A185" s="8">
        <f>[1]Data!A185</f>
        <v>531701</v>
      </c>
      <c r="B185" s="8">
        <f>[1]Data!B185</f>
        <v>7</v>
      </c>
      <c r="C185" s="8">
        <f>[1]Data!C185</f>
        <v>0</v>
      </c>
      <c r="D185" s="8">
        <f>[1]Data!D185</f>
        <v>1</v>
      </c>
      <c r="E185" s="8" t="str">
        <f>[1]Data!E185</f>
        <v>CVCTE</v>
      </c>
      <c r="F185" s="8" t="str">
        <f>[1]Data!F185</f>
        <v>East Los Angeles</v>
      </c>
      <c r="G185" s="8">
        <f>[1]Data!G185</f>
        <v>0</v>
      </c>
      <c r="H185" s="8">
        <f>[1]Data!H185</f>
        <v>0</v>
      </c>
      <c r="I185" s="8">
        <f>[1]Data!I185</f>
        <v>20.291</v>
      </c>
      <c r="J185" s="8">
        <f>[1]Data!J185</f>
        <v>14.759247820000001</v>
      </c>
      <c r="K185" s="8">
        <f>[1]Data!K185</f>
        <v>19.759247819999999</v>
      </c>
      <c r="L185" s="8">
        <f>[1]Data!L185</f>
        <v>0.53128400752244198</v>
      </c>
      <c r="M185" s="8">
        <f>[1]Data!M185</f>
        <v>20.2905318275224</v>
      </c>
      <c r="N185" s="8">
        <f>[1]Data!N185</f>
        <v>0.23958333333333301</v>
      </c>
      <c r="O185" s="8">
        <f>[1]Data!O185</f>
        <v>0</v>
      </c>
      <c r="P185" s="8">
        <f>[1]Data!P185</f>
        <v>1</v>
      </c>
      <c r="Q185" s="8">
        <f>[1]Data!Q185</f>
        <v>0</v>
      </c>
      <c r="R185" s="8">
        <f>[1]Data!R185</f>
        <v>0</v>
      </c>
      <c r="S185" s="8">
        <f>[1]Data!S185</f>
        <v>0</v>
      </c>
      <c r="T185">
        <f t="shared" si="10"/>
        <v>0.23958333333333301</v>
      </c>
      <c r="U185">
        <f t="shared" si="11"/>
        <v>0</v>
      </c>
      <c r="V185" s="4" t="str">
        <f t="shared" si="12"/>
        <v>0</v>
      </c>
      <c r="W185" s="4" t="str">
        <f t="shared" si="13"/>
        <v>7</v>
      </c>
      <c r="X185" s="4" t="str">
        <f t="shared" si="14"/>
        <v>0CVCTE7</v>
      </c>
      <c r="Y185">
        <f>VLOOKUP(X185,Sheet1!$J$5:$K$121,2,FALSE)</f>
        <v>0</v>
      </c>
    </row>
    <row r="186" spans="1:25" x14ac:dyDescent="0.25">
      <c r="A186" s="8">
        <f>[1]Data!A186</f>
        <v>531800</v>
      </c>
      <c r="B186" s="8">
        <f>[1]Data!B186</f>
        <v>7</v>
      </c>
      <c r="C186" s="8">
        <f>[1]Data!C186</f>
        <v>0</v>
      </c>
      <c r="D186" s="8">
        <f>[1]Data!D186</f>
        <v>1</v>
      </c>
      <c r="E186" s="8" t="str">
        <f>[1]Data!E186</f>
        <v>CVCTE</v>
      </c>
      <c r="F186" s="8" t="str">
        <f>[1]Data!F186</f>
        <v>East Los Angeles</v>
      </c>
      <c r="G186" s="8">
        <f>[1]Data!G186</f>
        <v>0</v>
      </c>
      <c r="H186" s="8">
        <f>[1]Data!H186</f>
        <v>0</v>
      </c>
      <c r="I186" s="8">
        <f>[1]Data!I186</f>
        <v>27.024000000000001</v>
      </c>
      <c r="J186" s="8">
        <f>[1]Data!J186</f>
        <v>20.21132961</v>
      </c>
      <c r="K186" s="8">
        <f>[1]Data!K186</f>
        <v>26.21132961</v>
      </c>
      <c r="L186" s="8">
        <f>[1]Data!L186</f>
        <v>0.81304145249551196</v>
      </c>
      <c r="M186" s="8">
        <f>[1]Data!M186</f>
        <v>27.024371062495501</v>
      </c>
      <c r="N186" s="8">
        <f>[1]Data!N186</f>
        <v>0.23958333333333301</v>
      </c>
      <c r="O186" s="8">
        <f>[1]Data!O186</f>
        <v>0</v>
      </c>
      <c r="P186" s="8">
        <f>[1]Data!P186</f>
        <v>1</v>
      </c>
      <c r="Q186" s="8">
        <f>[1]Data!Q186</f>
        <v>0</v>
      </c>
      <c r="R186" s="8">
        <f>[1]Data!R186</f>
        <v>0</v>
      </c>
      <c r="S186" s="8">
        <f>[1]Data!S186</f>
        <v>0</v>
      </c>
      <c r="T186">
        <f t="shared" si="10"/>
        <v>0.23958333333333301</v>
      </c>
      <c r="U186">
        <f t="shared" si="11"/>
        <v>0</v>
      </c>
      <c r="V186" s="4" t="str">
        <f t="shared" si="12"/>
        <v>0</v>
      </c>
      <c r="W186" s="4" t="str">
        <f t="shared" si="13"/>
        <v>7</v>
      </c>
      <c r="X186" s="4" t="str">
        <f t="shared" si="14"/>
        <v>0CVCTE7</v>
      </c>
      <c r="Y186">
        <f>VLOOKUP(X186,Sheet1!$J$5:$K$121,2,FALSE)</f>
        <v>0</v>
      </c>
    </row>
    <row r="187" spans="1:25" x14ac:dyDescent="0.25">
      <c r="A187" s="8">
        <f>[1]Data!A187</f>
        <v>531902</v>
      </c>
      <c r="B187" s="8">
        <f>[1]Data!B187</f>
        <v>7</v>
      </c>
      <c r="C187" s="8">
        <f>[1]Data!C187</f>
        <v>0</v>
      </c>
      <c r="D187" s="8">
        <f>[1]Data!D187</f>
        <v>1</v>
      </c>
      <c r="E187" s="8" t="str">
        <f>[1]Data!E187</f>
        <v>CVCTE</v>
      </c>
      <c r="F187" s="8" t="str">
        <f>[1]Data!F187</f>
        <v>East Los Angeles</v>
      </c>
      <c r="G187" s="8">
        <f>[1]Data!G187</f>
        <v>0</v>
      </c>
      <c r="H187" s="8">
        <f>[1]Data!H187</f>
        <v>0</v>
      </c>
      <c r="I187" s="8">
        <f>[1]Data!I187</f>
        <v>48.795999999999999</v>
      </c>
      <c r="J187" s="8">
        <f>[1]Data!J187</f>
        <v>42.800117280000002</v>
      </c>
      <c r="K187" s="8">
        <f>[1]Data!K187</f>
        <v>46.800117280000002</v>
      </c>
      <c r="L187" s="8">
        <f>[1]Data!L187</f>
        <v>1.9947940532674999</v>
      </c>
      <c r="M187" s="8">
        <f>[1]Data!M187</f>
        <v>48.7949113332675</v>
      </c>
      <c r="N187" s="8">
        <f>[1]Data!N187</f>
        <v>0.23958333333333301</v>
      </c>
      <c r="O187" s="8">
        <f>[1]Data!O187</f>
        <v>0</v>
      </c>
      <c r="P187" s="8">
        <f>[1]Data!P187</f>
        <v>1</v>
      </c>
      <c r="Q187" s="8">
        <f>[1]Data!Q187</f>
        <v>0</v>
      </c>
      <c r="R187" s="8">
        <f>[1]Data!R187</f>
        <v>0</v>
      </c>
      <c r="S187" s="8">
        <f>[1]Data!S187</f>
        <v>0</v>
      </c>
      <c r="T187">
        <f t="shared" si="10"/>
        <v>0.23958333333333301</v>
      </c>
      <c r="U187">
        <f t="shared" si="11"/>
        <v>0</v>
      </c>
      <c r="V187" s="4" t="str">
        <f t="shared" si="12"/>
        <v>0</v>
      </c>
      <c r="W187" s="4" t="str">
        <f t="shared" si="13"/>
        <v>7</v>
      </c>
      <c r="X187" s="4" t="str">
        <f t="shared" si="14"/>
        <v>0CVCTE7</v>
      </c>
      <c r="Y187">
        <f>VLOOKUP(X187,Sheet1!$J$5:$K$121,2,FALSE)</f>
        <v>0</v>
      </c>
    </row>
    <row r="188" spans="1:25" x14ac:dyDescent="0.25">
      <c r="A188" s="8">
        <f>[1]Data!A188</f>
        <v>532001</v>
      </c>
      <c r="B188" s="8">
        <f>[1]Data!B188</f>
        <v>7</v>
      </c>
      <c r="C188" s="8">
        <f>[1]Data!C188</f>
        <v>0</v>
      </c>
      <c r="D188" s="8">
        <f>[1]Data!D188</f>
        <v>1</v>
      </c>
      <c r="E188" s="8" t="str">
        <f>[1]Data!E188</f>
        <v>CVCTE</v>
      </c>
      <c r="F188" s="8" t="str">
        <f>[1]Data!F188</f>
        <v>Montebello</v>
      </c>
      <c r="G188" s="8">
        <f>[1]Data!G188</f>
        <v>1</v>
      </c>
      <c r="H188" s="8">
        <f>[1]Data!H188</f>
        <v>1</v>
      </c>
      <c r="I188" s="8">
        <f>[1]Data!I188</f>
        <v>14.313000000000001</v>
      </c>
      <c r="J188" s="8">
        <f>[1]Data!J188</f>
        <v>12.709599280000001</v>
      </c>
      <c r="K188" s="8">
        <f>[1]Data!K188</f>
        <v>13.709599280000001</v>
      </c>
      <c r="L188" s="8">
        <f>[1]Data!L188</f>
        <v>0.60207257441651696</v>
      </c>
      <c r="M188" s="8">
        <f>[1]Data!M188</f>
        <v>14.311671854416501</v>
      </c>
      <c r="N188" s="8">
        <f>[1]Data!N188</f>
        <v>0.23958333333333301</v>
      </c>
      <c r="O188" s="8">
        <f>[1]Data!O188</f>
        <v>4.1739130434782599</v>
      </c>
      <c r="P188" s="8">
        <f>[1]Data!P188</f>
        <v>1</v>
      </c>
      <c r="Q188" s="8">
        <f>[1]Data!Q188</f>
        <v>0</v>
      </c>
      <c r="R188" s="8">
        <f>[1]Data!R188</f>
        <v>0</v>
      </c>
      <c r="S188" s="8">
        <f>[1]Data!S188</f>
        <v>0</v>
      </c>
      <c r="T188">
        <f t="shared" si="10"/>
        <v>0.23958333333333301</v>
      </c>
      <c r="U188">
        <f t="shared" si="11"/>
        <v>4.1739130434782661</v>
      </c>
      <c r="V188" s="4" t="str">
        <f t="shared" si="12"/>
        <v>0</v>
      </c>
      <c r="W188" s="4" t="str">
        <f t="shared" si="13"/>
        <v>7</v>
      </c>
      <c r="X188" s="4" t="str">
        <f t="shared" si="14"/>
        <v>0CVCTE7</v>
      </c>
      <c r="Y188">
        <f>VLOOKUP(X188,Sheet1!$J$5:$K$121,2,FALSE)</f>
        <v>0</v>
      </c>
    </row>
    <row r="189" spans="1:25" x14ac:dyDescent="0.25">
      <c r="A189" s="8">
        <f>[1]Data!A189</f>
        <v>532101</v>
      </c>
      <c r="B189" s="8">
        <f>[1]Data!B189</f>
        <v>7</v>
      </c>
      <c r="C189" s="8">
        <f>[1]Data!C189</f>
        <v>0</v>
      </c>
      <c r="D189" s="8">
        <f>[1]Data!D189</f>
        <v>1</v>
      </c>
      <c r="E189" s="8" t="str">
        <f>[1]Data!E189</f>
        <v>CVCTE</v>
      </c>
      <c r="F189" s="8" t="str">
        <f>[1]Data!F189</f>
        <v>Montebello</v>
      </c>
      <c r="G189" s="8">
        <f>[1]Data!G189</f>
        <v>1</v>
      </c>
      <c r="H189" s="8">
        <f>[1]Data!H189</f>
        <v>1</v>
      </c>
      <c r="I189" s="8">
        <f>[1]Data!I189</f>
        <v>23.727</v>
      </c>
      <c r="J189" s="8">
        <f>[1]Data!J189</f>
        <v>11.200055430000001</v>
      </c>
      <c r="K189" s="8">
        <f>[1]Data!K189</f>
        <v>23.200055429999999</v>
      </c>
      <c r="L189" s="8">
        <f>[1]Data!L189</f>
        <v>0.52622045445242405</v>
      </c>
      <c r="M189" s="8">
        <f>[1]Data!M189</f>
        <v>23.726275884452399</v>
      </c>
      <c r="N189" s="8">
        <f>[1]Data!N189</f>
        <v>0.23958333333333301</v>
      </c>
      <c r="O189" s="8">
        <f>[1]Data!O189</f>
        <v>4.1739130434782599</v>
      </c>
      <c r="P189" s="8">
        <f>[1]Data!P189</f>
        <v>1</v>
      </c>
      <c r="Q189" s="8">
        <f>[1]Data!Q189</f>
        <v>0</v>
      </c>
      <c r="R189" s="8">
        <f>[1]Data!R189</f>
        <v>0</v>
      </c>
      <c r="S189" s="8">
        <f>[1]Data!S189</f>
        <v>0</v>
      </c>
      <c r="T189">
        <f t="shared" si="10"/>
        <v>0.23958333333333301</v>
      </c>
      <c r="U189">
        <f t="shared" si="11"/>
        <v>4.1739130434782661</v>
      </c>
      <c r="V189" s="4" t="str">
        <f t="shared" si="12"/>
        <v>0</v>
      </c>
      <c r="W189" s="4" t="str">
        <f t="shared" si="13"/>
        <v>7</v>
      </c>
      <c r="X189" s="4" t="str">
        <f t="shared" si="14"/>
        <v>0CVCTE7</v>
      </c>
      <c r="Y189">
        <f>VLOOKUP(X189,Sheet1!$J$5:$K$121,2,FALSE)</f>
        <v>0</v>
      </c>
    </row>
    <row r="190" spans="1:25" x14ac:dyDescent="0.25">
      <c r="A190" s="8">
        <f>[1]Data!A190</f>
        <v>551000</v>
      </c>
      <c r="B190" s="8">
        <f>[1]Data!B190</f>
        <v>7</v>
      </c>
      <c r="C190" s="8">
        <f>[1]Data!C190</f>
        <v>0</v>
      </c>
      <c r="D190" s="8">
        <f>[1]Data!D190</f>
        <v>4</v>
      </c>
      <c r="E190" s="8" t="str">
        <f>[1]Data!E190</f>
        <v>CVCTE</v>
      </c>
      <c r="F190" s="8" t="str">
        <f>[1]Data!F190</f>
        <v>Downey</v>
      </c>
      <c r="G190" s="8">
        <f>[1]Data!G190</f>
        <v>0</v>
      </c>
      <c r="H190" s="8">
        <f>[1]Data!H190</f>
        <v>0</v>
      </c>
      <c r="I190" s="8">
        <f>[1]Data!I190</f>
        <v>17.065999999999999</v>
      </c>
      <c r="J190" s="8">
        <f>[1]Data!J190</f>
        <v>7.4380778999999997</v>
      </c>
      <c r="K190" s="8">
        <f>[1]Data!K190</f>
        <v>16.4380779</v>
      </c>
      <c r="L190" s="8">
        <f>[1]Data!L190</f>
        <v>0.62729995631956903</v>
      </c>
      <c r="M190" s="8">
        <f>[1]Data!M190</f>
        <v>17.0653778563196</v>
      </c>
      <c r="N190" s="8">
        <f>[1]Data!N190</f>
        <v>0.23958333333333301</v>
      </c>
      <c r="O190" s="8">
        <f>[1]Data!O190</f>
        <v>0</v>
      </c>
      <c r="P190" s="8">
        <f>[1]Data!P190</f>
        <v>1</v>
      </c>
      <c r="Q190" s="8">
        <f>[1]Data!Q190</f>
        <v>0</v>
      </c>
      <c r="R190" s="8">
        <f>[1]Data!R190</f>
        <v>0</v>
      </c>
      <c r="S190" s="8">
        <f>[1]Data!S190</f>
        <v>0</v>
      </c>
      <c r="T190">
        <f t="shared" si="10"/>
        <v>0.23958333333333301</v>
      </c>
      <c r="U190">
        <f t="shared" si="11"/>
        <v>0</v>
      </c>
      <c r="V190" s="4" t="str">
        <f t="shared" si="12"/>
        <v>0</v>
      </c>
      <c r="W190" s="4" t="str">
        <f t="shared" si="13"/>
        <v>7</v>
      </c>
      <c r="X190" s="4" t="str">
        <f t="shared" si="14"/>
        <v>0CVCTE7</v>
      </c>
      <c r="Y190">
        <f>VLOOKUP(X190,Sheet1!$J$5:$K$121,2,FALSE)</f>
        <v>0</v>
      </c>
    </row>
    <row r="191" spans="1:25" x14ac:dyDescent="0.25">
      <c r="A191" s="8">
        <f>[1]Data!A191</f>
        <v>532102</v>
      </c>
      <c r="B191" s="8">
        <f>[1]Data!B191</f>
        <v>7</v>
      </c>
      <c r="C191" s="8">
        <f>[1]Data!C191</f>
        <v>0</v>
      </c>
      <c r="D191" s="8">
        <f>[1]Data!D191</f>
        <v>1</v>
      </c>
      <c r="E191" s="8" t="str">
        <f>[1]Data!E191</f>
        <v>CVCTE</v>
      </c>
      <c r="F191" s="8" t="str">
        <f>[1]Data!F191</f>
        <v>Montebello</v>
      </c>
      <c r="G191" s="8">
        <f>[1]Data!G191</f>
        <v>0</v>
      </c>
      <c r="H191" s="8">
        <f>[1]Data!H191</f>
        <v>0</v>
      </c>
      <c r="I191" s="8">
        <f>[1]Data!I191</f>
        <v>17.434000000000001</v>
      </c>
      <c r="J191" s="8">
        <f>[1]Data!J191</f>
        <v>16.958063360000001</v>
      </c>
      <c r="K191" s="8">
        <f>[1]Data!K191</f>
        <v>16.958063360000001</v>
      </c>
      <c r="L191" s="8">
        <f>[1]Data!L191</f>
        <v>0.475442833752244</v>
      </c>
      <c r="M191" s="8">
        <f>[1]Data!M191</f>
        <v>17.433506193752201</v>
      </c>
      <c r="N191" s="8">
        <f>[1]Data!N191</f>
        <v>0.23958333333333301</v>
      </c>
      <c r="O191" s="8">
        <f>[1]Data!O191</f>
        <v>0</v>
      </c>
      <c r="P191" s="8">
        <f>[1]Data!P191</f>
        <v>1</v>
      </c>
      <c r="Q191" s="8">
        <f>[1]Data!Q191</f>
        <v>0</v>
      </c>
      <c r="R191" s="8">
        <f>[1]Data!R191</f>
        <v>0</v>
      </c>
      <c r="S191" s="8">
        <f>[1]Data!S191</f>
        <v>0</v>
      </c>
      <c r="T191">
        <f t="shared" si="10"/>
        <v>0.23958333333333301</v>
      </c>
      <c r="U191">
        <f t="shared" si="11"/>
        <v>0</v>
      </c>
      <c r="V191" s="4" t="str">
        <f t="shared" si="12"/>
        <v>0</v>
      </c>
      <c r="W191" s="4" t="str">
        <f t="shared" si="13"/>
        <v>7</v>
      </c>
      <c r="X191" s="4" t="str">
        <f t="shared" si="14"/>
        <v>0CVCTE7</v>
      </c>
      <c r="Y191">
        <f>VLOOKUP(X191,Sheet1!$J$5:$K$121,2,FALSE)</f>
        <v>0</v>
      </c>
    </row>
    <row r="192" spans="1:25" x14ac:dyDescent="0.25">
      <c r="A192" s="8">
        <f>[1]Data!A192</f>
        <v>532200</v>
      </c>
      <c r="B192" s="8">
        <f>[1]Data!B192</f>
        <v>7</v>
      </c>
      <c r="C192" s="8">
        <f>[1]Data!C192</f>
        <v>0</v>
      </c>
      <c r="D192" s="8">
        <f>[1]Data!D192</f>
        <v>1</v>
      </c>
      <c r="E192" s="8" t="str">
        <f>[1]Data!E192</f>
        <v>CVCTE</v>
      </c>
      <c r="F192" s="8" t="str">
        <f>[1]Data!F192</f>
        <v>Montebello</v>
      </c>
      <c r="G192" s="8">
        <f>[1]Data!G192</f>
        <v>0</v>
      </c>
      <c r="H192" s="8">
        <f>[1]Data!H192</f>
        <v>0</v>
      </c>
      <c r="I192" s="8">
        <f>[1]Data!I192</f>
        <v>20.759</v>
      </c>
      <c r="J192" s="8">
        <f>[1]Data!J192</f>
        <v>15.869597280000001</v>
      </c>
      <c r="K192" s="8">
        <f>[1]Data!K192</f>
        <v>19.869597280000001</v>
      </c>
      <c r="L192" s="8">
        <f>[1]Data!L192</f>
        <v>0.88938081105924605</v>
      </c>
      <c r="M192" s="8">
        <f>[1]Data!M192</f>
        <v>20.758978091059198</v>
      </c>
      <c r="N192" s="8">
        <f>[1]Data!N192</f>
        <v>0.23958333333333301</v>
      </c>
      <c r="O192" s="8">
        <f>[1]Data!O192</f>
        <v>0</v>
      </c>
      <c r="P192" s="8">
        <f>[1]Data!P192</f>
        <v>1</v>
      </c>
      <c r="Q192" s="8">
        <f>[1]Data!Q192</f>
        <v>0</v>
      </c>
      <c r="R192" s="8">
        <f>[1]Data!R192</f>
        <v>0</v>
      </c>
      <c r="S192" s="8">
        <f>[1]Data!S192</f>
        <v>0</v>
      </c>
      <c r="T192">
        <f t="shared" si="10"/>
        <v>0.23958333333333301</v>
      </c>
      <c r="U192">
        <f t="shared" si="11"/>
        <v>0</v>
      </c>
      <c r="V192" s="4" t="str">
        <f t="shared" si="12"/>
        <v>0</v>
      </c>
      <c r="W192" s="4" t="str">
        <f t="shared" si="13"/>
        <v>7</v>
      </c>
      <c r="X192" s="4" t="str">
        <f t="shared" si="14"/>
        <v>0CVCTE7</v>
      </c>
      <c r="Y192">
        <f>VLOOKUP(X192,Sheet1!$J$5:$K$121,2,FALSE)</f>
        <v>0</v>
      </c>
    </row>
    <row r="193" spans="1:25" x14ac:dyDescent="0.25">
      <c r="A193" s="8">
        <f>[1]Data!A193</f>
        <v>532303</v>
      </c>
      <c r="B193" s="8">
        <f>[1]Data!B193</f>
        <v>7</v>
      </c>
      <c r="C193" s="8">
        <f>[1]Data!C193</f>
        <v>0</v>
      </c>
      <c r="D193" s="8">
        <f>[1]Data!D193</f>
        <v>1</v>
      </c>
      <c r="E193" s="8" t="str">
        <f>[1]Data!E193</f>
        <v>CVCTE</v>
      </c>
      <c r="F193" s="8" t="str">
        <f>[1]Data!F193</f>
        <v>Commerce</v>
      </c>
      <c r="G193" s="8">
        <f>[1]Data!G193</f>
        <v>1</v>
      </c>
      <c r="H193" s="8">
        <f>[1]Data!H193</f>
        <v>1</v>
      </c>
      <c r="I193" s="8">
        <f>[1]Data!I193</f>
        <v>50.572000000000003</v>
      </c>
      <c r="J193" s="8">
        <f>[1]Data!J193</f>
        <v>47.708414740000002</v>
      </c>
      <c r="K193" s="8">
        <f>[1]Data!K193</f>
        <v>47.708414740000002</v>
      </c>
      <c r="L193" s="8">
        <f>[1]Data!L193</f>
        <v>2.8639661577378801</v>
      </c>
      <c r="M193" s="8">
        <f>[1]Data!M193</f>
        <v>50.572380897737901</v>
      </c>
      <c r="N193" s="8">
        <f>[1]Data!N193</f>
        <v>0.23958333333333301</v>
      </c>
      <c r="O193" s="8">
        <f>[1]Data!O193</f>
        <v>4.1739130434782599</v>
      </c>
      <c r="P193" s="8">
        <f>[1]Data!P193</f>
        <v>1</v>
      </c>
      <c r="Q193" s="8">
        <f>[1]Data!Q193</f>
        <v>0</v>
      </c>
      <c r="R193" s="8">
        <f>[1]Data!R193</f>
        <v>0</v>
      </c>
      <c r="S193" s="8">
        <f>[1]Data!S193</f>
        <v>0</v>
      </c>
      <c r="T193">
        <f t="shared" si="10"/>
        <v>0.23958333333333301</v>
      </c>
      <c r="U193">
        <f t="shared" si="11"/>
        <v>4.1739130434782661</v>
      </c>
      <c r="V193" s="4" t="str">
        <f t="shared" si="12"/>
        <v>0</v>
      </c>
      <c r="W193" s="4" t="str">
        <f t="shared" si="13"/>
        <v>7</v>
      </c>
      <c r="X193" s="4" t="str">
        <f t="shared" si="14"/>
        <v>0CVCTE7</v>
      </c>
      <c r="Y193">
        <f>VLOOKUP(X193,Sheet1!$J$5:$K$121,2,FALSE)</f>
        <v>0</v>
      </c>
    </row>
    <row r="194" spans="1:25" x14ac:dyDescent="0.25">
      <c r="A194" s="8">
        <f>[1]Data!A194</f>
        <v>532400</v>
      </c>
      <c r="B194" s="8">
        <f>[1]Data!B194</f>
        <v>7</v>
      </c>
      <c r="C194" s="8">
        <f>[1]Data!C194</f>
        <v>0</v>
      </c>
      <c r="D194" s="8">
        <f>[1]Data!D194</f>
        <v>1</v>
      </c>
      <c r="E194" s="8" t="str">
        <f>[1]Data!E194</f>
        <v>CVCTE</v>
      </c>
      <c r="F194" s="8" t="str">
        <f>[1]Data!F194</f>
        <v>Vernon</v>
      </c>
      <c r="G194" s="8">
        <f>[1]Data!G194</f>
        <v>0</v>
      </c>
      <c r="H194" s="8">
        <f>[1]Data!H194</f>
        <v>0</v>
      </c>
      <c r="I194" s="8">
        <f>[1]Data!I194</f>
        <v>0</v>
      </c>
      <c r="J194" s="8">
        <f>[1]Data!J194</f>
        <v>0</v>
      </c>
      <c r="K194" s="8">
        <f>[1]Data!K194</f>
        <v>0</v>
      </c>
      <c r="L194" s="8">
        <f>[1]Data!L194</f>
        <v>0</v>
      </c>
      <c r="M194" s="8">
        <f>[1]Data!M194</f>
        <v>0</v>
      </c>
      <c r="N194" s="8">
        <f>[1]Data!N194</f>
        <v>0.23958333333333301</v>
      </c>
      <c r="O194" s="8">
        <f>[1]Data!O194</f>
        <v>0</v>
      </c>
      <c r="P194" s="8">
        <f>[1]Data!P194</f>
        <v>1</v>
      </c>
      <c r="Q194" s="8">
        <f>[1]Data!Q194</f>
        <v>0</v>
      </c>
      <c r="R194" s="8">
        <f>[1]Data!R194</f>
        <v>0</v>
      </c>
      <c r="S194" s="8">
        <f>[1]Data!S194</f>
        <v>0</v>
      </c>
      <c r="T194">
        <f t="shared" si="10"/>
        <v>0.23958333333333301</v>
      </c>
      <c r="U194">
        <f t="shared" si="11"/>
        <v>0</v>
      </c>
      <c r="V194" s="4" t="str">
        <f t="shared" si="12"/>
        <v>0</v>
      </c>
      <c r="W194" s="4" t="str">
        <f t="shared" si="13"/>
        <v>7</v>
      </c>
      <c r="X194" s="4" t="str">
        <f t="shared" si="14"/>
        <v>0CVCTE7</v>
      </c>
      <c r="Y194">
        <f>VLOOKUP(X194,Sheet1!$J$5:$K$121,2,FALSE)</f>
        <v>0</v>
      </c>
    </row>
    <row r="195" spans="1:25" x14ac:dyDescent="0.25">
      <c r="A195" s="8">
        <f>[1]Data!A195</f>
        <v>550300</v>
      </c>
      <c r="B195" s="8">
        <f>[1]Data!B195</f>
        <v>7</v>
      </c>
      <c r="C195" s="8">
        <f>[1]Data!C195</f>
        <v>0</v>
      </c>
      <c r="D195" s="8">
        <f>[1]Data!D195</f>
        <v>4</v>
      </c>
      <c r="E195" s="8" t="str">
        <f>[1]Data!E195</f>
        <v>CVCTE</v>
      </c>
      <c r="F195" s="8" t="str">
        <f>[1]Data!F195</f>
        <v>Norwalk</v>
      </c>
      <c r="G195" s="8">
        <f>[1]Data!G195</f>
        <v>0</v>
      </c>
      <c r="H195" s="8">
        <f>[1]Data!H195</f>
        <v>0</v>
      </c>
      <c r="I195" s="8">
        <f>[1]Data!I195</f>
        <v>36.433</v>
      </c>
      <c r="J195" s="8">
        <f>[1]Data!J195</f>
        <v>26.113727579999999</v>
      </c>
      <c r="K195" s="8">
        <f>[1]Data!K195</f>
        <v>36.113727580000003</v>
      </c>
      <c r="L195" s="8">
        <f>[1]Data!L195</f>
        <v>0.318912537684022</v>
      </c>
      <c r="M195" s="8">
        <f>[1]Data!M195</f>
        <v>36.432640117684002</v>
      </c>
      <c r="N195" s="8">
        <f>[1]Data!N195</f>
        <v>0.23958333333333301</v>
      </c>
      <c r="O195" s="8">
        <f>[1]Data!O195</f>
        <v>0</v>
      </c>
      <c r="P195" s="8">
        <f>[1]Data!P195</f>
        <v>1</v>
      </c>
      <c r="Q195" s="8">
        <f>[1]Data!Q195</f>
        <v>0</v>
      </c>
      <c r="R195" s="8">
        <f>[1]Data!R195</f>
        <v>0</v>
      </c>
      <c r="S195" s="8">
        <f>[1]Data!S195</f>
        <v>0</v>
      </c>
      <c r="T195">
        <f t="shared" ref="T195:T258" si="15">N195+Y195*(1-N195)</f>
        <v>0.23958333333333301</v>
      </c>
      <c r="U195">
        <f t="shared" ref="U195:U258" si="16">IF(T195="",0,1/T195*H195)</f>
        <v>0</v>
      </c>
      <c r="V195" s="4" t="str">
        <f t="shared" ref="V195:V258" si="17">TEXT(C195,"0")</f>
        <v>0</v>
      </c>
      <c r="W195" s="4" t="str">
        <f t="shared" ref="W195:W258" si="18">TEXT(B195,"0")</f>
        <v>7</v>
      </c>
      <c r="X195" s="4" t="str">
        <f t="shared" ref="X195:X258" si="19">CONCATENATE(V195,E195,W195)</f>
        <v>0CVCTE7</v>
      </c>
      <c r="Y195">
        <f>VLOOKUP(X195,Sheet1!$J$5:$K$121,2,FALSE)</f>
        <v>0</v>
      </c>
    </row>
    <row r="196" spans="1:25" x14ac:dyDescent="0.25">
      <c r="A196" s="8">
        <f>[1]Data!A196</f>
        <v>532603</v>
      </c>
      <c r="B196" s="8">
        <f>[1]Data!B196</f>
        <v>7</v>
      </c>
      <c r="C196" s="8">
        <f>[1]Data!C196</f>
        <v>0</v>
      </c>
      <c r="D196" s="8">
        <f>[1]Data!D196</f>
        <v>1</v>
      </c>
      <c r="E196" s="8" t="str">
        <f>[1]Data!E196</f>
        <v>CVCTE</v>
      </c>
      <c r="F196" s="8" t="str">
        <f>[1]Data!F196</f>
        <v>Huntington Park</v>
      </c>
      <c r="G196" s="8">
        <f>[1]Data!G196</f>
        <v>0</v>
      </c>
      <c r="H196" s="8">
        <f>[1]Data!H196</f>
        <v>0</v>
      </c>
      <c r="I196" s="8">
        <f>[1]Data!I196</f>
        <v>0</v>
      </c>
      <c r="J196" s="8">
        <f>[1]Data!J196</f>
        <v>0</v>
      </c>
      <c r="K196" s="8">
        <f>[1]Data!K196</f>
        <v>0</v>
      </c>
      <c r="L196" s="8">
        <f>[1]Data!L196</f>
        <v>0</v>
      </c>
      <c r="M196" s="8">
        <f>[1]Data!M196</f>
        <v>0</v>
      </c>
      <c r="N196" s="8">
        <f>[1]Data!N196</f>
        <v>0.23958333333333301</v>
      </c>
      <c r="O196" s="8">
        <f>[1]Data!O196</f>
        <v>0</v>
      </c>
      <c r="P196" s="8">
        <f>[1]Data!P196</f>
        <v>1</v>
      </c>
      <c r="Q196" s="8">
        <f>[1]Data!Q196</f>
        <v>0</v>
      </c>
      <c r="R196" s="8">
        <f>[1]Data!R196</f>
        <v>0</v>
      </c>
      <c r="S196" s="8">
        <f>[1]Data!S196</f>
        <v>0</v>
      </c>
      <c r="T196">
        <f t="shared" si="15"/>
        <v>0.23958333333333301</v>
      </c>
      <c r="U196">
        <f t="shared" si="16"/>
        <v>0</v>
      </c>
      <c r="V196" s="4" t="str">
        <f t="shared" si="17"/>
        <v>0</v>
      </c>
      <c r="W196" s="4" t="str">
        <f t="shared" si="18"/>
        <v>7</v>
      </c>
      <c r="X196" s="4" t="str">
        <f t="shared" si="19"/>
        <v>0CVCTE7</v>
      </c>
      <c r="Y196">
        <f>VLOOKUP(X196,Sheet1!$J$5:$K$121,2,FALSE)</f>
        <v>0</v>
      </c>
    </row>
    <row r="197" spans="1:25" x14ac:dyDescent="0.25">
      <c r="A197" s="8">
        <f>[1]Data!A197</f>
        <v>532605</v>
      </c>
      <c r="B197" s="8">
        <f>[1]Data!B197</f>
        <v>7</v>
      </c>
      <c r="C197" s="8">
        <f>[1]Data!C197</f>
        <v>0</v>
      </c>
      <c r="D197" s="8">
        <f>[1]Data!D197</f>
        <v>1</v>
      </c>
      <c r="E197" s="8" t="str">
        <f>[1]Data!E197</f>
        <v>CVCTE</v>
      </c>
      <c r="F197" s="8" t="str">
        <f>[1]Data!F197</f>
        <v>Huntington Park</v>
      </c>
      <c r="G197" s="8">
        <f>[1]Data!G197</f>
        <v>0</v>
      </c>
      <c r="H197" s="8">
        <f>[1]Data!H197</f>
        <v>0</v>
      </c>
      <c r="I197" s="8">
        <f>[1]Data!I197</f>
        <v>47.250999999999998</v>
      </c>
      <c r="J197" s="8">
        <f>[1]Data!J197</f>
        <v>29.788807349999999</v>
      </c>
      <c r="K197" s="8">
        <f>[1]Data!K197</f>
        <v>46.788807349999999</v>
      </c>
      <c r="L197" s="8">
        <f>[1]Data!L197</f>
        <v>0.46169844705565499</v>
      </c>
      <c r="M197" s="8">
        <f>[1]Data!M197</f>
        <v>47.250505797055702</v>
      </c>
      <c r="N197" s="8">
        <f>[1]Data!N197</f>
        <v>0.23958333333333301</v>
      </c>
      <c r="O197" s="8">
        <f>[1]Data!O197</f>
        <v>0</v>
      </c>
      <c r="P197" s="8">
        <f>[1]Data!P197</f>
        <v>1</v>
      </c>
      <c r="Q197" s="8">
        <f>[1]Data!Q197</f>
        <v>0</v>
      </c>
      <c r="R197" s="8">
        <f>[1]Data!R197</f>
        <v>0</v>
      </c>
      <c r="S197" s="8">
        <f>[1]Data!S197</f>
        <v>0</v>
      </c>
      <c r="T197">
        <f t="shared" si="15"/>
        <v>0.23958333333333301</v>
      </c>
      <c r="U197">
        <f t="shared" si="16"/>
        <v>0</v>
      </c>
      <c r="V197" s="4" t="str">
        <f t="shared" si="17"/>
        <v>0</v>
      </c>
      <c r="W197" s="4" t="str">
        <f t="shared" si="18"/>
        <v>7</v>
      </c>
      <c r="X197" s="4" t="str">
        <f t="shared" si="19"/>
        <v>0CVCTE7</v>
      </c>
      <c r="Y197">
        <f>VLOOKUP(X197,Sheet1!$J$5:$K$121,2,FALSE)</f>
        <v>0</v>
      </c>
    </row>
    <row r="198" spans="1:25" x14ac:dyDescent="0.25">
      <c r="A198" s="8">
        <f>[1]Data!A198</f>
        <v>532700</v>
      </c>
      <c r="B198" s="8">
        <f>[1]Data!B198</f>
        <v>7</v>
      </c>
      <c r="C198" s="8">
        <f>[1]Data!C198</f>
        <v>0</v>
      </c>
      <c r="D198" s="8">
        <f>[1]Data!D198</f>
        <v>2</v>
      </c>
      <c r="E198" s="8" t="str">
        <f>[1]Data!E198</f>
        <v>CVCTE</v>
      </c>
      <c r="F198" s="8" t="str">
        <f>[1]Data!F198</f>
        <v>Florence-Graham</v>
      </c>
      <c r="G198" s="8">
        <f>[1]Data!G198</f>
        <v>0</v>
      </c>
      <c r="H198" s="8">
        <f>[1]Data!H198</f>
        <v>0</v>
      </c>
      <c r="I198" s="8">
        <f>[1]Data!I198</f>
        <v>18.821000000000002</v>
      </c>
      <c r="J198" s="8">
        <f>[1]Data!J198</f>
        <v>13.18375509</v>
      </c>
      <c r="K198" s="8">
        <f>[1]Data!K198</f>
        <v>18.183755089999998</v>
      </c>
      <c r="L198" s="8">
        <f>[1]Data!L198</f>
        <v>0.63739305583482897</v>
      </c>
      <c r="M198" s="8">
        <f>[1]Data!M198</f>
        <v>18.821148145834801</v>
      </c>
      <c r="N198" s="8">
        <f>[1]Data!N198</f>
        <v>0.23958333333333301</v>
      </c>
      <c r="O198" s="8">
        <f>[1]Data!O198</f>
        <v>0</v>
      </c>
      <c r="P198" s="8">
        <f>[1]Data!P198</f>
        <v>1</v>
      </c>
      <c r="Q198" s="8">
        <f>[1]Data!Q198</f>
        <v>0</v>
      </c>
      <c r="R198" s="8">
        <f>[1]Data!R198</f>
        <v>0</v>
      </c>
      <c r="S198" s="8">
        <f>[1]Data!S198</f>
        <v>0</v>
      </c>
      <c r="T198">
        <f t="shared" si="15"/>
        <v>0.23958333333333301</v>
      </c>
      <c r="U198">
        <f t="shared" si="16"/>
        <v>0</v>
      </c>
      <c r="V198" s="4" t="str">
        <f t="shared" si="17"/>
        <v>0</v>
      </c>
      <c r="W198" s="4" t="str">
        <f t="shared" si="18"/>
        <v>7</v>
      </c>
      <c r="X198" s="4" t="str">
        <f t="shared" si="19"/>
        <v>0CVCTE7</v>
      </c>
      <c r="Y198">
        <f>VLOOKUP(X198,Sheet1!$J$5:$K$121,2,FALSE)</f>
        <v>0</v>
      </c>
    </row>
    <row r="199" spans="1:25" x14ac:dyDescent="0.25">
      <c r="A199" s="8">
        <f>[1]Data!A199</f>
        <v>533002</v>
      </c>
      <c r="B199" s="8">
        <f>[1]Data!B199</f>
        <v>7</v>
      </c>
      <c r="C199" s="8">
        <f>[1]Data!C199</f>
        <v>0</v>
      </c>
      <c r="D199" s="8">
        <f>[1]Data!D199</f>
        <v>1</v>
      </c>
      <c r="E199" s="8" t="str">
        <f>[1]Data!E199</f>
        <v>CVCTE</v>
      </c>
      <c r="F199" s="8" t="str">
        <f>[1]Data!F199</f>
        <v>Florence-Graham</v>
      </c>
      <c r="G199" s="8">
        <f>[1]Data!G199</f>
        <v>0</v>
      </c>
      <c r="H199" s="8">
        <f>[1]Data!H199</f>
        <v>0</v>
      </c>
      <c r="I199" s="8">
        <f>[1]Data!I199</f>
        <v>36.476999999999997</v>
      </c>
      <c r="J199" s="8">
        <f>[1]Data!J199</f>
        <v>25.980646530000001</v>
      </c>
      <c r="K199" s="8">
        <f>[1]Data!K199</f>
        <v>34.980646530000001</v>
      </c>
      <c r="L199" s="8">
        <f>[1]Data!L199</f>
        <v>1.4961600750269299</v>
      </c>
      <c r="M199" s="8">
        <f>[1]Data!M199</f>
        <v>36.476806605026901</v>
      </c>
      <c r="N199" s="8">
        <f>[1]Data!N199</f>
        <v>0.23958333333333301</v>
      </c>
      <c r="O199" s="8">
        <f>[1]Data!O199</f>
        <v>0</v>
      </c>
      <c r="P199" s="8">
        <f>[1]Data!P199</f>
        <v>1</v>
      </c>
      <c r="Q199" s="8">
        <f>[1]Data!Q199</f>
        <v>0</v>
      </c>
      <c r="R199" s="8">
        <f>[1]Data!R199</f>
        <v>0</v>
      </c>
      <c r="S199" s="8">
        <f>[1]Data!S199</f>
        <v>0</v>
      </c>
      <c r="T199">
        <f t="shared" si="15"/>
        <v>0.23958333333333301</v>
      </c>
      <c r="U199">
        <f t="shared" si="16"/>
        <v>0</v>
      </c>
      <c r="V199" s="4" t="str">
        <f t="shared" si="17"/>
        <v>0</v>
      </c>
      <c r="W199" s="4" t="str">
        <f t="shared" si="18"/>
        <v>7</v>
      </c>
      <c r="X199" s="4" t="str">
        <f t="shared" si="19"/>
        <v>0CVCTE7</v>
      </c>
      <c r="Y199">
        <f>VLOOKUP(X199,Sheet1!$J$5:$K$121,2,FALSE)</f>
        <v>0</v>
      </c>
    </row>
    <row r="200" spans="1:25" x14ac:dyDescent="0.25">
      <c r="A200" s="8">
        <f>[1]Data!A200</f>
        <v>533103</v>
      </c>
      <c r="B200" s="8">
        <f>[1]Data!B200</f>
        <v>7</v>
      </c>
      <c r="C200" s="8">
        <f>[1]Data!C200</f>
        <v>0</v>
      </c>
      <c r="D200" s="8">
        <f>[1]Data!D200</f>
        <v>1</v>
      </c>
      <c r="E200" s="8" t="str">
        <f>[1]Data!E200</f>
        <v>CVCTE</v>
      </c>
      <c r="F200" s="8" t="str">
        <f>[1]Data!F200</f>
        <v>Huntington Park</v>
      </c>
      <c r="G200" s="8">
        <f>[1]Data!G200</f>
        <v>0</v>
      </c>
      <c r="H200" s="8">
        <f>[1]Data!H200</f>
        <v>0</v>
      </c>
      <c r="I200" s="8">
        <f>[1]Data!I200</f>
        <v>38.043999999999997</v>
      </c>
      <c r="J200" s="8">
        <f>[1]Data!J200</f>
        <v>17.901079289999998</v>
      </c>
      <c r="K200" s="8">
        <f>[1]Data!K200</f>
        <v>36.901079289999998</v>
      </c>
      <c r="L200" s="8">
        <f>[1]Data!L200</f>
        <v>1.1428835584739701</v>
      </c>
      <c r="M200" s="8">
        <f>[1]Data!M200</f>
        <v>38.043962848474003</v>
      </c>
      <c r="N200" s="8">
        <f>[1]Data!N200</f>
        <v>0.23958333333333301</v>
      </c>
      <c r="O200" s="8">
        <f>[1]Data!O200</f>
        <v>0</v>
      </c>
      <c r="P200" s="8">
        <f>[1]Data!P200</f>
        <v>1</v>
      </c>
      <c r="Q200" s="8">
        <f>[1]Data!Q200</f>
        <v>0</v>
      </c>
      <c r="R200" s="8">
        <f>[1]Data!R200</f>
        <v>0</v>
      </c>
      <c r="S200" s="8">
        <f>[1]Data!S200</f>
        <v>0</v>
      </c>
      <c r="T200">
        <f t="shared" si="15"/>
        <v>0.23958333333333301</v>
      </c>
      <c r="U200">
        <f t="shared" si="16"/>
        <v>0</v>
      </c>
      <c r="V200" s="4" t="str">
        <f t="shared" si="17"/>
        <v>0</v>
      </c>
      <c r="W200" s="4" t="str">
        <f t="shared" si="18"/>
        <v>7</v>
      </c>
      <c r="X200" s="4" t="str">
        <f t="shared" si="19"/>
        <v>0CVCTE7</v>
      </c>
      <c r="Y200">
        <f>VLOOKUP(X200,Sheet1!$J$5:$K$121,2,FALSE)</f>
        <v>0</v>
      </c>
    </row>
    <row r="201" spans="1:25" x14ac:dyDescent="0.25">
      <c r="A201" s="8">
        <f>[1]Data!A201</f>
        <v>533106</v>
      </c>
      <c r="B201" s="8">
        <f>[1]Data!B201</f>
        <v>7</v>
      </c>
      <c r="C201" s="8">
        <f>[1]Data!C201</f>
        <v>0</v>
      </c>
      <c r="D201" s="8">
        <f>[1]Data!D201</f>
        <v>1</v>
      </c>
      <c r="E201" s="8" t="str">
        <f>[1]Data!E201</f>
        <v>CVCTE</v>
      </c>
      <c r="F201" s="8" t="str">
        <f>[1]Data!F201</f>
        <v>Huntington Park</v>
      </c>
      <c r="G201" s="8">
        <f>[1]Data!G201</f>
        <v>0</v>
      </c>
      <c r="H201" s="8">
        <f>[1]Data!H201</f>
        <v>0</v>
      </c>
      <c r="I201" s="8">
        <f>[1]Data!I201</f>
        <v>15.292999999999999</v>
      </c>
      <c r="J201" s="8">
        <f>[1]Data!J201</f>
        <v>9.0587163299999993</v>
      </c>
      <c r="K201" s="8">
        <f>[1]Data!K201</f>
        <v>15.058716329999999</v>
      </c>
      <c r="L201" s="8">
        <f>[1]Data!L201</f>
        <v>0.23395329447037699</v>
      </c>
      <c r="M201" s="8">
        <f>[1]Data!M201</f>
        <v>15.292669624470401</v>
      </c>
      <c r="N201" s="8">
        <f>[1]Data!N201</f>
        <v>0.23958333333333301</v>
      </c>
      <c r="O201" s="8">
        <f>[1]Data!O201</f>
        <v>0</v>
      </c>
      <c r="P201" s="8">
        <f>[1]Data!P201</f>
        <v>1</v>
      </c>
      <c r="Q201" s="8">
        <f>[1]Data!Q201</f>
        <v>0</v>
      </c>
      <c r="R201" s="8">
        <f>[1]Data!R201</f>
        <v>0</v>
      </c>
      <c r="S201" s="8">
        <f>[1]Data!S201</f>
        <v>0</v>
      </c>
      <c r="T201">
        <f t="shared" si="15"/>
        <v>0.23958333333333301</v>
      </c>
      <c r="U201">
        <f t="shared" si="16"/>
        <v>0</v>
      </c>
      <c r="V201" s="4" t="str">
        <f t="shared" si="17"/>
        <v>0</v>
      </c>
      <c r="W201" s="4" t="str">
        <f t="shared" si="18"/>
        <v>7</v>
      </c>
      <c r="X201" s="4" t="str">
        <f t="shared" si="19"/>
        <v>0CVCTE7</v>
      </c>
      <c r="Y201">
        <f>VLOOKUP(X201,Sheet1!$J$5:$K$121,2,FALSE)</f>
        <v>0</v>
      </c>
    </row>
    <row r="202" spans="1:25" x14ac:dyDescent="0.25">
      <c r="A202" s="8">
        <f>[1]Data!A202</f>
        <v>532304</v>
      </c>
      <c r="B202" s="8">
        <f>[1]Data!B202</f>
        <v>7</v>
      </c>
      <c r="C202" s="8">
        <f>[1]Data!C202</f>
        <v>0</v>
      </c>
      <c r="D202" s="8">
        <f>[1]Data!D202</f>
        <v>1</v>
      </c>
      <c r="E202" s="8" t="str">
        <f>[1]Data!E202</f>
        <v>CVCTE</v>
      </c>
      <c r="F202" s="8" t="str">
        <f>[1]Data!F202</f>
        <v>Commerce</v>
      </c>
      <c r="G202" s="8">
        <f>[1]Data!G202</f>
        <v>0</v>
      </c>
      <c r="H202" s="8">
        <f>[1]Data!H202</f>
        <v>0</v>
      </c>
      <c r="I202" s="8">
        <f>[1]Data!I202</f>
        <v>9.9049999999999994</v>
      </c>
      <c r="J202" s="8">
        <f>[1]Data!J202</f>
        <v>8.4482643599999996</v>
      </c>
      <c r="K202" s="8">
        <f>[1]Data!K202</f>
        <v>9.4482643599999996</v>
      </c>
      <c r="L202" s="8">
        <f>[1]Data!L202</f>
        <v>0.45619386750448798</v>
      </c>
      <c r="M202" s="8">
        <f>[1]Data!M202</f>
        <v>9.9044582275044899</v>
      </c>
      <c r="N202" s="8">
        <f>[1]Data!N202</f>
        <v>0.23958333333333301</v>
      </c>
      <c r="O202" s="8">
        <f>[1]Data!O202</f>
        <v>0</v>
      </c>
      <c r="P202" s="8">
        <f>[1]Data!P202</f>
        <v>1</v>
      </c>
      <c r="Q202" s="8">
        <f>[1]Data!Q202</f>
        <v>0</v>
      </c>
      <c r="R202" s="8">
        <f>[1]Data!R202</f>
        <v>0</v>
      </c>
      <c r="S202" s="8">
        <f>[1]Data!S202</f>
        <v>0</v>
      </c>
      <c r="T202">
        <f t="shared" si="15"/>
        <v>0.23958333333333301</v>
      </c>
      <c r="U202">
        <f t="shared" si="16"/>
        <v>0</v>
      </c>
      <c r="V202" s="4" t="str">
        <f t="shared" si="17"/>
        <v>0</v>
      </c>
      <c r="W202" s="4" t="str">
        <f t="shared" si="18"/>
        <v>7</v>
      </c>
      <c r="X202" s="4" t="str">
        <f t="shared" si="19"/>
        <v>0CVCTE7</v>
      </c>
      <c r="Y202">
        <f>VLOOKUP(X202,Sheet1!$J$5:$K$121,2,FALSE)</f>
        <v>0</v>
      </c>
    </row>
    <row r="203" spans="1:25" x14ac:dyDescent="0.25">
      <c r="A203" s="8">
        <f>[1]Data!A203</f>
        <v>536104</v>
      </c>
      <c r="B203" s="8">
        <f>[1]Data!B203</f>
        <v>7</v>
      </c>
      <c r="C203" s="8">
        <f>[1]Data!C203</f>
        <v>0</v>
      </c>
      <c r="D203" s="8">
        <f>[1]Data!D203</f>
        <v>1</v>
      </c>
      <c r="E203" s="8" t="str">
        <f>[1]Data!E203</f>
        <v>CVCTE</v>
      </c>
      <c r="F203" s="8" t="str">
        <f>[1]Data!F203</f>
        <v>South Gate</v>
      </c>
      <c r="G203" s="8">
        <f>[1]Data!G203</f>
        <v>0</v>
      </c>
      <c r="H203" s="8">
        <f>[1]Data!H203</f>
        <v>0</v>
      </c>
      <c r="I203" s="8">
        <f>[1]Data!I203</f>
        <v>11.093</v>
      </c>
      <c r="J203" s="8">
        <f>[1]Data!J203</f>
        <v>7.6842311499999996</v>
      </c>
      <c r="K203" s="8">
        <f>[1]Data!K203</f>
        <v>10.68423115</v>
      </c>
      <c r="L203" s="8">
        <f>[1]Data!L203</f>
        <v>0.40850331443447002</v>
      </c>
      <c r="M203" s="8">
        <f>[1]Data!M203</f>
        <v>11.0927344644345</v>
      </c>
      <c r="N203" s="8">
        <f>[1]Data!N203</f>
        <v>0.23958333333333301</v>
      </c>
      <c r="O203" s="8">
        <f>[1]Data!O203</f>
        <v>0</v>
      </c>
      <c r="P203" s="8">
        <f>[1]Data!P203</f>
        <v>1</v>
      </c>
      <c r="Q203" s="8">
        <f>[1]Data!Q203</f>
        <v>0</v>
      </c>
      <c r="R203" s="8">
        <f>[1]Data!R203</f>
        <v>0</v>
      </c>
      <c r="S203" s="8">
        <f>[1]Data!S203</f>
        <v>0</v>
      </c>
      <c r="T203">
        <f t="shared" si="15"/>
        <v>0.23958333333333301</v>
      </c>
      <c r="U203">
        <f t="shared" si="16"/>
        <v>0</v>
      </c>
      <c r="V203" s="4" t="str">
        <f t="shared" si="17"/>
        <v>0</v>
      </c>
      <c r="W203" s="4" t="str">
        <f t="shared" si="18"/>
        <v>7</v>
      </c>
      <c r="X203" s="4" t="str">
        <f t="shared" si="19"/>
        <v>0CVCTE7</v>
      </c>
      <c r="Y203">
        <f>VLOOKUP(X203,Sheet1!$J$5:$K$121,2,FALSE)</f>
        <v>0</v>
      </c>
    </row>
    <row r="204" spans="1:25" x14ac:dyDescent="0.25">
      <c r="A204" s="8">
        <f>[1]Data!A204</f>
        <v>533300</v>
      </c>
      <c r="B204" s="8">
        <f>[1]Data!B204</f>
        <v>7</v>
      </c>
      <c r="C204" s="8">
        <f>[1]Data!C204</f>
        <v>0</v>
      </c>
      <c r="D204" s="8">
        <f>[1]Data!D204</f>
        <v>1</v>
      </c>
      <c r="E204" s="8" t="str">
        <f>[1]Data!E204</f>
        <v>CVCTE</v>
      </c>
      <c r="F204" s="8" t="str">
        <f>[1]Data!F204</f>
        <v>Maywood</v>
      </c>
      <c r="G204" s="8">
        <f>[1]Data!G204</f>
        <v>0</v>
      </c>
      <c r="H204" s="8">
        <f>[1]Data!H204</f>
        <v>0</v>
      </c>
      <c r="I204" s="8">
        <f>[1]Data!I204</f>
        <v>5.0949999999999998</v>
      </c>
      <c r="J204" s="8">
        <f>[1]Data!J204</f>
        <v>1.9836996600000001</v>
      </c>
      <c r="K204" s="8">
        <f>[1]Data!K204</f>
        <v>4.9836996600000001</v>
      </c>
      <c r="L204" s="8">
        <f>[1]Data!L204</f>
        <v>0.11117260138240601</v>
      </c>
      <c r="M204" s="8">
        <f>[1]Data!M204</f>
        <v>5.0948722613824096</v>
      </c>
      <c r="N204" s="8">
        <f>[1]Data!N204</f>
        <v>0.23958333333333301</v>
      </c>
      <c r="O204" s="8">
        <f>[1]Data!O204</f>
        <v>0</v>
      </c>
      <c r="P204" s="8">
        <f>[1]Data!P204</f>
        <v>1</v>
      </c>
      <c r="Q204" s="8">
        <f>[1]Data!Q204</f>
        <v>0</v>
      </c>
      <c r="R204" s="8">
        <f>[1]Data!R204</f>
        <v>0</v>
      </c>
      <c r="S204" s="8">
        <f>[1]Data!S204</f>
        <v>0</v>
      </c>
      <c r="T204">
        <f t="shared" si="15"/>
        <v>0.23958333333333301</v>
      </c>
      <c r="U204">
        <f t="shared" si="16"/>
        <v>0</v>
      </c>
      <c r="V204" s="4" t="str">
        <f t="shared" si="17"/>
        <v>0</v>
      </c>
      <c r="W204" s="4" t="str">
        <f t="shared" si="18"/>
        <v>7</v>
      </c>
      <c r="X204" s="4" t="str">
        <f t="shared" si="19"/>
        <v>0CVCTE7</v>
      </c>
      <c r="Y204">
        <f>VLOOKUP(X204,Sheet1!$J$5:$K$121,2,FALSE)</f>
        <v>0</v>
      </c>
    </row>
    <row r="205" spans="1:25" x14ac:dyDescent="0.25">
      <c r="A205" s="8">
        <f>[1]Data!A205</f>
        <v>531901</v>
      </c>
      <c r="B205" s="8">
        <f>[1]Data!B205</f>
        <v>7</v>
      </c>
      <c r="C205" s="8">
        <f>[1]Data!C205</f>
        <v>0</v>
      </c>
      <c r="D205" s="8">
        <f>[1]Data!D205</f>
        <v>1</v>
      </c>
      <c r="E205" s="8" t="str">
        <f>[1]Data!E205</f>
        <v>CVCTE</v>
      </c>
      <c r="F205" s="8" t="str">
        <f>[1]Data!F205</f>
        <v>East Los Angeles</v>
      </c>
      <c r="G205" s="8">
        <f>[1]Data!G205</f>
        <v>1</v>
      </c>
      <c r="H205" s="8">
        <f>[1]Data!H205</f>
        <v>1</v>
      </c>
      <c r="I205" s="8">
        <f>[1]Data!I205</f>
        <v>25.187000000000001</v>
      </c>
      <c r="J205" s="8">
        <f>[1]Data!J205</f>
        <v>22.77956103</v>
      </c>
      <c r="K205" s="8">
        <f>[1]Data!K205</f>
        <v>23.77956103</v>
      </c>
      <c r="L205" s="8">
        <f>[1]Data!L205</f>
        <v>1.40725288441652</v>
      </c>
      <c r="M205" s="8">
        <f>[1]Data!M205</f>
        <v>25.186813914416501</v>
      </c>
      <c r="N205" s="8">
        <f>[1]Data!N205</f>
        <v>0.23958333333333301</v>
      </c>
      <c r="O205" s="8">
        <f>[1]Data!O205</f>
        <v>4.1739130434782599</v>
      </c>
      <c r="P205" s="8">
        <f>[1]Data!P205</f>
        <v>1</v>
      </c>
      <c r="Q205" s="8">
        <f>[1]Data!Q205</f>
        <v>0</v>
      </c>
      <c r="R205" s="8">
        <f>[1]Data!R205</f>
        <v>0</v>
      </c>
      <c r="S205" s="8">
        <f>[1]Data!S205</f>
        <v>0</v>
      </c>
      <c r="T205">
        <f t="shared" si="15"/>
        <v>0.23958333333333301</v>
      </c>
      <c r="U205">
        <f t="shared" si="16"/>
        <v>4.1739130434782661</v>
      </c>
      <c r="V205" s="4" t="str">
        <f t="shared" si="17"/>
        <v>0</v>
      </c>
      <c r="W205" s="4" t="str">
        <f t="shared" si="18"/>
        <v>7</v>
      </c>
      <c r="X205" s="4" t="str">
        <f t="shared" si="19"/>
        <v>0CVCTE7</v>
      </c>
      <c r="Y205">
        <f>VLOOKUP(X205,Sheet1!$J$5:$K$121,2,FALSE)</f>
        <v>0</v>
      </c>
    </row>
    <row r="206" spans="1:25" x14ac:dyDescent="0.25">
      <c r="A206" s="8">
        <f>[1]Data!A206</f>
        <v>554403</v>
      </c>
      <c r="B206" s="8">
        <f>[1]Data!B206</f>
        <v>7</v>
      </c>
      <c r="C206" s="8">
        <f>[1]Data!C206</f>
        <v>0</v>
      </c>
      <c r="D206" s="8">
        <f>[1]Data!D206</f>
        <v>4</v>
      </c>
      <c r="E206" s="8" t="str">
        <f>[1]Data!E206</f>
        <v>CVCTE</v>
      </c>
      <c r="F206" s="8" t="str">
        <f>[1]Data!F206</f>
        <v>Bellflower</v>
      </c>
      <c r="G206" s="8">
        <f>[1]Data!G206</f>
        <v>0</v>
      </c>
      <c r="H206" s="8">
        <f>[1]Data!H206</f>
        <v>0</v>
      </c>
      <c r="I206" s="8">
        <f>[1]Data!I206</f>
        <v>17.568999999999999</v>
      </c>
      <c r="J206" s="8">
        <f>[1]Data!J206</f>
        <v>10.66224719</v>
      </c>
      <c r="K206" s="8">
        <f>[1]Data!K206</f>
        <v>16.662247189999999</v>
      </c>
      <c r="L206" s="8">
        <f>[1]Data!L206</f>
        <v>0.90723105127468595</v>
      </c>
      <c r="M206" s="8">
        <f>[1]Data!M206</f>
        <v>17.569478241274702</v>
      </c>
      <c r="N206" s="8">
        <f>[1]Data!N206</f>
        <v>0.23958333333333301</v>
      </c>
      <c r="O206" s="8">
        <f>[1]Data!O206</f>
        <v>0</v>
      </c>
      <c r="P206" s="8">
        <f>[1]Data!P206</f>
        <v>1</v>
      </c>
      <c r="Q206" s="8">
        <f>[1]Data!Q206</f>
        <v>0</v>
      </c>
      <c r="R206" s="8">
        <f>[1]Data!R206</f>
        <v>0</v>
      </c>
      <c r="S206" s="8">
        <f>[1]Data!S206</f>
        <v>0</v>
      </c>
      <c r="T206">
        <f t="shared" si="15"/>
        <v>0.23958333333333301</v>
      </c>
      <c r="U206">
        <f t="shared" si="16"/>
        <v>0</v>
      </c>
      <c r="V206" s="4" t="str">
        <f t="shared" si="17"/>
        <v>0</v>
      </c>
      <c r="W206" s="4" t="str">
        <f t="shared" si="18"/>
        <v>7</v>
      </c>
      <c r="X206" s="4" t="str">
        <f t="shared" si="19"/>
        <v>0CVCTE7</v>
      </c>
      <c r="Y206">
        <f>VLOOKUP(X206,Sheet1!$J$5:$K$121,2,FALSE)</f>
        <v>0</v>
      </c>
    </row>
    <row r="207" spans="1:25" x14ac:dyDescent="0.25">
      <c r="A207" s="8">
        <f>[1]Data!A207</f>
        <v>533703</v>
      </c>
      <c r="B207" s="8">
        <f>[1]Data!B207</f>
        <v>7</v>
      </c>
      <c r="C207" s="8">
        <f>[1]Data!C207</f>
        <v>0</v>
      </c>
      <c r="D207" s="8">
        <f>[1]Data!D207</f>
        <v>1</v>
      </c>
      <c r="E207" s="8" t="str">
        <f>[1]Data!E207</f>
        <v>CVCTE</v>
      </c>
      <c r="F207" s="8" t="str">
        <f>[1]Data!F207</f>
        <v>Maywood</v>
      </c>
      <c r="G207" s="8">
        <f>[1]Data!G207</f>
        <v>0</v>
      </c>
      <c r="H207" s="8">
        <f>[1]Data!H207</f>
        <v>0</v>
      </c>
      <c r="I207" s="8">
        <f>[1]Data!I207</f>
        <v>0</v>
      </c>
      <c r="J207" s="8">
        <f>[1]Data!J207</f>
        <v>0</v>
      </c>
      <c r="K207" s="8">
        <f>[1]Data!K207</f>
        <v>0</v>
      </c>
      <c r="L207" s="8">
        <f>[1]Data!L207</f>
        <v>0</v>
      </c>
      <c r="M207" s="8">
        <f>[1]Data!M207</f>
        <v>0</v>
      </c>
      <c r="N207" s="8">
        <f>[1]Data!N207</f>
        <v>0.23958333333333301</v>
      </c>
      <c r="O207" s="8">
        <f>[1]Data!O207</f>
        <v>0</v>
      </c>
      <c r="P207" s="8">
        <f>[1]Data!P207</f>
        <v>1</v>
      </c>
      <c r="Q207" s="8">
        <f>[1]Data!Q207</f>
        <v>0</v>
      </c>
      <c r="R207" s="8">
        <f>[1]Data!R207</f>
        <v>0</v>
      </c>
      <c r="S207" s="8">
        <f>[1]Data!S207</f>
        <v>0</v>
      </c>
      <c r="T207">
        <f t="shared" si="15"/>
        <v>0.23958333333333301</v>
      </c>
      <c r="U207">
        <f t="shared" si="16"/>
        <v>0</v>
      </c>
      <c r="V207" s="4" t="str">
        <f t="shared" si="17"/>
        <v>0</v>
      </c>
      <c r="W207" s="4" t="str">
        <f t="shared" si="18"/>
        <v>7</v>
      </c>
      <c r="X207" s="4" t="str">
        <f t="shared" si="19"/>
        <v>0CVCTE7</v>
      </c>
      <c r="Y207">
        <f>VLOOKUP(X207,Sheet1!$J$5:$K$121,2,FALSE)</f>
        <v>0</v>
      </c>
    </row>
    <row r="208" spans="1:25" x14ac:dyDescent="0.25">
      <c r="A208" s="8">
        <f>[1]Data!A208</f>
        <v>533806</v>
      </c>
      <c r="B208" s="8">
        <f>[1]Data!B208</f>
        <v>7</v>
      </c>
      <c r="C208" s="8">
        <f>[1]Data!C208</f>
        <v>0</v>
      </c>
      <c r="D208" s="8">
        <f>[1]Data!D208</f>
        <v>1</v>
      </c>
      <c r="E208" s="8" t="str">
        <f>[1]Data!E208</f>
        <v>CVCTE</v>
      </c>
      <c r="F208" s="8" t="str">
        <f>[1]Data!F208</f>
        <v>Bell</v>
      </c>
      <c r="G208" s="8">
        <f>[1]Data!G208</f>
        <v>0</v>
      </c>
      <c r="H208" s="8">
        <f>[1]Data!H208</f>
        <v>0</v>
      </c>
      <c r="I208" s="8">
        <f>[1]Data!I208</f>
        <v>44.162999999999997</v>
      </c>
      <c r="J208" s="8">
        <f>[1]Data!J208</f>
        <v>30.697933519999999</v>
      </c>
      <c r="K208" s="8">
        <f>[1]Data!K208</f>
        <v>43.697933519999999</v>
      </c>
      <c r="L208" s="8">
        <f>[1]Data!L208</f>
        <v>0.464550509874327</v>
      </c>
      <c r="M208" s="8">
        <f>[1]Data!M208</f>
        <v>44.1624840298743</v>
      </c>
      <c r="N208" s="8">
        <f>[1]Data!N208</f>
        <v>0.23958333333333301</v>
      </c>
      <c r="O208" s="8">
        <f>[1]Data!O208</f>
        <v>0</v>
      </c>
      <c r="P208" s="8">
        <f>[1]Data!P208</f>
        <v>1</v>
      </c>
      <c r="Q208" s="8">
        <f>[1]Data!Q208</f>
        <v>0</v>
      </c>
      <c r="R208" s="8">
        <f>[1]Data!R208</f>
        <v>0</v>
      </c>
      <c r="S208" s="8">
        <f>[1]Data!S208</f>
        <v>0</v>
      </c>
      <c r="T208">
        <f t="shared" si="15"/>
        <v>0.23958333333333301</v>
      </c>
      <c r="U208">
        <f t="shared" si="16"/>
        <v>0</v>
      </c>
      <c r="V208" s="4" t="str">
        <f t="shared" si="17"/>
        <v>0</v>
      </c>
      <c r="W208" s="4" t="str">
        <f t="shared" si="18"/>
        <v>7</v>
      </c>
      <c r="X208" s="4" t="str">
        <f t="shared" si="19"/>
        <v>0CVCTE7</v>
      </c>
      <c r="Y208">
        <f>VLOOKUP(X208,Sheet1!$J$5:$K$121,2,FALSE)</f>
        <v>0</v>
      </c>
    </row>
    <row r="209" spans="1:25" x14ac:dyDescent="0.25">
      <c r="A209" s="8">
        <f>[1]Data!A209</f>
        <v>534101</v>
      </c>
      <c r="B209" s="8">
        <f>[1]Data!B209</f>
        <v>7</v>
      </c>
      <c r="C209" s="8">
        <f>[1]Data!C209</f>
        <v>0</v>
      </c>
      <c r="D209" s="8">
        <f>[1]Data!D209</f>
        <v>1</v>
      </c>
      <c r="E209" s="8" t="str">
        <f>[1]Data!E209</f>
        <v>CVCTE</v>
      </c>
      <c r="F209" s="8" t="str">
        <f>[1]Data!F209</f>
        <v>Bell Gardens</v>
      </c>
      <c r="G209" s="8">
        <f>[1]Data!G209</f>
        <v>0</v>
      </c>
      <c r="H209" s="8">
        <f>[1]Data!H209</f>
        <v>0</v>
      </c>
      <c r="I209" s="8">
        <f>[1]Data!I209</f>
        <v>18.89</v>
      </c>
      <c r="J209" s="8">
        <f>[1]Data!J209</f>
        <v>14.028888630000001</v>
      </c>
      <c r="K209" s="8">
        <f>[1]Data!K209</f>
        <v>18.028888630000001</v>
      </c>
      <c r="L209" s="8">
        <f>[1]Data!L209</f>
        <v>0.86137834728904805</v>
      </c>
      <c r="M209" s="8">
        <f>[1]Data!M209</f>
        <v>18.890266977288999</v>
      </c>
      <c r="N209" s="8">
        <f>[1]Data!N209</f>
        <v>0.23958333333333301</v>
      </c>
      <c r="O209" s="8">
        <f>[1]Data!O209</f>
        <v>0</v>
      </c>
      <c r="P209" s="8">
        <f>[1]Data!P209</f>
        <v>1</v>
      </c>
      <c r="Q209" s="8">
        <f>[1]Data!Q209</f>
        <v>0</v>
      </c>
      <c r="R209" s="8">
        <f>[1]Data!R209</f>
        <v>0</v>
      </c>
      <c r="S209" s="8">
        <f>[1]Data!S209</f>
        <v>0</v>
      </c>
      <c r="T209">
        <f t="shared" si="15"/>
        <v>0.23958333333333301</v>
      </c>
      <c r="U209">
        <f t="shared" si="16"/>
        <v>0</v>
      </c>
      <c r="V209" s="4" t="str">
        <f t="shared" si="17"/>
        <v>0</v>
      </c>
      <c r="W209" s="4" t="str">
        <f t="shared" si="18"/>
        <v>7</v>
      </c>
      <c r="X209" s="4" t="str">
        <f t="shared" si="19"/>
        <v>0CVCTE7</v>
      </c>
      <c r="Y209">
        <f>VLOOKUP(X209,Sheet1!$J$5:$K$121,2,FALSE)</f>
        <v>0</v>
      </c>
    </row>
    <row r="210" spans="1:25" x14ac:dyDescent="0.25">
      <c r="A210" s="8">
        <f>[1]Data!A210</f>
        <v>534201</v>
      </c>
      <c r="B210" s="8">
        <f>[1]Data!B210</f>
        <v>7</v>
      </c>
      <c r="C210" s="8">
        <f>[1]Data!C210</f>
        <v>0</v>
      </c>
      <c r="D210" s="8">
        <f>[1]Data!D210</f>
        <v>1</v>
      </c>
      <c r="E210" s="8" t="str">
        <f>[1]Data!E210</f>
        <v>CVCTE</v>
      </c>
      <c r="F210" s="8" t="str">
        <f>[1]Data!F210</f>
        <v>Bell Gardens</v>
      </c>
      <c r="G210" s="8">
        <f>[1]Data!G210</f>
        <v>0</v>
      </c>
      <c r="H210" s="8">
        <f>[1]Data!H210</f>
        <v>0</v>
      </c>
      <c r="I210" s="8">
        <f>[1]Data!I210</f>
        <v>15.956</v>
      </c>
      <c r="J210" s="8">
        <f>[1]Data!J210</f>
        <v>14.29356445</v>
      </c>
      <c r="K210" s="8">
        <f>[1]Data!K210</f>
        <v>15.29356445</v>
      </c>
      <c r="L210" s="8">
        <f>[1]Data!L210</f>
        <v>0.662110691579892</v>
      </c>
      <c r="M210" s="8">
        <f>[1]Data!M210</f>
        <v>15.955675141579899</v>
      </c>
      <c r="N210" s="8">
        <f>[1]Data!N210</f>
        <v>0.23958333333333301</v>
      </c>
      <c r="O210" s="8">
        <f>[1]Data!O210</f>
        <v>0</v>
      </c>
      <c r="P210" s="8">
        <f>[1]Data!P210</f>
        <v>1</v>
      </c>
      <c r="Q210" s="8">
        <f>[1]Data!Q210</f>
        <v>0</v>
      </c>
      <c r="R210" s="8">
        <f>[1]Data!R210</f>
        <v>0</v>
      </c>
      <c r="S210" s="8">
        <f>[1]Data!S210</f>
        <v>0</v>
      </c>
      <c r="T210">
        <f t="shared" si="15"/>
        <v>0.23958333333333301</v>
      </c>
      <c r="U210">
        <f t="shared" si="16"/>
        <v>0</v>
      </c>
      <c r="V210" s="4" t="str">
        <f t="shared" si="17"/>
        <v>0</v>
      </c>
      <c r="W210" s="4" t="str">
        <f t="shared" si="18"/>
        <v>7</v>
      </c>
      <c r="X210" s="4" t="str">
        <f t="shared" si="19"/>
        <v>0CVCTE7</v>
      </c>
      <c r="Y210">
        <f>VLOOKUP(X210,Sheet1!$J$5:$K$121,2,FALSE)</f>
        <v>0</v>
      </c>
    </row>
    <row r="211" spans="1:25" x14ac:dyDescent="0.25">
      <c r="A211" s="8">
        <f>[1]Data!A211</f>
        <v>534203</v>
      </c>
      <c r="B211" s="8">
        <f>[1]Data!B211</f>
        <v>7</v>
      </c>
      <c r="C211" s="8">
        <f>[1]Data!C211</f>
        <v>0</v>
      </c>
      <c r="D211" s="8">
        <f>[1]Data!D211</f>
        <v>1</v>
      </c>
      <c r="E211" s="8" t="str">
        <f>[1]Data!E211</f>
        <v>CVCTE</v>
      </c>
      <c r="F211" s="8" t="str">
        <f>[1]Data!F211</f>
        <v>Bell Gardens</v>
      </c>
      <c r="G211" s="8">
        <f>[1]Data!G211</f>
        <v>0</v>
      </c>
      <c r="H211" s="8">
        <f>[1]Data!H211</f>
        <v>0</v>
      </c>
      <c r="I211" s="8">
        <f>[1]Data!I211</f>
        <v>15.065</v>
      </c>
      <c r="J211" s="8">
        <f>[1]Data!J211</f>
        <v>11.35769487</v>
      </c>
      <c r="K211" s="8">
        <f>[1]Data!K211</f>
        <v>14.35769487</v>
      </c>
      <c r="L211" s="8">
        <f>[1]Data!L211</f>
        <v>0.70731501305206501</v>
      </c>
      <c r="M211" s="8">
        <f>[1]Data!M211</f>
        <v>15.065009883052101</v>
      </c>
      <c r="N211" s="8">
        <f>[1]Data!N211</f>
        <v>0.23958333333333301</v>
      </c>
      <c r="O211" s="8">
        <f>[1]Data!O211</f>
        <v>0</v>
      </c>
      <c r="P211" s="8">
        <f>[1]Data!P211</f>
        <v>1</v>
      </c>
      <c r="Q211" s="8">
        <f>[1]Data!Q211</f>
        <v>0</v>
      </c>
      <c r="R211" s="8">
        <f>[1]Data!R211</f>
        <v>0</v>
      </c>
      <c r="S211" s="8">
        <f>[1]Data!S211</f>
        <v>0</v>
      </c>
      <c r="T211">
        <f t="shared" si="15"/>
        <v>0.23958333333333301</v>
      </c>
      <c r="U211">
        <f t="shared" si="16"/>
        <v>0</v>
      </c>
      <c r="V211" s="4" t="str">
        <f t="shared" si="17"/>
        <v>0</v>
      </c>
      <c r="W211" s="4" t="str">
        <f t="shared" si="18"/>
        <v>7</v>
      </c>
      <c r="X211" s="4" t="str">
        <f t="shared" si="19"/>
        <v>0CVCTE7</v>
      </c>
      <c r="Y211">
        <f>VLOOKUP(X211,Sheet1!$J$5:$K$121,2,FALSE)</f>
        <v>0</v>
      </c>
    </row>
    <row r="212" spans="1:25" x14ac:dyDescent="0.25">
      <c r="A212" s="8">
        <f>[1]Data!A212</f>
        <v>532002</v>
      </c>
      <c r="B212" s="8">
        <f>[1]Data!B212</f>
        <v>7</v>
      </c>
      <c r="C212" s="8">
        <f>[1]Data!C212</f>
        <v>0</v>
      </c>
      <c r="D212" s="8">
        <f>[1]Data!D212</f>
        <v>1</v>
      </c>
      <c r="E212" s="8" t="str">
        <f>[1]Data!E212</f>
        <v>CVCTE</v>
      </c>
      <c r="F212" s="8" t="str">
        <f>[1]Data!F212</f>
        <v>Montebello</v>
      </c>
      <c r="G212" s="8">
        <f>[1]Data!G212</f>
        <v>1</v>
      </c>
      <c r="H212" s="8">
        <f>[1]Data!H212</f>
        <v>1</v>
      </c>
      <c r="I212" s="8">
        <f>[1]Data!I212</f>
        <v>23.300999999999998</v>
      </c>
      <c r="J212" s="8">
        <f>[1]Data!J212</f>
        <v>21.24074156</v>
      </c>
      <c r="K212" s="8">
        <f>[1]Data!K212</f>
        <v>22.24074156</v>
      </c>
      <c r="L212" s="8">
        <f>[1]Data!L212</f>
        <v>1.05997715371634</v>
      </c>
      <c r="M212" s="8">
        <f>[1]Data!M212</f>
        <v>23.3007187137163</v>
      </c>
      <c r="N212" s="8">
        <f>[1]Data!N212</f>
        <v>0.23958333333333301</v>
      </c>
      <c r="O212" s="8">
        <f>[1]Data!O212</f>
        <v>4.1739130434782599</v>
      </c>
      <c r="P212" s="8">
        <f>[1]Data!P212</f>
        <v>1</v>
      </c>
      <c r="Q212" s="8">
        <f>[1]Data!Q212</f>
        <v>0</v>
      </c>
      <c r="R212" s="8">
        <f>[1]Data!R212</f>
        <v>0</v>
      </c>
      <c r="S212" s="8">
        <f>[1]Data!S212</f>
        <v>0</v>
      </c>
      <c r="T212">
        <f t="shared" si="15"/>
        <v>0.23958333333333301</v>
      </c>
      <c r="U212">
        <f t="shared" si="16"/>
        <v>4.1739130434782661</v>
      </c>
      <c r="V212" s="4" t="str">
        <f t="shared" si="17"/>
        <v>0</v>
      </c>
      <c r="W212" s="4" t="str">
        <f t="shared" si="18"/>
        <v>7</v>
      </c>
      <c r="X212" s="4" t="str">
        <f t="shared" si="19"/>
        <v>0CVCTE7</v>
      </c>
      <c r="Y212">
        <f>VLOOKUP(X212,Sheet1!$J$5:$K$121,2,FALSE)</f>
        <v>0</v>
      </c>
    </row>
    <row r="213" spans="1:25" x14ac:dyDescent="0.25">
      <c r="A213" s="8">
        <f>[1]Data!A213</f>
        <v>531702</v>
      </c>
      <c r="B213" s="8">
        <f>[1]Data!B213</f>
        <v>7</v>
      </c>
      <c r="C213" s="8">
        <f>[1]Data!C213</f>
        <v>0</v>
      </c>
      <c r="D213" s="8">
        <f>[1]Data!D213</f>
        <v>1</v>
      </c>
      <c r="E213" s="8" t="str">
        <f>[1]Data!E213</f>
        <v>CVCTE</v>
      </c>
      <c r="F213" s="8" t="str">
        <f>[1]Data!F213</f>
        <v>East Los Angeles</v>
      </c>
      <c r="G213" s="8">
        <f>[1]Data!G213</f>
        <v>0</v>
      </c>
      <c r="H213" s="8">
        <f>[1]Data!H213</f>
        <v>0</v>
      </c>
      <c r="I213" s="8">
        <f>[1]Data!I213</f>
        <v>51.735999999999997</v>
      </c>
      <c r="J213" s="8">
        <f>[1]Data!J213</f>
        <v>44.707240749999997</v>
      </c>
      <c r="K213" s="8">
        <f>[1]Data!K213</f>
        <v>49.707240749999997</v>
      </c>
      <c r="L213" s="8">
        <f>[1]Data!L213</f>
        <v>2.0281191523159801</v>
      </c>
      <c r="M213" s="8">
        <f>[1]Data!M213</f>
        <v>51.735359902315999</v>
      </c>
      <c r="N213" s="8">
        <f>[1]Data!N213</f>
        <v>0.23958333333333301</v>
      </c>
      <c r="O213" s="8">
        <f>[1]Data!O213</f>
        <v>0</v>
      </c>
      <c r="P213" s="8">
        <f>[1]Data!P213</f>
        <v>1</v>
      </c>
      <c r="Q213" s="8">
        <f>[1]Data!Q213</f>
        <v>0</v>
      </c>
      <c r="R213" s="8">
        <f>[1]Data!R213</f>
        <v>0</v>
      </c>
      <c r="S213" s="8">
        <f>[1]Data!S213</f>
        <v>0</v>
      </c>
      <c r="T213">
        <f t="shared" si="15"/>
        <v>0.23958333333333301</v>
      </c>
      <c r="U213">
        <f t="shared" si="16"/>
        <v>0</v>
      </c>
      <c r="V213" s="4" t="str">
        <f t="shared" si="17"/>
        <v>0</v>
      </c>
      <c r="W213" s="4" t="str">
        <f t="shared" si="18"/>
        <v>7</v>
      </c>
      <c r="X213" s="4" t="str">
        <f t="shared" si="19"/>
        <v>0CVCTE7</v>
      </c>
      <c r="Y213">
        <f>VLOOKUP(X213,Sheet1!$J$5:$K$121,2,FALSE)</f>
        <v>0</v>
      </c>
    </row>
    <row r="214" spans="1:25" x14ac:dyDescent="0.25">
      <c r="A214" s="8">
        <f>[1]Data!A214</f>
        <v>534403</v>
      </c>
      <c r="B214" s="8">
        <f>[1]Data!B214</f>
        <v>7</v>
      </c>
      <c r="C214" s="8">
        <f>[1]Data!C214</f>
        <v>0</v>
      </c>
      <c r="D214" s="8">
        <f>[1]Data!D214</f>
        <v>1</v>
      </c>
      <c r="E214" s="8" t="str">
        <f>[1]Data!E214</f>
        <v>CVCTE</v>
      </c>
      <c r="F214" s="8" t="str">
        <f>[1]Data!F214</f>
        <v>Cudahy</v>
      </c>
      <c r="G214" s="8">
        <f>[1]Data!G214</f>
        <v>1</v>
      </c>
      <c r="H214" s="8">
        <f>[1]Data!H214</f>
        <v>1</v>
      </c>
      <c r="I214" s="8">
        <f>[1]Data!I214</f>
        <v>4.5910000000000002</v>
      </c>
      <c r="J214" s="8">
        <f>[1]Data!J214</f>
        <v>1.43919657</v>
      </c>
      <c r="K214" s="8">
        <f>[1]Data!K214</f>
        <v>4.43919657</v>
      </c>
      <c r="L214" s="8">
        <f>[1]Data!L214</f>
        <v>0.15145200614003601</v>
      </c>
      <c r="M214" s="8">
        <f>[1]Data!M214</f>
        <v>4.5906485761400404</v>
      </c>
      <c r="N214" s="8">
        <f>[1]Data!N214</f>
        <v>0.23958333333333301</v>
      </c>
      <c r="O214" s="8">
        <f>[1]Data!O214</f>
        <v>4.1739130434782599</v>
      </c>
      <c r="P214" s="8">
        <f>[1]Data!P214</f>
        <v>1</v>
      </c>
      <c r="Q214" s="8">
        <f>[1]Data!Q214</f>
        <v>0</v>
      </c>
      <c r="R214" s="8">
        <f>[1]Data!R214</f>
        <v>0</v>
      </c>
      <c r="S214" s="8">
        <f>[1]Data!S214</f>
        <v>0</v>
      </c>
      <c r="T214">
        <f t="shared" si="15"/>
        <v>0.23958333333333301</v>
      </c>
      <c r="U214">
        <f t="shared" si="16"/>
        <v>4.1739130434782661</v>
      </c>
      <c r="V214" s="4" t="str">
        <f t="shared" si="17"/>
        <v>0</v>
      </c>
      <c r="W214" s="4" t="str">
        <f t="shared" si="18"/>
        <v>7</v>
      </c>
      <c r="X214" s="4" t="str">
        <f t="shared" si="19"/>
        <v>0CVCTE7</v>
      </c>
      <c r="Y214">
        <f>VLOOKUP(X214,Sheet1!$J$5:$K$121,2,FALSE)</f>
        <v>0</v>
      </c>
    </row>
    <row r="215" spans="1:25" x14ac:dyDescent="0.25">
      <c r="A215" s="8">
        <f>[1]Data!A215</f>
        <v>531603</v>
      </c>
      <c r="B215" s="8">
        <f>[1]Data!B215</f>
        <v>7</v>
      </c>
      <c r="C215" s="8">
        <f>[1]Data!C215</f>
        <v>0</v>
      </c>
      <c r="D215" s="8">
        <f>[1]Data!D215</f>
        <v>1</v>
      </c>
      <c r="E215" s="8" t="str">
        <f>[1]Data!E215</f>
        <v>CVCTE</v>
      </c>
      <c r="F215" s="8" t="str">
        <f>[1]Data!F215</f>
        <v>East Los Angeles</v>
      </c>
      <c r="G215" s="8">
        <f>[1]Data!G215</f>
        <v>1</v>
      </c>
      <c r="H215" s="8">
        <f>[1]Data!H215</f>
        <v>1</v>
      </c>
      <c r="I215" s="8">
        <f>[1]Data!I215</f>
        <v>16.965</v>
      </c>
      <c r="J215" s="8">
        <f>[1]Data!J215</f>
        <v>16.271072279999998</v>
      </c>
      <c r="K215" s="8">
        <f>[1]Data!K215</f>
        <v>16.271072279999998</v>
      </c>
      <c r="L215" s="8">
        <f>[1]Data!L215</f>
        <v>0.69288358657091598</v>
      </c>
      <c r="M215" s="8">
        <f>[1]Data!M215</f>
        <v>16.963955866570899</v>
      </c>
      <c r="N215" s="8">
        <f>[1]Data!N215</f>
        <v>0.23958333333333301</v>
      </c>
      <c r="O215" s="8">
        <f>[1]Data!O215</f>
        <v>4.1739130434782599</v>
      </c>
      <c r="P215" s="8">
        <f>[1]Data!P215</f>
        <v>1</v>
      </c>
      <c r="Q215" s="8">
        <f>[1]Data!Q215</f>
        <v>0</v>
      </c>
      <c r="R215" s="8">
        <f>[1]Data!R215</f>
        <v>0</v>
      </c>
      <c r="S215" s="8">
        <f>[1]Data!S215</f>
        <v>0</v>
      </c>
      <c r="T215">
        <f t="shared" si="15"/>
        <v>0.23958333333333301</v>
      </c>
      <c r="U215">
        <f t="shared" si="16"/>
        <v>4.1739130434782661</v>
      </c>
      <c r="V215" s="4" t="str">
        <f t="shared" si="17"/>
        <v>0</v>
      </c>
      <c r="W215" s="4" t="str">
        <f t="shared" si="18"/>
        <v>7</v>
      </c>
      <c r="X215" s="4" t="str">
        <f t="shared" si="19"/>
        <v>0CVCTE7</v>
      </c>
      <c r="Y215">
        <f>VLOOKUP(X215,Sheet1!$J$5:$K$121,2,FALSE)</f>
        <v>0</v>
      </c>
    </row>
    <row r="216" spans="1:25" x14ac:dyDescent="0.25">
      <c r="A216" s="8">
        <f>[1]Data!A216</f>
        <v>534406</v>
      </c>
      <c r="B216" s="8">
        <f>[1]Data!B216</f>
        <v>7</v>
      </c>
      <c r="C216" s="8">
        <f>[1]Data!C216</f>
        <v>0</v>
      </c>
      <c r="D216" s="8">
        <f>[1]Data!D216</f>
        <v>1</v>
      </c>
      <c r="E216" s="8" t="str">
        <f>[1]Data!E216</f>
        <v>CVCTE</v>
      </c>
      <c r="F216" s="8" t="str">
        <f>[1]Data!F216</f>
        <v>Cudahy</v>
      </c>
      <c r="G216" s="8">
        <f>[1]Data!G216</f>
        <v>0</v>
      </c>
      <c r="H216" s="8">
        <f>[1]Data!H216</f>
        <v>0</v>
      </c>
      <c r="I216" s="8">
        <f>[1]Data!I216</f>
        <v>5</v>
      </c>
      <c r="J216" s="8">
        <f>[1]Data!J216</f>
        <v>0</v>
      </c>
      <c r="K216" s="8">
        <f>[1]Data!K216</f>
        <v>5</v>
      </c>
      <c r="L216" s="8">
        <f>[1]Data!L216</f>
        <v>0</v>
      </c>
      <c r="M216" s="8">
        <f>[1]Data!M216</f>
        <v>5</v>
      </c>
      <c r="N216" s="8">
        <f>[1]Data!N216</f>
        <v>0.23958333333333301</v>
      </c>
      <c r="O216" s="8">
        <f>[1]Data!O216</f>
        <v>0</v>
      </c>
      <c r="P216" s="8">
        <f>[1]Data!P216</f>
        <v>1</v>
      </c>
      <c r="Q216" s="8">
        <f>[1]Data!Q216</f>
        <v>0</v>
      </c>
      <c r="R216" s="8">
        <f>[1]Data!R216</f>
        <v>0</v>
      </c>
      <c r="S216" s="8">
        <f>[1]Data!S216</f>
        <v>0</v>
      </c>
      <c r="T216">
        <f t="shared" si="15"/>
        <v>0.23958333333333301</v>
      </c>
      <c r="U216">
        <f t="shared" si="16"/>
        <v>0</v>
      </c>
      <c r="V216" s="4" t="str">
        <f t="shared" si="17"/>
        <v>0</v>
      </c>
      <c r="W216" s="4" t="str">
        <f t="shared" si="18"/>
        <v>7</v>
      </c>
      <c r="X216" s="4" t="str">
        <f t="shared" si="19"/>
        <v>0CVCTE7</v>
      </c>
      <c r="Y216">
        <f>VLOOKUP(X216,Sheet1!$J$5:$K$121,2,FALSE)</f>
        <v>0</v>
      </c>
    </row>
    <row r="217" spans="1:25" x14ac:dyDescent="0.25">
      <c r="A217" s="8">
        <f>[1]Data!A217</f>
        <v>535501</v>
      </c>
      <c r="B217" s="8">
        <f>[1]Data!B217</f>
        <v>7</v>
      </c>
      <c r="C217" s="8">
        <f>[1]Data!C217</f>
        <v>0</v>
      </c>
      <c r="D217" s="8">
        <f>[1]Data!D217</f>
        <v>1</v>
      </c>
      <c r="E217" s="8" t="str">
        <f>[1]Data!E217</f>
        <v>CVCTE</v>
      </c>
      <c r="F217" s="8" t="str">
        <f>[1]Data!F217</f>
        <v>South Gate</v>
      </c>
      <c r="G217" s="8">
        <f>[1]Data!G217</f>
        <v>0</v>
      </c>
      <c r="H217" s="8">
        <f>[1]Data!H217</f>
        <v>0</v>
      </c>
      <c r="I217" s="8">
        <f>[1]Data!I217</f>
        <v>18.056999999999999</v>
      </c>
      <c r="J217" s="8">
        <f>[1]Data!J217</f>
        <v>10.268688689999999</v>
      </c>
      <c r="K217" s="8">
        <f>[1]Data!K217</f>
        <v>17.268688690000001</v>
      </c>
      <c r="L217" s="8">
        <f>[1]Data!L217</f>
        <v>0.78787382256732497</v>
      </c>
      <c r="M217" s="8">
        <f>[1]Data!M217</f>
        <v>18.0565625125673</v>
      </c>
      <c r="N217" s="8">
        <f>[1]Data!N217</f>
        <v>0.23958333333333301</v>
      </c>
      <c r="O217" s="8">
        <f>[1]Data!O217</f>
        <v>0</v>
      </c>
      <c r="P217" s="8">
        <f>[1]Data!P217</f>
        <v>1</v>
      </c>
      <c r="Q217" s="8">
        <f>[1]Data!Q217</f>
        <v>0</v>
      </c>
      <c r="R217" s="8">
        <f>[1]Data!R217</f>
        <v>0</v>
      </c>
      <c r="S217" s="8">
        <f>[1]Data!S217</f>
        <v>0</v>
      </c>
      <c r="T217">
        <f t="shared" si="15"/>
        <v>0.23958333333333301</v>
      </c>
      <c r="U217">
        <f t="shared" si="16"/>
        <v>0</v>
      </c>
      <c r="V217" s="4" t="str">
        <f t="shared" si="17"/>
        <v>0</v>
      </c>
      <c r="W217" s="4" t="str">
        <f t="shared" si="18"/>
        <v>7</v>
      </c>
      <c r="X217" s="4" t="str">
        <f t="shared" si="19"/>
        <v>0CVCTE7</v>
      </c>
      <c r="Y217">
        <f>VLOOKUP(X217,Sheet1!$J$5:$K$121,2,FALSE)</f>
        <v>0</v>
      </c>
    </row>
    <row r="218" spans="1:25" x14ac:dyDescent="0.25">
      <c r="A218" s="8">
        <f>[1]Data!A218</f>
        <v>531502</v>
      </c>
      <c r="B218" s="8">
        <f>[1]Data!B218</f>
        <v>7</v>
      </c>
      <c r="C218" s="8">
        <f>[1]Data!C218</f>
        <v>0</v>
      </c>
      <c r="D218" s="8">
        <f>[1]Data!D218</f>
        <v>1</v>
      </c>
      <c r="E218" s="8" t="str">
        <f>[1]Data!E218</f>
        <v>CVCTE</v>
      </c>
      <c r="F218" s="8" t="str">
        <f>[1]Data!F218</f>
        <v>East Los Angeles</v>
      </c>
      <c r="G218" s="8">
        <f>[1]Data!G218</f>
        <v>0</v>
      </c>
      <c r="H218" s="8">
        <f>[1]Data!H218</f>
        <v>0</v>
      </c>
      <c r="I218" s="8">
        <f>[1]Data!I218</f>
        <v>12.446999999999999</v>
      </c>
      <c r="J218" s="8">
        <f>[1]Data!J218</f>
        <v>11.139742439999999</v>
      </c>
      <c r="K218" s="8">
        <f>[1]Data!K218</f>
        <v>12.139742439999999</v>
      </c>
      <c r="L218" s="8">
        <f>[1]Data!L218</f>
        <v>0.30657971044883298</v>
      </c>
      <c r="M218" s="8">
        <f>[1]Data!M218</f>
        <v>12.4463221504488</v>
      </c>
      <c r="N218" s="8">
        <f>[1]Data!N218</f>
        <v>0.23958333333333301</v>
      </c>
      <c r="O218" s="8">
        <f>[1]Data!O218</f>
        <v>0</v>
      </c>
      <c r="P218" s="8">
        <f>[1]Data!P218</f>
        <v>1</v>
      </c>
      <c r="Q218" s="8">
        <f>[1]Data!Q218</f>
        <v>0</v>
      </c>
      <c r="R218" s="8">
        <f>[1]Data!R218</f>
        <v>0</v>
      </c>
      <c r="S218" s="8">
        <f>[1]Data!S218</f>
        <v>0</v>
      </c>
      <c r="T218">
        <f t="shared" si="15"/>
        <v>0.23958333333333301</v>
      </c>
      <c r="U218">
        <f t="shared" si="16"/>
        <v>0</v>
      </c>
      <c r="V218" s="4" t="str">
        <f t="shared" si="17"/>
        <v>0</v>
      </c>
      <c r="W218" s="4" t="str">
        <f t="shared" si="18"/>
        <v>7</v>
      </c>
      <c r="X218" s="4" t="str">
        <f t="shared" si="19"/>
        <v>0CVCTE7</v>
      </c>
      <c r="Y218">
        <f>VLOOKUP(X218,Sheet1!$J$5:$K$121,2,FALSE)</f>
        <v>0</v>
      </c>
    </row>
    <row r="219" spans="1:25" x14ac:dyDescent="0.25">
      <c r="A219" s="8">
        <f>[1]Data!A219</f>
        <v>535502</v>
      </c>
      <c r="B219" s="8">
        <f>[1]Data!B219</f>
        <v>7</v>
      </c>
      <c r="C219" s="8">
        <f>[1]Data!C219</f>
        <v>0</v>
      </c>
      <c r="D219" s="8">
        <f>[1]Data!D219</f>
        <v>1</v>
      </c>
      <c r="E219" s="8" t="str">
        <f>[1]Data!E219</f>
        <v>CVCTE</v>
      </c>
      <c r="F219" s="8" t="str">
        <f>[1]Data!F219</f>
        <v>South Gate</v>
      </c>
      <c r="G219" s="8">
        <f>[1]Data!G219</f>
        <v>1</v>
      </c>
      <c r="H219" s="8">
        <f>[1]Data!H219</f>
        <v>1</v>
      </c>
      <c r="I219" s="8">
        <f>[1]Data!I219</f>
        <v>18.481000000000002</v>
      </c>
      <c r="J219" s="8">
        <f>[1]Data!J219</f>
        <v>15.468085200000001</v>
      </c>
      <c r="K219" s="8">
        <f>[1]Data!K219</f>
        <v>17.468085200000001</v>
      </c>
      <c r="L219" s="8">
        <f>[1]Data!L219</f>
        <v>1.0128303534290799</v>
      </c>
      <c r="M219" s="8">
        <f>[1]Data!M219</f>
        <v>18.480915553429099</v>
      </c>
      <c r="N219" s="8">
        <f>[1]Data!N219</f>
        <v>0.23958333333333301</v>
      </c>
      <c r="O219" s="8">
        <f>[1]Data!O219</f>
        <v>4.1739130434782599</v>
      </c>
      <c r="P219" s="8">
        <f>[1]Data!P219</f>
        <v>1</v>
      </c>
      <c r="Q219" s="8">
        <f>[1]Data!Q219</f>
        <v>0</v>
      </c>
      <c r="R219" s="8">
        <f>[1]Data!R219</f>
        <v>0</v>
      </c>
      <c r="S219" s="8">
        <f>[1]Data!S219</f>
        <v>0</v>
      </c>
      <c r="T219">
        <f t="shared" si="15"/>
        <v>0.23958333333333301</v>
      </c>
      <c r="U219">
        <f t="shared" si="16"/>
        <v>4.1739130434782661</v>
      </c>
      <c r="V219" s="4" t="str">
        <f t="shared" si="17"/>
        <v>0</v>
      </c>
      <c r="W219" s="4" t="str">
        <f t="shared" si="18"/>
        <v>7</v>
      </c>
      <c r="X219" s="4" t="str">
        <f t="shared" si="19"/>
        <v>0CVCTE7</v>
      </c>
      <c r="Y219">
        <f>VLOOKUP(X219,Sheet1!$J$5:$K$121,2,FALSE)</f>
        <v>0</v>
      </c>
    </row>
    <row r="220" spans="1:25" x14ac:dyDescent="0.25">
      <c r="A220" s="8">
        <f>[1]Data!A220</f>
        <v>536102</v>
      </c>
      <c r="B220" s="8">
        <f>[1]Data!B220</f>
        <v>7</v>
      </c>
      <c r="C220" s="8">
        <f>[1]Data!C220</f>
        <v>0</v>
      </c>
      <c r="D220" s="8">
        <f>[1]Data!D220</f>
        <v>1</v>
      </c>
      <c r="E220" s="8" t="str">
        <f>[1]Data!E220</f>
        <v>CVCTE</v>
      </c>
      <c r="F220" s="8" t="str">
        <f>[1]Data!F220</f>
        <v>South Gate</v>
      </c>
      <c r="G220" s="8">
        <f>[1]Data!G220</f>
        <v>1</v>
      </c>
      <c r="H220" s="8">
        <f>[1]Data!H220</f>
        <v>1</v>
      </c>
      <c r="I220" s="8">
        <f>[1]Data!I220</f>
        <v>21.209</v>
      </c>
      <c r="J220" s="8">
        <f>[1]Data!J220</f>
        <v>15.835723359999999</v>
      </c>
      <c r="K220" s="8">
        <f>[1]Data!K220</f>
        <v>20.835723359999999</v>
      </c>
      <c r="L220" s="8">
        <f>[1]Data!L220</f>
        <v>0.37341460003590699</v>
      </c>
      <c r="M220" s="8">
        <f>[1]Data!M220</f>
        <v>21.2091379600359</v>
      </c>
      <c r="N220" s="8">
        <f>[1]Data!N220</f>
        <v>0.23958333333333301</v>
      </c>
      <c r="O220" s="8">
        <f>[1]Data!O220</f>
        <v>4.1739130434782599</v>
      </c>
      <c r="P220" s="8">
        <f>[1]Data!P220</f>
        <v>1</v>
      </c>
      <c r="Q220" s="8">
        <f>[1]Data!Q220</f>
        <v>0</v>
      </c>
      <c r="R220" s="8">
        <f>[1]Data!R220</f>
        <v>0</v>
      </c>
      <c r="S220" s="8">
        <f>[1]Data!S220</f>
        <v>0</v>
      </c>
      <c r="T220">
        <f t="shared" si="15"/>
        <v>0.23958333333333301</v>
      </c>
      <c r="U220">
        <f t="shared" si="16"/>
        <v>4.1739130434782661</v>
      </c>
      <c r="V220" s="4" t="str">
        <f t="shared" si="17"/>
        <v>0</v>
      </c>
      <c r="W220" s="4" t="str">
        <f t="shared" si="18"/>
        <v>7</v>
      </c>
      <c r="X220" s="4" t="str">
        <f t="shared" si="19"/>
        <v>0CVCTE7</v>
      </c>
      <c r="Y220">
        <f>VLOOKUP(X220,Sheet1!$J$5:$K$121,2,FALSE)</f>
        <v>0</v>
      </c>
    </row>
    <row r="221" spans="1:25" x14ac:dyDescent="0.25">
      <c r="A221" s="8">
        <f>[1]Data!A221</f>
        <v>531202</v>
      </c>
      <c r="B221" s="8">
        <f>[1]Data!B221</f>
        <v>7</v>
      </c>
      <c r="C221" s="8">
        <f>[1]Data!C221</f>
        <v>0</v>
      </c>
      <c r="D221" s="8">
        <f>[1]Data!D221</f>
        <v>1</v>
      </c>
      <c r="E221" s="8" t="str">
        <f>[1]Data!E221</f>
        <v>CVCTE</v>
      </c>
      <c r="F221" s="8" t="str">
        <f>[1]Data!F221</f>
        <v>East Los Angeles</v>
      </c>
      <c r="G221" s="8">
        <f>[1]Data!G221</f>
        <v>0</v>
      </c>
      <c r="H221" s="8">
        <f>[1]Data!H221</f>
        <v>0</v>
      </c>
      <c r="I221" s="8">
        <f>[1]Data!I221</f>
        <v>20.443999999999999</v>
      </c>
      <c r="J221" s="8">
        <f>[1]Data!J221</f>
        <v>16.840273929999999</v>
      </c>
      <c r="K221" s="8">
        <f>[1]Data!K221</f>
        <v>19.840273929999999</v>
      </c>
      <c r="L221" s="8">
        <f>[1]Data!L221</f>
        <v>0.60391042350089796</v>
      </c>
      <c r="M221" s="8">
        <f>[1]Data!M221</f>
        <v>20.444184353500901</v>
      </c>
      <c r="N221" s="8">
        <f>[1]Data!N221</f>
        <v>0.23958333333333301</v>
      </c>
      <c r="O221" s="8">
        <f>[1]Data!O221</f>
        <v>0</v>
      </c>
      <c r="P221" s="8">
        <f>[1]Data!P221</f>
        <v>1</v>
      </c>
      <c r="Q221" s="8">
        <f>[1]Data!Q221</f>
        <v>0</v>
      </c>
      <c r="R221" s="8">
        <f>[1]Data!R221</f>
        <v>0</v>
      </c>
      <c r="S221" s="8">
        <f>[1]Data!S221</f>
        <v>0</v>
      </c>
      <c r="T221">
        <f t="shared" si="15"/>
        <v>0.23958333333333301</v>
      </c>
      <c r="U221">
        <f t="shared" si="16"/>
        <v>0</v>
      </c>
      <c r="V221" s="4" t="str">
        <f t="shared" si="17"/>
        <v>0</v>
      </c>
      <c r="W221" s="4" t="str">
        <f t="shared" si="18"/>
        <v>7</v>
      </c>
      <c r="X221" s="4" t="str">
        <f t="shared" si="19"/>
        <v>0CVCTE7</v>
      </c>
      <c r="Y221">
        <f>VLOOKUP(X221,Sheet1!$J$5:$K$121,2,FALSE)</f>
        <v>0</v>
      </c>
    </row>
    <row r="222" spans="1:25" x14ac:dyDescent="0.25">
      <c r="A222" s="8">
        <f>[1]Data!A222</f>
        <v>536103</v>
      </c>
      <c r="B222" s="8">
        <f>[1]Data!B222</f>
        <v>7</v>
      </c>
      <c r="C222" s="8">
        <f>[1]Data!C222</f>
        <v>0</v>
      </c>
      <c r="D222" s="8">
        <f>[1]Data!D222</f>
        <v>1</v>
      </c>
      <c r="E222" s="8" t="str">
        <f>[1]Data!E222</f>
        <v>CVCTE</v>
      </c>
      <c r="F222" s="8" t="str">
        <f>[1]Data!F222</f>
        <v>South Gate</v>
      </c>
      <c r="G222" s="8">
        <f>[1]Data!G222</f>
        <v>0</v>
      </c>
      <c r="H222" s="8">
        <f>[1]Data!H222</f>
        <v>0</v>
      </c>
      <c r="I222" s="8">
        <f>[1]Data!I222</f>
        <v>21.193999999999999</v>
      </c>
      <c r="J222" s="8">
        <f>[1]Data!J222</f>
        <v>19.364581300000001</v>
      </c>
      <c r="K222" s="8">
        <f>[1]Data!K222</f>
        <v>20.364581300000001</v>
      </c>
      <c r="L222" s="8">
        <f>[1]Data!L222</f>
        <v>0.82877382369838404</v>
      </c>
      <c r="M222" s="8">
        <f>[1]Data!M222</f>
        <v>21.193355123698399</v>
      </c>
      <c r="N222" s="8">
        <f>[1]Data!N222</f>
        <v>0.23958333333333301</v>
      </c>
      <c r="O222" s="8">
        <f>[1]Data!O222</f>
        <v>0</v>
      </c>
      <c r="P222" s="8">
        <f>[1]Data!P222</f>
        <v>1</v>
      </c>
      <c r="Q222" s="8">
        <f>[1]Data!Q222</f>
        <v>0</v>
      </c>
      <c r="R222" s="8">
        <f>[1]Data!R222</f>
        <v>0</v>
      </c>
      <c r="S222" s="8">
        <f>[1]Data!S222</f>
        <v>0</v>
      </c>
      <c r="T222">
        <f t="shared" si="15"/>
        <v>0.23958333333333301</v>
      </c>
      <c r="U222">
        <f t="shared" si="16"/>
        <v>0</v>
      </c>
      <c r="V222" s="4" t="str">
        <f t="shared" si="17"/>
        <v>0</v>
      </c>
      <c r="W222" s="4" t="str">
        <f t="shared" si="18"/>
        <v>7</v>
      </c>
      <c r="X222" s="4" t="str">
        <f t="shared" si="19"/>
        <v>0CVCTE7</v>
      </c>
      <c r="Y222">
        <f>VLOOKUP(X222,Sheet1!$J$5:$K$121,2,FALSE)</f>
        <v>0</v>
      </c>
    </row>
    <row r="223" spans="1:25" x14ac:dyDescent="0.25">
      <c r="A223" s="8">
        <f>[1]Data!A223</f>
        <v>536200</v>
      </c>
      <c r="B223" s="8">
        <f>[1]Data!B223</f>
        <v>7</v>
      </c>
      <c r="C223" s="8">
        <f>[1]Data!C223</f>
        <v>0</v>
      </c>
      <c r="D223" s="8">
        <f>[1]Data!D223</f>
        <v>1</v>
      </c>
      <c r="E223" s="8" t="str">
        <f>[1]Data!E223</f>
        <v>CVCTE</v>
      </c>
      <c r="F223" s="8" t="str">
        <f>[1]Data!F223</f>
        <v>South Gate</v>
      </c>
      <c r="G223" s="8">
        <f>[1]Data!G223</f>
        <v>1</v>
      </c>
      <c r="H223" s="8">
        <f>[1]Data!H223</f>
        <v>1</v>
      </c>
      <c r="I223" s="8">
        <f>[1]Data!I223</f>
        <v>17.853999999999999</v>
      </c>
      <c r="J223" s="8">
        <f>[1]Data!J223</f>
        <v>16.61334617</v>
      </c>
      <c r="K223" s="8">
        <f>[1]Data!K223</f>
        <v>16.61334617</v>
      </c>
      <c r="L223" s="8">
        <f>[1]Data!L223</f>
        <v>1.2407488554218999</v>
      </c>
      <c r="M223" s="8">
        <f>[1]Data!M223</f>
        <v>17.854095025421898</v>
      </c>
      <c r="N223" s="8">
        <f>[1]Data!N223</f>
        <v>0.23958333333333301</v>
      </c>
      <c r="O223" s="8">
        <f>[1]Data!O223</f>
        <v>4.1739130434782599</v>
      </c>
      <c r="P223" s="8">
        <f>[1]Data!P223</f>
        <v>1</v>
      </c>
      <c r="Q223" s="8">
        <f>[1]Data!Q223</f>
        <v>0</v>
      </c>
      <c r="R223" s="8">
        <f>[1]Data!R223</f>
        <v>0</v>
      </c>
      <c r="S223" s="8">
        <f>[1]Data!S223</f>
        <v>0</v>
      </c>
      <c r="T223">
        <f t="shared" si="15"/>
        <v>0.23958333333333301</v>
      </c>
      <c r="U223">
        <f t="shared" si="16"/>
        <v>4.1739130434782661</v>
      </c>
      <c r="V223" s="4" t="str">
        <f t="shared" si="17"/>
        <v>0</v>
      </c>
      <c r="W223" s="4" t="str">
        <f t="shared" si="18"/>
        <v>7</v>
      </c>
      <c r="X223" s="4" t="str">
        <f t="shared" si="19"/>
        <v>0CVCTE7</v>
      </c>
      <c r="Y223">
        <f>VLOOKUP(X223,Sheet1!$J$5:$K$121,2,FALSE)</f>
        <v>0</v>
      </c>
    </row>
    <row r="224" spans="1:25" x14ac:dyDescent="0.25">
      <c r="A224" s="8">
        <f>[1]Data!A224</f>
        <v>550100</v>
      </c>
      <c r="B224" s="8">
        <f>[1]Data!B224</f>
        <v>7</v>
      </c>
      <c r="C224" s="8">
        <f>[1]Data!C224</f>
        <v>0</v>
      </c>
      <c r="D224" s="8">
        <f>[1]Data!D224</f>
        <v>4</v>
      </c>
      <c r="E224" s="8" t="str">
        <f>[1]Data!E224</f>
        <v>CVCTE</v>
      </c>
      <c r="F224" s="8" t="str">
        <f>[1]Data!F224</f>
        <v>Norwalk</v>
      </c>
      <c r="G224" s="8">
        <f>[1]Data!G224</f>
        <v>0</v>
      </c>
      <c r="H224" s="8">
        <f>[1]Data!H224</f>
        <v>0</v>
      </c>
      <c r="I224" s="8">
        <f>[1]Data!I224</f>
        <v>21.219000000000001</v>
      </c>
      <c r="J224" s="8">
        <f>[1]Data!J224</f>
        <v>10.96359627</v>
      </c>
      <c r="K224" s="8">
        <f>[1]Data!K224</f>
        <v>20.96359627</v>
      </c>
      <c r="L224" s="8">
        <f>[1]Data!L224</f>
        <v>0.25457861655296199</v>
      </c>
      <c r="M224" s="8">
        <f>[1]Data!M224</f>
        <v>21.218174886553001</v>
      </c>
      <c r="N224" s="8">
        <f>[1]Data!N224</f>
        <v>0.23958333333333301</v>
      </c>
      <c r="O224" s="8">
        <f>[1]Data!O224</f>
        <v>0</v>
      </c>
      <c r="P224" s="8">
        <f>[1]Data!P224</f>
        <v>1</v>
      </c>
      <c r="Q224" s="8">
        <f>[1]Data!Q224</f>
        <v>0</v>
      </c>
      <c r="R224" s="8">
        <f>[1]Data!R224</f>
        <v>0</v>
      </c>
      <c r="S224" s="8">
        <f>[1]Data!S224</f>
        <v>0</v>
      </c>
      <c r="T224">
        <f t="shared" si="15"/>
        <v>0.23958333333333301</v>
      </c>
      <c r="U224">
        <f t="shared" si="16"/>
        <v>0</v>
      </c>
      <c r="V224" s="4" t="str">
        <f t="shared" si="17"/>
        <v>0</v>
      </c>
      <c r="W224" s="4" t="str">
        <f t="shared" si="18"/>
        <v>7</v>
      </c>
      <c r="X224" s="4" t="str">
        <f t="shared" si="19"/>
        <v>0CVCTE7</v>
      </c>
      <c r="Y224">
        <f>VLOOKUP(X224,Sheet1!$J$5:$K$121,2,FALSE)</f>
        <v>0</v>
      </c>
    </row>
    <row r="225" spans="1:25" x14ac:dyDescent="0.25">
      <c r="A225" s="8">
        <f>[1]Data!A225</f>
        <v>550202</v>
      </c>
      <c r="B225" s="8">
        <f>[1]Data!B225</f>
        <v>7</v>
      </c>
      <c r="C225" s="8">
        <f>[1]Data!C225</f>
        <v>0</v>
      </c>
      <c r="D225" s="8">
        <f>[1]Data!D225</f>
        <v>4</v>
      </c>
      <c r="E225" s="8" t="str">
        <f>[1]Data!E225</f>
        <v>CVCTE</v>
      </c>
      <c r="F225" s="8" t="str">
        <f>[1]Data!F225</f>
        <v>Norwalk</v>
      </c>
      <c r="G225" s="8">
        <f>[1]Data!G225</f>
        <v>0</v>
      </c>
      <c r="H225" s="8">
        <f>[1]Data!H225</f>
        <v>0</v>
      </c>
      <c r="I225" s="8">
        <f>[1]Data!I225</f>
        <v>5.3250000000000002</v>
      </c>
      <c r="J225" s="8">
        <f>[1]Data!J225</f>
        <v>5.07720868</v>
      </c>
      <c r="K225" s="8">
        <f>[1]Data!K225</f>
        <v>5.07720868</v>
      </c>
      <c r="L225" s="8">
        <f>[1]Data!L225</f>
        <v>0.24706283850987401</v>
      </c>
      <c r="M225" s="8">
        <f>[1]Data!M225</f>
        <v>5.3242715185098701</v>
      </c>
      <c r="N225" s="8">
        <f>[1]Data!N225</f>
        <v>0.23958333333333301</v>
      </c>
      <c r="O225" s="8">
        <f>[1]Data!O225</f>
        <v>0</v>
      </c>
      <c r="P225" s="8">
        <f>[1]Data!P225</f>
        <v>1</v>
      </c>
      <c r="Q225" s="8">
        <f>[1]Data!Q225</f>
        <v>0</v>
      </c>
      <c r="R225" s="8">
        <f>[1]Data!R225</f>
        <v>0</v>
      </c>
      <c r="S225" s="8">
        <f>[1]Data!S225</f>
        <v>0</v>
      </c>
      <c r="T225">
        <f t="shared" si="15"/>
        <v>0.23958333333333301</v>
      </c>
      <c r="U225">
        <f t="shared" si="16"/>
        <v>0</v>
      </c>
      <c r="V225" s="4" t="str">
        <f t="shared" si="17"/>
        <v>0</v>
      </c>
      <c r="W225" s="4" t="str">
        <f t="shared" si="18"/>
        <v>7</v>
      </c>
      <c r="X225" s="4" t="str">
        <f t="shared" si="19"/>
        <v>0CVCTE7</v>
      </c>
      <c r="Y225">
        <f>VLOOKUP(X225,Sheet1!$J$5:$K$121,2,FALSE)</f>
        <v>0</v>
      </c>
    </row>
    <row r="226" spans="1:25" x14ac:dyDescent="0.25">
      <c r="A226" s="8">
        <f>[1]Data!A226</f>
        <v>550400</v>
      </c>
      <c r="B226" s="8">
        <f>[1]Data!B226</f>
        <v>7</v>
      </c>
      <c r="C226" s="8">
        <f>[1]Data!C226</f>
        <v>0</v>
      </c>
      <c r="D226" s="8">
        <f>[1]Data!D226</f>
        <v>4</v>
      </c>
      <c r="E226" s="8" t="str">
        <f>[1]Data!E226</f>
        <v>CVCTE</v>
      </c>
      <c r="F226" s="8" t="str">
        <f>[1]Data!F226</f>
        <v>Downey</v>
      </c>
      <c r="G226" s="8">
        <f>[1]Data!G226</f>
        <v>1</v>
      </c>
      <c r="H226" s="8">
        <f>[1]Data!H226</f>
        <v>1</v>
      </c>
      <c r="I226" s="8">
        <f>[1]Data!I226</f>
        <v>20.927</v>
      </c>
      <c r="J226" s="8">
        <f>[1]Data!J226</f>
        <v>18.2805453</v>
      </c>
      <c r="K226" s="8">
        <f>[1]Data!K226</f>
        <v>19.2805453</v>
      </c>
      <c r="L226" s="8">
        <f>[1]Data!L226</f>
        <v>1.64631798486535</v>
      </c>
      <c r="M226" s="8">
        <f>[1]Data!M226</f>
        <v>20.926863284865401</v>
      </c>
      <c r="N226" s="8">
        <f>[1]Data!N226</f>
        <v>0.23958333333333301</v>
      </c>
      <c r="O226" s="8">
        <f>[1]Data!O226</f>
        <v>4.1739130434782599</v>
      </c>
      <c r="P226" s="8">
        <f>[1]Data!P226</f>
        <v>1</v>
      </c>
      <c r="Q226" s="8">
        <f>[1]Data!Q226</f>
        <v>0</v>
      </c>
      <c r="R226" s="8">
        <f>[1]Data!R226</f>
        <v>0</v>
      </c>
      <c r="S226" s="8">
        <f>[1]Data!S226</f>
        <v>0</v>
      </c>
      <c r="T226">
        <f t="shared" si="15"/>
        <v>0.23958333333333301</v>
      </c>
      <c r="U226">
        <f t="shared" si="16"/>
        <v>4.1739130434782661</v>
      </c>
      <c r="V226" s="4" t="str">
        <f t="shared" si="17"/>
        <v>0</v>
      </c>
      <c r="W226" s="4" t="str">
        <f t="shared" si="18"/>
        <v>7</v>
      </c>
      <c r="X226" s="4" t="str">
        <f t="shared" si="19"/>
        <v>0CVCTE7</v>
      </c>
      <c r="Y226">
        <f>VLOOKUP(X226,Sheet1!$J$5:$K$121,2,FALSE)</f>
        <v>0</v>
      </c>
    </row>
    <row r="227" spans="1:25" x14ac:dyDescent="0.25">
      <c r="A227" s="8">
        <f>[1]Data!A227</f>
        <v>550500</v>
      </c>
      <c r="B227" s="8">
        <f>[1]Data!B227</f>
        <v>7</v>
      </c>
      <c r="C227" s="8">
        <f>[1]Data!C227</f>
        <v>0</v>
      </c>
      <c r="D227" s="8">
        <f>[1]Data!D227</f>
        <v>4</v>
      </c>
      <c r="E227" s="8" t="str">
        <f>[1]Data!E227</f>
        <v>CVCTE</v>
      </c>
      <c r="F227" s="8" t="str">
        <f>[1]Data!F227</f>
        <v>Downey</v>
      </c>
      <c r="G227" s="8">
        <f>[1]Data!G227</f>
        <v>0</v>
      </c>
      <c r="H227" s="8">
        <f>[1]Data!H227</f>
        <v>0</v>
      </c>
      <c r="I227" s="8">
        <f>[1]Data!I227</f>
        <v>25.657</v>
      </c>
      <c r="J227" s="8">
        <f>[1]Data!J227</f>
        <v>20.39908776</v>
      </c>
      <c r="K227" s="8">
        <f>[1]Data!K227</f>
        <v>25.39908776</v>
      </c>
      <c r="L227" s="8">
        <f>[1]Data!L227</f>
        <v>0.25703657143626601</v>
      </c>
      <c r="M227" s="8">
        <f>[1]Data!M227</f>
        <v>25.656124331436299</v>
      </c>
      <c r="N227" s="8">
        <f>[1]Data!N227</f>
        <v>0.23958333333333301</v>
      </c>
      <c r="O227" s="8">
        <f>[1]Data!O227</f>
        <v>0</v>
      </c>
      <c r="P227" s="8">
        <f>[1]Data!P227</f>
        <v>1</v>
      </c>
      <c r="Q227" s="8">
        <f>[1]Data!Q227</f>
        <v>0</v>
      </c>
      <c r="R227" s="8">
        <f>[1]Data!R227</f>
        <v>0</v>
      </c>
      <c r="S227" s="8">
        <f>[1]Data!S227</f>
        <v>0</v>
      </c>
      <c r="T227">
        <f t="shared" si="15"/>
        <v>0.23958333333333301</v>
      </c>
      <c r="U227">
        <f t="shared" si="16"/>
        <v>0</v>
      </c>
      <c r="V227" s="4" t="str">
        <f t="shared" si="17"/>
        <v>0</v>
      </c>
      <c r="W227" s="4" t="str">
        <f t="shared" si="18"/>
        <v>7</v>
      </c>
      <c r="X227" s="4" t="str">
        <f t="shared" si="19"/>
        <v>0CVCTE7</v>
      </c>
      <c r="Y227">
        <f>VLOOKUP(X227,Sheet1!$J$5:$K$121,2,FALSE)</f>
        <v>0</v>
      </c>
    </row>
    <row r="228" spans="1:25" x14ac:dyDescent="0.25">
      <c r="A228" s="8">
        <f>[1]Data!A228</f>
        <v>550700</v>
      </c>
      <c r="B228" s="8">
        <f>[1]Data!B228</f>
        <v>7</v>
      </c>
      <c r="C228" s="8">
        <f>[1]Data!C228</f>
        <v>0</v>
      </c>
      <c r="D228" s="8">
        <f>[1]Data!D228</f>
        <v>4</v>
      </c>
      <c r="E228" s="8" t="str">
        <f>[1]Data!E228</f>
        <v>CVCTE</v>
      </c>
      <c r="F228" s="8" t="str">
        <f>[1]Data!F228</f>
        <v>Downey</v>
      </c>
      <c r="G228" s="8">
        <f>[1]Data!G228</f>
        <v>1</v>
      </c>
      <c r="H228" s="8">
        <f>[1]Data!H228</f>
        <v>1</v>
      </c>
      <c r="I228" s="8">
        <f>[1]Data!I228</f>
        <v>14.218999999999999</v>
      </c>
      <c r="J228" s="8">
        <f>[1]Data!J228</f>
        <v>10.96359627</v>
      </c>
      <c r="K228" s="8">
        <f>[1]Data!K228</f>
        <v>13.96359627</v>
      </c>
      <c r="L228" s="8">
        <f>[1]Data!L228</f>
        <v>0.25457861655296199</v>
      </c>
      <c r="M228" s="8">
        <f>[1]Data!M228</f>
        <v>14.218174886552999</v>
      </c>
      <c r="N228" s="8">
        <f>[1]Data!N228</f>
        <v>0.23958333333333301</v>
      </c>
      <c r="O228" s="8">
        <f>[1]Data!O228</f>
        <v>4.1739130434782599</v>
      </c>
      <c r="P228" s="8">
        <f>[1]Data!P228</f>
        <v>1</v>
      </c>
      <c r="Q228" s="8">
        <f>[1]Data!Q228</f>
        <v>0</v>
      </c>
      <c r="R228" s="8">
        <f>[1]Data!R228</f>
        <v>0</v>
      </c>
      <c r="S228" s="8">
        <f>[1]Data!S228</f>
        <v>0</v>
      </c>
      <c r="T228">
        <f t="shared" si="15"/>
        <v>0.23958333333333301</v>
      </c>
      <c r="U228">
        <f t="shared" si="16"/>
        <v>4.1739130434782661</v>
      </c>
      <c r="V228" s="4" t="str">
        <f t="shared" si="17"/>
        <v>0</v>
      </c>
      <c r="W228" s="4" t="str">
        <f t="shared" si="18"/>
        <v>7</v>
      </c>
      <c r="X228" s="4" t="str">
        <f t="shared" si="19"/>
        <v>0CVCTE7</v>
      </c>
      <c r="Y228">
        <f>VLOOKUP(X228,Sheet1!$J$5:$K$121,2,FALSE)</f>
        <v>0</v>
      </c>
    </row>
    <row r="229" spans="1:25" x14ac:dyDescent="0.25">
      <c r="A229" s="8">
        <f>[1]Data!A229</f>
        <v>551102</v>
      </c>
      <c r="B229" s="8">
        <f>[1]Data!B229</f>
        <v>7</v>
      </c>
      <c r="C229" s="8">
        <f>[1]Data!C229</f>
        <v>0</v>
      </c>
      <c r="D229" s="8">
        <f>[1]Data!D229</f>
        <v>4</v>
      </c>
      <c r="E229" s="8" t="str">
        <f>[1]Data!E229</f>
        <v>CVCTE</v>
      </c>
      <c r="F229" s="8" t="str">
        <f>[1]Data!F229</f>
        <v>Downey</v>
      </c>
      <c r="G229" s="8">
        <f>[1]Data!G229</f>
        <v>1</v>
      </c>
      <c r="H229" s="8">
        <f>[1]Data!H229</f>
        <v>1</v>
      </c>
      <c r="I229" s="8">
        <f>[1]Data!I229</f>
        <v>5.0949999999999998</v>
      </c>
      <c r="J229" s="8">
        <f>[1]Data!J229</f>
        <v>1.9836996600000001</v>
      </c>
      <c r="K229" s="8">
        <f>[1]Data!K229</f>
        <v>4.9836996600000001</v>
      </c>
      <c r="L229" s="8">
        <f>[1]Data!L229</f>
        <v>0.11117260138240601</v>
      </c>
      <c r="M229" s="8">
        <f>[1]Data!M229</f>
        <v>5.0948722613824096</v>
      </c>
      <c r="N229" s="8">
        <f>[1]Data!N229</f>
        <v>0.23958333333333301</v>
      </c>
      <c r="O229" s="8">
        <f>[1]Data!O229</f>
        <v>4.1739130434782599</v>
      </c>
      <c r="P229" s="8">
        <f>[1]Data!P229</f>
        <v>1</v>
      </c>
      <c r="Q229" s="8">
        <f>[1]Data!Q229</f>
        <v>0</v>
      </c>
      <c r="R229" s="8">
        <f>[1]Data!R229</f>
        <v>0</v>
      </c>
      <c r="S229" s="8">
        <f>[1]Data!S229</f>
        <v>0</v>
      </c>
      <c r="T229">
        <f t="shared" si="15"/>
        <v>0.23958333333333301</v>
      </c>
      <c r="U229">
        <f t="shared" si="16"/>
        <v>4.1739130434782661</v>
      </c>
      <c r="V229" s="4" t="str">
        <f t="shared" si="17"/>
        <v>0</v>
      </c>
      <c r="W229" s="4" t="str">
        <f t="shared" si="18"/>
        <v>7</v>
      </c>
      <c r="X229" s="4" t="str">
        <f t="shared" si="19"/>
        <v>0CVCTE7</v>
      </c>
      <c r="Y229">
        <f>VLOOKUP(X229,Sheet1!$J$5:$K$121,2,FALSE)</f>
        <v>0</v>
      </c>
    </row>
    <row r="230" spans="1:25" x14ac:dyDescent="0.25">
      <c r="A230" s="8">
        <f>[1]Data!A230</f>
        <v>551800</v>
      </c>
      <c r="B230" s="8">
        <f>[1]Data!B230</f>
        <v>7</v>
      </c>
      <c r="C230" s="8">
        <f>[1]Data!C230</f>
        <v>0</v>
      </c>
      <c r="D230" s="8">
        <f>[1]Data!D230</f>
        <v>4</v>
      </c>
      <c r="E230" s="8" t="str">
        <f>[1]Data!E230</f>
        <v>CVCTE</v>
      </c>
      <c r="F230" s="8" t="str">
        <f>[1]Data!F230</f>
        <v>Downey</v>
      </c>
      <c r="G230" s="8">
        <f>[1]Data!G230</f>
        <v>0</v>
      </c>
      <c r="H230" s="8">
        <f>[1]Data!H230</f>
        <v>0</v>
      </c>
      <c r="I230" s="8">
        <f>[1]Data!I230</f>
        <v>3</v>
      </c>
      <c r="J230" s="8">
        <f>[1]Data!J230</f>
        <v>0</v>
      </c>
      <c r="K230" s="8">
        <f>[1]Data!K230</f>
        <v>3</v>
      </c>
      <c r="L230" s="8">
        <f>[1]Data!L230</f>
        <v>0</v>
      </c>
      <c r="M230" s="8">
        <f>[1]Data!M230</f>
        <v>3</v>
      </c>
      <c r="N230" s="8">
        <f>[1]Data!N230</f>
        <v>0.23958333333333301</v>
      </c>
      <c r="O230" s="8">
        <f>[1]Data!O230</f>
        <v>0</v>
      </c>
      <c r="P230" s="8">
        <f>[1]Data!P230</f>
        <v>1</v>
      </c>
      <c r="Q230" s="8">
        <f>[1]Data!Q230</f>
        <v>0</v>
      </c>
      <c r="R230" s="8">
        <f>[1]Data!R230</f>
        <v>0</v>
      </c>
      <c r="S230" s="8">
        <f>[1]Data!S230</f>
        <v>0</v>
      </c>
      <c r="T230">
        <f t="shared" si="15"/>
        <v>0.23958333333333301</v>
      </c>
      <c r="U230">
        <f t="shared" si="16"/>
        <v>0</v>
      </c>
      <c r="V230" s="4" t="str">
        <f t="shared" si="17"/>
        <v>0</v>
      </c>
      <c r="W230" s="4" t="str">
        <f t="shared" si="18"/>
        <v>7</v>
      </c>
      <c r="X230" s="4" t="str">
        <f t="shared" si="19"/>
        <v>0CVCTE7</v>
      </c>
      <c r="Y230">
        <f>VLOOKUP(X230,Sheet1!$J$5:$K$121,2,FALSE)</f>
        <v>0</v>
      </c>
    </row>
    <row r="231" spans="1:25" x14ac:dyDescent="0.25">
      <c r="A231" s="8">
        <f>[1]Data!A231</f>
        <v>530203</v>
      </c>
      <c r="B231" s="8">
        <f>[1]Data!B231</f>
        <v>7</v>
      </c>
      <c r="C231" s="8">
        <f>[1]Data!C231</f>
        <v>0</v>
      </c>
      <c r="D231" s="8">
        <f>[1]Data!D231</f>
        <v>1</v>
      </c>
      <c r="E231" s="8" t="str">
        <f>[1]Data!E231</f>
        <v>CVCTE</v>
      </c>
      <c r="F231" s="8" t="str">
        <f>[1]Data!F231</f>
        <v>Montebello</v>
      </c>
      <c r="G231" s="8">
        <f>[1]Data!G231</f>
        <v>0</v>
      </c>
      <c r="H231" s="8">
        <f>[1]Data!H231</f>
        <v>0</v>
      </c>
      <c r="I231" s="8">
        <f>[1]Data!I231</f>
        <v>45.682000000000002</v>
      </c>
      <c r="J231" s="8">
        <f>[1]Data!J231</f>
        <v>40.382253400000003</v>
      </c>
      <c r="K231" s="8">
        <f>[1]Data!K231</f>
        <v>43.382253400000003</v>
      </c>
      <c r="L231" s="8">
        <f>[1]Data!L231</f>
        <v>2.2985715236445201</v>
      </c>
      <c r="M231" s="8">
        <f>[1]Data!M231</f>
        <v>45.680824923644501</v>
      </c>
      <c r="N231" s="8">
        <f>[1]Data!N231</f>
        <v>0.23958333333333301</v>
      </c>
      <c r="O231" s="8">
        <f>[1]Data!O231</f>
        <v>0</v>
      </c>
      <c r="P231" s="8">
        <f>[1]Data!P231</f>
        <v>1</v>
      </c>
      <c r="Q231" s="8">
        <f>[1]Data!Q231</f>
        <v>0</v>
      </c>
      <c r="R231" s="8">
        <f>[1]Data!R231</f>
        <v>0</v>
      </c>
      <c r="S231" s="8">
        <f>[1]Data!S231</f>
        <v>0</v>
      </c>
      <c r="T231">
        <f t="shared" si="15"/>
        <v>0.23958333333333301</v>
      </c>
      <c r="U231">
        <f t="shared" si="16"/>
        <v>0</v>
      </c>
      <c r="V231" s="4" t="str">
        <f t="shared" si="17"/>
        <v>0</v>
      </c>
      <c r="W231" s="4" t="str">
        <f t="shared" si="18"/>
        <v>7</v>
      </c>
      <c r="X231" s="4" t="str">
        <f t="shared" si="19"/>
        <v>0CVCTE7</v>
      </c>
      <c r="Y231">
        <f>VLOOKUP(X231,Sheet1!$J$5:$K$121,2,FALSE)</f>
        <v>0</v>
      </c>
    </row>
    <row r="232" spans="1:25" x14ac:dyDescent="0.25">
      <c r="A232" s="8">
        <f>[1]Data!A232</f>
        <v>530005</v>
      </c>
      <c r="B232" s="8">
        <f>[1]Data!B232</f>
        <v>7</v>
      </c>
      <c r="C232" s="8">
        <f>[1]Data!C232</f>
        <v>0</v>
      </c>
      <c r="D232" s="8">
        <f>[1]Data!D232</f>
        <v>1</v>
      </c>
      <c r="E232" s="8" t="str">
        <f>[1]Data!E232</f>
        <v>CVCTE</v>
      </c>
      <c r="F232" s="8" t="str">
        <f>[1]Data!F232</f>
        <v>Montebello</v>
      </c>
      <c r="G232" s="8">
        <f>[1]Data!G232</f>
        <v>0</v>
      </c>
      <c r="H232" s="8">
        <f>[1]Data!H232</f>
        <v>0</v>
      </c>
      <c r="I232" s="8">
        <f>[1]Data!I232</f>
        <v>12.323</v>
      </c>
      <c r="J232" s="8">
        <f>[1]Data!J232</f>
        <v>10.77774017</v>
      </c>
      <c r="K232" s="8">
        <f>[1]Data!K232</f>
        <v>11.77774017</v>
      </c>
      <c r="L232" s="8">
        <f>[1]Data!L232</f>
        <v>0.54439355156193903</v>
      </c>
      <c r="M232" s="8">
        <f>[1]Data!M232</f>
        <v>12.322133721561899</v>
      </c>
      <c r="N232" s="8">
        <f>[1]Data!N232</f>
        <v>0.23958333333333301</v>
      </c>
      <c r="O232" s="8">
        <f>[1]Data!O232</f>
        <v>0</v>
      </c>
      <c r="P232" s="8">
        <f>[1]Data!P232</f>
        <v>1</v>
      </c>
      <c r="Q232" s="8">
        <f>[1]Data!Q232</f>
        <v>0</v>
      </c>
      <c r="R232" s="8">
        <f>[1]Data!R232</f>
        <v>0</v>
      </c>
      <c r="S232" s="8">
        <f>[1]Data!S232</f>
        <v>0</v>
      </c>
      <c r="T232">
        <f t="shared" si="15"/>
        <v>0.23958333333333301</v>
      </c>
      <c r="U232">
        <f t="shared" si="16"/>
        <v>0</v>
      </c>
      <c r="V232" s="4" t="str">
        <f t="shared" si="17"/>
        <v>0</v>
      </c>
      <c r="W232" s="4" t="str">
        <f t="shared" si="18"/>
        <v>7</v>
      </c>
      <c r="X232" s="4" t="str">
        <f t="shared" si="19"/>
        <v>0CVCTE7</v>
      </c>
      <c r="Y232">
        <f>VLOOKUP(X232,Sheet1!$J$5:$K$121,2,FALSE)</f>
        <v>0</v>
      </c>
    </row>
    <row r="233" spans="1:25" x14ac:dyDescent="0.25">
      <c r="A233" s="8">
        <f>[1]Data!A233</f>
        <v>503104</v>
      </c>
      <c r="B233" s="8">
        <f>[1]Data!B233</f>
        <v>7</v>
      </c>
      <c r="C233" s="8">
        <f>[1]Data!C233</f>
        <v>0</v>
      </c>
      <c r="D233" s="8">
        <f>[1]Data!D233</f>
        <v>4</v>
      </c>
      <c r="E233" s="8" t="str">
        <f>[1]Data!E233</f>
        <v>CVCTE</v>
      </c>
      <c r="F233" s="8" t="str">
        <f>[1]Data!F233</f>
        <v>South Whittier</v>
      </c>
      <c r="G233" s="8">
        <f>[1]Data!G233</f>
        <v>0</v>
      </c>
      <c r="H233" s="8">
        <f>[1]Data!H233</f>
        <v>0</v>
      </c>
      <c r="I233" s="8">
        <f>[1]Data!I233</f>
        <v>17.896000000000001</v>
      </c>
      <c r="J233" s="8">
        <f>[1]Data!J233</f>
        <v>11.278875149999999</v>
      </c>
      <c r="K233" s="8">
        <f>[1]Data!K233</f>
        <v>17.278875150000001</v>
      </c>
      <c r="L233" s="8">
        <f>[1]Data!L233</f>
        <v>0.61676773375224403</v>
      </c>
      <c r="M233" s="8">
        <f>[1]Data!M233</f>
        <v>17.895642883752199</v>
      </c>
      <c r="N233" s="8">
        <f>[1]Data!N233</f>
        <v>0.23958333333333301</v>
      </c>
      <c r="O233" s="8">
        <f>[1]Data!O233</f>
        <v>0</v>
      </c>
      <c r="P233" s="8">
        <f>[1]Data!P233</f>
        <v>1</v>
      </c>
      <c r="Q233" s="8">
        <f>[1]Data!Q233</f>
        <v>0</v>
      </c>
      <c r="R233" s="8">
        <f>[1]Data!R233</f>
        <v>0</v>
      </c>
      <c r="S233" s="8">
        <f>[1]Data!S233</f>
        <v>0</v>
      </c>
      <c r="T233">
        <f t="shared" si="15"/>
        <v>0.23958333333333301</v>
      </c>
      <c r="U233">
        <f t="shared" si="16"/>
        <v>0</v>
      </c>
      <c r="V233" s="4" t="str">
        <f t="shared" si="17"/>
        <v>0</v>
      </c>
      <c r="W233" s="4" t="str">
        <f t="shared" si="18"/>
        <v>7</v>
      </c>
      <c r="X233" s="4" t="str">
        <f t="shared" si="19"/>
        <v>0CVCTE7</v>
      </c>
      <c r="Y233">
        <f>VLOOKUP(X233,Sheet1!$J$5:$K$121,2,FALSE)</f>
        <v>0</v>
      </c>
    </row>
    <row r="234" spans="1:25" x14ac:dyDescent="0.25">
      <c r="A234" s="8">
        <f>[1]Data!A234</f>
        <v>530101</v>
      </c>
      <c r="B234" s="8">
        <f>[1]Data!B234</f>
        <v>7</v>
      </c>
      <c r="C234" s="8">
        <f>[1]Data!C234</f>
        <v>0</v>
      </c>
      <c r="D234" s="8">
        <f>[1]Data!D234</f>
        <v>1</v>
      </c>
      <c r="E234" s="8" t="str">
        <f>[1]Data!E234</f>
        <v>CVCTE</v>
      </c>
      <c r="F234" s="8" t="str">
        <f>[1]Data!F234</f>
        <v>Montebello</v>
      </c>
      <c r="G234" s="8">
        <f>[1]Data!G234</f>
        <v>0</v>
      </c>
      <c r="H234" s="8">
        <f>[1]Data!H234</f>
        <v>0</v>
      </c>
      <c r="I234" s="8">
        <f>[1]Data!I234</f>
        <v>2.0950000000000002</v>
      </c>
      <c r="J234" s="8">
        <f>[1]Data!J234</f>
        <v>1.9836996600000001</v>
      </c>
      <c r="K234" s="8">
        <f>[1]Data!K234</f>
        <v>1.9836996600000001</v>
      </c>
      <c r="L234" s="8">
        <f>[1]Data!L234</f>
        <v>0.11117260138240601</v>
      </c>
      <c r="M234" s="8">
        <f>[1]Data!M234</f>
        <v>2.09487226138241</v>
      </c>
      <c r="N234" s="8">
        <f>[1]Data!N234</f>
        <v>0.23958333333333301</v>
      </c>
      <c r="O234" s="8">
        <f>[1]Data!O234</f>
        <v>0</v>
      </c>
      <c r="P234" s="8">
        <f>[1]Data!P234</f>
        <v>1</v>
      </c>
      <c r="Q234" s="8">
        <f>[1]Data!Q234</f>
        <v>0</v>
      </c>
      <c r="R234" s="8">
        <f>[1]Data!R234</f>
        <v>0</v>
      </c>
      <c r="S234" s="8">
        <f>[1]Data!S234</f>
        <v>0</v>
      </c>
      <c r="T234">
        <f t="shared" si="15"/>
        <v>0.23958333333333301</v>
      </c>
      <c r="U234">
        <f t="shared" si="16"/>
        <v>0</v>
      </c>
      <c r="V234" s="4" t="str">
        <f t="shared" si="17"/>
        <v>0</v>
      </c>
      <c r="W234" s="4" t="str">
        <f t="shared" si="18"/>
        <v>7</v>
      </c>
      <c r="X234" s="4" t="str">
        <f t="shared" si="19"/>
        <v>0CVCTE7</v>
      </c>
      <c r="Y234">
        <f>VLOOKUP(X234,Sheet1!$J$5:$K$121,2,FALSE)</f>
        <v>0</v>
      </c>
    </row>
    <row r="235" spans="1:25" x14ac:dyDescent="0.25">
      <c r="A235" s="8">
        <f>[1]Data!A235</f>
        <v>504102</v>
      </c>
      <c r="B235" s="8">
        <f>[1]Data!B235</f>
        <v>7</v>
      </c>
      <c r="C235" s="8">
        <f>[1]Data!C235</f>
        <v>0</v>
      </c>
      <c r="D235" s="8">
        <f>[1]Data!D235</f>
        <v>4</v>
      </c>
      <c r="E235" s="8" t="str">
        <f>[1]Data!E235</f>
        <v>CVCTE</v>
      </c>
      <c r="F235" s="8" t="str">
        <f>[1]Data!F235</f>
        <v>Santa Fe Springs</v>
      </c>
      <c r="G235" s="8">
        <f>[1]Data!G235</f>
        <v>1</v>
      </c>
      <c r="H235" s="8">
        <f>[1]Data!H235</f>
        <v>1</v>
      </c>
      <c r="I235" s="8">
        <f>[1]Data!I235</f>
        <v>46.289000000000001</v>
      </c>
      <c r="J235" s="8">
        <f>[1]Data!J235</f>
        <v>42.222459030000003</v>
      </c>
      <c r="K235" s="8">
        <f>[1]Data!K235</f>
        <v>44.222459030000003</v>
      </c>
      <c r="L235" s="8">
        <f>[1]Data!L235</f>
        <v>2.0662425017414701</v>
      </c>
      <c r="M235" s="8">
        <f>[1]Data!M235</f>
        <v>46.288701531741502</v>
      </c>
      <c r="N235" s="8">
        <f>[1]Data!N235</f>
        <v>0.23958333333333301</v>
      </c>
      <c r="O235" s="8">
        <f>[1]Data!O235</f>
        <v>4.1739130434782599</v>
      </c>
      <c r="P235" s="8">
        <f>[1]Data!P235</f>
        <v>1</v>
      </c>
      <c r="Q235" s="8">
        <f>[1]Data!Q235</f>
        <v>0</v>
      </c>
      <c r="R235" s="8">
        <f>[1]Data!R235</f>
        <v>0</v>
      </c>
      <c r="S235" s="8">
        <f>[1]Data!S235</f>
        <v>0</v>
      </c>
      <c r="T235">
        <f t="shared" si="15"/>
        <v>0.23958333333333301</v>
      </c>
      <c r="U235">
        <f t="shared" si="16"/>
        <v>4.1739130434782661</v>
      </c>
      <c r="V235" s="4" t="str">
        <f t="shared" si="17"/>
        <v>0</v>
      </c>
      <c r="W235" s="4" t="str">
        <f t="shared" si="18"/>
        <v>7</v>
      </c>
      <c r="X235" s="4" t="str">
        <f t="shared" si="19"/>
        <v>0CVCTE7</v>
      </c>
      <c r="Y235">
        <f>VLOOKUP(X235,Sheet1!$J$5:$K$121,2,FALSE)</f>
        <v>0</v>
      </c>
    </row>
    <row r="236" spans="1:25" x14ac:dyDescent="0.25">
      <c r="A236" s="8">
        <f>[1]Data!A236</f>
        <v>502500</v>
      </c>
      <c r="B236" s="8">
        <f>[1]Data!B236</f>
        <v>7</v>
      </c>
      <c r="C236" s="8">
        <f>[1]Data!C236</f>
        <v>0</v>
      </c>
      <c r="D236" s="8">
        <f>[1]Data!D236</f>
        <v>1</v>
      </c>
      <c r="E236" s="8" t="str">
        <f>[1]Data!E236</f>
        <v>CVCTE</v>
      </c>
      <c r="F236" s="8" t="str">
        <f>[1]Data!F236</f>
        <v>Pico Rivera</v>
      </c>
      <c r="G236" s="8">
        <f>[1]Data!G236</f>
        <v>1</v>
      </c>
      <c r="H236" s="8">
        <f>[1]Data!H236</f>
        <v>1</v>
      </c>
      <c r="I236" s="8">
        <f>[1]Data!I236</f>
        <v>58.421999999999997</v>
      </c>
      <c r="J236" s="8">
        <f>[1]Data!J236</f>
        <v>48.609441500000003</v>
      </c>
      <c r="K236" s="8">
        <f>[1]Data!K236</f>
        <v>56.609441500000003</v>
      </c>
      <c r="L236" s="8">
        <f>[1]Data!L236</f>
        <v>1.8127532941831199</v>
      </c>
      <c r="M236" s="8">
        <f>[1]Data!M236</f>
        <v>58.422194794183099</v>
      </c>
      <c r="N236" s="8">
        <f>[1]Data!N236</f>
        <v>0.23958333333333301</v>
      </c>
      <c r="O236" s="8">
        <f>[1]Data!O236</f>
        <v>4.1739130434782599</v>
      </c>
      <c r="P236" s="8">
        <f>[1]Data!P236</f>
        <v>1</v>
      </c>
      <c r="Q236" s="8">
        <f>[1]Data!Q236</f>
        <v>0</v>
      </c>
      <c r="R236" s="8">
        <f>[1]Data!R236</f>
        <v>0</v>
      </c>
      <c r="S236" s="8">
        <f>[1]Data!S236</f>
        <v>0</v>
      </c>
      <c r="T236">
        <f t="shared" si="15"/>
        <v>0.23958333333333301</v>
      </c>
      <c r="U236">
        <f t="shared" si="16"/>
        <v>4.1739130434782661</v>
      </c>
      <c r="V236" s="4" t="str">
        <f t="shared" si="17"/>
        <v>0</v>
      </c>
      <c r="W236" s="4" t="str">
        <f t="shared" si="18"/>
        <v>7</v>
      </c>
      <c r="X236" s="4" t="str">
        <f t="shared" si="19"/>
        <v>0CVCTE7</v>
      </c>
      <c r="Y236">
        <f>VLOOKUP(X236,Sheet1!$J$5:$K$121,2,FALSE)</f>
        <v>0</v>
      </c>
    </row>
    <row r="237" spans="1:25" x14ac:dyDescent="0.25">
      <c r="A237" s="8">
        <f>[1]Data!A237</f>
        <v>551900</v>
      </c>
      <c r="B237" s="8">
        <f>[1]Data!B237</f>
        <v>7</v>
      </c>
      <c r="C237" s="8">
        <f>[1]Data!C237</f>
        <v>0</v>
      </c>
      <c r="D237" s="8">
        <f>[1]Data!D237</f>
        <v>4</v>
      </c>
      <c r="E237" s="8" t="str">
        <f>[1]Data!E237</f>
        <v>CVCTE</v>
      </c>
      <c r="F237" s="8" t="str">
        <f>[1]Data!F237</f>
        <v>Norwalk</v>
      </c>
      <c r="G237" s="8">
        <f>[1]Data!G237</f>
        <v>0</v>
      </c>
      <c r="H237" s="8">
        <f>[1]Data!H237</f>
        <v>0</v>
      </c>
      <c r="I237" s="8">
        <f>[1]Data!I237</f>
        <v>59.796999999999997</v>
      </c>
      <c r="J237" s="8">
        <f>[1]Data!J237</f>
        <v>53.164890550000003</v>
      </c>
      <c r="K237" s="8">
        <f>[1]Data!K237</f>
        <v>59.164890550000003</v>
      </c>
      <c r="L237" s="8">
        <f>[1]Data!L237</f>
        <v>0.63186920651705603</v>
      </c>
      <c r="M237" s="8">
        <f>[1]Data!M237</f>
        <v>59.796759756516998</v>
      </c>
      <c r="N237" s="8">
        <f>[1]Data!N237</f>
        <v>0.23958333333333301</v>
      </c>
      <c r="O237" s="8">
        <f>[1]Data!O237</f>
        <v>0</v>
      </c>
      <c r="P237" s="8">
        <f>[1]Data!P237</f>
        <v>1</v>
      </c>
      <c r="Q237" s="8">
        <f>[1]Data!Q237</f>
        <v>0</v>
      </c>
      <c r="R237" s="8">
        <f>[1]Data!R237</f>
        <v>0</v>
      </c>
      <c r="S237" s="8">
        <f>[1]Data!S237</f>
        <v>0</v>
      </c>
      <c r="T237">
        <f t="shared" si="15"/>
        <v>0.23958333333333301</v>
      </c>
      <c r="U237">
        <f t="shared" si="16"/>
        <v>0</v>
      </c>
      <c r="V237" s="4" t="str">
        <f t="shared" si="17"/>
        <v>0</v>
      </c>
      <c r="W237" s="4" t="str">
        <f t="shared" si="18"/>
        <v>7</v>
      </c>
      <c r="X237" s="4" t="str">
        <f t="shared" si="19"/>
        <v>0CVCTE7</v>
      </c>
      <c r="Y237">
        <f>VLOOKUP(X237,Sheet1!$J$5:$K$121,2,FALSE)</f>
        <v>0</v>
      </c>
    </row>
    <row r="238" spans="1:25" x14ac:dyDescent="0.25">
      <c r="A238" s="8">
        <f>[1]Data!A238</f>
        <v>552100</v>
      </c>
      <c r="B238" s="8">
        <f>[1]Data!B238</f>
        <v>7</v>
      </c>
      <c r="C238" s="8">
        <f>[1]Data!C238</f>
        <v>0</v>
      </c>
      <c r="D238" s="8">
        <f>[1]Data!D238</f>
        <v>4</v>
      </c>
      <c r="E238" s="8" t="str">
        <f>[1]Data!E238</f>
        <v>CVCTE</v>
      </c>
      <c r="F238" s="8" t="str">
        <f>[1]Data!F238</f>
        <v>Norwalk</v>
      </c>
      <c r="G238" s="8">
        <f>[1]Data!G238</f>
        <v>0</v>
      </c>
      <c r="H238" s="8">
        <f>[1]Data!H238</f>
        <v>0</v>
      </c>
      <c r="I238" s="8">
        <f>[1]Data!I238</f>
        <v>23.052</v>
      </c>
      <c r="J238" s="8">
        <f>[1]Data!J238</f>
        <v>14.72379621</v>
      </c>
      <c r="K238" s="8">
        <f>[1]Data!K238</f>
        <v>22.72379621</v>
      </c>
      <c r="L238" s="8">
        <f>[1]Data!L238</f>
        <v>0.32808314127468602</v>
      </c>
      <c r="M238" s="8">
        <f>[1]Data!M238</f>
        <v>23.0518793512747</v>
      </c>
      <c r="N238" s="8">
        <f>[1]Data!N238</f>
        <v>0.23958333333333301</v>
      </c>
      <c r="O238" s="8">
        <f>[1]Data!O238</f>
        <v>0</v>
      </c>
      <c r="P238" s="8">
        <f>[1]Data!P238</f>
        <v>1</v>
      </c>
      <c r="Q238" s="8">
        <f>[1]Data!Q238</f>
        <v>0</v>
      </c>
      <c r="R238" s="8">
        <f>[1]Data!R238</f>
        <v>0</v>
      </c>
      <c r="S238" s="8">
        <f>[1]Data!S238</f>
        <v>0</v>
      </c>
      <c r="T238">
        <f t="shared" si="15"/>
        <v>0.23958333333333301</v>
      </c>
      <c r="U238">
        <f t="shared" si="16"/>
        <v>0</v>
      </c>
      <c r="V238" s="4" t="str">
        <f t="shared" si="17"/>
        <v>0</v>
      </c>
      <c r="W238" s="4" t="str">
        <f t="shared" si="18"/>
        <v>7</v>
      </c>
      <c r="X238" s="4" t="str">
        <f t="shared" si="19"/>
        <v>0CVCTE7</v>
      </c>
      <c r="Y238">
        <f>VLOOKUP(X238,Sheet1!$J$5:$K$121,2,FALSE)</f>
        <v>0</v>
      </c>
    </row>
    <row r="239" spans="1:25" x14ac:dyDescent="0.25">
      <c r="A239" s="8">
        <f>[1]Data!A239</f>
        <v>552601</v>
      </c>
      <c r="B239" s="8">
        <f>[1]Data!B239</f>
        <v>7</v>
      </c>
      <c r="C239" s="8">
        <f>[1]Data!C239</f>
        <v>0</v>
      </c>
      <c r="D239" s="8">
        <f>[1]Data!D239</f>
        <v>4</v>
      </c>
      <c r="E239" s="8" t="str">
        <f>[1]Data!E239</f>
        <v>CVCTE</v>
      </c>
      <c r="F239" s="8" t="str">
        <f>[1]Data!F239</f>
        <v>Norwalk</v>
      </c>
      <c r="G239" s="8">
        <f>[1]Data!G239</f>
        <v>0</v>
      </c>
      <c r="H239" s="8">
        <f>[1]Data!H239</f>
        <v>0</v>
      </c>
      <c r="I239" s="8">
        <f>[1]Data!I239</f>
        <v>15.122</v>
      </c>
      <c r="J239" s="8">
        <f>[1]Data!J239</f>
        <v>14.6804281</v>
      </c>
      <c r="K239" s="8">
        <f>[1]Data!K239</f>
        <v>14.6804281</v>
      </c>
      <c r="L239" s="8">
        <f>[1]Data!L239</f>
        <v>0.440736728222621</v>
      </c>
      <c r="M239" s="8">
        <f>[1]Data!M239</f>
        <v>15.1211648282226</v>
      </c>
      <c r="N239" s="8">
        <f>[1]Data!N239</f>
        <v>0.23958333333333301</v>
      </c>
      <c r="O239" s="8">
        <f>[1]Data!O239</f>
        <v>0</v>
      </c>
      <c r="P239" s="8">
        <f>[1]Data!P239</f>
        <v>1</v>
      </c>
      <c r="Q239" s="8">
        <f>[1]Data!Q239</f>
        <v>0</v>
      </c>
      <c r="R239" s="8">
        <f>[1]Data!R239</f>
        <v>0</v>
      </c>
      <c r="S239" s="8">
        <f>[1]Data!S239</f>
        <v>0</v>
      </c>
      <c r="T239">
        <f t="shared" si="15"/>
        <v>0.23958333333333301</v>
      </c>
      <c r="U239">
        <f t="shared" si="16"/>
        <v>0</v>
      </c>
      <c r="V239" s="4" t="str">
        <f t="shared" si="17"/>
        <v>0</v>
      </c>
      <c r="W239" s="4" t="str">
        <f t="shared" si="18"/>
        <v>7</v>
      </c>
      <c r="X239" s="4" t="str">
        <f t="shared" si="19"/>
        <v>0CVCTE7</v>
      </c>
      <c r="Y239">
        <f>VLOOKUP(X239,Sheet1!$J$5:$K$121,2,FALSE)</f>
        <v>0</v>
      </c>
    </row>
    <row r="240" spans="1:25" x14ac:dyDescent="0.25">
      <c r="A240" s="8">
        <f>[1]Data!A240</f>
        <v>553000</v>
      </c>
      <c r="B240" s="8">
        <f>[1]Data!B240</f>
        <v>7</v>
      </c>
      <c r="C240" s="8">
        <f>[1]Data!C240</f>
        <v>0</v>
      </c>
      <c r="D240" s="8">
        <f>[1]Data!D240</f>
        <v>4</v>
      </c>
      <c r="E240" s="8" t="str">
        <f>[1]Data!E240</f>
        <v>CVCTE</v>
      </c>
      <c r="F240" s="8" t="str">
        <f>[1]Data!F240</f>
        <v>Norwalk</v>
      </c>
      <c r="G240" s="8">
        <f>[1]Data!G240</f>
        <v>0</v>
      </c>
      <c r="H240" s="8">
        <f>[1]Data!H240</f>
        <v>0</v>
      </c>
      <c r="I240" s="8">
        <f>[1]Data!I240</f>
        <v>7</v>
      </c>
      <c r="J240" s="8">
        <f>[1]Data!J240</f>
        <v>0</v>
      </c>
      <c r="K240" s="8">
        <f>[1]Data!K240</f>
        <v>7</v>
      </c>
      <c r="L240" s="8">
        <f>[1]Data!L240</f>
        <v>0</v>
      </c>
      <c r="M240" s="8">
        <f>[1]Data!M240</f>
        <v>7</v>
      </c>
      <c r="N240" s="8">
        <f>[1]Data!N240</f>
        <v>0.23958333333333301</v>
      </c>
      <c r="O240" s="8">
        <f>[1]Data!O240</f>
        <v>0</v>
      </c>
      <c r="P240" s="8">
        <f>[1]Data!P240</f>
        <v>1</v>
      </c>
      <c r="Q240" s="8">
        <f>[1]Data!Q240</f>
        <v>0</v>
      </c>
      <c r="R240" s="8">
        <f>[1]Data!R240</f>
        <v>0</v>
      </c>
      <c r="S240" s="8">
        <f>[1]Data!S240</f>
        <v>0</v>
      </c>
      <c r="T240">
        <f t="shared" si="15"/>
        <v>0.23958333333333301</v>
      </c>
      <c r="U240">
        <f t="shared" si="16"/>
        <v>0</v>
      </c>
      <c r="V240" s="4" t="str">
        <f t="shared" si="17"/>
        <v>0</v>
      </c>
      <c r="W240" s="4" t="str">
        <f t="shared" si="18"/>
        <v>7</v>
      </c>
      <c r="X240" s="4" t="str">
        <f t="shared" si="19"/>
        <v>0CVCTE7</v>
      </c>
      <c r="Y240">
        <f>VLOOKUP(X240,Sheet1!$J$5:$K$121,2,FALSE)</f>
        <v>0</v>
      </c>
    </row>
    <row r="241" spans="1:25" x14ac:dyDescent="0.25">
      <c r="A241" s="8">
        <f>[1]Data!A241</f>
        <v>553100</v>
      </c>
      <c r="B241" s="8">
        <f>[1]Data!B241</f>
        <v>7</v>
      </c>
      <c r="C241" s="8">
        <f>[1]Data!C241</f>
        <v>0</v>
      </c>
      <c r="D241" s="8">
        <f>[1]Data!D241</f>
        <v>4</v>
      </c>
      <c r="E241" s="8" t="str">
        <f>[1]Data!E241</f>
        <v>CVCTE</v>
      </c>
      <c r="F241" s="8" t="str">
        <f>[1]Data!F241</f>
        <v>Bellflower</v>
      </c>
      <c r="G241" s="8">
        <f>[1]Data!G241</f>
        <v>1</v>
      </c>
      <c r="H241" s="8">
        <f>[1]Data!H241</f>
        <v>1</v>
      </c>
      <c r="I241" s="8">
        <f>[1]Data!I241</f>
        <v>5.8289999999999997</v>
      </c>
      <c r="J241" s="8">
        <f>[1]Data!J241</f>
        <v>5.6217117700000001</v>
      </c>
      <c r="K241" s="8">
        <f>[1]Data!K241</f>
        <v>5.6217117700000001</v>
      </c>
      <c r="L241" s="8">
        <f>[1]Data!L241</f>
        <v>0.20678343375224401</v>
      </c>
      <c r="M241" s="8">
        <f>[1]Data!M241</f>
        <v>5.8284952037522402</v>
      </c>
      <c r="N241" s="8">
        <f>[1]Data!N241</f>
        <v>0.23958333333333301</v>
      </c>
      <c r="O241" s="8">
        <f>[1]Data!O241</f>
        <v>4.1739130434782599</v>
      </c>
      <c r="P241" s="8">
        <f>[1]Data!P241</f>
        <v>1</v>
      </c>
      <c r="Q241" s="8">
        <f>[1]Data!Q241</f>
        <v>0</v>
      </c>
      <c r="R241" s="8">
        <f>[1]Data!R241</f>
        <v>0</v>
      </c>
      <c r="S241" s="8">
        <f>[1]Data!S241</f>
        <v>0</v>
      </c>
      <c r="T241">
        <f t="shared" si="15"/>
        <v>0.23958333333333301</v>
      </c>
      <c r="U241">
        <f t="shared" si="16"/>
        <v>4.1739130434782661</v>
      </c>
      <c r="V241" s="4" t="str">
        <f t="shared" si="17"/>
        <v>0</v>
      </c>
      <c r="W241" s="4" t="str">
        <f t="shared" si="18"/>
        <v>7</v>
      </c>
      <c r="X241" s="4" t="str">
        <f t="shared" si="19"/>
        <v>0CVCTE7</v>
      </c>
      <c r="Y241">
        <f>VLOOKUP(X241,Sheet1!$J$5:$K$121,2,FALSE)</f>
        <v>0</v>
      </c>
    </row>
    <row r="242" spans="1:25" x14ac:dyDescent="0.25">
      <c r="A242" s="8">
        <f>[1]Data!A242</f>
        <v>500700</v>
      </c>
      <c r="B242" s="8">
        <f>[1]Data!B242</f>
        <v>7</v>
      </c>
      <c r="C242" s="8">
        <f>[1]Data!C242</f>
        <v>0</v>
      </c>
      <c r="D242" s="8">
        <f>[1]Data!D242</f>
        <v>1</v>
      </c>
      <c r="E242" s="8" t="str">
        <f>[1]Data!E242</f>
        <v>CVCTE</v>
      </c>
      <c r="F242" s="8" t="str">
        <f>[1]Data!F242</f>
        <v>Pico Rivera</v>
      </c>
      <c r="G242" s="8">
        <f>[1]Data!G242</f>
        <v>0</v>
      </c>
      <c r="H242" s="8">
        <f>[1]Data!H242</f>
        <v>0</v>
      </c>
      <c r="I242" s="8">
        <f>[1]Data!I242</f>
        <v>55.353000000000002</v>
      </c>
      <c r="J242" s="8">
        <f>[1]Data!J242</f>
        <v>48.448268120000002</v>
      </c>
      <c r="K242" s="8">
        <f>[1]Data!K242</f>
        <v>53.448268120000002</v>
      </c>
      <c r="L242" s="8">
        <f>[1]Data!L242</f>
        <v>1.90525202</v>
      </c>
      <c r="M242" s="8">
        <f>[1]Data!M242</f>
        <v>55.353520140000001</v>
      </c>
      <c r="N242" s="8">
        <f>[1]Data!N242</f>
        <v>0.23958333333333301</v>
      </c>
      <c r="O242" s="8">
        <f>[1]Data!O242</f>
        <v>0</v>
      </c>
      <c r="P242" s="8">
        <f>[1]Data!P242</f>
        <v>1</v>
      </c>
      <c r="Q242" s="8">
        <f>[1]Data!Q242</f>
        <v>0</v>
      </c>
      <c r="R242" s="8">
        <f>[1]Data!R242</f>
        <v>0</v>
      </c>
      <c r="S242" s="8">
        <f>[1]Data!S242</f>
        <v>0</v>
      </c>
      <c r="T242">
        <f t="shared" si="15"/>
        <v>0.23958333333333301</v>
      </c>
      <c r="U242">
        <f t="shared" si="16"/>
        <v>0</v>
      </c>
      <c r="V242" s="4" t="str">
        <f t="shared" si="17"/>
        <v>0</v>
      </c>
      <c r="W242" s="4" t="str">
        <f t="shared" si="18"/>
        <v>7</v>
      </c>
      <c r="X242" s="4" t="str">
        <f t="shared" si="19"/>
        <v>0CVCTE7</v>
      </c>
      <c r="Y242">
        <f>VLOOKUP(X242,Sheet1!$J$5:$K$121,2,FALSE)</f>
        <v>0</v>
      </c>
    </row>
    <row r="243" spans="1:25" x14ac:dyDescent="0.25">
      <c r="A243" s="8">
        <f>[1]Data!A243</f>
        <v>554302</v>
      </c>
      <c r="B243" s="8">
        <f>[1]Data!B243</f>
        <v>7</v>
      </c>
      <c r="C243" s="8">
        <f>[1]Data!C243</f>
        <v>0</v>
      </c>
      <c r="D243" s="8">
        <f>[1]Data!D243</f>
        <v>4</v>
      </c>
      <c r="E243" s="8" t="str">
        <f>[1]Data!E243</f>
        <v>CVCTE</v>
      </c>
      <c r="F243" s="8" t="str">
        <f>[1]Data!F243</f>
        <v>Bellflower</v>
      </c>
      <c r="G243" s="8">
        <f>[1]Data!G243</f>
        <v>1</v>
      </c>
      <c r="H243" s="8">
        <f>[1]Data!H243</f>
        <v>1</v>
      </c>
      <c r="I243" s="8">
        <f>[1]Data!I243</f>
        <v>8.9969999999999999</v>
      </c>
      <c r="J243" s="8">
        <f>[1]Data!J243</f>
        <v>4.8017798100000002</v>
      </c>
      <c r="K243" s="8">
        <f>[1]Data!K243</f>
        <v>8.8017798099999993</v>
      </c>
      <c r="L243" s="8">
        <f>[1]Data!L243</f>
        <v>0.19443586965888701</v>
      </c>
      <c r="M243" s="8">
        <f>[1]Data!M243</f>
        <v>8.9962156796588904</v>
      </c>
      <c r="N243" s="8">
        <f>[1]Data!N243</f>
        <v>0.23958333333333301</v>
      </c>
      <c r="O243" s="8">
        <f>[1]Data!O243</f>
        <v>4.1739130434782599</v>
      </c>
      <c r="P243" s="8">
        <f>[1]Data!P243</f>
        <v>1</v>
      </c>
      <c r="Q243" s="8">
        <f>[1]Data!Q243</f>
        <v>0</v>
      </c>
      <c r="R243" s="8">
        <f>[1]Data!R243</f>
        <v>0</v>
      </c>
      <c r="S243" s="8">
        <f>[1]Data!S243</f>
        <v>0</v>
      </c>
      <c r="T243">
        <f t="shared" si="15"/>
        <v>0.23958333333333301</v>
      </c>
      <c r="U243">
        <f t="shared" si="16"/>
        <v>4.1739130434782661</v>
      </c>
      <c r="V243" s="4" t="str">
        <f t="shared" si="17"/>
        <v>0</v>
      </c>
      <c r="W243" s="4" t="str">
        <f t="shared" si="18"/>
        <v>7</v>
      </c>
      <c r="X243" s="4" t="str">
        <f t="shared" si="19"/>
        <v>0CVCTE7</v>
      </c>
      <c r="Y243">
        <f>VLOOKUP(X243,Sheet1!$J$5:$K$121,2,FALSE)</f>
        <v>0</v>
      </c>
    </row>
    <row r="244" spans="1:25" x14ac:dyDescent="0.25">
      <c r="A244" s="8">
        <f>[1]Data!A244</f>
        <v>500600</v>
      </c>
      <c r="B244" s="8">
        <f>[1]Data!B244</f>
        <v>7</v>
      </c>
      <c r="C244" s="8">
        <f>[1]Data!C244</f>
        <v>0</v>
      </c>
      <c r="D244" s="8">
        <f>[1]Data!D244</f>
        <v>1</v>
      </c>
      <c r="E244" s="8" t="str">
        <f>[1]Data!E244</f>
        <v>CVCTE</v>
      </c>
      <c r="F244" s="8" t="str">
        <f>[1]Data!F244</f>
        <v>Pico Rivera</v>
      </c>
      <c r="G244" s="8">
        <f>[1]Data!G244</f>
        <v>0</v>
      </c>
      <c r="H244" s="8">
        <f>[1]Data!H244</f>
        <v>0</v>
      </c>
      <c r="I244" s="8">
        <f>[1]Data!I244</f>
        <v>17.417999999999999</v>
      </c>
      <c r="J244" s="8">
        <f>[1]Data!J244</f>
        <v>12.76143983</v>
      </c>
      <c r="K244" s="8">
        <f>[1]Data!K244</f>
        <v>16.76143983</v>
      </c>
      <c r="L244" s="8">
        <f>[1]Data!L244</f>
        <v>0.65556615294434495</v>
      </c>
      <c r="M244" s="8">
        <f>[1]Data!M244</f>
        <v>17.4170059829443</v>
      </c>
      <c r="N244" s="8">
        <f>[1]Data!N244</f>
        <v>0.23958333333333301</v>
      </c>
      <c r="O244" s="8">
        <f>[1]Data!O244</f>
        <v>0</v>
      </c>
      <c r="P244" s="8">
        <f>[1]Data!P244</f>
        <v>1</v>
      </c>
      <c r="Q244" s="8">
        <f>[1]Data!Q244</f>
        <v>0</v>
      </c>
      <c r="R244" s="8">
        <f>[1]Data!R244</f>
        <v>0</v>
      </c>
      <c r="S244" s="8">
        <f>[1]Data!S244</f>
        <v>0</v>
      </c>
      <c r="T244">
        <f t="shared" si="15"/>
        <v>0.23958333333333301</v>
      </c>
      <c r="U244">
        <f t="shared" si="16"/>
        <v>0</v>
      </c>
      <c r="V244" s="4" t="str">
        <f t="shared" si="17"/>
        <v>0</v>
      </c>
      <c r="W244" s="4" t="str">
        <f t="shared" si="18"/>
        <v>7</v>
      </c>
      <c r="X244" s="4" t="str">
        <f t="shared" si="19"/>
        <v>0CVCTE7</v>
      </c>
      <c r="Y244">
        <f>VLOOKUP(X244,Sheet1!$J$5:$K$121,2,FALSE)</f>
        <v>0</v>
      </c>
    </row>
    <row r="245" spans="1:25" x14ac:dyDescent="0.25">
      <c r="A245" s="8">
        <f>[1]Data!A245</f>
        <v>554406</v>
      </c>
      <c r="B245" s="8">
        <f>[1]Data!B245</f>
        <v>7</v>
      </c>
      <c r="C245" s="8">
        <f>[1]Data!C245</f>
        <v>0</v>
      </c>
      <c r="D245" s="8">
        <f>[1]Data!D245</f>
        <v>4</v>
      </c>
      <c r="E245" s="8" t="str">
        <f>[1]Data!E245</f>
        <v>CVCTE</v>
      </c>
      <c r="F245" s="8" t="str">
        <f>[1]Data!F245</f>
        <v>Bellflower</v>
      </c>
      <c r="G245" s="8">
        <f>[1]Data!G245</f>
        <v>0</v>
      </c>
      <c r="H245" s="8">
        <f>[1]Data!H245</f>
        <v>0</v>
      </c>
      <c r="I245" s="8">
        <f>[1]Data!I245</f>
        <v>13.276</v>
      </c>
      <c r="J245" s="8">
        <f>[1]Data!J245</f>
        <v>4.8620928000000001</v>
      </c>
      <c r="K245" s="8">
        <f>[1]Data!K245</f>
        <v>12.862092799999999</v>
      </c>
      <c r="L245" s="8">
        <f>[1]Data!L245</f>
        <v>0.414076613662478</v>
      </c>
      <c r="M245" s="8">
        <f>[1]Data!M245</f>
        <v>13.276169413662499</v>
      </c>
      <c r="N245" s="8">
        <f>[1]Data!N245</f>
        <v>0.23958333333333301</v>
      </c>
      <c r="O245" s="8">
        <f>[1]Data!O245</f>
        <v>0</v>
      </c>
      <c r="P245" s="8">
        <f>[1]Data!P245</f>
        <v>1</v>
      </c>
      <c r="Q245" s="8">
        <f>[1]Data!Q245</f>
        <v>0</v>
      </c>
      <c r="R245" s="8">
        <f>[1]Data!R245</f>
        <v>0</v>
      </c>
      <c r="S245" s="8">
        <f>[1]Data!S245</f>
        <v>0</v>
      </c>
      <c r="T245">
        <f t="shared" si="15"/>
        <v>0.23958333333333301</v>
      </c>
      <c r="U245">
        <f t="shared" si="16"/>
        <v>0</v>
      </c>
      <c r="V245" s="4" t="str">
        <f t="shared" si="17"/>
        <v>0</v>
      </c>
      <c r="W245" s="4" t="str">
        <f t="shared" si="18"/>
        <v>7</v>
      </c>
      <c r="X245" s="4" t="str">
        <f t="shared" si="19"/>
        <v>0CVCTE7</v>
      </c>
      <c r="Y245">
        <f>VLOOKUP(X245,Sheet1!$J$5:$K$121,2,FALSE)</f>
        <v>0</v>
      </c>
    </row>
    <row r="246" spans="1:25" x14ac:dyDescent="0.25">
      <c r="A246" s="8">
        <f>[1]Data!A246</f>
        <v>554518</v>
      </c>
      <c r="B246" s="8">
        <f>[1]Data!B246</f>
        <v>7</v>
      </c>
      <c r="C246" s="8">
        <f>[1]Data!C246</f>
        <v>0</v>
      </c>
      <c r="D246" s="8">
        <f>[1]Data!D246</f>
        <v>4</v>
      </c>
      <c r="E246" s="8" t="str">
        <f>[1]Data!E246</f>
        <v>CVCTE</v>
      </c>
      <c r="F246" s="8" t="str">
        <f>[1]Data!F246</f>
        <v>Cerritos</v>
      </c>
      <c r="G246" s="8">
        <f>[1]Data!G246</f>
        <v>0</v>
      </c>
      <c r="H246" s="8">
        <f>[1]Data!H246</f>
        <v>0</v>
      </c>
      <c r="I246" s="8">
        <f>[1]Data!I246</f>
        <v>4.9029999999999996</v>
      </c>
      <c r="J246" s="8">
        <f>[1]Data!J246</f>
        <v>3.7168318299999998</v>
      </c>
      <c r="K246" s="8">
        <f>[1]Data!K246</f>
        <v>4.7168318300000003</v>
      </c>
      <c r="L246" s="8">
        <f>[1]Data!L246</f>
        <v>0.18615811166965901</v>
      </c>
      <c r="M246" s="8">
        <f>[1]Data!M246</f>
        <v>4.9029899416696603</v>
      </c>
      <c r="N246" s="8">
        <f>[1]Data!N246</f>
        <v>0.23958333333333301</v>
      </c>
      <c r="O246" s="8">
        <f>[1]Data!O246</f>
        <v>0</v>
      </c>
      <c r="P246" s="8">
        <f>[1]Data!P246</f>
        <v>1</v>
      </c>
      <c r="Q246" s="8">
        <f>[1]Data!Q246</f>
        <v>0</v>
      </c>
      <c r="R246" s="8">
        <f>[1]Data!R246</f>
        <v>0</v>
      </c>
      <c r="S246" s="8">
        <f>[1]Data!S246</f>
        <v>0</v>
      </c>
      <c r="T246">
        <f t="shared" si="15"/>
        <v>0.23958333333333301</v>
      </c>
      <c r="U246">
        <f t="shared" si="16"/>
        <v>0</v>
      </c>
      <c r="V246" s="4" t="str">
        <f t="shared" si="17"/>
        <v>0</v>
      </c>
      <c r="W246" s="4" t="str">
        <f t="shared" si="18"/>
        <v>7</v>
      </c>
      <c r="X246" s="4" t="str">
        <f t="shared" si="19"/>
        <v>0CVCTE7</v>
      </c>
      <c r="Y246">
        <f>VLOOKUP(X246,Sheet1!$J$5:$K$121,2,FALSE)</f>
        <v>0</v>
      </c>
    </row>
    <row r="247" spans="1:25" x14ac:dyDescent="0.25">
      <c r="A247" s="8">
        <f>[1]Data!A247</f>
        <v>554521</v>
      </c>
      <c r="B247" s="8">
        <f>[1]Data!B247</f>
        <v>7</v>
      </c>
      <c r="C247" s="8">
        <f>[1]Data!C247</f>
        <v>0</v>
      </c>
      <c r="D247" s="8">
        <f>[1]Data!D247</f>
        <v>4</v>
      </c>
      <c r="E247" s="8" t="str">
        <f>[1]Data!E247</f>
        <v>CVCTE</v>
      </c>
      <c r="F247" s="8" t="str">
        <f>[1]Data!F247</f>
        <v>Cerritos</v>
      </c>
      <c r="G247" s="8">
        <f>[1]Data!G247</f>
        <v>0</v>
      </c>
      <c r="H247" s="8">
        <f>[1]Data!H247</f>
        <v>0</v>
      </c>
      <c r="I247" s="8">
        <f>[1]Data!I247</f>
        <v>41.417999999999999</v>
      </c>
      <c r="J247" s="8">
        <f>[1]Data!J247</f>
        <v>28.991780519999999</v>
      </c>
      <c r="K247" s="8">
        <f>[1]Data!K247</f>
        <v>40.991780519999999</v>
      </c>
      <c r="L247" s="8">
        <f>[1]Data!L247</f>
        <v>0.42661870035906602</v>
      </c>
      <c r="M247" s="8">
        <f>[1]Data!M247</f>
        <v>41.418399220359099</v>
      </c>
      <c r="N247" s="8">
        <f>[1]Data!N247</f>
        <v>0.23958333333333301</v>
      </c>
      <c r="O247" s="8">
        <f>[1]Data!O247</f>
        <v>0</v>
      </c>
      <c r="P247" s="8">
        <f>[1]Data!P247</f>
        <v>1</v>
      </c>
      <c r="Q247" s="8">
        <f>[1]Data!Q247</f>
        <v>0</v>
      </c>
      <c r="R247" s="8">
        <f>[1]Data!R247</f>
        <v>0</v>
      </c>
      <c r="S247" s="8">
        <f>[1]Data!S247</f>
        <v>0</v>
      </c>
      <c r="T247">
        <f t="shared" si="15"/>
        <v>0.23958333333333301</v>
      </c>
      <c r="U247">
        <f t="shared" si="16"/>
        <v>0</v>
      </c>
      <c r="V247" s="4" t="str">
        <f t="shared" si="17"/>
        <v>0</v>
      </c>
      <c r="W247" s="4" t="str">
        <f t="shared" si="18"/>
        <v>7</v>
      </c>
      <c r="X247" s="4" t="str">
        <f t="shared" si="19"/>
        <v>0CVCTE7</v>
      </c>
      <c r="Y247">
        <f>VLOOKUP(X247,Sheet1!$J$5:$K$121,2,FALSE)</f>
        <v>0</v>
      </c>
    </row>
    <row r="248" spans="1:25" x14ac:dyDescent="0.25">
      <c r="A248" s="8">
        <f>[1]Data!A248</f>
        <v>554700</v>
      </c>
      <c r="B248" s="8">
        <f>[1]Data!B248</f>
        <v>7</v>
      </c>
      <c r="C248" s="8">
        <f>[1]Data!C248</f>
        <v>0</v>
      </c>
      <c r="D248" s="8">
        <f>[1]Data!D248</f>
        <v>4</v>
      </c>
      <c r="E248" s="8" t="str">
        <f>[1]Data!E248</f>
        <v>CVCTE</v>
      </c>
      <c r="F248" s="8" t="str">
        <f>[1]Data!F248</f>
        <v>Norwalk</v>
      </c>
      <c r="G248" s="8">
        <f>[1]Data!G248</f>
        <v>0</v>
      </c>
      <c r="H248" s="8">
        <f>[1]Data!H248</f>
        <v>0</v>
      </c>
      <c r="I248" s="8">
        <f>[1]Data!I248</f>
        <v>37.771999999999998</v>
      </c>
      <c r="J248" s="8">
        <f>[1]Data!J248</f>
        <v>22.392875910000001</v>
      </c>
      <c r="K248" s="8">
        <f>[1]Data!K248</f>
        <v>37.392875910000001</v>
      </c>
      <c r="L248" s="8">
        <f>[1]Data!L248</f>
        <v>0.37833054904847402</v>
      </c>
      <c r="M248" s="8">
        <f>[1]Data!M248</f>
        <v>37.7712064590485</v>
      </c>
      <c r="N248" s="8">
        <f>[1]Data!N248</f>
        <v>0.23958333333333301</v>
      </c>
      <c r="O248" s="8">
        <f>[1]Data!O248</f>
        <v>0</v>
      </c>
      <c r="P248" s="8">
        <f>[1]Data!P248</f>
        <v>1</v>
      </c>
      <c r="Q248" s="8">
        <f>[1]Data!Q248</f>
        <v>0</v>
      </c>
      <c r="R248" s="8">
        <f>[1]Data!R248</f>
        <v>0</v>
      </c>
      <c r="S248" s="8">
        <f>[1]Data!S248</f>
        <v>0</v>
      </c>
      <c r="T248">
        <f t="shared" si="15"/>
        <v>0.23958333333333301</v>
      </c>
      <c r="U248">
        <f t="shared" si="16"/>
        <v>0</v>
      </c>
      <c r="V248" s="4" t="str">
        <f t="shared" si="17"/>
        <v>0</v>
      </c>
      <c r="W248" s="4" t="str">
        <f t="shared" si="18"/>
        <v>7</v>
      </c>
      <c r="X248" s="4" t="str">
        <f t="shared" si="19"/>
        <v>0CVCTE7</v>
      </c>
      <c r="Y248">
        <f>VLOOKUP(X248,Sheet1!$J$5:$K$121,2,FALSE)</f>
        <v>0</v>
      </c>
    </row>
    <row r="249" spans="1:25" x14ac:dyDescent="0.25">
      <c r="A249" s="8">
        <f>[1]Data!A249</f>
        <v>555001</v>
      </c>
      <c r="B249" s="8">
        <f>[1]Data!B249</f>
        <v>7</v>
      </c>
      <c r="C249" s="8">
        <f>[1]Data!C249</f>
        <v>0</v>
      </c>
      <c r="D249" s="8">
        <f>[1]Data!D249</f>
        <v>4</v>
      </c>
      <c r="E249" s="8" t="str">
        <f>[1]Data!E249</f>
        <v>CVCTE</v>
      </c>
      <c r="F249" s="8" t="str">
        <f>[1]Data!F249</f>
        <v>Lakewood</v>
      </c>
      <c r="G249" s="8">
        <f>[1]Data!G249</f>
        <v>0</v>
      </c>
      <c r="H249" s="8">
        <f>[1]Data!H249</f>
        <v>0</v>
      </c>
      <c r="I249" s="8">
        <f>[1]Data!I249</f>
        <v>1.9259999999999999</v>
      </c>
      <c r="J249" s="8">
        <f>[1]Data!J249</f>
        <v>1.90487994</v>
      </c>
      <c r="K249" s="8">
        <f>[1]Data!K249</f>
        <v>1.90487994</v>
      </c>
      <c r="L249" s="8">
        <f>[1]Data!L249</f>
        <v>2.0625322082585301E-2</v>
      </c>
      <c r="M249" s="8">
        <f>[1]Data!M249</f>
        <v>1.9255052620825901</v>
      </c>
      <c r="N249" s="8">
        <f>[1]Data!N249</f>
        <v>0.23958333333333301</v>
      </c>
      <c r="O249" s="8">
        <f>[1]Data!O249</f>
        <v>0</v>
      </c>
      <c r="P249" s="8">
        <f>[1]Data!P249</f>
        <v>1</v>
      </c>
      <c r="Q249" s="8">
        <f>[1]Data!Q249</f>
        <v>0</v>
      </c>
      <c r="R249" s="8">
        <f>[1]Data!R249</f>
        <v>0</v>
      </c>
      <c r="S249" s="8">
        <f>[1]Data!S249</f>
        <v>0</v>
      </c>
      <c r="T249">
        <f t="shared" si="15"/>
        <v>0.23958333333333301</v>
      </c>
      <c r="U249">
        <f t="shared" si="16"/>
        <v>0</v>
      </c>
      <c r="V249" s="4" t="str">
        <f t="shared" si="17"/>
        <v>0</v>
      </c>
      <c r="W249" s="4" t="str">
        <f t="shared" si="18"/>
        <v>7</v>
      </c>
      <c r="X249" s="4" t="str">
        <f t="shared" si="19"/>
        <v>0CVCTE7</v>
      </c>
      <c r="Y249">
        <f>VLOOKUP(X249,Sheet1!$J$5:$K$121,2,FALSE)</f>
        <v>0</v>
      </c>
    </row>
    <row r="250" spans="1:25" x14ac:dyDescent="0.25">
      <c r="A250" s="8">
        <f>[1]Data!A250</f>
        <v>555002</v>
      </c>
      <c r="B250" s="8">
        <f>[1]Data!B250</f>
        <v>7</v>
      </c>
      <c r="C250" s="8">
        <f>[1]Data!C250</f>
        <v>0</v>
      </c>
      <c r="D250" s="8">
        <f>[1]Data!D250</f>
        <v>4</v>
      </c>
      <c r="E250" s="8" t="str">
        <f>[1]Data!E250</f>
        <v>CVCTE</v>
      </c>
      <c r="F250" s="8" t="str">
        <f>[1]Data!F250</f>
        <v>Lakewood</v>
      </c>
      <c r="G250" s="8">
        <f>[1]Data!G250</f>
        <v>0</v>
      </c>
      <c r="H250" s="8">
        <f>[1]Data!H250</f>
        <v>0</v>
      </c>
      <c r="I250" s="8">
        <f>[1]Data!I250</f>
        <v>23.181999999999999</v>
      </c>
      <c r="J250" s="8">
        <f>[1]Data!J250</f>
        <v>15.015451199999999</v>
      </c>
      <c r="K250" s="8">
        <f>[1]Data!K250</f>
        <v>23.015451200000001</v>
      </c>
      <c r="L250" s="8">
        <f>[1]Data!L250</f>
        <v>0.16586918633752201</v>
      </c>
      <c r="M250" s="8">
        <f>[1]Data!M250</f>
        <v>23.1813203863375</v>
      </c>
      <c r="N250" s="8">
        <f>[1]Data!N250</f>
        <v>0.23958333333333301</v>
      </c>
      <c r="O250" s="8">
        <f>[1]Data!O250</f>
        <v>0</v>
      </c>
      <c r="P250" s="8">
        <f>[1]Data!P250</f>
        <v>1</v>
      </c>
      <c r="Q250" s="8">
        <f>[1]Data!Q250</f>
        <v>0</v>
      </c>
      <c r="R250" s="8">
        <f>[1]Data!R250</f>
        <v>0</v>
      </c>
      <c r="S250" s="8">
        <f>[1]Data!S250</f>
        <v>0</v>
      </c>
      <c r="T250">
        <f t="shared" si="15"/>
        <v>0.23958333333333301</v>
      </c>
      <c r="U250">
        <f t="shared" si="16"/>
        <v>0</v>
      </c>
      <c r="V250" s="4" t="str">
        <f t="shared" si="17"/>
        <v>0</v>
      </c>
      <c r="W250" s="4" t="str">
        <f t="shared" si="18"/>
        <v>7</v>
      </c>
      <c r="X250" s="4" t="str">
        <f t="shared" si="19"/>
        <v>0CVCTE7</v>
      </c>
      <c r="Y250">
        <f>VLOOKUP(X250,Sheet1!$J$5:$K$121,2,FALSE)</f>
        <v>0</v>
      </c>
    </row>
    <row r="251" spans="1:25" x14ac:dyDescent="0.25">
      <c r="A251" s="8">
        <f>[1]Data!A251</f>
        <v>555103</v>
      </c>
      <c r="B251" s="8">
        <f>[1]Data!B251</f>
        <v>7</v>
      </c>
      <c r="C251" s="8">
        <f>[1]Data!C251</f>
        <v>0</v>
      </c>
      <c r="D251" s="8">
        <f>[1]Data!D251</f>
        <v>4</v>
      </c>
      <c r="E251" s="8" t="str">
        <f>[1]Data!E251</f>
        <v>CVCTE</v>
      </c>
      <c r="F251" s="8" t="str">
        <f>[1]Data!F251</f>
        <v>Lakewood</v>
      </c>
      <c r="G251" s="8">
        <f>[1]Data!G251</f>
        <v>0</v>
      </c>
      <c r="H251" s="8">
        <f>[1]Data!H251</f>
        <v>0</v>
      </c>
      <c r="I251" s="8">
        <f>[1]Data!I251</f>
        <v>2.9260000000000002</v>
      </c>
      <c r="J251" s="8">
        <f>[1]Data!J251</f>
        <v>1.90487994</v>
      </c>
      <c r="K251" s="8">
        <f>[1]Data!K251</f>
        <v>2.9048799399999998</v>
      </c>
      <c r="L251" s="8">
        <f>[1]Data!L251</f>
        <v>2.0625322082585301E-2</v>
      </c>
      <c r="M251" s="8">
        <f>[1]Data!M251</f>
        <v>2.9255052620825901</v>
      </c>
      <c r="N251" s="8">
        <f>[1]Data!N251</f>
        <v>0.23958333333333301</v>
      </c>
      <c r="O251" s="8">
        <f>[1]Data!O251</f>
        <v>0</v>
      </c>
      <c r="P251" s="8">
        <f>[1]Data!P251</f>
        <v>1</v>
      </c>
      <c r="Q251" s="8">
        <f>[1]Data!Q251</f>
        <v>0</v>
      </c>
      <c r="R251" s="8">
        <f>[1]Data!R251</f>
        <v>0</v>
      </c>
      <c r="S251" s="8">
        <f>[1]Data!S251</f>
        <v>0</v>
      </c>
      <c r="T251">
        <f t="shared" si="15"/>
        <v>0.23958333333333301</v>
      </c>
      <c r="U251">
        <f t="shared" si="16"/>
        <v>0</v>
      </c>
      <c r="V251" s="4" t="str">
        <f t="shared" si="17"/>
        <v>0</v>
      </c>
      <c r="W251" s="4" t="str">
        <f t="shared" si="18"/>
        <v>7</v>
      </c>
      <c r="X251" s="4" t="str">
        <f t="shared" si="19"/>
        <v>0CVCTE7</v>
      </c>
      <c r="Y251">
        <f>VLOOKUP(X251,Sheet1!$J$5:$K$121,2,FALSE)</f>
        <v>0</v>
      </c>
    </row>
    <row r="252" spans="1:25" x14ac:dyDescent="0.25">
      <c r="A252" s="8">
        <f>[1]Data!A252</f>
        <v>555102</v>
      </c>
      <c r="B252" s="8">
        <f>[1]Data!B252</f>
        <v>7</v>
      </c>
      <c r="C252" s="8">
        <f>[1]Data!C252</f>
        <v>0</v>
      </c>
      <c r="D252" s="8">
        <f>[1]Data!D252</f>
        <v>4</v>
      </c>
      <c r="E252" s="8" t="str">
        <f>[1]Data!E252</f>
        <v>CVCTE</v>
      </c>
      <c r="F252" s="8" t="str">
        <f>[1]Data!F252</f>
        <v>Hawaiian Gardens</v>
      </c>
      <c r="G252" s="8">
        <f>[1]Data!G252</f>
        <v>1</v>
      </c>
      <c r="H252" s="8">
        <f>[1]Data!H252</f>
        <v>1</v>
      </c>
      <c r="I252" s="8">
        <f>[1]Data!I252</f>
        <v>14.061999999999999</v>
      </c>
      <c r="J252" s="8">
        <f>[1]Data!J252</f>
        <v>11.6657388</v>
      </c>
      <c r="K252" s="8">
        <f>[1]Data!K252</f>
        <v>13.6657388</v>
      </c>
      <c r="L252" s="8">
        <f>[1]Data!L252</f>
        <v>0.39539377039497298</v>
      </c>
      <c r="M252" s="8">
        <f>[1]Data!M252</f>
        <v>14.061132570394999</v>
      </c>
      <c r="N252" s="8">
        <f>[1]Data!N252</f>
        <v>0.23958333333333301</v>
      </c>
      <c r="O252" s="8">
        <f>[1]Data!O252</f>
        <v>4.1739130434782599</v>
      </c>
      <c r="P252" s="8">
        <f>[1]Data!P252</f>
        <v>1</v>
      </c>
      <c r="Q252" s="8">
        <f>[1]Data!Q252</f>
        <v>0</v>
      </c>
      <c r="R252" s="8">
        <f>[1]Data!R252</f>
        <v>0</v>
      </c>
      <c r="S252" s="8">
        <f>[1]Data!S252</f>
        <v>0</v>
      </c>
      <c r="T252">
        <f t="shared" si="15"/>
        <v>0.23958333333333301</v>
      </c>
      <c r="U252">
        <f t="shared" si="16"/>
        <v>4.1739130434782661</v>
      </c>
      <c r="V252" s="4" t="str">
        <f t="shared" si="17"/>
        <v>0</v>
      </c>
      <c r="W252" s="4" t="str">
        <f t="shared" si="18"/>
        <v>7</v>
      </c>
      <c r="X252" s="4" t="str">
        <f t="shared" si="19"/>
        <v>0CVCTE7</v>
      </c>
      <c r="Y252">
        <f>VLOOKUP(X252,Sheet1!$J$5:$K$121,2,FALSE)</f>
        <v>0</v>
      </c>
    </row>
    <row r="253" spans="1:25" x14ac:dyDescent="0.25">
      <c r="A253" s="8">
        <f>[1]Data!A253</f>
        <v>570800</v>
      </c>
      <c r="B253" s="8">
        <f>[1]Data!B253</f>
        <v>7</v>
      </c>
      <c r="C253" s="8">
        <f>[1]Data!C253</f>
        <v>0</v>
      </c>
      <c r="D253" s="8">
        <f>[1]Data!D253</f>
        <v>4</v>
      </c>
      <c r="E253" s="8" t="str">
        <f>[1]Data!E253</f>
        <v>CVCTE</v>
      </c>
      <c r="F253" s="8" t="str">
        <f>[1]Data!F253</f>
        <v>Lakewood</v>
      </c>
      <c r="G253" s="8">
        <f>[1]Data!G253</f>
        <v>0</v>
      </c>
      <c r="H253" s="8">
        <f>[1]Data!H253</f>
        <v>0</v>
      </c>
      <c r="I253" s="8">
        <f>[1]Data!I253</f>
        <v>16.192</v>
      </c>
      <c r="J253" s="8">
        <f>[1]Data!J253</f>
        <v>11.378498049999999</v>
      </c>
      <c r="K253" s="8">
        <f>[1]Data!K253</f>
        <v>15.378498049999999</v>
      </c>
      <c r="L253" s="8">
        <f>[1]Data!L253</f>
        <v>0.81259145831238799</v>
      </c>
      <c r="M253" s="8">
        <f>[1]Data!M253</f>
        <v>16.191089508312398</v>
      </c>
      <c r="N253" s="8">
        <f>[1]Data!N253</f>
        <v>0.23958333333333301</v>
      </c>
      <c r="O253" s="8">
        <f>[1]Data!O253</f>
        <v>0</v>
      </c>
      <c r="P253" s="8">
        <f>[1]Data!P253</f>
        <v>1</v>
      </c>
      <c r="Q253" s="8">
        <f>[1]Data!Q253</f>
        <v>0</v>
      </c>
      <c r="R253" s="8">
        <f>[1]Data!R253</f>
        <v>0</v>
      </c>
      <c r="S253" s="8">
        <f>[1]Data!S253</f>
        <v>0</v>
      </c>
      <c r="T253">
        <f t="shared" si="15"/>
        <v>0.23958333333333301</v>
      </c>
      <c r="U253">
        <f t="shared" si="16"/>
        <v>0</v>
      </c>
      <c r="V253" s="4" t="str">
        <f t="shared" si="17"/>
        <v>0</v>
      </c>
      <c r="W253" s="4" t="str">
        <f t="shared" si="18"/>
        <v>7</v>
      </c>
      <c r="X253" s="4" t="str">
        <f t="shared" si="19"/>
        <v>0CVCTE7</v>
      </c>
      <c r="Y253">
        <f>VLOOKUP(X253,Sheet1!$J$5:$K$121,2,FALSE)</f>
        <v>0</v>
      </c>
    </row>
    <row r="254" spans="1:25" x14ac:dyDescent="0.25">
      <c r="A254" s="8">
        <f>[1]Data!A254</f>
        <v>555104</v>
      </c>
      <c r="B254" s="8">
        <f>[1]Data!B254</f>
        <v>7</v>
      </c>
      <c r="C254" s="8">
        <f>[1]Data!C254</f>
        <v>0</v>
      </c>
      <c r="D254" s="8">
        <f>[1]Data!D254</f>
        <v>4</v>
      </c>
      <c r="E254" s="8" t="str">
        <f>[1]Data!E254</f>
        <v>CVCTE</v>
      </c>
      <c r="F254" s="8" t="str">
        <f>[1]Data!F254</f>
        <v>Hawaiian Gardens</v>
      </c>
      <c r="G254" s="8">
        <f>[1]Data!G254</f>
        <v>0</v>
      </c>
      <c r="H254" s="8">
        <f>[1]Data!H254</f>
        <v>0</v>
      </c>
      <c r="I254" s="8">
        <f>[1]Data!I254</f>
        <v>22.015000000000001</v>
      </c>
      <c r="J254" s="8">
        <f>[1]Data!J254</f>
        <v>17.070557099999998</v>
      </c>
      <c r="K254" s="8">
        <f>[1]Data!K254</f>
        <v>21.070557099999998</v>
      </c>
      <c r="L254" s="8">
        <f>[1]Data!L254</f>
        <v>0.94377500588868901</v>
      </c>
      <c r="M254" s="8">
        <f>[1]Data!M254</f>
        <v>22.014332105888698</v>
      </c>
      <c r="N254" s="8">
        <f>[1]Data!N254</f>
        <v>0.23958333333333301</v>
      </c>
      <c r="O254" s="8">
        <f>[1]Data!O254</f>
        <v>0</v>
      </c>
      <c r="P254" s="8">
        <f>[1]Data!P254</f>
        <v>1</v>
      </c>
      <c r="Q254" s="8">
        <f>[1]Data!Q254</f>
        <v>0</v>
      </c>
      <c r="R254" s="8">
        <f>[1]Data!R254</f>
        <v>0</v>
      </c>
      <c r="S254" s="8">
        <f>[1]Data!S254</f>
        <v>0</v>
      </c>
      <c r="T254">
        <f t="shared" si="15"/>
        <v>0.23958333333333301</v>
      </c>
      <c r="U254">
        <f t="shared" si="16"/>
        <v>0</v>
      </c>
      <c r="V254" s="4" t="str">
        <f t="shared" si="17"/>
        <v>0</v>
      </c>
      <c r="W254" s="4" t="str">
        <f t="shared" si="18"/>
        <v>7</v>
      </c>
      <c r="X254" s="4" t="str">
        <f t="shared" si="19"/>
        <v>0CVCTE7</v>
      </c>
      <c r="Y254">
        <f>VLOOKUP(X254,Sheet1!$J$5:$K$121,2,FALSE)</f>
        <v>0</v>
      </c>
    </row>
    <row r="255" spans="1:25" x14ac:dyDescent="0.25">
      <c r="A255" s="8">
        <f>[1]Data!A255</f>
        <v>570702</v>
      </c>
      <c r="B255" s="8">
        <f>[1]Data!B255</f>
        <v>7</v>
      </c>
      <c r="C255" s="8">
        <f>[1]Data!C255</f>
        <v>0</v>
      </c>
      <c r="D255" s="8">
        <f>[1]Data!D255</f>
        <v>4</v>
      </c>
      <c r="E255" s="8" t="str">
        <f>[1]Data!E255</f>
        <v>CVCTE</v>
      </c>
      <c r="F255" s="8" t="str">
        <f>[1]Data!F255</f>
        <v>Lakewood</v>
      </c>
      <c r="G255" s="8">
        <f>[1]Data!G255</f>
        <v>1</v>
      </c>
      <c r="H255" s="8">
        <f>[1]Data!H255</f>
        <v>1</v>
      </c>
      <c r="I255" s="8">
        <f>[1]Data!I255</f>
        <v>1</v>
      </c>
      <c r="J255" s="8">
        <f>[1]Data!J255</f>
        <v>0</v>
      </c>
      <c r="K255" s="8">
        <f>[1]Data!K255</f>
        <v>1</v>
      </c>
      <c r="L255" s="8">
        <f>[1]Data!L255</f>
        <v>0</v>
      </c>
      <c r="M255" s="8">
        <f>[1]Data!M255</f>
        <v>1</v>
      </c>
      <c r="N255" s="8">
        <f>[1]Data!N255</f>
        <v>0.23958333333333301</v>
      </c>
      <c r="O255" s="8">
        <f>[1]Data!O255</f>
        <v>4.1739130434782599</v>
      </c>
      <c r="P255" s="8">
        <f>[1]Data!P255</f>
        <v>1</v>
      </c>
      <c r="Q255" s="8">
        <f>[1]Data!Q255</f>
        <v>0</v>
      </c>
      <c r="R255" s="8">
        <f>[1]Data!R255</f>
        <v>0</v>
      </c>
      <c r="S255" s="8">
        <f>[1]Data!S255</f>
        <v>0</v>
      </c>
      <c r="T255">
        <f t="shared" si="15"/>
        <v>0.23958333333333301</v>
      </c>
      <c r="U255">
        <f t="shared" si="16"/>
        <v>4.1739130434782661</v>
      </c>
      <c r="V255" s="4" t="str">
        <f t="shared" si="17"/>
        <v>0</v>
      </c>
      <c r="W255" s="4" t="str">
        <f t="shared" si="18"/>
        <v>7</v>
      </c>
      <c r="X255" s="4" t="str">
        <f t="shared" si="19"/>
        <v>0CVCTE7</v>
      </c>
      <c r="Y255">
        <f>VLOOKUP(X255,Sheet1!$J$5:$K$121,2,FALSE)</f>
        <v>0</v>
      </c>
    </row>
    <row r="256" spans="1:25" x14ac:dyDescent="0.25">
      <c r="A256" s="8">
        <f>[1]Data!A256</f>
        <v>543703</v>
      </c>
      <c r="B256" s="8">
        <f>[1]Data!B256</f>
        <v>8</v>
      </c>
      <c r="C256" s="8">
        <f>[1]Data!C256</f>
        <v>0</v>
      </c>
      <c r="D256" s="8">
        <f>[1]Data!D256</f>
        <v>2</v>
      </c>
      <c r="E256" s="8" t="str">
        <f>[1]Data!E256</f>
        <v>CVCTE</v>
      </c>
      <c r="F256" s="8" t="str">
        <f>[1]Data!F256</f>
        <v>Carson</v>
      </c>
      <c r="G256" s="8">
        <f>[1]Data!G256</f>
        <v>0</v>
      </c>
      <c r="H256" s="8">
        <f>[1]Data!H256</f>
        <v>0</v>
      </c>
      <c r="I256" s="8">
        <f>[1]Data!I256</f>
        <v>13.856</v>
      </c>
      <c r="J256" s="8">
        <f>[1]Data!J256</f>
        <v>10.91281468</v>
      </c>
      <c r="K256" s="8">
        <f>[1]Data!K256</f>
        <v>12.91281468</v>
      </c>
      <c r="L256" s="8">
        <f>[1]Data!L256</f>
        <v>0.94341814236983801</v>
      </c>
      <c r="M256" s="8">
        <f>[1]Data!M256</f>
        <v>13.856232822369799</v>
      </c>
      <c r="N256" s="8">
        <f>[1]Data!N256</f>
        <v>0.27272727272727298</v>
      </c>
      <c r="O256" s="8">
        <f>[1]Data!O256</f>
        <v>0</v>
      </c>
      <c r="P256" s="8">
        <f>[1]Data!P256</f>
        <v>0.64935064935064901</v>
      </c>
      <c r="Q256" s="8">
        <f>[1]Data!Q256</f>
        <v>0</v>
      </c>
      <c r="R256" s="8">
        <f>[1]Data!R256</f>
        <v>0</v>
      </c>
      <c r="S256" s="8">
        <f>[1]Data!S256</f>
        <v>0</v>
      </c>
      <c r="T256">
        <f t="shared" si="15"/>
        <v>0.27272727272727298</v>
      </c>
      <c r="U256">
        <f t="shared" si="16"/>
        <v>0</v>
      </c>
      <c r="V256" s="4" t="str">
        <f t="shared" si="17"/>
        <v>0</v>
      </c>
      <c r="W256" s="4" t="str">
        <f t="shared" si="18"/>
        <v>8</v>
      </c>
      <c r="X256" s="4" t="str">
        <f t="shared" si="19"/>
        <v>0CVCTE8</v>
      </c>
      <c r="Y256">
        <f>VLOOKUP(X256,Sheet1!$J$5:$K$121,2,FALSE)</f>
        <v>0</v>
      </c>
    </row>
    <row r="257" spans="1:25" x14ac:dyDescent="0.25">
      <c r="A257" s="8">
        <f>[1]Data!A257</f>
        <v>543502</v>
      </c>
      <c r="B257" s="8">
        <f>[1]Data!B257</f>
        <v>8</v>
      </c>
      <c r="C257" s="8">
        <f>[1]Data!C257</f>
        <v>0</v>
      </c>
      <c r="D257" s="8">
        <f>[1]Data!D257</f>
        <v>2</v>
      </c>
      <c r="E257" s="8" t="str">
        <f>[1]Data!E257</f>
        <v>CVCTE</v>
      </c>
      <c r="F257" s="8" t="str">
        <f>[1]Data!F257</f>
        <v>West Carson</v>
      </c>
      <c r="G257" s="8">
        <f>[1]Data!G257</f>
        <v>0</v>
      </c>
      <c r="H257" s="8">
        <f>[1]Data!H257</f>
        <v>0</v>
      </c>
      <c r="I257" s="8">
        <f>[1]Data!I257</f>
        <v>28.468</v>
      </c>
      <c r="J257" s="8">
        <f>[1]Data!J257</f>
        <v>27.020092770000002</v>
      </c>
      <c r="K257" s="8">
        <f>[1]Data!K257</f>
        <v>27.020092770000002</v>
      </c>
      <c r="L257" s="8">
        <f>[1]Data!L257</f>
        <v>1.4478551460682201</v>
      </c>
      <c r="M257" s="8">
        <f>[1]Data!M257</f>
        <v>28.467947916068201</v>
      </c>
      <c r="N257" s="8">
        <f>[1]Data!N257</f>
        <v>0.27272727272727298</v>
      </c>
      <c r="O257" s="8">
        <f>[1]Data!O257</f>
        <v>0</v>
      </c>
      <c r="P257" s="8">
        <f>[1]Data!P257</f>
        <v>0.64935064935064901</v>
      </c>
      <c r="Q257" s="8">
        <f>[1]Data!Q257</f>
        <v>0</v>
      </c>
      <c r="R257" s="8">
        <f>[1]Data!R257</f>
        <v>0</v>
      </c>
      <c r="S257" s="8">
        <f>[1]Data!S257</f>
        <v>0</v>
      </c>
      <c r="T257">
        <f t="shared" si="15"/>
        <v>0.27272727272727298</v>
      </c>
      <c r="U257">
        <f t="shared" si="16"/>
        <v>0</v>
      </c>
      <c r="V257" s="4" t="str">
        <f t="shared" si="17"/>
        <v>0</v>
      </c>
      <c r="W257" s="4" t="str">
        <f t="shared" si="18"/>
        <v>8</v>
      </c>
      <c r="X257" s="4" t="str">
        <f t="shared" si="19"/>
        <v>0CVCTE8</v>
      </c>
      <c r="Y257">
        <f>VLOOKUP(X257,Sheet1!$J$5:$K$121,2,FALSE)</f>
        <v>0</v>
      </c>
    </row>
    <row r="258" spans="1:25" x14ac:dyDescent="0.25">
      <c r="A258" s="8">
        <f>[1]Data!A258</f>
        <v>543305</v>
      </c>
      <c r="B258" s="8">
        <f>[1]Data!B258</f>
        <v>8</v>
      </c>
      <c r="C258" s="8">
        <f>[1]Data!C258</f>
        <v>0</v>
      </c>
      <c r="D258" s="8">
        <f>[1]Data!D258</f>
        <v>2</v>
      </c>
      <c r="E258" s="8" t="str">
        <f>[1]Data!E258</f>
        <v>CVCTE</v>
      </c>
      <c r="F258" s="8" t="str">
        <f>[1]Data!F258</f>
        <v>Unincorporated Compton</v>
      </c>
      <c r="G258" s="8">
        <f>[1]Data!G258</f>
        <v>0</v>
      </c>
      <c r="H258" s="8">
        <f>[1]Data!H258</f>
        <v>0</v>
      </c>
      <c r="I258" s="8">
        <f>[1]Data!I258</f>
        <v>116.45699999999999</v>
      </c>
      <c r="J258" s="8">
        <f>[1]Data!J258</f>
        <v>99.161862130000003</v>
      </c>
      <c r="K258" s="8">
        <f>[1]Data!K258</f>
        <v>111.16186213</v>
      </c>
      <c r="L258" s="8">
        <f>[1]Data!L258</f>
        <v>5.2945584826570897</v>
      </c>
      <c r="M258" s="8">
        <f>[1]Data!M258</f>
        <v>116.456420612657</v>
      </c>
      <c r="N258" s="8">
        <f>[1]Data!N258</f>
        <v>0.27272727272727298</v>
      </c>
      <c r="O258" s="8">
        <f>[1]Data!O258</f>
        <v>0</v>
      </c>
      <c r="P258" s="8">
        <f>[1]Data!P258</f>
        <v>0.64935064935064901</v>
      </c>
      <c r="Q258" s="8">
        <f>[1]Data!Q258</f>
        <v>0</v>
      </c>
      <c r="R258" s="8">
        <f>[1]Data!R258</f>
        <v>0</v>
      </c>
      <c r="S258" s="8">
        <f>[1]Data!S258</f>
        <v>0</v>
      </c>
      <c r="T258">
        <f t="shared" si="15"/>
        <v>0.27272727272727298</v>
      </c>
      <c r="U258">
        <f t="shared" si="16"/>
        <v>0</v>
      </c>
      <c r="V258" s="4" t="str">
        <f t="shared" si="17"/>
        <v>0</v>
      </c>
      <c r="W258" s="4" t="str">
        <f t="shared" si="18"/>
        <v>8</v>
      </c>
      <c r="X258" s="4" t="str">
        <f t="shared" si="19"/>
        <v>0CVCTE8</v>
      </c>
      <c r="Y258">
        <f>VLOOKUP(X258,Sheet1!$J$5:$K$121,2,FALSE)</f>
        <v>0</v>
      </c>
    </row>
    <row r="259" spans="1:25" x14ac:dyDescent="0.25">
      <c r="A259" s="8">
        <f>[1]Data!A259</f>
        <v>980013</v>
      </c>
      <c r="B259" s="8">
        <f>[1]Data!B259</f>
        <v>8</v>
      </c>
      <c r="C259" s="8">
        <f>[1]Data!C259</f>
        <v>0</v>
      </c>
      <c r="D259" s="8">
        <f>[1]Data!D259</f>
        <v>4</v>
      </c>
      <c r="E259" s="8" t="str">
        <f>[1]Data!E259</f>
        <v>CVCTE</v>
      </c>
      <c r="F259" s="8" t="str">
        <f>[1]Data!F259</f>
        <v>El Segundo</v>
      </c>
      <c r="G259" s="8">
        <f>[1]Data!G259</f>
        <v>1</v>
      </c>
      <c r="H259" s="8">
        <f>[1]Data!H259</f>
        <v>1</v>
      </c>
      <c r="I259" s="8">
        <f>[1]Data!I259</f>
        <v>7.2320000000000002</v>
      </c>
      <c r="J259" s="8">
        <f>[1]Data!J259</f>
        <v>6.9325286799999999</v>
      </c>
      <c r="K259" s="8">
        <f>[1]Data!K259</f>
        <v>6.9325286799999999</v>
      </c>
      <c r="L259" s="8">
        <f>[1]Data!L259</f>
        <v>0.29994204114901302</v>
      </c>
      <c r="M259" s="8">
        <f>[1]Data!M259</f>
        <v>7.23247072114901</v>
      </c>
      <c r="N259" s="8">
        <f>[1]Data!N259</f>
        <v>0.27272727272727298</v>
      </c>
      <c r="O259" s="8">
        <f>[1]Data!O259</f>
        <v>3.6666666666666701</v>
      </c>
      <c r="P259" s="8">
        <f>[1]Data!P259</f>
        <v>0.64935064935064901</v>
      </c>
      <c r="Q259" s="8">
        <f>[1]Data!Q259</f>
        <v>0</v>
      </c>
      <c r="R259" s="8">
        <f>[1]Data!R259</f>
        <v>0</v>
      </c>
      <c r="S259" s="8">
        <f>[1]Data!S259</f>
        <v>0</v>
      </c>
      <c r="T259">
        <f t="shared" ref="T259:T322" si="20">N259+Y259*(1-N259)</f>
        <v>0.27272727272727298</v>
      </c>
      <c r="U259">
        <f t="shared" ref="U259:U322" si="21">IF(T259="",0,1/T259*H259)</f>
        <v>3.6666666666666634</v>
      </c>
      <c r="V259" s="4" t="str">
        <f t="shared" ref="V259:V322" si="22">TEXT(C259,"0")</f>
        <v>0</v>
      </c>
      <c r="W259" s="4" t="str">
        <f t="shared" ref="W259:W322" si="23">TEXT(B259,"0")</f>
        <v>8</v>
      </c>
      <c r="X259" s="4" t="str">
        <f t="shared" ref="X259:X322" si="24">CONCATENATE(V259,E259,W259)</f>
        <v>0CVCTE8</v>
      </c>
      <c r="Y259">
        <f>VLOOKUP(X259,Sheet1!$J$5:$K$121,2,FALSE)</f>
        <v>0</v>
      </c>
    </row>
    <row r="260" spans="1:25" x14ac:dyDescent="0.25">
      <c r="A260" s="8">
        <f>[1]Data!A260</f>
        <v>541002</v>
      </c>
      <c r="B260" s="8">
        <f>[1]Data!B260</f>
        <v>8</v>
      </c>
      <c r="C260" s="8">
        <f>[1]Data!C260</f>
        <v>0</v>
      </c>
      <c r="D260" s="8">
        <f>[1]Data!D260</f>
        <v>2</v>
      </c>
      <c r="E260" s="8" t="str">
        <f>[1]Data!E260</f>
        <v>CVCTE</v>
      </c>
      <c r="F260" s="8" t="str">
        <f>[1]Data!F260</f>
        <v>Carson</v>
      </c>
      <c r="G260" s="8">
        <f>[1]Data!G260</f>
        <v>0</v>
      </c>
      <c r="H260" s="8">
        <f>[1]Data!H260</f>
        <v>0</v>
      </c>
      <c r="I260" s="8">
        <f>[1]Data!I260</f>
        <v>35.326000000000001</v>
      </c>
      <c r="J260" s="8">
        <f>[1]Data!J260</f>
        <v>33.472326729999999</v>
      </c>
      <c r="K260" s="8">
        <f>[1]Data!K260</f>
        <v>33.472326729999999</v>
      </c>
      <c r="L260" s="8">
        <f>[1]Data!L260</f>
        <v>1.85374713240575</v>
      </c>
      <c r="M260" s="8">
        <f>[1]Data!M260</f>
        <v>35.3260738624057</v>
      </c>
      <c r="N260" s="8">
        <f>[1]Data!N260</f>
        <v>0.27272727272727298</v>
      </c>
      <c r="O260" s="8">
        <f>[1]Data!O260</f>
        <v>0</v>
      </c>
      <c r="P260" s="8">
        <f>[1]Data!P260</f>
        <v>0.64935064935064901</v>
      </c>
      <c r="Q260" s="8">
        <f>[1]Data!Q260</f>
        <v>0</v>
      </c>
      <c r="R260" s="8">
        <f>[1]Data!R260</f>
        <v>0</v>
      </c>
      <c r="S260" s="8">
        <f>[1]Data!S260</f>
        <v>0</v>
      </c>
      <c r="T260">
        <f t="shared" si="20"/>
        <v>0.27272727272727298</v>
      </c>
      <c r="U260">
        <f t="shared" si="21"/>
        <v>0</v>
      </c>
      <c r="V260" s="4" t="str">
        <f t="shared" si="22"/>
        <v>0</v>
      </c>
      <c r="W260" s="4" t="str">
        <f t="shared" si="23"/>
        <v>8</v>
      </c>
      <c r="X260" s="4" t="str">
        <f t="shared" si="24"/>
        <v>0CVCTE8</v>
      </c>
      <c r="Y260">
        <f>VLOOKUP(X260,Sheet1!$J$5:$K$121,2,FALSE)</f>
        <v>0</v>
      </c>
    </row>
    <row r="261" spans="1:25" x14ac:dyDescent="0.25">
      <c r="A261" s="8">
        <f>[1]Data!A261</f>
        <v>543322</v>
      </c>
      <c r="B261" s="8">
        <f>[1]Data!B261</f>
        <v>8</v>
      </c>
      <c r="C261" s="8">
        <f>[1]Data!C261</f>
        <v>0</v>
      </c>
      <c r="D261" s="8">
        <f>[1]Data!D261</f>
        <v>2</v>
      </c>
      <c r="E261" s="8" t="str">
        <f>[1]Data!E261</f>
        <v>CVCTE</v>
      </c>
      <c r="F261" s="8" t="str">
        <f>[1]Data!F261</f>
        <v>Carson</v>
      </c>
      <c r="G261" s="8">
        <f>[1]Data!G261</f>
        <v>0</v>
      </c>
      <c r="H261" s="8">
        <f>[1]Data!H261</f>
        <v>0</v>
      </c>
      <c r="I261" s="8">
        <f>[1]Data!I261</f>
        <v>20.045999999999999</v>
      </c>
      <c r="J261" s="8">
        <f>[1]Data!J261</f>
        <v>14.880214</v>
      </c>
      <c r="K261" s="8">
        <f>[1]Data!K261</f>
        <v>18.880213999999999</v>
      </c>
      <c r="L261" s="8">
        <f>[1]Data!L261</f>
        <v>1.1657633451346501</v>
      </c>
      <c r="M261" s="8">
        <f>[1]Data!M261</f>
        <v>20.045977345134599</v>
      </c>
      <c r="N261" s="8">
        <f>[1]Data!N261</f>
        <v>0.27272727272727298</v>
      </c>
      <c r="O261" s="8">
        <f>[1]Data!O261</f>
        <v>0</v>
      </c>
      <c r="P261" s="8">
        <f>[1]Data!P261</f>
        <v>0.64935064935064901</v>
      </c>
      <c r="Q261" s="8">
        <f>[1]Data!Q261</f>
        <v>0</v>
      </c>
      <c r="R261" s="8">
        <f>[1]Data!R261</f>
        <v>0</v>
      </c>
      <c r="S261" s="8">
        <f>[1]Data!S261</f>
        <v>0</v>
      </c>
      <c r="T261">
        <f t="shared" si="20"/>
        <v>0.27272727272727298</v>
      </c>
      <c r="U261">
        <f t="shared" si="21"/>
        <v>0</v>
      </c>
      <c r="V261" s="4" t="str">
        <f t="shared" si="22"/>
        <v>0</v>
      </c>
      <c r="W261" s="4" t="str">
        <f t="shared" si="23"/>
        <v>8</v>
      </c>
      <c r="X261" s="4" t="str">
        <f t="shared" si="24"/>
        <v>0CVCTE8</v>
      </c>
      <c r="Y261">
        <f>VLOOKUP(X261,Sheet1!$J$5:$K$121,2,FALSE)</f>
        <v>0</v>
      </c>
    </row>
    <row r="262" spans="1:25" x14ac:dyDescent="0.25">
      <c r="A262" s="8">
        <f>[1]Data!A262</f>
        <v>543501</v>
      </c>
      <c r="B262" s="8">
        <f>[1]Data!B262</f>
        <v>8</v>
      </c>
      <c r="C262" s="8">
        <f>[1]Data!C262</f>
        <v>0</v>
      </c>
      <c r="D262" s="8">
        <f>[1]Data!D262</f>
        <v>2</v>
      </c>
      <c r="E262" s="8" t="str">
        <f>[1]Data!E262</f>
        <v>CVCTE</v>
      </c>
      <c r="F262" s="8" t="str">
        <f>[1]Data!F262</f>
        <v>Carson</v>
      </c>
      <c r="G262" s="8">
        <f>[1]Data!G262</f>
        <v>0</v>
      </c>
      <c r="H262" s="8">
        <f>[1]Data!H262</f>
        <v>0</v>
      </c>
      <c r="I262" s="8">
        <f>[1]Data!I262</f>
        <v>68.313000000000002</v>
      </c>
      <c r="J262" s="8">
        <f>[1]Data!J262</f>
        <v>58.135964520000002</v>
      </c>
      <c r="K262" s="8">
        <f>[1]Data!K262</f>
        <v>65.135964520000002</v>
      </c>
      <c r="L262" s="8">
        <f>[1]Data!L262</f>
        <v>3.1763488936445201</v>
      </c>
      <c r="M262" s="8">
        <f>[1]Data!M262</f>
        <v>68.312313413644503</v>
      </c>
      <c r="N262" s="8">
        <f>[1]Data!N262</f>
        <v>0.27272727272727298</v>
      </c>
      <c r="O262" s="8">
        <f>[1]Data!O262</f>
        <v>0</v>
      </c>
      <c r="P262" s="8">
        <f>[1]Data!P262</f>
        <v>0.64935064935064901</v>
      </c>
      <c r="Q262" s="8">
        <f>[1]Data!Q262</f>
        <v>0</v>
      </c>
      <c r="R262" s="8">
        <f>[1]Data!R262</f>
        <v>0</v>
      </c>
      <c r="S262" s="8">
        <f>[1]Data!S262</f>
        <v>0</v>
      </c>
      <c r="T262">
        <f t="shared" si="20"/>
        <v>0.27272727272727298</v>
      </c>
      <c r="U262">
        <f t="shared" si="21"/>
        <v>0</v>
      </c>
      <c r="V262" s="4" t="str">
        <f t="shared" si="22"/>
        <v>0</v>
      </c>
      <c r="W262" s="4" t="str">
        <f t="shared" si="23"/>
        <v>8</v>
      </c>
      <c r="X262" s="4" t="str">
        <f t="shared" si="24"/>
        <v>0CVCTE8</v>
      </c>
      <c r="Y262">
        <f>VLOOKUP(X262,Sheet1!$J$5:$K$121,2,FALSE)</f>
        <v>0</v>
      </c>
    </row>
    <row r="263" spans="1:25" x14ac:dyDescent="0.25">
      <c r="A263" s="8">
        <f>[1]Data!A263</f>
        <v>543602</v>
      </c>
      <c r="B263" s="8">
        <f>[1]Data!B263</f>
        <v>8</v>
      </c>
      <c r="C263" s="8">
        <f>[1]Data!C263</f>
        <v>0</v>
      </c>
      <c r="D263" s="8">
        <f>[1]Data!D263</f>
        <v>2</v>
      </c>
      <c r="E263" s="8" t="str">
        <f>[1]Data!E263</f>
        <v>CVCTE</v>
      </c>
      <c r="F263" s="8" t="str">
        <f>[1]Data!F263</f>
        <v>West Carson</v>
      </c>
      <c r="G263" s="8">
        <f>[1]Data!G263</f>
        <v>0</v>
      </c>
      <c r="H263" s="8">
        <f>[1]Data!H263</f>
        <v>0</v>
      </c>
      <c r="I263" s="8">
        <f>[1]Data!I263</f>
        <v>24.391999999999999</v>
      </c>
      <c r="J263" s="8">
        <f>[1]Data!J263</f>
        <v>20.27392321</v>
      </c>
      <c r="K263" s="8">
        <f>[1]Data!K263</f>
        <v>23.27392321</v>
      </c>
      <c r="L263" s="8">
        <f>[1]Data!L263</f>
        <v>1.1184296555834801</v>
      </c>
      <c r="M263" s="8">
        <f>[1]Data!M263</f>
        <v>24.392352865583501</v>
      </c>
      <c r="N263" s="8">
        <f>[1]Data!N263</f>
        <v>0.27272727272727298</v>
      </c>
      <c r="O263" s="8">
        <f>[1]Data!O263</f>
        <v>0</v>
      </c>
      <c r="P263" s="8">
        <f>[1]Data!P263</f>
        <v>0.64935064935064901</v>
      </c>
      <c r="Q263" s="8">
        <f>[1]Data!Q263</f>
        <v>0</v>
      </c>
      <c r="R263" s="8">
        <f>[1]Data!R263</f>
        <v>0</v>
      </c>
      <c r="S263" s="8">
        <f>[1]Data!S263</f>
        <v>0</v>
      </c>
      <c r="T263">
        <f t="shared" si="20"/>
        <v>0.27272727272727298</v>
      </c>
      <c r="U263">
        <f t="shared" si="21"/>
        <v>0</v>
      </c>
      <c r="V263" s="4" t="str">
        <f t="shared" si="22"/>
        <v>0</v>
      </c>
      <c r="W263" s="4" t="str">
        <f t="shared" si="23"/>
        <v>8</v>
      </c>
      <c r="X263" s="4" t="str">
        <f t="shared" si="24"/>
        <v>0CVCTE8</v>
      </c>
      <c r="Y263">
        <f>VLOOKUP(X263,Sheet1!$J$5:$K$121,2,FALSE)</f>
        <v>0</v>
      </c>
    </row>
    <row r="264" spans="1:25" x14ac:dyDescent="0.25">
      <c r="A264" s="8">
        <f>[1]Data!A264</f>
        <v>543603</v>
      </c>
      <c r="B264" s="8">
        <f>[1]Data!B264</f>
        <v>8</v>
      </c>
      <c r="C264" s="8">
        <f>[1]Data!C264</f>
        <v>0</v>
      </c>
      <c r="D264" s="8">
        <f>[1]Data!D264</f>
        <v>2</v>
      </c>
      <c r="E264" s="8" t="str">
        <f>[1]Data!E264</f>
        <v>CVCTE</v>
      </c>
      <c r="F264" s="8" t="str">
        <f>[1]Data!F264</f>
        <v>West Carson</v>
      </c>
      <c r="G264" s="8">
        <f>[1]Data!G264</f>
        <v>0</v>
      </c>
      <c r="H264" s="8">
        <f>[1]Data!H264</f>
        <v>0</v>
      </c>
      <c r="I264" s="8">
        <f>[1]Data!I264</f>
        <v>55.548999999999999</v>
      </c>
      <c r="J264" s="8">
        <f>[1]Data!J264</f>
        <v>47.213434380000002</v>
      </c>
      <c r="K264" s="8">
        <f>[1]Data!K264</f>
        <v>54.213434380000002</v>
      </c>
      <c r="L264" s="8">
        <f>[1]Data!L264</f>
        <v>1.33489161414722</v>
      </c>
      <c r="M264" s="8">
        <f>[1]Data!M264</f>
        <v>55.548325994147199</v>
      </c>
      <c r="N264" s="8">
        <f>[1]Data!N264</f>
        <v>0.27272727272727298</v>
      </c>
      <c r="O264" s="8">
        <f>[1]Data!O264</f>
        <v>0</v>
      </c>
      <c r="P264" s="8">
        <f>[1]Data!P264</f>
        <v>0.64935064935064901</v>
      </c>
      <c r="Q264" s="8">
        <f>[1]Data!Q264</f>
        <v>0</v>
      </c>
      <c r="R264" s="8">
        <f>[1]Data!R264</f>
        <v>0</v>
      </c>
      <c r="S264" s="8">
        <f>[1]Data!S264</f>
        <v>0</v>
      </c>
      <c r="T264">
        <f t="shared" si="20"/>
        <v>0.27272727272727298</v>
      </c>
      <c r="U264">
        <f t="shared" si="21"/>
        <v>0</v>
      </c>
      <c r="V264" s="4" t="str">
        <f t="shared" si="22"/>
        <v>0</v>
      </c>
      <c r="W264" s="4" t="str">
        <f t="shared" si="23"/>
        <v>8</v>
      </c>
      <c r="X264" s="4" t="str">
        <f t="shared" si="24"/>
        <v>0CVCTE8</v>
      </c>
      <c r="Y264">
        <f>VLOOKUP(X264,Sheet1!$J$5:$K$121,2,FALSE)</f>
        <v>0</v>
      </c>
    </row>
    <row r="265" spans="1:25" x14ac:dyDescent="0.25">
      <c r="A265" s="8">
        <f>[1]Data!A265</f>
        <v>543604</v>
      </c>
      <c r="B265" s="8">
        <f>[1]Data!B265</f>
        <v>8</v>
      </c>
      <c r="C265" s="8">
        <f>[1]Data!C265</f>
        <v>0</v>
      </c>
      <c r="D265" s="8">
        <f>[1]Data!D265</f>
        <v>2</v>
      </c>
      <c r="E265" s="8" t="str">
        <f>[1]Data!E265</f>
        <v>CVCTE</v>
      </c>
      <c r="F265" s="8" t="str">
        <f>[1]Data!F265</f>
        <v>Carson</v>
      </c>
      <c r="G265" s="8">
        <f>[1]Data!G265</f>
        <v>0</v>
      </c>
      <c r="H265" s="8">
        <f>[1]Data!H265</f>
        <v>0</v>
      </c>
      <c r="I265" s="8">
        <f>[1]Data!I265</f>
        <v>133.929</v>
      </c>
      <c r="J265" s="8">
        <f>[1]Data!J265</f>
        <v>112.44689940000001</v>
      </c>
      <c r="K265" s="8">
        <f>[1]Data!K265</f>
        <v>132.44689940000001</v>
      </c>
      <c r="L265" s="8">
        <f>[1]Data!L265</f>
        <v>1.4823963793177699</v>
      </c>
      <c r="M265" s="8">
        <f>[1]Data!M265</f>
        <v>133.92929577931801</v>
      </c>
      <c r="N265" s="8">
        <f>[1]Data!N265</f>
        <v>0.27272727272727298</v>
      </c>
      <c r="O265" s="8">
        <f>[1]Data!O265</f>
        <v>0</v>
      </c>
      <c r="P265" s="8">
        <f>[1]Data!P265</f>
        <v>0.64935064935064901</v>
      </c>
      <c r="Q265" s="8">
        <f>[1]Data!Q265</f>
        <v>0</v>
      </c>
      <c r="R265" s="8">
        <f>[1]Data!R265</f>
        <v>0</v>
      </c>
      <c r="S265" s="8">
        <f>[1]Data!S265</f>
        <v>0</v>
      </c>
      <c r="T265">
        <f t="shared" si="20"/>
        <v>0.27272727272727298</v>
      </c>
      <c r="U265">
        <f t="shared" si="21"/>
        <v>0</v>
      </c>
      <c r="V265" s="4" t="str">
        <f t="shared" si="22"/>
        <v>0</v>
      </c>
      <c r="W265" s="4" t="str">
        <f t="shared" si="23"/>
        <v>8</v>
      </c>
      <c r="X265" s="4" t="str">
        <f t="shared" si="24"/>
        <v>0CVCTE8</v>
      </c>
      <c r="Y265">
        <f>VLOOKUP(X265,Sheet1!$J$5:$K$121,2,FALSE)</f>
        <v>0</v>
      </c>
    </row>
    <row r="266" spans="1:25" x14ac:dyDescent="0.25">
      <c r="A266" s="8">
        <f>[1]Data!A266</f>
        <v>651101</v>
      </c>
      <c r="B266" s="8">
        <f>[1]Data!B266</f>
        <v>8</v>
      </c>
      <c r="C266" s="8">
        <f>[1]Data!C266</f>
        <v>0</v>
      </c>
      <c r="D266" s="8">
        <f>[1]Data!D266</f>
        <v>4</v>
      </c>
      <c r="E266" s="8" t="str">
        <f>[1]Data!E266</f>
        <v>CVCTE</v>
      </c>
      <c r="F266" s="8" t="str">
        <f>[1]Data!F266</f>
        <v>Torrance</v>
      </c>
      <c r="G266" s="8">
        <f>[1]Data!G266</f>
        <v>0</v>
      </c>
      <c r="H266" s="8">
        <f>[1]Data!H266</f>
        <v>0</v>
      </c>
      <c r="I266" s="8">
        <f>[1]Data!I266</f>
        <v>20.989000000000001</v>
      </c>
      <c r="J266" s="8">
        <f>[1]Data!J266</f>
        <v>18.9631063</v>
      </c>
      <c r="K266" s="8">
        <f>[1]Data!K266</f>
        <v>19.9631063</v>
      </c>
      <c r="L266" s="8">
        <f>[1]Data!L266</f>
        <v>1.02527104818671</v>
      </c>
      <c r="M266" s="8">
        <f>[1]Data!M266</f>
        <v>20.988377348186699</v>
      </c>
      <c r="N266" s="8">
        <f>[1]Data!N266</f>
        <v>0.27272727272727298</v>
      </c>
      <c r="O266" s="8">
        <f>[1]Data!O266</f>
        <v>0</v>
      </c>
      <c r="P266" s="8">
        <f>[1]Data!P266</f>
        <v>0.64935064935064901</v>
      </c>
      <c r="Q266" s="8">
        <f>[1]Data!Q266</f>
        <v>0</v>
      </c>
      <c r="R266" s="8">
        <f>[1]Data!R266</f>
        <v>0</v>
      </c>
      <c r="S266" s="8">
        <f>[1]Data!S266</f>
        <v>0</v>
      </c>
      <c r="T266">
        <f t="shared" si="20"/>
        <v>0.27272727272727298</v>
      </c>
      <c r="U266">
        <f t="shared" si="21"/>
        <v>0</v>
      </c>
      <c r="V266" s="4" t="str">
        <f t="shared" si="22"/>
        <v>0</v>
      </c>
      <c r="W266" s="4" t="str">
        <f t="shared" si="23"/>
        <v>8</v>
      </c>
      <c r="X266" s="4" t="str">
        <f t="shared" si="24"/>
        <v>0CVCTE8</v>
      </c>
      <c r="Y266">
        <f>VLOOKUP(X266,Sheet1!$J$5:$K$121,2,FALSE)</f>
        <v>0</v>
      </c>
    </row>
    <row r="267" spans="1:25" x14ac:dyDescent="0.25">
      <c r="A267" s="8">
        <f>[1]Data!A267</f>
        <v>543903</v>
      </c>
      <c r="B267" s="8">
        <f>[1]Data!B267</f>
        <v>8</v>
      </c>
      <c r="C267" s="8">
        <f>[1]Data!C267</f>
        <v>0</v>
      </c>
      <c r="D267" s="8">
        <f>[1]Data!D267</f>
        <v>2</v>
      </c>
      <c r="E267" s="8" t="str">
        <f>[1]Data!E267</f>
        <v>CVCTE</v>
      </c>
      <c r="F267" s="8" t="str">
        <f>[1]Data!F267</f>
        <v>Carson</v>
      </c>
      <c r="G267" s="8">
        <f>[1]Data!G267</f>
        <v>0</v>
      </c>
      <c r="H267" s="8">
        <f>[1]Data!H267</f>
        <v>0</v>
      </c>
      <c r="I267" s="8">
        <f>[1]Data!I267</f>
        <v>1.9259999999999999</v>
      </c>
      <c r="J267" s="8">
        <f>[1]Data!J267</f>
        <v>1.90487994</v>
      </c>
      <c r="K267" s="8">
        <f>[1]Data!K267</f>
        <v>1.90487994</v>
      </c>
      <c r="L267" s="8">
        <f>[1]Data!L267</f>
        <v>2.0625322082585301E-2</v>
      </c>
      <c r="M267" s="8">
        <f>[1]Data!M267</f>
        <v>1.9255052620825901</v>
      </c>
      <c r="N267" s="8">
        <f>[1]Data!N267</f>
        <v>0.27272727272727298</v>
      </c>
      <c r="O267" s="8">
        <f>[1]Data!O267</f>
        <v>0</v>
      </c>
      <c r="P267" s="8">
        <f>[1]Data!P267</f>
        <v>0.64935064935064901</v>
      </c>
      <c r="Q267" s="8">
        <f>[1]Data!Q267</f>
        <v>0</v>
      </c>
      <c r="R267" s="8">
        <f>[1]Data!R267</f>
        <v>0</v>
      </c>
      <c r="S267" s="8">
        <f>[1]Data!S267</f>
        <v>0</v>
      </c>
      <c r="T267">
        <f t="shared" si="20"/>
        <v>0.27272727272727298</v>
      </c>
      <c r="U267">
        <f t="shared" si="21"/>
        <v>0</v>
      </c>
      <c r="V267" s="4" t="str">
        <f t="shared" si="22"/>
        <v>0</v>
      </c>
      <c r="W267" s="4" t="str">
        <f t="shared" si="23"/>
        <v>8</v>
      </c>
      <c r="X267" s="4" t="str">
        <f t="shared" si="24"/>
        <v>0CVCTE8</v>
      </c>
      <c r="Y267">
        <f>VLOOKUP(X267,Sheet1!$J$5:$K$121,2,FALSE)</f>
        <v>0</v>
      </c>
    </row>
    <row r="268" spans="1:25" x14ac:dyDescent="0.25">
      <c r="A268" s="8">
        <f>[1]Data!A268</f>
        <v>544001</v>
      </c>
      <c r="B268" s="8">
        <f>[1]Data!B268</f>
        <v>8</v>
      </c>
      <c r="C268" s="8">
        <f>[1]Data!C268</f>
        <v>0</v>
      </c>
      <c r="D268" s="8">
        <f>[1]Data!D268</f>
        <v>4</v>
      </c>
      <c r="E268" s="8" t="str">
        <f>[1]Data!E268</f>
        <v>CVCTE</v>
      </c>
      <c r="F268" s="8" t="str">
        <f>[1]Data!F268</f>
        <v>Carson</v>
      </c>
      <c r="G268" s="8">
        <f>[1]Data!G268</f>
        <v>1</v>
      </c>
      <c r="H268" s="8">
        <f>[1]Data!H268</f>
        <v>1</v>
      </c>
      <c r="I268" s="8">
        <f>[1]Data!I268</f>
        <v>24.384</v>
      </c>
      <c r="J268" s="8">
        <f>[1]Data!J268</f>
        <v>23.33198062</v>
      </c>
      <c r="K268" s="8">
        <f>[1]Data!K268</f>
        <v>23.33198062</v>
      </c>
      <c r="L268" s="8">
        <f>[1]Data!L268</f>
        <v>1.0511190264632</v>
      </c>
      <c r="M268" s="8">
        <f>[1]Data!M268</f>
        <v>24.383099646463201</v>
      </c>
      <c r="N268" s="8">
        <f>[1]Data!N268</f>
        <v>0.27272727272727298</v>
      </c>
      <c r="O268" s="8">
        <f>[1]Data!O268</f>
        <v>3.6666666666666701</v>
      </c>
      <c r="P268" s="8">
        <f>[1]Data!P268</f>
        <v>0.64935064935064901</v>
      </c>
      <c r="Q268" s="8">
        <f>[1]Data!Q268</f>
        <v>0</v>
      </c>
      <c r="R268" s="8">
        <f>[1]Data!R268</f>
        <v>0</v>
      </c>
      <c r="S268" s="8">
        <f>[1]Data!S268</f>
        <v>0</v>
      </c>
      <c r="T268">
        <f t="shared" si="20"/>
        <v>0.27272727272727298</v>
      </c>
      <c r="U268">
        <f t="shared" si="21"/>
        <v>3.6666666666666634</v>
      </c>
      <c r="V268" s="4" t="str">
        <f t="shared" si="22"/>
        <v>0</v>
      </c>
      <c r="W268" s="4" t="str">
        <f t="shared" si="23"/>
        <v>8</v>
      </c>
      <c r="X268" s="4" t="str">
        <f t="shared" si="24"/>
        <v>0CVCTE8</v>
      </c>
      <c r="Y268">
        <f>VLOOKUP(X268,Sheet1!$J$5:$K$121,2,FALSE)</f>
        <v>0</v>
      </c>
    </row>
    <row r="269" spans="1:25" x14ac:dyDescent="0.25">
      <c r="A269" s="8">
        <f>[1]Data!A269</f>
        <v>600202</v>
      </c>
      <c r="B269" s="8">
        <f>[1]Data!B269</f>
        <v>8</v>
      </c>
      <c r="C269" s="8">
        <f>[1]Data!C269</f>
        <v>0</v>
      </c>
      <c r="D269" s="8">
        <f>[1]Data!D269</f>
        <v>2</v>
      </c>
      <c r="E269" s="8" t="str">
        <f>[1]Data!E269</f>
        <v>CVCTE</v>
      </c>
      <c r="F269" s="8" t="str">
        <f>[1]Data!F269</f>
        <v>Westmont / West Athens</v>
      </c>
      <c r="G269" s="8">
        <f>[1]Data!G269</f>
        <v>0</v>
      </c>
      <c r="H269" s="8">
        <f>[1]Data!H269</f>
        <v>0</v>
      </c>
      <c r="I269" s="8">
        <f>[1]Data!I269</f>
        <v>30.335000000000001</v>
      </c>
      <c r="J269" s="8">
        <f>[1]Data!J269</f>
        <v>22.228363089999998</v>
      </c>
      <c r="K269" s="8">
        <f>[1]Data!K269</f>
        <v>29.228363089999998</v>
      </c>
      <c r="L269" s="8">
        <f>[1]Data!L269</f>
        <v>1.1068010971095199</v>
      </c>
      <c r="M269" s="8">
        <f>[1]Data!M269</f>
        <v>30.335164187109498</v>
      </c>
      <c r="N269" s="8">
        <f>[1]Data!N269</f>
        <v>0.27272727272727298</v>
      </c>
      <c r="O269" s="8">
        <f>[1]Data!O269</f>
        <v>0</v>
      </c>
      <c r="P269" s="8">
        <f>[1]Data!P269</f>
        <v>0.64935064935064901</v>
      </c>
      <c r="Q269" s="8">
        <f>[1]Data!Q269</f>
        <v>0</v>
      </c>
      <c r="R269" s="8">
        <f>[1]Data!R269</f>
        <v>0</v>
      </c>
      <c r="S269" s="8">
        <f>[1]Data!S269</f>
        <v>0</v>
      </c>
      <c r="T269">
        <f t="shared" si="20"/>
        <v>0.27272727272727298</v>
      </c>
      <c r="U269">
        <f t="shared" si="21"/>
        <v>0</v>
      </c>
      <c r="V269" s="4" t="str">
        <f t="shared" si="22"/>
        <v>0</v>
      </c>
      <c r="W269" s="4" t="str">
        <f t="shared" si="23"/>
        <v>8</v>
      </c>
      <c r="X269" s="4" t="str">
        <f t="shared" si="24"/>
        <v>0CVCTE8</v>
      </c>
      <c r="Y269">
        <f>VLOOKUP(X269,Sheet1!$J$5:$K$121,2,FALSE)</f>
        <v>0</v>
      </c>
    </row>
    <row r="270" spans="1:25" x14ac:dyDescent="0.25">
      <c r="A270" s="8">
        <f>[1]Data!A270</f>
        <v>621301</v>
      </c>
      <c r="B270" s="8">
        <f>[1]Data!B270</f>
        <v>8</v>
      </c>
      <c r="C270" s="8">
        <f>[1]Data!C270</f>
        <v>0</v>
      </c>
      <c r="D270" s="8">
        <f>[1]Data!D270</f>
        <v>4</v>
      </c>
      <c r="E270" s="8" t="str">
        <f>[1]Data!E270</f>
        <v>CVCTE</v>
      </c>
      <c r="F270" s="8" t="str">
        <f>[1]Data!F270</f>
        <v>Redondo Beach</v>
      </c>
      <c r="G270" s="8">
        <f>[1]Data!G270</f>
        <v>0</v>
      </c>
      <c r="H270" s="8">
        <f>[1]Data!H270</f>
        <v>0</v>
      </c>
      <c r="I270" s="8">
        <f>[1]Data!I270</f>
        <v>20.611000000000001</v>
      </c>
      <c r="J270" s="8">
        <f>[1]Data!J270</f>
        <v>14.867327319999999</v>
      </c>
      <c r="K270" s="8">
        <f>[1]Data!K270</f>
        <v>19.867327320000001</v>
      </c>
      <c r="L270" s="8">
        <f>[1]Data!L270</f>
        <v>0.74463244667863604</v>
      </c>
      <c r="M270" s="8">
        <f>[1]Data!M270</f>
        <v>20.611959766678599</v>
      </c>
      <c r="N270" s="8">
        <f>[1]Data!N270</f>
        <v>0.27272727272727298</v>
      </c>
      <c r="O270" s="8">
        <f>[1]Data!O270</f>
        <v>0</v>
      </c>
      <c r="P270" s="8">
        <f>[1]Data!P270</f>
        <v>0.64935064935064901</v>
      </c>
      <c r="Q270" s="8">
        <f>[1]Data!Q270</f>
        <v>0</v>
      </c>
      <c r="R270" s="8">
        <f>[1]Data!R270</f>
        <v>0</v>
      </c>
      <c r="S270" s="8">
        <f>[1]Data!S270</f>
        <v>0</v>
      </c>
      <c r="T270">
        <f t="shared" si="20"/>
        <v>0.27272727272727298</v>
      </c>
      <c r="U270">
        <f t="shared" si="21"/>
        <v>0</v>
      </c>
      <c r="V270" s="4" t="str">
        <f t="shared" si="22"/>
        <v>0</v>
      </c>
      <c r="W270" s="4" t="str">
        <f t="shared" si="23"/>
        <v>8</v>
      </c>
      <c r="X270" s="4" t="str">
        <f t="shared" si="24"/>
        <v>0CVCTE8</v>
      </c>
      <c r="Y270">
        <f>VLOOKUP(X270,Sheet1!$J$5:$K$121,2,FALSE)</f>
        <v>0</v>
      </c>
    </row>
    <row r="271" spans="1:25" x14ac:dyDescent="0.25">
      <c r="A271" s="8">
        <f>[1]Data!A271</f>
        <v>600304</v>
      </c>
      <c r="B271" s="8">
        <f>[1]Data!B271</f>
        <v>8</v>
      </c>
      <c r="C271" s="8">
        <f>[1]Data!C271</f>
        <v>0</v>
      </c>
      <c r="D271" s="8">
        <f>[1]Data!D271</f>
        <v>2</v>
      </c>
      <c r="E271" s="8" t="str">
        <f>[1]Data!E271</f>
        <v>CVCTE</v>
      </c>
      <c r="F271" s="8" t="str">
        <f>[1]Data!F271</f>
        <v>Westmont / West Athens</v>
      </c>
      <c r="G271" s="8">
        <f>[1]Data!G271</f>
        <v>1</v>
      </c>
      <c r="H271" s="8">
        <f>[1]Data!H271</f>
        <v>1</v>
      </c>
      <c r="I271" s="8">
        <f>[1]Data!I271</f>
        <v>30.943000000000001</v>
      </c>
      <c r="J271" s="8">
        <f>[1]Data!J271</f>
        <v>10.59523935</v>
      </c>
      <c r="K271" s="8">
        <f>[1]Data!K271</f>
        <v>30.59523935</v>
      </c>
      <c r="L271" s="8">
        <f>[1]Data!L271</f>
        <v>0.34685911520646301</v>
      </c>
      <c r="M271" s="8">
        <f>[1]Data!M271</f>
        <v>30.942098465206499</v>
      </c>
      <c r="N271" s="8">
        <f>[1]Data!N271</f>
        <v>0.27272727272727298</v>
      </c>
      <c r="O271" s="8">
        <f>[1]Data!O271</f>
        <v>3.6666666666666701</v>
      </c>
      <c r="P271" s="8">
        <f>[1]Data!P271</f>
        <v>0.64935064935064901</v>
      </c>
      <c r="Q271" s="8">
        <f>[1]Data!Q271</f>
        <v>0</v>
      </c>
      <c r="R271" s="8">
        <f>[1]Data!R271</f>
        <v>0</v>
      </c>
      <c r="S271" s="8">
        <f>[1]Data!S271</f>
        <v>0</v>
      </c>
      <c r="T271">
        <f t="shared" si="20"/>
        <v>0.27272727272727298</v>
      </c>
      <c r="U271">
        <f t="shared" si="21"/>
        <v>3.6666666666666634</v>
      </c>
      <c r="V271" s="4" t="str">
        <f t="shared" si="22"/>
        <v>0</v>
      </c>
      <c r="W271" s="4" t="str">
        <f t="shared" si="23"/>
        <v>8</v>
      </c>
      <c r="X271" s="4" t="str">
        <f t="shared" si="24"/>
        <v>0CVCTE8</v>
      </c>
      <c r="Y271">
        <f>VLOOKUP(X271,Sheet1!$J$5:$K$121,2,FALSE)</f>
        <v>0</v>
      </c>
    </row>
    <row r="272" spans="1:25" x14ac:dyDescent="0.25">
      <c r="A272" s="8">
        <f>[1]Data!A272</f>
        <v>600704</v>
      </c>
      <c r="B272" s="8">
        <f>[1]Data!B272</f>
        <v>8</v>
      </c>
      <c r="C272" s="8">
        <f>[1]Data!C272</f>
        <v>0</v>
      </c>
      <c r="D272" s="8">
        <f>[1]Data!D272</f>
        <v>2</v>
      </c>
      <c r="E272" s="8" t="str">
        <f>[1]Data!E272</f>
        <v>CVCTE</v>
      </c>
      <c r="F272" s="8" t="str">
        <f>[1]Data!F272</f>
        <v>Inglewood</v>
      </c>
      <c r="G272" s="8">
        <f>[1]Data!G272</f>
        <v>0</v>
      </c>
      <c r="H272" s="8">
        <f>[1]Data!H272</f>
        <v>0</v>
      </c>
      <c r="I272" s="8">
        <f>[1]Data!I272</f>
        <v>3</v>
      </c>
      <c r="J272" s="8">
        <f>[1]Data!J272</f>
        <v>0</v>
      </c>
      <c r="K272" s="8">
        <f>[1]Data!K272</f>
        <v>3</v>
      </c>
      <c r="L272" s="8">
        <f>[1]Data!L272</f>
        <v>0</v>
      </c>
      <c r="M272" s="8">
        <f>[1]Data!M272</f>
        <v>3</v>
      </c>
      <c r="N272" s="8">
        <f>[1]Data!N272</f>
        <v>0.27272727272727298</v>
      </c>
      <c r="O272" s="8">
        <f>[1]Data!O272</f>
        <v>0</v>
      </c>
      <c r="P272" s="8">
        <f>[1]Data!P272</f>
        <v>0.64935064935064901</v>
      </c>
      <c r="Q272" s="8">
        <f>[1]Data!Q272</f>
        <v>0</v>
      </c>
      <c r="R272" s="8">
        <f>[1]Data!R272</f>
        <v>0</v>
      </c>
      <c r="S272" s="8">
        <f>[1]Data!S272</f>
        <v>0</v>
      </c>
      <c r="T272">
        <f t="shared" si="20"/>
        <v>0.27272727272727298</v>
      </c>
      <c r="U272">
        <f t="shared" si="21"/>
        <v>0</v>
      </c>
      <c r="V272" s="4" t="str">
        <f t="shared" si="22"/>
        <v>0</v>
      </c>
      <c r="W272" s="4" t="str">
        <f t="shared" si="23"/>
        <v>8</v>
      </c>
      <c r="X272" s="4" t="str">
        <f t="shared" si="24"/>
        <v>0CVCTE8</v>
      </c>
      <c r="Y272">
        <f>VLOOKUP(X272,Sheet1!$J$5:$K$121,2,FALSE)</f>
        <v>0</v>
      </c>
    </row>
    <row r="273" spans="1:25" x14ac:dyDescent="0.25">
      <c r="A273" s="8">
        <f>[1]Data!A273</f>
        <v>600802</v>
      </c>
      <c r="B273" s="8">
        <f>[1]Data!B273</f>
        <v>8</v>
      </c>
      <c r="C273" s="8">
        <f>[1]Data!C273</f>
        <v>0</v>
      </c>
      <c r="D273" s="8">
        <f>[1]Data!D273</f>
        <v>2</v>
      </c>
      <c r="E273" s="8" t="str">
        <f>[1]Data!E273</f>
        <v>CVCTE</v>
      </c>
      <c r="F273" s="8" t="str">
        <f>[1]Data!F273</f>
        <v>Inglewood</v>
      </c>
      <c r="G273" s="8">
        <f>[1]Data!G273</f>
        <v>0</v>
      </c>
      <c r="H273" s="8">
        <f>[1]Data!H273</f>
        <v>0</v>
      </c>
      <c r="I273" s="8">
        <f>[1]Data!I273</f>
        <v>4.9029999999999996</v>
      </c>
      <c r="J273" s="8">
        <f>[1]Data!J273</f>
        <v>3.7168318299999998</v>
      </c>
      <c r="K273" s="8">
        <f>[1]Data!K273</f>
        <v>4.7168318300000003</v>
      </c>
      <c r="L273" s="8">
        <f>[1]Data!L273</f>
        <v>0.18615811166965901</v>
      </c>
      <c r="M273" s="8">
        <f>[1]Data!M273</f>
        <v>4.9029899416696603</v>
      </c>
      <c r="N273" s="8">
        <f>[1]Data!N273</f>
        <v>0.27272727272727298</v>
      </c>
      <c r="O273" s="8">
        <f>[1]Data!O273</f>
        <v>0</v>
      </c>
      <c r="P273" s="8">
        <f>[1]Data!P273</f>
        <v>0.64935064935064901</v>
      </c>
      <c r="Q273" s="8">
        <f>[1]Data!Q273</f>
        <v>0</v>
      </c>
      <c r="R273" s="8">
        <f>[1]Data!R273</f>
        <v>0</v>
      </c>
      <c r="S273" s="8">
        <f>[1]Data!S273</f>
        <v>0</v>
      </c>
      <c r="T273">
        <f t="shared" si="20"/>
        <v>0.27272727272727298</v>
      </c>
      <c r="U273">
        <f t="shared" si="21"/>
        <v>0</v>
      </c>
      <c r="V273" s="4" t="str">
        <f t="shared" si="22"/>
        <v>0</v>
      </c>
      <c r="W273" s="4" t="str">
        <f t="shared" si="23"/>
        <v>8</v>
      </c>
      <c r="X273" s="4" t="str">
        <f t="shared" si="24"/>
        <v>0CVCTE8</v>
      </c>
      <c r="Y273">
        <f>VLOOKUP(X273,Sheet1!$J$5:$K$121,2,FALSE)</f>
        <v>0</v>
      </c>
    </row>
    <row r="274" spans="1:25" x14ac:dyDescent="0.25">
      <c r="A274" s="8">
        <f>[1]Data!A274</f>
        <v>602301</v>
      </c>
      <c r="B274" s="8">
        <f>[1]Data!B274</f>
        <v>8</v>
      </c>
      <c r="C274" s="8">
        <f>[1]Data!C274</f>
        <v>0</v>
      </c>
      <c r="D274" s="8">
        <f>[1]Data!D274</f>
        <v>2</v>
      </c>
      <c r="E274" s="8" t="str">
        <f>[1]Data!E274</f>
        <v>CVCTE</v>
      </c>
      <c r="F274" s="8" t="str">
        <f>[1]Data!F274</f>
        <v>Del Aire</v>
      </c>
      <c r="G274" s="8">
        <f>[1]Data!G274</f>
        <v>1</v>
      </c>
      <c r="H274" s="8">
        <f>[1]Data!H274</f>
        <v>1</v>
      </c>
      <c r="I274" s="8">
        <f>[1]Data!I274</f>
        <v>22.792000000000002</v>
      </c>
      <c r="J274" s="8">
        <f>[1]Data!J274</f>
        <v>17.745720460000001</v>
      </c>
      <c r="K274" s="8">
        <f>[1]Data!K274</f>
        <v>21.745720460000001</v>
      </c>
      <c r="L274" s="8">
        <f>[1]Data!L274</f>
        <v>1.0475364589587099</v>
      </c>
      <c r="M274" s="8">
        <f>[1]Data!M274</f>
        <v>22.793256918958701</v>
      </c>
      <c r="N274" s="8">
        <f>[1]Data!N274</f>
        <v>0.27272727272727298</v>
      </c>
      <c r="O274" s="8">
        <f>[1]Data!O274</f>
        <v>3.6666666666666701</v>
      </c>
      <c r="P274" s="8">
        <f>[1]Data!P274</f>
        <v>0.64935064935064901</v>
      </c>
      <c r="Q274" s="8">
        <f>[1]Data!Q274</f>
        <v>0</v>
      </c>
      <c r="R274" s="8">
        <f>[1]Data!R274</f>
        <v>0</v>
      </c>
      <c r="S274" s="8">
        <f>[1]Data!S274</f>
        <v>0</v>
      </c>
      <c r="T274">
        <f t="shared" si="20"/>
        <v>0.27272727272727298</v>
      </c>
      <c r="U274">
        <f t="shared" si="21"/>
        <v>3.6666666666666634</v>
      </c>
      <c r="V274" s="4" t="str">
        <f t="shared" si="22"/>
        <v>0</v>
      </c>
      <c r="W274" s="4" t="str">
        <f t="shared" si="23"/>
        <v>8</v>
      </c>
      <c r="X274" s="4" t="str">
        <f t="shared" si="24"/>
        <v>0CVCTE8</v>
      </c>
      <c r="Y274">
        <f>VLOOKUP(X274,Sheet1!$J$5:$K$121,2,FALSE)</f>
        <v>0</v>
      </c>
    </row>
    <row r="275" spans="1:25" x14ac:dyDescent="0.25">
      <c r="A275" s="8">
        <f>[1]Data!A275</f>
        <v>600902</v>
      </c>
      <c r="B275" s="8">
        <f>[1]Data!B275</f>
        <v>8</v>
      </c>
      <c r="C275" s="8">
        <f>[1]Data!C275</f>
        <v>0</v>
      </c>
      <c r="D275" s="8">
        <f>[1]Data!D275</f>
        <v>2</v>
      </c>
      <c r="E275" s="8" t="str">
        <f>[1]Data!E275</f>
        <v>CVCTE</v>
      </c>
      <c r="F275" s="8" t="str">
        <f>[1]Data!F275</f>
        <v>Inglewood</v>
      </c>
      <c r="G275" s="8">
        <f>[1]Data!G275</f>
        <v>0</v>
      </c>
      <c r="H275" s="8">
        <f>[1]Data!H275</f>
        <v>0</v>
      </c>
      <c r="I275" s="8">
        <f>[1]Data!I275</f>
        <v>49.304000000000002</v>
      </c>
      <c r="J275" s="8">
        <f>[1]Data!J275</f>
        <v>14.56086108</v>
      </c>
      <c r="K275" s="8">
        <f>[1]Data!K275</f>
        <v>48.560861080000002</v>
      </c>
      <c r="L275" s="8">
        <f>[1]Data!L275</f>
        <v>0.74378834456014398</v>
      </c>
      <c r="M275" s="8">
        <f>[1]Data!M275</f>
        <v>49.304649424560097</v>
      </c>
      <c r="N275" s="8">
        <f>[1]Data!N275</f>
        <v>0.27272727272727298</v>
      </c>
      <c r="O275" s="8">
        <f>[1]Data!O275</f>
        <v>0</v>
      </c>
      <c r="P275" s="8">
        <f>[1]Data!P275</f>
        <v>0.64935064935064901</v>
      </c>
      <c r="Q275" s="8">
        <f>[1]Data!Q275</f>
        <v>0</v>
      </c>
      <c r="R275" s="8">
        <f>[1]Data!R275</f>
        <v>0</v>
      </c>
      <c r="S275" s="8">
        <f>[1]Data!S275</f>
        <v>0</v>
      </c>
      <c r="T275">
        <f t="shared" si="20"/>
        <v>0.27272727272727298</v>
      </c>
      <c r="U275">
        <f t="shared" si="21"/>
        <v>0</v>
      </c>
      <c r="V275" s="4" t="str">
        <f t="shared" si="22"/>
        <v>0</v>
      </c>
      <c r="W275" s="4" t="str">
        <f t="shared" si="23"/>
        <v>8</v>
      </c>
      <c r="X275" s="4" t="str">
        <f t="shared" si="24"/>
        <v>0CVCTE8</v>
      </c>
      <c r="Y275">
        <f>VLOOKUP(X275,Sheet1!$J$5:$K$121,2,FALSE)</f>
        <v>0</v>
      </c>
    </row>
    <row r="276" spans="1:25" x14ac:dyDescent="0.25">
      <c r="A276" s="8">
        <f>[1]Data!A276</f>
        <v>601001</v>
      </c>
      <c r="B276" s="8">
        <f>[1]Data!B276</f>
        <v>8</v>
      </c>
      <c r="C276" s="8">
        <f>[1]Data!C276</f>
        <v>0</v>
      </c>
      <c r="D276" s="8">
        <f>[1]Data!D276</f>
        <v>2</v>
      </c>
      <c r="E276" s="8" t="str">
        <f>[1]Data!E276</f>
        <v>CVCTE</v>
      </c>
      <c r="F276" s="8" t="str">
        <f>[1]Data!F276</f>
        <v>Inglewood</v>
      </c>
      <c r="G276" s="8">
        <f>[1]Data!G276</f>
        <v>0</v>
      </c>
      <c r="H276" s="8">
        <f>[1]Data!H276</f>
        <v>0</v>
      </c>
      <c r="I276" s="8">
        <f>[1]Data!I276</f>
        <v>5</v>
      </c>
      <c r="J276" s="8">
        <f>[1]Data!J276</f>
        <v>0</v>
      </c>
      <c r="K276" s="8">
        <f>[1]Data!K276</f>
        <v>5</v>
      </c>
      <c r="L276" s="8">
        <f>[1]Data!L276</f>
        <v>0</v>
      </c>
      <c r="M276" s="8">
        <f>[1]Data!M276</f>
        <v>5</v>
      </c>
      <c r="N276" s="8">
        <f>[1]Data!N276</f>
        <v>0.27272727272727298</v>
      </c>
      <c r="O276" s="8">
        <f>[1]Data!O276</f>
        <v>0</v>
      </c>
      <c r="P276" s="8">
        <f>[1]Data!P276</f>
        <v>0.64935064935064901</v>
      </c>
      <c r="Q276" s="8">
        <f>[1]Data!Q276</f>
        <v>0</v>
      </c>
      <c r="R276" s="8">
        <f>[1]Data!R276</f>
        <v>0</v>
      </c>
      <c r="S276" s="8">
        <f>[1]Data!S276</f>
        <v>0</v>
      </c>
      <c r="T276">
        <f t="shared" si="20"/>
        <v>0.27272727272727298</v>
      </c>
      <c r="U276">
        <f t="shared" si="21"/>
        <v>0</v>
      </c>
      <c r="V276" s="4" t="str">
        <f t="shared" si="22"/>
        <v>0</v>
      </c>
      <c r="W276" s="4" t="str">
        <f t="shared" si="23"/>
        <v>8</v>
      </c>
      <c r="X276" s="4" t="str">
        <f t="shared" si="24"/>
        <v>0CVCTE8</v>
      </c>
      <c r="Y276">
        <f>VLOOKUP(X276,Sheet1!$J$5:$K$121,2,FALSE)</f>
        <v>0</v>
      </c>
    </row>
    <row r="277" spans="1:25" x14ac:dyDescent="0.25">
      <c r="A277" s="8">
        <f>[1]Data!A277</f>
        <v>601100</v>
      </c>
      <c r="B277" s="8">
        <f>[1]Data!B277</f>
        <v>8</v>
      </c>
      <c r="C277" s="8">
        <f>[1]Data!C277</f>
        <v>0</v>
      </c>
      <c r="D277" s="8">
        <f>[1]Data!D277</f>
        <v>2</v>
      </c>
      <c r="E277" s="8" t="str">
        <f>[1]Data!E277</f>
        <v>CVCTE</v>
      </c>
      <c r="F277" s="8" t="str">
        <f>[1]Data!F277</f>
        <v>Inglewood</v>
      </c>
      <c r="G277" s="8">
        <f>[1]Data!G277</f>
        <v>0</v>
      </c>
      <c r="H277" s="8">
        <f>[1]Data!H277</f>
        <v>0</v>
      </c>
      <c r="I277" s="8">
        <f>[1]Data!I277</f>
        <v>15</v>
      </c>
      <c r="J277" s="8">
        <f>[1]Data!J277</f>
        <v>0</v>
      </c>
      <c r="K277" s="8">
        <f>[1]Data!K277</f>
        <v>15</v>
      </c>
      <c r="L277" s="8">
        <f>[1]Data!L277</f>
        <v>0</v>
      </c>
      <c r="M277" s="8">
        <f>[1]Data!M277</f>
        <v>15</v>
      </c>
      <c r="N277" s="8">
        <f>[1]Data!N277</f>
        <v>0.27272727272727298</v>
      </c>
      <c r="O277" s="8">
        <f>[1]Data!O277</f>
        <v>0</v>
      </c>
      <c r="P277" s="8">
        <f>[1]Data!P277</f>
        <v>0.64935064935064901</v>
      </c>
      <c r="Q277" s="8">
        <f>[1]Data!Q277</f>
        <v>0</v>
      </c>
      <c r="R277" s="8">
        <f>[1]Data!R277</f>
        <v>0</v>
      </c>
      <c r="S277" s="8">
        <f>[1]Data!S277</f>
        <v>0</v>
      </c>
      <c r="T277">
        <f t="shared" si="20"/>
        <v>0.27272727272727298</v>
      </c>
      <c r="U277">
        <f t="shared" si="21"/>
        <v>0</v>
      </c>
      <c r="V277" s="4" t="str">
        <f t="shared" si="22"/>
        <v>0</v>
      </c>
      <c r="W277" s="4" t="str">
        <f t="shared" si="23"/>
        <v>8</v>
      </c>
      <c r="X277" s="4" t="str">
        <f t="shared" si="24"/>
        <v>0CVCTE8</v>
      </c>
      <c r="Y277">
        <f>VLOOKUP(X277,Sheet1!$J$5:$K$121,2,FALSE)</f>
        <v>0</v>
      </c>
    </row>
    <row r="278" spans="1:25" x14ac:dyDescent="0.25">
      <c r="A278" s="8">
        <f>[1]Data!A278</f>
        <v>601212</v>
      </c>
      <c r="B278" s="8">
        <f>[1]Data!B278</f>
        <v>8</v>
      </c>
      <c r="C278" s="8">
        <f>[1]Data!C278</f>
        <v>0</v>
      </c>
      <c r="D278" s="8">
        <f>[1]Data!D278</f>
        <v>2</v>
      </c>
      <c r="E278" s="8" t="str">
        <f>[1]Data!E278</f>
        <v>CVCTE</v>
      </c>
      <c r="F278" s="8" t="str">
        <f>[1]Data!F278</f>
        <v>Inglewood</v>
      </c>
      <c r="G278" s="8">
        <f>[1]Data!G278</f>
        <v>0</v>
      </c>
      <c r="H278" s="8">
        <f>[1]Data!H278</f>
        <v>0</v>
      </c>
      <c r="I278" s="8">
        <f>[1]Data!I278</f>
        <v>10.423999999999999</v>
      </c>
      <c r="J278" s="8">
        <f>[1]Data!J278</f>
        <v>5.1993965099999997</v>
      </c>
      <c r="K278" s="8">
        <f>[1]Data!K278</f>
        <v>10.19939651</v>
      </c>
      <c r="L278" s="8">
        <f>[1]Data!L278</f>
        <v>0.22495653086175901</v>
      </c>
      <c r="M278" s="8">
        <f>[1]Data!M278</f>
        <v>10.424353040861799</v>
      </c>
      <c r="N278" s="8">
        <f>[1]Data!N278</f>
        <v>0.27272727272727298</v>
      </c>
      <c r="O278" s="8">
        <f>[1]Data!O278</f>
        <v>0</v>
      </c>
      <c r="P278" s="8">
        <f>[1]Data!P278</f>
        <v>0.64935064935064901</v>
      </c>
      <c r="Q278" s="8">
        <f>[1]Data!Q278</f>
        <v>0</v>
      </c>
      <c r="R278" s="8">
        <f>[1]Data!R278</f>
        <v>0</v>
      </c>
      <c r="S278" s="8">
        <f>[1]Data!S278</f>
        <v>0</v>
      </c>
      <c r="T278">
        <f t="shared" si="20"/>
        <v>0.27272727272727298</v>
      </c>
      <c r="U278">
        <f t="shared" si="21"/>
        <v>0</v>
      </c>
      <c r="V278" s="4" t="str">
        <f t="shared" si="22"/>
        <v>0</v>
      </c>
      <c r="W278" s="4" t="str">
        <f t="shared" si="23"/>
        <v>8</v>
      </c>
      <c r="X278" s="4" t="str">
        <f t="shared" si="24"/>
        <v>0CVCTE8</v>
      </c>
      <c r="Y278">
        <f>VLOOKUP(X278,Sheet1!$J$5:$K$121,2,FALSE)</f>
        <v>0</v>
      </c>
    </row>
    <row r="279" spans="1:25" x14ac:dyDescent="0.25">
      <c r="A279" s="8">
        <f>[1]Data!A279</f>
        <v>600702</v>
      </c>
      <c r="B279" s="8">
        <f>[1]Data!B279</f>
        <v>8</v>
      </c>
      <c r="C279" s="8">
        <f>[1]Data!C279</f>
        <v>0</v>
      </c>
      <c r="D279" s="8">
        <f>[1]Data!D279</f>
        <v>2</v>
      </c>
      <c r="E279" s="8" t="str">
        <f>[1]Data!E279</f>
        <v>CVCTE</v>
      </c>
      <c r="F279" s="8" t="str">
        <f>[1]Data!F279</f>
        <v>Inglewood</v>
      </c>
      <c r="G279" s="8">
        <f>[1]Data!G279</f>
        <v>0</v>
      </c>
      <c r="H279" s="8">
        <f>[1]Data!H279</f>
        <v>0</v>
      </c>
      <c r="I279" s="8">
        <f>[1]Data!I279</f>
        <v>0</v>
      </c>
      <c r="J279" s="8">
        <f>[1]Data!J279</f>
        <v>0</v>
      </c>
      <c r="K279" s="8">
        <f>[1]Data!K279</f>
        <v>0</v>
      </c>
      <c r="L279" s="8">
        <f>[1]Data!L279</f>
        <v>0</v>
      </c>
      <c r="M279" s="8">
        <f>[1]Data!M279</f>
        <v>0</v>
      </c>
      <c r="N279" s="8">
        <f>[1]Data!N279</f>
        <v>0.27272727272727298</v>
      </c>
      <c r="O279" s="8">
        <f>[1]Data!O279</f>
        <v>0</v>
      </c>
      <c r="P279" s="8">
        <f>[1]Data!P279</f>
        <v>0.64935064935064901</v>
      </c>
      <c r="Q279" s="8">
        <f>[1]Data!Q279</f>
        <v>0</v>
      </c>
      <c r="R279" s="8">
        <f>[1]Data!R279</f>
        <v>0</v>
      </c>
      <c r="S279" s="8">
        <f>[1]Data!S279</f>
        <v>0</v>
      </c>
      <c r="T279">
        <f t="shared" si="20"/>
        <v>0.27272727272727298</v>
      </c>
      <c r="U279">
        <f t="shared" si="21"/>
        <v>0</v>
      </c>
      <c r="V279" s="4" t="str">
        <f t="shared" si="22"/>
        <v>0</v>
      </c>
      <c r="W279" s="4" t="str">
        <f t="shared" si="23"/>
        <v>8</v>
      </c>
      <c r="X279" s="4" t="str">
        <f t="shared" si="24"/>
        <v>0CVCTE8</v>
      </c>
      <c r="Y279">
        <f>VLOOKUP(X279,Sheet1!$J$5:$K$121,2,FALSE)</f>
        <v>0</v>
      </c>
    </row>
    <row r="280" spans="1:25" x14ac:dyDescent="0.25">
      <c r="A280" s="8">
        <f>[1]Data!A280</f>
        <v>601502</v>
      </c>
      <c r="B280" s="8">
        <f>[1]Data!B280</f>
        <v>8</v>
      </c>
      <c r="C280" s="8">
        <f>[1]Data!C280</f>
        <v>0</v>
      </c>
      <c r="D280" s="8">
        <f>[1]Data!D280</f>
        <v>2</v>
      </c>
      <c r="E280" s="8" t="str">
        <f>[1]Data!E280</f>
        <v>CVCTE</v>
      </c>
      <c r="F280" s="8" t="str">
        <f>[1]Data!F280</f>
        <v>Lennox</v>
      </c>
      <c r="G280" s="8">
        <f>[1]Data!G280</f>
        <v>0</v>
      </c>
      <c r="H280" s="8">
        <f>[1]Data!H280</f>
        <v>0</v>
      </c>
      <c r="I280" s="8">
        <f>[1]Data!I280</f>
        <v>14.577999999999999</v>
      </c>
      <c r="J280" s="8">
        <f>[1]Data!J280</f>
        <v>11.751253370000001</v>
      </c>
      <c r="K280" s="8">
        <f>[1]Data!K280</f>
        <v>13.751253370000001</v>
      </c>
      <c r="L280" s="8">
        <f>[1]Data!L280</f>
        <v>0.826672241759426</v>
      </c>
      <c r="M280" s="8">
        <f>[1]Data!M280</f>
        <v>14.577925611759399</v>
      </c>
      <c r="N280" s="8">
        <f>[1]Data!N280</f>
        <v>0.27272727272727298</v>
      </c>
      <c r="O280" s="8">
        <f>[1]Data!O280</f>
        <v>0</v>
      </c>
      <c r="P280" s="8">
        <f>[1]Data!P280</f>
        <v>0.64935064935064901</v>
      </c>
      <c r="Q280" s="8">
        <f>[1]Data!Q280</f>
        <v>0</v>
      </c>
      <c r="R280" s="8">
        <f>[1]Data!R280</f>
        <v>0</v>
      </c>
      <c r="S280" s="8">
        <f>[1]Data!S280</f>
        <v>0</v>
      </c>
      <c r="T280">
        <f t="shared" si="20"/>
        <v>0.27272727272727298</v>
      </c>
      <c r="U280">
        <f t="shared" si="21"/>
        <v>0</v>
      </c>
      <c r="V280" s="4" t="str">
        <f t="shared" si="22"/>
        <v>0</v>
      </c>
      <c r="W280" s="4" t="str">
        <f t="shared" si="23"/>
        <v>8</v>
      </c>
      <c r="X280" s="4" t="str">
        <f t="shared" si="24"/>
        <v>0CVCTE8</v>
      </c>
      <c r="Y280">
        <f>VLOOKUP(X280,Sheet1!$J$5:$K$121,2,FALSE)</f>
        <v>0</v>
      </c>
    </row>
    <row r="281" spans="1:25" x14ac:dyDescent="0.25">
      <c r="A281" s="8">
        <f>[1]Data!A281</f>
        <v>601700</v>
      </c>
      <c r="B281" s="8">
        <f>[1]Data!B281</f>
        <v>8</v>
      </c>
      <c r="C281" s="8">
        <f>[1]Data!C281</f>
        <v>0</v>
      </c>
      <c r="D281" s="8">
        <f>[1]Data!D281</f>
        <v>2</v>
      </c>
      <c r="E281" s="8" t="str">
        <f>[1]Data!E281</f>
        <v>CVCTE</v>
      </c>
      <c r="F281" s="8" t="str">
        <f>[1]Data!F281</f>
        <v>Lennox</v>
      </c>
      <c r="G281" s="8">
        <f>[1]Data!G281</f>
        <v>1</v>
      </c>
      <c r="H281" s="8">
        <f>[1]Data!H281</f>
        <v>1</v>
      </c>
      <c r="I281" s="8">
        <f>[1]Data!I281</f>
        <v>73.266999999999996</v>
      </c>
      <c r="J281" s="8">
        <f>[1]Data!J281</f>
        <v>50.205558879999998</v>
      </c>
      <c r="K281" s="8">
        <f>[1]Data!K281</f>
        <v>70.205558879999998</v>
      </c>
      <c r="L281" s="8">
        <f>[1]Data!L281</f>
        <v>3.06221698985637</v>
      </c>
      <c r="M281" s="8">
        <f>[1]Data!M281</f>
        <v>73.267775869856393</v>
      </c>
      <c r="N281" s="8">
        <f>[1]Data!N281</f>
        <v>0.27272727272727298</v>
      </c>
      <c r="O281" s="8">
        <f>[1]Data!O281</f>
        <v>3.6666666666666701</v>
      </c>
      <c r="P281" s="8">
        <f>[1]Data!P281</f>
        <v>0.64935064935064901</v>
      </c>
      <c r="Q281" s="8">
        <f>[1]Data!Q281</f>
        <v>0</v>
      </c>
      <c r="R281" s="8">
        <f>[1]Data!R281</f>
        <v>0</v>
      </c>
      <c r="S281" s="8">
        <f>[1]Data!S281</f>
        <v>0</v>
      </c>
      <c r="T281">
        <f t="shared" si="20"/>
        <v>0.27272727272727298</v>
      </c>
      <c r="U281">
        <f t="shared" si="21"/>
        <v>3.6666666666666634</v>
      </c>
      <c r="V281" s="4" t="str">
        <f t="shared" si="22"/>
        <v>0</v>
      </c>
      <c r="W281" s="4" t="str">
        <f t="shared" si="23"/>
        <v>8</v>
      </c>
      <c r="X281" s="4" t="str">
        <f t="shared" si="24"/>
        <v>0CVCTE8</v>
      </c>
      <c r="Y281">
        <f>VLOOKUP(X281,Sheet1!$J$5:$K$121,2,FALSE)</f>
        <v>0</v>
      </c>
    </row>
    <row r="282" spans="1:25" x14ac:dyDescent="0.25">
      <c r="A282" s="8">
        <f>[1]Data!A282</f>
        <v>603101</v>
      </c>
      <c r="B282" s="8">
        <f>[1]Data!B282</f>
        <v>8</v>
      </c>
      <c r="C282" s="8">
        <f>[1]Data!C282</f>
        <v>0</v>
      </c>
      <c r="D282" s="8">
        <f>[1]Data!D282</f>
        <v>2</v>
      </c>
      <c r="E282" s="8" t="str">
        <f>[1]Data!E282</f>
        <v>CVCTE</v>
      </c>
      <c r="F282" s="8" t="str">
        <f>[1]Data!F282</f>
        <v>Gardena</v>
      </c>
      <c r="G282" s="8">
        <f>[1]Data!G282</f>
        <v>0</v>
      </c>
      <c r="H282" s="8">
        <f>[1]Data!H282</f>
        <v>0</v>
      </c>
      <c r="I282" s="8">
        <f>[1]Data!I282</f>
        <v>18.802</v>
      </c>
      <c r="J282" s="8">
        <f>[1]Data!J282</f>
        <v>17.594775869999999</v>
      </c>
      <c r="K282" s="8">
        <f>[1]Data!K282</f>
        <v>17.594775869999999</v>
      </c>
      <c r="L282" s="8">
        <f>[1]Data!L282</f>
        <v>1.2071730924237001</v>
      </c>
      <c r="M282" s="8">
        <f>[1]Data!M282</f>
        <v>18.801948962423701</v>
      </c>
      <c r="N282" s="8">
        <f>[1]Data!N282</f>
        <v>0.27272727272727298</v>
      </c>
      <c r="O282" s="8">
        <f>[1]Data!O282</f>
        <v>0</v>
      </c>
      <c r="P282" s="8">
        <f>[1]Data!P282</f>
        <v>0.64935064935064901</v>
      </c>
      <c r="Q282" s="8">
        <f>[1]Data!Q282</f>
        <v>0</v>
      </c>
      <c r="R282" s="8">
        <f>[1]Data!R282</f>
        <v>0</v>
      </c>
      <c r="S282" s="8">
        <f>[1]Data!S282</f>
        <v>0</v>
      </c>
      <c r="T282">
        <f t="shared" si="20"/>
        <v>0.27272727272727298</v>
      </c>
      <c r="U282">
        <f t="shared" si="21"/>
        <v>0</v>
      </c>
      <c r="V282" s="4" t="str">
        <f t="shared" si="22"/>
        <v>0</v>
      </c>
      <c r="W282" s="4" t="str">
        <f t="shared" si="23"/>
        <v>8</v>
      </c>
      <c r="X282" s="4" t="str">
        <f t="shared" si="24"/>
        <v>0CVCTE8</v>
      </c>
      <c r="Y282">
        <f>VLOOKUP(X282,Sheet1!$J$5:$K$121,2,FALSE)</f>
        <v>0</v>
      </c>
    </row>
    <row r="283" spans="1:25" x14ac:dyDescent="0.25">
      <c r="A283" s="8">
        <f>[1]Data!A283</f>
        <v>601801</v>
      </c>
      <c r="B283" s="8">
        <f>[1]Data!B283</f>
        <v>8</v>
      </c>
      <c r="C283" s="8">
        <f>[1]Data!C283</f>
        <v>0</v>
      </c>
      <c r="D283" s="8">
        <f>[1]Data!D283</f>
        <v>2</v>
      </c>
      <c r="E283" s="8" t="str">
        <f>[1]Data!E283</f>
        <v>CVCTE</v>
      </c>
      <c r="F283" s="8" t="str">
        <f>[1]Data!F283</f>
        <v>Inglewood</v>
      </c>
      <c r="G283" s="8">
        <f>[1]Data!G283</f>
        <v>0</v>
      </c>
      <c r="H283" s="8">
        <f>[1]Data!H283</f>
        <v>0</v>
      </c>
      <c r="I283" s="8">
        <f>[1]Data!I283</f>
        <v>19.251999999999999</v>
      </c>
      <c r="J283" s="8">
        <f>[1]Data!J283</f>
        <v>11.71352115</v>
      </c>
      <c r="K283" s="8">
        <f>[1]Data!K283</f>
        <v>18.713521149999998</v>
      </c>
      <c r="L283" s="8">
        <f>[1]Data!L283</f>
        <v>0.53772391642728901</v>
      </c>
      <c r="M283" s="8">
        <f>[1]Data!M283</f>
        <v>19.251245066427298</v>
      </c>
      <c r="N283" s="8">
        <f>[1]Data!N283</f>
        <v>0.27272727272727298</v>
      </c>
      <c r="O283" s="8">
        <f>[1]Data!O283</f>
        <v>0</v>
      </c>
      <c r="P283" s="8">
        <f>[1]Data!P283</f>
        <v>0.64935064935064901</v>
      </c>
      <c r="Q283" s="8">
        <f>[1]Data!Q283</f>
        <v>0</v>
      </c>
      <c r="R283" s="8">
        <f>[1]Data!R283</f>
        <v>0</v>
      </c>
      <c r="S283" s="8">
        <f>[1]Data!S283</f>
        <v>0</v>
      </c>
      <c r="T283">
        <f t="shared" si="20"/>
        <v>0.27272727272727298</v>
      </c>
      <c r="U283">
        <f t="shared" si="21"/>
        <v>0</v>
      </c>
      <c r="V283" s="4" t="str">
        <f t="shared" si="22"/>
        <v>0</v>
      </c>
      <c r="W283" s="4" t="str">
        <f t="shared" si="23"/>
        <v>8</v>
      </c>
      <c r="X283" s="4" t="str">
        <f t="shared" si="24"/>
        <v>0CVCTE8</v>
      </c>
      <c r="Y283">
        <f>VLOOKUP(X283,Sheet1!$J$5:$K$121,2,FALSE)</f>
        <v>0</v>
      </c>
    </row>
    <row r="284" spans="1:25" x14ac:dyDescent="0.25">
      <c r="A284" s="8">
        <f>[1]Data!A284</f>
        <v>600100</v>
      </c>
      <c r="B284" s="8">
        <f>[1]Data!B284</f>
        <v>8</v>
      </c>
      <c r="C284" s="8">
        <f>[1]Data!C284</f>
        <v>0</v>
      </c>
      <c r="D284" s="8">
        <f>[1]Data!D284</f>
        <v>2</v>
      </c>
      <c r="E284" s="8" t="str">
        <f>[1]Data!E284</f>
        <v>CVCTE</v>
      </c>
      <c r="F284" s="8" t="str">
        <f>[1]Data!F284</f>
        <v>Westmont / West Athens</v>
      </c>
      <c r="G284" s="8">
        <f>[1]Data!G284</f>
        <v>0</v>
      </c>
      <c r="H284" s="8">
        <f>[1]Data!H284</f>
        <v>0</v>
      </c>
      <c r="I284" s="8">
        <f>[1]Data!I284</f>
        <v>38.298000000000002</v>
      </c>
      <c r="J284" s="8">
        <f>[1]Data!J284</f>
        <v>19.703839980000001</v>
      </c>
      <c r="K284" s="8">
        <f>[1]Data!K284</f>
        <v>37.703839979999998</v>
      </c>
      <c r="L284" s="8">
        <f>[1]Data!L284</f>
        <v>0.59513392784560104</v>
      </c>
      <c r="M284" s="8">
        <f>[1]Data!M284</f>
        <v>38.2989739078456</v>
      </c>
      <c r="N284" s="8">
        <f>[1]Data!N284</f>
        <v>0.27272727272727298</v>
      </c>
      <c r="O284" s="8">
        <f>[1]Data!O284</f>
        <v>0</v>
      </c>
      <c r="P284" s="8">
        <f>[1]Data!P284</f>
        <v>0.64935064935064901</v>
      </c>
      <c r="Q284" s="8">
        <f>[1]Data!Q284</f>
        <v>0</v>
      </c>
      <c r="R284" s="8">
        <f>[1]Data!R284</f>
        <v>0</v>
      </c>
      <c r="S284" s="8">
        <f>[1]Data!S284</f>
        <v>0</v>
      </c>
      <c r="T284">
        <f t="shared" si="20"/>
        <v>0.27272727272727298</v>
      </c>
      <c r="U284">
        <f t="shared" si="21"/>
        <v>0</v>
      </c>
      <c r="V284" s="4" t="str">
        <f t="shared" si="22"/>
        <v>0</v>
      </c>
      <c r="W284" s="4" t="str">
        <f t="shared" si="23"/>
        <v>8</v>
      </c>
      <c r="X284" s="4" t="str">
        <f t="shared" si="24"/>
        <v>0CVCTE8</v>
      </c>
      <c r="Y284">
        <f>VLOOKUP(X284,Sheet1!$J$5:$K$121,2,FALSE)</f>
        <v>0</v>
      </c>
    </row>
    <row r="285" spans="1:25" x14ac:dyDescent="0.25">
      <c r="A285" s="8">
        <f>[1]Data!A285</f>
        <v>602105</v>
      </c>
      <c r="B285" s="8">
        <f>[1]Data!B285</f>
        <v>8</v>
      </c>
      <c r="C285" s="8">
        <f>[1]Data!C285</f>
        <v>0</v>
      </c>
      <c r="D285" s="8">
        <f>[1]Data!D285</f>
        <v>2</v>
      </c>
      <c r="E285" s="8" t="str">
        <f>[1]Data!E285</f>
        <v>CVCTE</v>
      </c>
      <c r="F285" s="8" t="str">
        <f>[1]Data!F285</f>
        <v>Hawthorne</v>
      </c>
      <c r="G285" s="8">
        <f>[1]Data!G285</f>
        <v>0</v>
      </c>
      <c r="H285" s="8">
        <f>[1]Data!H285</f>
        <v>0</v>
      </c>
      <c r="I285" s="8">
        <f>[1]Data!I285</f>
        <v>5.734</v>
      </c>
      <c r="J285" s="8">
        <f>[1]Data!J285</f>
        <v>3.63801211</v>
      </c>
      <c r="K285" s="8">
        <f>[1]Data!K285</f>
        <v>5.63801211</v>
      </c>
      <c r="L285" s="8">
        <f>[1]Data!L285</f>
        <v>9.5610832369838403E-2</v>
      </c>
      <c r="M285" s="8">
        <f>[1]Data!M285</f>
        <v>5.7336229423698404</v>
      </c>
      <c r="N285" s="8">
        <f>[1]Data!N285</f>
        <v>0.27272727272727298</v>
      </c>
      <c r="O285" s="8">
        <f>[1]Data!O285</f>
        <v>0</v>
      </c>
      <c r="P285" s="8">
        <f>[1]Data!P285</f>
        <v>0.64935064935064901</v>
      </c>
      <c r="Q285" s="8">
        <f>[1]Data!Q285</f>
        <v>0</v>
      </c>
      <c r="R285" s="8">
        <f>[1]Data!R285</f>
        <v>0</v>
      </c>
      <c r="S285" s="8">
        <f>[1]Data!S285</f>
        <v>0</v>
      </c>
      <c r="T285">
        <f t="shared" si="20"/>
        <v>0.27272727272727298</v>
      </c>
      <c r="U285">
        <f t="shared" si="21"/>
        <v>0</v>
      </c>
      <c r="V285" s="4" t="str">
        <f t="shared" si="22"/>
        <v>0</v>
      </c>
      <c r="W285" s="4" t="str">
        <f t="shared" si="23"/>
        <v>8</v>
      </c>
      <c r="X285" s="4" t="str">
        <f t="shared" si="24"/>
        <v>0CVCTE8</v>
      </c>
      <c r="Y285">
        <f>VLOOKUP(X285,Sheet1!$J$5:$K$121,2,FALSE)</f>
        <v>0</v>
      </c>
    </row>
    <row r="286" spans="1:25" x14ac:dyDescent="0.25">
      <c r="A286" s="8">
        <f>[1]Data!A286</f>
        <v>602402</v>
      </c>
      <c r="B286" s="8">
        <f>[1]Data!B286</f>
        <v>8</v>
      </c>
      <c r="C286" s="8">
        <f>[1]Data!C286</f>
        <v>0</v>
      </c>
      <c r="D286" s="8">
        <f>[1]Data!D286</f>
        <v>2</v>
      </c>
      <c r="E286" s="8" t="str">
        <f>[1]Data!E286</f>
        <v>CVCTE</v>
      </c>
      <c r="F286" s="8" t="str">
        <f>[1]Data!F286</f>
        <v>Hawthorne</v>
      </c>
      <c r="G286" s="8">
        <f>[1]Data!G286</f>
        <v>0</v>
      </c>
      <c r="H286" s="8">
        <f>[1]Data!H286</f>
        <v>0</v>
      </c>
      <c r="I286" s="8">
        <f>[1]Data!I286</f>
        <v>13.057</v>
      </c>
      <c r="J286" s="8">
        <f>[1]Data!J286</f>
        <v>10.268688689999999</v>
      </c>
      <c r="K286" s="8">
        <f>[1]Data!K286</f>
        <v>12.268688689999999</v>
      </c>
      <c r="L286" s="8">
        <f>[1]Data!L286</f>
        <v>0.78787382256732497</v>
      </c>
      <c r="M286" s="8">
        <f>[1]Data!M286</f>
        <v>13.0565625125673</v>
      </c>
      <c r="N286" s="8">
        <f>[1]Data!N286</f>
        <v>0.27272727272727298</v>
      </c>
      <c r="O286" s="8">
        <f>[1]Data!O286</f>
        <v>0</v>
      </c>
      <c r="P286" s="8">
        <f>[1]Data!P286</f>
        <v>0.64935064935064901</v>
      </c>
      <c r="Q286" s="8">
        <f>[1]Data!Q286</f>
        <v>0</v>
      </c>
      <c r="R286" s="8">
        <f>[1]Data!R286</f>
        <v>0</v>
      </c>
      <c r="S286" s="8">
        <f>[1]Data!S286</f>
        <v>0</v>
      </c>
      <c r="T286">
        <f t="shared" si="20"/>
        <v>0.27272727272727298</v>
      </c>
      <c r="U286">
        <f t="shared" si="21"/>
        <v>0</v>
      </c>
      <c r="V286" s="4" t="str">
        <f t="shared" si="22"/>
        <v>0</v>
      </c>
      <c r="W286" s="4" t="str">
        <f t="shared" si="23"/>
        <v>8</v>
      </c>
      <c r="X286" s="4" t="str">
        <f t="shared" si="24"/>
        <v>0CVCTE8</v>
      </c>
      <c r="Y286">
        <f>VLOOKUP(X286,Sheet1!$J$5:$K$121,2,FALSE)</f>
        <v>0</v>
      </c>
    </row>
    <row r="287" spans="1:25" x14ac:dyDescent="0.25">
      <c r="A287" s="8">
        <f>[1]Data!A287</f>
        <v>602404</v>
      </c>
      <c r="B287" s="8">
        <f>[1]Data!B287</f>
        <v>8</v>
      </c>
      <c r="C287" s="8">
        <f>[1]Data!C287</f>
        <v>0</v>
      </c>
      <c r="D287" s="8">
        <f>[1]Data!D287</f>
        <v>2</v>
      </c>
      <c r="E287" s="8" t="str">
        <f>[1]Data!E287</f>
        <v>CVCTE</v>
      </c>
      <c r="F287" s="8" t="str">
        <f>[1]Data!F287</f>
        <v>Hawthorne</v>
      </c>
      <c r="G287" s="8">
        <f>[1]Data!G287</f>
        <v>1</v>
      </c>
      <c r="H287" s="8">
        <f>[1]Data!H287</f>
        <v>1</v>
      </c>
      <c r="I287" s="8">
        <f>[1]Data!I287</f>
        <v>21.158000000000001</v>
      </c>
      <c r="J287" s="8">
        <f>[1]Data!J287</f>
        <v>17.801975250000002</v>
      </c>
      <c r="K287" s="8">
        <f>[1]Data!K287</f>
        <v>19.801975250000002</v>
      </c>
      <c r="L287" s="8">
        <f>[1]Data!L287</f>
        <v>1.3560137704667901</v>
      </c>
      <c r="M287" s="8">
        <f>[1]Data!M287</f>
        <v>21.1579890204668</v>
      </c>
      <c r="N287" s="8">
        <f>[1]Data!N287</f>
        <v>0.27272727272727298</v>
      </c>
      <c r="O287" s="8">
        <f>[1]Data!O287</f>
        <v>3.6666666666666701</v>
      </c>
      <c r="P287" s="8">
        <f>[1]Data!P287</f>
        <v>0.64935064935064901</v>
      </c>
      <c r="Q287" s="8">
        <f>[1]Data!Q287</f>
        <v>0</v>
      </c>
      <c r="R287" s="8">
        <f>[1]Data!R287</f>
        <v>0</v>
      </c>
      <c r="S287" s="8">
        <f>[1]Data!S287</f>
        <v>0</v>
      </c>
      <c r="T287">
        <f t="shared" si="20"/>
        <v>0.27272727272727298</v>
      </c>
      <c r="U287">
        <f t="shared" si="21"/>
        <v>3.6666666666666634</v>
      </c>
      <c r="V287" s="4" t="str">
        <f t="shared" si="22"/>
        <v>0</v>
      </c>
      <c r="W287" s="4" t="str">
        <f t="shared" si="23"/>
        <v>8</v>
      </c>
      <c r="X287" s="4" t="str">
        <f t="shared" si="24"/>
        <v>0CVCTE8</v>
      </c>
      <c r="Y287">
        <f>VLOOKUP(X287,Sheet1!$J$5:$K$121,2,FALSE)</f>
        <v>0</v>
      </c>
    </row>
    <row r="288" spans="1:25" x14ac:dyDescent="0.25">
      <c r="A288" s="8">
        <f>[1]Data!A288</f>
        <v>602600</v>
      </c>
      <c r="B288" s="8">
        <f>[1]Data!B288</f>
        <v>8</v>
      </c>
      <c r="C288" s="8">
        <f>[1]Data!C288</f>
        <v>0</v>
      </c>
      <c r="D288" s="8">
        <f>[1]Data!D288</f>
        <v>2</v>
      </c>
      <c r="E288" s="8" t="str">
        <f>[1]Data!E288</f>
        <v>CVCTE</v>
      </c>
      <c r="F288" s="8" t="str">
        <f>[1]Data!F288</f>
        <v>Gardena</v>
      </c>
      <c r="G288" s="8">
        <f>[1]Data!G288</f>
        <v>0</v>
      </c>
      <c r="H288" s="8">
        <f>[1]Data!H288</f>
        <v>0</v>
      </c>
      <c r="I288" s="8">
        <f>[1]Data!I288</f>
        <v>7.19</v>
      </c>
      <c r="J288" s="8">
        <f>[1]Data!J288</f>
        <v>3.9673993200000002</v>
      </c>
      <c r="K288" s="8">
        <f>[1]Data!K288</f>
        <v>6.9673993200000002</v>
      </c>
      <c r="L288" s="8">
        <f>[1]Data!L288</f>
        <v>0.22234520276481101</v>
      </c>
      <c r="M288" s="8">
        <f>[1]Data!M288</f>
        <v>7.1897445227648102</v>
      </c>
      <c r="N288" s="8">
        <f>[1]Data!N288</f>
        <v>0.27272727272727298</v>
      </c>
      <c r="O288" s="8">
        <f>[1]Data!O288</f>
        <v>0</v>
      </c>
      <c r="P288" s="8">
        <f>[1]Data!P288</f>
        <v>0.64935064935064901</v>
      </c>
      <c r="Q288" s="8">
        <f>[1]Data!Q288</f>
        <v>0</v>
      </c>
      <c r="R288" s="8">
        <f>[1]Data!R288</f>
        <v>0</v>
      </c>
      <c r="S288" s="8">
        <f>[1]Data!S288</f>
        <v>0</v>
      </c>
      <c r="T288">
        <f t="shared" si="20"/>
        <v>0.27272727272727298</v>
      </c>
      <c r="U288">
        <f t="shared" si="21"/>
        <v>0</v>
      </c>
      <c r="V288" s="4" t="str">
        <f t="shared" si="22"/>
        <v>0</v>
      </c>
      <c r="W288" s="4" t="str">
        <f t="shared" si="23"/>
        <v>8</v>
      </c>
      <c r="X288" s="4" t="str">
        <f t="shared" si="24"/>
        <v>0CVCTE8</v>
      </c>
      <c r="Y288">
        <f>VLOOKUP(X288,Sheet1!$J$5:$K$121,2,FALSE)</f>
        <v>0</v>
      </c>
    </row>
    <row r="289" spans="1:25" x14ac:dyDescent="0.25">
      <c r="A289" s="8">
        <f>[1]Data!A289</f>
        <v>543400</v>
      </c>
      <c r="B289" s="8">
        <f>[1]Data!B289</f>
        <v>8</v>
      </c>
      <c r="C289" s="8">
        <f>[1]Data!C289</f>
        <v>0</v>
      </c>
      <c r="D289" s="8">
        <f>[1]Data!D289</f>
        <v>2</v>
      </c>
      <c r="E289" s="8" t="str">
        <f>[1]Data!E289</f>
        <v>CVCTE</v>
      </c>
      <c r="F289" s="8" t="str">
        <f>[1]Data!F289</f>
        <v>Carson</v>
      </c>
      <c r="G289" s="8">
        <f>[1]Data!G289</f>
        <v>0</v>
      </c>
      <c r="H289" s="8">
        <f>[1]Data!H289</f>
        <v>0</v>
      </c>
      <c r="I289" s="8">
        <f>[1]Data!I289</f>
        <v>14.664</v>
      </c>
      <c r="J289" s="8">
        <f>[1]Data!J289</f>
        <v>13.88589762</v>
      </c>
      <c r="K289" s="8">
        <f>[1]Data!K289</f>
        <v>13.88589762</v>
      </c>
      <c r="L289" s="8">
        <f>[1]Data!L289</f>
        <v>0.77820820967684001</v>
      </c>
      <c r="M289" s="8">
        <f>[1]Data!M289</f>
        <v>14.664105829676799</v>
      </c>
      <c r="N289" s="8">
        <f>[1]Data!N289</f>
        <v>0.27272727272727298</v>
      </c>
      <c r="O289" s="8">
        <f>[1]Data!O289</f>
        <v>0</v>
      </c>
      <c r="P289" s="8">
        <f>[1]Data!P289</f>
        <v>0.64935064935064901</v>
      </c>
      <c r="Q289" s="8">
        <f>[1]Data!Q289</f>
        <v>0</v>
      </c>
      <c r="R289" s="8">
        <f>[1]Data!R289</f>
        <v>0</v>
      </c>
      <c r="S289" s="8">
        <f>[1]Data!S289</f>
        <v>0</v>
      </c>
      <c r="T289">
        <f t="shared" si="20"/>
        <v>0.27272727272727298</v>
      </c>
      <c r="U289">
        <f t="shared" si="21"/>
        <v>0</v>
      </c>
      <c r="V289" s="4" t="str">
        <f t="shared" si="22"/>
        <v>0</v>
      </c>
      <c r="W289" s="4" t="str">
        <f t="shared" si="23"/>
        <v>8</v>
      </c>
      <c r="X289" s="4" t="str">
        <f t="shared" si="24"/>
        <v>0CVCTE8</v>
      </c>
      <c r="Y289">
        <f>VLOOKUP(X289,Sheet1!$J$5:$K$121,2,FALSE)</f>
        <v>0</v>
      </c>
    </row>
    <row r="290" spans="1:25" x14ac:dyDescent="0.25">
      <c r="A290" s="8">
        <f>[1]Data!A290</f>
        <v>603802</v>
      </c>
      <c r="B290" s="8">
        <f>[1]Data!B290</f>
        <v>8</v>
      </c>
      <c r="C290" s="8">
        <f>[1]Data!C290</f>
        <v>0</v>
      </c>
      <c r="D290" s="8">
        <f>[1]Data!D290</f>
        <v>2</v>
      </c>
      <c r="E290" s="8" t="str">
        <f>[1]Data!E290</f>
        <v>CVCTE</v>
      </c>
      <c r="F290" s="8" t="str">
        <f>[1]Data!F290</f>
        <v>Lawndale</v>
      </c>
      <c r="G290" s="8">
        <f>[1]Data!G290</f>
        <v>0</v>
      </c>
      <c r="H290" s="8">
        <f>[1]Data!H290</f>
        <v>0</v>
      </c>
      <c r="I290" s="8">
        <f>[1]Data!I290</f>
        <v>0</v>
      </c>
      <c r="J290" s="8">
        <f>[1]Data!J290</f>
        <v>0</v>
      </c>
      <c r="K290" s="8">
        <f>[1]Data!K290</f>
        <v>0</v>
      </c>
      <c r="L290" s="8">
        <f>[1]Data!L290</f>
        <v>0</v>
      </c>
      <c r="M290" s="8">
        <f>[1]Data!M290</f>
        <v>0</v>
      </c>
      <c r="N290" s="8">
        <f>[1]Data!N290</f>
        <v>0.27272727272727298</v>
      </c>
      <c r="O290" s="8">
        <f>[1]Data!O290</f>
        <v>0</v>
      </c>
      <c r="P290" s="8">
        <f>[1]Data!P290</f>
        <v>0.64935064935064901</v>
      </c>
      <c r="Q290" s="8">
        <f>[1]Data!Q290</f>
        <v>0</v>
      </c>
      <c r="R290" s="8">
        <f>[1]Data!R290</f>
        <v>0</v>
      </c>
      <c r="S290" s="8">
        <f>[1]Data!S290</f>
        <v>0</v>
      </c>
      <c r="T290">
        <f t="shared" si="20"/>
        <v>0.27272727272727298</v>
      </c>
      <c r="U290">
        <f t="shared" si="21"/>
        <v>0</v>
      </c>
      <c r="V290" s="4" t="str">
        <f t="shared" si="22"/>
        <v>0</v>
      </c>
      <c r="W290" s="4" t="str">
        <f t="shared" si="23"/>
        <v>8</v>
      </c>
      <c r="X290" s="4" t="str">
        <f t="shared" si="24"/>
        <v>0CVCTE8</v>
      </c>
      <c r="Y290">
        <f>VLOOKUP(X290,Sheet1!$J$5:$K$121,2,FALSE)</f>
        <v>0</v>
      </c>
    </row>
    <row r="291" spans="1:25" x14ac:dyDescent="0.25">
      <c r="A291" s="8">
        <f>[1]Data!A291</f>
        <v>604001</v>
      </c>
      <c r="B291" s="8">
        <f>[1]Data!B291</f>
        <v>8</v>
      </c>
      <c r="C291" s="8">
        <f>[1]Data!C291</f>
        <v>0</v>
      </c>
      <c r="D291" s="8">
        <f>[1]Data!D291</f>
        <v>2</v>
      </c>
      <c r="E291" s="8" t="str">
        <f>[1]Data!E291</f>
        <v>CVCTE</v>
      </c>
      <c r="F291" s="8" t="str">
        <f>[1]Data!F291</f>
        <v>Lawndale</v>
      </c>
      <c r="G291" s="8">
        <f>[1]Data!G291</f>
        <v>1</v>
      </c>
      <c r="H291" s="8">
        <f>[1]Data!H291</f>
        <v>1</v>
      </c>
      <c r="I291" s="8">
        <f>[1]Data!I291</f>
        <v>9.702</v>
      </c>
      <c r="J291" s="8">
        <f>[1]Data!J291</f>
        <v>7.6195197600000002</v>
      </c>
      <c r="K291" s="8">
        <f>[1]Data!K291</f>
        <v>9.6195197599999993</v>
      </c>
      <c r="L291" s="8">
        <f>[1]Data!L291</f>
        <v>8.2501288330341094E-2</v>
      </c>
      <c r="M291" s="8">
        <f>[1]Data!M291</f>
        <v>9.7020210483303408</v>
      </c>
      <c r="N291" s="8">
        <f>[1]Data!N291</f>
        <v>0.27272727272727298</v>
      </c>
      <c r="O291" s="8">
        <f>[1]Data!O291</f>
        <v>3.6666666666666701</v>
      </c>
      <c r="P291" s="8">
        <f>[1]Data!P291</f>
        <v>0.64935064935064901</v>
      </c>
      <c r="Q291" s="8">
        <f>[1]Data!Q291</f>
        <v>0</v>
      </c>
      <c r="R291" s="8">
        <f>[1]Data!R291</f>
        <v>0</v>
      </c>
      <c r="S291" s="8">
        <f>[1]Data!S291</f>
        <v>0</v>
      </c>
      <c r="T291">
        <f t="shared" si="20"/>
        <v>0.27272727272727298</v>
      </c>
      <c r="U291">
        <f t="shared" si="21"/>
        <v>3.6666666666666634</v>
      </c>
      <c r="V291" s="4" t="str">
        <f t="shared" si="22"/>
        <v>0</v>
      </c>
      <c r="W291" s="4" t="str">
        <f t="shared" si="23"/>
        <v>8</v>
      </c>
      <c r="X291" s="4" t="str">
        <f t="shared" si="24"/>
        <v>0CVCTE8</v>
      </c>
      <c r="Y291">
        <f>VLOOKUP(X291,Sheet1!$J$5:$K$121,2,FALSE)</f>
        <v>0</v>
      </c>
    </row>
    <row r="292" spans="1:25" x14ac:dyDescent="0.25">
      <c r="A292" s="8">
        <f>[1]Data!A292</f>
        <v>604100</v>
      </c>
      <c r="B292" s="8">
        <f>[1]Data!B292</f>
        <v>8</v>
      </c>
      <c r="C292" s="8">
        <f>[1]Data!C292</f>
        <v>0</v>
      </c>
      <c r="D292" s="8">
        <f>[1]Data!D292</f>
        <v>2</v>
      </c>
      <c r="E292" s="8" t="str">
        <f>[1]Data!E292</f>
        <v>CVCTE</v>
      </c>
      <c r="F292" s="8" t="str">
        <f>[1]Data!F292</f>
        <v>Lawndale</v>
      </c>
      <c r="G292" s="8">
        <f>[1]Data!G292</f>
        <v>1</v>
      </c>
      <c r="H292" s="8">
        <f>[1]Data!H292</f>
        <v>1</v>
      </c>
      <c r="I292" s="8">
        <f>[1]Data!I292</f>
        <v>9</v>
      </c>
      <c r="J292" s="8">
        <f>[1]Data!J292</f>
        <v>0</v>
      </c>
      <c r="K292" s="8">
        <f>[1]Data!K292</f>
        <v>9</v>
      </c>
      <c r="L292" s="8">
        <f>[1]Data!L292</f>
        <v>0</v>
      </c>
      <c r="M292" s="8">
        <f>[1]Data!M292</f>
        <v>9</v>
      </c>
      <c r="N292" s="8">
        <f>[1]Data!N292</f>
        <v>0.27272727272727298</v>
      </c>
      <c r="O292" s="8">
        <f>[1]Data!O292</f>
        <v>3.6666666666666701</v>
      </c>
      <c r="P292" s="8">
        <f>[1]Data!P292</f>
        <v>0.64935064935064901</v>
      </c>
      <c r="Q292" s="8">
        <f>[1]Data!Q292</f>
        <v>0</v>
      </c>
      <c r="R292" s="8">
        <f>[1]Data!R292</f>
        <v>0</v>
      </c>
      <c r="S292" s="8">
        <f>[1]Data!S292</f>
        <v>0</v>
      </c>
      <c r="T292">
        <f t="shared" si="20"/>
        <v>0.27272727272727298</v>
      </c>
      <c r="U292">
        <f t="shared" si="21"/>
        <v>3.6666666666666634</v>
      </c>
      <c r="V292" s="4" t="str">
        <f t="shared" si="22"/>
        <v>0</v>
      </c>
      <c r="W292" s="4" t="str">
        <f t="shared" si="23"/>
        <v>8</v>
      </c>
      <c r="X292" s="4" t="str">
        <f t="shared" si="24"/>
        <v>0CVCTE8</v>
      </c>
      <c r="Y292">
        <f>VLOOKUP(X292,Sheet1!$J$5:$K$121,2,FALSE)</f>
        <v>0</v>
      </c>
    </row>
    <row r="293" spans="1:25" x14ac:dyDescent="0.25">
      <c r="A293" s="8">
        <f>[1]Data!A293</f>
        <v>620002</v>
      </c>
      <c r="B293" s="8">
        <f>[1]Data!B293</f>
        <v>8</v>
      </c>
      <c r="C293" s="8">
        <f>[1]Data!C293</f>
        <v>0</v>
      </c>
      <c r="D293" s="8">
        <f>[1]Data!D293</f>
        <v>4</v>
      </c>
      <c r="E293" s="8" t="str">
        <f>[1]Data!E293</f>
        <v>CVCTE</v>
      </c>
      <c r="F293" s="8" t="str">
        <f>[1]Data!F293</f>
        <v>El Segundo</v>
      </c>
      <c r="G293" s="8">
        <f>[1]Data!G293</f>
        <v>1</v>
      </c>
      <c r="H293" s="8">
        <f>[1]Data!H293</f>
        <v>1</v>
      </c>
      <c r="I293" s="8">
        <f>[1]Data!I293</f>
        <v>14.654999999999999</v>
      </c>
      <c r="J293" s="8">
        <f>[1]Data!J293</f>
        <v>12.79689144</v>
      </c>
      <c r="K293" s="8">
        <f>[1]Data!K293</f>
        <v>13.79689144</v>
      </c>
      <c r="L293" s="8">
        <f>[1]Data!L293</f>
        <v>0.85876701919209997</v>
      </c>
      <c r="M293" s="8">
        <f>[1]Data!M293</f>
        <v>14.6556584591921</v>
      </c>
      <c r="N293" s="8">
        <f>[1]Data!N293</f>
        <v>0.27272727272727298</v>
      </c>
      <c r="O293" s="8">
        <f>[1]Data!O293</f>
        <v>3.6666666666666701</v>
      </c>
      <c r="P293" s="8">
        <f>[1]Data!P293</f>
        <v>0.64935064935064901</v>
      </c>
      <c r="Q293" s="8">
        <f>[1]Data!Q293</f>
        <v>0</v>
      </c>
      <c r="R293" s="8">
        <f>[1]Data!R293</f>
        <v>0</v>
      </c>
      <c r="S293" s="8">
        <f>[1]Data!S293</f>
        <v>0</v>
      </c>
      <c r="T293">
        <f t="shared" si="20"/>
        <v>0.27272727272727298</v>
      </c>
      <c r="U293">
        <f t="shared" si="21"/>
        <v>3.6666666666666634</v>
      </c>
      <c r="V293" s="4" t="str">
        <f t="shared" si="22"/>
        <v>0</v>
      </c>
      <c r="W293" s="4" t="str">
        <f t="shared" si="23"/>
        <v>8</v>
      </c>
      <c r="X293" s="4" t="str">
        <f t="shared" si="24"/>
        <v>0CVCTE8</v>
      </c>
      <c r="Y293">
        <f>VLOOKUP(X293,Sheet1!$J$5:$K$121,2,FALSE)</f>
        <v>0</v>
      </c>
    </row>
    <row r="294" spans="1:25" x14ac:dyDescent="0.25">
      <c r="A294" s="8">
        <f>[1]Data!A294</f>
        <v>980002</v>
      </c>
      <c r="B294" s="8">
        <f>[1]Data!B294</f>
        <v>8</v>
      </c>
      <c r="C294" s="8">
        <f>[1]Data!C294</f>
        <v>0</v>
      </c>
      <c r="D294" s="8">
        <f>[1]Data!D294</f>
        <v>2</v>
      </c>
      <c r="E294" s="8" t="str">
        <f>[1]Data!E294</f>
        <v>CVCTE</v>
      </c>
      <c r="F294" s="8" t="str">
        <f>[1]Data!F294</f>
        <v>Carson</v>
      </c>
      <c r="G294" s="8">
        <f>[1]Data!G294</f>
        <v>0</v>
      </c>
      <c r="H294" s="8">
        <f>[1]Data!H294</f>
        <v>0</v>
      </c>
      <c r="I294" s="8">
        <f>[1]Data!I294</f>
        <v>0</v>
      </c>
      <c r="J294" s="8">
        <f>[1]Data!J294</f>
        <v>0</v>
      </c>
      <c r="K294" s="8">
        <f>[1]Data!K294</f>
        <v>0</v>
      </c>
      <c r="L294" s="8">
        <f>[1]Data!L294</f>
        <v>0</v>
      </c>
      <c r="M294" s="8">
        <f>[1]Data!M294</f>
        <v>0</v>
      </c>
      <c r="N294" s="8">
        <f>[1]Data!N294</f>
        <v>0.27272727272727298</v>
      </c>
      <c r="O294" s="8">
        <f>[1]Data!O294</f>
        <v>0</v>
      </c>
      <c r="P294" s="8">
        <f>[1]Data!P294</f>
        <v>0.64935064935064901</v>
      </c>
      <c r="Q294" s="8">
        <f>[1]Data!Q294</f>
        <v>0</v>
      </c>
      <c r="R294" s="8">
        <f>[1]Data!R294</f>
        <v>0</v>
      </c>
      <c r="S294" s="8">
        <f>[1]Data!S294</f>
        <v>0</v>
      </c>
      <c r="T294">
        <f t="shared" si="20"/>
        <v>0.27272727272727298</v>
      </c>
      <c r="U294">
        <f t="shared" si="21"/>
        <v>0</v>
      </c>
      <c r="V294" s="4" t="str">
        <f t="shared" si="22"/>
        <v>0</v>
      </c>
      <c r="W294" s="4" t="str">
        <f t="shared" si="23"/>
        <v>8</v>
      </c>
      <c r="X294" s="4" t="str">
        <f t="shared" si="24"/>
        <v>0CVCTE8</v>
      </c>
      <c r="Y294">
        <f>VLOOKUP(X294,Sheet1!$J$5:$K$121,2,FALSE)</f>
        <v>0</v>
      </c>
    </row>
    <row r="295" spans="1:25" x14ac:dyDescent="0.25">
      <c r="A295" s="8">
        <f>[1]Data!A295</f>
        <v>601600</v>
      </c>
      <c r="B295" s="8">
        <f>[1]Data!B295</f>
        <v>8</v>
      </c>
      <c r="C295" s="8">
        <f>[1]Data!C295</f>
        <v>0</v>
      </c>
      <c r="D295" s="8">
        <f>[1]Data!D295</f>
        <v>2</v>
      </c>
      <c r="E295" s="8" t="str">
        <f>[1]Data!E295</f>
        <v>CVCTE</v>
      </c>
      <c r="F295" s="8" t="str">
        <f>[1]Data!F295</f>
        <v>Lennox</v>
      </c>
      <c r="G295" s="8">
        <f>[1]Data!G295</f>
        <v>0</v>
      </c>
      <c r="H295" s="8">
        <f>[1]Data!H295</f>
        <v>0</v>
      </c>
      <c r="I295" s="8">
        <f>[1]Data!I295</f>
        <v>29.135000000000002</v>
      </c>
      <c r="J295" s="8">
        <f>[1]Data!J295</f>
        <v>22.872489080000001</v>
      </c>
      <c r="K295" s="8">
        <f>[1]Data!K295</f>
        <v>27.872489080000001</v>
      </c>
      <c r="L295" s="8">
        <f>[1]Data!L295</f>
        <v>1.2623454169120301</v>
      </c>
      <c r="M295" s="8">
        <f>[1]Data!M295</f>
        <v>29.134834496911999</v>
      </c>
      <c r="N295" s="8">
        <f>[1]Data!N295</f>
        <v>0.27272727272727298</v>
      </c>
      <c r="O295" s="8">
        <f>[1]Data!O295</f>
        <v>0</v>
      </c>
      <c r="P295" s="8">
        <f>[1]Data!P295</f>
        <v>0.64935064935064901</v>
      </c>
      <c r="Q295" s="8">
        <f>[1]Data!Q295</f>
        <v>0</v>
      </c>
      <c r="R295" s="8">
        <f>[1]Data!R295</f>
        <v>0</v>
      </c>
      <c r="S295" s="8">
        <f>[1]Data!S295</f>
        <v>0</v>
      </c>
      <c r="T295">
        <f t="shared" si="20"/>
        <v>0.27272727272727298</v>
      </c>
      <c r="U295">
        <f t="shared" si="21"/>
        <v>0</v>
      </c>
      <c r="V295" s="4" t="str">
        <f t="shared" si="22"/>
        <v>0</v>
      </c>
      <c r="W295" s="4" t="str">
        <f t="shared" si="23"/>
        <v>8</v>
      </c>
      <c r="X295" s="4" t="str">
        <f t="shared" si="24"/>
        <v>0CVCTE8</v>
      </c>
      <c r="Y295">
        <f>VLOOKUP(X295,Sheet1!$J$5:$K$121,2,FALSE)</f>
        <v>0</v>
      </c>
    </row>
    <row r="296" spans="1:25" x14ac:dyDescent="0.25">
      <c r="A296" s="8">
        <f>[1]Data!A296</f>
        <v>620501</v>
      </c>
      <c r="B296" s="8">
        <f>[1]Data!B296</f>
        <v>8</v>
      </c>
      <c r="C296" s="8">
        <f>[1]Data!C296</f>
        <v>0</v>
      </c>
      <c r="D296" s="8">
        <f>[1]Data!D296</f>
        <v>4</v>
      </c>
      <c r="E296" s="8" t="str">
        <f>[1]Data!E296</f>
        <v>CVCTE</v>
      </c>
      <c r="F296" s="8" t="str">
        <f>[1]Data!F296</f>
        <v>Redondo Beach</v>
      </c>
      <c r="G296" s="8">
        <f>[1]Data!G296</f>
        <v>1</v>
      </c>
      <c r="H296" s="8">
        <f>[1]Data!H296</f>
        <v>1</v>
      </c>
      <c r="I296" s="8">
        <f>[1]Data!I296</f>
        <v>37.994</v>
      </c>
      <c r="J296" s="8">
        <f>[1]Data!J296</f>
        <v>29.324723039999999</v>
      </c>
      <c r="K296" s="8">
        <f>[1]Data!K296</f>
        <v>36.324723040000002</v>
      </c>
      <c r="L296" s="8">
        <f>[1]Data!L296</f>
        <v>1.6682374032495499</v>
      </c>
      <c r="M296" s="8">
        <f>[1]Data!M296</f>
        <v>37.992960443249601</v>
      </c>
      <c r="N296" s="8">
        <f>[1]Data!N296</f>
        <v>0.27272727272727298</v>
      </c>
      <c r="O296" s="8">
        <f>[1]Data!O296</f>
        <v>3.6666666666666701</v>
      </c>
      <c r="P296" s="8">
        <f>[1]Data!P296</f>
        <v>0.64935064935064901</v>
      </c>
      <c r="Q296" s="8">
        <f>[1]Data!Q296</f>
        <v>0</v>
      </c>
      <c r="R296" s="8">
        <f>[1]Data!R296</f>
        <v>0</v>
      </c>
      <c r="S296" s="8">
        <f>[1]Data!S296</f>
        <v>0</v>
      </c>
      <c r="T296">
        <f t="shared" si="20"/>
        <v>0.27272727272727298</v>
      </c>
      <c r="U296">
        <f t="shared" si="21"/>
        <v>3.6666666666666634</v>
      </c>
      <c r="V296" s="4" t="str">
        <f t="shared" si="22"/>
        <v>0</v>
      </c>
      <c r="W296" s="4" t="str">
        <f t="shared" si="23"/>
        <v>8</v>
      </c>
      <c r="X296" s="4" t="str">
        <f t="shared" si="24"/>
        <v>0CVCTE8</v>
      </c>
      <c r="Y296">
        <f>VLOOKUP(X296,Sheet1!$J$5:$K$121,2,FALSE)</f>
        <v>0</v>
      </c>
    </row>
    <row r="297" spans="1:25" x14ac:dyDescent="0.25">
      <c r="A297" s="8">
        <f>[1]Data!A297</f>
        <v>620601</v>
      </c>
      <c r="B297" s="8">
        <f>[1]Data!B297</f>
        <v>8</v>
      </c>
      <c r="C297" s="8">
        <f>[1]Data!C297</f>
        <v>0</v>
      </c>
      <c r="D297" s="8">
        <f>[1]Data!D297</f>
        <v>4</v>
      </c>
      <c r="E297" s="8" t="str">
        <f>[1]Data!E297</f>
        <v>CVCTE</v>
      </c>
      <c r="F297" s="8" t="str">
        <f>[1]Data!F297</f>
        <v>Redondo Beach</v>
      </c>
      <c r="G297" s="8">
        <f>[1]Data!G297</f>
        <v>0</v>
      </c>
      <c r="H297" s="8">
        <f>[1]Data!H297</f>
        <v>0</v>
      </c>
      <c r="I297" s="8">
        <f>[1]Data!I297</f>
        <v>23.882000000000001</v>
      </c>
      <c r="J297" s="8">
        <f>[1]Data!J297</f>
        <v>12.939882450000001</v>
      </c>
      <c r="K297" s="8">
        <f>[1]Data!K297</f>
        <v>22.939882449999999</v>
      </c>
      <c r="L297" s="8">
        <f>[1]Data!L297</f>
        <v>0.94193715680430901</v>
      </c>
      <c r="M297" s="8">
        <f>[1]Data!M297</f>
        <v>23.881819606804299</v>
      </c>
      <c r="N297" s="8">
        <f>[1]Data!N297</f>
        <v>0.27272727272727298</v>
      </c>
      <c r="O297" s="8">
        <f>[1]Data!O297</f>
        <v>0</v>
      </c>
      <c r="P297" s="8">
        <f>[1]Data!P297</f>
        <v>0.64935064935064901</v>
      </c>
      <c r="Q297" s="8">
        <f>[1]Data!Q297</f>
        <v>0</v>
      </c>
      <c r="R297" s="8">
        <f>[1]Data!R297</f>
        <v>0</v>
      </c>
      <c r="S297" s="8">
        <f>[1]Data!S297</f>
        <v>0</v>
      </c>
      <c r="T297">
        <f t="shared" si="20"/>
        <v>0.27272727272727298</v>
      </c>
      <c r="U297">
        <f t="shared" si="21"/>
        <v>0</v>
      </c>
      <c r="V297" s="4" t="str">
        <f t="shared" si="22"/>
        <v>0</v>
      </c>
      <c r="W297" s="4" t="str">
        <f t="shared" si="23"/>
        <v>8</v>
      </c>
      <c r="X297" s="4" t="str">
        <f t="shared" si="24"/>
        <v>0CVCTE8</v>
      </c>
      <c r="Y297">
        <f>VLOOKUP(X297,Sheet1!$J$5:$K$121,2,FALSE)</f>
        <v>0</v>
      </c>
    </row>
    <row r="298" spans="1:25" x14ac:dyDescent="0.25">
      <c r="A298" s="8">
        <f>[1]Data!A298</f>
        <v>601002</v>
      </c>
      <c r="B298" s="8">
        <f>[1]Data!B298</f>
        <v>8</v>
      </c>
      <c r="C298" s="8">
        <f>[1]Data!C298</f>
        <v>0</v>
      </c>
      <c r="D298" s="8">
        <f>[1]Data!D298</f>
        <v>2</v>
      </c>
      <c r="E298" s="8" t="str">
        <f>[1]Data!E298</f>
        <v>CVCTE</v>
      </c>
      <c r="F298" s="8" t="str">
        <f>[1]Data!F298</f>
        <v>Inglewood</v>
      </c>
      <c r="G298" s="8">
        <f>[1]Data!G298</f>
        <v>1</v>
      </c>
      <c r="H298" s="8">
        <f>[1]Data!H298</f>
        <v>1</v>
      </c>
      <c r="I298" s="8">
        <f>[1]Data!I298</f>
        <v>37.56</v>
      </c>
      <c r="J298" s="8">
        <f>[1]Data!J298</f>
        <v>21.472602420000001</v>
      </c>
      <c r="K298" s="8">
        <f>[1]Data!K298</f>
        <v>36.472602420000001</v>
      </c>
      <c r="L298" s="8">
        <f>[1]Data!L298</f>
        <v>1.0870763913285499</v>
      </c>
      <c r="M298" s="8">
        <f>[1]Data!M298</f>
        <v>37.559678811328503</v>
      </c>
      <c r="N298" s="8">
        <f>[1]Data!N298</f>
        <v>0.27272727272727298</v>
      </c>
      <c r="O298" s="8">
        <f>[1]Data!O298</f>
        <v>3.6666666666666701</v>
      </c>
      <c r="P298" s="8">
        <f>[1]Data!P298</f>
        <v>0.64935064935064901</v>
      </c>
      <c r="Q298" s="8">
        <f>[1]Data!Q298</f>
        <v>0</v>
      </c>
      <c r="R298" s="8">
        <f>[1]Data!R298</f>
        <v>0</v>
      </c>
      <c r="S298" s="8">
        <f>[1]Data!S298</f>
        <v>0</v>
      </c>
      <c r="T298">
        <f t="shared" si="20"/>
        <v>0.27272727272727298</v>
      </c>
      <c r="U298">
        <f t="shared" si="21"/>
        <v>3.6666666666666634</v>
      </c>
      <c r="V298" s="4" t="str">
        <f t="shared" si="22"/>
        <v>0</v>
      </c>
      <c r="W298" s="4" t="str">
        <f t="shared" si="23"/>
        <v>8</v>
      </c>
      <c r="X298" s="4" t="str">
        <f t="shared" si="24"/>
        <v>0CVCTE8</v>
      </c>
      <c r="Y298">
        <f>VLOOKUP(X298,Sheet1!$J$5:$K$121,2,FALSE)</f>
        <v>0</v>
      </c>
    </row>
    <row r="299" spans="1:25" x14ac:dyDescent="0.25">
      <c r="A299" s="8">
        <f>[1]Data!A299</f>
        <v>600201</v>
      </c>
      <c r="B299" s="8">
        <f>[1]Data!B299</f>
        <v>8</v>
      </c>
      <c r="C299" s="8">
        <f>[1]Data!C299</f>
        <v>0</v>
      </c>
      <c r="D299" s="8">
        <f>[1]Data!D299</f>
        <v>2</v>
      </c>
      <c r="E299" s="8" t="str">
        <f>[1]Data!E299</f>
        <v>CVCTE</v>
      </c>
      <c r="F299" s="8" t="str">
        <f>[1]Data!F299</f>
        <v>Westmont / West Athens</v>
      </c>
      <c r="G299" s="8">
        <f>[1]Data!G299</f>
        <v>0</v>
      </c>
      <c r="H299" s="8">
        <f>[1]Data!H299</f>
        <v>0</v>
      </c>
      <c r="I299" s="8">
        <f>[1]Data!I299</f>
        <v>40.220999999999997</v>
      </c>
      <c r="J299" s="8">
        <f>[1]Data!J299</f>
        <v>22.554913750000001</v>
      </c>
      <c r="K299" s="8">
        <f>[1]Data!K299</f>
        <v>39.554913749999997</v>
      </c>
      <c r="L299" s="8">
        <f>[1]Data!L299</f>
        <v>0.66578638974865301</v>
      </c>
      <c r="M299" s="8">
        <f>[1]Data!M299</f>
        <v>40.220700139748701</v>
      </c>
      <c r="N299" s="8">
        <f>[1]Data!N299</f>
        <v>0.27272727272727298</v>
      </c>
      <c r="O299" s="8">
        <f>[1]Data!O299</f>
        <v>0</v>
      </c>
      <c r="P299" s="8">
        <f>[1]Data!P299</f>
        <v>0.64935064935064901</v>
      </c>
      <c r="Q299" s="8">
        <f>[1]Data!Q299</f>
        <v>0</v>
      </c>
      <c r="R299" s="8">
        <f>[1]Data!R299</f>
        <v>0</v>
      </c>
      <c r="S299" s="8">
        <f>[1]Data!S299</f>
        <v>0</v>
      </c>
      <c r="T299">
        <f t="shared" si="20"/>
        <v>0.27272727272727298</v>
      </c>
      <c r="U299">
        <f t="shared" si="21"/>
        <v>0</v>
      </c>
      <c r="V299" s="4" t="str">
        <f t="shared" si="22"/>
        <v>0</v>
      </c>
      <c r="W299" s="4" t="str">
        <f t="shared" si="23"/>
        <v>8</v>
      </c>
      <c r="X299" s="4" t="str">
        <f t="shared" si="24"/>
        <v>0CVCTE8</v>
      </c>
      <c r="Y299">
        <f>VLOOKUP(X299,Sheet1!$J$5:$K$121,2,FALSE)</f>
        <v>0</v>
      </c>
    </row>
    <row r="300" spans="1:25" x14ac:dyDescent="0.25">
      <c r="A300" s="8">
        <f>[1]Data!A300</f>
        <v>621201</v>
      </c>
      <c r="B300" s="8">
        <f>[1]Data!B300</f>
        <v>8</v>
      </c>
      <c r="C300" s="8">
        <f>[1]Data!C300</f>
        <v>0</v>
      </c>
      <c r="D300" s="8">
        <f>[1]Data!D300</f>
        <v>4</v>
      </c>
      <c r="E300" s="8" t="str">
        <f>[1]Data!E300</f>
        <v>CVCTE</v>
      </c>
      <c r="F300" s="8" t="str">
        <f>[1]Data!F300</f>
        <v>Redondo Beach</v>
      </c>
      <c r="G300" s="8">
        <f>[1]Data!G300</f>
        <v>0</v>
      </c>
      <c r="H300" s="8">
        <f>[1]Data!H300</f>
        <v>0</v>
      </c>
      <c r="I300" s="8">
        <f>[1]Data!I300</f>
        <v>13.082000000000001</v>
      </c>
      <c r="J300" s="8">
        <f>[1]Data!J300</f>
        <v>12.29575646</v>
      </c>
      <c r="K300" s="8">
        <f>[1]Data!K300</f>
        <v>12.29575646</v>
      </c>
      <c r="L300" s="8">
        <f>[1]Data!L300</f>
        <v>0.78639283700179496</v>
      </c>
      <c r="M300" s="8">
        <f>[1]Data!M300</f>
        <v>13.0821492970018</v>
      </c>
      <c r="N300" s="8">
        <f>[1]Data!N300</f>
        <v>0.27272727272727298</v>
      </c>
      <c r="O300" s="8">
        <f>[1]Data!O300</f>
        <v>0</v>
      </c>
      <c r="P300" s="8">
        <f>[1]Data!P300</f>
        <v>0.64935064935064901</v>
      </c>
      <c r="Q300" s="8">
        <f>[1]Data!Q300</f>
        <v>0</v>
      </c>
      <c r="R300" s="8">
        <f>[1]Data!R300</f>
        <v>0</v>
      </c>
      <c r="S300" s="8">
        <f>[1]Data!S300</f>
        <v>0</v>
      </c>
      <c r="T300">
        <f t="shared" si="20"/>
        <v>0.27272727272727298</v>
      </c>
      <c r="U300">
        <f t="shared" si="21"/>
        <v>0</v>
      </c>
      <c r="V300" s="4" t="str">
        <f t="shared" si="22"/>
        <v>0</v>
      </c>
      <c r="W300" s="4" t="str">
        <f t="shared" si="23"/>
        <v>8</v>
      </c>
      <c r="X300" s="4" t="str">
        <f t="shared" si="24"/>
        <v>0CVCTE8</v>
      </c>
      <c r="Y300">
        <f>VLOOKUP(X300,Sheet1!$J$5:$K$121,2,FALSE)</f>
        <v>0</v>
      </c>
    </row>
    <row r="301" spans="1:25" x14ac:dyDescent="0.25">
      <c r="A301" s="8">
        <f>[1]Data!A301</f>
        <v>621204</v>
      </c>
      <c r="B301" s="8">
        <f>[1]Data!B301</f>
        <v>8</v>
      </c>
      <c r="C301" s="8">
        <f>[1]Data!C301</f>
        <v>0</v>
      </c>
      <c r="D301" s="8">
        <f>[1]Data!D301</f>
        <v>4</v>
      </c>
      <c r="E301" s="8" t="str">
        <f>[1]Data!E301</f>
        <v>CVCTE</v>
      </c>
      <c r="F301" s="8" t="str">
        <f>[1]Data!F301</f>
        <v>Redondo Beach</v>
      </c>
      <c r="G301" s="8">
        <f>[1]Data!G301</f>
        <v>0</v>
      </c>
      <c r="H301" s="8">
        <f>[1]Data!H301</f>
        <v>0</v>
      </c>
      <c r="I301" s="8">
        <f>[1]Data!I301</f>
        <v>88.274000000000001</v>
      </c>
      <c r="J301" s="8">
        <f>[1]Data!J301</f>
        <v>46.325435880000001</v>
      </c>
      <c r="K301" s="8">
        <f>[1]Data!K301</f>
        <v>85.325435880000001</v>
      </c>
      <c r="L301" s="8">
        <f>[1]Data!L301</f>
        <v>2.9479437809874298</v>
      </c>
      <c r="M301" s="8">
        <f>[1]Data!M301</f>
        <v>88.273379660987402</v>
      </c>
      <c r="N301" s="8">
        <f>[1]Data!N301</f>
        <v>0.27272727272727298</v>
      </c>
      <c r="O301" s="8">
        <f>[1]Data!O301</f>
        <v>0</v>
      </c>
      <c r="P301" s="8">
        <f>[1]Data!P301</f>
        <v>0.64935064935064901</v>
      </c>
      <c r="Q301" s="8">
        <f>[1]Data!Q301</f>
        <v>0</v>
      </c>
      <c r="R301" s="8">
        <f>[1]Data!R301</f>
        <v>0</v>
      </c>
      <c r="S301" s="8">
        <f>[1]Data!S301</f>
        <v>0</v>
      </c>
      <c r="T301">
        <f t="shared" si="20"/>
        <v>0.27272727272727298</v>
      </c>
      <c r="U301">
        <f t="shared" si="21"/>
        <v>0</v>
      </c>
      <c r="V301" s="4" t="str">
        <f t="shared" si="22"/>
        <v>0</v>
      </c>
      <c r="W301" s="4" t="str">
        <f t="shared" si="23"/>
        <v>8</v>
      </c>
      <c r="X301" s="4" t="str">
        <f t="shared" si="24"/>
        <v>0CVCTE8</v>
      </c>
      <c r="Y301">
        <f>VLOOKUP(X301,Sheet1!$J$5:$K$121,2,FALSE)</f>
        <v>0</v>
      </c>
    </row>
    <row r="302" spans="1:25" x14ac:dyDescent="0.25">
      <c r="A302" s="8">
        <f>[1]Data!A302</f>
        <v>621326</v>
      </c>
      <c r="B302" s="8">
        <f>[1]Data!B302</f>
        <v>8</v>
      </c>
      <c r="C302" s="8">
        <f>[1]Data!C302</f>
        <v>0</v>
      </c>
      <c r="D302" s="8">
        <f>[1]Data!D302</f>
        <v>4</v>
      </c>
      <c r="E302" s="8" t="str">
        <f>[1]Data!E302</f>
        <v>CVCTE</v>
      </c>
      <c r="F302" s="8" t="str">
        <f>[1]Data!F302</f>
        <v>Redondo Beach</v>
      </c>
      <c r="G302" s="8">
        <f>[1]Data!G302</f>
        <v>1</v>
      </c>
      <c r="H302" s="8">
        <f>[1]Data!H302</f>
        <v>1</v>
      </c>
      <c r="I302" s="8">
        <f>[1]Data!I302</f>
        <v>14</v>
      </c>
      <c r="J302" s="8">
        <f>[1]Data!J302</f>
        <v>0</v>
      </c>
      <c r="K302" s="8">
        <f>[1]Data!K302</f>
        <v>14</v>
      </c>
      <c r="L302" s="8">
        <f>[1]Data!L302</f>
        <v>0</v>
      </c>
      <c r="M302" s="8">
        <f>[1]Data!M302</f>
        <v>14</v>
      </c>
      <c r="N302" s="8">
        <f>[1]Data!N302</f>
        <v>0.27272727272727298</v>
      </c>
      <c r="O302" s="8">
        <f>[1]Data!O302</f>
        <v>3.6666666666666701</v>
      </c>
      <c r="P302" s="8">
        <f>[1]Data!P302</f>
        <v>0.64935064935064901</v>
      </c>
      <c r="Q302" s="8">
        <f>[1]Data!Q302</f>
        <v>0</v>
      </c>
      <c r="R302" s="8">
        <f>[1]Data!R302</f>
        <v>0</v>
      </c>
      <c r="S302" s="8">
        <f>[1]Data!S302</f>
        <v>0</v>
      </c>
      <c r="T302">
        <f t="shared" si="20"/>
        <v>0.27272727272727298</v>
      </c>
      <c r="U302">
        <f t="shared" si="21"/>
        <v>3.6666666666666634</v>
      </c>
      <c r="V302" s="4" t="str">
        <f t="shared" si="22"/>
        <v>0</v>
      </c>
      <c r="W302" s="4" t="str">
        <f t="shared" si="23"/>
        <v>8</v>
      </c>
      <c r="X302" s="4" t="str">
        <f t="shared" si="24"/>
        <v>0CVCTE8</v>
      </c>
      <c r="Y302">
        <f>VLOOKUP(X302,Sheet1!$J$5:$K$121,2,FALSE)</f>
        <v>0</v>
      </c>
    </row>
    <row r="303" spans="1:25" x14ac:dyDescent="0.25">
      <c r="A303" s="8">
        <f>[1]Data!A303</f>
        <v>650300</v>
      </c>
      <c r="B303" s="8">
        <f>[1]Data!B303</f>
        <v>8</v>
      </c>
      <c r="C303" s="8">
        <f>[1]Data!C303</f>
        <v>0</v>
      </c>
      <c r="D303" s="8">
        <f>[1]Data!D303</f>
        <v>4</v>
      </c>
      <c r="E303" s="8" t="str">
        <f>[1]Data!E303</f>
        <v>CVCTE</v>
      </c>
      <c r="F303" s="8" t="str">
        <f>[1]Data!F303</f>
        <v>Torrance</v>
      </c>
      <c r="G303" s="8">
        <f>[1]Data!G303</f>
        <v>1</v>
      </c>
      <c r="H303" s="8">
        <f>[1]Data!H303</f>
        <v>1</v>
      </c>
      <c r="I303" s="8">
        <f>[1]Data!I303</f>
        <v>22.619</v>
      </c>
      <c r="J303" s="8">
        <f>[1]Data!J303</f>
        <v>20.416914219999999</v>
      </c>
      <c r="K303" s="8">
        <f>[1]Data!K303</f>
        <v>21.416914219999999</v>
      </c>
      <c r="L303" s="8">
        <f>[1]Data!L303</f>
        <v>1.2015997931956901</v>
      </c>
      <c r="M303" s="8">
        <f>[1]Data!M303</f>
        <v>22.6185140131957</v>
      </c>
      <c r="N303" s="8">
        <f>[1]Data!N303</f>
        <v>0.27272727272727298</v>
      </c>
      <c r="O303" s="8">
        <f>[1]Data!O303</f>
        <v>3.6666666666666701</v>
      </c>
      <c r="P303" s="8">
        <f>[1]Data!P303</f>
        <v>0.64935064935064901</v>
      </c>
      <c r="Q303" s="8">
        <f>[1]Data!Q303</f>
        <v>0</v>
      </c>
      <c r="R303" s="8">
        <f>[1]Data!R303</f>
        <v>0</v>
      </c>
      <c r="S303" s="8">
        <f>[1]Data!S303</f>
        <v>0</v>
      </c>
      <c r="T303">
        <f t="shared" si="20"/>
        <v>0.27272727272727298</v>
      </c>
      <c r="U303">
        <f t="shared" si="21"/>
        <v>3.6666666666666634</v>
      </c>
      <c r="V303" s="4" t="str">
        <f t="shared" si="22"/>
        <v>0</v>
      </c>
      <c r="W303" s="4" t="str">
        <f t="shared" si="23"/>
        <v>8</v>
      </c>
      <c r="X303" s="4" t="str">
        <f t="shared" si="24"/>
        <v>0CVCTE8</v>
      </c>
      <c r="Y303">
        <f>VLOOKUP(X303,Sheet1!$J$5:$K$121,2,FALSE)</f>
        <v>0</v>
      </c>
    </row>
    <row r="304" spans="1:25" x14ac:dyDescent="0.25">
      <c r="A304" s="8">
        <f>[1]Data!A304</f>
        <v>650401</v>
      </c>
      <c r="B304" s="8">
        <f>[1]Data!B304</f>
        <v>8</v>
      </c>
      <c r="C304" s="8">
        <f>[1]Data!C304</f>
        <v>0</v>
      </c>
      <c r="D304" s="8">
        <f>[1]Data!D304</f>
        <v>4</v>
      </c>
      <c r="E304" s="8" t="str">
        <f>[1]Data!E304</f>
        <v>CVCTE</v>
      </c>
      <c r="F304" s="8" t="str">
        <f>[1]Data!F304</f>
        <v>Torrance</v>
      </c>
      <c r="G304" s="8">
        <f>[1]Data!G304</f>
        <v>0</v>
      </c>
      <c r="H304" s="8">
        <f>[1]Data!H304</f>
        <v>0</v>
      </c>
      <c r="I304" s="8">
        <f>[1]Data!I304</f>
        <v>8.9979999999999993</v>
      </c>
      <c r="J304" s="8">
        <f>[1]Data!J304</f>
        <v>5.7005314900000004</v>
      </c>
      <c r="K304" s="8">
        <f>[1]Data!K304</f>
        <v>8.7005314899999995</v>
      </c>
      <c r="L304" s="8">
        <f>[1]Data!L304</f>
        <v>0.29733071305206499</v>
      </c>
      <c r="M304" s="8">
        <f>[1]Data!M304</f>
        <v>8.9978622030520601</v>
      </c>
      <c r="N304" s="8">
        <f>[1]Data!N304</f>
        <v>0.27272727272727298</v>
      </c>
      <c r="O304" s="8">
        <f>[1]Data!O304</f>
        <v>0</v>
      </c>
      <c r="P304" s="8">
        <f>[1]Data!P304</f>
        <v>0.64935064935064901</v>
      </c>
      <c r="Q304" s="8">
        <f>[1]Data!Q304</f>
        <v>0</v>
      </c>
      <c r="R304" s="8">
        <f>[1]Data!R304</f>
        <v>0</v>
      </c>
      <c r="S304" s="8">
        <f>[1]Data!S304</f>
        <v>0</v>
      </c>
      <c r="T304">
        <f t="shared" si="20"/>
        <v>0.27272727272727298</v>
      </c>
      <c r="U304">
        <f t="shared" si="21"/>
        <v>0</v>
      </c>
      <c r="V304" s="4" t="str">
        <f t="shared" si="22"/>
        <v>0</v>
      </c>
      <c r="W304" s="4" t="str">
        <f t="shared" si="23"/>
        <v>8</v>
      </c>
      <c r="X304" s="4" t="str">
        <f t="shared" si="24"/>
        <v>0CVCTE8</v>
      </c>
      <c r="Y304">
        <f>VLOOKUP(X304,Sheet1!$J$5:$K$121,2,FALSE)</f>
        <v>0</v>
      </c>
    </row>
    <row r="305" spans="1:25" x14ac:dyDescent="0.25">
      <c r="A305" s="8">
        <f>[1]Data!A305</f>
        <v>651102</v>
      </c>
      <c r="B305" s="8">
        <f>[1]Data!B305</f>
        <v>8</v>
      </c>
      <c r="C305" s="8">
        <f>[1]Data!C305</f>
        <v>0</v>
      </c>
      <c r="D305" s="8">
        <f>[1]Data!D305</f>
        <v>4</v>
      </c>
      <c r="E305" s="8" t="str">
        <f>[1]Data!E305</f>
        <v>CVCTE</v>
      </c>
      <c r="F305" s="8" t="str">
        <f>[1]Data!F305</f>
        <v>Torrance</v>
      </c>
      <c r="G305" s="8">
        <f>[1]Data!G305</f>
        <v>0</v>
      </c>
      <c r="H305" s="8">
        <f>[1]Data!H305</f>
        <v>0</v>
      </c>
      <c r="I305" s="8">
        <f>[1]Data!I305</f>
        <v>10.917999999999999</v>
      </c>
      <c r="J305" s="8">
        <f>[1]Data!J305</f>
        <v>10.35542491</v>
      </c>
      <c r="K305" s="8">
        <f>[1]Data!K305</f>
        <v>10.35542491</v>
      </c>
      <c r="L305" s="8">
        <f>[1]Data!L305</f>
        <v>0.56256664867145401</v>
      </c>
      <c r="M305" s="8">
        <f>[1]Data!M305</f>
        <v>10.917991558671501</v>
      </c>
      <c r="N305" s="8">
        <f>[1]Data!N305</f>
        <v>0.27272727272727298</v>
      </c>
      <c r="O305" s="8">
        <f>[1]Data!O305</f>
        <v>0</v>
      </c>
      <c r="P305" s="8">
        <f>[1]Data!P305</f>
        <v>0.64935064935064901</v>
      </c>
      <c r="Q305" s="8">
        <f>[1]Data!Q305</f>
        <v>0</v>
      </c>
      <c r="R305" s="8">
        <f>[1]Data!R305</f>
        <v>0</v>
      </c>
      <c r="S305" s="8">
        <f>[1]Data!S305</f>
        <v>0</v>
      </c>
      <c r="T305">
        <f t="shared" si="20"/>
        <v>0.27272727272727298</v>
      </c>
      <c r="U305">
        <f t="shared" si="21"/>
        <v>0</v>
      </c>
      <c r="V305" s="4" t="str">
        <f t="shared" si="22"/>
        <v>0</v>
      </c>
      <c r="W305" s="4" t="str">
        <f t="shared" si="23"/>
        <v>8</v>
      </c>
      <c r="X305" s="4" t="str">
        <f t="shared" si="24"/>
        <v>0CVCTE8</v>
      </c>
      <c r="Y305">
        <f>VLOOKUP(X305,Sheet1!$J$5:$K$121,2,FALSE)</f>
        <v>0</v>
      </c>
    </row>
    <row r="306" spans="1:25" x14ac:dyDescent="0.25">
      <c r="A306" s="8">
        <f>[1]Data!A306</f>
        <v>911001</v>
      </c>
      <c r="B306" s="8">
        <f>[1]Data!B306</f>
        <v>1</v>
      </c>
      <c r="C306" s="8">
        <f>[1]Data!C306</f>
        <v>0</v>
      </c>
      <c r="D306" s="8">
        <f>[1]Data!D306</f>
        <v>5</v>
      </c>
      <c r="E306" s="8" t="str">
        <f>[1]Data!E306</f>
        <v>FAMILY</v>
      </c>
      <c r="F306" s="8" t="str">
        <f>[1]Data!F306</f>
        <v>Unincorporated Antelope Valley</v>
      </c>
      <c r="G306" s="8">
        <f>[1]Data!G306</f>
        <v>1</v>
      </c>
      <c r="H306" s="8">
        <f>[1]Data!H306</f>
        <v>1</v>
      </c>
      <c r="I306" s="8">
        <f>[1]Data!I306</f>
        <v>465.37599999999998</v>
      </c>
      <c r="J306" s="8">
        <f>[1]Data!J306</f>
        <v>424.81247237000002</v>
      </c>
      <c r="K306" s="8">
        <f>[1]Data!K306</f>
        <v>443.81247237000002</v>
      </c>
      <c r="L306" s="8">
        <f>[1]Data!L306</f>
        <v>35.567577013931803</v>
      </c>
      <c r="M306" s="8">
        <f>[1]Data!M306</f>
        <v>479.38004938393198</v>
      </c>
      <c r="N306" s="8">
        <f>[1]Data!N306</f>
        <v>1</v>
      </c>
      <c r="O306" s="8">
        <f>[1]Data!O306</f>
        <v>1</v>
      </c>
      <c r="P306" s="8">
        <f>[1]Data!P306</f>
        <v>0</v>
      </c>
      <c r="Q306" s="8">
        <f>[1]Data!Q306</f>
        <v>0</v>
      </c>
      <c r="R306" s="8">
        <f>[1]Data!R306</f>
        <v>0</v>
      </c>
      <c r="S306" s="8">
        <f>[1]Data!S306</f>
        <v>0</v>
      </c>
      <c r="T306">
        <f t="shared" si="20"/>
        <v>1</v>
      </c>
      <c r="U306">
        <f t="shared" si="21"/>
        <v>1</v>
      </c>
      <c r="V306" s="4" t="str">
        <f t="shared" si="22"/>
        <v>0</v>
      </c>
      <c r="W306" s="4" t="str">
        <f t="shared" si="23"/>
        <v>1</v>
      </c>
      <c r="X306" s="4" t="str">
        <f t="shared" si="24"/>
        <v>0FAMILY1</v>
      </c>
      <c r="Y306">
        <f>VLOOKUP(X306,Sheet1!$J$5:$K$121,2,FALSE)</f>
        <v>0</v>
      </c>
    </row>
    <row r="307" spans="1:25" x14ac:dyDescent="0.25">
      <c r="A307" s="8">
        <f>[1]Data!A307</f>
        <v>900201</v>
      </c>
      <c r="B307" s="8">
        <f>[1]Data!B307</f>
        <v>1</v>
      </c>
      <c r="C307" s="8">
        <f>[1]Data!C307</f>
        <v>0</v>
      </c>
      <c r="D307" s="8">
        <f>[1]Data!D307</f>
        <v>5</v>
      </c>
      <c r="E307" s="8" t="str">
        <f>[1]Data!E307</f>
        <v>FAMILY</v>
      </c>
      <c r="F307" s="8" t="str">
        <f>[1]Data!F307</f>
        <v>Unincorporated Antelope Valley</v>
      </c>
      <c r="G307" s="8">
        <f>[1]Data!G307</f>
        <v>1</v>
      </c>
      <c r="H307" s="8">
        <f>[1]Data!H307</f>
        <v>1</v>
      </c>
      <c r="I307" s="8">
        <f>[1]Data!I307</f>
        <v>127.97</v>
      </c>
      <c r="J307" s="8">
        <f>[1]Data!J307</f>
        <v>122.13469274000001</v>
      </c>
      <c r="K307" s="8">
        <f>[1]Data!K307</f>
        <v>122.13469274000001</v>
      </c>
      <c r="L307" s="8">
        <f>[1]Data!L307</f>
        <v>5.83581049319569</v>
      </c>
      <c r="M307" s="8">
        <f>[1]Data!M307</f>
        <v>127.970503233196</v>
      </c>
      <c r="N307" s="8">
        <f>[1]Data!N307</f>
        <v>1</v>
      </c>
      <c r="O307" s="8">
        <f>[1]Data!O307</f>
        <v>1</v>
      </c>
      <c r="P307" s="8">
        <f>[1]Data!P307</f>
        <v>0</v>
      </c>
      <c r="Q307" s="8">
        <f>[1]Data!Q307</f>
        <v>0</v>
      </c>
      <c r="R307" s="8">
        <f>[1]Data!R307</f>
        <v>0</v>
      </c>
      <c r="S307" s="8">
        <f>[1]Data!S307</f>
        <v>0</v>
      </c>
      <c r="T307">
        <f t="shared" si="20"/>
        <v>1</v>
      </c>
      <c r="U307">
        <f t="shared" si="21"/>
        <v>1</v>
      </c>
      <c r="V307" s="4" t="str">
        <f t="shared" si="22"/>
        <v>0</v>
      </c>
      <c r="W307" s="4" t="str">
        <f t="shared" si="23"/>
        <v>1</v>
      </c>
      <c r="X307" s="4" t="str">
        <f t="shared" si="24"/>
        <v>0FAMILY1</v>
      </c>
      <c r="Y307">
        <f>VLOOKUP(X307,Sheet1!$J$5:$K$121,2,FALSE)</f>
        <v>0</v>
      </c>
    </row>
    <row r="308" spans="1:25" x14ac:dyDescent="0.25">
      <c r="A308" s="8">
        <f>[1]Data!A308</f>
        <v>900704</v>
      </c>
      <c r="B308" s="8">
        <f>[1]Data!B308</f>
        <v>1</v>
      </c>
      <c r="C308" s="8">
        <f>[1]Data!C308</f>
        <v>0</v>
      </c>
      <c r="D308" s="8">
        <f>[1]Data!D308</f>
        <v>5</v>
      </c>
      <c r="E308" s="8" t="str">
        <f>[1]Data!E308</f>
        <v>FAMILY</v>
      </c>
      <c r="F308" s="8" t="str">
        <f>[1]Data!F308</f>
        <v>Lancaster</v>
      </c>
      <c r="G308" s="8">
        <f>[1]Data!G308</f>
        <v>1</v>
      </c>
      <c r="H308" s="8">
        <f>[1]Data!H308</f>
        <v>1</v>
      </c>
      <c r="I308" s="8">
        <f>[1]Data!I308</f>
        <v>7.7069999999999999</v>
      </c>
      <c r="J308" s="8">
        <f>[1]Data!J308</f>
        <v>7.31147583</v>
      </c>
      <c r="K308" s="8">
        <f>[1]Data!K308</f>
        <v>7.31147583</v>
      </c>
      <c r="L308" s="8">
        <f>[1]Data!L308</f>
        <v>0.39442253098743302</v>
      </c>
      <c r="M308" s="8">
        <f>[1]Data!M308</f>
        <v>7.7058983609874296</v>
      </c>
      <c r="N308" s="8">
        <f>[1]Data!N308</f>
        <v>1</v>
      </c>
      <c r="O308" s="8">
        <f>[1]Data!O308</f>
        <v>1</v>
      </c>
      <c r="P308" s="8">
        <f>[1]Data!P308</f>
        <v>0</v>
      </c>
      <c r="Q308" s="8">
        <f>[1]Data!Q308</f>
        <v>0</v>
      </c>
      <c r="R308" s="8">
        <f>[1]Data!R308</f>
        <v>0</v>
      </c>
      <c r="S308" s="8">
        <f>[1]Data!S308</f>
        <v>0</v>
      </c>
      <c r="T308">
        <f t="shared" si="20"/>
        <v>1</v>
      </c>
      <c r="U308">
        <f t="shared" si="21"/>
        <v>1</v>
      </c>
      <c r="V308" s="4" t="str">
        <f t="shared" si="22"/>
        <v>0</v>
      </c>
      <c r="W308" s="4" t="str">
        <f t="shared" si="23"/>
        <v>1</v>
      </c>
      <c r="X308" s="4" t="str">
        <f t="shared" si="24"/>
        <v>0FAMILY1</v>
      </c>
      <c r="Y308">
        <f>VLOOKUP(X308,Sheet1!$J$5:$K$121,2,FALSE)</f>
        <v>0</v>
      </c>
    </row>
    <row r="309" spans="1:25" x14ac:dyDescent="0.25">
      <c r="A309" s="8">
        <f>[1]Data!A309</f>
        <v>900102</v>
      </c>
      <c r="B309" s="8">
        <f>[1]Data!B309</f>
        <v>1</v>
      </c>
      <c r="C309" s="8">
        <f>[1]Data!C309</f>
        <v>0</v>
      </c>
      <c r="D309" s="8">
        <f>[1]Data!D309</f>
        <v>5</v>
      </c>
      <c r="E309" s="8" t="str">
        <f>[1]Data!E309</f>
        <v>FAMILY</v>
      </c>
      <c r="F309" s="8" t="str">
        <f>[1]Data!F309</f>
        <v>Unincorporated Antelope Valley</v>
      </c>
      <c r="G309" s="8">
        <f>[1]Data!G309</f>
        <v>1</v>
      </c>
      <c r="H309" s="8">
        <f>[1]Data!H309</f>
        <v>1</v>
      </c>
      <c r="I309" s="8">
        <f>[1]Data!I309</f>
        <v>367.36399999999998</v>
      </c>
      <c r="J309" s="8">
        <f>[1]Data!J309</f>
        <v>345.45162646</v>
      </c>
      <c r="K309" s="8">
        <f>[1]Data!K309</f>
        <v>354.45162646</v>
      </c>
      <c r="L309" s="8">
        <f>[1]Data!L309</f>
        <v>12.912518897971299</v>
      </c>
      <c r="M309" s="8">
        <f>[1]Data!M309</f>
        <v>367.36414535797098</v>
      </c>
      <c r="N309" s="8">
        <f>[1]Data!N309</f>
        <v>1</v>
      </c>
      <c r="O309" s="8">
        <f>[1]Data!O309</f>
        <v>1</v>
      </c>
      <c r="P309" s="8">
        <f>[1]Data!P309</f>
        <v>0</v>
      </c>
      <c r="Q309" s="8">
        <f>[1]Data!Q309</f>
        <v>0</v>
      </c>
      <c r="R309" s="8">
        <f>[1]Data!R309</f>
        <v>0</v>
      </c>
      <c r="S309" s="8">
        <f>[1]Data!S309</f>
        <v>0</v>
      </c>
      <c r="T309">
        <f t="shared" si="20"/>
        <v>1</v>
      </c>
      <c r="U309">
        <f t="shared" si="21"/>
        <v>1</v>
      </c>
      <c r="V309" s="4" t="str">
        <f t="shared" si="22"/>
        <v>0</v>
      </c>
      <c r="W309" s="4" t="str">
        <f t="shared" si="23"/>
        <v>1</v>
      </c>
      <c r="X309" s="4" t="str">
        <f t="shared" si="24"/>
        <v>0FAMILY1</v>
      </c>
      <c r="Y309">
        <f>VLOOKUP(X309,Sheet1!$J$5:$K$121,2,FALSE)</f>
        <v>0</v>
      </c>
    </row>
    <row r="310" spans="1:25" x14ac:dyDescent="0.25">
      <c r="A310" s="8">
        <f>[1]Data!A310</f>
        <v>910201</v>
      </c>
      <c r="B310" s="8">
        <f>[1]Data!B310</f>
        <v>1</v>
      </c>
      <c r="C310" s="8">
        <f>[1]Data!C310</f>
        <v>0</v>
      </c>
      <c r="D310" s="8">
        <f>[1]Data!D310</f>
        <v>5</v>
      </c>
      <c r="E310" s="8" t="str">
        <f>[1]Data!E310</f>
        <v>FAMILY</v>
      </c>
      <c r="F310" s="8" t="str">
        <f>[1]Data!F310</f>
        <v>Palmdale</v>
      </c>
      <c r="G310" s="8">
        <f>[1]Data!G310</f>
        <v>1</v>
      </c>
      <c r="H310" s="8">
        <f>[1]Data!H310</f>
        <v>1</v>
      </c>
      <c r="I310" s="8">
        <f>[1]Data!I310</f>
        <v>8.7769999999999992</v>
      </c>
      <c r="J310" s="8">
        <f>[1]Data!J310</f>
        <v>5.7146398200000004</v>
      </c>
      <c r="K310" s="8">
        <f>[1]Data!K310</f>
        <v>8.7146398200000004</v>
      </c>
      <c r="L310" s="8">
        <f>[1]Data!L310</f>
        <v>6.18759662477558E-2</v>
      </c>
      <c r="M310" s="8">
        <f>[1]Data!M310</f>
        <v>8.7765157862477494</v>
      </c>
      <c r="N310" s="8">
        <f>[1]Data!N310</f>
        <v>1</v>
      </c>
      <c r="O310" s="8">
        <f>[1]Data!O310</f>
        <v>1</v>
      </c>
      <c r="P310" s="8">
        <f>[1]Data!P310</f>
        <v>0</v>
      </c>
      <c r="Q310" s="8">
        <f>[1]Data!Q310</f>
        <v>0</v>
      </c>
      <c r="R310" s="8">
        <f>[1]Data!R310</f>
        <v>0</v>
      </c>
      <c r="S310" s="8">
        <f>[1]Data!S310</f>
        <v>0</v>
      </c>
      <c r="T310">
        <f t="shared" si="20"/>
        <v>1</v>
      </c>
      <c r="U310">
        <f t="shared" si="21"/>
        <v>1</v>
      </c>
      <c r="V310" s="4" t="str">
        <f t="shared" si="22"/>
        <v>0</v>
      </c>
      <c r="W310" s="4" t="str">
        <f t="shared" si="23"/>
        <v>1</v>
      </c>
      <c r="X310" s="4" t="str">
        <f t="shared" si="24"/>
        <v>0FAMILY1</v>
      </c>
      <c r="Y310">
        <f>VLOOKUP(X310,Sheet1!$J$5:$K$121,2,FALSE)</f>
        <v>0</v>
      </c>
    </row>
    <row r="311" spans="1:25" x14ac:dyDescent="0.25">
      <c r="A311" s="8">
        <f>[1]Data!A311</f>
        <v>900606</v>
      </c>
      <c r="B311" s="8">
        <f>[1]Data!B311</f>
        <v>1</v>
      </c>
      <c r="C311" s="8">
        <f>[1]Data!C311</f>
        <v>0</v>
      </c>
      <c r="D311" s="8">
        <f>[1]Data!D311</f>
        <v>5</v>
      </c>
      <c r="E311" s="8" t="str">
        <f>[1]Data!E311</f>
        <v>FAMILY</v>
      </c>
      <c r="F311" s="8" t="str">
        <f>[1]Data!F311</f>
        <v>Lancaster</v>
      </c>
      <c r="G311" s="8">
        <f>[1]Data!G311</f>
        <v>1</v>
      </c>
      <c r="H311" s="8">
        <f>[1]Data!H311</f>
        <v>1</v>
      </c>
      <c r="I311" s="8">
        <f>[1]Data!I311</f>
        <v>29.771999999999998</v>
      </c>
      <c r="J311" s="8">
        <f>[1]Data!J311</f>
        <v>4.31758971</v>
      </c>
      <c r="K311" s="8">
        <f>[1]Data!K311</f>
        <v>29.31758971</v>
      </c>
      <c r="L311" s="8">
        <f>[1]Data!L311</f>
        <v>0.45435601842010798</v>
      </c>
      <c r="M311" s="8">
        <f>[1]Data!M311</f>
        <v>29.7719457284201</v>
      </c>
      <c r="N311" s="8">
        <f>[1]Data!N311</f>
        <v>1</v>
      </c>
      <c r="O311" s="8">
        <f>[1]Data!O311</f>
        <v>1</v>
      </c>
      <c r="P311" s="8">
        <f>[1]Data!P311</f>
        <v>0</v>
      </c>
      <c r="Q311" s="8">
        <f>[1]Data!Q311</f>
        <v>0</v>
      </c>
      <c r="R311" s="8">
        <f>[1]Data!R311</f>
        <v>0</v>
      </c>
      <c r="S311" s="8">
        <f>[1]Data!S311</f>
        <v>0</v>
      </c>
      <c r="T311">
        <f t="shared" si="20"/>
        <v>1</v>
      </c>
      <c r="U311">
        <f t="shared" si="21"/>
        <v>1</v>
      </c>
      <c r="V311" s="4" t="str">
        <f t="shared" si="22"/>
        <v>0</v>
      </c>
      <c r="W311" s="4" t="str">
        <f t="shared" si="23"/>
        <v>1</v>
      </c>
      <c r="X311" s="4" t="str">
        <f t="shared" si="24"/>
        <v>0FAMILY1</v>
      </c>
      <c r="Y311">
        <f>VLOOKUP(X311,Sheet1!$J$5:$K$121,2,FALSE)</f>
        <v>0</v>
      </c>
    </row>
    <row r="312" spans="1:25" x14ac:dyDescent="0.25">
      <c r="A312" s="8">
        <f>[1]Data!A312</f>
        <v>900705</v>
      </c>
      <c r="B312" s="8">
        <f>[1]Data!B312</f>
        <v>1</v>
      </c>
      <c r="C312" s="8">
        <f>[1]Data!C312</f>
        <v>0</v>
      </c>
      <c r="D312" s="8">
        <f>[1]Data!D312</f>
        <v>5</v>
      </c>
      <c r="E312" s="8" t="str">
        <f>[1]Data!E312</f>
        <v>FAMILY</v>
      </c>
      <c r="F312" s="8" t="str">
        <f>[1]Data!F312</f>
        <v>Lancaster</v>
      </c>
      <c r="G312" s="8">
        <f>[1]Data!G312</f>
        <v>1</v>
      </c>
      <c r="H312" s="8">
        <f>[1]Data!H312</f>
        <v>1</v>
      </c>
      <c r="I312" s="8">
        <f>[1]Data!I312</f>
        <v>25.88</v>
      </c>
      <c r="J312" s="8">
        <f>[1]Data!J312</f>
        <v>15.29969271</v>
      </c>
      <c r="K312" s="8">
        <f>[1]Data!K312</f>
        <v>25.299692709999999</v>
      </c>
      <c r="L312" s="8">
        <f>[1]Data!L312</f>
        <v>0.57984117026930004</v>
      </c>
      <c r="M312" s="8">
        <f>[1]Data!M312</f>
        <v>25.8795338802693</v>
      </c>
      <c r="N312" s="8">
        <f>[1]Data!N312</f>
        <v>1</v>
      </c>
      <c r="O312" s="8">
        <f>[1]Data!O312</f>
        <v>1</v>
      </c>
      <c r="P312" s="8">
        <f>[1]Data!P312</f>
        <v>0</v>
      </c>
      <c r="Q312" s="8">
        <f>[1]Data!Q312</f>
        <v>0</v>
      </c>
      <c r="R312" s="8">
        <f>[1]Data!R312</f>
        <v>0</v>
      </c>
      <c r="S312" s="8">
        <f>[1]Data!S312</f>
        <v>0</v>
      </c>
      <c r="T312">
        <f t="shared" si="20"/>
        <v>1</v>
      </c>
      <c r="U312">
        <f t="shared" si="21"/>
        <v>1</v>
      </c>
      <c r="V312" s="4" t="str">
        <f t="shared" si="22"/>
        <v>0</v>
      </c>
      <c r="W312" s="4" t="str">
        <f t="shared" si="23"/>
        <v>1</v>
      </c>
      <c r="X312" s="4" t="str">
        <f t="shared" si="24"/>
        <v>0FAMILY1</v>
      </c>
      <c r="Y312">
        <f>VLOOKUP(X312,Sheet1!$J$5:$K$121,2,FALSE)</f>
        <v>0</v>
      </c>
    </row>
    <row r="313" spans="1:25" x14ac:dyDescent="0.25">
      <c r="A313" s="8">
        <f>[1]Data!A313</f>
        <v>900504</v>
      </c>
      <c r="B313" s="8">
        <f>[1]Data!B313</f>
        <v>1</v>
      </c>
      <c r="C313" s="8">
        <f>[1]Data!C313</f>
        <v>0</v>
      </c>
      <c r="D313" s="8">
        <f>[1]Data!D313</f>
        <v>5</v>
      </c>
      <c r="E313" s="8" t="str">
        <f>[1]Data!E313</f>
        <v>FAMILY</v>
      </c>
      <c r="F313" s="8" t="str">
        <f>[1]Data!F313</f>
        <v>Lancaster</v>
      </c>
      <c r="G313" s="8">
        <f>[1]Data!G313</f>
        <v>1</v>
      </c>
      <c r="H313" s="8">
        <f>[1]Data!H313</f>
        <v>1</v>
      </c>
      <c r="I313" s="8">
        <f>[1]Data!I313</f>
        <v>39.384999999999998</v>
      </c>
      <c r="J313" s="8">
        <f>[1]Data!J313</f>
        <v>34.950114450000001</v>
      </c>
      <c r="K313" s="8">
        <f>[1]Data!K313</f>
        <v>37.950114450000001</v>
      </c>
      <c r="L313" s="8">
        <f>[1]Data!L313</f>
        <v>1.43424686436266</v>
      </c>
      <c r="M313" s="8">
        <f>[1]Data!M313</f>
        <v>39.3843613143627</v>
      </c>
      <c r="N313" s="8">
        <f>[1]Data!N313</f>
        <v>1</v>
      </c>
      <c r="O313" s="8">
        <f>[1]Data!O313</f>
        <v>1</v>
      </c>
      <c r="P313" s="8">
        <f>[1]Data!P313</f>
        <v>0</v>
      </c>
      <c r="Q313" s="8">
        <f>[1]Data!Q313</f>
        <v>0</v>
      </c>
      <c r="R313" s="8">
        <f>[1]Data!R313</f>
        <v>0</v>
      </c>
      <c r="S313" s="8">
        <f>[1]Data!S313</f>
        <v>0</v>
      </c>
      <c r="T313">
        <f t="shared" si="20"/>
        <v>1</v>
      </c>
      <c r="U313">
        <f t="shared" si="21"/>
        <v>1</v>
      </c>
      <c r="V313" s="4" t="str">
        <f t="shared" si="22"/>
        <v>0</v>
      </c>
      <c r="W313" s="4" t="str">
        <f t="shared" si="23"/>
        <v>1</v>
      </c>
      <c r="X313" s="4" t="str">
        <f t="shared" si="24"/>
        <v>0FAMILY1</v>
      </c>
      <c r="Y313">
        <f>VLOOKUP(X313,Sheet1!$J$5:$K$121,2,FALSE)</f>
        <v>0</v>
      </c>
    </row>
    <row r="314" spans="1:25" x14ac:dyDescent="0.25">
      <c r="A314" s="8">
        <f>[1]Data!A314</f>
        <v>910402</v>
      </c>
      <c r="B314" s="8">
        <f>[1]Data!B314</f>
        <v>1</v>
      </c>
      <c r="C314" s="8">
        <f>[1]Data!C314</f>
        <v>0</v>
      </c>
      <c r="D314" s="8">
        <f>[1]Data!D314</f>
        <v>5</v>
      </c>
      <c r="E314" s="8" t="str">
        <f>[1]Data!E314</f>
        <v>FAMILY</v>
      </c>
      <c r="F314" s="8" t="str">
        <f>[1]Data!F314</f>
        <v>Palmdale</v>
      </c>
      <c r="G314" s="8">
        <f>[1]Data!G314</f>
        <v>1</v>
      </c>
      <c r="H314" s="8">
        <f>[1]Data!H314</f>
        <v>1</v>
      </c>
      <c r="I314" s="8">
        <f>[1]Data!I314</f>
        <v>70.965999999999994</v>
      </c>
      <c r="J314" s="8">
        <f>[1]Data!J314</f>
        <v>65.512649100000004</v>
      </c>
      <c r="K314" s="8">
        <f>[1]Data!K314</f>
        <v>69.512649100000004</v>
      </c>
      <c r="L314" s="8">
        <f>[1]Data!L314</f>
        <v>1.45319738470377</v>
      </c>
      <c r="M314" s="8">
        <f>[1]Data!M314</f>
        <v>70.965846484703803</v>
      </c>
      <c r="N314" s="8">
        <f>[1]Data!N314</f>
        <v>1</v>
      </c>
      <c r="O314" s="8">
        <f>[1]Data!O314</f>
        <v>1</v>
      </c>
      <c r="P314" s="8">
        <f>[1]Data!P314</f>
        <v>0</v>
      </c>
      <c r="Q314" s="8">
        <f>[1]Data!Q314</f>
        <v>0</v>
      </c>
      <c r="R314" s="8">
        <f>[1]Data!R314</f>
        <v>0</v>
      </c>
      <c r="S314" s="8">
        <f>[1]Data!S314</f>
        <v>0</v>
      </c>
      <c r="T314">
        <f t="shared" si="20"/>
        <v>1</v>
      </c>
      <c r="U314">
        <f t="shared" si="21"/>
        <v>1</v>
      </c>
      <c r="V314" s="4" t="str">
        <f t="shared" si="22"/>
        <v>0</v>
      </c>
      <c r="W314" s="4" t="str">
        <f t="shared" si="23"/>
        <v>1</v>
      </c>
      <c r="X314" s="4" t="str">
        <f t="shared" si="24"/>
        <v>0FAMILY1</v>
      </c>
      <c r="Y314">
        <f>VLOOKUP(X314,Sheet1!$J$5:$K$121,2,FALSE)</f>
        <v>0</v>
      </c>
    </row>
    <row r="315" spans="1:25" x14ac:dyDescent="0.25">
      <c r="A315" s="8">
        <f>[1]Data!A315</f>
        <v>461200</v>
      </c>
      <c r="B315" s="8">
        <f>[1]Data!B315</f>
        <v>3</v>
      </c>
      <c r="C315" s="8">
        <f>[1]Data!C315</f>
        <v>0</v>
      </c>
      <c r="D315" s="8">
        <f>[1]Data!D315</f>
        <v>5</v>
      </c>
      <c r="E315" s="8" t="str">
        <f>[1]Data!E315</f>
        <v>FAMILY</v>
      </c>
      <c r="F315" s="8" t="str">
        <f>[1]Data!F315</f>
        <v>Altadena</v>
      </c>
      <c r="G315" s="8">
        <f>[1]Data!G315</f>
        <v>1</v>
      </c>
      <c r="H315" s="8">
        <f>[1]Data!H315</f>
        <v>1</v>
      </c>
      <c r="I315" s="8">
        <f>[1]Data!I315</f>
        <v>0</v>
      </c>
      <c r="J315" s="8">
        <f>[1]Data!J315</f>
        <v>0</v>
      </c>
      <c r="K315" s="8">
        <f>[1]Data!K315</f>
        <v>0</v>
      </c>
      <c r="L315" s="8">
        <f>[1]Data!L315</f>
        <v>0</v>
      </c>
      <c r="M315" s="8">
        <f>[1]Data!M315</f>
        <v>0</v>
      </c>
      <c r="N315" s="8">
        <f>[1]Data!N315</f>
        <v>1</v>
      </c>
      <c r="O315" s="8">
        <f>[1]Data!O315</f>
        <v>1</v>
      </c>
      <c r="P315" s="8">
        <f>[1]Data!P315</f>
        <v>0</v>
      </c>
      <c r="Q315" s="8">
        <f>[1]Data!Q315</f>
        <v>0</v>
      </c>
      <c r="R315" s="8">
        <f>[1]Data!R315</f>
        <v>0</v>
      </c>
      <c r="S315" s="8">
        <f>[1]Data!S315</f>
        <v>0</v>
      </c>
      <c r="T315">
        <f t="shared" si="20"/>
        <v>1</v>
      </c>
      <c r="U315">
        <f t="shared" si="21"/>
        <v>1</v>
      </c>
      <c r="V315" s="4" t="str">
        <f t="shared" si="22"/>
        <v>0</v>
      </c>
      <c r="W315" s="4" t="str">
        <f t="shared" si="23"/>
        <v>3</v>
      </c>
      <c r="X315" s="4" t="str">
        <f t="shared" si="24"/>
        <v>0FAMILY3</v>
      </c>
      <c r="Y315">
        <f>VLOOKUP(X315,Sheet1!$J$5:$K$121,2,FALSE)</f>
        <v>0</v>
      </c>
    </row>
    <row r="316" spans="1:25" x14ac:dyDescent="0.25">
      <c r="A316" s="8">
        <f>[1]Data!A316</f>
        <v>430101</v>
      </c>
      <c r="B316" s="8">
        <f>[1]Data!B316</f>
        <v>3</v>
      </c>
      <c r="C316" s="8">
        <f>[1]Data!C316</f>
        <v>0</v>
      </c>
      <c r="D316" s="8">
        <f>[1]Data!D316</f>
        <v>5</v>
      </c>
      <c r="E316" s="8" t="str">
        <f>[1]Data!E316</f>
        <v>FAMILY</v>
      </c>
      <c r="F316" s="8" t="str">
        <f>[1]Data!F316</f>
        <v>Duarte</v>
      </c>
      <c r="G316" s="8">
        <f>[1]Data!G316</f>
        <v>1</v>
      </c>
      <c r="H316" s="8">
        <f>[1]Data!H316</f>
        <v>1</v>
      </c>
      <c r="I316" s="8">
        <f>[1]Data!I316</f>
        <v>19.728999999999999</v>
      </c>
      <c r="J316" s="8">
        <f>[1]Data!J316</f>
        <v>15.039075090000001</v>
      </c>
      <c r="K316" s="8">
        <f>[1]Data!K316</f>
        <v>19.039075090000001</v>
      </c>
      <c r="L316" s="8">
        <f>[1]Data!L316</f>
        <v>6.6902722584739696</v>
      </c>
      <c r="M316" s="8">
        <f>[1]Data!M316</f>
        <v>25.729347348474001</v>
      </c>
      <c r="N316" s="8">
        <f>[1]Data!N316</f>
        <v>1</v>
      </c>
      <c r="O316" s="8">
        <f>[1]Data!O316</f>
        <v>1</v>
      </c>
      <c r="P316" s="8">
        <f>[1]Data!P316</f>
        <v>0</v>
      </c>
      <c r="Q316" s="8">
        <f>[1]Data!Q316</f>
        <v>0</v>
      </c>
      <c r="R316" s="8">
        <f>[1]Data!R316</f>
        <v>0</v>
      </c>
      <c r="S316" s="8">
        <f>[1]Data!S316</f>
        <v>0</v>
      </c>
      <c r="T316">
        <f t="shared" si="20"/>
        <v>1</v>
      </c>
      <c r="U316">
        <f t="shared" si="21"/>
        <v>1</v>
      </c>
      <c r="V316" s="4" t="str">
        <f t="shared" si="22"/>
        <v>0</v>
      </c>
      <c r="W316" s="4" t="str">
        <f t="shared" si="23"/>
        <v>3</v>
      </c>
      <c r="X316" s="4" t="str">
        <f t="shared" si="24"/>
        <v>0FAMILY3</v>
      </c>
      <c r="Y316">
        <f>VLOOKUP(X316,Sheet1!$J$5:$K$121,2,FALSE)</f>
        <v>0</v>
      </c>
    </row>
    <row r="317" spans="1:25" x14ac:dyDescent="0.25">
      <c r="A317" s="8">
        <f>[1]Data!A317</f>
        <v>402702</v>
      </c>
      <c r="B317" s="8">
        <f>[1]Data!B317</f>
        <v>3</v>
      </c>
      <c r="C317" s="8">
        <f>[1]Data!C317</f>
        <v>0</v>
      </c>
      <c r="D317" s="8">
        <f>[1]Data!D317</f>
        <v>1</v>
      </c>
      <c r="E317" s="8" t="str">
        <f>[1]Data!E317</f>
        <v>FAMILY</v>
      </c>
      <c r="F317" s="8" t="str">
        <f>[1]Data!F317</f>
        <v>Pomona</v>
      </c>
      <c r="G317" s="8">
        <f>[1]Data!G317</f>
        <v>1</v>
      </c>
      <c r="H317" s="8">
        <f>[1]Data!H317</f>
        <v>1</v>
      </c>
      <c r="I317" s="8">
        <f>[1]Data!I317</f>
        <v>52.363999999999997</v>
      </c>
      <c r="J317" s="8">
        <f>[1]Data!J317</f>
        <v>30.650831570000001</v>
      </c>
      <c r="K317" s="8">
        <f>[1]Data!K317</f>
        <v>51.650831570000001</v>
      </c>
      <c r="L317" s="8">
        <f>[1]Data!L317</f>
        <v>0.71261606305206504</v>
      </c>
      <c r="M317" s="8">
        <f>[1]Data!M317</f>
        <v>52.363447633052097</v>
      </c>
      <c r="N317" s="8">
        <f>[1]Data!N317</f>
        <v>1</v>
      </c>
      <c r="O317" s="8">
        <f>[1]Data!O317</f>
        <v>1</v>
      </c>
      <c r="P317" s="8">
        <f>[1]Data!P317</f>
        <v>0</v>
      </c>
      <c r="Q317" s="8">
        <f>[1]Data!Q317</f>
        <v>0</v>
      </c>
      <c r="R317" s="8">
        <f>[1]Data!R317</f>
        <v>0</v>
      </c>
      <c r="S317" s="8">
        <f>[1]Data!S317</f>
        <v>0</v>
      </c>
      <c r="T317">
        <f t="shared" si="20"/>
        <v>1</v>
      </c>
      <c r="U317">
        <f t="shared" si="21"/>
        <v>1</v>
      </c>
      <c r="V317" s="4" t="str">
        <f t="shared" si="22"/>
        <v>0</v>
      </c>
      <c r="W317" s="4" t="str">
        <f t="shared" si="23"/>
        <v>3</v>
      </c>
      <c r="X317" s="4" t="str">
        <f t="shared" si="24"/>
        <v>0FAMILY3</v>
      </c>
      <c r="Y317">
        <f>VLOOKUP(X317,Sheet1!$J$5:$K$121,2,FALSE)</f>
        <v>0</v>
      </c>
    </row>
    <row r="318" spans="1:25" x14ac:dyDescent="0.25">
      <c r="A318" s="8">
        <f>[1]Data!A318</f>
        <v>403318</v>
      </c>
      <c r="B318" s="8">
        <f>[1]Data!B318</f>
        <v>3</v>
      </c>
      <c r="C318" s="8">
        <f>[1]Data!C318</f>
        <v>0</v>
      </c>
      <c r="D318" s="8">
        <f>[1]Data!D318</f>
        <v>1</v>
      </c>
      <c r="E318" s="8" t="str">
        <f>[1]Data!E318</f>
        <v>FAMILY</v>
      </c>
      <c r="F318" s="8" t="str">
        <f>[1]Data!F318</f>
        <v>Pomona</v>
      </c>
      <c r="G318" s="8">
        <f>[1]Data!G318</f>
        <v>1</v>
      </c>
      <c r="H318" s="8">
        <f>[1]Data!H318</f>
        <v>1</v>
      </c>
      <c r="I318" s="8">
        <f>[1]Data!I318</f>
        <v>10.537000000000001</v>
      </c>
      <c r="J318" s="8">
        <f>[1]Data!J318</f>
        <v>7.2326561099999997</v>
      </c>
      <c r="K318" s="8">
        <f>[1]Data!K318</f>
        <v>10.232656110000001</v>
      </c>
      <c r="L318" s="8">
        <f>[1]Data!L318</f>
        <v>0.30387525168761198</v>
      </c>
      <c r="M318" s="8">
        <f>[1]Data!M318</f>
        <v>10.536531361687601</v>
      </c>
      <c r="N318" s="8">
        <f>[1]Data!N318</f>
        <v>1</v>
      </c>
      <c r="O318" s="8">
        <f>[1]Data!O318</f>
        <v>1</v>
      </c>
      <c r="P318" s="8">
        <f>[1]Data!P318</f>
        <v>0</v>
      </c>
      <c r="Q318" s="8">
        <f>[1]Data!Q318</f>
        <v>0</v>
      </c>
      <c r="R318" s="8">
        <f>[1]Data!R318</f>
        <v>0</v>
      </c>
      <c r="S318" s="8">
        <f>[1]Data!S318</f>
        <v>0</v>
      </c>
      <c r="T318">
        <f t="shared" si="20"/>
        <v>1</v>
      </c>
      <c r="U318">
        <f t="shared" si="21"/>
        <v>1</v>
      </c>
      <c r="V318" s="4" t="str">
        <f t="shared" si="22"/>
        <v>0</v>
      </c>
      <c r="W318" s="4" t="str">
        <f t="shared" si="23"/>
        <v>3</v>
      </c>
      <c r="X318" s="4" t="str">
        <f t="shared" si="24"/>
        <v>0FAMILY3</v>
      </c>
      <c r="Y318">
        <f>VLOOKUP(X318,Sheet1!$J$5:$K$121,2,FALSE)</f>
        <v>0</v>
      </c>
    </row>
    <row r="319" spans="1:25" x14ac:dyDescent="0.25">
      <c r="A319" s="8">
        <f>[1]Data!A319</f>
        <v>461100</v>
      </c>
      <c r="B319" s="8">
        <f>[1]Data!B319</f>
        <v>3</v>
      </c>
      <c r="C319" s="8">
        <f>[1]Data!C319</f>
        <v>0</v>
      </c>
      <c r="D319" s="8">
        <f>[1]Data!D319</f>
        <v>5</v>
      </c>
      <c r="E319" s="8" t="str">
        <f>[1]Data!E319</f>
        <v>FAMILY</v>
      </c>
      <c r="F319" s="8" t="str">
        <f>[1]Data!F319</f>
        <v>Altadena</v>
      </c>
      <c r="G319" s="8">
        <f>[1]Data!G319</f>
        <v>1</v>
      </c>
      <c r="H319" s="8">
        <f>[1]Data!H319</f>
        <v>1</v>
      </c>
      <c r="I319" s="8">
        <f>[1]Data!I319</f>
        <v>4.0949999999999998</v>
      </c>
      <c r="J319" s="8">
        <f>[1]Data!J319</f>
        <v>1.9836996600000001</v>
      </c>
      <c r="K319" s="8">
        <f>[1]Data!K319</f>
        <v>3.9836996600000001</v>
      </c>
      <c r="L319" s="8">
        <f>[1]Data!L319</f>
        <v>0.11117260138240601</v>
      </c>
      <c r="M319" s="8">
        <f>[1]Data!M319</f>
        <v>4.0948722613824096</v>
      </c>
      <c r="N319" s="8">
        <f>[1]Data!N319</f>
        <v>1</v>
      </c>
      <c r="O319" s="8">
        <f>[1]Data!O319</f>
        <v>1</v>
      </c>
      <c r="P319" s="8">
        <f>[1]Data!P319</f>
        <v>0</v>
      </c>
      <c r="Q319" s="8">
        <f>[1]Data!Q319</f>
        <v>0</v>
      </c>
      <c r="R319" s="8">
        <f>[1]Data!R319</f>
        <v>0</v>
      </c>
      <c r="S319" s="8">
        <f>[1]Data!S319</f>
        <v>0</v>
      </c>
      <c r="T319">
        <f t="shared" si="20"/>
        <v>1</v>
      </c>
      <c r="U319">
        <f t="shared" si="21"/>
        <v>1</v>
      </c>
      <c r="V319" s="4" t="str">
        <f t="shared" si="22"/>
        <v>0</v>
      </c>
      <c r="W319" s="4" t="str">
        <f t="shared" si="23"/>
        <v>3</v>
      </c>
      <c r="X319" s="4" t="str">
        <f t="shared" si="24"/>
        <v>0FAMILY3</v>
      </c>
      <c r="Y319">
        <f>VLOOKUP(X319,Sheet1!$J$5:$K$121,2,FALSE)</f>
        <v>0</v>
      </c>
    </row>
    <row r="320" spans="1:25" x14ac:dyDescent="0.25">
      <c r="A320" s="8">
        <f>[1]Data!A320</f>
        <v>408800</v>
      </c>
      <c r="B320" s="8">
        <f>[1]Data!B320</f>
        <v>3</v>
      </c>
      <c r="C320" s="8">
        <f>[1]Data!C320</f>
        <v>0</v>
      </c>
      <c r="D320" s="8">
        <f>[1]Data!D320</f>
        <v>1</v>
      </c>
      <c r="E320" s="8" t="str">
        <f>[1]Data!E320</f>
        <v>FAMILY</v>
      </c>
      <c r="F320" s="8" t="str">
        <f>[1]Data!F320</f>
        <v>Pomona</v>
      </c>
      <c r="G320" s="8">
        <f>[1]Data!G320</f>
        <v>1</v>
      </c>
      <c r="H320" s="8">
        <f>[1]Data!H320</f>
        <v>1</v>
      </c>
      <c r="I320" s="8">
        <f>[1]Data!I320</f>
        <v>28.963000000000001</v>
      </c>
      <c r="J320" s="8">
        <f>[1]Data!J320</f>
        <v>20.42204709</v>
      </c>
      <c r="K320" s="8">
        <f>[1]Data!K320</f>
        <v>28.42204709</v>
      </c>
      <c r="L320" s="8">
        <f>[1]Data!L320</f>
        <v>0.53966639524237003</v>
      </c>
      <c r="M320" s="8">
        <f>[1]Data!M320</f>
        <v>28.961713485242399</v>
      </c>
      <c r="N320" s="8">
        <f>[1]Data!N320</f>
        <v>1</v>
      </c>
      <c r="O320" s="8">
        <f>[1]Data!O320</f>
        <v>1</v>
      </c>
      <c r="P320" s="8">
        <f>[1]Data!P320</f>
        <v>0</v>
      </c>
      <c r="Q320" s="8">
        <f>[1]Data!Q320</f>
        <v>0</v>
      </c>
      <c r="R320" s="8">
        <f>[1]Data!R320</f>
        <v>0</v>
      </c>
      <c r="S320" s="8">
        <f>[1]Data!S320</f>
        <v>0</v>
      </c>
      <c r="T320">
        <f t="shared" si="20"/>
        <v>1</v>
      </c>
      <c r="U320">
        <f t="shared" si="21"/>
        <v>1</v>
      </c>
      <c r="V320" s="4" t="str">
        <f t="shared" si="22"/>
        <v>0</v>
      </c>
      <c r="W320" s="4" t="str">
        <f t="shared" si="23"/>
        <v>3</v>
      </c>
      <c r="X320" s="4" t="str">
        <f t="shared" si="24"/>
        <v>0FAMILY3</v>
      </c>
      <c r="Y320">
        <f>VLOOKUP(X320,Sheet1!$J$5:$K$121,2,FALSE)</f>
        <v>0</v>
      </c>
    </row>
    <row r="321" spans="1:25" x14ac:dyDescent="0.25">
      <c r="A321" s="8">
        <f>[1]Data!A321</f>
        <v>702803</v>
      </c>
      <c r="B321" s="8">
        <f>[1]Data!B321</f>
        <v>5</v>
      </c>
      <c r="C321" s="8">
        <f>[1]Data!C321</f>
        <v>0</v>
      </c>
      <c r="D321" s="8">
        <f>[1]Data!D321</f>
        <v>2</v>
      </c>
      <c r="E321" s="8" t="str">
        <f>[1]Data!E321</f>
        <v>FAMILY</v>
      </c>
      <c r="F321" s="8" t="str">
        <f>[1]Data!F321</f>
        <v>Culver City</v>
      </c>
      <c r="G321" s="8">
        <f>[1]Data!G321</f>
        <v>1</v>
      </c>
      <c r="H321" s="8">
        <f>[1]Data!H321</f>
        <v>1</v>
      </c>
      <c r="I321" s="8">
        <f>[1]Data!I321</f>
        <v>68.742999999999995</v>
      </c>
      <c r="J321" s="8">
        <f>[1]Data!J321</f>
        <v>52.936493849999998</v>
      </c>
      <c r="K321" s="8">
        <f>[1]Data!K321</f>
        <v>65.936493850000005</v>
      </c>
      <c r="L321" s="8">
        <f>[1]Data!L321</f>
        <v>6.8052969985457796</v>
      </c>
      <c r="M321" s="8">
        <f>[1]Data!M321</f>
        <v>72.741790848545804</v>
      </c>
      <c r="N321" s="8">
        <f>[1]Data!N321</f>
        <v>1</v>
      </c>
      <c r="O321" s="8">
        <f>[1]Data!O321</f>
        <v>1</v>
      </c>
      <c r="P321" s="8">
        <f>[1]Data!P321</f>
        <v>0</v>
      </c>
      <c r="Q321" s="8">
        <f>[1]Data!Q321</f>
        <v>0</v>
      </c>
      <c r="R321" s="8">
        <f>[1]Data!R321</f>
        <v>0</v>
      </c>
      <c r="S321" s="8">
        <f>[1]Data!S321</f>
        <v>0</v>
      </c>
      <c r="T321">
        <f t="shared" si="20"/>
        <v>1</v>
      </c>
      <c r="U321">
        <f t="shared" si="21"/>
        <v>1</v>
      </c>
      <c r="V321" s="4" t="str">
        <f t="shared" si="22"/>
        <v>0</v>
      </c>
      <c r="W321" s="4" t="str">
        <f t="shared" si="23"/>
        <v>5</v>
      </c>
      <c r="X321" s="4" t="str">
        <f t="shared" si="24"/>
        <v>0FAMILY5</v>
      </c>
      <c r="Y321">
        <f>VLOOKUP(X321,Sheet1!$J$5:$K$121,2,FALSE)</f>
        <v>0</v>
      </c>
    </row>
    <row r="322" spans="1:25" x14ac:dyDescent="0.25">
      <c r="A322" s="8">
        <f>[1]Data!A322</f>
        <v>800408</v>
      </c>
      <c r="B322" s="8">
        <f>[1]Data!B322</f>
        <v>5</v>
      </c>
      <c r="C322" s="8">
        <f>[1]Data!C322</f>
        <v>0</v>
      </c>
      <c r="D322" s="8">
        <f>[1]Data!D322</f>
        <v>3</v>
      </c>
      <c r="E322" s="8" t="str">
        <f>[1]Data!E322</f>
        <v>FAMILY</v>
      </c>
      <c r="F322" s="8" t="str">
        <f>[1]Data!F322</f>
        <v>Malibu</v>
      </c>
      <c r="G322" s="8">
        <f>[1]Data!G322</f>
        <v>1</v>
      </c>
      <c r="H322" s="8">
        <f>[1]Data!H322</f>
        <v>1</v>
      </c>
      <c r="I322" s="8">
        <f>[1]Data!I322</f>
        <v>60.234000000000002</v>
      </c>
      <c r="J322" s="8">
        <f>[1]Data!J322</f>
        <v>50.261976359999998</v>
      </c>
      <c r="K322" s="8">
        <f>[1]Data!K322</f>
        <v>58.261976359999998</v>
      </c>
      <c r="L322" s="8">
        <f>[1]Data!L322</f>
        <v>5.9717755517594302</v>
      </c>
      <c r="M322" s="8">
        <f>[1]Data!M322</f>
        <v>64.233751911759398</v>
      </c>
      <c r="N322" s="8">
        <f>[1]Data!N322</f>
        <v>1</v>
      </c>
      <c r="O322" s="8">
        <f>[1]Data!O322</f>
        <v>1</v>
      </c>
      <c r="P322" s="8">
        <f>[1]Data!P322</f>
        <v>0</v>
      </c>
      <c r="Q322" s="8">
        <f>[1]Data!Q322</f>
        <v>0</v>
      </c>
      <c r="R322" s="8">
        <f>[1]Data!R322</f>
        <v>0</v>
      </c>
      <c r="S322" s="8">
        <f>[1]Data!S322</f>
        <v>0</v>
      </c>
      <c r="T322">
        <f t="shared" si="20"/>
        <v>1</v>
      </c>
      <c r="U322">
        <f t="shared" si="21"/>
        <v>1</v>
      </c>
      <c r="V322" s="4" t="str">
        <f t="shared" si="22"/>
        <v>0</v>
      </c>
      <c r="W322" s="4" t="str">
        <f t="shared" si="23"/>
        <v>5</v>
      </c>
      <c r="X322" s="4" t="str">
        <f t="shared" si="24"/>
        <v>0FAMILY5</v>
      </c>
      <c r="Y322">
        <f>VLOOKUP(X322,Sheet1!$J$5:$K$121,2,FALSE)</f>
        <v>0</v>
      </c>
    </row>
    <row r="323" spans="1:25" x14ac:dyDescent="0.25">
      <c r="A323" s="8">
        <f>[1]Data!A323</f>
        <v>535400</v>
      </c>
      <c r="B323" s="8">
        <f>[1]Data!B323</f>
        <v>6</v>
      </c>
      <c r="C323" s="8">
        <f>[1]Data!C323</f>
        <v>0</v>
      </c>
      <c r="D323" s="8">
        <f>[1]Data!D323</f>
        <v>2</v>
      </c>
      <c r="E323" s="8" t="str">
        <f>[1]Data!E323</f>
        <v>FAMILY</v>
      </c>
      <c r="F323" s="8" t="str">
        <f>[1]Data!F323</f>
        <v>Florence-Graham</v>
      </c>
      <c r="G323" s="8">
        <f>[1]Data!G323</f>
        <v>1</v>
      </c>
      <c r="H323" s="8">
        <f>[1]Data!H323</f>
        <v>1</v>
      </c>
      <c r="I323" s="8">
        <f>[1]Data!I323</f>
        <v>145.87799999999999</v>
      </c>
      <c r="J323" s="8">
        <f>[1]Data!J323</f>
        <v>103.09206392999999</v>
      </c>
      <c r="K323" s="8">
        <f>[1]Data!K323</f>
        <v>140.09206392999999</v>
      </c>
      <c r="L323" s="8">
        <f>[1]Data!L323</f>
        <v>7.7855317475224401</v>
      </c>
      <c r="M323" s="8">
        <f>[1]Data!M323</f>
        <v>147.87759567752201</v>
      </c>
      <c r="N323" s="8">
        <f>[1]Data!N323</f>
        <v>1</v>
      </c>
      <c r="O323" s="8">
        <f>[1]Data!O323</f>
        <v>1</v>
      </c>
      <c r="P323" s="8">
        <f>[1]Data!P323</f>
        <v>0</v>
      </c>
      <c r="Q323" s="8">
        <f>[1]Data!Q323</f>
        <v>0</v>
      </c>
      <c r="R323" s="8">
        <f>[1]Data!R323</f>
        <v>0</v>
      </c>
      <c r="S323" s="8">
        <f>[1]Data!S323</f>
        <v>0</v>
      </c>
      <c r="T323">
        <f t="shared" ref="T323:T386" si="25">N323+Y323*(1-N323)</f>
        <v>1</v>
      </c>
      <c r="U323">
        <f t="shared" ref="U323:U386" si="26">IF(T323="",0,1/T323*H323)</f>
        <v>1</v>
      </c>
      <c r="V323" s="4" t="str">
        <f t="shared" ref="V323:V386" si="27">TEXT(C323,"0")</f>
        <v>0</v>
      </c>
      <c r="W323" s="4" t="str">
        <f t="shared" ref="W323:W386" si="28">TEXT(B323,"0")</f>
        <v>6</v>
      </c>
      <c r="X323" s="4" t="str">
        <f t="shared" ref="X323:X386" si="29">CONCATENATE(V323,E323,W323)</f>
        <v>0FAMILY6</v>
      </c>
      <c r="Y323">
        <f>VLOOKUP(X323,Sheet1!$J$5:$K$121,2,FALSE)</f>
        <v>0</v>
      </c>
    </row>
    <row r="324" spans="1:25" x14ac:dyDescent="0.25">
      <c r="A324" s="8">
        <f>[1]Data!A324</f>
        <v>501002</v>
      </c>
      <c r="B324" s="8">
        <f>[1]Data!B324</f>
        <v>7</v>
      </c>
      <c r="C324" s="8">
        <f>[1]Data!C324</f>
        <v>0</v>
      </c>
      <c r="D324" s="8">
        <f>[1]Data!D324</f>
        <v>4</v>
      </c>
      <c r="E324" s="8" t="str">
        <f>[1]Data!E324</f>
        <v>FAMILY</v>
      </c>
      <c r="F324" s="8" t="str">
        <f>[1]Data!F324</f>
        <v>West Whittier</v>
      </c>
      <c r="G324" s="8">
        <f>[1]Data!G324</f>
        <v>1</v>
      </c>
      <c r="H324" s="8">
        <f>[1]Data!H324</f>
        <v>1</v>
      </c>
      <c r="I324" s="8">
        <f>[1]Data!I324</f>
        <v>52.491</v>
      </c>
      <c r="J324" s="8">
        <f>[1]Data!J324</f>
        <v>27.48735383</v>
      </c>
      <c r="K324" s="8">
        <f>[1]Data!K324</f>
        <v>51.487353830000004</v>
      </c>
      <c r="L324" s="8">
        <f>[1]Data!L324</f>
        <v>4.0042631172351904</v>
      </c>
      <c r="M324" s="8">
        <f>[1]Data!M324</f>
        <v>55.491616947235201</v>
      </c>
      <c r="N324" s="8">
        <f>[1]Data!N324</f>
        <v>1</v>
      </c>
      <c r="O324" s="8">
        <f>[1]Data!O324</f>
        <v>1</v>
      </c>
      <c r="P324" s="8">
        <f>[1]Data!P324</f>
        <v>0</v>
      </c>
      <c r="Q324" s="8">
        <f>[1]Data!Q324</f>
        <v>0</v>
      </c>
      <c r="R324" s="8">
        <f>[1]Data!R324</f>
        <v>0</v>
      </c>
      <c r="S324" s="8">
        <f>[1]Data!S324</f>
        <v>0</v>
      </c>
      <c r="T324">
        <f t="shared" si="25"/>
        <v>1</v>
      </c>
      <c r="U324">
        <f t="shared" si="26"/>
        <v>1</v>
      </c>
      <c r="V324" s="4" t="str">
        <f t="shared" si="27"/>
        <v>0</v>
      </c>
      <c r="W324" s="4" t="str">
        <f t="shared" si="28"/>
        <v>7</v>
      </c>
      <c r="X324" s="4" t="str">
        <f t="shared" si="29"/>
        <v>0FAMILY7</v>
      </c>
      <c r="Y324">
        <f>VLOOKUP(X324,Sheet1!$J$5:$K$121,2,FALSE)</f>
        <v>0</v>
      </c>
    </row>
    <row r="325" spans="1:25" x14ac:dyDescent="0.25">
      <c r="A325" s="8">
        <f>[1]Data!A325</f>
        <v>502700</v>
      </c>
      <c r="B325" s="8">
        <f>[1]Data!B325</f>
        <v>7</v>
      </c>
      <c r="C325" s="8">
        <f>[1]Data!C325</f>
        <v>0</v>
      </c>
      <c r="D325" s="8">
        <f>[1]Data!D325</f>
        <v>4</v>
      </c>
      <c r="E325" s="8" t="str">
        <f>[1]Data!E325</f>
        <v>FAMILY</v>
      </c>
      <c r="F325" s="8" t="str">
        <f>[1]Data!F325</f>
        <v>Santa Fe Springs</v>
      </c>
      <c r="G325" s="8">
        <f>[1]Data!G325</f>
        <v>1</v>
      </c>
      <c r="H325" s="8">
        <f>[1]Data!H325</f>
        <v>1</v>
      </c>
      <c r="I325" s="8">
        <f>[1]Data!I325</f>
        <v>36.627000000000002</v>
      </c>
      <c r="J325" s="8">
        <f>[1]Data!J325</f>
        <v>19.97926885</v>
      </c>
      <c r="K325" s="8">
        <f>[1]Data!K325</f>
        <v>35.979268849999997</v>
      </c>
      <c r="L325" s="8">
        <f>[1]Data!L325</f>
        <v>0.64776089669658898</v>
      </c>
      <c r="M325" s="8">
        <f>[1]Data!M325</f>
        <v>36.6270297466966</v>
      </c>
      <c r="N325" s="8">
        <f>[1]Data!N325</f>
        <v>1</v>
      </c>
      <c r="O325" s="8">
        <f>[1]Data!O325</f>
        <v>1</v>
      </c>
      <c r="P325" s="8">
        <f>[1]Data!P325</f>
        <v>0</v>
      </c>
      <c r="Q325" s="8">
        <f>[1]Data!Q325</f>
        <v>0</v>
      </c>
      <c r="R325" s="8">
        <f>[1]Data!R325</f>
        <v>0</v>
      </c>
      <c r="S325" s="8">
        <f>[1]Data!S325</f>
        <v>0</v>
      </c>
      <c r="T325">
        <f t="shared" si="25"/>
        <v>1</v>
      </c>
      <c r="U325">
        <f t="shared" si="26"/>
        <v>1</v>
      </c>
      <c r="V325" s="4" t="str">
        <f t="shared" si="27"/>
        <v>0</v>
      </c>
      <c r="W325" s="4" t="str">
        <f t="shared" si="28"/>
        <v>7</v>
      </c>
      <c r="X325" s="4" t="str">
        <f t="shared" si="29"/>
        <v>0FAMILY7</v>
      </c>
      <c r="Y325">
        <f>VLOOKUP(X325,Sheet1!$J$5:$K$121,2,FALSE)</f>
        <v>0</v>
      </c>
    </row>
    <row r="326" spans="1:25" x14ac:dyDescent="0.25">
      <c r="A326" s="8">
        <f>[1]Data!A326</f>
        <v>502802</v>
      </c>
      <c r="B326" s="8">
        <f>[1]Data!B326</f>
        <v>7</v>
      </c>
      <c r="C326" s="8">
        <f>[1]Data!C326</f>
        <v>0</v>
      </c>
      <c r="D326" s="8">
        <f>[1]Data!D326</f>
        <v>4</v>
      </c>
      <c r="E326" s="8" t="str">
        <f>[1]Data!E326</f>
        <v>FAMILY</v>
      </c>
      <c r="F326" s="8" t="str">
        <f>[1]Data!F326</f>
        <v>Santa Fe Springs</v>
      </c>
      <c r="G326" s="8">
        <f>[1]Data!G326</f>
        <v>1</v>
      </c>
      <c r="H326" s="8">
        <f>[1]Data!H326</f>
        <v>1</v>
      </c>
      <c r="I326" s="8">
        <f>[1]Data!I326</f>
        <v>60.323</v>
      </c>
      <c r="J326" s="8">
        <f>[1]Data!J326</f>
        <v>36.117972160000001</v>
      </c>
      <c r="K326" s="8">
        <f>[1]Data!K326</f>
        <v>57.117972160000001</v>
      </c>
      <c r="L326" s="8">
        <f>[1]Data!L326</f>
        <v>13.2055326215799</v>
      </c>
      <c r="M326" s="8">
        <f>[1]Data!M326</f>
        <v>70.323504781579899</v>
      </c>
      <c r="N326" s="8">
        <f>[1]Data!N326</f>
        <v>1</v>
      </c>
      <c r="O326" s="8">
        <f>[1]Data!O326</f>
        <v>1</v>
      </c>
      <c r="P326" s="8">
        <f>[1]Data!P326</f>
        <v>0</v>
      </c>
      <c r="Q326" s="8">
        <f>[1]Data!Q326</f>
        <v>0</v>
      </c>
      <c r="R326" s="8">
        <f>[1]Data!R326</f>
        <v>0</v>
      </c>
      <c r="S326" s="8">
        <f>[1]Data!S326</f>
        <v>0</v>
      </c>
      <c r="T326">
        <f t="shared" si="25"/>
        <v>1</v>
      </c>
      <c r="U326">
        <f t="shared" si="26"/>
        <v>1</v>
      </c>
      <c r="V326" s="4" t="str">
        <f t="shared" si="27"/>
        <v>0</v>
      </c>
      <c r="W326" s="4" t="str">
        <f t="shared" si="28"/>
        <v>7</v>
      </c>
      <c r="X326" s="4" t="str">
        <f t="shared" si="29"/>
        <v>0FAMILY7</v>
      </c>
      <c r="Y326">
        <f>VLOOKUP(X326,Sheet1!$J$5:$K$121,2,FALSE)</f>
        <v>0</v>
      </c>
    </row>
    <row r="327" spans="1:25" x14ac:dyDescent="0.25">
      <c r="A327" s="8">
        <f>[1]Data!A327</f>
        <v>532302</v>
      </c>
      <c r="B327" s="8">
        <f>[1]Data!B327</f>
        <v>7</v>
      </c>
      <c r="C327" s="8">
        <f>[1]Data!C327</f>
        <v>0</v>
      </c>
      <c r="D327" s="8">
        <f>[1]Data!D327</f>
        <v>1</v>
      </c>
      <c r="E327" s="8" t="str">
        <f>[1]Data!E327</f>
        <v>FAMILY</v>
      </c>
      <c r="F327" s="8" t="str">
        <f>[1]Data!F327</f>
        <v>Commerce</v>
      </c>
      <c r="G327" s="8">
        <f>[1]Data!G327</f>
        <v>1</v>
      </c>
      <c r="H327" s="8">
        <f>[1]Data!H327</f>
        <v>1</v>
      </c>
      <c r="I327" s="8">
        <f>[1]Data!I327</f>
        <v>16.225999999999999</v>
      </c>
      <c r="J327" s="8">
        <f>[1]Data!J327</f>
        <v>14.494572</v>
      </c>
      <c r="K327" s="8">
        <f>[1]Data!K327</f>
        <v>15.494572</v>
      </c>
      <c r="L327" s="8">
        <f>[1]Data!L327</f>
        <v>0.73055166323159804</v>
      </c>
      <c r="M327" s="8">
        <f>[1]Data!M327</f>
        <v>16.225123663231599</v>
      </c>
      <c r="N327" s="8">
        <f>[1]Data!N327</f>
        <v>1</v>
      </c>
      <c r="O327" s="8">
        <f>[1]Data!O327</f>
        <v>1</v>
      </c>
      <c r="P327" s="8">
        <f>[1]Data!P327</f>
        <v>0</v>
      </c>
      <c r="Q327" s="8">
        <f>[1]Data!Q327</f>
        <v>0</v>
      </c>
      <c r="R327" s="8">
        <f>[1]Data!R327</f>
        <v>0</v>
      </c>
      <c r="S327" s="8">
        <f>[1]Data!S327</f>
        <v>0</v>
      </c>
      <c r="T327">
        <f t="shared" si="25"/>
        <v>1</v>
      </c>
      <c r="U327">
        <f t="shared" si="26"/>
        <v>1</v>
      </c>
      <c r="V327" s="4" t="str">
        <f t="shared" si="27"/>
        <v>0</v>
      </c>
      <c r="W327" s="4" t="str">
        <f t="shared" si="28"/>
        <v>7</v>
      </c>
      <c r="X327" s="4" t="str">
        <f t="shared" si="29"/>
        <v>0FAMILY7</v>
      </c>
      <c r="Y327">
        <f>VLOOKUP(X327,Sheet1!$J$5:$K$121,2,FALSE)</f>
        <v>0</v>
      </c>
    </row>
    <row r="328" spans="1:25" x14ac:dyDescent="0.25">
      <c r="A328" s="8">
        <f>[1]Data!A328</f>
        <v>554405</v>
      </c>
      <c r="B328" s="8">
        <f>[1]Data!B328</f>
        <v>7</v>
      </c>
      <c r="C328" s="8">
        <f>[1]Data!C328</f>
        <v>0</v>
      </c>
      <c r="D328" s="8">
        <f>[1]Data!D328</f>
        <v>4</v>
      </c>
      <c r="E328" s="8" t="str">
        <f>[1]Data!E328</f>
        <v>FAMILY</v>
      </c>
      <c r="F328" s="8" t="str">
        <f>[1]Data!F328</f>
        <v>Bellflower</v>
      </c>
      <c r="G328" s="8">
        <f>[1]Data!G328</f>
        <v>1</v>
      </c>
      <c r="H328" s="8">
        <f>[1]Data!H328</f>
        <v>1</v>
      </c>
      <c r="I328" s="8">
        <f>[1]Data!I328</f>
        <v>17.812999999999999</v>
      </c>
      <c r="J328" s="8">
        <f>[1]Data!J328</f>
        <v>12.09474891</v>
      </c>
      <c r="K328" s="8">
        <f>[1]Data!K328</f>
        <v>17.09474891</v>
      </c>
      <c r="L328" s="8">
        <f>[1]Data!L328</f>
        <v>7.7179518653500896</v>
      </c>
      <c r="M328" s="8">
        <f>[1]Data!M328</f>
        <v>24.812700775350098</v>
      </c>
      <c r="N328" s="8">
        <f>[1]Data!N328</f>
        <v>1</v>
      </c>
      <c r="O328" s="8">
        <f>[1]Data!O328</f>
        <v>1</v>
      </c>
      <c r="P328" s="8">
        <f>[1]Data!P328</f>
        <v>0</v>
      </c>
      <c r="Q328" s="8">
        <f>[1]Data!Q328</f>
        <v>0</v>
      </c>
      <c r="R328" s="8">
        <f>[1]Data!R328</f>
        <v>0</v>
      </c>
      <c r="S328" s="8">
        <f>[1]Data!S328</f>
        <v>0</v>
      </c>
      <c r="T328">
        <f t="shared" si="25"/>
        <v>1</v>
      </c>
      <c r="U328">
        <f t="shared" si="26"/>
        <v>1</v>
      </c>
      <c r="V328" s="4" t="str">
        <f t="shared" si="27"/>
        <v>0</v>
      </c>
      <c r="W328" s="4" t="str">
        <f t="shared" si="28"/>
        <v>7</v>
      </c>
      <c r="X328" s="4" t="str">
        <f t="shared" si="29"/>
        <v>0FAMILY7</v>
      </c>
      <c r="Y328">
        <f>VLOOKUP(X328,Sheet1!$J$5:$K$121,2,FALSE)</f>
        <v>0</v>
      </c>
    </row>
    <row r="329" spans="1:25" x14ac:dyDescent="0.25">
      <c r="A329" s="8">
        <f>[1]Data!A329</f>
        <v>601401</v>
      </c>
      <c r="B329" s="8">
        <f>[1]Data!B329</f>
        <v>8</v>
      </c>
      <c r="C329" s="8">
        <f>[1]Data!C329</f>
        <v>0</v>
      </c>
      <c r="D329" s="8">
        <f>[1]Data!D329</f>
        <v>2</v>
      </c>
      <c r="E329" s="8" t="str">
        <f>[1]Data!E329</f>
        <v>FAMILY</v>
      </c>
      <c r="F329" s="8" t="str">
        <f>[1]Data!F329</f>
        <v>Inglewood</v>
      </c>
      <c r="G329" s="8">
        <f>[1]Data!G329</f>
        <v>1</v>
      </c>
      <c r="H329" s="8">
        <f>[1]Data!H329</f>
        <v>1</v>
      </c>
      <c r="I329" s="8">
        <f>[1]Data!I329</f>
        <v>4.0209999999999999</v>
      </c>
      <c r="J329" s="8">
        <f>[1]Data!J329</f>
        <v>3.8885795999999999</v>
      </c>
      <c r="K329" s="8">
        <f>[1]Data!K329</f>
        <v>3.8885795999999999</v>
      </c>
      <c r="L329" s="8">
        <f>[1]Data!L329</f>
        <v>3.13179792346499</v>
      </c>
      <c r="M329" s="8">
        <f>[1]Data!M329</f>
        <v>7.0203775234649903</v>
      </c>
      <c r="N329" s="8">
        <f>[1]Data!N329</f>
        <v>1</v>
      </c>
      <c r="O329" s="8">
        <f>[1]Data!O329</f>
        <v>1</v>
      </c>
      <c r="P329" s="8">
        <f>[1]Data!P329</f>
        <v>0</v>
      </c>
      <c r="Q329" s="8">
        <f>[1]Data!Q329</f>
        <v>0</v>
      </c>
      <c r="R329" s="8">
        <f>[1]Data!R329</f>
        <v>0</v>
      </c>
      <c r="S329" s="8">
        <f>[1]Data!S329</f>
        <v>0</v>
      </c>
      <c r="T329">
        <f t="shared" si="25"/>
        <v>1</v>
      </c>
      <c r="U329">
        <f t="shared" si="26"/>
        <v>1</v>
      </c>
      <c r="V329" s="4" t="str">
        <f t="shared" si="27"/>
        <v>0</v>
      </c>
      <c r="W329" s="4" t="str">
        <f t="shared" si="28"/>
        <v>8</v>
      </c>
      <c r="X329" s="4" t="str">
        <f t="shared" si="29"/>
        <v>0FAMILY8</v>
      </c>
      <c r="Y329">
        <f>VLOOKUP(X329,Sheet1!$J$5:$K$121,2,FALSE)</f>
        <v>0</v>
      </c>
    </row>
    <row r="330" spans="1:25" x14ac:dyDescent="0.25">
      <c r="A330" s="8">
        <f>[1]Data!A330</f>
        <v>603006</v>
      </c>
      <c r="B330" s="8">
        <f>[1]Data!B330</f>
        <v>8</v>
      </c>
      <c r="C330" s="8">
        <f>[1]Data!C330</f>
        <v>0</v>
      </c>
      <c r="D330" s="8">
        <f>[1]Data!D330</f>
        <v>2</v>
      </c>
      <c r="E330" s="8" t="str">
        <f>[1]Data!E330</f>
        <v>FAMILY</v>
      </c>
      <c r="F330" s="8" t="str">
        <f>[1]Data!F330</f>
        <v>Gardena</v>
      </c>
      <c r="G330" s="8">
        <f>[1]Data!G330</f>
        <v>1</v>
      </c>
      <c r="H330" s="8">
        <f>[1]Data!H330</f>
        <v>1</v>
      </c>
      <c r="I330" s="8">
        <f>[1]Data!I330</f>
        <v>2</v>
      </c>
      <c r="J330" s="8">
        <f>[1]Data!J330</f>
        <v>0</v>
      </c>
      <c r="K330" s="8">
        <f>[1]Data!K330</f>
        <v>2</v>
      </c>
      <c r="L330" s="8">
        <f>[1]Data!L330</f>
        <v>0</v>
      </c>
      <c r="M330" s="8">
        <f>[1]Data!M330</f>
        <v>2</v>
      </c>
      <c r="N330" s="8">
        <f>[1]Data!N330</f>
        <v>1</v>
      </c>
      <c r="O330" s="8">
        <f>[1]Data!O330</f>
        <v>1</v>
      </c>
      <c r="P330" s="8">
        <f>[1]Data!P330</f>
        <v>0</v>
      </c>
      <c r="Q330" s="8">
        <f>[1]Data!Q330</f>
        <v>0</v>
      </c>
      <c r="R330" s="8">
        <f>[1]Data!R330</f>
        <v>0</v>
      </c>
      <c r="S330" s="8">
        <f>[1]Data!S330</f>
        <v>0</v>
      </c>
      <c r="T330">
        <f t="shared" si="25"/>
        <v>1</v>
      </c>
      <c r="U330">
        <f t="shared" si="26"/>
        <v>1</v>
      </c>
      <c r="V330" s="4" t="str">
        <f t="shared" si="27"/>
        <v>0</v>
      </c>
      <c r="W330" s="4" t="str">
        <f t="shared" si="28"/>
        <v>8</v>
      </c>
      <c r="X330" s="4" t="str">
        <f t="shared" si="29"/>
        <v>0FAMILY8</v>
      </c>
      <c r="Y330">
        <f>VLOOKUP(X330,Sheet1!$J$5:$K$121,2,FALSE)</f>
        <v>0</v>
      </c>
    </row>
    <row r="331" spans="1:25" x14ac:dyDescent="0.25">
      <c r="A331" s="8">
        <f>[1]Data!A331</f>
        <v>603301</v>
      </c>
      <c r="B331" s="8">
        <f>[1]Data!B331</f>
        <v>8</v>
      </c>
      <c r="C331" s="8">
        <f>[1]Data!C331</f>
        <v>0</v>
      </c>
      <c r="D331" s="8">
        <f>[1]Data!D331</f>
        <v>2</v>
      </c>
      <c r="E331" s="8" t="str">
        <f>[1]Data!E331</f>
        <v>FAMILY</v>
      </c>
      <c r="F331" s="8" t="str">
        <f>[1]Data!F331</f>
        <v>Gardena</v>
      </c>
      <c r="G331" s="8">
        <f>[1]Data!G331</f>
        <v>1</v>
      </c>
      <c r="H331" s="8">
        <f>[1]Data!H331</f>
        <v>1</v>
      </c>
      <c r="I331" s="8">
        <f>[1]Data!I331</f>
        <v>0</v>
      </c>
      <c r="J331" s="8">
        <f>[1]Data!J331</f>
        <v>0</v>
      </c>
      <c r="K331" s="8">
        <f>[1]Data!K331</f>
        <v>0</v>
      </c>
      <c r="L331" s="8">
        <f>[1]Data!L331</f>
        <v>0</v>
      </c>
      <c r="M331" s="8">
        <f>[1]Data!M331</f>
        <v>0</v>
      </c>
      <c r="N331" s="8">
        <f>[1]Data!N331</f>
        <v>1</v>
      </c>
      <c r="O331" s="8">
        <f>[1]Data!O331</f>
        <v>1</v>
      </c>
      <c r="P331" s="8">
        <f>[1]Data!P331</f>
        <v>0</v>
      </c>
      <c r="Q331" s="8">
        <f>[1]Data!Q331</f>
        <v>0</v>
      </c>
      <c r="R331" s="8">
        <f>[1]Data!R331</f>
        <v>0</v>
      </c>
      <c r="S331" s="8">
        <f>[1]Data!S331</f>
        <v>0</v>
      </c>
      <c r="T331">
        <f t="shared" si="25"/>
        <v>1</v>
      </c>
      <c r="U331">
        <f t="shared" si="26"/>
        <v>1</v>
      </c>
      <c r="V331" s="4" t="str">
        <f t="shared" si="27"/>
        <v>0</v>
      </c>
      <c r="W331" s="4" t="str">
        <f t="shared" si="28"/>
        <v>8</v>
      </c>
      <c r="X331" s="4" t="str">
        <f t="shared" si="29"/>
        <v>0FAMILY8</v>
      </c>
      <c r="Y331">
        <f>VLOOKUP(X331,Sheet1!$J$5:$K$121,2,FALSE)</f>
        <v>0</v>
      </c>
    </row>
    <row r="332" spans="1:25" x14ac:dyDescent="0.25">
      <c r="A332" s="8">
        <f>[1]Data!A332</f>
        <v>670416</v>
      </c>
      <c r="B332" s="8">
        <f>[1]Data!B332</f>
        <v>8</v>
      </c>
      <c r="C332" s="8">
        <f>[1]Data!C332</f>
        <v>0</v>
      </c>
      <c r="D332" s="8">
        <f>[1]Data!D332</f>
        <v>4</v>
      </c>
      <c r="E332" s="8" t="str">
        <f>[1]Data!E332</f>
        <v>FAMILY</v>
      </c>
      <c r="F332" s="8" t="str">
        <f>[1]Data!F332</f>
        <v>Rancho Palos Verdes</v>
      </c>
      <c r="G332" s="8">
        <f>[1]Data!G332</f>
        <v>1</v>
      </c>
      <c r="H332" s="8">
        <f>[1]Data!H332</f>
        <v>1</v>
      </c>
      <c r="I332" s="8">
        <f>[1]Data!I332</f>
        <v>0</v>
      </c>
      <c r="J332" s="8">
        <f>[1]Data!J332</f>
        <v>0</v>
      </c>
      <c r="K332" s="8">
        <f>[1]Data!K332</f>
        <v>0</v>
      </c>
      <c r="L332" s="8">
        <f>[1]Data!L332</f>
        <v>0</v>
      </c>
      <c r="M332" s="8">
        <f>[1]Data!M332</f>
        <v>0</v>
      </c>
      <c r="N332" s="8">
        <f>[1]Data!N332</f>
        <v>1</v>
      </c>
      <c r="O332" s="8">
        <f>[1]Data!O332</f>
        <v>1</v>
      </c>
      <c r="P332" s="8">
        <f>[1]Data!P332</f>
        <v>0</v>
      </c>
      <c r="Q332" s="8">
        <f>[1]Data!Q332</f>
        <v>0</v>
      </c>
      <c r="R332" s="8">
        <f>[1]Data!R332</f>
        <v>0</v>
      </c>
      <c r="S332" s="8">
        <f>[1]Data!S332</f>
        <v>0</v>
      </c>
      <c r="T332">
        <f t="shared" si="25"/>
        <v>1</v>
      </c>
      <c r="U332">
        <f t="shared" si="26"/>
        <v>1</v>
      </c>
      <c r="V332" s="4" t="str">
        <f t="shared" si="27"/>
        <v>0</v>
      </c>
      <c r="W332" s="4" t="str">
        <f t="shared" si="28"/>
        <v>8</v>
      </c>
      <c r="X332" s="4" t="str">
        <f t="shared" si="29"/>
        <v>0FAMILY8</v>
      </c>
      <c r="Y332">
        <f>VLOOKUP(X332,Sheet1!$J$5:$K$121,2,FALSE)</f>
        <v>0</v>
      </c>
    </row>
    <row r="333" spans="1:25" x14ac:dyDescent="0.25">
      <c r="A333" s="8">
        <f>[1]Data!A333</f>
        <v>910706</v>
      </c>
      <c r="B333" s="8">
        <f>[1]Data!B333</f>
        <v>1</v>
      </c>
      <c r="C333" s="8">
        <f>[1]Data!C333</f>
        <v>0</v>
      </c>
      <c r="D333" s="8">
        <f>[1]Data!D333</f>
        <v>5</v>
      </c>
      <c r="E333" s="8" t="str">
        <f>[1]Data!E333</f>
        <v>INDIV</v>
      </c>
      <c r="F333" s="8" t="str">
        <f>[1]Data!F333</f>
        <v>Palmdale</v>
      </c>
      <c r="G333" s="8">
        <f>[1]Data!G333</f>
        <v>0</v>
      </c>
      <c r="H333" s="8">
        <f>[1]Data!H333</f>
        <v>0</v>
      </c>
      <c r="I333" s="8">
        <f>[1]Data!I333</f>
        <v>21.741</v>
      </c>
      <c r="J333" s="8">
        <f>[1]Data!J333</f>
        <v>15.158982310000001</v>
      </c>
      <c r="K333" s="8">
        <f>[1]Data!K333</f>
        <v>21.158982309999999</v>
      </c>
      <c r="L333" s="8">
        <f>[1]Data!L333</f>
        <v>0.58241849174147198</v>
      </c>
      <c r="M333" s="8">
        <f>[1]Data!M333</f>
        <v>21.741400801741499</v>
      </c>
      <c r="N333" s="8">
        <f>[1]Data!N333</f>
        <v>0.2</v>
      </c>
      <c r="O333" s="8">
        <f>[1]Data!O333</f>
        <v>0</v>
      </c>
      <c r="P333" s="8">
        <f>[1]Data!P333</f>
        <v>1</v>
      </c>
      <c r="Q333" s="8">
        <f>[1]Data!Q333</f>
        <v>0</v>
      </c>
      <c r="R333" s="8">
        <f>[1]Data!R333</f>
        <v>0</v>
      </c>
      <c r="S333" s="8">
        <f>[1]Data!S333</f>
        <v>0</v>
      </c>
      <c r="T333">
        <f t="shared" si="25"/>
        <v>0.2</v>
      </c>
      <c r="U333">
        <f t="shared" si="26"/>
        <v>0</v>
      </c>
      <c r="V333" s="4" t="str">
        <f t="shared" si="27"/>
        <v>0</v>
      </c>
      <c r="W333" s="4" t="str">
        <f t="shared" si="28"/>
        <v>1</v>
      </c>
      <c r="X333" s="4" t="str">
        <f t="shared" si="29"/>
        <v>0INDIV1</v>
      </c>
      <c r="Y333">
        <f>VLOOKUP(X333,Sheet1!$J$5:$K$121,2,FALSE)</f>
        <v>0</v>
      </c>
    </row>
    <row r="334" spans="1:25" x14ac:dyDescent="0.25">
      <c r="A334" s="8">
        <f>[1]Data!A334</f>
        <v>910811</v>
      </c>
      <c r="B334" s="8">
        <f>[1]Data!B334</f>
        <v>1</v>
      </c>
      <c r="C334" s="8">
        <f>[1]Data!C334</f>
        <v>0</v>
      </c>
      <c r="D334" s="8">
        <f>[1]Data!D334</f>
        <v>5</v>
      </c>
      <c r="E334" s="8" t="str">
        <f>[1]Data!E334</f>
        <v>INDIV</v>
      </c>
      <c r="F334" s="8" t="str">
        <f>[1]Data!F334</f>
        <v>Unincorporated Antelope Valley</v>
      </c>
      <c r="G334" s="8">
        <f>[1]Data!G334</f>
        <v>0</v>
      </c>
      <c r="H334" s="8">
        <f>[1]Data!H334</f>
        <v>0</v>
      </c>
      <c r="I334" s="8">
        <f>[1]Data!I334</f>
        <v>26.68</v>
      </c>
      <c r="J334" s="8">
        <f>[1]Data!J334</f>
        <v>13.92520753</v>
      </c>
      <c r="K334" s="8">
        <f>[1]Data!K334</f>
        <v>25.925207530000002</v>
      </c>
      <c r="L334" s="8">
        <f>[1]Data!L334</f>
        <v>0.75439119023339296</v>
      </c>
      <c r="M334" s="8">
        <f>[1]Data!M334</f>
        <v>26.6795987202334</v>
      </c>
      <c r="N334" s="8">
        <f>[1]Data!N334</f>
        <v>0.2</v>
      </c>
      <c r="O334" s="8">
        <f>[1]Data!O334</f>
        <v>0</v>
      </c>
      <c r="P334" s="8">
        <f>[1]Data!P334</f>
        <v>1</v>
      </c>
      <c r="Q334" s="8">
        <f>[1]Data!Q334</f>
        <v>0</v>
      </c>
      <c r="R334" s="8">
        <f>[1]Data!R334</f>
        <v>0</v>
      </c>
      <c r="S334" s="8">
        <f>[1]Data!S334</f>
        <v>0</v>
      </c>
      <c r="T334">
        <f t="shared" si="25"/>
        <v>0.2</v>
      </c>
      <c r="U334">
        <f t="shared" si="26"/>
        <v>0</v>
      </c>
      <c r="V334" s="4" t="str">
        <f t="shared" si="27"/>
        <v>0</v>
      </c>
      <c r="W334" s="4" t="str">
        <f t="shared" si="28"/>
        <v>1</v>
      </c>
      <c r="X334" s="4" t="str">
        <f t="shared" si="29"/>
        <v>0INDIV1</v>
      </c>
      <c r="Y334">
        <f>VLOOKUP(X334,Sheet1!$J$5:$K$121,2,FALSE)</f>
        <v>0</v>
      </c>
    </row>
    <row r="335" spans="1:25" x14ac:dyDescent="0.25">
      <c r="A335" s="8">
        <f>[1]Data!A335</f>
        <v>900701</v>
      </c>
      <c r="B335" s="8">
        <f>[1]Data!B335</f>
        <v>1</v>
      </c>
      <c r="C335" s="8">
        <f>[1]Data!C335</f>
        <v>0</v>
      </c>
      <c r="D335" s="8">
        <f>[1]Data!D335</f>
        <v>5</v>
      </c>
      <c r="E335" s="8" t="str">
        <f>[1]Data!E335</f>
        <v>INDIV</v>
      </c>
      <c r="F335" s="8" t="str">
        <f>[1]Data!F335</f>
        <v>Lancaster</v>
      </c>
      <c r="G335" s="8">
        <f>[1]Data!G335</f>
        <v>0</v>
      </c>
      <c r="H335" s="8">
        <f>[1]Data!H335</f>
        <v>0</v>
      </c>
      <c r="I335" s="8">
        <f>[1]Data!I335</f>
        <v>33.799999999999997</v>
      </c>
      <c r="J335" s="8">
        <f>[1]Data!J335</f>
        <v>23.646756480000001</v>
      </c>
      <c r="K335" s="8">
        <f>[1]Data!K335</f>
        <v>32.646756480000001</v>
      </c>
      <c r="L335" s="8">
        <f>[1]Data!L335</f>
        <v>1.15297665798923</v>
      </c>
      <c r="M335" s="8">
        <f>[1]Data!M335</f>
        <v>33.7997331379892</v>
      </c>
      <c r="N335" s="8">
        <f>[1]Data!N335</f>
        <v>0.2</v>
      </c>
      <c r="O335" s="8">
        <f>[1]Data!O335</f>
        <v>0</v>
      </c>
      <c r="P335" s="8">
        <f>[1]Data!P335</f>
        <v>1</v>
      </c>
      <c r="Q335" s="8">
        <f>[1]Data!Q335</f>
        <v>0</v>
      </c>
      <c r="R335" s="8">
        <f>[1]Data!R335</f>
        <v>0</v>
      </c>
      <c r="S335" s="8">
        <f>[1]Data!S335</f>
        <v>0</v>
      </c>
      <c r="T335">
        <f t="shared" si="25"/>
        <v>0.2</v>
      </c>
      <c r="U335">
        <f t="shared" si="26"/>
        <v>0</v>
      </c>
      <c r="V335" s="4" t="str">
        <f t="shared" si="27"/>
        <v>0</v>
      </c>
      <c r="W335" s="4" t="str">
        <f t="shared" si="28"/>
        <v>1</v>
      </c>
      <c r="X335" s="4" t="str">
        <f t="shared" si="29"/>
        <v>0INDIV1</v>
      </c>
      <c r="Y335">
        <f>VLOOKUP(X335,Sheet1!$J$5:$K$121,2,FALSE)</f>
        <v>0</v>
      </c>
    </row>
    <row r="336" spans="1:25" x14ac:dyDescent="0.25">
      <c r="A336" s="8">
        <f>[1]Data!A336</f>
        <v>910502</v>
      </c>
      <c r="B336" s="8">
        <f>[1]Data!B336</f>
        <v>1</v>
      </c>
      <c r="C336" s="8">
        <f>[1]Data!C336</f>
        <v>0</v>
      </c>
      <c r="D336" s="8">
        <f>[1]Data!D336</f>
        <v>5</v>
      </c>
      <c r="E336" s="8" t="str">
        <f>[1]Data!E336</f>
        <v>INDIV</v>
      </c>
      <c r="F336" s="8" t="str">
        <f>[1]Data!F336</f>
        <v>Palmdale</v>
      </c>
      <c r="G336" s="8">
        <f>[1]Data!G336</f>
        <v>1</v>
      </c>
      <c r="H336" s="8">
        <f>[1]Data!H336</f>
        <v>1</v>
      </c>
      <c r="I336" s="8">
        <f>[1]Data!I336</f>
        <v>10.021000000000001</v>
      </c>
      <c r="J336" s="8">
        <f>[1]Data!J336</f>
        <v>3.8885795999999999</v>
      </c>
      <c r="K336" s="8">
        <f>[1]Data!K336</f>
        <v>9.8885795999999999</v>
      </c>
      <c r="L336" s="8">
        <f>[1]Data!L336</f>
        <v>0.131797923464991</v>
      </c>
      <c r="M336" s="8">
        <f>[1]Data!M336</f>
        <v>10.020377523464999</v>
      </c>
      <c r="N336" s="8">
        <f>[1]Data!N336</f>
        <v>0.2</v>
      </c>
      <c r="O336" s="8">
        <f>[1]Data!O336</f>
        <v>5</v>
      </c>
      <c r="P336" s="8">
        <f>[1]Data!P336</f>
        <v>1</v>
      </c>
      <c r="Q336" s="8">
        <f>[1]Data!Q336</f>
        <v>0</v>
      </c>
      <c r="R336" s="8">
        <f>[1]Data!R336</f>
        <v>0</v>
      </c>
      <c r="S336" s="8">
        <f>[1]Data!S336</f>
        <v>0</v>
      </c>
      <c r="T336">
        <f t="shared" si="25"/>
        <v>0.2</v>
      </c>
      <c r="U336">
        <f t="shared" si="26"/>
        <v>5</v>
      </c>
      <c r="V336" s="4" t="str">
        <f t="shared" si="27"/>
        <v>0</v>
      </c>
      <c r="W336" s="4" t="str">
        <f t="shared" si="28"/>
        <v>1</v>
      </c>
      <c r="X336" s="4" t="str">
        <f t="shared" si="29"/>
        <v>0INDIV1</v>
      </c>
      <c r="Y336">
        <f>VLOOKUP(X336,Sheet1!$J$5:$K$121,2,FALSE)</f>
        <v>0</v>
      </c>
    </row>
    <row r="337" spans="1:25" x14ac:dyDescent="0.25">
      <c r="A337" s="8">
        <f>[1]Data!A337</f>
        <v>900803</v>
      </c>
      <c r="B337" s="8">
        <f>[1]Data!B337</f>
        <v>1</v>
      </c>
      <c r="C337" s="8">
        <f>[1]Data!C337</f>
        <v>0</v>
      </c>
      <c r="D337" s="8">
        <f>[1]Data!D337</f>
        <v>5</v>
      </c>
      <c r="E337" s="8" t="str">
        <f>[1]Data!E337</f>
        <v>INDIV</v>
      </c>
      <c r="F337" s="8" t="str">
        <f>[1]Data!F337</f>
        <v>Lancaster</v>
      </c>
      <c r="G337" s="8">
        <f>[1]Data!G337</f>
        <v>0</v>
      </c>
      <c r="H337" s="8">
        <f>[1]Data!H337</f>
        <v>0</v>
      </c>
      <c r="I337" s="8">
        <f>[1]Data!I337</f>
        <v>33.798000000000002</v>
      </c>
      <c r="J337" s="8">
        <f>[1]Data!J337</f>
        <v>14.096955299999999</v>
      </c>
      <c r="K337" s="8">
        <f>[1]Data!K337</f>
        <v>33.096955299999998</v>
      </c>
      <c r="L337" s="8">
        <f>[1]Data!L337</f>
        <v>0.70003100202872504</v>
      </c>
      <c r="M337" s="8">
        <f>[1]Data!M337</f>
        <v>33.796986302028699</v>
      </c>
      <c r="N337" s="8">
        <f>[1]Data!N337</f>
        <v>0.2</v>
      </c>
      <c r="O337" s="8">
        <f>[1]Data!O337</f>
        <v>0</v>
      </c>
      <c r="P337" s="8">
        <f>[1]Data!P337</f>
        <v>1</v>
      </c>
      <c r="Q337" s="8">
        <f>[1]Data!Q337</f>
        <v>0</v>
      </c>
      <c r="R337" s="8">
        <f>[1]Data!R337</f>
        <v>0</v>
      </c>
      <c r="S337" s="8">
        <f>[1]Data!S337</f>
        <v>0</v>
      </c>
      <c r="T337">
        <f t="shared" si="25"/>
        <v>0.2</v>
      </c>
      <c r="U337">
        <f t="shared" si="26"/>
        <v>0</v>
      </c>
      <c r="V337" s="4" t="str">
        <f t="shared" si="27"/>
        <v>0</v>
      </c>
      <c r="W337" s="4" t="str">
        <f t="shared" si="28"/>
        <v>1</v>
      </c>
      <c r="X337" s="4" t="str">
        <f t="shared" si="29"/>
        <v>0INDIV1</v>
      </c>
      <c r="Y337">
        <f>VLOOKUP(X337,Sheet1!$J$5:$K$121,2,FALSE)</f>
        <v>0</v>
      </c>
    </row>
    <row r="338" spans="1:25" x14ac:dyDescent="0.25">
      <c r="A338" s="8">
        <f>[1]Data!A338</f>
        <v>910809</v>
      </c>
      <c r="B338" s="8">
        <f>[1]Data!B338</f>
        <v>2</v>
      </c>
      <c r="C338" s="8">
        <f>[1]Data!C338</f>
        <v>0</v>
      </c>
      <c r="D338" s="8">
        <f>[1]Data!D338</f>
        <v>5</v>
      </c>
      <c r="E338" s="8" t="str">
        <f>[1]Data!E338</f>
        <v>INDIV</v>
      </c>
      <c r="F338" s="8" t="str">
        <f>[1]Data!F338</f>
        <v>Santa Clarita</v>
      </c>
      <c r="G338" s="8">
        <f>[1]Data!G338</f>
        <v>0</v>
      </c>
      <c r="H338" s="8">
        <f>[1]Data!H338</f>
        <v>0</v>
      </c>
      <c r="I338" s="8">
        <f>[1]Data!I338</f>
        <v>4.1900000000000004</v>
      </c>
      <c r="J338" s="8">
        <f>[1]Data!J338</f>
        <v>3.9673993200000002</v>
      </c>
      <c r="K338" s="8">
        <f>[1]Data!K338</f>
        <v>3.9673993200000002</v>
      </c>
      <c r="L338" s="8">
        <f>[1]Data!L338</f>
        <v>0.22234520276481101</v>
      </c>
      <c r="M338" s="8">
        <f>[1]Data!M338</f>
        <v>4.1897445227648102</v>
      </c>
      <c r="N338" s="8">
        <f>[1]Data!N338</f>
        <v>4.8387096774193498E-2</v>
      </c>
      <c r="O338" s="8">
        <f>[1]Data!O338</f>
        <v>0</v>
      </c>
      <c r="P338" s="8">
        <f>[1]Data!P338</f>
        <v>0.27419354838709697</v>
      </c>
      <c r="Q338" s="8">
        <f>[1]Data!Q338</f>
        <v>0</v>
      </c>
      <c r="R338" s="8">
        <f>[1]Data!R338</f>
        <v>0</v>
      </c>
      <c r="S338" s="8">
        <f>[1]Data!S338</f>
        <v>0</v>
      </c>
      <c r="T338">
        <f t="shared" si="25"/>
        <v>4.8387096774193498E-2</v>
      </c>
      <c r="U338">
        <f t="shared" si="26"/>
        <v>0</v>
      </c>
      <c r="V338" s="4" t="str">
        <f t="shared" si="27"/>
        <v>0</v>
      </c>
      <c r="W338" s="4" t="str">
        <f t="shared" si="28"/>
        <v>2</v>
      </c>
      <c r="X338" s="4" t="str">
        <f t="shared" si="29"/>
        <v>0INDIV2</v>
      </c>
      <c r="Y338">
        <f>VLOOKUP(X338,Sheet1!$J$5:$K$121,2,FALSE)</f>
        <v>0</v>
      </c>
    </row>
    <row r="339" spans="1:25" x14ac:dyDescent="0.25">
      <c r="A339" s="8">
        <f>[1]Data!A339</f>
        <v>310602</v>
      </c>
      <c r="B339" s="8">
        <f>[1]Data!B339</f>
        <v>2</v>
      </c>
      <c r="C339" s="8">
        <f>[1]Data!C339</f>
        <v>0</v>
      </c>
      <c r="D339" s="8">
        <f>[1]Data!D339</f>
        <v>5</v>
      </c>
      <c r="E339" s="8" t="str">
        <f>[1]Data!E339</f>
        <v>INDIV</v>
      </c>
      <c r="F339" s="8" t="str">
        <f>[1]Data!F339</f>
        <v>Burbank</v>
      </c>
      <c r="G339" s="8">
        <f>[1]Data!G339</f>
        <v>0</v>
      </c>
      <c r="H339" s="8">
        <f>[1]Data!H339</f>
        <v>0</v>
      </c>
      <c r="I339" s="8">
        <f>[1]Data!I339</f>
        <v>2</v>
      </c>
      <c r="J339" s="8">
        <f>[1]Data!J339</f>
        <v>0</v>
      </c>
      <c r="K339" s="8">
        <f>[1]Data!K339</f>
        <v>2</v>
      </c>
      <c r="L339" s="8">
        <f>[1]Data!L339</f>
        <v>0</v>
      </c>
      <c r="M339" s="8">
        <f>[1]Data!M339</f>
        <v>2</v>
      </c>
      <c r="N339" s="8">
        <f>[1]Data!N339</f>
        <v>4.8387096774193498E-2</v>
      </c>
      <c r="O339" s="8">
        <f>[1]Data!O339</f>
        <v>0</v>
      </c>
      <c r="P339" s="8">
        <f>[1]Data!P339</f>
        <v>0.27419354838709697</v>
      </c>
      <c r="Q339" s="8">
        <f>[1]Data!Q339</f>
        <v>0</v>
      </c>
      <c r="R339" s="8">
        <f>[1]Data!R339</f>
        <v>0</v>
      </c>
      <c r="S339" s="8">
        <f>[1]Data!S339</f>
        <v>0</v>
      </c>
      <c r="T339">
        <f t="shared" si="25"/>
        <v>4.8387096774193498E-2</v>
      </c>
      <c r="U339">
        <f t="shared" si="26"/>
        <v>0</v>
      </c>
      <c r="V339" s="4" t="str">
        <f t="shared" si="27"/>
        <v>0</v>
      </c>
      <c r="W339" s="4" t="str">
        <f t="shared" si="28"/>
        <v>2</v>
      </c>
      <c r="X339" s="4" t="str">
        <f t="shared" si="29"/>
        <v>0INDIV2</v>
      </c>
      <c r="Y339">
        <f>VLOOKUP(X339,Sheet1!$J$5:$K$121,2,FALSE)</f>
        <v>0</v>
      </c>
    </row>
    <row r="340" spans="1:25" x14ac:dyDescent="0.25">
      <c r="A340" s="8">
        <f>[1]Data!A340</f>
        <v>920104</v>
      </c>
      <c r="B340" s="8">
        <f>[1]Data!B340</f>
        <v>2</v>
      </c>
      <c r="C340" s="8">
        <f>[1]Data!C340</f>
        <v>0</v>
      </c>
      <c r="D340" s="8">
        <f>[1]Data!D340</f>
        <v>5</v>
      </c>
      <c r="E340" s="8" t="str">
        <f>[1]Data!E340</f>
        <v>INDIV</v>
      </c>
      <c r="F340" s="8" t="str">
        <f>[1]Data!F340</f>
        <v>Agua Dulce</v>
      </c>
      <c r="G340" s="8">
        <f>[1]Data!G340</f>
        <v>0</v>
      </c>
      <c r="H340" s="8">
        <f>[1]Data!H340</f>
        <v>0</v>
      </c>
      <c r="I340" s="8">
        <f>[1]Data!I340</f>
        <v>18.995000000000001</v>
      </c>
      <c r="J340" s="8">
        <f>[1]Data!J340</f>
        <v>10.502311300000001</v>
      </c>
      <c r="K340" s="8">
        <f>[1]Data!K340</f>
        <v>18.502311299999999</v>
      </c>
      <c r="L340" s="8">
        <f>[1]Data!L340</f>
        <v>0.49176658271095203</v>
      </c>
      <c r="M340" s="8">
        <f>[1]Data!M340</f>
        <v>18.994077882711</v>
      </c>
      <c r="N340" s="8">
        <f>[1]Data!N340</f>
        <v>4.8387096774193498E-2</v>
      </c>
      <c r="O340" s="8">
        <f>[1]Data!O340</f>
        <v>0</v>
      </c>
      <c r="P340" s="8">
        <f>[1]Data!P340</f>
        <v>0.27419354838709697</v>
      </c>
      <c r="Q340" s="8">
        <f>[1]Data!Q340</f>
        <v>0</v>
      </c>
      <c r="R340" s="8">
        <f>[1]Data!R340</f>
        <v>0</v>
      </c>
      <c r="S340" s="8">
        <f>[1]Data!S340</f>
        <v>0</v>
      </c>
      <c r="T340">
        <f t="shared" si="25"/>
        <v>4.8387096774193498E-2</v>
      </c>
      <c r="U340">
        <f t="shared" si="26"/>
        <v>0</v>
      </c>
      <c r="V340" s="4" t="str">
        <f t="shared" si="27"/>
        <v>0</v>
      </c>
      <c r="W340" s="4" t="str">
        <f t="shared" si="28"/>
        <v>2</v>
      </c>
      <c r="X340" s="4" t="str">
        <f t="shared" si="29"/>
        <v>0INDIV2</v>
      </c>
      <c r="Y340">
        <f>VLOOKUP(X340,Sheet1!$J$5:$K$121,2,FALSE)</f>
        <v>0</v>
      </c>
    </row>
    <row r="341" spans="1:25" x14ac:dyDescent="0.25">
      <c r="A341" s="8">
        <f>[1]Data!A341</f>
        <v>920040</v>
      </c>
      <c r="B341" s="8">
        <f>[1]Data!B341</f>
        <v>2</v>
      </c>
      <c r="C341" s="8">
        <f>[1]Data!C341</f>
        <v>0</v>
      </c>
      <c r="D341" s="8">
        <f>[1]Data!D341</f>
        <v>5</v>
      </c>
      <c r="E341" s="8" t="str">
        <f>[1]Data!E341</f>
        <v>INDIV</v>
      </c>
      <c r="F341" s="8" t="str">
        <f>[1]Data!F341</f>
        <v>Santa Clarita</v>
      </c>
      <c r="G341" s="8">
        <f>[1]Data!G341</f>
        <v>0</v>
      </c>
      <c r="H341" s="8">
        <f>[1]Data!H341</f>
        <v>0</v>
      </c>
      <c r="I341" s="8">
        <f>[1]Data!I341</f>
        <v>13.77</v>
      </c>
      <c r="J341" s="8">
        <f>[1]Data!J341</f>
        <v>10.0181212</v>
      </c>
      <c r="K341" s="8">
        <f>[1]Data!K341</f>
        <v>13.0181212</v>
      </c>
      <c r="L341" s="8">
        <f>[1]Data!L341</f>
        <v>0.75168673147217202</v>
      </c>
      <c r="M341" s="8">
        <f>[1]Data!M341</f>
        <v>13.769807931472201</v>
      </c>
      <c r="N341" s="8">
        <f>[1]Data!N341</f>
        <v>4.8387096774193498E-2</v>
      </c>
      <c r="O341" s="8">
        <f>[1]Data!O341</f>
        <v>0</v>
      </c>
      <c r="P341" s="8">
        <f>[1]Data!P341</f>
        <v>0.27419354838709697</v>
      </c>
      <c r="Q341" s="8">
        <f>[1]Data!Q341</f>
        <v>0</v>
      </c>
      <c r="R341" s="8">
        <f>[1]Data!R341</f>
        <v>0</v>
      </c>
      <c r="S341" s="8">
        <f>[1]Data!S341</f>
        <v>0</v>
      </c>
      <c r="T341">
        <f t="shared" si="25"/>
        <v>4.8387096774193498E-2</v>
      </c>
      <c r="U341">
        <f t="shared" si="26"/>
        <v>0</v>
      </c>
      <c r="V341" s="4" t="str">
        <f t="shared" si="27"/>
        <v>0</v>
      </c>
      <c r="W341" s="4" t="str">
        <f t="shared" si="28"/>
        <v>2</v>
      </c>
      <c r="X341" s="4" t="str">
        <f t="shared" si="29"/>
        <v>0INDIV2</v>
      </c>
      <c r="Y341">
        <f>VLOOKUP(X341,Sheet1!$J$5:$K$121,2,FALSE)</f>
        <v>0</v>
      </c>
    </row>
    <row r="342" spans="1:25" x14ac:dyDescent="0.25">
      <c r="A342" s="8">
        <f>[1]Data!A342</f>
        <v>320300</v>
      </c>
      <c r="B342" s="8">
        <f>[1]Data!B342</f>
        <v>2</v>
      </c>
      <c r="C342" s="8">
        <f>[1]Data!C342</f>
        <v>0</v>
      </c>
      <c r="D342" s="8">
        <f>[1]Data!D342</f>
        <v>3</v>
      </c>
      <c r="E342" s="8" t="str">
        <f>[1]Data!E342</f>
        <v>INDIV</v>
      </c>
      <c r="F342" s="8" t="str">
        <f>[1]Data!F342</f>
        <v>San Fernando</v>
      </c>
      <c r="G342" s="8">
        <f>[1]Data!G342</f>
        <v>0</v>
      </c>
      <c r="H342" s="8">
        <f>[1]Data!H342</f>
        <v>0</v>
      </c>
      <c r="I342" s="8">
        <f>[1]Data!I342</f>
        <v>11.707000000000001</v>
      </c>
      <c r="J342" s="8">
        <f>[1]Data!J342</f>
        <v>7.31147583</v>
      </c>
      <c r="K342" s="8">
        <f>[1]Data!K342</f>
        <v>11.311475829999999</v>
      </c>
      <c r="L342" s="8">
        <f>[1]Data!L342</f>
        <v>0.39442253098743302</v>
      </c>
      <c r="M342" s="8">
        <f>[1]Data!M342</f>
        <v>11.705898360987399</v>
      </c>
      <c r="N342" s="8">
        <f>[1]Data!N342</f>
        <v>4.8387096774193498E-2</v>
      </c>
      <c r="O342" s="8">
        <f>[1]Data!O342</f>
        <v>0</v>
      </c>
      <c r="P342" s="8">
        <f>[1]Data!P342</f>
        <v>0.27419354838709697</v>
      </c>
      <c r="Q342" s="8">
        <f>[1]Data!Q342</f>
        <v>0</v>
      </c>
      <c r="R342" s="8">
        <f>[1]Data!R342</f>
        <v>0</v>
      </c>
      <c r="S342" s="8">
        <f>[1]Data!S342</f>
        <v>0</v>
      </c>
      <c r="T342">
        <f t="shared" si="25"/>
        <v>4.8387096774193498E-2</v>
      </c>
      <c r="U342">
        <f t="shared" si="26"/>
        <v>0</v>
      </c>
      <c r="V342" s="4" t="str">
        <f t="shared" si="27"/>
        <v>0</v>
      </c>
      <c r="W342" s="4" t="str">
        <f t="shared" si="28"/>
        <v>2</v>
      </c>
      <c r="X342" s="4" t="str">
        <f t="shared" si="29"/>
        <v>0INDIV2</v>
      </c>
      <c r="Y342">
        <f>VLOOKUP(X342,Sheet1!$J$5:$K$121,2,FALSE)</f>
        <v>0</v>
      </c>
    </row>
    <row r="343" spans="1:25" x14ac:dyDescent="0.25">
      <c r="A343" s="8">
        <f>[1]Data!A343</f>
        <v>920336</v>
      </c>
      <c r="B343" s="8">
        <f>[1]Data!B343</f>
        <v>2</v>
      </c>
      <c r="C343" s="8">
        <f>[1]Data!C343</f>
        <v>0</v>
      </c>
      <c r="D343" s="8">
        <f>[1]Data!D343</f>
        <v>5</v>
      </c>
      <c r="E343" s="8" t="str">
        <f>[1]Data!E343</f>
        <v>INDIV</v>
      </c>
      <c r="F343" s="8" t="str">
        <f>[1]Data!F343</f>
        <v>Santa Clarita</v>
      </c>
      <c r="G343" s="8">
        <f>[1]Data!G343</f>
        <v>0</v>
      </c>
      <c r="H343" s="8">
        <f>[1]Data!H343</f>
        <v>0</v>
      </c>
      <c r="I343" s="8">
        <f>[1]Data!I343</f>
        <v>0</v>
      </c>
      <c r="J343" s="8">
        <f>[1]Data!J343</f>
        <v>0</v>
      </c>
      <c r="K343" s="8">
        <f>[1]Data!K343</f>
        <v>0</v>
      </c>
      <c r="L343" s="8">
        <f>[1]Data!L343</f>
        <v>0</v>
      </c>
      <c r="M343" s="8">
        <f>[1]Data!M343</f>
        <v>0</v>
      </c>
      <c r="N343" s="8">
        <f>[1]Data!N343</f>
        <v>4.8387096774193498E-2</v>
      </c>
      <c r="O343" s="8">
        <f>[1]Data!O343</f>
        <v>0</v>
      </c>
      <c r="P343" s="8">
        <f>[1]Data!P343</f>
        <v>0.27419354838709697</v>
      </c>
      <c r="Q343" s="8">
        <f>[1]Data!Q343</f>
        <v>0</v>
      </c>
      <c r="R343" s="8">
        <f>[1]Data!R343</f>
        <v>0</v>
      </c>
      <c r="S343" s="8">
        <f>[1]Data!S343</f>
        <v>0</v>
      </c>
      <c r="T343">
        <f t="shared" si="25"/>
        <v>4.8387096774193498E-2</v>
      </c>
      <c r="U343">
        <f t="shared" si="26"/>
        <v>0</v>
      </c>
      <c r="V343" s="4" t="str">
        <f t="shared" si="27"/>
        <v>0</v>
      </c>
      <c r="W343" s="4" t="str">
        <f t="shared" si="28"/>
        <v>2</v>
      </c>
      <c r="X343" s="4" t="str">
        <f t="shared" si="29"/>
        <v>0INDIV2</v>
      </c>
      <c r="Y343">
        <f>VLOOKUP(X343,Sheet1!$J$5:$K$121,2,FALSE)</f>
        <v>0</v>
      </c>
    </row>
    <row r="344" spans="1:25" x14ac:dyDescent="0.25">
      <c r="A344" s="8">
        <f>[1]Data!A344</f>
        <v>920036</v>
      </c>
      <c r="B344" s="8">
        <f>[1]Data!B344</f>
        <v>2</v>
      </c>
      <c r="C344" s="8">
        <f>[1]Data!C344</f>
        <v>0</v>
      </c>
      <c r="D344" s="8">
        <f>[1]Data!D344</f>
        <v>5</v>
      </c>
      <c r="E344" s="8" t="str">
        <f>[1]Data!E344</f>
        <v>INDIV</v>
      </c>
      <c r="F344" s="8" t="str">
        <f>[1]Data!F344</f>
        <v>Santa Clarita</v>
      </c>
      <c r="G344" s="8">
        <f>[1]Data!G344</f>
        <v>0</v>
      </c>
      <c r="H344" s="8">
        <f>[1]Data!H344</f>
        <v>0</v>
      </c>
      <c r="I344" s="8">
        <f>[1]Data!I344</f>
        <v>0</v>
      </c>
      <c r="J344" s="8">
        <f>[1]Data!J344</f>
        <v>0</v>
      </c>
      <c r="K344" s="8">
        <f>[1]Data!K344</f>
        <v>0</v>
      </c>
      <c r="L344" s="8">
        <f>[1]Data!L344</f>
        <v>0</v>
      </c>
      <c r="M344" s="8">
        <f>[1]Data!M344</f>
        <v>0</v>
      </c>
      <c r="N344" s="8">
        <f>[1]Data!N344</f>
        <v>4.8387096774193498E-2</v>
      </c>
      <c r="O344" s="8">
        <f>[1]Data!O344</f>
        <v>0</v>
      </c>
      <c r="P344" s="8">
        <f>[1]Data!P344</f>
        <v>0.27419354838709697</v>
      </c>
      <c r="Q344" s="8">
        <f>[1]Data!Q344</f>
        <v>0</v>
      </c>
      <c r="R344" s="8">
        <f>[1]Data!R344</f>
        <v>0</v>
      </c>
      <c r="S344" s="8">
        <f>[1]Data!S344</f>
        <v>0</v>
      </c>
      <c r="T344">
        <f t="shared" si="25"/>
        <v>4.8387096774193498E-2</v>
      </c>
      <c r="U344">
        <f t="shared" si="26"/>
        <v>0</v>
      </c>
      <c r="V344" s="4" t="str">
        <f t="shared" si="27"/>
        <v>0</v>
      </c>
      <c r="W344" s="4" t="str">
        <f t="shared" si="28"/>
        <v>2</v>
      </c>
      <c r="X344" s="4" t="str">
        <f t="shared" si="29"/>
        <v>0INDIV2</v>
      </c>
      <c r="Y344">
        <f>VLOOKUP(X344,Sheet1!$J$5:$K$121,2,FALSE)</f>
        <v>0</v>
      </c>
    </row>
    <row r="345" spans="1:25" x14ac:dyDescent="0.25">
      <c r="A345" s="8">
        <f>[1]Data!A345</f>
        <v>311400</v>
      </c>
      <c r="B345" s="8">
        <f>[1]Data!B345</f>
        <v>2</v>
      </c>
      <c r="C345" s="8">
        <f>[1]Data!C345</f>
        <v>0</v>
      </c>
      <c r="D345" s="8">
        <f>[1]Data!D345</f>
        <v>5</v>
      </c>
      <c r="E345" s="8" t="str">
        <f>[1]Data!E345</f>
        <v>INDIV</v>
      </c>
      <c r="F345" s="8" t="str">
        <f>[1]Data!F345</f>
        <v>Burbank</v>
      </c>
      <c r="G345" s="8">
        <f>[1]Data!G345</f>
        <v>0</v>
      </c>
      <c r="H345" s="8">
        <f>[1]Data!H345</f>
        <v>0</v>
      </c>
      <c r="I345" s="8">
        <f>[1]Data!I345</f>
        <v>10.276</v>
      </c>
      <c r="J345" s="8">
        <f>[1]Data!J345</f>
        <v>4.8620928000000001</v>
      </c>
      <c r="K345" s="8">
        <f>[1]Data!K345</f>
        <v>9.8620927999999992</v>
      </c>
      <c r="L345" s="8">
        <f>[1]Data!L345</f>
        <v>0.414076613662478</v>
      </c>
      <c r="M345" s="8">
        <f>[1]Data!M345</f>
        <v>10.276169413662499</v>
      </c>
      <c r="N345" s="8">
        <f>[1]Data!N345</f>
        <v>4.8387096774193498E-2</v>
      </c>
      <c r="O345" s="8">
        <f>[1]Data!O345</f>
        <v>0</v>
      </c>
      <c r="P345" s="8">
        <f>[1]Data!P345</f>
        <v>0.27419354838709697</v>
      </c>
      <c r="Q345" s="8">
        <f>[1]Data!Q345</f>
        <v>0</v>
      </c>
      <c r="R345" s="8">
        <f>[1]Data!R345</f>
        <v>0</v>
      </c>
      <c r="S345" s="8">
        <f>[1]Data!S345</f>
        <v>0</v>
      </c>
      <c r="T345">
        <f t="shared" si="25"/>
        <v>4.8387096774193498E-2</v>
      </c>
      <c r="U345">
        <f t="shared" si="26"/>
        <v>0</v>
      </c>
      <c r="V345" s="4" t="str">
        <f t="shared" si="27"/>
        <v>0</v>
      </c>
      <c r="W345" s="4" t="str">
        <f t="shared" si="28"/>
        <v>2</v>
      </c>
      <c r="X345" s="4" t="str">
        <f t="shared" si="29"/>
        <v>0INDIV2</v>
      </c>
      <c r="Y345">
        <f>VLOOKUP(X345,Sheet1!$J$5:$K$121,2,FALSE)</f>
        <v>0</v>
      </c>
    </row>
    <row r="346" spans="1:25" x14ac:dyDescent="0.25">
      <c r="A346" s="8">
        <f>[1]Data!A346</f>
        <v>311000</v>
      </c>
      <c r="B346" s="8">
        <f>[1]Data!B346</f>
        <v>2</v>
      </c>
      <c r="C346" s="8">
        <f>[1]Data!C346</f>
        <v>0</v>
      </c>
      <c r="D346" s="8">
        <f>[1]Data!D346</f>
        <v>5</v>
      </c>
      <c r="E346" s="8" t="str">
        <f>[1]Data!E346</f>
        <v>INDIV</v>
      </c>
      <c r="F346" s="8" t="str">
        <f>[1]Data!F346</f>
        <v>Burbank</v>
      </c>
      <c r="G346" s="8">
        <f>[1]Data!G346</f>
        <v>0</v>
      </c>
      <c r="H346" s="8">
        <f>[1]Data!H346</f>
        <v>0</v>
      </c>
      <c r="I346" s="8">
        <f>[1]Data!I346</f>
        <v>5.5170000000000003</v>
      </c>
      <c r="J346" s="8">
        <f>[1]Data!J346</f>
        <v>3.3440765099999998</v>
      </c>
      <c r="K346" s="8">
        <f>[1]Data!K346</f>
        <v>5.3440765099999998</v>
      </c>
      <c r="L346" s="8">
        <f>[1]Data!L346</f>
        <v>0.17207732822262101</v>
      </c>
      <c r="M346" s="8">
        <f>[1]Data!M346</f>
        <v>5.5161538382226203</v>
      </c>
      <c r="N346" s="8">
        <f>[1]Data!N346</f>
        <v>4.8387096774193498E-2</v>
      </c>
      <c r="O346" s="8">
        <f>[1]Data!O346</f>
        <v>0</v>
      </c>
      <c r="P346" s="8">
        <f>[1]Data!P346</f>
        <v>0.27419354838709697</v>
      </c>
      <c r="Q346" s="8">
        <f>[1]Data!Q346</f>
        <v>0</v>
      </c>
      <c r="R346" s="8">
        <f>[1]Data!R346</f>
        <v>0</v>
      </c>
      <c r="S346" s="8">
        <f>[1]Data!S346</f>
        <v>0</v>
      </c>
      <c r="T346">
        <f t="shared" si="25"/>
        <v>4.8387096774193498E-2</v>
      </c>
      <c r="U346">
        <f t="shared" si="26"/>
        <v>0</v>
      </c>
      <c r="V346" s="4" t="str">
        <f t="shared" si="27"/>
        <v>0</v>
      </c>
      <c r="W346" s="4" t="str">
        <f t="shared" si="28"/>
        <v>2</v>
      </c>
      <c r="X346" s="4" t="str">
        <f t="shared" si="29"/>
        <v>0INDIV2</v>
      </c>
      <c r="Y346">
        <f>VLOOKUP(X346,Sheet1!$J$5:$K$121,2,FALSE)</f>
        <v>0</v>
      </c>
    </row>
    <row r="347" spans="1:25" x14ac:dyDescent="0.25">
      <c r="A347" s="8">
        <f>[1]Data!A347</f>
        <v>800202</v>
      </c>
      <c r="B347" s="8">
        <f>[1]Data!B347</f>
        <v>2</v>
      </c>
      <c r="C347" s="8">
        <f>[1]Data!C347</f>
        <v>0</v>
      </c>
      <c r="D347" s="8">
        <f>[1]Data!D347</f>
        <v>3</v>
      </c>
      <c r="E347" s="8" t="str">
        <f>[1]Data!E347</f>
        <v>INDIV</v>
      </c>
      <c r="F347" s="8" t="str">
        <f>[1]Data!F347</f>
        <v>Calabasas</v>
      </c>
      <c r="G347" s="8">
        <f>[1]Data!G347</f>
        <v>0</v>
      </c>
      <c r="H347" s="8">
        <f>[1]Data!H347</f>
        <v>0</v>
      </c>
      <c r="I347" s="8">
        <f>[1]Data!I347</f>
        <v>5.5910000000000002</v>
      </c>
      <c r="J347" s="8">
        <f>[1]Data!J347</f>
        <v>1.43919657</v>
      </c>
      <c r="K347" s="8">
        <f>[1]Data!K347</f>
        <v>5.43919657</v>
      </c>
      <c r="L347" s="8">
        <f>[1]Data!L347</f>
        <v>0.15145200614003601</v>
      </c>
      <c r="M347" s="8">
        <f>[1]Data!M347</f>
        <v>5.5906485761400404</v>
      </c>
      <c r="N347" s="8">
        <f>[1]Data!N347</f>
        <v>4.8387096774193498E-2</v>
      </c>
      <c r="O347" s="8">
        <f>[1]Data!O347</f>
        <v>0</v>
      </c>
      <c r="P347" s="8">
        <f>[1]Data!P347</f>
        <v>0.27419354838709697</v>
      </c>
      <c r="Q347" s="8">
        <f>[1]Data!Q347</f>
        <v>0</v>
      </c>
      <c r="R347" s="8">
        <f>[1]Data!R347</f>
        <v>0</v>
      </c>
      <c r="S347" s="8">
        <f>[1]Data!S347</f>
        <v>0</v>
      </c>
      <c r="T347">
        <f t="shared" si="25"/>
        <v>4.8387096774193498E-2</v>
      </c>
      <c r="U347">
        <f t="shared" si="26"/>
        <v>0</v>
      </c>
      <c r="V347" s="4" t="str">
        <f t="shared" si="27"/>
        <v>0</v>
      </c>
      <c r="W347" s="4" t="str">
        <f t="shared" si="28"/>
        <v>2</v>
      </c>
      <c r="X347" s="4" t="str">
        <f t="shared" si="29"/>
        <v>0INDIV2</v>
      </c>
      <c r="Y347">
        <f>VLOOKUP(X347,Sheet1!$J$5:$K$121,2,FALSE)</f>
        <v>0</v>
      </c>
    </row>
    <row r="348" spans="1:25" x14ac:dyDescent="0.25">
      <c r="A348" s="8">
        <f>[1]Data!A348</f>
        <v>311700</v>
      </c>
      <c r="B348" s="8">
        <f>[1]Data!B348</f>
        <v>2</v>
      </c>
      <c r="C348" s="8">
        <f>[1]Data!C348</f>
        <v>0</v>
      </c>
      <c r="D348" s="8">
        <f>[1]Data!D348</f>
        <v>5</v>
      </c>
      <c r="E348" s="8" t="str">
        <f>[1]Data!E348</f>
        <v>INDIV</v>
      </c>
      <c r="F348" s="8" t="str">
        <f>[1]Data!F348</f>
        <v>Burbank</v>
      </c>
      <c r="G348" s="8">
        <f>[1]Data!G348</f>
        <v>0</v>
      </c>
      <c r="H348" s="8">
        <f>[1]Data!H348</f>
        <v>0</v>
      </c>
      <c r="I348" s="8">
        <f>[1]Data!I348</f>
        <v>3</v>
      </c>
      <c r="J348" s="8">
        <f>[1]Data!J348</f>
        <v>0</v>
      </c>
      <c r="K348" s="8">
        <f>[1]Data!K348</f>
        <v>3</v>
      </c>
      <c r="L348" s="8">
        <f>[1]Data!L348</f>
        <v>0</v>
      </c>
      <c r="M348" s="8">
        <f>[1]Data!M348</f>
        <v>3</v>
      </c>
      <c r="N348" s="8">
        <f>[1]Data!N348</f>
        <v>4.8387096774193498E-2</v>
      </c>
      <c r="O348" s="8">
        <f>[1]Data!O348</f>
        <v>0</v>
      </c>
      <c r="P348" s="8">
        <f>[1]Data!P348</f>
        <v>0.27419354838709697</v>
      </c>
      <c r="Q348" s="8">
        <f>[1]Data!Q348</f>
        <v>0</v>
      </c>
      <c r="R348" s="8">
        <f>[1]Data!R348</f>
        <v>0</v>
      </c>
      <c r="S348" s="8">
        <f>[1]Data!S348</f>
        <v>0</v>
      </c>
      <c r="T348">
        <f t="shared" si="25"/>
        <v>4.8387096774193498E-2</v>
      </c>
      <c r="U348">
        <f t="shared" si="26"/>
        <v>0</v>
      </c>
      <c r="V348" s="4" t="str">
        <f t="shared" si="27"/>
        <v>0</v>
      </c>
      <c r="W348" s="4" t="str">
        <f t="shared" si="28"/>
        <v>2</v>
      </c>
      <c r="X348" s="4" t="str">
        <f t="shared" si="29"/>
        <v>0INDIV2</v>
      </c>
      <c r="Y348">
        <f>VLOOKUP(X348,Sheet1!$J$5:$K$121,2,FALSE)</f>
        <v>0</v>
      </c>
    </row>
    <row r="349" spans="1:25" x14ac:dyDescent="0.25">
      <c r="A349" s="8">
        <f>[1]Data!A349</f>
        <v>310800</v>
      </c>
      <c r="B349" s="8">
        <f>[1]Data!B349</f>
        <v>2</v>
      </c>
      <c r="C349" s="8">
        <f>[1]Data!C349</f>
        <v>0</v>
      </c>
      <c r="D349" s="8">
        <f>[1]Data!D349</f>
        <v>5</v>
      </c>
      <c r="E349" s="8" t="str">
        <f>[1]Data!E349</f>
        <v>INDIV</v>
      </c>
      <c r="F349" s="8" t="str">
        <f>[1]Data!F349</f>
        <v>Burbank</v>
      </c>
      <c r="G349" s="8">
        <f>[1]Data!G349</f>
        <v>0</v>
      </c>
      <c r="H349" s="8">
        <f>[1]Data!H349</f>
        <v>0</v>
      </c>
      <c r="I349" s="8">
        <f>[1]Data!I349</f>
        <v>20.399000000000001</v>
      </c>
      <c r="J349" s="8">
        <f>[1]Data!J349</f>
        <v>3.1723287400000002</v>
      </c>
      <c r="K349" s="8">
        <f>[1]Data!K349</f>
        <v>20.172328740000001</v>
      </c>
      <c r="L349" s="8">
        <f>[1]Data!L349</f>
        <v>0.22643751642728899</v>
      </c>
      <c r="M349" s="8">
        <f>[1]Data!M349</f>
        <v>20.398766256427301</v>
      </c>
      <c r="N349" s="8">
        <f>[1]Data!N349</f>
        <v>4.8387096774193498E-2</v>
      </c>
      <c r="O349" s="8">
        <f>[1]Data!O349</f>
        <v>0</v>
      </c>
      <c r="P349" s="8">
        <f>[1]Data!P349</f>
        <v>0.27419354838709697</v>
      </c>
      <c r="Q349" s="8">
        <f>[1]Data!Q349</f>
        <v>0</v>
      </c>
      <c r="R349" s="8">
        <f>[1]Data!R349</f>
        <v>0</v>
      </c>
      <c r="S349" s="8">
        <f>[1]Data!S349</f>
        <v>0</v>
      </c>
      <c r="T349">
        <f t="shared" si="25"/>
        <v>4.8387096774193498E-2</v>
      </c>
      <c r="U349">
        <f t="shared" si="26"/>
        <v>0</v>
      </c>
      <c r="V349" s="4" t="str">
        <f t="shared" si="27"/>
        <v>0</v>
      </c>
      <c r="W349" s="4" t="str">
        <f t="shared" si="28"/>
        <v>2</v>
      </c>
      <c r="X349" s="4" t="str">
        <f t="shared" si="29"/>
        <v>0INDIV2</v>
      </c>
      <c r="Y349">
        <f>VLOOKUP(X349,Sheet1!$J$5:$K$121,2,FALSE)</f>
        <v>0</v>
      </c>
    </row>
    <row r="350" spans="1:25" x14ac:dyDescent="0.25">
      <c r="A350" s="8">
        <f>[1]Data!A350</f>
        <v>320202</v>
      </c>
      <c r="B350" s="8">
        <f>[1]Data!B350</f>
        <v>2</v>
      </c>
      <c r="C350" s="8">
        <f>[1]Data!C350</f>
        <v>0</v>
      </c>
      <c r="D350" s="8">
        <f>[1]Data!D350</f>
        <v>3</v>
      </c>
      <c r="E350" s="8" t="str">
        <f>[1]Data!E350</f>
        <v>INDIV</v>
      </c>
      <c r="F350" s="8" t="str">
        <f>[1]Data!F350</f>
        <v>San Fernando</v>
      </c>
      <c r="G350" s="8">
        <f>[1]Data!G350</f>
        <v>0</v>
      </c>
      <c r="H350" s="8">
        <f>[1]Data!H350</f>
        <v>0</v>
      </c>
      <c r="I350" s="8">
        <f>[1]Data!I350</f>
        <v>8.2759999999999998</v>
      </c>
      <c r="J350" s="8">
        <f>[1]Data!J350</f>
        <v>4.8620928000000001</v>
      </c>
      <c r="K350" s="8">
        <f>[1]Data!K350</f>
        <v>7.8620928000000001</v>
      </c>
      <c r="L350" s="8">
        <f>[1]Data!L350</f>
        <v>0.414076613662478</v>
      </c>
      <c r="M350" s="8">
        <f>[1]Data!M350</f>
        <v>8.2761694136624797</v>
      </c>
      <c r="N350" s="8">
        <f>[1]Data!N350</f>
        <v>4.8387096774193498E-2</v>
      </c>
      <c r="O350" s="8">
        <f>[1]Data!O350</f>
        <v>0</v>
      </c>
      <c r="P350" s="8">
        <f>[1]Data!P350</f>
        <v>0.27419354838709697</v>
      </c>
      <c r="Q350" s="8">
        <f>[1]Data!Q350</f>
        <v>0</v>
      </c>
      <c r="R350" s="8">
        <f>[1]Data!R350</f>
        <v>0</v>
      </c>
      <c r="S350" s="8">
        <f>[1]Data!S350</f>
        <v>0</v>
      </c>
      <c r="T350">
        <f t="shared" si="25"/>
        <v>4.8387096774193498E-2</v>
      </c>
      <c r="U350">
        <f t="shared" si="26"/>
        <v>0</v>
      </c>
      <c r="V350" s="4" t="str">
        <f t="shared" si="27"/>
        <v>0</v>
      </c>
      <c r="W350" s="4" t="str">
        <f t="shared" si="28"/>
        <v>2</v>
      </c>
      <c r="X350" s="4" t="str">
        <f t="shared" si="29"/>
        <v>0INDIV2</v>
      </c>
      <c r="Y350">
        <f>VLOOKUP(X350,Sheet1!$J$5:$K$121,2,FALSE)</f>
        <v>0</v>
      </c>
    </row>
    <row r="351" spans="1:25" x14ac:dyDescent="0.25">
      <c r="A351" s="8">
        <f>[1]Data!A351</f>
        <v>310703</v>
      </c>
      <c r="B351" s="8">
        <f>[1]Data!B351</f>
        <v>2</v>
      </c>
      <c r="C351" s="8">
        <f>[1]Data!C351</f>
        <v>0</v>
      </c>
      <c r="D351" s="8">
        <f>[1]Data!D351</f>
        <v>5</v>
      </c>
      <c r="E351" s="8" t="str">
        <f>[1]Data!E351</f>
        <v>INDIV</v>
      </c>
      <c r="F351" s="8" t="str">
        <f>[1]Data!F351</f>
        <v>Burbank</v>
      </c>
      <c r="G351" s="8">
        <f>[1]Data!G351</f>
        <v>1</v>
      </c>
      <c r="H351" s="8">
        <f>[1]Data!H351</f>
        <v>1</v>
      </c>
      <c r="I351" s="8">
        <f>[1]Data!I351</f>
        <v>5.19</v>
      </c>
      <c r="J351" s="8">
        <f>[1]Data!J351</f>
        <v>3.9673993200000002</v>
      </c>
      <c r="K351" s="8">
        <f>[1]Data!K351</f>
        <v>4.9673993200000002</v>
      </c>
      <c r="L351" s="8">
        <f>[1]Data!L351</f>
        <v>0.22234520276481101</v>
      </c>
      <c r="M351" s="8">
        <f>[1]Data!M351</f>
        <v>5.1897445227648102</v>
      </c>
      <c r="N351" s="8">
        <f>[1]Data!N351</f>
        <v>4.8387096774193498E-2</v>
      </c>
      <c r="O351" s="8">
        <f>[1]Data!O351</f>
        <v>20.6666666666667</v>
      </c>
      <c r="P351" s="8">
        <f>[1]Data!P351</f>
        <v>0.27419354838709697</v>
      </c>
      <c r="Q351" s="8">
        <f>[1]Data!Q351</f>
        <v>0</v>
      </c>
      <c r="R351" s="8">
        <f>[1]Data!R351</f>
        <v>0</v>
      </c>
      <c r="S351" s="8">
        <f>[1]Data!S351</f>
        <v>0</v>
      </c>
      <c r="T351">
        <f t="shared" si="25"/>
        <v>4.8387096774193498E-2</v>
      </c>
      <c r="U351">
        <f t="shared" si="26"/>
        <v>20.666666666666689</v>
      </c>
      <c r="V351" s="4" t="str">
        <f t="shared" si="27"/>
        <v>0</v>
      </c>
      <c r="W351" s="4" t="str">
        <f t="shared" si="28"/>
        <v>2</v>
      </c>
      <c r="X351" s="4" t="str">
        <f t="shared" si="29"/>
        <v>0INDIV2</v>
      </c>
      <c r="Y351">
        <f>VLOOKUP(X351,Sheet1!$J$5:$K$121,2,FALSE)</f>
        <v>0</v>
      </c>
    </row>
    <row r="352" spans="1:25" x14ac:dyDescent="0.25">
      <c r="A352" s="8">
        <f>[1]Data!A352</f>
        <v>920042</v>
      </c>
      <c r="B352" s="8">
        <f>[1]Data!B352</f>
        <v>2</v>
      </c>
      <c r="C352" s="8">
        <f>[1]Data!C352</f>
        <v>0</v>
      </c>
      <c r="D352" s="8">
        <f>[1]Data!D352</f>
        <v>5</v>
      </c>
      <c r="E352" s="8" t="str">
        <f>[1]Data!E352</f>
        <v>INDIV</v>
      </c>
      <c r="F352" s="8" t="str">
        <f>[1]Data!F352</f>
        <v>Santa Clarita</v>
      </c>
      <c r="G352" s="8">
        <f>[1]Data!G352</f>
        <v>0</v>
      </c>
      <c r="H352" s="8">
        <f>[1]Data!H352</f>
        <v>0</v>
      </c>
      <c r="I352" s="8">
        <f>[1]Data!I352</f>
        <v>6.7720000000000002</v>
      </c>
      <c r="J352" s="8">
        <f>[1]Data!J352</f>
        <v>4.31758971</v>
      </c>
      <c r="K352" s="8">
        <f>[1]Data!K352</f>
        <v>6.31758971</v>
      </c>
      <c r="L352" s="8">
        <f>[1]Data!L352</f>
        <v>0.45435601842010798</v>
      </c>
      <c r="M352" s="8">
        <f>[1]Data!M352</f>
        <v>6.7719457284201097</v>
      </c>
      <c r="N352" s="8">
        <f>[1]Data!N352</f>
        <v>4.8387096774193498E-2</v>
      </c>
      <c r="O352" s="8">
        <f>[1]Data!O352</f>
        <v>0</v>
      </c>
      <c r="P352" s="8">
        <f>[1]Data!P352</f>
        <v>0.27419354838709697</v>
      </c>
      <c r="Q352" s="8">
        <f>[1]Data!Q352</f>
        <v>0</v>
      </c>
      <c r="R352" s="8">
        <f>[1]Data!R352</f>
        <v>0</v>
      </c>
      <c r="S352" s="8">
        <f>[1]Data!S352</f>
        <v>0</v>
      </c>
      <c r="T352">
        <f t="shared" si="25"/>
        <v>4.8387096774193498E-2</v>
      </c>
      <c r="U352">
        <f t="shared" si="26"/>
        <v>0</v>
      </c>
      <c r="V352" s="4" t="str">
        <f t="shared" si="27"/>
        <v>0</v>
      </c>
      <c r="W352" s="4" t="str">
        <f t="shared" si="28"/>
        <v>2</v>
      </c>
      <c r="X352" s="4" t="str">
        <f t="shared" si="29"/>
        <v>0INDIV2</v>
      </c>
      <c r="Y352">
        <f>VLOOKUP(X352,Sheet1!$J$5:$K$121,2,FALSE)</f>
        <v>0</v>
      </c>
    </row>
    <row r="353" spans="1:25" x14ac:dyDescent="0.25">
      <c r="A353" s="8">
        <f>[1]Data!A353</f>
        <v>311802</v>
      </c>
      <c r="B353" s="8">
        <f>[1]Data!B353</f>
        <v>2</v>
      </c>
      <c r="C353" s="8">
        <f>[1]Data!C353</f>
        <v>0</v>
      </c>
      <c r="D353" s="8">
        <f>[1]Data!D353</f>
        <v>5</v>
      </c>
      <c r="E353" s="8" t="str">
        <f>[1]Data!E353</f>
        <v>INDIV</v>
      </c>
      <c r="F353" s="8" t="str">
        <f>[1]Data!F353</f>
        <v>Burbank</v>
      </c>
      <c r="G353" s="8">
        <f>[1]Data!G353</f>
        <v>0</v>
      </c>
      <c r="H353" s="8">
        <f>[1]Data!H353</f>
        <v>0</v>
      </c>
      <c r="I353" s="8">
        <f>[1]Data!I353</f>
        <v>8</v>
      </c>
      <c r="J353" s="8">
        <f>[1]Data!J353</f>
        <v>0</v>
      </c>
      <c r="K353" s="8">
        <f>[1]Data!K353</f>
        <v>8</v>
      </c>
      <c r="L353" s="8">
        <f>[1]Data!L353</f>
        <v>0</v>
      </c>
      <c r="M353" s="8">
        <f>[1]Data!M353</f>
        <v>8</v>
      </c>
      <c r="N353" s="8">
        <f>[1]Data!N353</f>
        <v>4.8387096774193498E-2</v>
      </c>
      <c r="O353" s="8">
        <f>[1]Data!O353</f>
        <v>0</v>
      </c>
      <c r="P353" s="8">
        <f>[1]Data!P353</f>
        <v>0.27419354838709697</v>
      </c>
      <c r="Q353" s="8">
        <f>[1]Data!Q353</f>
        <v>0</v>
      </c>
      <c r="R353" s="8">
        <f>[1]Data!R353</f>
        <v>0</v>
      </c>
      <c r="S353" s="8">
        <f>[1]Data!S353</f>
        <v>0</v>
      </c>
      <c r="T353">
        <f t="shared" si="25"/>
        <v>4.8387096774193498E-2</v>
      </c>
      <c r="U353">
        <f t="shared" si="26"/>
        <v>0</v>
      </c>
      <c r="V353" s="4" t="str">
        <f t="shared" si="27"/>
        <v>0</v>
      </c>
      <c r="W353" s="4" t="str">
        <f t="shared" si="28"/>
        <v>2</v>
      </c>
      <c r="X353" s="4" t="str">
        <f t="shared" si="29"/>
        <v>0INDIV2</v>
      </c>
      <c r="Y353">
        <f>VLOOKUP(X353,Sheet1!$J$5:$K$121,2,FALSE)</f>
        <v>0</v>
      </c>
    </row>
    <row r="354" spans="1:25" x14ac:dyDescent="0.25">
      <c r="A354" s="8">
        <f>[1]Data!A354</f>
        <v>920037</v>
      </c>
      <c r="B354" s="8">
        <f>[1]Data!B354</f>
        <v>2</v>
      </c>
      <c r="C354" s="8">
        <f>[1]Data!C354</f>
        <v>0</v>
      </c>
      <c r="D354" s="8">
        <f>[1]Data!D354</f>
        <v>5</v>
      </c>
      <c r="E354" s="8" t="str">
        <f>[1]Data!E354</f>
        <v>INDIV</v>
      </c>
      <c r="F354" s="8" t="str">
        <f>[1]Data!F354</f>
        <v>Santa Clarita</v>
      </c>
      <c r="G354" s="8">
        <f>[1]Data!G354</f>
        <v>0</v>
      </c>
      <c r="H354" s="8">
        <f>[1]Data!H354</f>
        <v>0</v>
      </c>
      <c r="I354" s="8">
        <f>[1]Data!I354</f>
        <v>0</v>
      </c>
      <c r="J354" s="8">
        <f>[1]Data!J354</f>
        <v>0</v>
      </c>
      <c r="K354" s="8">
        <f>[1]Data!K354</f>
        <v>0</v>
      </c>
      <c r="L354" s="8">
        <f>[1]Data!L354</f>
        <v>0</v>
      </c>
      <c r="M354" s="8">
        <f>[1]Data!M354</f>
        <v>0</v>
      </c>
      <c r="N354" s="8">
        <f>[1]Data!N354</f>
        <v>4.8387096774193498E-2</v>
      </c>
      <c r="O354" s="8">
        <f>[1]Data!O354</f>
        <v>0</v>
      </c>
      <c r="P354" s="8">
        <f>[1]Data!P354</f>
        <v>0.27419354838709697</v>
      </c>
      <c r="Q354" s="8">
        <f>[1]Data!Q354</f>
        <v>0</v>
      </c>
      <c r="R354" s="8">
        <f>[1]Data!R354</f>
        <v>0</v>
      </c>
      <c r="S354" s="8">
        <f>[1]Data!S354</f>
        <v>0</v>
      </c>
      <c r="T354">
        <f t="shared" si="25"/>
        <v>4.8387096774193498E-2</v>
      </c>
      <c r="U354">
        <f t="shared" si="26"/>
        <v>0</v>
      </c>
      <c r="V354" s="4" t="str">
        <f t="shared" si="27"/>
        <v>0</v>
      </c>
      <c r="W354" s="4" t="str">
        <f t="shared" si="28"/>
        <v>2</v>
      </c>
      <c r="X354" s="4" t="str">
        <f t="shared" si="29"/>
        <v>0INDIV2</v>
      </c>
      <c r="Y354">
        <f>VLOOKUP(X354,Sheet1!$J$5:$K$121,2,FALSE)</f>
        <v>0</v>
      </c>
    </row>
    <row r="355" spans="1:25" x14ac:dyDescent="0.25">
      <c r="A355" s="8">
        <f>[1]Data!A355</f>
        <v>400602</v>
      </c>
      <c r="B355" s="8">
        <f>[1]Data!B355</f>
        <v>3</v>
      </c>
      <c r="C355" s="8">
        <f>[1]Data!C355</f>
        <v>0</v>
      </c>
      <c r="D355" s="8">
        <f>[1]Data!D355</f>
        <v>1</v>
      </c>
      <c r="E355" s="8" t="str">
        <f>[1]Data!E355</f>
        <v>INDIV</v>
      </c>
      <c r="F355" s="8" t="str">
        <f>[1]Data!F355</f>
        <v>Azusa</v>
      </c>
      <c r="G355" s="8">
        <f>[1]Data!G355</f>
        <v>1</v>
      </c>
      <c r="H355" s="8">
        <f>[1]Data!H355</f>
        <v>1</v>
      </c>
      <c r="I355" s="8">
        <f>[1]Data!I355</f>
        <v>11.095000000000001</v>
      </c>
      <c r="J355" s="8">
        <f>[1]Data!J355</f>
        <v>1.9836996600000001</v>
      </c>
      <c r="K355" s="8">
        <f>[1]Data!K355</f>
        <v>10.983699659999999</v>
      </c>
      <c r="L355" s="8">
        <f>[1]Data!L355</f>
        <v>0.11117260138240601</v>
      </c>
      <c r="M355" s="8">
        <f>[1]Data!M355</f>
        <v>11.094872261382401</v>
      </c>
      <c r="N355" s="8">
        <f>[1]Data!N355</f>
        <v>8.9285714285714302E-2</v>
      </c>
      <c r="O355" s="8">
        <f>[1]Data!O355</f>
        <v>11.2</v>
      </c>
      <c r="P355" s="8">
        <f>[1]Data!P355</f>
        <v>1</v>
      </c>
      <c r="Q355" s="8">
        <f>[1]Data!Q355</f>
        <v>0</v>
      </c>
      <c r="R355" s="8">
        <f>[1]Data!R355</f>
        <v>0</v>
      </c>
      <c r="S355" s="8">
        <f>[1]Data!S355</f>
        <v>0</v>
      </c>
      <c r="T355">
        <f t="shared" si="25"/>
        <v>8.9285714285714302E-2</v>
      </c>
      <c r="U355">
        <f t="shared" si="26"/>
        <v>11.199999999999998</v>
      </c>
      <c r="V355" s="4" t="str">
        <f t="shared" si="27"/>
        <v>0</v>
      </c>
      <c r="W355" s="4" t="str">
        <f t="shared" si="28"/>
        <v>3</v>
      </c>
      <c r="X355" s="4" t="str">
        <f t="shared" si="29"/>
        <v>0INDIV3</v>
      </c>
      <c r="Y355">
        <f>VLOOKUP(X355,Sheet1!$J$5:$K$121,2,FALSE)</f>
        <v>0</v>
      </c>
    </row>
    <row r="356" spans="1:25" x14ac:dyDescent="0.25">
      <c r="A356" s="8">
        <f>[1]Data!A356</f>
        <v>481102</v>
      </c>
      <c r="B356" s="8">
        <f>[1]Data!B356</f>
        <v>3</v>
      </c>
      <c r="C356" s="8">
        <f>[1]Data!C356</f>
        <v>0</v>
      </c>
      <c r="D356" s="8">
        <f>[1]Data!D356</f>
        <v>5</v>
      </c>
      <c r="E356" s="8" t="str">
        <f>[1]Data!E356</f>
        <v>INDIV</v>
      </c>
      <c r="F356" s="8" t="str">
        <f>[1]Data!F356</f>
        <v>San Gabriel</v>
      </c>
      <c r="G356" s="8">
        <f>[1]Data!G356</f>
        <v>0</v>
      </c>
      <c r="H356" s="8">
        <f>[1]Data!H356</f>
        <v>0</v>
      </c>
      <c r="I356" s="8">
        <f>[1]Data!I356</f>
        <v>3.9260000000000002</v>
      </c>
      <c r="J356" s="8">
        <f>[1]Data!J356</f>
        <v>1.90487994</v>
      </c>
      <c r="K356" s="8">
        <f>[1]Data!K356</f>
        <v>3.9048799399999998</v>
      </c>
      <c r="L356" s="8">
        <f>[1]Data!L356</f>
        <v>2.0625322082585301E-2</v>
      </c>
      <c r="M356" s="8">
        <f>[1]Data!M356</f>
        <v>3.9255052620825901</v>
      </c>
      <c r="N356" s="8">
        <f>[1]Data!N356</f>
        <v>8.9285714285714302E-2</v>
      </c>
      <c r="O356" s="8">
        <f>[1]Data!O356</f>
        <v>0</v>
      </c>
      <c r="P356" s="8">
        <f>[1]Data!P356</f>
        <v>1</v>
      </c>
      <c r="Q356" s="8">
        <f>[1]Data!Q356</f>
        <v>0</v>
      </c>
      <c r="R356" s="8">
        <f>[1]Data!R356</f>
        <v>0</v>
      </c>
      <c r="S356" s="8">
        <f>[1]Data!S356</f>
        <v>0</v>
      </c>
      <c r="T356">
        <f t="shared" si="25"/>
        <v>8.9285714285714302E-2</v>
      </c>
      <c r="U356">
        <f t="shared" si="26"/>
        <v>0</v>
      </c>
      <c r="V356" s="4" t="str">
        <f t="shared" si="27"/>
        <v>0</v>
      </c>
      <c r="W356" s="4" t="str">
        <f t="shared" si="28"/>
        <v>3</v>
      </c>
      <c r="X356" s="4" t="str">
        <f t="shared" si="29"/>
        <v>0INDIV3</v>
      </c>
      <c r="Y356">
        <f>VLOOKUP(X356,Sheet1!$J$5:$K$121,2,FALSE)</f>
        <v>0</v>
      </c>
    </row>
    <row r="357" spans="1:25" x14ac:dyDescent="0.25">
      <c r="A357" s="8">
        <f>[1]Data!A357</f>
        <v>408212</v>
      </c>
      <c r="B357" s="8">
        <f>[1]Data!B357</f>
        <v>3</v>
      </c>
      <c r="C357" s="8">
        <f>[1]Data!C357</f>
        <v>0</v>
      </c>
      <c r="D357" s="8">
        <f>[1]Data!D357</f>
        <v>4</v>
      </c>
      <c r="E357" s="8" t="str">
        <f>[1]Data!E357</f>
        <v>INDIV</v>
      </c>
      <c r="F357" s="8" t="str">
        <f>[1]Data!F357</f>
        <v>Rowland Heights</v>
      </c>
      <c r="G357" s="8">
        <f>[1]Data!G357</f>
        <v>0</v>
      </c>
      <c r="H357" s="8">
        <f>[1]Data!H357</f>
        <v>0</v>
      </c>
      <c r="I357" s="8">
        <f>[1]Data!I357</f>
        <v>3</v>
      </c>
      <c r="J357" s="8">
        <f>[1]Data!J357</f>
        <v>0</v>
      </c>
      <c r="K357" s="8">
        <f>[1]Data!K357</f>
        <v>3</v>
      </c>
      <c r="L357" s="8">
        <f>[1]Data!L357</f>
        <v>0</v>
      </c>
      <c r="M357" s="8">
        <f>[1]Data!M357</f>
        <v>3</v>
      </c>
      <c r="N357" s="8">
        <f>[1]Data!N357</f>
        <v>8.9285714285714302E-2</v>
      </c>
      <c r="O357" s="8">
        <f>[1]Data!O357</f>
        <v>0</v>
      </c>
      <c r="P357" s="8">
        <f>[1]Data!P357</f>
        <v>1</v>
      </c>
      <c r="Q357" s="8">
        <f>[1]Data!Q357</f>
        <v>0</v>
      </c>
      <c r="R357" s="8">
        <f>[1]Data!R357</f>
        <v>0</v>
      </c>
      <c r="S357" s="8">
        <f>[1]Data!S357</f>
        <v>0</v>
      </c>
      <c r="T357">
        <f t="shared" si="25"/>
        <v>8.9285714285714302E-2</v>
      </c>
      <c r="U357">
        <f t="shared" si="26"/>
        <v>0</v>
      </c>
      <c r="V357" s="4" t="str">
        <f t="shared" si="27"/>
        <v>0</v>
      </c>
      <c r="W357" s="4" t="str">
        <f t="shared" si="28"/>
        <v>3</v>
      </c>
      <c r="X357" s="4" t="str">
        <f t="shared" si="29"/>
        <v>0INDIV3</v>
      </c>
      <c r="Y357">
        <f>VLOOKUP(X357,Sheet1!$J$5:$K$121,2,FALSE)</f>
        <v>0</v>
      </c>
    </row>
    <row r="358" spans="1:25" x14ac:dyDescent="0.25">
      <c r="A358" s="8">
        <f>[1]Data!A358</f>
        <v>400604</v>
      </c>
      <c r="B358" s="8">
        <f>[1]Data!B358</f>
        <v>3</v>
      </c>
      <c r="C358" s="8">
        <f>[1]Data!C358</f>
        <v>0</v>
      </c>
      <c r="D358" s="8">
        <f>[1]Data!D358</f>
        <v>1</v>
      </c>
      <c r="E358" s="8" t="str">
        <f>[1]Data!E358</f>
        <v>INDIV</v>
      </c>
      <c r="F358" s="8" t="str">
        <f>[1]Data!F358</f>
        <v>Azusa</v>
      </c>
      <c r="G358" s="8">
        <f>[1]Data!G358</f>
        <v>0</v>
      </c>
      <c r="H358" s="8">
        <f>[1]Data!H358</f>
        <v>0</v>
      </c>
      <c r="I358" s="8">
        <f>[1]Data!I358</f>
        <v>7.2939999999999996</v>
      </c>
      <c r="J358" s="8">
        <f>[1]Data!J358</f>
        <v>3.1204881900000001</v>
      </c>
      <c r="K358" s="8">
        <f>[1]Data!K358</f>
        <v>7.1204881899999997</v>
      </c>
      <c r="L358" s="8">
        <f>[1]Data!L358</f>
        <v>0.172943937899461</v>
      </c>
      <c r="M358" s="8">
        <f>[1]Data!M358</f>
        <v>7.29343212789946</v>
      </c>
      <c r="N358" s="8">
        <f>[1]Data!N358</f>
        <v>8.9285714285714302E-2</v>
      </c>
      <c r="O358" s="8">
        <f>[1]Data!O358</f>
        <v>0</v>
      </c>
      <c r="P358" s="8">
        <f>[1]Data!P358</f>
        <v>1</v>
      </c>
      <c r="Q358" s="8">
        <f>[1]Data!Q358</f>
        <v>0</v>
      </c>
      <c r="R358" s="8">
        <f>[1]Data!R358</f>
        <v>0</v>
      </c>
      <c r="S358" s="8">
        <f>[1]Data!S358</f>
        <v>0</v>
      </c>
      <c r="T358">
        <f t="shared" si="25"/>
        <v>8.9285714285714302E-2</v>
      </c>
      <c r="U358">
        <f t="shared" si="26"/>
        <v>0</v>
      </c>
      <c r="V358" s="4" t="str">
        <f t="shared" si="27"/>
        <v>0</v>
      </c>
      <c r="W358" s="4" t="str">
        <f t="shared" si="28"/>
        <v>3</v>
      </c>
      <c r="X358" s="4" t="str">
        <f t="shared" si="29"/>
        <v>0INDIV3</v>
      </c>
      <c r="Y358">
        <f>VLOOKUP(X358,Sheet1!$J$5:$K$121,2,FALSE)</f>
        <v>0</v>
      </c>
    </row>
    <row r="359" spans="1:25" x14ac:dyDescent="0.25">
      <c r="A359" s="8">
        <f>[1]Data!A359</f>
        <v>401311</v>
      </c>
      <c r="B359" s="8">
        <f>[1]Data!B359</f>
        <v>3</v>
      </c>
      <c r="C359" s="8">
        <f>[1]Data!C359</f>
        <v>0</v>
      </c>
      <c r="D359" s="8">
        <f>[1]Data!D359</f>
        <v>5</v>
      </c>
      <c r="E359" s="8" t="str">
        <f>[1]Data!E359</f>
        <v>INDIV</v>
      </c>
      <c r="F359" s="8" t="str">
        <f>[1]Data!F359</f>
        <v>San Dimas</v>
      </c>
      <c r="G359" s="8">
        <f>[1]Data!G359</f>
        <v>0</v>
      </c>
      <c r="H359" s="8">
        <f>[1]Data!H359</f>
        <v>0</v>
      </c>
      <c r="I359" s="8">
        <f>[1]Data!I359</f>
        <v>4.5910000000000002</v>
      </c>
      <c r="J359" s="8">
        <f>[1]Data!J359</f>
        <v>1.43919657</v>
      </c>
      <c r="K359" s="8">
        <f>[1]Data!K359</f>
        <v>4.43919657</v>
      </c>
      <c r="L359" s="8">
        <f>[1]Data!L359</f>
        <v>0.15145200614003601</v>
      </c>
      <c r="M359" s="8">
        <f>[1]Data!M359</f>
        <v>4.5906485761400404</v>
      </c>
      <c r="N359" s="8">
        <f>[1]Data!N359</f>
        <v>8.9285714285714302E-2</v>
      </c>
      <c r="O359" s="8">
        <f>[1]Data!O359</f>
        <v>0</v>
      </c>
      <c r="P359" s="8">
        <f>[1]Data!P359</f>
        <v>1</v>
      </c>
      <c r="Q359" s="8">
        <f>[1]Data!Q359</f>
        <v>0</v>
      </c>
      <c r="R359" s="8">
        <f>[1]Data!R359</f>
        <v>0</v>
      </c>
      <c r="S359" s="8">
        <f>[1]Data!S359</f>
        <v>0</v>
      </c>
      <c r="T359">
        <f t="shared" si="25"/>
        <v>8.9285714285714302E-2</v>
      </c>
      <c r="U359">
        <f t="shared" si="26"/>
        <v>0</v>
      </c>
      <c r="V359" s="4" t="str">
        <f t="shared" si="27"/>
        <v>0</v>
      </c>
      <c r="W359" s="4" t="str">
        <f t="shared" si="28"/>
        <v>3</v>
      </c>
      <c r="X359" s="4" t="str">
        <f t="shared" si="29"/>
        <v>0INDIV3</v>
      </c>
      <c r="Y359">
        <f>VLOOKUP(X359,Sheet1!$J$5:$K$121,2,FALSE)</f>
        <v>0</v>
      </c>
    </row>
    <row r="360" spans="1:25" x14ac:dyDescent="0.25">
      <c r="A360" s="8">
        <f>[1]Data!A360</f>
        <v>431900</v>
      </c>
      <c r="B360" s="8">
        <f>[1]Data!B360</f>
        <v>3</v>
      </c>
      <c r="C360" s="8">
        <f>[1]Data!C360</f>
        <v>0</v>
      </c>
      <c r="D360" s="8">
        <f>[1]Data!D360</f>
        <v>5</v>
      </c>
      <c r="E360" s="8" t="str">
        <f>[1]Data!E360</f>
        <v>INDIV</v>
      </c>
      <c r="F360" s="8" t="str">
        <f>[1]Data!F360</f>
        <v>Temple City</v>
      </c>
      <c r="G360" s="8">
        <f>[1]Data!G360</f>
        <v>0</v>
      </c>
      <c r="H360" s="8">
        <f>[1]Data!H360</f>
        <v>0</v>
      </c>
      <c r="I360" s="8">
        <f>[1]Data!I360</f>
        <v>8.9260000000000002</v>
      </c>
      <c r="J360" s="8">
        <f>[1]Data!J360</f>
        <v>1.90487994</v>
      </c>
      <c r="K360" s="8">
        <f>[1]Data!K360</f>
        <v>8.9048799400000007</v>
      </c>
      <c r="L360" s="8">
        <f>[1]Data!L360</f>
        <v>2.0625322082585301E-2</v>
      </c>
      <c r="M360" s="8">
        <f>[1]Data!M360</f>
        <v>8.9255052620825897</v>
      </c>
      <c r="N360" s="8">
        <f>[1]Data!N360</f>
        <v>8.9285714285714302E-2</v>
      </c>
      <c r="O360" s="8">
        <f>[1]Data!O360</f>
        <v>0</v>
      </c>
      <c r="P360" s="8">
        <f>[1]Data!P360</f>
        <v>1</v>
      </c>
      <c r="Q360" s="8">
        <f>[1]Data!Q360</f>
        <v>0</v>
      </c>
      <c r="R360" s="8">
        <f>[1]Data!R360</f>
        <v>0</v>
      </c>
      <c r="S360" s="8">
        <f>[1]Data!S360</f>
        <v>0</v>
      </c>
      <c r="T360">
        <f t="shared" si="25"/>
        <v>8.9285714285714302E-2</v>
      </c>
      <c r="U360">
        <f t="shared" si="26"/>
        <v>0</v>
      </c>
      <c r="V360" s="4" t="str">
        <f t="shared" si="27"/>
        <v>0</v>
      </c>
      <c r="W360" s="4" t="str">
        <f t="shared" si="28"/>
        <v>3</v>
      </c>
      <c r="X360" s="4" t="str">
        <f t="shared" si="29"/>
        <v>0INDIV3</v>
      </c>
      <c r="Y360">
        <f>VLOOKUP(X360,Sheet1!$J$5:$K$121,2,FALSE)</f>
        <v>0</v>
      </c>
    </row>
    <row r="361" spans="1:25" x14ac:dyDescent="0.25">
      <c r="A361" s="8">
        <f>[1]Data!A361</f>
        <v>404201</v>
      </c>
      <c r="B361" s="8">
        <f>[1]Data!B361</f>
        <v>3</v>
      </c>
      <c r="C361" s="8">
        <f>[1]Data!C361</f>
        <v>0</v>
      </c>
      <c r="D361" s="8">
        <f>[1]Data!D361</f>
        <v>1</v>
      </c>
      <c r="E361" s="8" t="str">
        <f>[1]Data!E361</f>
        <v>INDIV</v>
      </c>
      <c r="F361" s="8" t="str">
        <f>[1]Data!F361</f>
        <v>Azusa</v>
      </c>
      <c r="G361" s="8">
        <f>[1]Data!G361</f>
        <v>0</v>
      </c>
      <c r="H361" s="8">
        <f>[1]Data!H361</f>
        <v>0</v>
      </c>
      <c r="I361" s="8">
        <f>[1]Data!I361</f>
        <v>1</v>
      </c>
      <c r="J361" s="8">
        <f>[1]Data!J361</f>
        <v>0</v>
      </c>
      <c r="K361" s="8">
        <f>[1]Data!K361</f>
        <v>1</v>
      </c>
      <c r="L361" s="8">
        <f>[1]Data!L361</f>
        <v>0</v>
      </c>
      <c r="M361" s="8">
        <f>[1]Data!M361</f>
        <v>1</v>
      </c>
      <c r="N361" s="8">
        <f>[1]Data!N361</f>
        <v>8.9285714285714302E-2</v>
      </c>
      <c r="O361" s="8">
        <f>[1]Data!O361</f>
        <v>0</v>
      </c>
      <c r="P361" s="8">
        <f>[1]Data!P361</f>
        <v>1</v>
      </c>
      <c r="Q361" s="8">
        <f>[1]Data!Q361</f>
        <v>0</v>
      </c>
      <c r="R361" s="8">
        <f>[1]Data!R361</f>
        <v>0</v>
      </c>
      <c r="S361" s="8">
        <f>[1]Data!S361</f>
        <v>0</v>
      </c>
      <c r="T361">
        <f t="shared" si="25"/>
        <v>8.9285714285714302E-2</v>
      </c>
      <c r="U361">
        <f t="shared" si="26"/>
        <v>0</v>
      </c>
      <c r="V361" s="4" t="str">
        <f t="shared" si="27"/>
        <v>0</v>
      </c>
      <c r="W361" s="4" t="str">
        <f t="shared" si="28"/>
        <v>3</v>
      </c>
      <c r="X361" s="4" t="str">
        <f t="shared" si="29"/>
        <v>0INDIV3</v>
      </c>
      <c r="Y361">
        <f>VLOOKUP(X361,Sheet1!$J$5:$K$121,2,FALSE)</f>
        <v>0</v>
      </c>
    </row>
    <row r="362" spans="1:25" x14ac:dyDescent="0.25">
      <c r="A362" s="8">
        <f>[1]Data!A362</f>
        <v>404301</v>
      </c>
      <c r="B362" s="8">
        <f>[1]Data!B362</f>
        <v>3</v>
      </c>
      <c r="C362" s="8">
        <f>[1]Data!C362</f>
        <v>0</v>
      </c>
      <c r="D362" s="8">
        <f>[1]Data!D362</f>
        <v>1</v>
      </c>
      <c r="E362" s="8" t="str">
        <f>[1]Data!E362</f>
        <v>INDIV</v>
      </c>
      <c r="F362" s="8" t="str">
        <f>[1]Data!F362</f>
        <v>Azusa</v>
      </c>
      <c r="G362" s="8">
        <f>[1]Data!G362</f>
        <v>0</v>
      </c>
      <c r="H362" s="8">
        <f>[1]Data!H362</f>
        <v>0</v>
      </c>
      <c r="I362" s="8">
        <f>[1]Data!I362</f>
        <v>3</v>
      </c>
      <c r="J362" s="8">
        <f>[1]Data!J362</f>
        <v>0</v>
      </c>
      <c r="K362" s="8">
        <f>[1]Data!K362</f>
        <v>3</v>
      </c>
      <c r="L362" s="8">
        <f>[1]Data!L362</f>
        <v>0</v>
      </c>
      <c r="M362" s="8">
        <f>[1]Data!M362</f>
        <v>3</v>
      </c>
      <c r="N362" s="8">
        <f>[1]Data!N362</f>
        <v>8.9285714285714302E-2</v>
      </c>
      <c r="O362" s="8">
        <f>[1]Data!O362</f>
        <v>0</v>
      </c>
      <c r="P362" s="8">
        <f>[1]Data!P362</f>
        <v>1</v>
      </c>
      <c r="Q362" s="8">
        <f>[1]Data!Q362</f>
        <v>0</v>
      </c>
      <c r="R362" s="8">
        <f>[1]Data!R362</f>
        <v>0</v>
      </c>
      <c r="S362" s="8">
        <f>[1]Data!S362</f>
        <v>0</v>
      </c>
      <c r="T362">
        <f t="shared" si="25"/>
        <v>8.9285714285714302E-2</v>
      </c>
      <c r="U362">
        <f t="shared" si="26"/>
        <v>0</v>
      </c>
      <c r="V362" s="4" t="str">
        <f t="shared" si="27"/>
        <v>0</v>
      </c>
      <c r="W362" s="4" t="str">
        <f t="shared" si="28"/>
        <v>3</v>
      </c>
      <c r="X362" s="4" t="str">
        <f t="shared" si="29"/>
        <v>0INDIV3</v>
      </c>
      <c r="Y362">
        <f>VLOOKUP(X362,Sheet1!$J$5:$K$121,2,FALSE)</f>
        <v>0</v>
      </c>
    </row>
    <row r="363" spans="1:25" x14ac:dyDescent="0.25">
      <c r="A363" s="8">
        <f>[1]Data!A363</f>
        <v>402600</v>
      </c>
      <c r="B363" s="8">
        <f>[1]Data!B363</f>
        <v>3</v>
      </c>
      <c r="C363" s="8">
        <f>[1]Data!C363</f>
        <v>0</v>
      </c>
      <c r="D363" s="8">
        <f>[1]Data!D363</f>
        <v>1</v>
      </c>
      <c r="E363" s="8" t="str">
        <f>[1]Data!E363</f>
        <v>INDIV</v>
      </c>
      <c r="F363" s="8" t="str">
        <f>[1]Data!F363</f>
        <v>Pomona</v>
      </c>
      <c r="G363" s="8">
        <f>[1]Data!G363</f>
        <v>0</v>
      </c>
      <c r="H363" s="8">
        <f>[1]Data!H363</f>
        <v>0</v>
      </c>
      <c r="I363" s="8">
        <f>[1]Data!I363</f>
        <v>14.021000000000001</v>
      </c>
      <c r="J363" s="8">
        <f>[1]Data!J363</f>
        <v>3.8885795999999999</v>
      </c>
      <c r="K363" s="8">
        <f>[1]Data!K363</f>
        <v>13.8885796</v>
      </c>
      <c r="L363" s="8">
        <f>[1]Data!L363</f>
        <v>0.131797923464991</v>
      </c>
      <c r="M363" s="8">
        <f>[1]Data!M363</f>
        <v>14.020377523464999</v>
      </c>
      <c r="N363" s="8">
        <f>[1]Data!N363</f>
        <v>8.9285714285714302E-2</v>
      </c>
      <c r="O363" s="8">
        <f>[1]Data!O363</f>
        <v>0</v>
      </c>
      <c r="P363" s="8">
        <f>[1]Data!P363</f>
        <v>1</v>
      </c>
      <c r="Q363" s="8">
        <f>[1]Data!Q363</f>
        <v>0</v>
      </c>
      <c r="R363" s="8">
        <f>[1]Data!R363</f>
        <v>0</v>
      </c>
      <c r="S363" s="8">
        <f>[1]Data!S363</f>
        <v>0</v>
      </c>
      <c r="T363">
        <f t="shared" si="25"/>
        <v>8.9285714285714302E-2</v>
      </c>
      <c r="U363">
        <f t="shared" si="26"/>
        <v>0</v>
      </c>
      <c r="V363" s="4" t="str">
        <f t="shared" si="27"/>
        <v>0</v>
      </c>
      <c r="W363" s="4" t="str">
        <f t="shared" si="28"/>
        <v>3</v>
      </c>
      <c r="X363" s="4" t="str">
        <f t="shared" si="29"/>
        <v>0INDIV3</v>
      </c>
      <c r="Y363">
        <f>VLOOKUP(X363,Sheet1!$J$5:$K$121,2,FALSE)</f>
        <v>0</v>
      </c>
    </row>
    <row r="364" spans="1:25" x14ac:dyDescent="0.25">
      <c r="A364" s="8">
        <f>[1]Data!A364</f>
        <v>407101</v>
      </c>
      <c r="B364" s="8">
        <f>[1]Data!B364</f>
        <v>3</v>
      </c>
      <c r="C364" s="8">
        <f>[1]Data!C364</f>
        <v>0</v>
      </c>
      <c r="D364" s="8">
        <f>[1]Data!D364</f>
        <v>1</v>
      </c>
      <c r="E364" s="8" t="str">
        <f>[1]Data!E364</f>
        <v>INDIV</v>
      </c>
      <c r="F364" s="8" t="str">
        <f>[1]Data!F364</f>
        <v>La Puente</v>
      </c>
      <c r="G364" s="8">
        <f>[1]Data!G364</f>
        <v>0</v>
      </c>
      <c r="H364" s="8">
        <f>[1]Data!H364</f>
        <v>0</v>
      </c>
      <c r="I364" s="8">
        <f>[1]Data!I364</f>
        <v>6.0949999999999998</v>
      </c>
      <c r="J364" s="8">
        <f>[1]Data!J364</f>
        <v>1.9836996600000001</v>
      </c>
      <c r="K364" s="8">
        <f>[1]Data!K364</f>
        <v>5.9836996600000001</v>
      </c>
      <c r="L364" s="8">
        <f>[1]Data!L364</f>
        <v>0.11117260138240601</v>
      </c>
      <c r="M364" s="8">
        <f>[1]Data!M364</f>
        <v>6.0948722613824096</v>
      </c>
      <c r="N364" s="8">
        <f>[1]Data!N364</f>
        <v>8.9285714285714302E-2</v>
      </c>
      <c r="O364" s="8">
        <f>[1]Data!O364</f>
        <v>0</v>
      </c>
      <c r="P364" s="8">
        <f>[1]Data!P364</f>
        <v>1</v>
      </c>
      <c r="Q364" s="8">
        <f>[1]Data!Q364</f>
        <v>0</v>
      </c>
      <c r="R364" s="8">
        <f>[1]Data!R364</f>
        <v>0</v>
      </c>
      <c r="S364" s="8">
        <f>[1]Data!S364</f>
        <v>0</v>
      </c>
      <c r="T364">
        <f t="shared" si="25"/>
        <v>8.9285714285714302E-2</v>
      </c>
      <c r="U364">
        <f t="shared" si="26"/>
        <v>0</v>
      </c>
      <c r="V364" s="4" t="str">
        <f t="shared" si="27"/>
        <v>0</v>
      </c>
      <c r="W364" s="4" t="str">
        <f t="shared" si="28"/>
        <v>3</v>
      </c>
      <c r="X364" s="4" t="str">
        <f t="shared" si="29"/>
        <v>0INDIV3</v>
      </c>
      <c r="Y364">
        <f>VLOOKUP(X364,Sheet1!$J$5:$K$121,2,FALSE)</f>
        <v>0</v>
      </c>
    </row>
    <row r="365" spans="1:25" x14ac:dyDescent="0.25">
      <c r="A365" s="8">
        <f>[1]Data!A365</f>
        <v>405702</v>
      </c>
      <c r="B365" s="8">
        <f>[1]Data!B365</f>
        <v>3</v>
      </c>
      <c r="C365" s="8">
        <f>[1]Data!C365</f>
        <v>0</v>
      </c>
      <c r="D365" s="8">
        <f>[1]Data!D365</f>
        <v>5</v>
      </c>
      <c r="E365" s="8" t="str">
        <f>[1]Data!E365</f>
        <v>INDIV</v>
      </c>
      <c r="F365" s="8" t="str">
        <f>[1]Data!F365</f>
        <v>Covina</v>
      </c>
      <c r="G365" s="8">
        <f>[1]Data!G365</f>
        <v>0</v>
      </c>
      <c r="H365" s="8">
        <f>[1]Data!H365</f>
        <v>0</v>
      </c>
      <c r="I365" s="8">
        <f>[1]Data!I365</f>
        <v>6</v>
      </c>
      <c r="J365" s="8">
        <f>[1]Data!J365</f>
        <v>0</v>
      </c>
      <c r="K365" s="8">
        <f>[1]Data!K365</f>
        <v>6</v>
      </c>
      <c r="L365" s="8">
        <f>[1]Data!L365</f>
        <v>0</v>
      </c>
      <c r="M365" s="8">
        <f>[1]Data!M365</f>
        <v>6</v>
      </c>
      <c r="N365" s="8">
        <f>[1]Data!N365</f>
        <v>8.9285714285714302E-2</v>
      </c>
      <c r="O365" s="8">
        <f>[1]Data!O365</f>
        <v>0</v>
      </c>
      <c r="P365" s="8">
        <f>[1]Data!P365</f>
        <v>1</v>
      </c>
      <c r="Q365" s="8">
        <f>[1]Data!Q365</f>
        <v>0</v>
      </c>
      <c r="R365" s="8">
        <f>[1]Data!R365</f>
        <v>0</v>
      </c>
      <c r="S365" s="8">
        <f>[1]Data!S365</f>
        <v>0</v>
      </c>
      <c r="T365">
        <f t="shared" si="25"/>
        <v>8.9285714285714302E-2</v>
      </c>
      <c r="U365">
        <f t="shared" si="26"/>
        <v>0</v>
      </c>
      <c r="V365" s="4" t="str">
        <f t="shared" si="27"/>
        <v>0</v>
      </c>
      <c r="W365" s="4" t="str">
        <f t="shared" si="28"/>
        <v>3</v>
      </c>
      <c r="X365" s="4" t="str">
        <f t="shared" si="29"/>
        <v>0INDIV3</v>
      </c>
      <c r="Y365">
        <f>VLOOKUP(X365,Sheet1!$J$5:$K$121,2,FALSE)</f>
        <v>0</v>
      </c>
    </row>
    <row r="366" spans="1:25" x14ac:dyDescent="0.25">
      <c r="A366" s="8">
        <f>[1]Data!A366</f>
        <v>405900</v>
      </c>
      <c r="B366" s="8">
        <f>[1]Data!B366</f>
        <v>3</v>
      </c>
      <c r="C366" s="8">
        <f>[1]Data!C366</f>
        <v>0</v>
      </c>
      <c r="D366" s="8">
        <f>[1]Data!D366</f>
        <v>5</v>
      </c>
      <c r="E366" s="8" t="str">
        <f>[1]Data!E366</f>
        <v>INDIV</v>
      </c>
      <c r="F366" s="8" t="str">
        <f>[1]Data!F366</f>
        <v>Covina</v>
      </c>
      <c r="G366" s="8">
        <f>[1]Data!G366</f>
        <v>0</v>
      </c>
      <c r="H366" s="8">
        <f>[1]Data!H366</f>
        <v>0</v>
      </c>
      <c r="I366" s="8">
        <f>[1]Data!I366</f>
        <v>3</v>
      </c>
      <c r="J366" s="8">
        <f>[1]Data!J366</f>
        <v>0</v>
      </c>
      <c r="K366" s="8">
        <f>[1]Data!K366</f>
        <v>3</v>
      </c>
      <c r="L366" s="8">
        <f>[1]Data!L366</f>
        <v>0</v>
      </c>
      <c r="M366" s="8">
        <f>[1]Data!M366</f>
        <v>3</v>
      </c>
      <c r="N366" s="8">
        <f>[1]Data!N366</f>
        <v>8.9285714285714302E-2</v>
      </c>
      <c r="O366" s="8">
        <f>[1]Data!O366</f>
        <v>0</v>
      </c>
      <c r="P366" s="8">
        <f>[1]Data!P366</f>
        <v>1</v>
      </c>
      <c r="Q366" s="8">
        <f>[1]Data!Q366</f>
        <v>0</v>
      </c>
      <c r="R366" s="8">
        <f>[1]Data!R366</f>
        <v>0</v>
      </c>
      <c r="S366" s="8">
        <f>[1]Data!S366</f>
        <v>0</v>
      </c>
      <c r="T366">
        <f t="shared" si="25"/>
        <v>8.9285714285714302E-2</v>
      </c>
      <c r="U366">
        <f t="shared" si="26"/>
        <v>0</v>
      </c>
      <c r="V366" s="4" t="str">
        <f t="shared" si="27"/>
        <v>0</v>
      </c>
      <c r="W366" s="4" t="str">
        <f t="shared" si="28"/>
        <v>3</v>
      </c>
      <c r="X366" s="4" t="str">
        <f t="shared" si="29"/>
        <v>0INDIV3</v>
      </c>
      <c r="Y366">
        <f>VLOOKUP(X366,Sheet1!$J$5:$K$121,2,FALSE)</f>
        <v>0</v>
      </c>
    </row>
    <row r="367" spans="1:25" x14ac:dyDescent="0.25">
      <c r="A367" s="8">
        <f>[1]Data!A367</f>
        <v>406200</v>
      </c>
      <c r="B367" s="8">
        <f>[1]Data!B367</f>
        <v>3</v>
      </c>
      <c r="C367" s="8">
        <f>[1]Data!C367</f>
        <v>0</v>
      </c>
      <c r="D367" s="8">
        <f>[1]Data!D367</f>
        <v>1</v>
      </c>
      <c r="E367" s="8" t="str">
        <f>[1]Data!E367</f>
        <v>INDIV</v>
      </c>
      <c r="F367" s="8" t="str">
        <f>[1]Data!F367</f>
        <v>West Covina</v>
      </c>
      <c r="G367" s="8">
        <f>[1]Data!G367</f>
        <v>0</v>
      </c>
      <c r="H367" s="8">
        <f>[1]Data!H367</f>
        <v>0</v>
      </c>
      <c r="I367" s="8">
        <f>[1]Data!I367</f>
        <v>6.5170000000000003</v>
      </c>
      <c r="J367" s="8">
        <f>[1]Data!J367</f>
        <v>3.3440765099999998</v>
      </c>
      <c r="K367" s="8">
        <f>[1]Data!K367</f>
        <v>6.3440765099999998</v>
      </c>
      <c r="L367" s="8">
        <f>[1]Data!L367</f>
        <v>0.17207732822262101</v>
      </c>
      <c r="M367" s="8">
        <f>[1]Data!M367</f>
        <v>6.5161538382226203</v>
      </c>
      <c r="N367" s="8">
        <f>[1]Data!N367</f>
        <v>8.9285714285714302E-2</v>
      </c>
      <c r="O367" s="8">
        <f>[1]Data!O367</f>
        <v>0</v>
      </c>
      <c r="P367" s="8">
        <f>[1]Data!P367</f>
        <v>1</v>
      </c>
      <c r="Q367" s="8">
        <f>[1]Data!Q367</f>
        <v>0</v>
      </c>
      <c r="R367" s="8">
        <f>[1]Data!R367</f>
        <v>0</v>
      </c>
      <c r="S367" s="8">
        <f>[1]Data!S367</f>
        <v>0</v>
      </c>
      <c r="T367">
        <f t="shared" si="25"/>
        <v>8.9285714285714302E-2</v>
      </c>
      <c r="U367">
        <f t="shared" si="26"/>
        <v>0</v>
      </c>
      <c r="V367" s="4" t="str">
        <f t="shared" si="27"/>
        <v>0</v>
      </c>
      <c r="W367" s="4" t="str">
        <f t="shared" si="28"/>
        <v>3</v>
      </c>
      <c r="X367" s="4" t="str">
        <f t="shared" si="29"/>
        <v>0INDIV3</v>
      </c>
      <c r="Y367">
        <f>VLOOKUP(X367,Sheet1!$J$5:$K$121,2,FALSE)</f>
        <v>0</v>
      </c>
    </row>
    <row r="368" spans="1:25" x14ac:dyDescent="0.25">
      <c r="A368" s="8">
        <f>[1]Data!A368</f>
        <v>481402</v>
      </c>
      <c r="B368" s="8">
        <f>[1]Data!B368</f>
        <v>3</v>
      </c>
      <c r="C368" s="8">
        <f>[1]Data!C368</f>
        <v>0</v>
      </c>
      <c r="D368" s="8">
        <f>[1]Data!D368</f>
        <v>5</v>
      </c>
      <c r="E368" s="8" t="str">
        <f>[1]Data!E368</f>
        <v>INDIV</v>
      </c>
      <c r="F368" s="8" t="str">
        <f>[1]Data!F368</f>
        <v>San Gabriel</v>
      </c>
      <c r="G368" s="8">
        <f>[1]Data!G368</f>
        <v>0</v>
      </c>
      <c r="H368" s="8">
        <f>[1]Data!H368</f>
        <v>0</v>
      </c>
      <c r="I368" s="8">
        <f>[1]Data!I368</f>
        <v>1</v>
      </c>
      <c r="J368" s="8">
        <f>[1]Data!J368</f>
        <v>0</v>
      </c>
      <c r="K368" s="8">
        <f>[1]Data!K368</f>
        <v>1</v>
      </c>
      <c r="L368" s="8">
        <f>[1]Data!L368</f>
        <v>0</v>
      </c>
      <c r="M368" s="8">
        <f>[1]Data!M368</f>
        <v>1</v>
      </c>
      <c r="N368" s="8">
        <f>[1]Data!N368</f>
        <v>8.9285714285714302E-2</v>
      </c>
      <c r="O368" s="8">
        <f>[1]Data!O368</f>
        <v>0</v>
      </c>
      <c r="P368" s="8">
        <f>[1]Data!P368</f>
        <v>1</v>
      </c>
      <c r="Q368" s="8">
        <f>[1]Data!Q368</f>
        <v>0</v>
      </c>
      <c r="R368" s="8">
        <f>[1]Data!R368</f>
        <v>0</v>
      </c>
      <c r="S368" s="8">
        <f>[1]Data!S368</f>
        <v>0</v>
      </c>
      <c r="T368">
        <f t="shared" si="25"/>
        <v>8.9285714285714302E-2</v>
      </c>
      <c r="U368">
        <f t="shared" si="26"/>
        <v>0</v>
      </c>
      <c r="V368" s="4" t="str">
        <f t="shared" si="27"/>
        <v>0</v>
      </c>
      <c r="W368" s="4" t="str">
        <f t="shared" si="28"/>
        <v>3</v>
      </c>
      <c r="X368" s="4" t="str">
        <f t="shared" si="29"/>
        <v>0INDIV3</v>
      </c>
      <c r="Y368">
        <f>VLOOKUP(X368,Sheet1!$J$5:$K$121,2,FALSE)</f>
        <v>0</v>
      </c>
    </row>
    <row r="369" spans="1:25" x14ac:dyDescent="0.25">
      <c r="A369" s="8">
        <f>[1]Data!A369</f>
        <v>482600</v>
      </c>
      <c r="B369" s="8">
        <f>[1]Data!B369</f>
        <v>3</v>
      </c>
      <c r="C369" s="8">
        <f>[1]Data!C369</f>
        <v>0</v>
      </c>
      <c r="D369" s="8">
        <f>[1]Data!D369</f>
        <v>1</v>
      </c>
      <c r="E369" s="8" t="str">
        <f>[1]Data!E369</f>
        <v>INDIV</v>
      </c>
      <c r="F369" s="8" t="str">
        <f>[1]Data!F369</f>
        <v>Monterey Park</v>
      </c>
      <c r="G369" s="8">
        <f>[1]Data!G369</f>
        <v>0</v>
      </c>
      <c r="H369" s="8">
        <f>[1]Data!H369</f>
        <v>0</v>
      </c>
      <c r="I369" s="8">
        <f>[1]Data!I369</f>
        <v>0</v>
      </c>
      <c r="J369" s="8">
        <f>[1]Data!J369</f>
        <v>0</v>
      </c>
      <c r="K369" s="8">
        <f>[1]Data!K369</f>
        <v>0</v>
      </c>
      <c r="L369" s="8">
        <f>[1]Data!L369</f>
        <v>0</v>
      </c>
      <c r="M369" s="8">
        <f>[1]Data!M369</f>
        <v>0</v>
      </c>
      <c r="N369" s="8">
        <f>[1]Data!N369</f>
        <v>8.9285714285714302E-2</v>
      </c>
      <c r="O369" s="8">
        <f>[1]Data!O369</f>
        <v>0</v>
      </c>
      <c r="P369" s="8">
        <f>[1]Data!P369</f>
        <v>1</v>
      </c>
      <c r="Q369" s="8">
        <f>[1]Data!Q369</f>
        <v>0</v>
      </c>
      <c r="R369" s="8">
        <f>[1]Data!R369</f>
        <v>0</v>
      </c>
      <c r="S369" s="8">
        <f>[1]Data!S369</f>
        <v>0</v>
      </c>
      <c r="T369">
        <f t="shared" si="25"/>
        <v>8.9285714285714302E-2</v>
      </c>
      <c r="U369">
        <f t="shared" si="26"/>
        <v>0</v>
      </c>
      <c r="V369" s="4" t="str">
        <f t="shared" si="27"/>
        <v>0</v>
      </c>
      <c r="W369" s="4" t="str">
        <f t="shared" si="28"/>
        <v>3</v>
      </c>
      <c r="X369" s="4" t="str">
        <f t="shared" si="29"/>
        <v>0INDIV3</v>
      </c>
      <c r="Y369">
        <f>VLOOKUP(X369,Sheet1!$J$5:$K$121,2,FALSE)</f>
        <v>0</v>
      </c>
    </row>
    <row r="370" spans="1:25" x14ac:dyDescent="0.25">
      <c r="A370" s="8">
        <f>[1]Data!A370</f>
        <v>402706</v>
      </c>
      <c r="B370" s="8">
        <f>[1]Data!B370</f>
        <v>3</v>
      </c>
      <c r="C370" s="8">
        <f>[1]Data!C370</f>
        <v>0</v>
      </c>
      <c r="D370" s="8">
        <f>[1]Data!D370</f>
        <v>1</v>
      </c>
      <c r="E370" s="8" t="str">
        <f>[1]Data!E370</f>
        <v>INDIV</v>
      </c>
      <c r="F370" s="8" t="str">
        <f>[1]Data!F370</f>
        <v>Pomona</v>
      </c>
      <c r="G370" s="8">
        <f>[1]Data!G370</f>
        <v>0</v>
      </c>
      <c r="H370" s="8">
        <f>[1]Data!H370</f>
        <v>0</v>
      </c>
      <c r="I370" s="8">
        <f>[1]Data!I370</f>
        <v>5.0949999999999998</v>
      </c>
      <c r="J370" s="8">
        <f>[1]Data!J370</f>
        <v>1.9836996600000001</v>
      </c>
      <c r="K370" s="8">
        <f>[1]Data!K370</f>
        <v>4.9836996600000001</v>
      </c>
      <c r="L370" s="8">
        <f>[1]Data!L370</f>
        <v>0.11117260138240601</v>
      </c>
      <c r="M370" s="8">
        <f>[1]Data!M370</f>
        <v>5.0948722613824096</v>
      </c>
      <c r="N370" s="8">
        <f>[1]Data!N370</f>
        <v>8.9285714285714302E-2</v>
      </c>
      <c r="O370" s="8">
        <f>[1]Data!O370</f>
        <v>0</v>
      </c>
      <c r="P370" s="8">
        <f>[1]Data!P370</f>
        <v>1</v>
      </c>
      <c r="Q370" s="8">
        <f>[1]Data!Q370</f>
        <v>0</v>
      </c>
      <c r="R370" s="8">
        <f>[1]Data!R370</f>
        <v>0</v>
      </c>
      <c r="S370" s="8">
        <f>[1]Data!S370</f>
        <v>0</v>
      </c>
      <c r="T370">
        <f t="shared" si="25"/>
        <v>8.9285714285714302E-2</v>
      </c>
      <c r="U370">
        <f t="shared" si="26"/>
        <v>0</v>
      </c>
      <c r="V370" s="4" t="str">
        <f t="shared" si="27"/>
        <v>0</v>
      </c>
      <c r="W370" s="4" t="str">
        <f t="shared" si="28"/>
        <v>3</v>
      </c>
      <c r="X370" s="4" t="str">
        <f t="shared" si="29"/>
        <v>0INDIV3</v>
      </c>
      <c r="Y370">
        <f>VLOOKUP(X370,Sheet1!$J$5:$K$121,2,FALSE)</f>
        <v>0</v>
      </c>
    </row>
    <row r="371" spans="1:25" x14ac:dyDescent="0.25">
      <c r="A371" s="8">
        <f>[1]Data!A371</f>
        <v>400800</v>
      </c>
      <c r="B371" s="8">
        <f>[1]Data!B371</f>
        <v>3</v>
      </c>
      <c r="C371" s="8">
        <f>[1]Data!C371</f>
        <v>0</v>
      </c>
      <c r="D371" s="8">
        <f>[1]Data!D371</f>
        <v>5</v>
      </c>
      <c r="E371" s="8" t="str">
        <f>[1]Data!E371</f>
        <v>INDIV</v>
      </c>
      <c r="F371" s="8" t="str">
        <f>[1]Data!F371</f>
        <v>Glendora</v>
      </c>
      <c r="G371" s="8">
        <f>[1]Data!G371</f>
        <v>1</v>
      </c>
      <c r="H371" s="8">
        <f>[1]Data!H371</f>
        <v>1</v>
      </c>
      <c r="I371" s="8">
        <f>[1]Data!I371</f>
        <v>0</v>
      </c>
      <c r="J371" s="8">
        <f>[1]Data!J371</f>
        <v>0</v>
      </c>
      <c r="K371" s="8">
        <f>[1]Data!K371</f>
        <v>0</v>
      </c>
      <c r="L371" s="8">
        <f>[1]Data!L371</f>
        <v>0</v>
      </c>
      <c r="M371" s="8">
        <f>[1]Data!M371</f>
        <v>0</v>
      </c>
      <c r="N371" s="8">
        <f>[1]Data!N371</f>
        <v>8.9285714285714302E-2</v>
      </c>
      <c r="O371" s="8">
        <f>[1]Data!O371</f>
        <v>11.2</v>
      </c>
      <c r="P371" s="8">
        <f>[1]Data!P371</f>
        <v>1</v>
      </c>
      <c r="Q371" s="8">
        <f>[1]Data!Q371</f>
        <v>0</v>
      </c>
      <c r="R371" s="8">
        <f>[1]Data!R371</f>
        <v>0</v>
      </c>
      <c r="S371" s="8">
        <f>[1]Data!S371</f>
        <v>0</v>
      </c>
      <c r="T371">
        <f t="shared" si="25"/>
        <v>8.9285714285714302E-2</v>
      </c>
      <c r="U371">
        <f t="shared" si="26"/>
        <v>11.199999999999998</v>
      </c>
      <c r="V371" s="4" t="str">
        <f t="shared" si="27"/>
        <v>0</v>
      </c>
      <c r="W371" s="4" t="str">
        <f t="shared" si="28"/>
        <v>3</v>
      </c>
      <c r="X371" s="4" t="str">
        <f t="shared" si="29"/>
        <v>0INDIV3</v>
      </c>
      <c r="Y371">
        <f>VLOOKUP(X371,Sheet1!$J$5:$K$121,2,FALSE)</f>
        <v>0</v>
      </c>
    </row>
    <row r="372" spans="1:25" x14ac:dyDescent="0.25">
      <c r="A372" s="8">
        <f>[1]Data!A372</f>
        <v>405302</v>
      </c>
      <c r="B372" s="8">
        <f>[1]Data!B372</f>
        <v>3</v>
      </c>
      <c r="C372" s="8">
        <f>[1]Data!C372</f>
        <v>0</v>
      </c>
      <c r="D372" s="8">
        <f>[1]Data!D372</f>
        <v>1</v>
      </c>
      <c r="E372" s="8" t="str">
        <f>[1]Data!E372</f>
        <v>INDIV</v>
      </c>
      <c r="F372" s="8" t="str">
        <f>[1]Data!F372</f>
        <v>West Covina</v>
      </c>
      <c r="G372" s="8">
        <f>[1]Data!G372</f>
        <v>0</v>
      </c>
      <c r="H372" s="8">
        <f>[1]Data!H372</f>
        <v>0</v>
      </c>
      <c r="I372" s="8">
        <f>[1]Data!I372</f>
        <v>5.5170000000000003</v>
      </c>
      <c r="J372" s="8">
        <f>[1]Data!J372</f>
        <v>3.3440765099999998</v>
      </c>
      <c r="K372" s="8">
        <f>[1]Data!K372</f>
        <v>5.3440765099999998</v>
      </c>
      <c r="L372" s="8">
        <f>[1]Data!L372</f>
        <v>0.17207732822262101</v>
      </c>
      <c r="M372" s="8">
        <f>[1]Data!M372</f>
        <v>5.5161538382226203</v>
      </c>
      <c r="N372" s="8">
        <f>[1]Data!N372</f>
        <v>8.9285714285714302E-2</v>
      </c>
      <c r="O372" s="8">
        <f>[1]Data!O372</f>
        <v>0</v>
      </c>
      <c r="P372" s="8">
        <f>[1]Data!P372</f>
        <v>1</v>
      </c>
      <c r="Q372" s="8">
        <f>[1]Data!Q372</f>
        <v>0</v>
      </c>
      <c r="R372" s="8">
        <f>[1]Data!R372</f>
        <v>0</v>
      </c>
      <c r="S372" s="8">
        <f>[1]Data!S372</f>
        <v>0</v>
      </c>
      <c r="T372">
        <f t="shared" si="25"/>
        <v>8.9285714285714302E-2</v>
      </c>
      <c r="U372">
        <f t="shared" si="26"/>
        <v>0</v>
      </c>
      <c r="V372" s="4" t="str">
        <f t="shared" si="27"/>
        <v>0</v>
      </c>
      <c r="W372" s="4" t="str">
        <f t="shared" si="28"/>
        <v>3</v>
      </c>
      <c r="X372" s="4" t="str">
        <f t="shared" si="29"/>
        <v>0INDIV3</v>
      </c>
      <c r="Y372">
        <f>VLOOKUP(X372,Sheet1!$J$5:$K$121,2,FALSE)</f>
        <v>0</v>
      </c>
    </row>
    <row r="373" spans="1:25" x14ac:dyDescent="0.25">
      <c r="A373" s="8">
        <f>[1]Data!A373</f>
        <v>432201</v>
      </c>
      <c r="B373" s="8">
        <f>[1]Data!B373</f>
        <v>3</v>
      </c>
      <c r="C373" s="8">
        <f>[1]Data!C373</f>
        <v>0</v>
      </c>
      <c r="D373" s="8">
        <f>[1]Data!D373</f>
        <v>1</v>
      </c>
      <c r="E373" s="8" t="str">
        <f>[1]Data!E373</f>
        <v>INDIV</v>
      </c>
      <c r="F373" s="8" t="str">
        <f>[1]Data!F373</f>
        <v>Rosemead</v>
      </c>
      <c r="G373" s="8">
        <f>[1]Data!G373</f>
        <v>0</v>
      </c>
      <c r="H373" s="8">
        <f>[1]Data!H373</f>
        <v>0</v>
      </c>
      <c r="I373" s="8">
        <f>[1]Data!I373</f>
        <v>0</v>
      </c>
      <c r="J373" s="8">
        <f>[1]Data!J373</f>
        <v>0</v>
      </c>
      <c r="K373" s="8">
        <f>[1]Data!K373</f>
        <v>0</v>
      </c>
      <c r="L373" s="8">
        <f>[1]Data!L373</f>
        <v>0</v>
      </c>
      <c r="M373" s="8">
        <f>[1]Data!M373</f>
        <v>0</v>
      </c>
      <c r="N373" s="8">
        <f>[1]Data!N373</f>
        <v>8.9285714285714302E-2</v>
      </c>
      <c r="O373" s="8">
        <f>[1]Data!O373</f>
        <v>0</v>
      </c>
      <c r="P373" s="8">
        <f>[1]Data!P373</f>
        <v>1</v>
      </c>
      <c r="Q373" s="8">
        <f>[1]Data!Q373</f>
        <v>0</v>
      </c>
      <c r="R373" s="8">
        <f>[1]Data!R373</f>
        <v>0</v>
      </c>
      <c r="S373" s="8">
        <f>[1]Data!S373</f>
        <v>0</v>
      </c>
      <c r="T373">
        <f t="shared" si="25"/>
        <v>8.9285714285714302E-2</v>
      </c>
      <c r="U373">
        <f t="shared" si="26"/>
        <v>0</v>
      </c>
      <c r="V373" s="4" t="str">
        <f t="shared" si="27"/>
        <v>0</v>
      </c>
      <c r="W373" s="4" t="str">
        <f t="shared" si="28"/>
        <v>3</v>
      </c>
      <c r="X373" s="4" t="str">
        <f t="shared" si="29"/>
        <v>0INDIV3</v>
      </c>
      <c r="Y373">
        <f>VLOOKUP(X373,Sheet1!$J$5:$K$121,2,FALSE)</f>
        <v>0</v>
      </c>
    </row>
    <row r="374" spans="1:25" x14ac:dyDescent="0.25">
      <c r="A374" s="8">
        <f>[1]Data!A374</f>
        <v>405001</v>
      </c>
      <c r="B374" s="8">
        <f>[1]Data!B374</f>
        <v>3</v>
      </c>
      <c r="C374" s="8">
        <f>[1]Data!C374</f>
        <v>0</v>
      </c>
      <c r="D374" s="8">
        <f>[1]Data!D374</f>
        <v>1</v>
      </c>
      <c r="E374" s="8" t="str">
        <f>[1]Data!E374</f>
        <v>INDIV</v>
      </c>
      <c r="F374" s="8" t="str">
        <f>[1]Data!F374</f>
        <v>Baldwin Park</v>
      </c>
      <c r="G374" s="8">
        <f>[1]Data!G374</f>
        <v>0</v>
      </c>
      <c r="H374" s="8">
        <f>[1]Data!H374</f>
        <v>0</v>
      </c>
      <c r="I374" s="8">
        <f>[1]Data!I374</f>
        <v>3.0950000000000002</v>
      </c>
      <c r="J374" s="8">
        <f>[1]Data!J374</f>
        <v>1.9836996600000001</v>
      </c>
      <c r="K374" s="8">
        <f>[1]Data!K374</f>
        <v>2.9836996600000001</v>
      </c>
      <c r="L374" s="8">
        <f>[1]Data!L374</f>
        <v>0.11117260138240601</v>
      </c>
      <c r="M374" s="8">
        <f>[1]Data!M374</f>
        <v>3.09487226138241</v>
      </c>
      <c r="N374" s="8">
        <f>[1]Data!N374</f>
        <v>8.9285714285714302E-2</v>
      </c>
      <c r="O374" s="8">
        <f>[1]Data!O374</f>
        <v>0</v>
      </c>
      <c r="P374" s="8">
        <f>[1]Data!P374</f>
        <v>1</v>
      </c>
      <c r="Q374" s="8">
        <f>[1]Data!Q374</f>
        <v>0</v>
      </c>
      <c r="R374" s="8">
        <f>[1]Data!R374</f>
        <v>0</v>
      </c>
      <c r="S374" s="8">
        <f>[1]Data!S374</f>
        <v>0</v>
      </c>
      <c r="T374">
        <f t="shared" si="25"/>
        <v>8.9285714285714302E-2</v>
      </c>
      <c r="U374">
        <f t="shared" si="26"/>
        <v>0</v>
      </c>
      <c r="V374" s="4" t="str">
        <f t="shared" si="27"/>
        <v>0</v>
      </c>
      <c r="W374" s="4" t="str">
        <f t="shared" si="28"/>
        <v>3</v>
      </c>
      <c r="X374" s="4" t="str">
        <f t="shared" si="29"/>
        <v>0INDIV3</v>
      </c>
      <c r="Y374">
        <f>VLOOKUP(X374,Sheet1!$J$5:$K$121,2,FALSE)</f>
        <v>0</v>
      </c>
    </row>
    <row r="375" spans="1:25" x14ac:dyDescent="0.25">
      <c r="A375" s="8">
        <f>[1]Data!A375</f>
        <v>401102</v>
      </c>
      <c r="B375" s="8">
        <f>[1]Data!B375</f>
        <v>3</v>
      </c>
      <c r="C375" s="8">
        <f>[1]Data!C375</f>
        <v>0</v>
      </c>
      <c r="D375" s="8">
        <f>[1]Data!D375</f>
        <v>5</v>
      </c>
      <c r="E375" s="8" t="str">
        <f>[1]Data!E375</f>
        <v>INDIV</v>
      </c>
      <c r="F375" s="8" t="str">
        <f>[1]Data!F375</f>
        <v>Glendora</v>
      </c>
      <c r="G375" s="8">
        <f>[1]Data!G375</f>
        <v>0</v>
      </c>
      <c r="H375" s="8">
        <f>[1]Data!H375</f>
        <v>0</v>
      </c>
      <c r="I375" s="8">
        <f>[1]Data!I375</f>
        <v>0</v>
      </c>
      <c r="J375" s="8">
        <f>[1]Data!J375</f>
        <v>0</v>
      </c>
      <c r="K375" s="8">
        <f>[1]Data!K375</f>
        <v>0</v>
      </c>
      <c r="L375" s="8">
        <f>[1]Data!L375</f>
        <v>0</v>
      </c>
      <c r="M375" s="8">
        <f>[1]Data!M375</f>
        <v>0</v>
      </c>
      <c r="N375" s="8">
        <f>[1]Data!N375</f>
        <v>8.9285714285714302E-2</v>
      </c>
      <c r="O375" s="8">
        <f>[1]Data!O375</f>
        <v>0</v>
      </c>
      <c r="P375" s="8">
        <f>[1]Data!P375</f>
        <v>1</v>
      </c>
      <c r="Q375" s="8">
        <f>[1]Data!Q375</f>
        <v>0</v>
      </c>
      <c r="R375" s="8">
        <f>[1]Data!R375</f>
        <v>0</v>
      </c>
      <c r="S375" s="8">
        <f>[1]Data!S375</f>
        <v>0</v>
      </c>
      <c r="T375">
        <f t="shared" si="25"/>
        <v>8.9285714285714302E-2</v>
      </c>
      <c r="U375">
        <f t="shared" si="26"/>
        <v>0</v>
      </c>
      <c r="V375" s="4" t="str">
        <f t="shared" si="27"/>
        <v>0</v>
      </c>
      <c r="W375" s="4" t="str">
        <f t="shared" si="28"/>
        <v>3</v>
      </c>
      <c r="X375" s="4" t="str">
        <f t="shared" si="29"/>
        <v>0INDIV3</v>
      </c>
      <c r="Y375">
        <f>VLOOKUP(X375,Sheet1!$J$5:$K$121,2,FALSE)</f>
        <v>0</v>
      </c>
    </row>
    <row r="376" spans="1:25" x14ac:dyDescent="0.25">
      <c r="A376" s="8">
        <f>[1]Data!A376</f>
        <v>433401</v>
      </c>
      <c r="B376" s="8">
        <f>[1]Data!B376</f>
        <v>3</v>
      </c>
      <c r="C376" s="8">
        <f>[1]Data!C376</f>
        <v>0</v>
      </c>
      <c r="D376" s="8">
        <f>[1]Data!D376</f>
        <v>1</v>
      </c>
      <c r="E376" s="8" t="str">
        <f>[1]Data!E376</f>
        <v>INDIV</v>
      </c>
      <c r="F376" s="8" t="str">
        <f>[1]Data!F376</f>
        <v>El Monte</v>
      </c>
      <c r="G376" s="8">
        <f>[1]Data!G376</f>
        <v>0</v>
      </c>
      <c r="H376" s="8">
        <f>[1]Data!H376</f>
        <v>0</v>
      </c>
      <c r="I376" s="8">
        <f>[1]Data!I376</f>
        <v>0</v>
      </c>
      <c r="J376" s="8">
        <f>[1]Data!J376</f>
        <v>0</v>
      </c>
      <c r="K376" s="8">
        <f>[1]Data!K376</f>
        <v>0</v>
      </c>
      <c r="L376" s="8">
        <f>[1]Data!L376</f>
        <v>0</v>
      </c>
      <c r="M376" s="8">
        <f>[1]Data!M376</f>
        <v>0</v>
      </c>
      <c r="N376" s="8">
        <f>[1]Data!N376</f>
        <v>8.9285714285714302E-2</v>
      </c>
      <c r="O376" s="8">
        <f>[1]Data!O376</f>
        <v>0</v>
      </c>
      <c r="P376" s="8">
        <f>[1]Data!P376</f>
        <v>1</v>
      </c>
      <c r="Q376" s="8">
        <f>[1]Data!Q376</f>
        <v>0</v>
      </c>
      <c r="R376" s="8">
        <f>[1]Data!R376</f>
        <v>0</v>
      </c>
      <c r="S376" s="8">
        <f>[1]Data!S376</f>
        <v>0</v>
      </c>
      <c r="T376">
        <f t="shared" si="25"/>
        <v>8.9285714285714302E-2</v>
      </c>
      <c r="U376">
        <f t="shared" si="26"/>
        <v>0</v>
      </c>
      <c r="V376" s="4" t="str">
        <f t="shared" si="27"/>
        <v>0</v>
      </c>
      <c r="W376" s="4" t="str">
        <f t="shared" si="28"/>
        <v>3</v>
      </c>
      <c r="X376" s="4" t="str">
        <f t="shared" si="29"/>
        <v>0INDIV3</v>
      </c>
      <c r="Y376">
        <f>VLOOKUP(X376,Sheet1!$J$5:$K$121,2,FALSE)</f>
        <v>0</v>
      </c>
    </row>
    <row r="377" spans="1:25" x14ac:dyDescent="0.25">
      <c r="A377" s="8">
        <f>[1]Data!A377</f>
        <v>407200</v>
      </c>
      <c r="B377" s="8">
        <f>[1]Data!B377</f>
        <v>3</v>
      </c>
      <c r="C377" s="8">
        <f>[1]Data!C377</f>
        <v>0</v>
      </c>
      <c r="D377" s="8">
        <f>[1]Data!D377</f>
        <v>1</v>
      </c>
      <c r="E377" s="8" t="str">
        <f>[1]Data!E377</f>
        <v>INDIV</v>
      </c>
      <c r="F377" s="8" t="str">
        <f>[1]Data!F377</f>
        <v>La Puente</v>
      </c>
      <c r="G377" s="8">
        <f>[1]Data!G377</f>
        <v>0</v>
      </c>
      <c r="H377" s="8">
        <f>[1]Data!H377</f>
        <v>0</v>
      </c>
      <c r="I377" s="8">
        <f>[1]Data!I377</f>
        <v>1</v>
      </c>
      <c r="J377" s="8">
        <f>[1]Data!J377</f>
        <v>0</v>
      </c>
      <c r="K377" s="8">
        <f>[1]Data!K377</f>
        <v>1</v>
      </c>
      <c r="L377" s="8">
        <f>[1]Data!L377</f>
        <v>0</v>
      </c>
      <c r="M377" s="8">
        <f>[1]Data!M377</f>
        <v>1</v>
      </c>
      <c r="N377" s="8">
        <f>[1]Data!N377</f>
        <v>8.9285714285714302E-2</v>
      </c>
      <c r="O377" s="8">
        <f>[1]Data!O377</f>
        <v>0</v>
      </c>
      <c r="P377" s="8">
        <f>[1]Data!P377</f>
        <v>1</v>
      </c>
      <c r="Q377" s="8">
        <f>[1]Data!Q377</f>
        <v>0</v>
      </c>
      <c r="R377" s="8">
        <f>[1]Data!R377</f>
        <v>0</v>
      </c>
      <c r="S377" s="8">
        <f>[1]Data!S377</f>
        <v>0</v>
      </c>
      <c r="T377">
        <f t="shared" si="25"/>
        <v>8.9285714285714302E-2</v>
      </c>
      <c r="U377">
        <f t="shared" si="26"/>
        <v>0</v>
      </c>
      <c r="V377" s="4" t="str">
        <f t="shared" si="27"/>
        <v>0</v>
      </c>
      <c r="W377" s="4" t="str">
        <f t="shared" si="28"/>
        <v>3</v>
      </c>
      <c r="X377" s="4" t="str">
        <f t="shared" si="29"/>
        <v>0INDIV3</v>
      </c>
      <c r="Y377">
        <f>VLOOKUP(X377,Sheet1!$J$5:$K$121,2,FALSE)</f>
        <v>0</v>
      </c>
    </row>
    <row r="378" spans="1:25" x14ac:dyDescent="0.25">
      <c r="A378" s="8">
        <f>[1]Data!A378</f>
        <v>460302</v>
      </c>
      <c r="B378" s="8">
        <f>[1]Data!B378</f>
        <v>3</v>
      </c>
      <c r="C378" s="8">
        <f>[1]Data!C378</f>
        <v>0</v>
      </c>
      <c r="D378" s="8">
        <f>[1]Data!D378</f>
        <v>5</v>
      </c>
      <c r="E378" s="8" t="str">
        <f>[1]Data!E378</f>
        <v>INDIV</v>
      </c>
      <c r="F378" s="8" t="str">
        <f>[1]Data!F378</f>
        <v>Altadena</v>
      </c>
      <c r="G378" s="8">
        <f>[1]Data!G378</f>
        <v>0</v>
      </c>
      <c r="H378" s="8">
        <f>[1]Data!H378</f>
        <v>0</v>
      </c>
      <c r="I378" s="8">
        <f>[1]Data!I378</f>
        <v>4.8079999999999998</v>
      </c>
      <c r="J378" s="8">
        <f>[1]Data!J378</f>
        <v>1.73313217</v>
      </c>
      <c r="K378" s="8">
        <f>[1]Data!K378</f>
        <v>4.7331321700000002</v>
      </c>
      <c r="L378" s="8">
        <f>[1]Data!L378</f>
        <v>7.4985510287253102E-2</v>
      </c>
      <c r="M378" s="8">
        <f>[1]Data!M378</f>
        <v>4.8081176802872498</v>
      </c>
      <c r="N378" s="8">
        <f>[1]Data!N378</f>
        <v>8.9285714285714302E-2</v>
      </c>
      <c r="O378" s="8">
        <f>[1]Data!O378</f>
        <v>0</v>
      </c>
      <c r="P378" s="8">
        <f>[1]Data!P378</f>
        <v>1</v>
      </c>
      <c r="Q378" s="8">
        <f>[1]Data!Q378</f>
        <v>0</v>
      </c>
      <c r="R378" s="8">
        <f>[1]Data!R378</f>
        <v>0</v>
      </c>
      <c r="S378" s="8">
        <f>[1]Data!S378</f>
        <v>0</v>
      </c>
      <c r="T378">
        <f t="shared" si="25"/>
        <v>8.9285714285714302E-2</v>
      </c>
      <c r="U378">
        <f t="shared" si="26"/>
        <v>0</v>
      </c>
      <c r="V378" s="4" t="str">
        <f t="shared" si="27"/>
        <v>0</v>
      </c>
      <c r="W378" s="4" t="str">
        <f t="shared" si="28"/>
        <v>3</v>
      </c>
      <c r="X378" s="4" t="str">
        <f t="shared" si="29"/>
        <v>0INDIV3</v>
      </c>
      <c r="Y378">
        <f>VLOOKUP(X378,Sheet1!$J$5:$K$121,2,FALSE)</f>
        <v>0</v>
      </c>
    </row>
    <row r="379" spans="1:25" x14ac:dyDescent="0.25">
      <c r="A379" s="8">
        <f>[1]Data!A379</f>
        <v>405600</v>
      </c>
      <c r="B379" s="8">
        <f>[1]Data!B379</f>
        <v>3</v>
      </c>
      <c r="C379" s="8">
        <f>[1]Data!C379</f>
        <v>0</v>
      </c>
      <c r="D379" s="8">
        <f>[1]Data!D379</f>
        <v>1</v>
      </c>
      <c r="E379" s="8" t="str">
        <f>[1]Data!E379</f>
        <v>INDIV</v>
      </c>
      <c r="F379" s="8" t="str">
        <f>[1]Data!F379</f>
        <v>West Covina</v>
      </c>
      <c r="G379" s="8">
        <f>[1]Data!G379</f>
        <v>0</v>
      </c>
      <c r="H379" s="8">
        <f>[1]Data!H379</f>
        <v>0</v>
      </c>
      <c r="I379" s="8">
        <f>[1]Data!I379</f>
        <v>12.180999999999999</v>
      </c>
      <c r="J379" s="8">
        <f>[1]Data!J379</f>
        <v>2.87839314</v>
      </c>
      <c r="K379" s="8">
        <f>[1]Data!K379</f>
        <v>11.87839314</v>
      </c>
      <c r="L379" s="8">
        <f>[1]Data!L379</f>
        <v>0.30290401228007202</v>
      </c>
      <c r="M379" s="8">
        <f>[1]Data!M379</f>
        <v>12.1812971522801</v>
      </c>
      <c r="N379" s="8">
        <f>[1]Data!N379</f>
        <v>8.9285714285714302E-2</v>
      </c>
      <c r="O379" s="8">
        <f>[1]Data!O379</f>
        <v>0</v>
      </c>
      <c r="P379" s="8">
        <f>[1]Data!P379</f>
        <v>1</v>
      </c>
      <c r="Q379" s="8">
        <f>[1]Data!Q379</f>
        <v>0</v>
      </c>
      <c r="R379" s="8">
        <f>[1]Data!R379</f>
        <v>0</v>
      </c>
      <c r="S379" s="8">
        <f>[1]Data!S379</f>
        <v>0</v>
      </c>
      <c r="T379">
        <f t="shared" si="25"/>
        <v>8.9285714285714302E-2</v>
      </c>
      <c r="U379">
        <f t="shared" si="26"/>
        <v>0</v>
      </c>
      <c r="V379" s="4" t="str">
        <f t="shared" si="27"/>
        <v>0</v>
      </c>
      <c r="W379" s="4" t="str">
        <f t="shared" si="28"/>
        <v>3</v>
      </c>
      <c r="X379" s="4" t="str">
        <f t="shared" si="29"/>
        <v>0INDIV3</v>
      </c>
      <c r="Y379">
        <f>VLOOKUP(X379,Sheet1!$J$5:$K$121,2,FALSE)</f>
        <v>0</v>
      </c>
    </row>
    <row r="380" spans="1:25" x14ac:dyDescent="0.25">
      <c r="A380" s="8">
        <f>[1]Data!A380</f>
        <v>482002</v>
      </c>
      <c r="B380" s="8">
        <f>[1]Data!B380</f>
        <v>3</v>
      </c>
      <c r="C380" s="8">
        <f>[1]Data!C380</f>
        <v>0</v>
      </c>
      <c r="D380" s="8">
        <f>[1]Data!D380</f>
        <v>1</v>
      </c>
      <c r="E380" s="8" t="str">
        <f>[1]Data!E380</f>
        <v>INDIV</v>
      </c>
      <c r="F380" s="8" t="str">
        <f>[1]Data!F380</f>
        <v>Monterey Park</v>
      </c>
      <c r="G380" s="8">
        <f>[1]Data!G380</f>
        <v>0</v>
      </c>
      <c r="H380" s="8">
        <f>[1]Data!H380</f>
        <v>0</v>
      </c>
      <c r="I380" s="8">
        <f>[1]Data!I380</f>
        <v>3</v>
      </c>
      <c r="J380" s="8">
        <f>[1]Data!J380</f>
        <v>0</v>
      </c>
      <c r="K380" s="8">
        <f>[1]Data!K380</f>
        <v>3</v>
      </c>
      <c r="L380" s="8">
        <f>[1]Data!L380</f>
        <v>0</v>
      </c>
      <c r="M380" s="8">
        <f>[1]Data!M380</f>
        <v>3</v>
      </c>
      <c r="N380" s="8">
        <f>[1]Data!N380</f>
        <v>8.9285714285714302E-2</v>
      </c>
      <c r="O380" s="8">
        <f>[1]Data!O380</f>
        <v>0</v>
      </c>
      <c r="P380" s="8">
        <f>[1]Data!P380</f>
        <v>1</v>
      </c>
      <c r="Q380" s="8">
        <f>[1]Data!Q380</f>
        <v>0</v>
      </c>
      <c r="R380" s="8">
        <f>[1]Data!R380</f>
        <v>0</v>
      </c>
      <c r="S380" s="8">
        <f>[1]Data!S380</f>
        <v>0</v>
      </c>
      <c r="T380">
        <f t="shared" si="25"/>
        <v>8.9285714285714302E-2</v>
      </c>
      <c r="U380">
        <f t="shared" si="26"/>
        <v>0</v>
      </c>
      <c r="V380" s="4" t="str">
        <f t="shared" si="27"/>
        <v>0</v>
      </c>
      <c r="W380" s="4" t="str">
        <f t="shared" si="28"/>
        <v>3</v>
      </c>
      <c r="X380" s="4" t="str">
        <f t="shared" si="29"/>
        <v>0INDIV3</v>
      </c>
      <c r="Y380">
        <f>VLOOKUP(X380,Sheet1!$J$5:$K$121,2,FALSE)</f>
        <v>0</v>
      </c>
    </row>
    <row r="381" spans="1:25" x14ac:dyDescent="0.25">
      <c r="A381" s="8">
        <f>[1]Data!A381</f>
        <v>461300</v>
      </c>
      <c r="B381" s="8">
        <f>[1]Data!B381</f>
        <v>3</v>
      </c>
      <c r="C381" s="8">
        <f>[1]Data!C381</f>
        <v>0</v>
      </c>
      <c r="D381" s="8">
        <f>[1]Data!D381</f>
        <v>5</v>
      </c>
      <c r="E381" s="8" t="str">
        <f>[1]Data!E381</f>
        <v>INDIV</v>
      </c>
      <c r="F381" s="8" t="str">
        <f>[1]Data!F381</f>
        <v>Altadena</v>
      </c>
      <c r="G381" s="8">
        <f>[1]Data!G381</f>
        <v>0</v>
      </c>
      <c r="H381" s="8">
        <f>[1]Data!H381</f>
        <v>0</v>
      </c>
      <c r="I381" s="8">
        <f>[1]Data!I381</f>
        <v>4</v>
      </c>
      <c r="J381" s="8">
        <f>[1]Data!J381</f>
        <v>0</v>
      </c>
      <c r="K381" s="8">
        <f>[1]Data!K381</f>
        <v>4</v>
      </c>
      <c r="L381" s="8">
        <f>[1]Data!L381</f>
        <v>0</v>
      </c>
      <c r="M381" s="8">
        <f>[1]Data!M381</f>
        <v>4</v>
      </c>
      <c r="N381" s="8">
        <f>[1]Data!N381</f>
        <v>8.9285714285714302E-2</v>
      </c>
      <c r="O381" s="8">
        <f>[1]Data!O381</f>
        <v>0</v>
      </c>
      <c r="P381" s="8">
        <f>[1]Data!P381</f>
        <v>1</v>
      </c>
      <c r="Q381" s="8">
        <f>[1]Data!Q381</f>
        <v>0</v>
      </c>
      <c r="R381" s="8">
        <f>[1]Data!R381</f>
        <v>0</v>
      </c>
      <c r="S381" s="8">
        <f>[1]Data!S381</f>
        <v>0</v>
      </c>
      <c r="T381">
        <f t="shared" si="25"/>
        <v>8.9285714285714302E-2</v>
      </c>
      <c r="U381">
        <f t="shared" si="26"/>
        <v>0</v>
      </c>
      <c r="V381" s="4" t="str">
        <f t="shared" si="27"/>
        <v>0</v>
      </c>
      <c r="W381" s="4" t="str">
        <f t="shared" si="28"/>
        <v>3</v>
      </c>
      <c r="X381" s="4" t="str">
        <f t="shared" si="29"/>
        <v>0INDIV3</v>
      </c>
      <c r="Y381">
        <f>VLOOKUP(X381,Sheet1!$J$5:$K$121,2,FALSE)</f>
        <v>0</v>
      </c>
    </row>
    <row r="382" spans="1:25" x14ac:dyDescent="0.25">
      <c r="A382" s="8">
        <f>[1]Data!A382</f>
        <v>402502</v>
      </c>
      <c r="B382" s="8">
        <f>[1]Data!B382</f>
        <v>3</v>
      </c>
      <c r="C382" s="8">
        <f>[1]Data!C382</f>
        <v>0</v>
      </c>
      <c r="D382" s="8">
        <f>[1]Data!D382</f>
        <v>1</v>
      </c>
      <c r="E382" s="8" t="str">
        <f>[1]Data!E382</f>
        <v>INDIV</v>
      </c>
      <c r="F382" s="8" t="str">
        <f>[1]Data!F382</f>
        <v>Pomona</v>
      </c>
      <c r="G382" s="8">
        <f>[1]Data!G382</f>
        <v>0</v>
      </c>
      <c r="H382" s="8">
        <f>[1]Data!H382</f>
        <v>0</v>
      </c>
      <c r="I382" s="8">
        <f>[1]Data!I382</f>
        <v>4</v>
      </c>
      <c r="J382" s="8">
        <f>[1]Data!J382</f>
        <v>0</v>
      </c>
      <c r="K382" s="8">
        <f>[1]Data!K382</f>
        <v>4</v>
      </c>
      <c r="L382" s="8">
        <f>[1]Data!L382</f>
        <v>0</v>
      </c>
      <c r="M382" s="8">
        <f>[1]Data!M382</f>
        <v>4</v>
      </c>
      <c r="N382" s="8">
        <f>[1]Data!N382</f>
        <v>8.9285714285714302E-2</v>
      </c>
      <c r="O382" s="8">
        <f>[1]Data!O382</f>
        <v>0</v>
      </c>
      <c r="P382" s="8">
        <f>[1]Data!P382</f>
        <v>1</v>
      </c>
      <c r="Q382" s="8">
        <f>[1]Data!Q382</f>
        <v>0</v>
      </c>
      <c r="R382" s="8">
        <f>[1]Data!R382</f>
        <v>0</v>
      </c>
      <c r="S382" s="8">
        <f>[1]Data!S382</f>
        <v>0</v>
      </c>
      <c r="T382">
        <f t="shared" si="25"/>
        <v>8.9285714285714302E-2</v>
      </c>
      <c r="U382">
        <f t="shared" si="26"/>
        <v>0</v>
      </c>
      <c r="V382" s="4" t="str">
        <f t="shared" si="27"/>
        <v>0</v>
      </c>
      <c r="W382" s="4" t="str">
        <f t="shared" si="28"/>
        <v>3</v>
      </c>
      <c r="X382" s="4" t="str">
        <f t="shared" si="29"/>
        <v>0INDIV3</v>
      </c>
      <c r="Y382">
        <f>VLOOKUP(X382,Sheet1!$J$5:$K$121,2,FALSE)</f>
        <v>0</v>
      </c>
    </row>
    <row r="383" spans="1:25" x14ac:dyDescent="0.25">
      <c r="A383" s="8">
        <f>[1]Data!A383</f>
        <v>480803</v>
      </c>
      <c r="B383" s="8">
        <f>[1]Data!B383</f>
        <v>3</v>
      </c>
      <c r="C383" s="8">
        <f>[1]Data!C383</f>
        <v>0</v>
      </c>
      <c r="D383" s="8">
        <f>[1]Data!D383</f>
        <v>5</v>
      </c>
      <c r="E383" s="8" t="str">
        <f>[1]Data!E383</f>
        <v>INDIV</v>
      </c>
      <c r="F383" s="8" t="str">
        <f>[1]Data!F383</f>
        <v>Alhambra</v>
      </c>
      <c r="G383" s="8">
        <f>[1]Data!G383</f>
        <v>0</v>
      </c>
      <c r="H383" s="8">
        <f>[1]Data!H383</f>
        <v>0</v>
      </c>
      <c r="I383" s="8">
        <f>[1]Data!I383</f>
        <v>5.0209999999999999</v>
      </c>
      <c r="J383" s="8">
        <f>[1]Data!J383</f>
        <v>3.8885795999999999</v>
      </c>
      <c r="K383" s="8">
        <f>[1]Data!K383</f>
        <v>4.8885795999999999</v>
      </c>
      <c r="L383" s="8">
        <f>[1]Data!L383</f>
        <v>0.131797923464991</v>
      </c>
      <c r="M383" s="8">
        <f>[1]Data!M383</f>
        <v>5.0203775234649903</v>
      </c>
      <c r="N383" s="8">
        <f>[1]Data!N383</f>
        <v>8.9285714285714302E-2</v>
      </c>
      <c r="O383" s="8">
        <f>[1]Data!O383</f>
        <v>0</v>
      </c>
      <c r="P383" s="8">
        <f>[1]Data!P383</f>
        <v>1</v>
      </c>
      <c r="Q383" s="8">
        <f>[1]Data!Q383</f>
        <v>0</v>
      </c>
      <c r="R383" s="8">
        <f>[1]Data!R383</f>
        <v>0</v>
      </c>
      <c r="S383" s="8">
        <f>[1]Data!S383</f>
        <v>0</v>
      </c>
      <c r="T383">
        <f t="shared" si="25"/>
        <v>8.9285714285714302E-2</v>
      </c>
      <c r="U383">
        <f t="shared" si="26"/>
        <v>0</v>
      </c>
      <c r="V383" s="4" t="str">
        <f t="shared" si="27"/>
        <v>0</v>
      </c>
      <c r="W383" s="4" t="str">
        <f t="shared" si="28"/>
        <v>3</v>
      </c>
      <c r="X383" s="4" t="str">
        <f t="shared" si="29"/>
        <v>0INDIV3</v>
      </c>
      <c r="Y383">
        <f>VLOOKUP(X383,Sheet1!$J$5:$K$121,2,FALSE)</f>
        <v>0</v>
      </c>
    </row>
    <row r="384" spans="1:25" x14ac:dyDescent="0.25">
      <c r="A384" s="8">
        <f>[1]Data!A384</f>
        <v>481101</v>
      </c>
      <c r="B384" s="8">
        <f>[1]Data!B384</f>
        <v>3</v>
      </c>
      <c r="C384" s="8">
        <f>[1]Data!C384</f>
        <v>0</v>
      </c>
      <c r="D384" s="8">
        <f>[1]Data!D384</f>
        <v>5</v>
      </c>
      <c r="E384" s="8" t="str">
        <f>[1]Data!E384</f>
        <v>INDIV</v>
      </c>
      <c r="F384" s="8" t="str">
        <f>[1]Data!F384</f>
        <v>San Gabriel</v>
      </c>
      <c r="G384" s="8">
        <f>[1]Data!G384</f>
        <v>0</v>
      </c>
      <c r="H384" s="8">
        <f>[1]Data!H384</f>
        <v>0</v>
      </c>
      <c r="I384" s="8">
        <f>[1]Data!I384</f>
        <v>3.0950000000000002</v>
      </c>
      <c r="J384" s="8">
        <f>[1]Data!J384</f>
        <v>1.9836996600000001</v>
      </c>
      <c r="K384" s="8">
        <f>[1]Data!K384</f>
        <v>2.9836996600000001</v>
      </c>
      <c r="L384" s="8">
        <f>[1]Data!L384</f>
        <v>0.11117260138240601</v>
      </c>
      <c r="M384" s="8">
        <f>[1]Data!M384</f>
        <v>3.09487226138241</v>
      </c>
      <c r="N384" s="8">
        <f>[1]Data!N384</f>
        <v>8.9285714285714302E-2</v>
      </c>
      <c r="O384" s="8">
        <f>[1]Data!O384</f>
        <v>0</v>
      </c>
      <c r="P384" s="8">
        <f>[1]Data!P384</f>
        <v>1</v>
      </c>
      <c r="Q384" s="8">
        <f>[1]Data!Q384</f>
        <v>0</v>
      </c>
      <c r="R384" s="8">
        <f>[1]Data!R384</f>
        <v>0</v>
      </c>
      <c r="S384" s="8">
        <f>[1]Data!S384</f>
        <v>0</v>
      </c>
      <c r="T384">
        <f t="shared" si="25"/>
        <v>8.9285714285714302E-2</v>
      </c>
      <c r="U384">
        <f t="shared" si="26"/>
        <v>0</v>
      </c>
      <c r="V384" s="4" t="str">
        <f t="shared" si="27"/>
        <v>0</v>
      </c>
      <c r="W384" s="4" t="str">
        <f t="shared" si="28"/>
        <v>3</v>
      </c>
      <c r="X384" s="4" t="str">
        <f t="shared" si="29"/>
        <v>0INDIV3</v>
      </c>
      <c r="Y384">
        <f>VLOOKUP(X384,Sheet1!$J$5:$K$121,2,FALSE)</f>
        <v>0</v>
      </c>
    </row>
    <row r="385" spans="1:25" x14ac:dyDescent="0.25">
      <c r="A385" s="8">
        <f>[1]Data!A385</f>
        <v>402406</v>
      </c>
      <c r="B385" s="8">
        <f>[1]Data!B385</f>
        <v>3</v>
      </c>
      <c r="C385" s="8">
        <f>[1]Data!C385</f>
        <v>0</v>
      </c>
      <c r="D385" s="8">
        <f>[1]Data!D385</f>
        <v>1</v>
      </c>
      <c r="E385" s="8" t="str">
        <f>[1]Data!E385</f>
        <v>INDIV</v>
      </c>
      <c r="F385" s="8" t="str">
        <f>[1]Data!F385</f>
        <v>Pomona</v>
      </c>
      <c r="G385" s="8">
        <f>[1]Data!G385</f>
        <v>1</v>
      </c>
      <c r="H385" s="8">
        <f>[1]Data!H385</f>
        <v>1</v>
      </c>
      <c r="I385" s="8">
        <f>[1]Data!I385</f>
        <v>17.516999999999999</v>
      </c>
      <c r="J385" s="8">
        <f>[1]Data!J385</f>
        <v>3.3440765099999998</v>
      </c>
      <c r="K385" s="8">
        <f>[1]Data!K385</f>
        <v>17.344076510000001</v>
      </c>
      <c r="L385" s="8">
        <f>[1]Data!L385</f>
        <v>0.17207732822262101</v>
      </c>
      <c r="M385" s="8">
        <f>[1]Data!M385</f>
        <v>17.5161538382226</v>
      </c>
      <c r="N385" s="8">
        <f>[1]Data!N385</f>
        <v>8.9285714285714302E-2</v>
      </c>
      <c r="O385" s="8">
        <f>[1]Data!O385</f>
        <v>11.2</v>
      </c>
      <c r="P385" s="8">
        <f>[1]Data!P385</f>
        <v>1</v>
      </c>
      <c r="Q385" s="8">
        <f>[1]Data!Q385</f>
        <v>0</v>
      </c>
      <c r="R385" s="8">
        <f>[1]Data!R385</f>
        <v>0</v>
      </c>
      <c r="S385" s="8">
        <f>[1]Data!S385</f>
        <v>0</v>
      </c>
      <c r="T385">
        <f t="shared" si="25"/>
        <v>8.9285714285714302E-2</v>
      </c>
      <c r="U385">
        <f t="shared" si="26"/>
        <v>11.199999999999998</v>
      </c>
      <c r="V385" s="4" t="str">
        <f t="shared" si="27"/>
        <v>0</v>
      </c>
      <c r="W385" s="4" t="str">
        <f t="shared" si="28"/>
        <v>3</v>
      </c>
      <c r="X385" s="4" t="str">
        <f t="shared" si="29"/>
        <v>0INDIV3</v>
      </c>
      <c r="Y385">
        <f>VLOOKUP(X385,Sheet1!$J$5:$K$121,2,FALSE)</f>
        <v>0</v>
      </c>
    </row>
    <row r="386" spans="1:25" x14ac:dyDescent="0.25">
      <c r="A386" s="8">
        <f>[1]Data!A386</f>
        <v>481712</v>
      </c>
      <c r="B386" s="8">
        <f>[1]Data!B386</f>
        <v>3</v>
      </c>
      <c r="C386" s="8">
        <f>[1]Data!C386</f>
        <v>0</v>
      </c>
      <c r="D386" s="8">
        <f>[1]Data!D386</f>
        <v>1</v>
      </c>
      <c r="E386" s="8" t="str">
        <f>[1]Data!E386</f>
        <v>INDIV</v>
      </c>
      <c r="F386" s="8" t="str">
        <f>[1]Data!F386</f>
        <v>Monterey Park</v>
      </c>
      <c r="G386" s="8">
        <f>[1]Data!G386</f>
        <v>1</v>
      </c>
      <c r="H386" s="8">
        <f>[1]Data!H386</f>
        <v>1</v>
      </c>
      <c r="I386" s="8">
        <f>[1]Data!I386</f>
        <v>3.8079999999999998</v>
      </c>
      <c r="J386" s="8">
        <f>[1]Data!J386</f>
        <v>1.73313217</v>
      </c>
      <c r="K386" s="8">
        <f>[1]Data!K386</f>
        <v>3.7331321700000002</v>
      </c>
      <c r="L386" s="8">
        <f>[1]Data!L386</f>
        <v>7.4985510287253102E-2</v>
      </c>
      <c r="M386" s="8">
        <f>[1]Data!M386</f>
        <v>3.8081176802872498</v>
      </c>
      <c r="N386" s="8">
        <f>[1]Data!N386</f>
        <v>8.9285714285714302E-2</v>
      </c>
      <c r="O386" s="8">
        <f>[1]Data!O386</f>
        <v>11.2</v>
      </c>
      <c r="P386" s="8">
        <f>[1]Data!P386</f>
        <v>1</v>
      </c>
      <c r="Q386" s="8">
        <f>[1]Data!Q386</f>
        <v>0</v>
      </c>
      <c r="R386" s="8">
        <f>[1]Data!R386</f>
        <v>0</v>
      </c>
      <c r="S386" s="8">
        <f>[1]Data!S386</f>
        <v>0</v>
      </c>
      <c r="T386">
        <f t="shared" si="25"/>
        <v>8.9285714285714302E-2</v>
      </c>
      <c r="U386">
        <f t="shared" si="26"/>
        <v>11.199999999999998</v>
      </c>
      <c r="V386" s="4" t="str">
        <f t="shared" si="27"/>
        <v>0</v>
      </c>
      <c r="W386" s="4" t="str">
        <f t="shared" si="28"/>
        <v>3</v>
      </c>
      <c r="X386" s="4" t="str">
        <f t="shared" si="29"/>
        <v>0INDIV3</v>
      </c>
      <c r="Y386">
        <f>VLOOKUP(X386,Sheet1!$J$5:$K$121,2,FALSE)</f>
        <v>0</v>
      </c>
    </row>
    <row r="387" spans="1:25" x14ac:dyDescent="0.25">
      <c r="A387" s="8">
        <f>[1]Data!A387</f>
        <v>482303</v>
      </c>
      <c r="B387" s="8">
        <f>[1]Data!B387</f>
        <v>3</v>
      </c>
      <c r="C387" s="8">
        <f>[1]Data!C387</f>
        <v>0</v>
      </c>
      <c r="D387" s="8">
        <f>[1]Data!D387</f>
        <v>1</v>
      </c>
      <c r="E387" s="8" t="str">
        <f>[1]Data!E387</f>
        <v>INDIV</v>
      </c>
      <c r="F387" s="8" t="str">
        <f>[1]Data!F387</f>
        <v>Rosemead</v>
      </c>
      <c r="G387" s="8">
        <f>[1]Data!G387</f>
        <v>0</v>
      </c>
      <c r="H387" s="8">
        <f>[1]Data!H387</f>
        <v>0</v>
      </c>
      <c r="I387" s="8">
        <f>[1]Data!I387</f>
        <v>0</v>
      </c>
      <c r="J387" s="8">
        <f>[1]Data!J387</f>
        <v>0</v>
      </c>
      <c r="K387" s="8">
        <f>[1]Data!K387</f>
        <v>0</v>
      </c>
      <c r="L387" s="8">
        <f>[1]Data!L387</f>
        <v>0</v>
      </c>
      <c r="M387" s="8">
        <f>[1]Data!M387</f>
        <v>0</v>
      </c>
      <c r="N387" s="8">
        <f>[1]Data!N387</f>
        <v>8.9285714285714302E-2</v>
      </c>
      <c r="O387" s="8">
        <f>[1]Data!O387</f>
        <v>0</v>
      </c>
      <c r="P387" s="8">
        <f>[1]Data!P387</f>
        <v>1</v>
      </c>
      <c r="Q387" s="8">
        <f>[1]Data!Q387</f>
        <v>0</v>
      </c>
      <c r="R387" s="8">
        <f>[1]Data!R387</f>
        <v>0</v>
      </c>
      <c r="S387" s="8">
        <f>[1]Data!S387</f>
        <v>0</v>
      </c>
      <c r="T387">
        <f t="shared" ref="T387:T450" si="30">N387+Y387*(1-N387)</f>
        <v>8.9285714285714302E-2</v>
      </c>
      <c r="U387">
        <f t="shared" ref="U387:U450" si="31">IF(T387="",0,1/T387*H387)</f>
        <v>0</v>
      </c>
      <c r="V387" s="4" t="str">
        <f t="shared" ref="V387:V450" si="32">TEXT(C387,"0")</f>
        <v>0</v>
      </c>
      <c r="W387" s="4" t="str">
        <f t="shared" ref="W387:W450" si="33">TEXT(B387,"0")</f>
        <v>3</v>
      </c>
      <c r="X387" s="4" t="str">
        <f t="shared" ref="X387:X450" si="34">CONCATENATE(V387,E387,W387)</f>
        <v>0INDIV3</v>
      </c>
      <c r="Y387">
        <f>VLOOKUP(X387,Sheet1!$J$5:$K$121,2,FALSE)</f>
        <v>0</v>
      </c>
    </row>
    <row r="388" spans="1:25" x14ac:dyDescent="0.25">
      <c r="A388" s="8">
        <f>[1]Data!A388</f>
        <v>405201</v>
      </c>
      <c r="B388" s="8">
        <f>[1]Data!B388</f>
        <v>3</v>
      </c>
      <c r="C388" s="8">
        <f>[1]Data!C388</f>
        <v>0</v>
      </c>
      <c r="D388" s="8">
        <f>[1]Data!D388</f>
        <v>1</v>
      </c>
      <c r="E388" s="8" t="str">
        <f>[1]Data!E388</f>
        <v>INDIV</v>
      </c>
      <c r="F388" s="8" t="str">
        <f>[1]Data!F388</f>
        <v>Baldwin Park</v>
      </c>
      <c r="G388" s="8">
        <f>[1]Data!G388</f>
        <v>0</v>
      </c>
      <c r="H388" s="8">
        <f>[1]Data!H388</f>
        <v>0</v>
      </c>
      <c r="I388" s="8">
        <f>[1]Data!I388</f>
        <v>2.0950000000000002</v>
      </c>
      <c r="J388" s="8">
        <f>[1]Data!J388</f>
        <v>1.9836996600000001</v>
      </c>
      <c r="K388" s="8">
        <f>[1]Data!K388</f>
        <v>1.9836996600000001</v>
      </c>
      <c r="L388" s="8">
        <f>[1]Data!L388</f>
        <v>0.11117260138240601</v>
      </c>
      <c r="M388" s="8">
        <f>[1]Data!M388</f>
        <v>2.09487226138241</v>
      </c>
      <c r="N388" s="8">
        <f>[1]Data!N388</f>
        <v>8.9285714285714302E-2</v>
      </c>
      <c r="O388" s="8">
        <f>[1]Data!O388</f>
        <v>0</v>
      </c>
      <c r="P388" s="8">
        <f>[1]Data!P388</f>
        <v>1</v>
      </c>
      <c r="Q388" s="8">
        <f>[1]Data!Q388</f>
        <v>0</v>
      </c>
      <c r="R388" s="8">
        <f>[1]Data!R388</f>
        <v>0</v>
      </c>
      <c r="S388" s="8">
        <f>[1]Data!S388</f>
        <v>0</v>
      </c>
      <c r="T388">
        <f t="shared" si="30"/>
        <v>8.9285714285714302E-2</v>
      </c>
      <c r="U388">
        <f t="shared" si="31"/>
        <v>0</v>
      </c>
      <c r="V388" s="4" t="str">
        <f t="shared" si="32"/>
        <v>0</v>
      </c>
      <c r="W388" s="4" t="str">
        <f t="shared" si="33"/>
        <v>3</v>
      </c>
      <c r="X388" s="4" t="str">
        <f t="shared" si="34"/>
        <v>0INDIV3</v>
      </c>
      <c r="Y388">
        <f>VLOOKUP(X388,Sheet1!$J$5:$K$121,2,FALSE)</f>
        <v>0</v>
      </c>
    </row>
    <row r="389" spans="1:25" x14ac:dyDescent="0.25">
      <c r="A389" s="8">
        <f>[1]Data!A389</f>
        <v>404302</v>
      </c>
      <c r="B389" s="8">
        <f>[1]Data!B389</f>
        <v>3</v>
      </c>
      <c r="C389" s="8">
        <f>[1]Data!C389</f>
        <v>0</v>
      </c>
      <c r="D389" s="8">
        <f>[1]Data!D389</f>
        <v>1</v>
      </c>
      <c r="E389" s="8" t="str">
        <f>[1]Data!E389</f>
        <v>INDIV</v>
      </c>
      <c r="F389" s="8" t="str">
        <f>[1]Data!F389</f>
        <v>Azusa</v>
      </c>
      <c r="G389" s="8">
        <f>[1]Data!G389</f>
        <v>0</v>
      </c>
      <c r="H389" s="8">
        <f>[1]Data!H389</f>
        <v>0</v>
      </c>
      <c r="I389" s="8">
        <f>[1]Data!I389</f>
        <v>3</v>
      </c>
      <c r="J389" s="8">
        <f>[1]Data!J389</f>
        <v>0</v>
      </c>
      <c r="K389" s="8">
        <f>[1]Data!K389</f>
        <v>3</v>
      </c>
      <c r="L389" s="8">
        <f>[1]Data!L389</f>
        <v>0</v>
      </c>
      <c r="M389" s="8">
        <f>[1]Data!M389</f>
        <v>3</v>
      </c>
      <c r="N389" s="8">
        <f>[1]Data!N389</f>
        <v>8.9285714285714302E-2</v>
      </c>
      <c r="O389" s="8">
        <f>[1]Data!O389</f>
        <v>0</v>
      </c>
      <c r="P389" s="8">
        <f>[1]Data!P389</f>
        <v>1</v>
      </c>
      <c r="Q389" s="8">
        <f>[1]Data!Q389</f>
        <v>0</v>
      </c>
      <c r="R389" s="8">
        <f>[1]Data!R389</f>
        <v>0</v>
      </c>
      <c r="S389" s="8">
        <f>[1]Data!S389</f>
        <v>0</v>
      </c>
      <c r="T389">
        <f t="shared" si="30"/>
        <v>8.9285714285714302E-2</v>
      </c>
      <c r="U389">
        <f t="shared" si="31"/>
        <v>0</v>
      </c>
      <c r="V389" s="4" t="str">
        <f t="shared" si="32"/>
        <v>0</v>
      </c>
      <c r="W389" s="4" t="str">
        <f t="shared" si="33"/>
        <v>3</v>
      </c>
      <c r="X389" s="4" t="str">
        <f t="shared" si="34"/>
        <v>0INDIV3</v>
      </c>
      <c r="Y389">
        <f>VLOOKUP(X389,Sheet1!$J$5:$K$121,2,FALSE)</f>
        <v>0</v>
      </c>
    </row>
    <row r="390" spans="1:25" x14ac:dyDescent="0.25">
      <c r="A390" s="8">
        <f>[1]Data!A390</f>
        <v>402903</v>
      </c>
      <c r="B390" s="8">
        <f>[1]Data!B390</f>
        <v>3</v>
      </c>
      <c r="C390" s="8">
        <f>[1]Data!C390</f>
        <v>0</v>
      </c>
      <c r="D390" s="8">
        <f>[1]Data!D390</f>
        <v>1</v>
      </c>
      <c r="E390" s="8" t="str">
        <f>[1]Data!E390</f>
        <v>INDIV</v>
      </c>
      <c r="F390" s="8" t="str">
        <f>[1]Data!F390</f>
        <v>Pomona</v>
      </c>
      <c r="G390" s="8">
        <f>[1]Data!G390</f>
        <v>0</v>
      </c>
      <c r="H390" s="8">
        <f>[1]Data!H390</f>
        <v>0</v>
      </c>
      <c r="I390" s="8">
        <f>[1]Data!I390</f>
        <v>6.798</v>
      </c>
      <c r="J390" s="8">
        <f>[1]Data!J390</f>
        <v>3.6649912800000002</v>
      </c>
      <c r="K390" s="8">
        <f>[1]Data!K390</f>
        <v>6.6649912799999997</v>
      </c>
      <c r="L390" s="8">
        <f>[1]Data!L390</f>
        <v>0.13266453314183099</v>
      </c>
      <c r="M390" s="8">
        <f>[1]Data!M390</f>
        <v>6.7976558131418301</v>
      </c>
      <c r="N390" s="8">
        <f>[1]Data!N390</f>
        <v>8.9285714285714302E-2</v>
      </c>
      <c r="O390" s="8">
        <f>[1]Data!O390</f>
        <v>0</v>
      </c>
      <c r="P390" s="8">
        <f>[1]Data!P390</f>
        <v>1</v>
      </c>
      <c r="Q390" s="8">
        <f>[1]Data!Q390</f>
        <v>0</v>
      </c>
      <c r="R390" s="8">
        <f>[1]Data!R390</f>
        <v>0</v>
      </c>
      <c r="S390" s="8">
        <f>[1]Data!S390</f>
        <v>0</v>
      </c>
      <c r="T390">
        <f t="shared" si="30"/>
        <v>8.9285714285714302E-2</v>
      </c>
      <c r="U390">
        <f t="shared" si="31"/>
        <v>0</v>
      </c>
      <c r="V390" s="4" t="str">
        <f t="shared" si="32"/>
        <v>0</v>
      </c>
      <c r="W390" s="4" t="str">
        <f t="shared" si="33"/>
        <v>3</v>
      </c>
      <c r="X390" s="4" t="str">
        <f t="shared" si="34"/>
        <v>0INDIV3</v>
      </c>
      <c r="Y390">
        <f>VLOOKUP(X390,Sheet1!$J$5:$K$121,2,FALSE)</f>
        <v>0</v>
      </c>
    </row>
    <row r="391" spans="1:25" x14ac:dyDescent="0.25">
      <c r="A391" s="8">
        <f>[1]Data!A391</f>
        <v>482502</v>
      </c>
      <c r="B391" s="8">
        <f>[1]Data!B391</f>
        <v>3</v>
      </c>
      <c r="C391" s="8">
        <f>[1]Data!C391</f>
        <v>0</v>
      </c>
      <c r="D391" s="8">
        <f>[1]Data!D391</f>
        <v>1</v>
      </c>
      <c r="E391" s="8" t="str">
        <f>[1]Data!E391</f>
        <v>INDIV</v>
      </c>
      <c r="F391" s="8" t="str">
        <f>[1]Data!F391</f>
        <v>Rosemead</v>
      </c>
      <c r="G391" s="8">
        <f>[1]Data!G391</f>
        <v>0</v>
      </c>
      <c r="H391" s="8">
        <f>[1]Data!H391</f>
        <v>0</v>
      </c>
      <c r="I391" s="8">
        <f>[1]Data!I391</f>
        <v>1</v>
      </c>
      <c r="J391" s="8">
        <f>[1]Data!J391</f>
        <v>0</v>
      </c>
      <c r="K391" s="8">
        <f>[1]Data!K391</f>
        <v>1</v>
      </c>
      <c r="L391" s="8">
        <f>[1]Data!L391</f>
        <v>0</v>
      </c>
      <c r="M391" s="8">
        <f>[1]Data!M391</f>
        <v>1</v>
      </c>
      <c r="N391" s="8">
        <f>[1]Data!N391</f>
        <v>8.9285714285714302E-2</v>
      </c>
      <c r="O391" s="8">
        <f>[1]Data!O391</f>
        <v>0</v>
      </c>
      <c r="P391" s="8">
        <f>[1]Data!P391</f>
        <v>1</v>
      </c>
      <c r="Q391" s="8">
        <f>[1]Data!Q391</f>
        <v>0</v>
      </c>
      <c r="R391" s="8">
        <f>[1]Data!R391</f>
        <v>0</v>
      </c>
      <c r="S391" s="8">
        <f>[1]Data!S391</f>
        <v>0</v>
      </c>
      <c r="T391">
        <f t="shared" si="30"/>
        <v>8.9285714285714302E-2</v>
      </c>
      <c r="U391">
        <f t="shared" si="31"/>
        <v>0</v>
      </c>
      <c r="V391" s="4" t="str">
        <f t="shared" si="32"/>
        <v>0</v>
      </c>
      <c r="W391" s="4" t="str">
        <f t="shared" si="33"/>
        <v>3</v>
      </c>
      <c r="X391" s="4" t="str">
        <f t="shared" si="34"/>
        <v>0INDIV3</v>
      </c>
      <c r="Y391">
        <f>VLOOKUP(X391,Sheet1!$J$5:$K$121,2,FALSE)</f>
        <v>0</v>
      </c>
    </row>
    <row r="392" spans="1:25" x14ac:dyDescent="0.25">
      <c r="A392" s="8">
        <f>[1]Data!A392</f>
        <v>402002</v>
      </c>
      <c r="B392" s="8">
        <f>[1]Data!B392</f>
        <v>3</v>
      </c>
      <c r="C392" s="8">
        <f>[1]Data!C392</f>
        <v>0</v>
      </c>
      <c r="D392" s="8">
        <f>[1]Data!D392</f>
        <v>1</v>
      </c>
      <c r="E392" s="8" t="str">
        <f>[1]Data!E392</f>
        <v>INDIV</v>
      </c>
      <c r="F392" s="8" t="str">
        <f>[1]Data!F392</f>
        <v>Claremont</v>
      </c>
      <c r="G392" s="8">
        <f>[1]Data!G392</f>
        <v>0</v>
      </c>
      <c r="H392" s="8">
        <f>[1]Data!H392</f>
        <v>0</v>
      </c>
      <c r="I392" s="8">
        <f>[1]Data!I392</f>
        <v>1</v>
      </c>
      <c r="J392" s="8">
        <f>[1]Data!J392</f>
        <v>0</v>
      </c>
      <c r="K392" s="8">
        <f>[1]Data!K392</f>
        <v>1</v>
      </c>
      <c r="L392" s="8">
        <f>[1]Data!L392</f>
        <v>0</v>
      </c>
      <c r="M392" s="8">
        <f>[1]Data!M392</f>
        <v>1</v>
      </c>
      <c r="N392" s="8">
        <f>[1]Data!N392</f>
        <v>8.9285714285714302E-2</v>
      </c>
      <c r="O392" s="8">
        <f>[1]Data!O392</f>
        <v>0</v>
      </c>
      <c r="P392" s="8">
        <f>[1]Data!P392</f>
        <v>1</v>
      </c>
      <c r="Q392" s="8">
        <f>[1]Data!Q392</f>
        <v>0</v>
      </c>
      <c r="R392" s="8">
        <f>[1]Data!R392</f>
        <v>0</v>
      </c>
      <c r="S392" s="8">
        <f>[1]Data!S392</f>
        <v>0</v>
      </c>
      <c r="T392">
        <f t="shared" si="30"/>
        <v>8.9285714285714302E-2</v>
      </c>
      <c r="U392">
        <f t="shared" si="31"/>
        <v>0</v>
      </c>
      <c r="V392" s="4" t="str">
        <f t="shared" si="32"/>
        <v>0</v>
      </c>
      <c r="W392" s="4" t="str">
        <f t="shared" si="33"/>
        <v>3</v>
      </c>
      <c r="X392" s="4" t="str">
        <f t="shared" si="34"/>
        <v>0INDIV3</v>
      </c>
      <c r="Y392">
        <f>VLOOKUP(X392,Sheet1!$J$5:$K$121,2,FALSE)</f>
        <v>0</v>
      </c>
    </row>
    <row r="393" spans="1:25" x14ac:dyDescent="0.25">
      <c r="A393" s="8">
        <f>[1]Data!A393</f>
        <v>404100</v>
      </c>
      <c r="B393" s="8">
        <f>[1]Data!B393</f>
        <v>3</v>
      </c>
      <c r="C393" s="8">
        <f>[1]Data!C393</f>
        <v>0</v>
      </c>
      <c r="D393" s="8">
        <f>[1]Data!D393</f>
        <v>1</v>
      </c>
      <c r="E393" s="8" t="str">
        <f>[1]Data!E393</f>
        <v>INDIV</v>
      </c>
      <c r="F393" s="8" t="str">
        <f>[1]Data!F393</f>
        <v>Citrus</v>
      </c>
      <c r="G393" s="8">
        <f>[1]Data!G393</f>
        <v>0</v>
      </c>
      <c r="H393" s="8">
        <f>[1]Data!H393</f>
        <v>0</v>
      </c>
      <c r="I393" s="8">
        <f>[1]Data!I393</f>
        <v>8.8079999999999998</v>
      </c>
      <c r="J393" s="8">
        <f>[1]Data!J393</f>
        <v>1.73313217</v>
      </c>
      <c r="K393" s="8">
        <f>[1]Data!K393</f>
        <v>8.7331321699999993</v>
      </c>
      <c r="L393" s="8">
        <f>[1]Data!L393</f>
        <v>7.4985510287253102E-2</v>
      </c>
      <c r="M393" s="8">
        <f>[1]Data!M393</f>
        <v>8.8081176802872498</v>
      </c>
      <c r="N393" s="8">
        <f>[1]Data!N393</f>
        <v>8.9285714285714302E-2</v>
      </c>
      <c r="O393" s="8">
        <f>[1]Data!O393</f>
        <v>0</v>
      </c>
      <c r="P393" s="8">
        <f>[1]Data!P393</f>
        <v>1</v>
      </c>
      <c r="Q393" s="8">
        <f>[1]Data!Q393</f>
        <v>0</v>
      </c>
      <c r="R393" s="8">
        <f>[1]Data!R393</f>
        <v>0</v>
      </c>
      <c r="S393" s="8">
        <f>[1]Data!S393</f>
        <v>0</v>
      </c>
      <c r="T393">
        <f t="shared" si="30"/>
        <v>8.9285714285714302E-2</v>
      </c>
      <c r="U393">
        <f t="shared" si="31"/>
        <v>0</v>
      </c>
      <c r="V393" s="4" t="str">
        <f t="shared" si="32"/>
        <v>0</v>
      </c>
      <c r="W393" s="4" t="str">
        <f t="shared" si="33"/>
        <v>3</v>
      </c>
      <c r="X393" s="4" t="str">
        <f t="shared" si="34"/>
        <v>0INDIV3</v>
      </c>
      <c r="Y393">
        <f>VLOOKUP(X393,Sheet1!$J$5:$K$121,2,FALSE)</f>
        <v>0</v>
      </c>
    </row>
    <row r="394" spans="1:25" x14ac:dyDescent="0.25">
      <c r="A394" s="8">
        <f>[1]Data!A394</f>
        <v>482503</v>
      </c>
      <c r="B394" s="8">
        <f>[1]Data!B394</f>
        <v>3</v>
      </c>
      <c r="C394" s="8">
        <f>[1]Data!C394</f>
        <v>0</v>
      </c>
      <c r="D394" s="8">
        <f>[1]Data!D394</f>
        <v>1</v>
      </c>
      <c r="E394" s="8" t="str">
        <f>[1]Data!E394</f>
        <v>INDIV</v>
      </c>
      <c r="F394" s="8" t="str">
        <f>[1]Data!F394</f>
        <v>Rosemead</v>
      </c>
      <c r="G394" s="8">
        <f>[1]Data!G394</f>
        <v>0</v>
      </c>
      <c r="H394" s="8">
        <f>[1]Data!H394</f>
        <v>0</v>
      </c>
      <c r="I394" s="8">
        <f>[1]Data!I394</f>
        <v>4.399</v>
      </c>
      <c r="J394" s="8">
        <f>[1]Data!J394</f>
        <v>3.1723287400000002</v>
      </c>
      <c r="K394" s="8">
        <f>[1]Data!K394</f>
        <v>4.1723287400000002</v>
      </c>
      <c r="L394" s="8">
        <f>[1]Data!L394</f>
        <v>0.22643751642728899</v>
      </c>
      <c r="M394" s="8">
        <f>[1]Data!M394</f>
        <v>4.3987662564272902</v>
      </c>
      <c r="N394" s="8">
        <f>[1]Data!N394</f>
        <v>8.9285714285714302E-2</v>
      </c>
      <c r="O394" s="8">
        <f>[1]Data!O394</f>
        <v>0</v>
      </c>
      <c r="P394" s="8">
        <f>[1]Data!P394</f>
        <v>1</v>
      </c>
      <c r="Q394" s="8">
        <f>[1]Data!Q394</f>
        <v>0</v>
      </c>
      <c r="R394" s="8">
        <f>[1]Data!R394</f>
        <v>0</v>
      </c>
      <c r="S394" s="8">
        <f>[1]Data!S394</f>
        <v>0</v>
      </c>
      <c r="T394">
        <f t="shared" si="30"/>
        <v>8.9285714285714302E-2</v>
      </c>
      <c r="U394">
        <f t="shared" si="31"/>
        <v>0</v>
      </c>
      <c r="V394" s="4" t="str">
        <f t="shared" si="32"/>
        <v>0</v>
      </c>
      <c r="W394" s="4" t="str">
        <f t="shared" si="33"/>
        <v>3</v>
      </c>
      <c r="X394" s="4" t="str">
        <f t="shared" si="34"/>
        <v>0INDIV3</v>
      </c>
      <c r="Y394">
        <f>VLOOKUP(X394,Sheet1!$J$5:$K$121,2,FALSE)</f>
        <v>0</v>
      </c>
    </row>
    <row r="395" spans="1:25" x14ac:dyDescent="0.25">
      <c r="A395" s="8">
        <f>[1]Data!A395</f>
        <v>406602</v>
      </c>
      <c r="B395" s="8">
        <f>[1]Data!B395</f>
        <v>3</v>
      </c>
      <c r="C395" s="8">
        <f>[1]Data!C395</f>
        <v>0</v>
      </c>
      <c r="D395" s="8">
        <f>[1]Data!D395</f>
        <v>1</v>
      </c>
      <c r="E395" s="8" t="str">
        <f>[1]Data!E395</f>
        <v>INDIV</v>
      </c>
      <c r="F395" s="8" t="str">
        <f>[1]Data!F395</f>
        <v>West Covina</v>
      </c>
      <c r="G395" s="8">
        <f>[1]Data!G395</f>
        <v>0</v>
      </c>
      <c r="H395" s="8">
        <f>[1]Data!H395</f>
        <v>0</v>
      </c>
      <c r="I395" s="8">
        <f>[1]Data!I395</f>
        <v>3</v>
      </c>
      <c r="J395" s="8">
        <f>[1]Data!J395</f>
        <v>0</v>
      </c>
      <c r="K395" s="8">
        <f>[1]Data!K395</f>
        <v>3</v>
      </c>
      <c r="L395" s="8">
        <f>[1]Data!L395</f>
        <v>0</v>
      </c>
      <c r="M395" s="8">
        <f>[1]Data!M395</f>
        <v>3</v>
      </c>
      <c r="N395" s="8">
        <f>[1]Data!N395</f>
        <v>8.9285714285714302E-2</v>
      </c>
      <c r="O395" s="8">
        <f>[1]Data!O395</f>
        <v>0</v>
      </c>
      <c r="P395" s="8">
        <f>[1]Data!P395</f>
        <v>1</v>
      </c>
      <c r="Q395" s="8">
        <f>[1]Data!Q395</f>
        <v>0</v>
      </c>
      <c r="R395" s="8">
        <f>[1]Data!R395</f>
        <v>0</v>
      </c>
      <c r="S395" s="8">
        <f>[1]Data!S395</f>
        <v>0</v>
      </c>
      <c r="T395">
        <f t="shared" si="30"/>
        <v>8.9285714285714302E-2</v>
      </c>
      <c r="U395">
        <f t="shared" si="31"/>
        <v>0</v>
      </c>
      <c r="V395" s="4" t="str">
        <f t="shared" si="32"/>
        <v>0</v>
      </c>
      <c r="W395" s="4" t="str">
        <f t="shared" si="33"/>
        <v>3</v>
      </c>
      <c r="X395" s="4" t="str">
        <f t="shared" si="34"/>
        <v>0INDIV3</v>
      </c>
      <c r="Y395">
        <f>VLOOKUP(X395,Sheet1!$J$5:$K$121,2,FALSE)</f>
        <v>0</v>
      </c>
    </row>
    <row r="396" spans="1:25" x14ac:dyDescent="0.25">
      <c r="A396" s="8">
        <f>[1]Data!A396</f>
        <v>430721</v>
      </c>
      <c r="B396" s="8">
        <f>[1]Data!B396</f>
        <v>3</v>
      </c>
      <c r="C396" s="8">
        <f>[1]Data!C396</f>
        <v>0</v>
      </c>
      <c r="D396" s="8">
        <f>[1]Data!D396</f>
        <v>5</v>
      </c>
      <c r="E396" s="8" t="str">
        <f>[1]Data!E396</f>
        <v>INDIV</v>
      </c>
      <c r="F396" s="8" t="str">
        <f>[1]Data!F396</f>
        <v>Arcadia</v>
      </c>
      <c r="G396" s="8">
        <f>[1]Data!G396</f>
        <v>0</v>
      </c>
      <c r="H396" s="8">
        <f>[1]Data!H396</f>
        <v>0</v>
      </c>
      <c r="I396" s="8">
        <f>[1]Data!I396</f>
        <v>3.399</v>
      </c>
      <c r="J396" s="8">
        <f>[1]Data!J396</f>
        <v>3.1723287400000002</v>
      </c>
      <c r="K396" s="8">
        <f>[1]Data!K396</f>
        <v>3.1723287400000002</v>
      </c>
      <c r="L396" s="8">
        <f>[1]Data!L396</f>
        <v>0.22643751642728899</v>
      </c>
      <c r="M396" s="8">
        <f>[1]Data!M396</f>
        <v>3.3987662564272898</v>
      </c>
      <c r="N396" s="8">
        <f>[1]Data!N396</f>
        <v>8.9285714285714302E-2</v>
      </c>
      <c r="O396" s="8">
        <f>[1]Data!O396</f>
        <v>0</v>
      </c>
      <c r="P396" s="8">
        <f>[1]Data!P396</f>
        <v>1</v>
      </c>
      <c r="Q396" s="8">
        <f>[1]Data!Q396</f>
        <v>0</v>
      </c>
      <c r="R396" s="8">
        <f>[1]Data!R396</f>
        <v>0</v>
      </c>
      <c r="S396" s="8">
        <f>[1]Data!S396</f>
        <v>0</v>
      </c>
      <c r="T396">
        <f t="shared" si="30"/>
        <v>8.9285714285714302E-2</v>
      </c>
      <c r="U396">
        <f t="shared" si="31"/>
        <v>0</v>
      </c>
      <c r="V396" s="4" t="str">
        <f t="shared" si="32"/>
        <v>0</v>
      </c>
      <c r="W396" s="4" t="str">
        <f t="shared" si="33"/>
        <v>3</v>
      </c>
      <c r="X396" s="4" t="str">
        <f t="shared" si="34"/>
        <v>0INDIV3</v>
      </c>
      <c r="Y396">
        <f>VLOOKUP(X396,Sheet1!$J$5:$K$121,2,FALSE)</f>
        <v>0</v>
      </c>
    </row>
    <row r="397" spans="1:25" x14ac:dyDescent="0.25">
      <c r="A397" s="8">
        <f>[1]Data!A397</f>
        <v>401601</v>
      </c>
      <c r="B397" s="8">
        <f>[1]Data!B397</f>
        <v>3</v>
      </c>
      <c r="C397" s="8">
        <f>[1]Data!C397</f>
        <v>0</v>
      </c>
      <c r="D397" s="8">
        <f>[1]Data!D397</f>
        <v>5</v>
      </c>
      <c r="E397" s="8" t="str">
        <f>[1]Data!E397</f>
        <v>INDIV</v>
      </c>
      <c r="F397" s="8" t="str">
        <f>[1]Data!F397</f>
        <v>La Verne</v>
      </c>
      <c r="G397" s="8">
        <f>[1]Data!G397</f>
        <v>0</v>
      </c>
      <c r="H397" s="8">
        <f>[1]Data!H397</f>
        <v>0</v>
      </c>
      <c r="I397" s="8">
        <f>[1]Data!I397</f>
        <v>1</v>
      </c>
      <c r="J397" s="8">
        <f>[1]Data!J397</f>
        <v>0</v>
      </c>
      <c r="K397" s="8">
        <f>[1]Data!K397</f>
        <v>1</v>
      </c>
      <c r="L397" s="8">
        <f>[1]Data!L397</f>
        <v>0</v>
      </c>
      <c r="M397" s="8">
        <f>[1]Data!M397</f>
        <v>1</v>
      </c>
      <c r="N397" s="8">
        <f>[1]Data!N397</f>
        <v>8.9285714285714302E-2</v>
      </c>
      <c r="O397" s="8">
        <f>[1]Data!O397</f>
        <v>0</v>
      </c>
      <c r="P397" s="8">
        <f>[1]Data!P397</f>
        <v>1</v>
      </c>
      <c r="Q397" s="8">
        <f>[1]Data!Q397</f>
        <v>0</v>
      </c>
      <c r="R397" s="8">
        <f>[1]Data!R397</f>
        <v>0</v>
      </c>
      <c r="S397" s="8">
        <f>[1]Data!S397</f>
        <v>0</v>
      </c>
      <c r="T397">
        <f t="shared" si="30"/>
        <v>8.9285714285714302E-2</v>
      </c>
      <c r="U397">
        <f t="shared" si="31"/>
        <v>0</v>
      </c>
      <c r="V397" s="4" t="str">
        <f t="shared" si="32"/>
        <v>0</v>
      </c>
      <c r="W397" s="4" t="str">
        <f t="shared" si="33"/>
        <v>3</v>
      </c>
      <c r="X397" s="4" t="str">
        <f t="shared" si="34"/>
        <v>0INDIV3</v>
      </c>
      <c r="Y397">
        <f>VLOOKUP(X397,Sheet1!$J$5:$K$121,2,FALSE)</f>
        <v>0</v>
      </c>
    </row>
    <row r="398" spans="1:25" x14ac:dyDescent="0.25">
      <c r="A398" s="8">
        <f>[1]Data!A398</f>
        <v>433403</v>
      </c>
      <c r="B398" s="8">
        <f>[1]Data!B398</f>
        <v>3</v>
      </c>
      <c r="C398" s="8">
        <f>[1]Data!C398</f>
        <v>0</v>
      </c>
      <c r="D398" s="8">
        <f>[1]Data!D398</f>
        <v>1</v>
      </c>
      <c r="E398" s="8" t="str">
        <f>[1]Data!E398</f>
        <v>INDIV</v>
      </c>
      <c r="F398" s="8" t="str">
        <f>[1]Data!F398</f>
        <v>El Monte</v>
      </c>
      <c r="G398" s="8">
        <f>[1]Data!G398</f>
        <v>0</v>
      </c>
      <c r="H398" s="8">
        <f>[1]Data!H398</f>
        <v>0</v>
      </c>
      <c r="I398" s="8">
        <f>[1]Data!I398</f>
        <v>8.5169999999999995</v>
      </c>
      <c r="J398" s="8">
        <f>[1]Data!J398</f>
        <v>3.3440765099999998</v>
      </c>
      <c r="K398" s="8">
        <f>[1]Data!K398</f>
        <v>8.3440765100000007</v>
      </c>
      <c r="L398" s="8">
        <f>[1]Data!L398</f>
        <v>0.17207732822262101</v>
      </c>
      <c r="M398" s="8">
        <f>[1]Data!M398</f>
        <v>8.5161538382226194</v>
      </c>
      <c r="N398" s="8">
        <f>[1]Data!N398</f>
        <v>8.9285714285714302E-2</v>
      </c>
      <c r="O398" s="8">
        <f>[1]Data!O398</f>
        <v>0</v>
      </c>
      <c r="P398" s="8">
        <f>[1]Data!P398</f>
        <v>1</v>
      </c>
      <c r="Q398" s="8">
        <f>[1]Data!Q398</f>
        <v>0</v>
      </c>
      <c r="R398" s="8">
        <f>[1]Data!R398</f>
        <v>0</v>
      </c>
      <c r="S398" s="8">
        <f>[1]Data!S398</f>
        <v>0</v>
      </c>
      <c r="T398">
        <f t="shared" si="30"/>
        <v>8.9285714285714302E-2</v>
      </c>
      <c r="U398">
        <f t="shared" si="31"/>
        <v>0</v>
      </c>
      <c r="V398" s="4" t="str">
        <f t="shared" si="32"/>
        <v>0</v>
      </c>
      <c r="W398" s="4" t="str">
        <f t="shared" si="33"/>
        <v>3</v>
      </c>
      <c r="X398" s="4" t="str">
        <f t="shared" si="34"/>
        <v>0INDIV3</v>
      </c>
      <c r="Y398">
        <f>VLOOKUP(X398,Sheet1!$J$5:$K$121,2,FALSE)</f>
        <v>0</v>
      </c>
    </row>
    <row r="399" spans="1:25" x14ac:dyDescent="0.25">
      <c r="A399" s="8">
        <f>[1]Data!A399</f>
        <v>403600</v>
      </c>
      <c r="B399" s="8">
        <f>[1]Data!B399</f>
        <v>3</v>
      </c>
      <c r="C399" s="8">
        <f>[1]Data!C399</f>
        <v>0</v>
      </c>
      <c r="D399" s="8">
        <f>[1]Data!D399</f>
        <v>5</v>
      </c>
      <c r="E399" s="8" t="str">
        <f>[1]Data!E399</f>
        <v>INDIV</v>
      </c>
      <c r="F399" s="8" t="str">
        <f>[1]Data!F399</f>
        <v>Covina</v>
      </c>
      <c r="G399" s="8">
        <f>[1]Data!G399</f>
        <v>0</v>
      </c>
      <c r="H399" s="8">
        <f>[1]Data!H399</f>
        <v>0</v>
      </c>
      <c r="I399" s="8">
        <f>[1]Data!I399</f>
        <v>0</v>
      </c>
      <c r="J399" s="8">
        <f>[1]Data!J399</f>
        <v>0</v>
      </c>
      <c r="K399" s="8">
        <f>[1]Data!K399</f>
        <v>0</v>
      </c>
      <c r="L399" s="8">
        <f>[1]Data!L399</f>
        <v>0</v>
      </c>
      <c r="M399" s="8">
        <f>[1]Data!M399</f>
        <v>0</v>
      </c>
      <c r="N399" s="8">
        <f>[1]Data!N399</f>
        <v>8.9285714285714302E-2</v>
      </c>
      <c r="O399" s="8">
        <f>[1]Data!O399</f>
        <v>0</v>
      </c>
      <c r="P399" s="8">
        <f>[1]Data!P399</f>
        <v>1</v>
      </c>
      <c r="Q399" s="8">
        <f>[1]Data!Q399</f>
        <v>0</v>
      </c>
      <c r="R399" s="8">
        <f>[1]Data!R399</f>
        <v>0</v>
      </c>
      <c r="S399" s="8">
        <f>[1]Data!S399</f>
        <v>0</v>
      </c>
      <c r="T399">
        <f t="shared" si="30"/>
        <v>8.9285714285714302E-2</v>
      </c>
      <c r="U399">
        <f t="shared" si="31"/>
        <v>0</v>
      </c>
      <c r="V399" s="4" t="str">
        <f t="shared" si="32"/>
        <v>0</v>
      </c>
      <c r="W399" s="4" t="str">
        <f t="shared" si="33"/>
        <v>3</v>
      </c>
      <c r="X399" s="4" t="str">
        <f t="shared" si="34"/>
        <v>0INDIV3</v>
      </c>
      <c r="Y399">
        <f>VLOOKUP(X399,Sheet1!$J$5:$K$121,2,FALSE)</f>
        <v>0</v>
      </c>
    </row>
    <row r="400" spans="1:25" x14ac:dyDescent="0.25">
      <c r="A400" s="8">
        <f>[1]Data!A400</f>
        <v>408006</v>
      </c>
      <c r="B400" s="8">
        <f>[1]Data!B400</f>
        <v>3</v>
      </c>
      <c r="C400" s="8">
        <f>[1]Data!C400</f>
        <v>0</v>
      </c>
      <c r="D400" s="8">
        <f>[1]Data!D400</f>
        <v>1</v>
      </c>
      <c r="E400" s="8" t="str">
        <f>[1]Data!E400</f>
        <v>INDIV</v>
      </c>
      <c r="F400" s="8" t="str">
        <f>[1]Data!F400</f>
        <v>West Covina</v>
      </c>
      <c r="G400" s="8">
        <f>[1]Data!G400</f>
        <v>0</v>
      </c>
      <c r="H400" s="8">
        <f>[1]Data!H400</f>
        <v>0</v>
      </c>
      <c r="I400" s="8">
        <f>[1]Data!I400</f>
        <v>0</v>
      </c>
      <c r="J400" s="8">
        <f>[1]Data!J400</f>
        <v>0</v>
      </c>
      <c r="K400" s="8">
        <f>[1]Data!K400</f>
        <v>0</v>
      </c>
      <c r="L400" s="8">
        <f>[1]Data!L400</f>
        <v>0</v>
      </c>
      <c r="M400" s="8">
        <f>[1]Data!M400</f>
        <v>0</v>
      </c>
      <c r="N400" s="8">
        <f>[1]Data!N400</f>
        <v>8.9285714285714302E-2</v>
      </c>
      <c r="O400" s="8">
        <f>[1]Data!O400</f>
        <v>0</v>
      </c>
      <c r="P400" s="8">
        <f>[1]Data!P400</f>
        <v>1</v>
      </c>
      <c r="Q400" s="8">
        <f>[1]Data!Q400</f>
        <v>0</v>
      </c>
      <c r="R400" s="8">
        <f>[1]Data!R400</f>
        <v>0</v>
      </c>
      <c r="S400" s="8">
        <f>[1]Data!S400</f>
        <v>0</v>
      </c>
      <c r="T400">
        <f t="shared" si="30"/>
        <v>8.9285714285714302E-2</v>
      </c>
      <c r="U400">
        <f t="shared" si="31"/>
        <v>0</v>
      </c>
      <c r="V400" s="4" t="str">
        <f t="shared" si="32"/>
        <v>0</v>
      </c>
      <c r="W400" s="4" t="str">
        <f t="shared" si="33"/>
        <v>3</v>
      </c>
      <c r="X400" s="4" t="str">
        <f t="shared" si="34"/>
        <v>0INDIV3</v>
      </c>
      <c r="Y400">
        <f>VLOOKUP(X400,Sheet1!$J$5:$K$121,2,FALSE)</f>
        <v>0</v>
      </c>
    </row>
    <row r="401" spans="1:25" x14ac:dyDescent="0.25">
      <c r="A401" s="8">
        <f>[1]Data!A401</f>
        <v>401701</v>
      </c>
      <c r="B401" s="8">
        <f>[1]Data!B401</f>
        <v>3</v>
      </c>
      <c r="C401" s="8">
        <f>[1]Data!C401</f>
        <v>0</v>
      </c>
      <c r="D401" s="8">
        <f>[1]Data!D401</f>
        <v>1</v>
      </c>
      <c r="E401" s="8" t="str">
        <f>[1]Data!E401</f>
        <v>INDIV</v>
      </c>
      <c r="F401" s="8" t="str">
        <f>[1]Data!F401</f>
        <v>Claremont</v>
      </c>
      <c r="G401" s="8">
        <f>[1]Data!G401</f>
        <v>0</v>
      </c>
      <c r="H401" s="8">
        <f>[1]Data!H401</f>
        <v>0</v>
      </c>
      <c r="I401" s="8">
        <f>[1]Data!I401</f>
        <v>1.591</v>
      </c>
      <c r="J401" s="8">
        <f>[1]Data!J401</f>
        <v>1.43919657</v>
      </c>
      <c r="K401" s="8">
        <f>[1]Data!K401</f>
        <v>1.43919657</v>
      </c>
      <c r="L401" s="8">
        <f>[1]Data!L401</f>
        <v>0.15145200614003601</v>
      </c>
      <c r="M401" s="8">
        <f>[1]Data!M401</f>
        <v>1.59064857614004</v>
      </c>
      <c r="N401" s="8">
        <f>[1]Data!N401</f>
        <v>8.9285714285714302E-2</v>
      </c>
      <c r="O401" s="8">
        <f>[1]Data!O401</f>
        <v>0</v>
      </c>
      <c r="P401" s="8">
        <f>[1]Data!P401</f>
        <v>1</v>
      </c>
      <c r="Q401" s="8">
        <f>[1]Data!Q401</f>
        <v>0</v>
      </c>
      <c r="R401" s="8">
        <f>[1]Data!R401</f>
        <v>0</v>
      </c>
      <c r="S401" s="8">
        <f>[1]Data!S401</f>
        <v>0</v>
      </c>
      <c r="T401">
        <f t="shared" si="30"/>
        <v>8.9285714285714302E-2</v>
      </c>
      <c r="U401">
        <f t="shared" si="31"/>
        <v>0</v>
      </c>
      <c r="V401" s="4" t="str">
        <f t="shared" si="32"/>
        <v>0</v>
      </c>
      <c r="W401" s="4" t="str">
        <f t="shared" si="33"/>
        <v>3</v>
      </c>
      <c r="X401" s="4" t="str">
        <f t="shared" si="34"/>
        <v>0INDIV3</v>
      </c>
      <c r="Y401">
        <f>VLOOKUP(X401,Sheet1!$J$5:$K$121,2,FALSE)</f>
        <v>0</v>
      </c>
    </row>
    <row r="402" spans="1:25" x14ac:dyDescent="0.25">
      <c r="A402" s="8">
        <f>[1]Data!A402</f>
        <v>460100</v>
      </c>
      <c r="B402" s="8">
        <f>[1]Data!B402</f>
        <v>3</v>
      </c>
      <c r="C402" s="8">
        <f>[1]Data!C402</f>
        <v>0</v>
      </c>
      <c r="D402" s="8">
        <f>[1]Data!D402</f>
        <v>5</v>
      </c>
      <c r="E402" s="8" t="str">
        <f>[1]Data!E402</f>
        <v>INDIV</v>
      </c>
      <c r="F402" s="8" t="str">
        <f>[1]Data!F402</f>
        <v>Altadena</v>
      </c>
      <c r="G402" s="8">
        <f>[1]Data!G402</f>
        <v>0</v>
      </c>
      <c r="H402" s="8">
        <f>[1]Data!H402</f>
        <v>0</v>
      </c>
      <c r="I402" s="8">
        <f>[1]Data!I402</f>
        <v>2.0950000000000002</v>
      </c>
      <c r="J402" s="8">
        <f>[1]Data!J402</f>
        <v>1.9836996600000001</v>
      </c>
      <c r="K402" s="8">
        <f>[1]Data!K402</f>
        <v>1.9836996600000001</v>
      </c>
      <c r="L402" s="8">
        <f>[1]Data!L402</f>
        <v>0.11117260138240601</v>
      </c>
      <c r="M402" s="8">
        <f>[1]Data!M402</f>
        <v>2.09487226138241</v>
      </c>
      <c r="N402" s="8">
        <f>[1]Data!N402</f>
        <v>8.9285714285714302E-2</v>
      </c>
      <c r="O402" s="8">
        <f>[1]Data!O402</f>
        <v>0</v>
      </c>
      <c r="P402" s="8">
        <f>[1]Data!P402</f>
        <v>1</v>
      </c>
      <c r="Q402" s="8">
        <f>[1]Data!Q402</f>
        <v>0</v>
      </c>
      <c r="R402" s="8">
        <f>[1]Data!R402</f>
        <v>0</v>
      </c>
      <c r="S402" s="8">
        <f>[1]Data!S402</f>
        <v>0</v>
      </c>
      <c r="T402">
        <f t="shared" si="30"/>
        <v>8.9285714285714302E-2</v>
      </c>
      <c r="U402">
        <f t="shared" si="31"/>
        <v>0</v>
      </c>
      <c r="V402" s="4" t="str">
        <f t="shared" si="32"/>
        <v>0</v>
      </c>
      <c r="W402" s="4" t="str">
        <f t="shared" si="33"/>
        <v>3</v>
      </c>
      <c r="X402" s="4" t="str">
        <f t="shared" si="34"/>
        <v>0INDIV3</v>
      </c>
      <c r="Y402">
        <f>VLOOKUP(X402,Sheet1!$J$5:$K$121,2,FALSE)</f>
        <v>0</v>
      </c>
    </row>
    <row r="403" spans="1:25" x14ac:dyDescent="0.25">
      <c r="A403" s="8">
        <f>[1]Data!A403</f>
        <v>432901</v>
      </c>
      <c r="B403" s="8">
        <f>[1]Data!B403</f>
        <v>3</v>
      </c>
      <c r="C403" s="8">
        <f>[1]Data!C403</f>
        <v>0</v>
      </c>
      <c r="D403" s="8">
        <f>[1]Data!D403</f>
        <v>1</v>
      </c>
      <c r="E403" s="8" t="str">
        <f>[1]Data!E403</f>
        <v>INDIV</v>
      </c>
      <c r="F403" s="8" t="str">
        <f>[1]Data!F403</f>
        <v>Rosemead</v>
      </c>
      <c r="G403" s="8">
        <f>[1]Data!G403</f>
        <v>0</v>
      </c>
      <c r="H403" s="8">
        <f>[1]Data!H403</f>
        <v>0</v>
      </c>
      <c r="I403" s="8">
        <f>[1]Data!I403</f>
        <v>8.1809999999999992</v>
      </c>
      <c r="J403" s="8">
        <f>[1]Data!J403</f>
        <v>2.87839314</v>
      </c>
      <c r="K403" s="8">
        <f>[1]Data!K403</f>
        <v>7.87839314</v>
      </c>
      <c r="L403" s="8">
        <f>[1]Data!L403</f>
        <v>0.30290401228007202</v>
      </c>
      <c r="M403" s="8">
        <f>[1]Data!M403</f>
        <v>8.1812971522800702</v>
      </c>
      <c r="N403" s="8">
        <f>[1]Data!N403</f>
        <v>8.9285714285714302E-2</v>
      </c>
      <c r="O403" s="8">
        <f>[1]Data!O403</f>
        <v>0</v>
      </c>
      <c r="P403" s="8">
        <f>[1]Data!P403</f>
        <v>1</v>
      </c>
      <c r="Q403" s="8">
        <f>[1]Data!Q403</f>
        <v>0</v>
      </c>
      <c r="R403" s="8">
        <f>[1]Data!R403</f>
        <v>0</v>
      </c>
      <c r="S403" s="8">
        <f>[1]Data!S403</f>
        <v>0</v>
      </c>
      <c r="T403">
        <f t="shared" si="30"/>
        <v>8.9285714285714302E-2</v>
      </c>
      <c r="U403">
        <f t="shared" si="31"/>
        <v>0</v>
      </c>
      <c r="V403" s="4" t="str">
        <f t="shared" si="32"/>
        <v>0</v>
      </c>
      <c r="W403" s="4" t="str">
        <f t="shared" si="33"/>
        <v>3</v>
      </c>
      <c r="X403" s="4" t="str">
        <f t="shared" si="34"/>
        <v>0INDIV3</v>
      </c>
      <c r="Y403">
        <f>VLOOKUP(X403,Sheet1!$J$5:$K$121,2,FALSE)</f>
        <v>0</v>
      </c>
    </row>
    <row r="404" spans="1:25" x14ac:dyDescent="0.25">
      <c r="A404" s="8">
        <f>[1]Data!A404</f>
        <v>432000</v>
      </c>
      <c r="B404" s="8">
        <f>[1]Data!B404</f>
        <v>3</v>
      </c>
      <c r="C404" s="8">
        <f>[1]Data!C404</f>
        <v>0</v>
      </c>
      <c r="D404" s="8">
        <f>[1]Data!D404</f>
        <v>5</v>
      </c>
      <c r="E404" s="8" t="str">
        <f>[1]Data!E404</f>
        <v>INDIV</v>
      </c>
      <c r="F404" s="8" t="str">
        <f>[1]Data!F404</f>
        <v>Temple City</v>
      </c>
      <c r="G404" s="8">
        <f>[1]Data!G404</f>
        <v>0</v>
      </c>
      <c r="H404" s="8">
        <f>[1]Data!H404</f>
        <v>0</v>
      </c>
      <c r="I404" s="8">
        <f>[1]Data!I404</f>
        <v>3</v>
      </c>
      <c r="J404" s="8">
        <f>[1]Data!J404</f>
        <v>0</v>
      </c>
      <c r="K404" s="8">
        <f>[1]Data!K404</f>
        <v>3</v>
      </c>
      <c r="L404" s="8">
        <f>[1]Data!L404</f>
        <v>0</v>
      </c>
      <c r="M404" s="8">
        <f>[1]Data!M404</f>
        <v>3</v>
      </c>
      <c r="N404" s="8">
        <f>[1]Data!N404</f>
        <v>8.9285714285714302E-2</v>
      </c>
      <c r="O404" s="8">
        <f>[1]Data!O404</f>
        <v>0</v>
      </c>
      <c r="P404" s="8">
        <f>[1]Data!P404</f>
        <v>1</v>
      </c>
      <c r="Q404" s="8">
        <f>[1]Data!Q404</f>
        <v>0</v>
      </c>
      <c r="R404" s="8">
        <f>[1]Data!R404</f>
        <v>0</v>
      </c>
      <c r="S404" s="8">
        <f>[1]Data!S404</f>
        <v>0</v>
      </c>
      <c r="T404">
        <f t="shared" si="30"/>
        <v>8.9285714285714302E-2</v>
      </c>
      <c r="U404">
        <f t="shared" si="31"/>
        <v>0</v>
      </c>
      <c r="V404" s="4" t="str">
        <f t="shared" si="32"/>
        <v>0</v>
      </c>
      <c r="W404" s="4" t="str">
        <f t="shared" si="33"/>
        <v>3</v>
      </c>
      <c r="X404" s="4" t="str">
        <f t="shared" si="34"/>
        <v>0INDIV3</v>
      </c>
      <c r="Y404">
        <f>VLOOKUP(X404,Sheet1!$J$5:$K$121,2,FALSE)</f>
        <v>0</v>
      </c>
    </row>
    <row r="405" spans="1:25" x14ac:dyDescent="0.25">
      <c r="A405" s="8">
        <f>[1]Data!A405</f>
        <v>480011</v>
      </c>
      <c r="B405" s="8">
        <f>[1]Data!B405</f>
        <v>3</v>
      </c>
      <c r="C405" s="8">
        <f>[1]Data!C405</f>
        <v>0</v>
      </c>
      <c r="D405" s="8">
        <f>[1]Data!D405</f>
        <v>5</v>
      </c>
      <c r="E405" s="8" t="str">
        <f>[1]Data!E405</f>
        <v>INDIV</v>
      </c>
      <c r="F405" s="8" t="str">
        <f>[1]Data!F405</f>
        <v>East San Gabriel</v>
      </c>
      <c r="G405" s="8">
        <f>[1]Data!G405</f>
        <v>0</v>
      </c>
      <c r="H405" s="8">
        <f>[1]Data!H405</f>
        <v>0</v>
      </c>
      <c r="I405" s="8">
        <f>[1]Data!I405</f>
        <v>7.5170000000000003</v>
      </c>
      <c r="J405" s="8">
        <f>[1]Data!J405</f>
        <v>3.3440765099999998</v>
      </c>
      <c r="K405" s="8">
        <f>[1]Data!K405</f>
        <v>7.3440765099999998</v>
      </c>
      <c r="L405" s="8">
        <f>[1]Data!L405</f>
        <v>0.17207732822262101</v>
      </c>
      <c r="M405" s="8">
        <f>[1]Data!M405</f>
        <v>7.5161538382226203</v>
      </c>
      <c r="N405" s="8">
        <f>[1]Data!N405</f>
        <v>8.9285714285714302E-2</v>
      </c>
      <c r="O405" s="8">
        <f>[1]Data!O405</f>
        <v>0</v>
      </c>
      <c r="P405" s="8">
        <f>[1]Data!P405</f>
        <v>1</v>
      </c>
      <c r="Q405" s="8">
        <f>[1]Data!Q405</f>
        <v>0</v>
      </c>
      <c r="R405" s="8">
        <f>[1]Data!R405</f>
        <v>0</v>
      </c>
      <c r="S405" s="8">
        <f>[1]Data!S405</f>
        <v>0</v>
      </c>
      <c r="T405">
        <f t="shared" si="30"/>
        <v>8.9285714285714302E-2</v>
      </c>
      <c r="U405">
        <f t="shared" si="31"/>
        <v>0</v>
      </c>
      <c r="V405" s="4" t="str">
        <f t="shared" si="32"/>
        <v>0</v>
      </c>
      <c r="W405" s="4" t="str">
        <f t="shared" si="33"/>
        <v>3</v>
      </c>
      <c r="X405" s="4" t="str">
        <f t="shared" si="34"/>
        <v>0INDIV3</v>
      </c>
      <c r="Y405">
        <f>VLOOKUP(X405,Sheet1!$J$5:$K$121,2,FALSE)</f>
        <v>0</v>
      </c>
    </row>
    <row r="406" spans="1:25" x14ac:dyDescent="0.25">
      <c r="A406" s="8">
        <f>[1]Data!A406</f>
        <v>430002</v>
      </c>
      <c r="B406" s="8">
        <f>[1]Data!B406</f>
        <v>3</v>
      </c>
      <c r="C406" s="8">
        <f>[1]Data!C406</f>
        <v>0</v>
      </c>
      <c r="D406" s="8">
        <f>[1]Data!D406</f>
        <v>5</v>
      </c>
      <c r="E406" s="8" t="str">
        <f>[1]Data!E406</f>
        <v>INDIV</v>
      </c>
      <c r="F406" s="8" t="str">
        <f>[1]Data!F406</f>
        <v>Duarte</v>
      </c>
      <c r="G406" s="8">
        <f>[1]Data!G406</f>
        <v>1</v>
      </c>
      <c r="H406" s="8">
        <f>[1]Data!H406</f>
        <v>1</v>
      </c>
      <c r="I406" s="8">
        <f>[1]Data!I406</f>
        <v>5.8079999999999998</v>
      </c>
      <c r="J406" s="8">
        <f>[1]Data!J406</f>
        <v>1.73313217</v>
      </c>
      <c r="K406" s="8">
        <f>[1]Data!K406</f>
        <v>5.7331321700000002</v>
      </c>
      <c r="L406" s="8">
        <f>[1]Data!L406</f>
        <v>7.4985510287253102E-2</v>
      </c>
      <c r="M406" s="8">
        <f>[1]Data!M406</f>
        <v>5.8081176802872498</v>
      </c>
      <c r="N406" s="8">
        <f>[1]Data!N406</f>
        <v>8.9285714285714302E-2</v>
      </c>
      <c r="O406" s="8">
        <f>[1]Data!O406</f>
        <v>11.2</v>
      </c>
      <c r="P406" s="8">
        <f>[1]Data!P406</f>
        <v>1</v>
      </c>
      <c r="Q406" s="8">
        <f>[1]Data!Q406</f>
        <v>0</v>
      </c>
      <c r="R406" s="8">
        <f>[1]Data!R406</f>
        <v>0</v>
      </c>
      <c r="S406" s="8">
        <f>[1]Data!S406</f>
        <v>0</v>
      </c>
      <c r="T406">
        <f t="shared" si="30"/>
        <v>8.9285714285714302E-2</v>
      </c>
      <c r="U406">
        <f t="shared" si="31"/>
        <v>11.199999999999998</v>
      </c>
      <c r="V406" s="4" t="str">
        <f t="shared" si="32"/>
        <v>0</v>
      </c>
      <c r="W406" s="4" t="str">
        <f t="shared" si="33"/>
        <v>3</v>
      </c>
      <c r="X406" s="4" t="str">
        <f t="shared" si="34"/>
        <v>0INDIV3</v>
      </c>
      <c r="Y406">
        <f>VLOOKUP(X406,Sheet1!$J$5:$K$121,2,FALSE)</f>
        <v>0</v>
      </c>
    </row>
    <row r="407" spans="1:25" x14ac:dyDescent="0.25">
      <c r="A407" s="8">
        <f>[1]Data!A407</f>
        <v>480304</v>
      </c>
      <c r="B407" s="8">
        <f>[1]Data!B407</f>
        <v>3</v>
      </c>
      <c r="C407" s="8">
        <f>[1]Data!C407</f>
        <v>0</v>
      </c>
      <c r="D407" s="8">
        <f>[1]Data!D407</f>
        <v>5</v>
      </c>
      <c r="E407" s="8" t="str">
        <f>[1]Data!E407</f>
        <v>INDIV</v>
      </c>
      <c r="F407" s="8" t="str">
        <f>[1]Data!F407</f>
        <v>Alhambra</v>
      </c>
      <c r="G407" s="8">
        <f>[1]Data!G407</f>
        <v>0</v>
      </c>
      <c r="H407" s="8">
        <f>[1]Data!H407</f>
        <v>0</v>
      </c>
      <c r="I407" s="8">
        <f>[1]Data!I407</f>
        <v>3.5169999999999999</v>
      </c>
      <c r="J407" s="8">
        <f>[1]Data!J407</f>
        <v>3.3440765099999998</v>
      </c>
      <c r="K407" s="8">
        <f>[1]Data!K407</f>
        <v>3.3440765099999998</v>
      </c>
      <c r="L407" s="8">
        <f>[1]Data!L407</f>
        <v>0.17207732822262101</v>
      </c>
      <c r="M407" s="8">
        <f>[1]Data!M407</f>
        <v>3.5161538382226198</v>
      </c>
      <c r="N407" s="8">
        <f>[1]Data!N407</f>
        <v>8.9285714285714302E-2</v>
      </c>
      <c r="O407" s="8">
        <f>[1]Data!O407</f>
        <v>0</v>
      </c>
      <c r="P407" s="8">
        <f>[1]Data!P407</f>
        <v>1</v>
      </c>
      <c r="Q407" s="8">
        <f>[1]Data!Q407</f>
        <v>0</v>
      </c>
      <c r="R407" s="8">
        <f>[1]Data!R407</f>
        <v>0</v>
      </c>
      <c r="S407" s="8">
        <f>[1]Data!S407</f>
        <v>0</v>
      </c>
      <c r="T407">
        <f t="shared" si="30"/>
        <v>8.9285714285714302E-2</v>
      </c>
      <c r="U407">
        <f t="shared" si="31"/>
        <v>0</v>
      </c>
      <c r="V407" s="4" t="str">
        <f t="shared" si="32"/>
        <v>0</v>
      </c>
      <c r="W407" s="4" t="str">
        <f t="shared" si="33"/>
        <v>3</v>
      </c>
      <c r="X407" s="4" t="str">
        <f t="shared" si="34"/>
        <v>0INDIV3</v>
      </c>
      <c r="Y407">
        <f>VLOOKUP(X407,Sheet1!$J$5:$K$121,2,FALSE)</f>
        <v>0</v>
      </c>
    </row>
    <row r="408" spans="1:25" x14ac:dyDescent="0.25">
      <c r="A408" s="8">
        <f>[1]Data!A408</f>
        <v>432601</v>
      </c>
      <c r="B408" s="8">
        <f>[1]Data!B408</f>
        <v>3</v>
      </c>
      <c r="C408" s="8">
        <f>[1]Data!C408</f>
        <v>0</v>
      </c>
      <c r="D408" s="8">
        <f>[1]Data!D408</f>
        <v>1</v>
      </c>
      <c r="E408" s="8" t="str">
        <f>[1]Data!E408</f>
        <v>INDIV</v>
      </c>
      <c r="F408" s="8" t="str">
        <f>[1]Data!F408</f>
        <v>El Monte</v>
      </c>
      <c r="G408" s="8">
        <f>[1]Data!G408</f>
        <v>0</v>
      </c>
      <c r="H408" s="8">
        <f>[1]Data!H408</f>
        <v>0</v>
      </c>
      <c r="I408" s="8">
        <f>[1]Data!I408</f>
        <v>6</v>
      </c>
      <c r="J408" s="8">
        <f>[1]Data!J408</f>
        <v>0</v>
      </c>
      <c r="K408" s="8">
        <f>[1]Data!K408</f>
        <v>6</v>
      </c>
      <c r="L408" s="8">
        <f>[1]Data!L408</f>
        <v>0</v>
      </c>
      <c r="M408" s="8">
        <f>[1]Data!M408</f>
        <v>6</v>
      </c>
      <c r="N408" s="8">
        <f>[1]Data!N408</f>
        <v>8.9285714285714302E-2</v>
      </c>
      <c r="O408" s="8">
        <f>[1]Data!O408</f>
        <v>0</v>
      </c>
      <c r="P408" s="8">
        <f>[1]Data!P408</f>
        <v>1</v>
      </c>
      <c r="Q408" s="8">
        <f>[1]Data!Q408</f>
        <v>0</v>
      </c>
      <c r="R408" s="8">
        <f>[1]Data!R408</f>
        <v>0</v>
      </c>
      <c r="S408" s="8">
        <f>[1]Data!S408</f>
        <v>0</v>
      </c>
      <c r="T408">
        <f t="shared" si="30"/>
        <v>8.9285714285714302E-2</v>
      </c>
      <c r="U408">
        <f t="shared" si="31"/>
        <v>0</v>
      </c>
      <c r="V408" s="4" t="str">
        <f t="shared" si="32"/>
        <v>0</v>
      </c>
      <c r="W408" s="4" t="str">
        <f t="shared" si="33"/>
        <v>3</v>
      </c>
      <c r="X408" s="4" t="str">
        <f t="shared" si="34"/>
        <v>0INDIV3</v>
      </c>
      <c r="Y408">
        <f>VLOOKUP(X408,Sheet1!$J$5:$K$121,2,FALSE)</f>
        <v>0</v>
      </c>
    </row>
    <row r="409" spans="1:25" x14ac:dyDescent="0.25">
      <c r="A409" s="8">
        <f>[1]Data!A409</f>
        <v>401902</v>
      </c>
      <c r="B409" s="8">
        <f>[1]Data!B409</f>
        <v>3</v>
      </c>
      <c r="C409" s="8">
        <f>[1]Data!C409</f>
        <v>0</v>
      </c>
      <c r="D409" s="8">
        <f>[1]Data!D409</f>
        <v>1</v>
      </c>
      <c r="E409" s="8" t="str">
        <f>[1]Data!E409</f>
        <v>INDIV</v>
      </c>
      <c r="F409" s="8" t="str">
        <f>[1]Data!F409</f>
        <v>Claremont</v>
      </c>
      <c r="G409" s="8">
        <f>[1]Data!G409</f>
        <v>0</v>
      </c>
      <c r="H409" s="8">
        <f>[1]Data!H409</f>
        <v>0</v>
      </c>
      <c r="I409" s="8">
        <f>[1]Data!I409</f>
        <v>0</v>
      </c>
      <c r="J409" s="8">
        <f>[1]Data!J409</f>
        <v>0</v>
      </c>
      <c r="K409" s="8">
        <f>[1]Data!K409</f>
        <v>0</v>
      </c>
      <c r="L409" s="8">
        <f>[1]Data!L409</f>
        <v>0</v>
      </c>
      <c r="M409" s="8">
        <f>[1]Data!M409</f>
        <v>0</v>
      </c>
      <c r="N409" s="8">
        <f>[1]Data!N409</f>
        <v>8.9285714285714302E-2</v>
      </c>
      <c r="O409" s="8">
        <f>[1]Data!O409</f>
        <v>0</v>
      </c>
      <c r="P409" s="8">
        <f>[1]Data!P409</f>
        <v>1</v>
      </c>
      <c r="Q409" s="8">
        <f>[1]Data!Q409</f>
        <v>0</v>
      </c>
      <c r="R409" s="8">
        <f>[1]Data!R409</f>
        <v>0</v>
      </c>
      <c r="S409" s="8">
        <f>[1]Data!S409</f>
        <v>0</v>
      </c>
      <c r="T409">
        <f t="shared" si="30"/>
        <v>8.9285714285714302E-2</v>
      </c>
      <c r="U409">
        <f t="shared" si="31"/>
        <v>0</v>
      </c>
      <c r="V409" s="4" t="str">
        <f t="shared" si="32"/>
        <v>0</v>
      </c>
      <c r="W409" s="4" t="str">
        <f t="shared" si="33"/>
        <v>3</v>
      </c>
      <c r="X409" s="4" t="str">
        <f t="shared" si="34"/>
        <v>0INDIV3</v>
      </c>
      <c r="Y409">
        <f>VLOOKUP(X409,Sheet1!$J$5:$K$121,2,FALSE)</f>
        <v>0</v>
      </c>
    </row>
    <row r="410" spans="1:25" x14ac:dyDescent="0.25">
      <c r="A410" s="8">
        <f>[1]Data!A410</f>
        <v>408626</v>
      </c>
      <c r="B410" s="8">
        <f>[1]Data!B410</f>
        <v>3</v>
      </c>
      <c r="C410" s="8">
        <f>[1]Data!C410</f>
        <v>0</v>
      </c>
      <c r="D410" s="8">
        <f>[1]Data!D410</f>
        <v>4</v>
      </c>
      <c r="E410" s="8" t="str">
        <f>[1]Data!E410</f>
        <v>INDIV</v>
      </c>
      <c r="F410" s="8" t="str">
        <f>[1]Data!F410</f>
        <v>Rowland Heights</v>
      </c>
      <c r="G410" s="8">
        <f>[1]Data!G410</f>
        <v>0</v>
      </c>
      <c r="H410" s="8">
        <f>[1]Data!H410</f>
        <v>0</v>
      </c>
      <c r="I410" s="8">
        <f>[1]Data!I410</f>
        <v>8.5909999999999993</v>
      </c>
      <c r="J410" s="8">
        <f>[1]Data!J410</f>
        <v>1.43919657</v>
      </c>
      <c r="K410" s="8">
        <f>[1]Data!K410</f>
        <v>8.43919657</v>
      </c>
      <c r="L410" s="8">
        <f>[1]Data!L410</f>
        <v>0.15145200614003601</v>
      </c>
      <c r="M410" s="8">
        <f>[1]Data!M410</f>
        <v>8.5906485761400404</v>
      </c>
      <c r="N410" s="8">
        <f>[1]Data!N410</f>
        <v>8.9285714285714302E-2</v>
      </c>
      <c r="O410" s="8">
        <f>[1]Data!O410</f>
        <v>0</v>
      </c>
      <c r="P410" s="8">
        <f>[1]Data!P410</f>
        <v>1</v>
      </c>
      <c r="Q410" s="8">
        <f>[1]Data!Q410</f>
        <v>0</v>
      </c>
      <c r="R410" s="8">
        <f>[1]Data!R410</f>
        <v>0</v>
      </c>
      <c r="S410" s="8">
        <f>[1]Data!S410</f>
        <v>0</v>
      </c>
      <c r="T410">
        <f t="shared" si="30"/>
        <v>8.9285714285714302E-2</v>
      </c>
      <c r="U410">
        <f t="shared" si="31"/>
        <v>0</v>
      </c>
      <c r="V410" s="4" t="str">
        <f t="shared" si="32"/>
        <v>0</v>
      </c>
      <c r="W410" s="4" t="str">
        <f t="shared" si="33"/>
        <v>3</v>
      </c>
      <c r="X410" s="4" t="str">
        <f t="shared" si="34"/>
        <v>0INDIV3</v>
      </c>
      <c r="Y410">
        <f>VLOOKUP(X410,Sheet1!$J$5:$K$121,2,FALSE)</f>
        <v>0</v>
      </c>
    </row>
    <row r="411" spans="1:25" x14ac:dyDescent="0.25">
      <c r="A411" s="8">
        <f>[1]Data!A411</f>
        <v>700501</v>
      </c>
      <c r="B411" s="8">
        <f>[1]Data!B411</f>
        <v>4</v>
      </c>
      <c r="C411" s="8">
        <f>[1]Data!C411</f>
        <v>0</v>
      </c>
      <c r="D411" s="8">
        <f>[1]Data!D411</f>
        <v>3</v>
      </c>
      <c r="E411" s="8" t="str">
        <f>[1]Data!E411</f>
        <v>INDIV</v>
      </c>
      <c r="F411" s="8" t="str">
        <f>[1]Data!F411</f>
        <v>West Hollywood</v>
      </c>
      <c r="G411" s="8">
        <f>[1]Data!G411</f>
        <v>0</v>
      </c>
      <c r="H411" s="8">
        <f>[1]Data!H411</f>
        <v>0</v>
      </c>
      <c r="I411" s="8">
        <f>[1]Data!I411</f>
        <v>16</v>
      </c>
      <c r="J411" s="8">
        <f>[1]Data!J411</f>
        <v>0</v>
      </c>
      <c r="K411" s="8">
        <f>[1]Data!K411</f>
        <v>16</v>
      </c>
      <c r="L411" s="8">
        <f>[1]Data!L411</f>
        <v>0</v>
      </c>
      <c r="M411" s="8">
        <f>[1]Data!M411</f>
        <v>16</v>
      </c>
      <c r="N411" s="8">
        <f>[1]Data!N411</f>
        <v>8.5106382978723402E-2</v>
      </c>
      <c r="O411" s="8">
        <f>[1]Data!O411</f>
        <v>0</v>
      </c>
      <c r="P411" s="8">
        <f>[1]Data!P411</f>
        <v>0.14893617021276601</v>
      </c>
      <c r="Q411" s="8">
        <f>[1]Data!Q411</f>
        <v>0</v>
      </c>
      <c r="R411" s="8">
        <f>[1]Data!R411</f>
        <v>0</v>
      </c>
      <c r="S411" s="8">
        <f>[1]Data!S411</f>
        <v>0</v>
      </c>
      <c r="T411">
        <f t="shared" si="30"/>
        <v>8.5106382978723402E-2</v>
      </c>
      <c r="U411">
        <f t="shared" si="31"/>
        <v>0</v>
      </c>
      <c r="V411" s="4" t="str">
        <f t="shared" si="32"/>
        <v>0</v>
      </c>
      <c r="W411" s="4" t="str">
        <f t="shared" si="33"/>
        <v>4</v>
      </c>
      <c r="X411" s="4" t="str">
        <f t="shared" si="34"/>
        <v>0INDIV4</v>
      </c>
      <c r="Y411">
        <f>VLOOKUP(X411,Sheet1!$J$5:$K$121,2,FALSE)</f>
        <v>0</v>
      </c>
    </row>
    <row r="412" spans="1:25" x14ac:dyDescent="0.25">
      <c r="A412" s="8">
        <f>[1]Data!A412</f>
        <v>700400</v>
      </c>
      <c r="B412" s="8">
        <f>[1]Data!B412</f>
        <v>4</v>
      </c>
      <c r="C412" s="8">
        <f>[1]Data!C412</f>
        <v>0</v>
      </c>
      <c r="D412" s="8">
        <f>[1]Data!D412</f>
        <v>3</v>
      </c>
      <c r="E412" s="8" t="str">
        <f>[1]Data!E412</f>
        <v>INDIV</v>
      </c>
      <c r="F412" s="8" t="str">
        <f>[1]Data!F412</f>
        <v>West Hollywood</v>
      </c>
      <c r="G412" s="8">
        <f>[1]Data!G412</f>
        <v>0</v>
      </c>
      <c r="H412" s="8">
        <f>[1]Data!H412</f>
        <v>0</v>
      </c>
      <c r="I412" s="8">
        <f>[1]Data!I412</f>
        <v>21.702999999999999</v>
      </c>
      <c r="J412" s="8">
        <f>[1]Data!J412</f>
        <v>1.6812916200000001</v>
      </c>
      <c r="K412" s="8">
        <f>[1]Data!K412</f>
        <v>21.68129162</v>
      </c>
      <c r="L412" s="8">
        <f>[1]Data!L412</f>
        <v>2.14919317594255E-2</v>
      </c>
      <c r="M412" s="8">
        <f>[1]Data!M412</f>
        <v>21.702783551759399</v>
      </c>
      <c r="N412" s="8">
        <f>[1]Data!N412</f>
        <v>8.5106382978723402E-2</v>
      </c>
      <c r="O412" s="8">
        <f>[1]Data!O412</f>
        <v>0</v>
      </c>
      <c r="P412" s="8">
        <f>[1]Data!P412</f>
        <v>0.14893617021276601</v>
      </c>
      <c r="Q412" s="8">
        <f>[1]Data!Q412</f>
        <v>0</v>
      </c>
      <c r="R412" s="8">
        <f>[1]Data!R412</f>
        <v>0</v>
      </c>
      <c r="S412" s="8">
        <f>[1]Data!S412</f>
        <v>0</v>
      </c>
      <c r="T412">
        <f t="shared" si="30"/>
        <v>8.5106382978723402E-2</v>
      </c>
      <c r="U412">
        <f t="shared" si="31"/>
        <v>0</v>
      </c>
      <c r="V412" s="4" t="str">
        <f t="shared" si="32"/>
        <v>0</v>
      </c>
      <c r="W412" s="4" t="str">
        <f t="shared" si="33"/>
        <v>4</v>
      </c>
      <c r="X412" s="4" t="str">
        <f t="shared" si="34"/>
        <v>0INDIV4</v>
      </c>
      <c r="Y412">
        <f>VLOOKUP(X412,Sheet1!$J$5:$K$121,2,FALSE)</f>
        <v>0</v>
      </c>
    </row>
    <row r="413" spans="1:25" x14ac:dyDescent="0.25">
      <c r="A413" s="8">
        <f>[1]Data!A413</f>
        <v>700200</v>
      </c>
      <c r="B413" s="8">
        <f>[1]Data!B413</f>
        <v>4</v>
      </c>
      <c r="C413" s="8">
        <f>[1]Data!C413</f>
        <v>0</v>
      </c>
      <c r="D413" s="8">
        <f>[1]Data!D413</f>
        <v>3</v>
      </c>
      <c r="E413" s="8" t="str">
        <f>[1]Data!E413</f>
        <v>INDIV</v>
      </c>
      <c r="F413" s="8" t="str">
        <f>[1]Data!F413</f>
        <v>West Hollywood</v>
      </c>
      <c r="G413" s="8">
        <f>[1]Data!G413</f>
        <v>0</v>
      </c>
      <c r="H413" s="8">
        <f>[1]Data!H413</f>
        <v>0</v>
      </c>
      <c r="I413" s="8">
        <f>[1]Data!I413</f>
        <v>10.926</v>
      </c>
      <c r="J413" s="8">
        <f>[1]Data!J413</f>
        <v>1.90487994</v>
      </c>
      <c r="K413" s="8">
        <f>[1]Data!K413</f>
        <v>10.904879940000001</v>
      </c>
      <c r="L413" s="8">
        <f>[1]Data!L413</f>
        <v>2.0625322082585301E-2</v>
      </c>
      <c r="M413" s="8">
        <f>[1]Data!M413</f>
        <v>10.9255052620826</v>
      </c>
      <c r="N413" s="8">
        <f>[1]Data!N413</f>
        <v>8.5106382978723402E-2</v>
      </c>
      <c r="O413" s="8">
        <f>[1]Data!O413</f>
        <v>0</v>
      </c>
      <c r="P413" s="8">
        <f>[1]Data!P413</f>
        <v>0.14893617021276601</v>
      </c>
      <c r="Q413" s="8">
        <f>[1]Data!Q413</f>
        <v>0</v>
      </c>
      <c r="R413" s="8">
        <f>[1]Data!R413</f>
        <v>0</v>
      </c>
      <c r="S413" s="8">
        <f>[1]Data!S413</f>
        <v>0</v>
      </c>
      <c r="T413">
        <f t="shared" si="30"/>
        <v>8.5106382978723402E-2</v>
      </c>
      <c r="U413">
        <f t="shared" si="31"/>
        <v>0</v>
      </c>
      <c r="V413" s="4" t="str">
        <f t="shared" si="32"/>
        <v>0</v>
      </c>
      <c r="W413" s="4" t="str">
        <f t="shared" si="33"/>
        <v>4</v>
      </c>
      <c r="X413" s="4" t="str">
        <f t="shared" si="34"/>
        <v>0INDIV4</v>
      </c>
      <c r="Y413">
        <f>VLOOKUP(X413,Sheet1!$J$5:$K$121,2,FALSE)</f>
        <v>0</v>
      </c>
    </row>
    <row r="414" spans="1:25" x14ac:dyDescent="0.25">
      <c r="A414" s="8">
        <f>[1]Data!A414</f>
        <v>700102</v>
      </c>
      <c r="B414" s="8">
        <f>[1]Data!B414</f>
        <v>4</v>
      </c>
      <c r="C414" s="8">
        <f>[1]Data!C414</f>
        <v>0</v>
      </c>
      <c r="D414" s="8">
        <f>[1]Data!D414</f>
        <v>3</v>
      </c>
      <c r="E414" s="8" t="str">
        <f>[1]Data!E414</f>
        <v>INDIV</v>
      </c>
      <c r="F414" s="8" t="str">
        <f>[1]Data!F414</f>
        <v>West Hollywood</v>
      </c>
      <c r="G414" s="8">
        <f>[1]Data!G414</f>
        <v>0</v>
      </c>
      <c r="H414" s="8">
        <f>[1]Data!H414</f>
        <v>0</v>
      </c>
      <c r="I414" s="8">
        <f>[1]Data!I414</f>
        <v>14.851000000000001</v>
      </c>
      <c r="J414" s="8">
        <f>[1]Data!J414</f>
        <v>3.8097598800000001</v>
      </c>
      <c r="K414" s="8">
        <f>[1]Data!K414</f>
        <v>14.80975988</v>
      </c>
      <c r="L414" s="8">
        <f>[1]Data!L414</f>
        <v>4.1250644165170602E-2</v>
      </c>
      <c r="M414" s="8">
        <f>[1]Data!M414</f>
        <v>14.851010524165201</v>
      </c>
      <c r="N414" s="8">
        <f>[1]Data!N414</f>
        <v>8.5106382978723402E-2</v>
      </c>
      <c r="O414" s="8">
        <f>[1]Data!O414</f>
        <v>0</v>
      </c>
      <c r="P414" s="8">
        <f>[1]Data!P414</f>
        <v>0.14893617021276601</v>
      </c>
      <c r="Q414" s="8">
        <f>[1]Data!Q414</f>
        <v>0</v>
      </c>
      <c r="R414" s="8">
        <f>[1]Data!R414</f>
        <v>0</v>
      </c>
      <c r="S414" s="8">
        <f>[1]Data!S414</f>
        <v>0</v>
      </c>
      <c r="T414">
        <f t="shared" si="30"/>
        <v>8.5106382978723402E-2</v>
      </c>
      <c r="U414">
        <f t="shared" si="31"/>
        <v>0</v>
      </c>
      <c r="V414" s="4" t="str">
        <f t="shared" si="32"/>
        <v>0</v>
      </c>
      <c r="W414" s="4" t="str">
        <f t="shared" si="33"/>
        <v>4</v>
      </c>
      <c r="X414" s="4" t="str">
        <f t="shared" si="34"/>
        <v>0INDIV4</v>
      </c>
      <c r="Y414">
        <f>VLOOKUP(X414,Sheet1!$J$5:$K$121,2,FALSE)</f>
        <v>0</v>
      </c>
    </row>
    <row r="415" spans="1:25" x14ac:dyDescent="0.25">
      <c r="A415" s="8">
        <f>[1]Data!A415</f>
        <v>700101</v>
      </c>
      <c r="B415" s="8">
        <f>[1]Data!B415</f>
        <v>4</v>
      </c>
      <c r="C415" s="8">
        <f>[1]Data!C415</f>
        <v>0</v>
      </c>
      <c r="D415" s="8">
        <f>[1]Data!D415</f>
        <v>3</v>
      </c>
      <c r="E415" s="8" t="str">
        <f>[1]Data!E415</f>
        <v>INDIV</v>
      </c>
      <c r="F415" s="8" t="str">
        <f>[1]Data!F415</f>
        <v>West Hollywood</v>
      </c>
      <c r="G415" s="8">
        <f>[1]Data!G415</f>
        <v>0</v>
      </c>
      <c r="H415" s="8">
        <f>[1]Data!H415</f>
        <v>0</v>
      </c>
      <c r="I415" s="8">
        <f>[1]Data!I415</f>
        <v>18.734000000000002</v>
      </c>
      <c r="J415" s="8">
        <f>[1]Data!J415</f>
        <v>3.63801211</v>
      </c>
      <c r="K415" s="8">
        <f>[1]Data!K415</f>
        <v>18.638012109999998</v>
      </c>
      <c r="L415" s="8">
        <f>[1]Data!L415</f>
        <v>9.5610832369838403E-2</v>
      </c>
      <c r="M415" s="8">
        <f>[1]Data!M415</f>
        <v>18.733622942369799</v>
      </c>
      <c r="N415" s="8">
        <f>[1]Data!N415</f>
        <v>8.5106382978723402E-2</v>
      </c>
      <c r="O415" s="8">
        <f>[1]Data!O415</f>
        <v>0</v>
      </c>
      <c r="P415" s="8">
        <f>[1]Data!P415</f>
        <v>0.14893617021276601</v>
      </c>
      <c r="Q415" s="8">
        <f>[1]Data!Q415</f>
        <v>0</v>
      </c>
      <c r="R415" s="8">
        <f>[1]Data!R415</f>
        <v>0</v>
      </c>
      <c r="S415" s="8">
        <f>[1]Data!S415</f>
        <v>0</v>
      </c>
      <c r="T415">
        <f t="shared" si="30"/>
        <v>8.5106382978723402E-2</v>
      </c>
      <c r="U415">
        <f t="shared" si="31"/>
        <v>0</v>
      </c>
      <c r="V415" s="4" t="str">
        <f t="shared" si="32"/>
        <v>0</v>
      </c>
      <c r="W415" s="4" t="str">
        <f t="shared" si="33"/>
        <v>4</v>
      </c>
      <c r="X415" s="4" t="str">
        <f t="shared" si="34"/>
        <v>0INDIV4</v>
      </c>
      <c r="Y415">
        <f>VLOOKUP(X415,Sheet1!$J$5:$K$121,2,FALSE)</f>
        <v>0</v>
      </c>
    </row>
    <row r="416" spans="1:25" x14ac:dyDescent="0.25">
      <c r="A416" s="8">
        <f>[1]Data!A416</f>
        <v>700502</v>
      </c>
      <c r="B416" s="8">
        <f>[1]Data!B416</f>
        <v>4</v>
      </c>
      <c r="C416" s="8">
        <f>[1]Data!C416</f>
        <v>0</v>
      </c>
      <c r="D416" s="8">
        <f>[1]Data!D416</f>
        <v>3</v>
      </c>
      <c r="E416" s="8" t="str">
        <f>[1]Data!E416</f>
        <v>INDIV</v>
      </c>
      <c r="F416" s="8" t="str">
        <f>[1]Data!F416</f>
        <v>West Hollywood</v>
      </c>
      <c r="G416" s="8">
        <f>[1]Data!G416</f>
        <v>0</v>
      </c>
      <c r="H416" s="8">
        <f>[1]Data!H416</f>
        <v>0</v>
      </c>
      <c r="I416" s="8">
        <f>[1]Data!I416</f>
        <v>11</v>
      </c>
      <c r="J416" s="8">
        <f>[1]Data!J416</f>
        <v>0</v>
      </c>
      <c r="K416" s="8">
        <f>[1]Data!K416</f>
        <v>11</v>
      </c>
      <c r="L416" s="8">
        <f>[1]Data!L416</f>
        <v>0</v>
      </c>
      <c r="M416" s="8">
        <f>[1]Data!M416</f>
        <v>11</v>
      </c>
      <c r="N416" s="8">
        <f>[1]Data!N416</f>
        <v>8.5106382978723402E-2</v>
      </c>
      <c r="O416" s="8">
        <f>[1]Data!O416</f>
        <v>0</v>
      </c>
      <c r="P416" s="8">
        <f>[1]Data!P416</f>
        <v>0.14893617021276601</v>
      </c>
      <c r="Q416" s="8">
        <f>[1]Data!Q416</f>
        <v>0</v>
      </c>
      <c r="R416" s="8">
        <f>[1]Data!R416</f>
        <v>0</v>
      </c>
      <c r="S416" s="8">
        <f>[1]Data!S416</f>
        <v>0</v>
      </c>
      <c r="T416">
        <f t="shared" si="30"/>
        <v>8.5106382978723402E-2</v>
      </c>
      <c r="U416">
        <f t="shared" si="31"/>
        <v>0</v>
      </c>
      <c r="V416" s="4" t="str">
        <f t="shared" si="32"/>
        <v>0</v>
      </c>
      <c r="W416" s="4" t="str">
        <f t="shared" si="33"/>
        <v>4</v>
      </c>
      <c r="X416" s="4" t="str">
        <f t="shared" si="34"/>
        <v>0INDIV4</v>
      </c>
      <c r="Y416">
        <f>VLOOKUP(X416,Sheet1!$J$5:$K$121,2,FALSE)</f>
        <v>0</v>
      </c>
    </row>
    <row r="417" spans="1:25" x14ac:dyDescent="0.25">
      <c r="A417" s="8">
        <f>[1]Data!A417</f>
        <v>700300</v>
      </c>
      <c r="B417" s="8">
        <f>[1]Data!B417</f>
        <v>4</v>
      </c>
      <c r="C417" s="8">
        <f>[1]Data!C417</f>
        <v>0</v>
      </c>
      <c r="D417" s="8">
        <f>[1]Data!D417</f>
        <v>3</v>
      </c>
      <c r="E417" s="8" t="str">
        <f>[1]Data!E417</f>
        <v>INDIV</v>
      </c>
      <c r="F417" s="8" t="str">
        <f>[1]Data!F417</f>
        <v>West Hollywood</v>
      </c>
      <c r="G417" s="8">
        <f>[1]Data!G417</f>
        <v>0</v>
      </c>
      <c r="H417" s="8">
        <f>[1]Data!H417</f>
        <v>0</v>
      </c>
      <c r="I417" s="8">
        <f>[1]Data!I417</f>
        <v>11.808</v>
      </c>
      <c r="J417" s="8">
        <f>[1]Data!J417</f>
        <v>1.73313217</v>
      </c>
      <c r="K417" s="8">
        <f>[1]Data!K417</f>
        <v>11.733132169999999</v>
      </c>
      <c r="L417" s="8">
        <f>[1]Data!L417</f>
        <v>7.4985510287253102E-2</v>
      </c>
      <c r="M417" s="8">
        <f>[1]Data!M417</f>
        <v>11.8081176802873</v>
      </c>
      <c r="N417" s="8">
        <f>[1]Data!N417</f>
        <v>8.5106382978723402E-2</v>
      </c>
      <c r="O417" s="8">
        <f>[1]Data!O417</f>
        <v>0</v>
      </c>
      <c r="P417" s="8">
        <f>[1]Data!P417</f>
        <v>0.14893617021276601</v>
      </c>
      <c r="Q417" s="8">
        <f>[1]Data!Q417</f>
        <v>0</v>
      </c>
      <c r="R417" s="8">
        <f>[1]Data!R417</f>
        <v>0</v>
      </c>
      <c r="S417" s="8">
        <f>[1]Data!S417</f>
        <v>0</v>
      </c>
      <c r="T417">
        <f t="shared" si="30"/>
        <v>8.5106382978723402E-2</v>
      </c>
      <c r="U417">
        <f t="shared" si="31"/>
        <v>0</v>
      </c>
      <c r="V417" s="4" t="str">
        <f t="shared" si="32"/>
        <v>0</v>
      </c>
      <c r="W417" s="4" t="str">
        <f t="shared" si="33"/>
        <v>4</v>
      </c>
      <c r="X417" s="4" t="str">
        <f t="shared" si="34"/>
        <v>0INDIV4</v>
      </c>
      <c r="Y417">
        <f>VLOOKUP(X417,Sheet1!$J$5:$K$121,2,FALSE)</f>
        <v>0</v>
      </c>
    </row>
    <row r="418" spans="1:25" x14ac:dyDescent="0.25">
      <c r="A418" s="8">
        <f>[1]Data!A418</f>
        <v>701304</v>
      </c>
      <c r="B418" s="8">
        <f>[1]Data!B418</f>
        <v>5</v>
      </c>
      <c r="C418" s="8">
        <f>[1]Data!C418</f>
        <v>0</v>
      </c>
      <c r="D418" s="8">
        <f>[1]Data!D418</f>
        <v>3</v>
      </c>
      <c r="E418" s="8" t="str">
        <f>[1]Data!E418</f>
        <v>INDIV</v>
      </c>
      <c r="F418" s="8" t="str">
        <f>[1]Data!F418</f>
        <v>Santa Monica</v>
      </c>
      <c r="G418" s="8">
        <f>[1]Data!G418</f>
        <v>0</v>
      </c>
      <c r="H418" s="8">
        <f>[1]Data!H418</f>
        <v>0</v>
      </c>
      <c r="I418" s="8">
        <f>[1]Data!I418</f>
        <v>37.511000000000003</v>
      </c>
      <c r="J418" s="8">
        <f>[1]Data!J418</f>
        <v>3.4144237899999998</v>
      </c>
      <c r="K418" s="8">
        <f>[1]Data!K418</f>
        <v>37.414423790000001</v>
      </c>
      <c r="L418" s="8">
        <f>[1]Data!L418</f>
        <v>9.6477442046678602E-2</v>
      </c>
      <c r="M418" s="8">
        <f>[1]Data!M418</f>
        <v>37.510901232046699</v>
      </c>
      <c r="N418" s="8">
        <f>[1]Data!N418</f>
        <v>7.69230769230769E-2</v>
      </c>
      <c r="O418" s="8">
        <f>[1]Data!O418</f>
        <v>0</v>
      </c>
      <c r="P418" s="8">
        <f>[1]Data!P418</f>
        <v>0.53846153846153799</v>
      </c>
      <c r="Q418" s="8">
        <f>[1]Data!Q418</f>
        <v>0</v>
      </c>
      <c r="R418" s="8">
        <f>[1]Data!R418</f>
        <v>0</v>
      </c>
      <c r="S418" s="8">
        <f>[1]Data!S418</f>
        <v>0</v>
      </c>
      <c r="T418">
        <f t="shared" si="30"/>
        <v>7.69230769230769E-2</v>
      </c>
      <c r="U418">
        <f t="shared" si="31"/>
        <v>0</v>
      </c>
      <c r="V418" s="4" t="str">
        <f t="shared" si="32"/>
        <v>0</v>
      </c>
      <c r="W418" s="4" t="str">
        <f t="shared" si="33"/>
        <v>5</v>
      </c>
      <c r="X418" s="4" t="str">
        <f t="shared" si="34"/>
        <v>0INDIV5</v>
      </c>
      <c r="Y418">
        <f>VLOOKUP(X418,Sheet1!$J$5:$K$121,2,FALSE)</f>
        <v>0</v>
      </c>
    </row>
    <row r="419" spans="1:25" x14ac:dyDescent="0.25">
      <c r="A419" s="8">
        <f>[1]Data!A419</f>
        <v>701501</v>
      </c>
      <c r="B419" s="8">
        <f>[1]Data!B419</f>
        <v>5</v>
      </c>
      <c r="C419" s="8">
        <f>[1]Data!C419</f>
        <v>0</v>
      </c>
      <c r="D419" s="8">
        <f>[1]Data!D419</f>
        <v>3</v>
      </c>
      <c r="E419" s="8" t="str">
        <f>[1]Data!E419</f>
        <v>INDIV</v>
      </c>
      <c r="F419" s="8" t="str">
        <f>[1]Data!F419</f>
        <v>Santa Monica</v>
      </c>
      <c r="G419" s="8">
        <f>[1]Data!G419</f>
        <v>0</v>
      </c>
      <c r="H419" s="8">
        <f>[1]Data!H419</f>
        <v>0</v>
      </c>
      <c r="I419" s="8">
        <f>[1]Data!I419</f>
        <v>18.445</v>
      </c>
      <c r="J419" s="8">
        <f>[1]Data!J419</f>
        <v>9.0879761099999996</v>
      </c>
      <c r="K419" s="8">
        <f>[1]Data!K419</f>
        <v>18.08797611</v>
      </c>
      <c r="L419" s="8">
        <f>[1]Data!L419</f>
        <v>0.35675445432675001</v>
      </c>
      <c r="M419" s="8">
        <f>[1]Data!M419</f>
        <v>18.4447305643268</v>
      </c>
      <c r="N419" s="8">
        <f>[1]Data!N419</f>
        <v>7.69230769230769E-2</v>
      </c>
      <c r="O419" s="8">
        <f>[1]Data!O419</f>
        <v>0</v>
      </c>
      <c r="P419" s="8">
        <f>[1]Data!P419</f>
        <v>0.53846153846153799</v>
      </c>
      <c r="Q419" s="8">
        <f>[1]Data!Q419</f>
        <v>0</v>
      </c>
      <c r="R419" s="8">
        <f>[1]Data!R419</f>
        <v>0</v>
      </c>
      <c r="S419" s="8">
        <f>[1]Data!S419</f>
        <v>0</v>
      </c>
      <c r="T419">
        <f t="shared" si="30"/>
        <v>7.69230769230769E-2</v>
      </c>
      <c r="U419">
        <f t="shared" si="31"/>
        <v>0</v>
      </c>
      <c r="V419" s="4" t="str">
        <f t="shared" si="32"/>
        <v>0</v>
      </c>
      <c r="W419" s="4" t="str">
        <f t="shared" si="33"/>
        <v>5</v>
      </c>
      <c r="X419" s="4" t="str">
        <f t="shared" si="34"/>
        <v>0INDIV5</v>
      </c>
      <c r="Y419">
        <f>VLOOKUP(X419,Sheet1!$J$5:$K$121,2,FALSE)</f>
        <v>0</v>
      </c>
    </row>
    <row r="420" spans="1:25" x14ac:dyDescent="0.25">
      <c r="A420" s="8">
        <f>[1]Data!A420</f>
        <v>702300</v>
      </c>
      <c r="B420" s="8">
        <f>[1]Data!B420</f>
        <v>5</v>
      </c>
      <c r="C420" s="8">
        <f>[1]Data!C420</f>
        <v>0</v>
      </c>
      <c r="D420" s="8">
        <f>[1]Data!D420</f>
        <v>3</v>
      </c>
      <c r="E420" s="8" t="str">
        <f>[1]Data!E420</f>
        <v>INDIV</v>
      </c>
      <c r="F420" s="8" t="str">
        <f>[1]Data!F420</f>
        <v>Santa Monica</v>
      </c>
      <c r="G420" s="8">
        <f>[1]Data!G420</f>
        <v>0</v>
      </c>
      <c r="H420" s="8">
        <f>[1]Data!H420</f>
        <v>0</v>
      </c>
      <c r="I420" s="8">
        <f>[1]Data!I420</f>
        <v>18.338999999999999</v>
      </c>
      <c r="J420" s="8">
        <f>[1]Data!J420</f>
        <v>11.71580176</v>
      </c>
      <c r="K420" s="8">
        <f>[1]Data!K420</f>
        <v>17.715801760000002</v>
      </c>
      <c r="L420" s="8">
        <f>[1]Data!L420</f>
        <v>0.62347137551166998</v>
      </c>
      <c r="M420" s="8">
        <f>[1]Data!M420</f>
        <v>18.3392731355117</v>
      </c>
      <c r="N420" s="8">
        <f>[1]Data!N420</f>
        <v>7.69230769230769E-2</v>
      </c>
      <c r="O420" s="8">
        <f>[1]Data!O420</f>
        <v>0</v>
      </c>
      <c r="P420" s="8">
        <f>[1]Data!P420</f>
        <v>0.53846153846153799</v>
      </c>
      <c r="Q420" s="8">
        <f>[1]Data!Q420</f>
        <v>0</v>
      </c>
      <c r="R420" s="8">
        <f>[1]Data!R420</f>
        <v>0</v>
      </c>
      <c r="S420" s="8">
        <f>[1]Data!S420</f>
        <v>0</v>
      </c>
      <c r="T420">
        <f t="shared" si="30"/>
        <v>7.69230769230769E-2</v>
      </c>
      <c r="U420">
        <f t="shared" si="31"/>
        <v>0</v>
      </c>
      <c r="V420" s="4" t="str">
        <f t="shared" si="32"/>
        <v>0</v>
      </c>
      <c r="W420" s="4" t="str">
        <f t="shared" si="33"/>
        <v>5</v>
      </c>
      <c r="X420" s="4" t="str">
        <f t="shared" si="34"/>
        <v>0INDIV5</v>
      </c>
      <c r="Y420">
        <f>VLOOKUP(X420,Sheet1!$J$5:$K$121,2,FALSE)</f>
        <v>0</v>
      </c>
    </row>
    <row r="421" spans="1:25" x14ac:dyDescent="0.25">
      <c r="A421" s="8">
        <f>[1]Data!A421</f>
        <v>701602</v>
      </c>
      <c r="B421" s="8">
        <f>[1]Data!B421</f>
        <v>5</v>
      </c>
      <c r="C421" s="8">
        <f>[1]Data!C421</f>
        <v>0</v>
      </c>
      <c r="D421" s="8">
        <f>[1]Data!D421</f>
        <v>3</v>
      </c>
      <c r="E421" s="8" t="str">
        <f>[1]Data!E421</f>
        <v>INDIV</v>
      </c>
      <c r="F421" s="8" t="str">
        <f>[1]Data!F421</f>
        <v>Santa Monica</v>
      </c>
      <c r="G421" s="8">
        <f>[1]Data!G421</f>
        <v>0</v>
      </c>
      <c r="H421" s="8">
        <f>[1]Data!H421</f>
        <v>0</v>
      </c>
      <c r="I421" s="8">
        <f>[1]Data!I421</f>
        <v>21.777000000000001</v>
      </c>
      <c r="J421" s="8">
        <f>[1]Data!J421</f>
        <v>5.7146398200000004</v>
      </c>
      <c r="K421" s="8">
        <f>[1]Data!K421</f>
        <v>21.714639819999999</v>
      </c>
      <c r="L421" s="8">
        <f>[1]Data!L421</f>
        <v>6.18759662477558E-2</v>
      </c>
      <c r="M421" s="8">
        <f>[1]Data!M421</f>
        <v>21.776515786247799</v>
      </c>
      <c r="N421" s="8">
        <f>[1]Data!N421</f>
        <v>7.69230769230769E-2</v>
      </c>
      <c r="O421" s="8">
        <f>[1]Data!O421</f>
        <v>0</v>
      </c>
      <c r="P421" s="8">
        <f>[1]Data!P421</f>
        <v>0.53846153846153799</v>
      </c>
      <c r="Q421" s="8">
        <f>[1]Data!Q421</f>
        <v>0</v>
      </c>
      <c r="R421" s="8">
        <f>[1]Data!R421</f>
        <v>0</v>
      </c>
      <c r="S421" s="8">
        <f>[1]Data!S421</f>
        <v>0</v>
      </c>
      <c r="T421">
        <f t="shared" si="30"/>
        <v>7.69230769230769E-2</v>
      </c>
      <c r="U421">
        <f t="shared" si="31"/>
        <v>0</v>
      </c>
      <c r="V421" s="4" t="str">
        <f t="shared" si="32"/>
        <v>0</v>
      </c>
      <c r="W421" s="4" t="str">
        <f t="shared" si="33"/>
        <v>5</v>
      </c>
      <c r="X421" s="4" t="str">
        <f t="shared" si="34"/>
        <v>0INDIV5</v>
      </c>
      <c r="Y421">
        <f>VLOOKUP(X421,Sheet1!$J$5:$K$121,2,FALSE)</f>
        <v>0</v>
      </c>
    </row>
    <row r="422" spans="1:25" x14ac:dyDescent="0.25">
      <c r="A422" s="8">
        <f>[1]Data!A422</f>
        <v>701402</v>
      </c>
      <c r="B422" s="8">
        <f>[1]Data!B422</f>
        <v>5</v>
      </c>
      <c r="C422" s="8">
        <f>[1]Data!C422</f>
        <v>0</v>
      </c>
      <c r="D422" s="8">
        <f>[1]Data!D422</f>
        <v>3</v>
      </c>
      <c r="E422" s="8" t="str">
        <f>[1]Data!E422</f>
        <v>INDIV</v>
      </c>
      <c r="F422" s="8" t="str">
        <f>[1]Data!F422</f>
        <v>Santa Monica</v>
      </c>
      <c r="G422" s="8">
        <f>[1]Data!G422</f>
        <v>0</v>
      </c>
      <c r="H422" s="8">
        <f>[1]Data!H422</f>
        <v>0</v>
      </c>
      <c r="I422" s="8">
        <f>[1]Data!I422</f>
        <v>56.478999999999999</v>
      </c>
      <c r="J422" s="8">
        <f>[1]Data!J422</f>
        <v>11.629065539999999</v>
      </c>
      <c r="K422" s="8">
        <f>[1]Data!K422</f>
        <v>55.629065539999999</v>
      </c>
      <c r="L422" s="8">
        <f>[1]Data!L422</f>
        <v>0.84877854940754005</v>
      </c>
      <c r="M422" s="8">
        <f>[1]Data!M422</f>
        <v>56.477844089407498</v>
      </c>
      <c r="N422" s="8">
        <f>[1]Data!N422</f>
        <v>7.69230769230769E-2</v>
      </c>
      <c r="O422" s="8">
        <f>[1]Data!O422</f>
        <v>0</v>
      </c>
      <c r="P422" s="8">
        <f>[1]Data!P422</f>
        <v>0.53846153846153799</v>
      </c>
      <c r="Q422" s="8">
        <f>[1]Data!Q422</f>
        <v>0</v>
      </c>
      <c r="R422" s="8">
        <f>[1]Data!R422</f>
        <v>0</v>
      </c>
      <c r="S422" s="8">
        <f>[1]Data!S422</f>
        <v>0</v>
      </c>
      <c r="T422">
        <f t="shared" si="30"/>
        <v>7.69230769230769E-2</v>
      </c>
      <c r="U422">
        <f t="shared" si="31"/>
        <v>0</v>
      </c>
      <c r="V422" s="4" t="str">
        <f t="shared" si="32"/>
        <v>0</v>
      </c>
      <c r="W422" s="4" t="str">
        <f t="shared" si="33"/>
        <v>5</v>
      </c>
      <c r="X422" s="4" t="str">
        <f t="shared" si="34"/>
        <v>0INDIV5</v>
      </c>
      <c r="Y422">
        <f>VLOOKUP(X422,Sheet1!$J$5:$K$121,2,FALSE)</f>
        <v>0</v>
      </c>
    </row>
    <row r="423" spans="1:25" x14ac:dyDescent="0.25">
      <c r="A423" s="8">
        <f>[1]Data!A423</f>
        <v>701502</v>
      </c>
      <c r="B423" s="8">
        <f>[1]Data!B423</f>
        <v>5</v>
      </c>
      <c r="C423" s="8">
        <f>[1]Data!C423</f>
        <v>0</v>
      </c>
      <c r="D423" s="8">
        <f>[1]Data!D423</f>
        <v>3</v>
      </c>
      <c r="E423" s="8" t="str">
        <f>[1]Data!E423</f>
        <v>INDIV</v>
      </c>
      <c r="F423" s="8" t="str">
        <f>[1]Data!F423</f>
        <v>Santa Monica</v>
      </c>
      <c r="G423" s="8">
        <f>[1]Data!G423</f>
        <v>0</v>
      </c>
      <c r="H423" s="8">
        <f>[1]Data!H423</f>
        <v>0</v>
      </c>
      <c r="I423" s="8">
        <f>[1]Data!I423</f>
        <v>19.207000000000001</v>
      </c>
      <c r="J423" s="8">
        <f>[1]Data!J423</f>
        <v>4.9054609100000004</v>
      </c>
      <c r="K423" s="8">
        <f>[1]Data!K423</f>
        <v>18.905460909999999</v>
      </c>
      <c r="L423" s="8">
        <f>[1]Data!L423</f>
        <v>0.30142302671454202</v>
      </c>
      <c r="M423" s="8">
        <f>[1]Data!M423</f>
        <v>19.206883936714501</v>
      </c>
      <c r="N423" s="8">
        <f>[1]Data!N423</f>
        <v>7.69230769230769E-2</v>
      </c>
      <c r="O423" s="8">
        <f>[1]Data!O423</f>
        <v>0</v>
      </c>
      <c r="P423" s="8">
        <f>[1]Data!P423</f>
        <v>0.53846153846153799</v>
      </c>
      <c r="Q423" s="8">
        <f>[1]Data!Q423</f>
        <v>0</v>
      </c>
      <c r="R423" s="8">
        <f>[1]Data!R423</f>
        <v>0</v>
      </c>
      <c r="S423" s="8">
        <f>[1]Data!S423</f>
        <v>0</v>
      </c>
      <c r="T423">
        <f t="shared" si="30"/>
        <v>7.69230769230769E-2</v>
      </c>
      <c r="U423">
        <f t="shared" si="31"/>
        <v>0</v>
      </c>
      <c r="V423" s="4" t="str">
        <f t="shared" si="32"/>
        <v>0</v>
      </c>
      <c r="W423" s="4" t="str">
        <f t="shared" si="33"/>
        <v>5</v>
      </c>
      <c r="X423" s="4" t="str">
        <f t="shared" si="34"/>
        <v>0INDIV5</v>
      </c>
      <c r="Y423">
        <f>VLOOKUP(X423,Sheet1!$J$5:$K$121,2,FALSE)</f>
        <v>0</v>
      </c>
    </row>
    <row r="424" spans="1:25" x14ac:dyDescent="0.25">
      <c r="A424" s="8">
        <f>[1]Data!A424</f>
        <v>701702</v>
      </c>
      <c r="B424" s="8">
        <f>[1]Data!B424</f>
        <v>5</v>
      </c>
      <c r="C424" s="8">
        <f>[1]Data!C424</f>
        <v>0</v>
      </c>
      <c r="D424" s="8">
        <f>[1]Data!D424</f>
        <v>3</v>
      </c>
      <c r="E424" s="8" t="str">
        <f>[1]Data!E424</f>
        <v>INDIV</v>
      </c>
      <c r="F424" s="8" t="str">
        <f>[1]Data!F424</f>
        <v>Santa Monica</v>
      </c>
      <c r="G424" s="8">
        <f>[1]Data!G424</f>
        <v>0</v>
      </c>
      <c r="H424" s="8">
        <f>[1]Data!H424</f>
        <v>0</v>
      </c>
      <c r="I424" s="8">
        <f>[1]Data!I424</f>
        <v>29.324999999999999</v>
      </c>
      <c r="J424" s="8">
        <f>[1]Data!J424</f>
        <v>5.07720868</v>
      </c>
      <c r="K424" s="8">
        <f>[1]Data!K424</f>
        <v>29.077208679999998</v>
      </c>
      <c r="L424" s="8">
        <f>[1]Data!L424</f>
        <v>0.24706283850987401</v>
      </c>
      <c r="M424" s="8">
        <f>[1]Data!M424</f>
        <v>29.324271518509899</v>
      </c>
      <c r="N424" s="8">
        <f>[1]Data!N424</f>
        <v>7.69230769230769E-2</v>
      </c>
      <c r="O424" s="8">
        <f>[1]Data!O424</f>
        <v>0</v>
      </c>
      <c r="P424" s="8">
        <f>[1]Data!P424</f>
        <v>0.53846153846153799</v>
      </c>
      <c r="Q424" s="8">
        <f>[1]Data!Q424</f>
        <v>0</v>
      </c>
      <c r="R424" s="8">
        <f>[1]Data!R424</f>
        <v>0</v>
      </c>
      <c r="S424" s="8">
        <f>[1]Data!S424</f>
        <v>0</v>
      </c>
      <c r="T424">
        <f t="shared" si="30"/>
        <v>7.69230769230769E-2</v>
      </c>
      <c r="U424">
        <f t="shared" si="31"/>
        <v>0</v>
      </c>
      <c r="V424" s="4" t="str">
        <f t="shared" si="32"/>
        <v>0</v>
      </c>
      <c r="W424" s="4" t="str">
        <f t="shared" si="33"/>
        <v>5</v>
      </c>
      <c r="X424" s="4" t="str">
        <f t="shared" si="34"/>
        <v>0INDIV5</v>
      </c>
      <c r="Y424">
        <f>VLOOKUP(X424,Sheet1!$J$5:$K$121,2,FALSE)</f>
        <v>0</v>
      </c>
    </row>
    <row r="425" spans="1:25" x14ac:dyDescent="0.25">
      <c r="A425" s="8">
        <f>[1]Data!A425</f>
        <v>535200</v>
      </c>
      <c r="B425" s="8">
        <f>[1]Data!B425</f>
        <v>6</v>
      </c>
      <c r="C425" s="8">
        <f>[1]Data!C425</f>
        <v>0</v>
      </c>
      <c r="D425" s="8">
        <f>[1]Data!D425</f>
        <v>2</v>
      </c>
      <c r="E425" s="8" t="str">
        <f>[1]Data!E425</f>
        <v>INDIV</v>
      </c>
      <c r="F425" s="8" t="str">
        <f>[1]Data!F425</f>
        <v>Florence-Graham</v>
      </c>
      <c r="G425" s="8">
        <f>[1]Data!G425</f>
        <v>0</v>
      </c>
      <c r="H425" s="8">
        <f>[1]Data!H425</f>
        <v>0</v>
      </c>
      <c r="I425" s="8">
        <f>[1]Data!I425</f>
        <v>21.085999999999999</v>
      </c>
      <c r="J425" s="8">
        <f>[1]Data!J425</f>
        <v>15.246274469999999</v>
      </c>
      <c r="K425" s="8">
        <f>[1]Data!K425</f>
        <v>20.246274469999999</v>
      </c>
      <c r="L425" s="8">
        <f>[1]Data!L425</f>
        <v>0.83911293651705599</v>
      </c>
      <c r="M425" s="8">
        <f>[1]Data!M425</f>
        <v>21.0853874065171</v>
      </c>
      <c r="N425" s="8">
        <f>[1]Data!N425</f>
        <v>3.2258064516128997E-2</v>
      </c>
      <c r="O425" s="8">
        <f>[1]Data!O425</f>
        <v>0</v>
      </c>
      <c r="P425" s="8">
        <f>[1]Data!P425</f>
        <v>0.29032258064516098</v>
      </c>
      <c r="Q425" s="8">
        <f>[1]Data!Q425</f>
        <v>0</v>
      </c>
      <c r="R425" s="8">
        <f>[1]Data!R425</f>
        <v>0</v>
      </c>
      <c r="S425" s="8">
        <f>[1]Data!S425</f>
        <v>0</v>
      </c>
      <c r="T425">
        <f t="shared" si="30"/>
        <v>3.2258064516128997E-2</v>
      </c>
      <c r="U425">
        <f t="shared" si="31"/>
        <v>0</v>
      </c>
      <c r="V425" s="4" t="str">
        <f t="shared" si="32"/>
        <v>0</v>
      </c>
      <c r="W425" s="4" t="str">
        <f t="shared" si="33"/>
        <v>6</v>
      </c>
      <c r="X425" s="4" t="str">
        <f t="shared" si="34"/>
        <v>0INDIV6</v>
      </c>
      <c r="Y425">
        <f>VLOOKUP(X425,Sheet1!$J$5:$K$121,2,FALSE)</f>
        <v>0</v>
      </c>
    </row>
    <row r="426" spans="1:25" x14ac:dyDescent="0.25">
      <c r="A426" s="8">
        <f>[1]Data!A426</f>
        <v>535101</v>
      </c>
      <c r="B426" s="8">
        <f>[1]Data!B426</f>
        <v>6</v>
      </c>
      <c r="C426" s="8">
        <f>[1]Data!C426</f>
        <v>0</v>
      </c>
      <c r="D426" s="8">
        <f>[1]Data!D426</f>
        <v>2</v>
      </c>
      <c r="E426" s="8" t="str">
        <f>[1]Data!E426</f>
        <v>INDIV</v>
      </c>
      <c r="F426" s="8" t="str">
        <f>[1]Data!F426</f>
        <v>Florence-Graham</v>
      </c>
      <c r="G426" s="8">
        <f>[1]Data!G426</f>
        <v>0</v>
      </c>
      <c r="H426" s="8">
        <f>[1]Data!H426</f>
        <v>0</v>
      </c>
      <c r="I426" s="8">
        <f>[1]Data!I426</f>
        <v>20.759</v>
      </c>
      <c r="J426" s="8">
        <f>[1]Data!J426</f>
        <v>17.88820845</v>
      </c>
      <c r="K426" s="8">
        <f>[1]Data!K426</f>
        <v>19.88820845</v>
      </c>
      <c r="L426" s="8">
        <f>[1]Data!L426</f>
        <v>0.87037511089766595</v>
      </c>
      <c r="M426" s="8">
        <f>[1]Data!M426</f>
        <v>20.758583560897701</v>
      </c>
      <c r="N426" s="8">
        <f>[1]Data!N426</f>
        <v>3.2258064516128997E-2</v>
      </c>
      <c r="O426" s="8">
        <f>[1]Data!O426</f>
        <v>0</v>
      </c>
      <c r="P426" s="8">
        <f>[1]Data!P426</f>
        <v>0.29032258064516098</v>
      </c>
      <c r="Q426" s="8">
        <f>[1]Data!Q426</f>
        <v>0</v>
      </c>
      <c r="R426" s="8">
        <f>[1]Data!R426</f>
        <v>0</v>
      </c>
      <c r="S426" s="8">
        <f>[1]Data!S426</f>
        <v>0</v>
      </c>
      <c r="T426">
        <f t="shared" si="30"/>
        <v>3.2258064516128997E-2</v>
      </c>
      <c r="U426">
        <f t="shared" si="31"/>
        <v>0</v>
      </c>
      <c r="V426" s="4" t="str">
        <f t="shared" si="32"/>
        <v>0</v>
      </c>
      <c r="W426" s="4" t="str">
        <f t="shared" si="33"/>
        <v>6</v>
      </c>
      <c r="X426" s="4" t="str">
        <f t="shared" si="34"/>
        <v>0INDIV6</v>
      </c>
      <c r="Y426">
        <f>VLOOKUP(X426,Sheet1!$J$5:$K$121,2,FALSE)</f>
        <v>0</v>
      </c>
    </row>
    <row r="427" spans="1:25" x14ac:dyDescent="0.25">
      <c r="A427" s="8">
        <f>[1]Data!A427</f>
        <v>542200</v>
      </c>
      <c r="B427" s="8">
        <f>[1]Data!B427</f>
        <v>6</v>
      </c>
      <c r="C427" s="8">
        <f>[1]Data!C427</f>
        <v>0</v>
      </c>
      <c r="D427" s="8">
        <f>[1]Data!D427</f>
        <v>2</v>
      </c>
      <c r="E427" s="8" t="str">
        <f>[1]Data!E427</f>
        <v>INDIV</v>
      </c>
      <c r="F427" s="8" t="str">
        <f>[1]Data!F427</f>
        <v>Compton</v>
      </c>
      <c r="G427" s="8">
        <f>[1]Data!G427</f>
        <v>0</v>
      </c>
      <c r="H427" s="8">
        <f>[1]Data!H427</f>
        <v>0</v>
      </c>
      <c r="I427" s="8">
        <f>[1]Data!I427</f>
        <v>17.603000000000002</v>
      </c>
      <c r="J427" s="8">
        <f>[1]Data!J427</f>
        <v>17.036883079999999</v>
      </c>
      <c r="K427" s="8">
        <f>[1]Data!K427</f>
        <v>17.036883079999999</v>
      </c>
      <c r="L427" s="8">
        <f>[1]Data!L427</f>
        <v>0.56599011305206504</v>
      </c>
      <c r="M427" s="8">
        <f>[1]Data!M427</f>
        <v>17.602873193052101</v>
      </c>
      <c r="N427" s="8">
        <f>[1]Data!N427</f>
        <v>3.2258064516128997E-2</v>
      </c>
      <c r="O427" s="8">
        <f>[1]Data!O427</f>
        <v>0</v>
      </c>
      <c r="P427" s="8">
        <f>[1]Data!P427</f>
        <v>0.29032258064516098</v>
      </c>
      <c r="Q427" s="8">
        <f>[1]Data!Q427</f>
        <v>0</v>
      </c>
      <c r="R427" s="8">
        <f>[1]Data!R427</f>
        <v>0</v>
      </c>
      <c r="S427" s="8">
        <f>[1]Data!S427</f>
        <v>0</v>
      </c>
      <c r="T427">
        <f t="shared" si="30"/>
        <v>3.2258064516128997E-2</v>
      </c>
      <c r="U427">
        <f t="shared" si="31"/>
        <v>0</v>
      </c>
      <c r="V427" s="4" t="str">
        <f t="shared" si="32"/>
        <v>0</v>
      </c>
      <c r="W427" s="4" t="str">
        <f t="shared" si="33"/>
        <v>6</v>
      </c>
      <c r="X427" s="4" t="str">
        <f t="shared" si="34"/>
        <v>0INDIV6</v>
      </c>
      <c r="Y427">
        <f>VLOOKUP(X427,Sheet1!$J$5:$K$121,2,FALSE)</f>
        <v>0</v>
      </c>
    </row>
    <row r="428" spans="1:25" x14ac:dyDescent="0.25">
      <c r="A428" s="8">
        <f>[1]Data!A428</f>
        <v>540400</v>
      </c>
      <c r="B428" s="8">
        <f>[1]Data!B428</f>
        <v>6</v>
      </c>
      <c r="C428" s="8">
        <f>[1]Data!C428</f>
        <v>0</v>
      </c>
      <c r="D428" s="8">
        <f>[1]Data!D428</f>
        <v>2</v>
      </c>
      <c r="E428" s="8" t="str">
        <f>[1]Data!E428</f>
        <v>INDIV</v>
      </c>
      <c r="F428" s="8" t="str">
        <f>[1]Data!F428</f>
        <v>Lynwood</v>
      </c>
      <c r="G428" s="8">
        <f>[1]Data!G428</f>
        <v>0</v>
      </c>
      <c r="H428" s="8">
        <f>[1]Data!H428</f>
        <v>0</v>
      </c>
      <c r="I428" s="8">
        <f>[1]Data!I428</f>
        <v>34.435000000000002</v>
      </c>
      <c r="J428" s="8">
        <f>[1]Data!J428</f>
        <v>21.68949589</v>
      </c>
      <c r="K428" s="8">
        <f>[1]Data!K428</f>
        <v>33.689495890000003</v>
      </c>
      <c r="L428" s="8">
        <f>[1]Data!L428</f>
        <v>0.74547858958707403</v>
      </c>
      <c r="M428" s="8">
        <f>[1]Data!M428</f>
        <v>34.434974479587098</v>
      </c>
      <c r="N428" s="8">
        <f>[1]Data!N428</f>
        <v>3.2258064516128997E-2</v>
      </c>
      <c r="O428" s="8">
        <f>[1]Data!O428</f>
        <v>0</v>
      </c>
      <c r="P428" s="8">
        <f>[1]Data!P428</f>
        <v>0.29032258064516098</v>
      </c>
      <c r="Q428" s="8">
        <f>[1]Data!Q428</f>
        <v>0</v>
      </c>
      <c r="R428" s="8">
        <f>[1]Data!R428</f>
        <v>0</v>
      </c>
      <c r="S428" s="8">
        <f>[1]Data!S428</f>
        <v>0</v>
      </c>
      <c r="T428">
        <f t="shared" si="30"/>
        <v>3.2258064516128997E-2</v>
      </c>
      <c r="U428">
        <f t="shared" si="31"/>
        <v>0</v>
      </c>
      <c r="V428" s="4" t="str">
        <f t="shared" si="32"/>
        <v>0</v>
      </c>
      <c r="W428" s="4" t="str">
        <f t="shared" si="33"/>
        <v>6</v>
      </c>
      <c r="X428" s="4" t="str">
        <f t="shared" si="34"/>
        <v>0INDIV6</v>
      </c>
      <c r="Y428">
        <f>VLOOKUP(X428,Sheet1!$J$5:$K$121,2,FALSE)</f>
        <v>0</v>
      </c>
    </row>
    <row r="429" spans="1:25" x14ac:dyDescent="0.25">
      <c r="A429" s="8">
        <f>[1]Data!A429</f>
        <v>541605</v>
      </c>
      <c r="B429" s="8">
        <f>[1]Data!B429</f>
        <v>6</v>
      </c>
      <c r="C429" s="8">
        <f>[1]Data!C429</f>
        <v>0</v>
      </c>
      <c r="D429" s="8">
        <f>[1]Data!D429</f>
        <v>2</v>
      </c>
      <c r="E429" s="8" t="str">
        <f>[1]Data!E429</f>
        <v>INDIV</v>
      </c>
      <c r="F429" s="8" t="str">
        <f>[1]Data!F429</f>
        <v>Compton</v>
      </c>
      <c r="G429" s="8">
        <f>[1]Data!G429</f>
        <v>0</v>
      </c>
      <c r="H429" s="8">
        <f>[1]Data!H429</f>
        <v>0</v>
      </c>
      <c r="I429" s="8">
        <f>[1]Data!I429</f>
        <v>31.077000000000002</v>
      </c>
      <c r="J429" s="8">
        <f>[1]Data!J429</f>
        <v>23.696819439999999</v>
      </c>
      <c r="K429" s="8">
        <f>[1]Data!K429</f>
        <v>29.696819439999999</v>
      </c>
      <c r="L429" s="8">
        <f>[1]Data!L429</f>
        <v>1.3810542631059199</v>
      </c>
      <c r="M429" s="8">
        <f>[1]Data!M429</f>
        <v>31.077873703105901</v>
      </c>
      <c r="N429" s="8">
        <f>[1]Data!N429</f>
        <v>3.2258064516128997E-2</v>
      </c>
      <c r="O429" s="8">
        <f>[1]Data!O429</f>
        <v>0</v>
      </c>
      <c r="P429" s="8">
        <f>[1]Data!P429</f>
        <v>0.29032258064516098</v>
      </c>
      <c r="Q429" s="8">
        <f>[1]Data!Q429</f>
        <v>0</v>
      </c>
      <c r="R429" s="8">
        <f>[1]Data!R429</f>
        <v>0</v>
      </c>
      <c r="S429" s="8">
        <f>[1]Data!S429</f>
        <v>0</v>
      </c>
      <c r="T429">
        <f t="shared" si="30"/>
        <v>3.2258064516128997E-2</v>
      </c>
      <c r="U429">
        <f t="shared" si="31"/>
        <v>0</v>
      </c>
      <c r="V429" s="4" t="str">
        <f t="shared" si="32"/>
        <v>0</v>
      </c>
      <c r="W429" s="4" t="str">
        <f t="shared" si="33"/>
        <v>6</v>
      </c>
      <c r="X429" s="4" t="str">
        <f t="shared" si="34"/>
        <v>0INDIV6</v>
      </c>
      <c r="Y429">
        <f>VLOOKUP(X429,Sheet1!$J$5:$K$121,2,FALSE)</f>
        <v>0</v>
      </c>
    </row>
    <row r="430" spans="1:25" x14ac:dyDescent="0.25">
      <c r="A430" s="8">
        <f>[1]Data!A430</f>
        <v>541700</v>
      </c>
      <c r="B430" s="8">
        <f>[1]Data!B430</f>
        <v>6</v>
      </c>
      <c r="C430" s="8">
        <f>[1]Data!C430</f>
        <v>0</v>
      </c>
      <c r="D430" s="8">
        <f>[1]Data!D430</f>
        <v>2</v>
      </c>
      <c r="E430" s="8" t="str">
        <f>[1]Data!E430</f>
        <v>INDIV</v>
      </c>
      <c r="F430" s="8" t="str">
        <f>[1]Data!F430</f>
        <v>Lynwood</v>
      </c>
      <c r="G430" s="8">
        <f>[1]Data!G430</f>
        <v>0</v>
      </c>
      <c r="H430" s="8">
        <f>[1]Data!H430</f>
        <v>0</v>
      </c>
      <c r="I430" s="8">
        <f>[1]Data!I430</f>
        <v>6.2850000000000001</v>
      </c>
      <c r="J430" s="8">
        <f>[1]Data!J430</f>
        <v>5.9510989800000003</v>
      </c>
      <c r="K430" s="8">
        <f>[1]Data!K430</f>
        <v>5.9510989800000003</v>
      </c>
      <c r="L430" s="8">
        <f>[1]Data!L430</f>
        <v>0.33351780414721699</v>
      </c>
      <c r="M430" s="8">
        <f>[1]Data!M430</f>
        <v>6.2846167841472198</v>
      </c>
      <c r="N430" s="8">
        <f>[1]Data!N430</f>
        <v>3.2258064516128997E-2</v>
      </c>
      <c r="O430" s="8">
        <f>[1]Data!O430</f>
        <v>0</v>
      </c>
      <c r="P430" s="8">
        <f>[1]Data!P430</f>
        <v>0.29032258064516098</v>
      </c>
      <c r="Q430" s="8">
        <f>[1]Data!Q430</f>
        <v>0</v>
      </c>
      <c r="R430" s="8">
        <f>[1]Data!R430</f>
        <v>0</v>
      </c>
      <c r="S430" s="8">
        <f>[1]Data!S430</f>
        <v>0</v>
      </c>
      <c r="T430">
        <f t="shared" si="30"/>
        <v>3.2258064516128997E-2</v>
      </c>
      <c r="U430">
        <f t="shared" si="31"/>
        <v>0</v>
      </c>
      <c r="V430" s="4" t="str">
        <f t="shared" si="32"/>
        <v>0</v>
      </c>
      <c r="W430" s="4" t="str">
        <f t="shared" si="33"/>
        <v>6</v>
      </c>
      <c r="X430" s="4" t="str">
        <f t="shared" si="34"/>
        <v>0INDIV6</v>
      </c>
      <c r="Y430">
        <f>VLOOKUP(X430,Sheet1!$J$5:$K$121,2,FALSE)</f>
        <v>0</v>
      </c>
    </row>
    <row r="431" spans="1:25" x14ac:dyDescent="0.25">
      <c r="A431" s="8">
        <f>[1]Data!A431</f>
        <v>540600</v>
      </c>
      <c r="B431" s="8">
        <f>[1]Data!B431</f>
        <v>6</v>
      </c>
      <c r="C431" s="8">
        <f>[1]Data!C431</f>
        <v>0</v>
      </c>
      <c r="D431" s="8">
        <f>[1]Data!D431</f>
        <v>2</v>
      </c>
      <c r="E431" s="8" t="str">
        <f>[1]Data!E431</f>
        <v>INDIV</v>
      </c>
      <c r="F431" s="8" t="str">
        <f>[1]Data!F431</f>
        <v>Willowbrook</v>
      </c>
      <c r="G431" s="8">
        <f>[1]Data!G431</f>
        <v>0</v>
      </c>
      <c r="H431" s="8">
        <f>[1]Data!H431</f>
        <v>0</v>
      </c>
      <c r="I431" s="8">
        <f>[1]Data!I431</f>
        <v>11</v>
      </c>
      <c r="J431" s="8">
        <f>[1]Data!J431</f>
        <v>0</v>
      </c>
      <c r="K431" s="8">
        <f>[1]Data!K431</f>
        <v>11</v>
      </c>
      <c r="L431" s="8">
        <f>[1]Data!L431</f>
        <v>0</v>
      </c>
      <c r="M431" s="8">
        <f>[1]Data!M431</f>
        <v>11</v>
      </c>
      <c r="N431" s="8">
        <f>[1]Data!N431</f>
        <v>3.2258064516128997E-2</v>
      </c>
      <c r="O431" s="8">
        <f>[1]Data!O431</f>
        <v>0</v>
      </c>
      <c r="P431" s="8">
        <f>[1]Data!P431</f>
        <v>0.29032258064516098</v>
      </c>
      <c r="Q431" s="8">
        <f>[1]Data!Q431</f>
        <v>0</v>
      </c>
      <c r="R431" s="8">
        <f>[1]Data!R431</f>
        <v>0</v>
      </c>
      <c r="S431" s="8">
        <f>[1]Data!S431</f>
        <v>0</v>
      </c>
      <c r="T431">
        <f t="shared" si="30"/>
        <v>3.2258064516128997E-2</v>
      </c>
      <c r="U431">
        <f t="shared" si="31"/>
        <v>0</v>
      </c>
      <c r="V431" s="4" t="str">
        <f t="shared" si="32"/>
        <v>0</v>
      </c>
      <c r="W431" s="4" t="str">
        <f t="shared" si="33"/>
        <v>6</v>
      </c>
      <c r="X431" s="4" t="str">
        <f t="shared" si="34"/>
        <v>0INDIV6</v>
      </c>
      <c r="Y431">
        <f>VLOOKUP(X431,Sheet1!$J$5:$K$121,2,FALSE)</f>
        <v>0</v>
      </c>
    </row>
    <row r="432" spans="1:25" x14ac:dyDescent="0.25">
      <c r="A432" s="8">
        <f>[1]Data!A432</f>
        <v>540300</v>
      </c>
      <c r="B432" s="8">
        <f>[1]Data!B432</f>
        <v>6</v>
      </c>
      <c r="C432" s="8">
        <f>[1]Data!C432</f>
        <v>0</v>
      </c>
      <c r="D432" s="8">
        <f>[1]Data!D432</f>
        <v>2</v>
      </c>
      <c r="E432" s="8" t="str">
        <f>[1]Data!E432</f>
        <v>INDIV</v>
      </c>
      <c r="F432" s="8" t="str">
        <f>[1]Data!F432</f>
        <v>Lynwood</v>
      </c>
      <c r="G432" s="8">
        <f>[1]Data!G432</f>
        <v>0</v>
      </c>
      <c r="H432" s="8">
        <f>[1]Data!H432</f>
        <v>0</v>
      </c>
      <c r="I432" s="8">
        <f>[1]Data!I432</f>
        <v>5.9260000000000002</v>
      </c>
      <c r="J432" s="8">
        <f>[1]Data!J432</f>
        <v>1.90487994</v>
      </c>
      <c r="K432" s="8">
        <f>[1]Data!K432</f>
        <v>5.9048799399999998</v>
      </c>
      <c r="L432" s="8">
        <f>[1]Data!L432</f>
        <v>2.0625322082585301E-2</v>
      </c>
      <c r="M432" s="8">
        <f>[1]Data!M432</f>
        <v>5.9255052620825897</v>
      </c>
      <c r="N432" s="8">
        <f>[1]Data!N432</f>
        <v>3.2258064516128997E-2</v>
      </c>
      <c r="O432" s="8">
        <f>[1]Data!O432</f>
        <v>0</v>
      </c>
      <c r="P432" s="8">
        <f>[1]Data!P432</f>
        <v>0.29032258064516098</v>
      </c>
      <c r="Q432" s="8">
        <f>[1]Data!Q432</f>
        <v>0</v>
      </c>
      <c r="R432" s="8">
        <f>[1]Data!R432</f>
        <v>0</v>
      </c>
      <c r="S432" s="8">
        <f>[1]Data!S432</f>
        <v>0</v>
      </c>
      <c r="T432">
        <f t="shared" si="30"/>
        <v>3.2258064516128997E-2</v>
      </c>
      <c r="U432">
        <f t="shared" si="31"/>
        <v>0</v>
      </c>
      <c r="V432" s="4" t="str">
        <f t="shared" si="32"/>
        <v>0</v>
      </c>
      <c r="W432" s="4" t="str">
        <f t="shared" si="33"/>
        <v>6</v>
      </c>
      <c r="X432" s="4" t="str">
        <f t="shared" si="34"/>
        <v>0INDIV6</v>
      </c>
      <c r="Y432">
        <f>VLOOKUP(X432,Sheet1!$J$5:$K$121,2,FALSE)</f>
        <v>0</v>
      </c>
    </row>
    <row r="433" spans="1:25" x14ac:dyDescent="0.25">
      <c r="A433" s="8">
        <f>[1]Data!A433</f>
        <v>540202</v>
      </c>
      <c r="B433" s="8">
        <f>[1]Data!B433</f>
        <v>6</v>
      </c>
      <c r="C433" s="8">
        <f>[1]Data!C433</f>
        <v>0</v>
      </c>
      <c r="D433" s="8">
        <f>[1]Data!D433</f>
        <v>2</v>
      </c>
      <c r="E433" s="8" t="str">
        <f>[1]Data!E433</f>
        <v>INDIV</v>
      </c>
      <c r="F433" s="8" t="str">
        <f>[1]Data!F433</f>
        <v>Lynwood</v>
      </c>
      <c r="G433" s="8">
        <f>[1]Data!G433</f>
        <v>0</v>
      </c>
      <c r="H433" s="8">
        <f>[1]Data!H433</f>
        <v>0</v>
      </c>
      <c r="I433" s="8">
        <f>[1]Data!I433</f>
        <v>11</v>
      </c>
      <c r="J433" s="8">
        <f>[1]Data!J433</f>
        <v>0</v>
      </c>
      <c r="K433" s="8">
        <f>[1]Data!K433</f>
        <v>11</v>
      </c>
      <c r="L433" s="8">
        <f>[1]Data!L433</f>
        <v>0</v>
      </c>
      <c r="M433" s="8">
        <f>[1]Data!M433</f>
        <v>11</v>
      </c>
      <c r="N433" s="8">
        <f>[1]Data!N433</f>
        <v>3.2258064516128997E-2</v>
      </c>
      <c r="O433" s="8">
        <f>[1]Data!O433</f>
        <v>0</v>
      </c>
      <c r="P433" s="8">
        <f>[1]Data!P433</f>
        <v>0.29032258064516098</v>
      </c>
      <c r="Q433" s="8">
        <f>[1]Data!Q433</f>
        <v>0</v>
      </c>
      <c r="R433" s="8">
        <f>[1]Data!R433</f>
        <v>0</v>
      </c>
      <c r="S433" s="8">
        <f>[1]Data!S433</f>
        <v>0</v>
      </c>
      <c r="T433">
        <f t="shared" si="30"/>
        <v>3.2258064516128997E-2</v>
      </c>
      <c r="U433">
        <f t="shared" si="31"/>
        <v>0</v>
      </c>
      <c r="V433" s="4" t="str">
        <f t="shared" si="32"/>
        <v>0</v>
      </c>
      <c r="W433" s="4" t="str">
        <f t="shared" si="33"/>
        <v>6</v>
      </c>
      <c r="X433" s="4" t="str">
        <f t="shared" si="34"/>
        <v>0INDIV6</v>
      </c>
      <c r="Y433">
        <f>VLOOKUP(X433,Sheet1!$J$5:$K$121,2,FALSE)</f>
        <v>0</v>
      </c>
    </row>
    <row r="434" spans="1:25" x14ac:dyDescent="0.25">
      <c r="A434" s="8">
        <f>[1]Data!A434</f>
        <v>500202</v>
      </c>
      <c r="B434" s="8">
        <f>[1]Data!B434</f>
        <v>7</v>
      </c>
      <c r="C434" s="8">
        <f>[1]Data!C434</f>
        <v>0</v>
      </c>
      <c r="D434" s="8">
        <f>[1]Data!D434</f>
        <v>4</v>
      </c>
      <c r="E434" s="8" t="str">
        <f>[1]Data!E434</f>
        <v>INDIV</v>
      </c>
      <c r="F434" s="8" t="str">
        <f>[1]Data!F434</f>
        <v>Whittier</v>
      </c>
      <c r="G434" s="8">
        <f>[1]Data!G434</f>
        <v>0</v>
      </c>
      <c r="H434" s="8">
        <f>[1]Data!H434</f>
        <v>0</v>
      </c>
      <c r="I434" s="8">
        <f>[1]Data!I434</f>
        <v>21.765999999999998</v>
      </c>
      <c r="J434" s="8">
        <f>[1]Data!J434</f>
        <v>10.32616513</v>
      </c>
      <c r="K434" s="8">
        <f>[1]Data!K434</f>
        <v>21.32616513</v>
      </c>
      <c r="L434" s="8">
        <f>[1]Data!L434</f>
        <v>0.43976548881508098</v>
      </c>
      <c r="M434" s="8">
        <f>[1]Data!M434</f>
        <v>21.765930618815101</v>
      </c>
      <c r="N434" s="8">
        <f>[1]Data!N434</f>
        <v>9.0909090909090898E-2</v>
      </c>
      <c r="O434" s="8">
        <f>[1]Data!O434</f>
        <v>0</v>
      </c>
      <c r="P434" s="8">
        <f>[1]Data!P434</f>
        <v>1</v>
      </c>
      <c r="Q434" s="8">
        <f>[1]Data!Q434</f>
        <v>0</v>
      </c>
      <c r="R434" s="8">
        <f>[1]Data!R434</f>
        <v>0</v>
      </c>
      <c r="S434" s="8">
        <f>[1]Data!S434</f>
        <v>0</v>
      </c>
      <c r="T434">
        <f t="shared" si="30"/>
        <v>9.0909090909090898E-2</v>
      </c>
      <c r="U434">
        <f t="shared" si="31"/>
        <v>0</v>
      </c>
      <c r="V434" s="4" t="str">
        <f t="shared" si="32"/>
        <v>0</v>
      </c>
      <c r="W434" s="4" t="str">
        <f t="shared" si="33"/>
        <v>7</v>
      </c>
      <c r="X434" s="4" t="str">
        <f t="shared" si="34"/>
        <v>0INDIV7</v>
      </c>
      <c r="Y434">
        <f>VLOOKUP(X434,Sheet1!$J$5:$K$121,2,FALSE)</f>
        <v>0</v>
      </c>
    </row>
    <row r="435" spans="1:25" x14ac:dyDescent="0.25">
      <c r="A435" s="8">
        <f>[1]Data!A435</f>
        <v>501300</v>
      </c>
      <c r="B435" s="8">
        <f>[1]Data!B435</f>
        <v>7</v>
      </c>
      <c r="C435" s="8">
        <f>[1]Data!C435</f>
        <v>0</v>
      </c>
      <c r="D435" s="8">
        <f>[1]Data!D435</f>
        <v>4</v>
      </c>
      <c r="E435" s="8" t="str">
        <f>[1]Data!E435</f>
        <v>INDIV</v>
      </c>
      <c r="F435" s="8" t="str">
        <f>[1]Data!F435</f>
        <v>Whittier</v>
      </c>
      <c r="G435" s="8">
        <f>[1]Data!G435</f>
        <v>0</v>
      </c>
      <c r="H435" s="8">
        <f>[1]Data!H435</f>
        <v>0</v>
      </c>
      <c r="I435" s="8">
        <f>[1]Data!I435</f>
        <v>2.0950000000000002</v>
      </c>
      <c r="J435" s="8">
        <f>[1]Data!J435</f>
        <v>1.9836996600000001</v>
      </c>
      <c r="K435" s="8">
        <f>[1]Data!K435</f>
        <v>1.9836996600000001</v>
      </c>
      <c r="L435" s="8">
        <f>[1]Data!L435</f>
        <v>0.11117260138240601</v>
      </c>
      <c r="M435" s="8">
        <f>[1]Data!M435</f>
        <v>2.09487226138241</v>
      </c>
      <c r="N435" s="8">
        <f>[1]Data!N435</f>
        <v>9.0909090909090898E-2</v>
      </c>
      <c r="O435" s="8">
        <f>[1]Data!O435</f>
        <v>0</v>
      </c>
      <c r="P435" s="8">
        <f>[1]Data!P435</f>
        <v>1</v>
      </c>
      <c r="Q435" s="8">
        <f>[1]Data!Q435</f>
        <v>0</v>
      </c>
      <c r="R435" s="8">
        <f>[1]Data!R435</f>
        <v>0</v>
      </c>
      <c r="S435" s="8">
        <f>[1]Data!S435</f>
        <v>0</v>
      </c>
      <c r="T435">
        <f t="shared" si="30"/>
        <v>9.0909090909090898E-2</v>
      </c>
      <c r="U435">
        <f t="shared" si="31"/>
        <v>0</v>
      </c>
      <c r="V435" s="4" t="str">
        <f t="shared" si="32"/>
        <v>0</v>
      </c>
      <c r="W435" s="4" t="str">
        <f t="shared" si="33"/>
        <v>7</v>
      </c>
      <c r="X435" s="4" t="str">
        <f t="shared" si="34"/>
        <v>0INDIV7</v>
      </c>
      <c r="Y435">
        <f>VLOOKUP(X435,Sheet1!$J$5:$K$121,2,FALSE)</f>
        <v>0</v>
      </c>
    </row>
    <row r="436" spans="1:25" x14ac:dyDescent="0.25">
      <c r="A436" s="8">
        <f>[1]Data!A436</f>
        <v>501504</v>
      </c>
      <c r="B436" s="8">
        <f>[1]Data!B436</f>
        <v>7</v>
      </c>
      <c r="C436" s="8">
        <f>[1]Data!C436</f>
        <v>0</v>
      </c>
      <c r="D436" s="8">
        <f>[1]Data!D436</f>
        <v>4</v>
      </c>
      <c r="E436" s="8" t="str">
        <f>[1]Data!E436</f>
        <v>INDIV</v>
      </c>
      <c r="F436" s="8" t="str">
        <f>[1]Data!F436</f>
        <v>Whittier</v>
      </c>
      <c r="G436" s="8">
        <f>[1]Data!G436</f>
        <v>0</v>
      </c>
      <c r="H436" s="8">
        <f>[1]Data!H436</f>
        <v>0</v>
      </c>
      <c r="I436" s="8">
        <f>[1]Data!I436</f>
        <v>23.518999999999998</v>
      </c>
      <c r="J436" s="8">
        <f>[1]Data!J436</f>
        <v>7.1830961699999998</v>
      </c>
      <c r="K436" s="8">
        <f>[1]Data!K436</f>
        <v>23.183096169999999</v>
      </c>
      <c r="L436" s="8">
        <f>[1]Data!L436</f>
        <v>0.33612913224416502</v>
      </c>
      <c r="M436" s="8">
        <f>[1]Data!M436</f>
        <v>23.519225302244202</v>
      </c>
      <c r="N436" s="8">
        <f>[1]Data!N436</f>
        <v>9.0909090909090898E-2</v>
      </c>
      <c r="O436" s="8">
        <f>[1]Data!O436</f>
        <v>0</v>
      </c>
      <c r="P436" s="8">
        <f>[1]Data!P436</f>
        <v>1</v>
      </c>
      <c r="Q436" s="8">
        <f>[1]Data!Q436</f>
        <v>0</v>
      </c>
      <c r="R436" s="8">
        <f>[1]Data!R436</f>
        <v>0</v>
      </c>
      <c r="S436" s="8">
        <f>[1]Data!S436</f>
        <v>0</v>
      </c>
      <c r="T436">
        <f t="shared" si="30"/>
        <v>9.0909090909090898E-2</v>
      </c>
      <c r="U436">
        <f t="shared" si="31"/>
        <v>0</v>
      </c>
      <c r="V436" s="4" t="str">
        <f t="shared" si="32"/>
        <v>0</v>
      </c>
      <c r="W436" s="4" t="str">
        <f t="shared" si="33"/>
        <v>7</v>
      </c>
      <c r="X436" s="4" t="str">
        <f t="shared" si="34"/>
        <v>0INDIV7</v>
      </c>
      <c r="Y436">
        <f>VLOOKUP(X436,Sheet1!$J$5:$K$121,2,FALSE)</f>
        <v>0</v>
      </c>
    </row>
    <row r="437" spans="1:25" x14ac:dyDescent="0.25">
      <c r="A437" s="8">
        <f>[1]Data!A437</f>
        <v>501803</v>
      </c>
      <c r="B437" s="8">
        <f>[1]Data!B437</f>
        <v>7</v>
      </c>
      <c r="C437" s="8">
        <f>[1]Data!C437</f>
        <v>0</v>
      </c>
      <c r="D437" s="8">
        <f>[1]Data!D437</f>
        <v>4</v>
      </c>
      <c r="E437" s="8" t="str">
        <f>[1]Data!E437</f>
        <v>INDIV</v>
      </c>
      <c r="F437" s="8" t="str">
        <f>[1]Data!F437</f>
        <v>Whittier</v>
      </c>
      <c r="G437" s="8">
        <f>[1]Data!G437</f>
        <v>0</v>
      </c>
      <c r="H437" s="8">
        <f>[1]Data!H437</f>
        <v>0</v>
      </c>
      <c r="I437" s="8">
        <f>[1]Data!I437</f>
        <v>4.851</v>
      </c>
      <c r="J437" s="8">
        <f>[1]Data!J437</f>
        <v>3.8097598800000001</v>
      </c>
      <c r="K437" s="8">
        <f>[1]Data!K437</f>
        <v>4.8097598799999997</v>
      </c>
      <c r="L437" s="8">
        <f>[1]Data!L437</f>
        <v>4.1250644165170602E-2</v>
      </c>
      <c r="M437" s="8">
        <f>[1]Data!M437</f>
        <v>4.8510105241651704</v>
      </c>
      <c r="N437" s="8">
        <f>[1]Data!N437</f>
        <v>9.0909090909090898E-2</v>
      </c>
      <c r="O437" s="8">
        <f>[1]Data!O437</f>
        <v>0</v>
      </c>
      <c r="P437" s="8">
        <f>[1]Data!P437</f>
        <v>1</v>
      </c>
      <c r="Q437" s="8">
        <f>[1]Data!Q437</f>
        <v>0</v>
      </c>
      <c r="R437" s="8">
        <f>[1]Data!R437</f>
        <v>0</v>
      </c>
      <c r="S437" s="8">
        <f>[1]Data!S437</f>
        <v>0</v>
      </c>
      <c r="T437">
        <f t="shared" si="30"/>
        <v>9.0909090909090898E-2</v>
      </c>
      <c r="U437">
        <f t="shared" si="31"/>
        <v>0</v>
      </c>
      <c r="V437" s="4" t="str">
        <f t="shared" si="32"/>
        <v>0</v>
      </c>
      <c r="W437" s="4" t="str">
        <f t="shared" si="33"/>
        <v>7</v>
      </c>
      <c r="X437" s="4" t="str">
        <f t="shared" si="34"/>
        <v>0INDIV7</v>
      </c>
      <c r="Y437">
        <f>VLOOKUP(X437,Sheet1!$J$5:$K$121,2,FALSE)</f>
        <v>0</v>
      </c>
    </row>
    <row r="438" spans="1:25" x14ac:dyDescent="0.25">
      <c r="A438" s="8">
        <f>[1]Data!A438</f>
        <v>501804</v>
      </c>
      <c r="B438" s="8">
        <f>[1]Data!B438</f>
        <v>7</v>
      </c>
      <c r="C438" s="8">
        <f>[1]Data!C438</f>
        <v>0</v>
      </c>
      <c r="D438" s="8">
        <f>[1]Data!D438</f>
        <v>4</v>
      </c>
      <c r="E438" s="8" t="str">
        <f>[1]Data!E438</f>
        <v>INDIV</v>
      </c>
      <c r="F438" s="8" t="str">
        <f>[1]Data!F438</f>
        <v>Whittier</v>
      </c>
      <c r="G438" s="8">
        <f>[1]Data!G438</f>
        <v>0</v>
      </c>
      <c r="H438" s="8">
        <f>[1]Data!H438</f>
        <v>0</v>
      </c>
      <c r="I438" s="8">
        <f>[1]Data!I438</f>
        <v>5.19</v>
      </c>
      <c r="J438" s="8">
        <f>[1]Data!J438</f>
        <v>3.9673993200000002</v>
      </c>
      <c r="K438" s="8">
        <f>[1]Data!K438</f>
        <v>4.9673993200000002</v>
      </c>
      <c r="L438" s="8">
        <f>[1]Data!L438</f>
        <v>0.22234520276481101</v>
      </c>
      <c r="M438" s="8">
        <f>[1]Data!M438</f>
        <v>5.1897445227648102</v>
      </c>
      <c r="N438" s="8">
        <f>[1]Data!N438</f>
        <v>9.0909090909090898E-2</v>
      </c>
      <c r="O438" s="8">
        <f>[1]Data!O438</f>
        <v>0</v>
      </c>
      <c r="P438" s="8">
        <f>[1]Data!P438</f>
        <v>1</v>
      </c>
      <c r="Q438" s="8">
        <f>[1]Data!Q438</f>
        <v>0</v>
      </c>
      <c r="R438" s="8">
        <f>[1]Data!R438</f>
        <v>0</v>
      </c>
      <c r="S438" s="8">
        <f>[1]Data!S438</f>
        <v>0</v>
      </c>
      <c r="T438">
        <f t="shared" si="30"/>
        <v>9.0909090909090898E-2</v>
      </c>
      <c r="U438">
        <f t="shared" si="31"/>
        <v>0</v>
      </c>
      <c r="V438" s="4" t="str">
        <f t="shared" si="32"/>
        <v>0</v>
      </c>
      <c r="W438" s="4" t="str">
        <f t="shared" si="33"/>
        <v>7</v>
      </c>
      <c r="X438" s="4" t="str">
        <f t="shared" si="34"/>
        <v>0INDIV7</v>
      </c>
      <c r="Y438">
        <f>VLOOKUP(X438,Sheet1!$J$5:$K$121,2,FALSE)</f>
        <v>0</v>
      </c>
    </row>
    <row r="439" spans="1:25" x14ac:dyDescent="0.25">
      <c r="A439" s="8">
        <f>[1]Data!A439</f>
        <v>501900</v>
      </c>
      <c r="B439" s="8">
        <f>[1]Data!B439</f>
        <v>7</v>
      </c>
      <c r="C439" s="8">
        <f>[1]Data!C439</f>
        <v>0</v>
      </c>
      <c r="D439" s="8">
        <f>[1]Data!D439</f>
        <v>4</v>
      </c>
      <c r="E439" s="8" t="str">
        <f>[1]Data!E439</f>
        <v>INDIV</v>
      </c>
      <c r="F439" s="8" t="str">
        <f>[1]Data!F439</f>
        <v>Whittier</v>
      </c>
      <c r="G439" s="8">
        <f>[1]Data!G439</f>
        <v>0</v>
      </c>
      <c r="H439" s="8">
        <f>[1]Data!H439</f>
        <v>0</v>
      </c>
      <c r="I439" s="8">
        <f>[1]Data!I439</f>
        <v>3.9260000000000002</v>
      </c>
      <c r="J439" s="8">
        <f>[1]Data!J439</f>
        <v>1.90487994</v>
      </c>
      <c r="K439" s="8">
        <f>[1]Data!K439</f>
        <v>3.9048799399999998</v>
      </c>
      <c r="L439" s="8">
        <f>[1]Data!L439</f>
        <v>2.0625322082585301E-2</v>
      </c>
      <c r="M439" s="8">
        <f>[1]Data!M439</f>
        <v>3.9255052620825901</v>
      </c>
      <c r="N439" s="8">
        <f>[1]Data!N439</f>
        <v>9.0909090909090898E-2</v>
      </c>
      <c r="O439" s="8">
        <f>[1]Data!O439</f>
        <v>0</v>
      </c>
      <c r="P439" s="8">
        <f>[1]Data!P439</f>
        <v>1</v>
      </c>
      <c r="Q439" s="8">
        <f>[1]Data!Q439</f>
        <v>0</v>
      </c>
      <c r="R439" s="8">
        <f>[1]Data!R439</f>
        <v>0</v>
      </c>
      <c r="S439" s="8">
        <f>[1]Data!S439</f>
        <v>0</v>
      </c>
      <c r="T439">
        <f t="shared" si="30"/>
        <v>9.0909090909090898E-2</v>
      </c>
      <c r="U439">
        <f t="shared" si="31"/>
        <v>0</v>
      </c>
      <c r="V439" s="4" t="str">
        <f t="shared" si="32"/>
        <v>0</v>
      </c>
      <c r="W439" s="4" t="str">
        <f t="shared" si="33"/>
        <v>7</v>
      </c>
      <c r="X439" s="4" t="str">
        <f t="shared" si="34"/>
        <v>0INDIV7</v>
      </c>
      <c r="Y439">
        <f>VLOOKUP(X439,Sheet1!$J$5:$K$121,2,FALSE)</f>
        <v>0</v>
      </c>
    </row>
    <row r="440" spans="1:25" x14ac:dyDescent="0.25">
      <c r="A440" s="8">
        <f>[1]Data!A440</f>
        <v>502200</v>
      </c>
      <c r="B440" s="8">
        <f>[1]Data!B440</f>
        <v>7</v>
      </c>
      <c r="C440" s="8">
        <f>[1]Data!C440</f>
        <v>0</v>
      </c>
      <c r="D440" s="8">
        <f>[1]Data!D440</f>
        <v>4</v>
      </c>
      <c r="E440" s="8" t="str">
        <f>[1]Data!E440</f>
        <v>INDIV</v>
      </c>
      <c r="F440" s="8" t="str">
        <f>[1]Data!F440</f>
        <v>West Whittier</v>
      </c>
      <c r="G440" s="8">
        <f>[1]Data!G440</f>
        <v>0</v>
      </c>
      <c r="H440" s="8">
        <f>[1]Data!H440</f>
        <v>0</v>
      </c>
      <c r="I440" s="8">
        <f>[1]Data!I440</f>
        <v>6.0949999999999998</v>
      </c>
      <c r="J440" s="8">
        <f>[1]Data!J440</f>
        <v>1.9836996600000001</v>
      </c>
      <c r="K440" s="8">
        <f>[1]Data!K440</f>
        <v>5.9836996600000001</v>
      </c>
      <c r="L440" s="8">
        <f>[1]Data!L440</f>
        <v>0.11117260138240601</v>
      </c>
      <c r="M440" s="8">
        <f>[1]Data!M440</f>
        <v>6.0948722613824096</v>
      </c>
      <c r="N440" s="8">
        <f>[1]Data!N440</f>
        <v>9.0909090909090898E-2</v>
      </c>
      <c r="O440" s="8">
        <f>[1]Data!O440</f>
        <v>0</v>
      </c>
      <c r="P440" s="8">
        <f>[1]Data!P440</f>
        <v>1</v>
      </c>
      <c r="Q440" s="8">
        <f>[1]Data!Q440</f>
        <v>0</v>
      </c>
      <c r="R440" s="8">
        <f>[1]Data!R440</f>
        <v>0</v>
      </c>
      <c r="S440" s="8">
        <f>[1]Data!S440</f>
        <v>0</v>
      </c>
      <c r="T440">
        <f t="shared" si="30"/>
        <v>9.0909090909090898E-2</v>
      </c>
      <c r="U440">
        <f t="shared" si="31"/>
        <v>0</v>
      </c>
      <c r="V440" s="4" t="str">
        <f t="shared" si="32"/>
        <v>0</v>
      </c>
      <c r="W440" s="4" t="str">
        <f t="shared" si="33"/>
        <v>7</v>
      </c>
      <c r="X440" s="4" t="str">
        <f t="shared" si="34"/>
        <v>0INDIV7</v>
      </c>
      <c r="Y440">
        <f>VLOOKUP(X440,Sheet1!$J$5:$K$121,2,FALSE)</f>
        <v>0</v>
      </c>
    </row>
    <row r="441" spans="1:25" x14ac:dyDescent="0.25">
      <c r="A441" s="8">
        <f>[1]Data!A441</f>
        <v>503302</v>
      </c>
      <c r="B441" s="8">
        <f>[1]Data!B441</f>
        <v>7</v>
      </c>
      <c r="C441" s="8">
        <f>[1]Data!C441</f>
        <v>0</v>
      </c>
      <c r="D441" s="8">
        <f>[1]Data!D441</f>
        <v>4</v>
      </c>
      <c r="E441" s="8" t="str">
        <f>[1]Data!E441</f>
        <v>INDIV</v>
      </c>
      <c r="F441" s="8" t="str">
        <f>[1]Data!F441</f>
        <v>South Whittier</v>
      </c>
      <c r="G441" s="8">
        <f>[1]Data!G441</f>
        <v>0</v>
      </c>
      <c r="H441" s="8">
        <f>[1]Data!H441</f>
        <v>0</v>
      </c>
      <c r="I441" s="8">
        <f>[1]Data!I441</f>
        <v>12.946</v>
      </c>
      <c r="J441" s="8">
        <f>[1]Data!J441</f>
        <v>5.7934595399999997</v>
      </c>
      <c r="K441" s="8">
        <f>[1]Data!K441</f>
        <v>12.793459540000001</v>
      </c>
      <c r="L441" s="8">
        <f>[1]Data!L441</f>
        <v>0.152423245547576</v>
      </c>
      <c r="M441" s="8">
        <f>[1]Data!M441</f>
        <v>12.9458827855476</v>
      </c>
      <c r="N441" s="8">
        <f>[1]Data!N441</f>
        <v>9.0909090909090898E-2</v>
      </c>
      <c r="O441" s="8">
        <f>[1]Data!O441</f>
        <v>0</v>
      </c>
      <c r="P441" s="8">
        <f>[1]Data!P441</f>
        <v>1</v>
      </c>
      <c r="Q441" s="8">
        <f>[1]Data!Q441</f>
        <v>0</v>
      </c>
      <c r="R441" s="8">
        <f>[1]Data!R441</f>
        <v>0</v>
      </c>
      <c r="S441" s="8">
        <f>[1]Data!S441</f>
        <v>0</v>
      </c>
      <c r="T441">
        <f t="shared" si="30"/>
        <v>9.0909090909090898E-2</v>
      </c>
      <c r="U441">
        <f t="shared" si="31"/>
        <v>0</v>
      </c>
      <c r="V441" s="4" t="str">
        <f t="shared" si="32"/>
        <v>0</v>
      </c>
      <c r="W441" s="4" t="str">
        <f t="shared" si="33"/>
        <v>7</v>
      </c>
      <c r="X441" s="4" t="str">
        <f t="shared" si="34"/>
        <v>0INDIV7</v>
      </c>
      <c r="Y441">
        <f>VLOOKUP(X441,Sheet1!$J$5:$K$121,2,FALSE)</f>
        <v>0</v>
      </c>
    </row>
    <row r="442" spans="1:25" x14ac:dyDescent="0.25">
      <c r="A442" s="8">
        <f>[1]Data!A442</f>
        <v>503401</v>
      </c>
      <c r="B442" s="8">
        <f>[1]Data!B442</f>
        <v>7</v>
      </c>
      <c r="C442" s="8">
        <f>[1]Data!C442</f>
        <v>0</v>
      </c>
      <c r="D442" s="8">
        <f>[1]Data!D442</f>
        <v>4</v>
      </c>
      <c r="E442" s="8" t="str">
        <f>[1]Data!E442</f>
        <v>INDIV</v>
      </c>
      <c r="F442" s="8" t="str">
        <f>[1]Data!F442</f>
        <v>Whittier</v>
      </c>
      <c r="G442" s="8">
        <f>[1]Data!G442</f>
        <v>0</v>
      </c>
      <c r="H442" s="8">
        <f>[1]Data!H442</f>
        <v>0</v>
      </c>
      <c r="I442" s="8">
        <f>[1]Data!I442</f>
        <v>4.798</v>
      </c>
      <c r="J442" s="8">
        <f>[1]Data!J442</f>
        <v>3.6649912800000002</v>
      </c>
      <c r="K442" s="8">
        <f>[1]Data!K442</f>
        <v>4.6649912799999997</v>
      </c>
      <c r="L442" s="8">
        <f>[1]Data!L442</f>
        <v>0.13266453314183099</v>
      </c>
      <c r="M442" s="8">
        <f>[1]Data!M442</f>
        <v>4.7976558131418301</v>
      </c>
      <c r="N442" s="8">
        <f>[1]Data!N442</f>
        <v>9.0909090909090898E-2</v>
      </c>
      <c r="O442" s="8">
        <f>[1]Data!O442</f>
        <v>0</v>
      </c>
      <c r="P442" s="8">
        <f>[1]Data!P442</f>
        <v>1</v>
      </c>
      <c r="Q442" s="8">
        <f>[1]Data!Q442</f>
        <v>0</v>
      </c>
      <c r="R442" s="8">
        <f>[1]Data!R442</f>
        <v>0</v>
      </c>
      <c r="S442" s="8">
        <f>[1]Data!S442</f>
        <v>0</v>
      </c>
      <c r="T442">
        <f t="shared" si="30"/>
        <v>9.0909090909090898E-2</v>
      </c>
      <c r="U442">
        <f t="shared" si="31"/>
        <v>0</v>
      </c>
      <c r="V442" s="4" t="str">
        <f t="shared" si="32"/>
        <v>0</v>
      </c>
      <c r="W442" s="4" t="str">
        <f t="shared" si="33"/>
        <v>7</v>
      </c>
      <c r="X442" s="4" t="str">
        <f t="shared" si="34"/>
        <v>0INDIV7</v>
      </c>
      <c r="Y442">
        <f>VLOOKUP(X442,Sheet1!$J$5:$K$121,2,FALSE)</f>
        <v>0</v>
      </c>
    </row>
    <row r="443" spans="1:25" x14ac:dyDescent="0.25">
      <c r="A443" s="8">
        <f>[1]Data!A443</f>
        <v>503602</v>
      </c>
      <c r="B443" s="8">
        <f>[1]Data!B443</f>
        <v>7</v>
      </c>
      <c r="C443" s="8">
        <f>[1]Data!C443</f>
        <v>0</v>
      </c>
      <c r="D443" s="8">
        <f>[1]Data!D443</f>
        <v>4</v>
      </c>
      <c r="E443" s="8" t="str">
        <f>[1]Data!E443</f>
        <v>INDIV</v>
      </c>
      <c r="F443" s="8" t="str">
        <f>[1]Data!F443</f>
        <v>La Mirada</v>
      </c>
      <c r="G443" s="8">
        <f>[1]Data!G443</f>
        <v>1</v>
      </c>
      <c r="H443" s="8">
        <f>[1]Data!H443</f>
        <v>1</v>
      </c>
      <c r="I443" s="8">
        <f>[1]Data!I443</f>
        <v>0</v>
      </c>
      <c r="J443" s="8">
        <f>[1]Data!J443</f>
        <v>0</v>
      </c>
      <c r="K443" s="8">
        <f>[1]Data!K443</f>
        <v>0</v>
      </c>
      <c r="L443" s="8">
        <f>[1]Data!L443</f>
        <v>0</v>
      </c>
      <c r="M443" s="8">
        <f>[1]Data!M443</f>
        <v>0</v>
      </c>
      <c r="N443" s="8">
        <f>[1]Data!N443</f>
        <v>9.0909090909090898E-2</v>
      </c>
      <c r="O443" s="8">
        <f>[1]Data!O443</f>
        <v>11</v>
      </c>
      <c r="P443" s="8">
        <f>[1]Data!P443</f>
        <v>1</v>
      </c>
      <c r="Q443" s="8">
        <f>[1]Data!Q443</f>
        <v>0</v>
      </c>
      <c r="R443" s="8">
        <f>[1]Data!R443</f>
        <v>0</v>
      </c>
      <c r="S443" s="8">
        <f>[1]Data!S443</f>
        <v>0</v>
      </c>
      <c r="T443">
        <f t="shared" si="30"/>
        <v>9.0909090909090898E-2</v>
      </c>
      <c r="U443">
        <f t="shared" si="31"/>
        <v>11.000000000000002</v>
      </c>
      <c r="V443" s="4" t="str">
        <f t="shared" si="32"/>
        <v>0</v>
      </c>
      <c r="W443" s="4" t="str">
        <f t="shared" si="33"/>
        <v>7</v>
      </c>
      <c r="X443" s="4" t="str">
        <f t="shared" si="34"/>
        <v>0INDIV7</v>
      </c>
      <c r="Y443">
        <f>VLOOKUP(X443,Sheet1!$J$5:$K$121,2,FALSE)</f>
        <v>0</v>
      </c>
    </row>
    <row r="444" spans="1:25" x14ac:dyDescent="0.25">
      <c r="A444" s="8">
        <f>[1]Data!A444</f>
        <v>503702</v>
      </c>
      <c r="B444" s="8">
        <f>[1]Data!B444</f>
        <v>7</v>
      </c>
      <c r="C444" s="8">
        <f>[1]Data!C444</f>
        <v>0</v>
      </c>
      <c r="D444" s="8">
        <f>[1]Data!D444</f>
        <v>4</v>
      </c>
      <c r="E444" s="8" t="str">
        <f>[1]Data!E444</f>
        <v>INDIV</v>
      </c>
      <c r="F444" s="8" t="str">
        <f>[1]Data!F444</f>
        <v>Unincorporated East Whittier</v>
      </c>
      <c r="G444" s="8">
        <f>[1]Data!G444</f>
        <v>0</v>
      </c>
      <c r="H444" s="8">
        <f>[1]Data!H444</f>
        <v>0</v>
      </c>
      <c r="I444" s="8">
        <f>[1]Data!I444</f>
        <v>12.276</v>
      </c>
      <c r="J444" s="8">
        <f>[1]Data!J444</f>
        <v>4.8620928000000001</v>
      </c>
      <c r="K444" s="8">
        <f>[1]Data!K444</f>
        <v>11.862092799999999</v>
      </c>
      <c r="L444" s="8">
        <f>[1]Data!L444</f>
        <v>0.414076613662478</v>
      </c>
      <c r="M444" s="8">
        <f>[1]Data!M444</f>
        <v>12.276169413662499</v>
      </c>
      <c r="N444" s="8">
        <f>[1]Data!N444</f>
        <v>9.0909090909090898E-2</v>
      </c>
      <c r="O444" s="8">
        <f>[1]Data!O444</f>
        <v>0</v>
      </c>
      <c r="P444" s="8">
        <f>[1]Data!P444</f>
        <v>1</v>
      </c>
      <c r="Q444" s="8">
        <f>[1]Data!Q444</f>
        <v>0</v>
      </c>
      <c r="R444" s="8">
        <f>[1]Data!R444</f>
        <v>0</v>
      </c>
      <c r="S444" s="8">
        <f>[1]Data!S444</f>
        <v>0</v>
      </c>
      <c r="T444">
        <f t="shared" si="30"/>
        <v>9.0909090909090898E-2</v>
      </c>
      <c r="U444">
        <f t="shared" si="31"/>
        <v>0</v>
      </c>
      <c r="V444" s="4" t="str">
        <f t="shared" si="32"/>
        <v>0</v>
      </c>
      <c r="W444" s="4" t="str">
        <f t="shared" si="33"/>
        <v>7</v>
      </c>
      <c r="X444" s="4" t="str">
        <f t="shared" si="34"/>
        <v>0INDIV7</v>
      </c>
      <c r="Y444">
        <f>VLOOKUP(X444,Sheet1!$J$5:$K$121,2,FALSE)</f>
        <v>0</v>
      </c>
    </row>
    <row r="445" spans="1:25" x14ac:dyDescent="0.25">
      <c r="A445" s="8">
        <f>[1]Data!A445</f>
        <v>503802</v>
      </c>
      <c r="B445" s="8">
        <f>[1]Data!B445</f>
        <v>7</v>
      </c>
      <c r="C445" s="8">
        <f>[1]Data!C445</f>
        <v>0</v>
      </c>
      <c r="D445" s="8">
        <f>[1]Data!D445</f>
        <v>4</v>
      </c>
      <c r="E445" s="8" t="str">
        <f>[1]Data!E445</f>
        <v>INDIV</v>
      </c>
      <c r="F445" s="8" t="str">
        <f>[1]Data!F445</f>
        <v>La Mirada</v>
      </c>
      <c r="G445" s="8">
        <f>[1]Data!G445</f>
        <v>0</v>
      </c>
      <c r="H445" s="8">
        <f>[1]Data!H445</f>
        <v>0</v>
      </c>
      <c r="I445" s="8">
        <f>[1]Data!I445</f>
        <v>0</v>
      </c>
      <c r="J445" s="8">
        <f>[1]Data!J445</f>
        <v>0</v>
      </c>
      <c r="K445" s="8">
        <f>[1]Data!K445</f>
        <v>0</v>
      </c>
      <c r="L445" s="8">
        <f>[1]Data!L445</f>
        <v>0</v>
      </c>
      <c r="M445" s="8">
        <f>[1]Data!M445</f>
        <v>0</v>
      </c>
      <c r="N445" s="8">
        <f>[1]Data!N445</f>
        <v>9.0909090909090898E-2</v>
      </c>
      <c r="O445" s="8">
        <f>[1]Data!O445</f>
        <v>0</v>
      </c>
      <c r="P445" s="8">
        <f>[1]Data!P445</f>
        <v>1</v>
      </c>
      <c r="Q445" s="8">
        <f>[1]Data!Q445</f>
        <v>0</v>
      </c>
      <c r="R445" s="8">
        <f>[1]Data!R445</f>
        <v>0</v>
      </c>
      <c r="S445" s="8">
        <f>[1]Data!S445</f>
        <v>0</v>
      </c>
      <c r="T445">
        <f t="shared" si="30"/>
        <v>9.0909090909090898E-2</v>
      </c>
      <c r="U445">
        <f t="shared" si="31"/>
        <v>0</v>
      </c>
      <c r="V445" s="4" t="str">
        <f t="shared" si="32"/>
        <v>0</v>
      </c>
      <c r="W445" s="4" t="str">
        <f t="shared" si="33"/>
        <v>7</v>
      </c>
      <c r="X445" s="4" t="str">
        <f t="shared" si="34"/>
        <v>0INDIV7</v>
      </c>
      <c r="Y445">
        <f>VLOOKUP(X445,Sheet1!$J$5:$K$121,2,FALSE)</f>
        <v>0</v>
      </c>
    </row>
    <row r="446" spans="1:25" x14ac:dyDescent="0.25">
      <c r="A446" s="8">
        <f>[1]Data!A446</f>
        <v>530301</v>
      </c>
      <c r="B446" s="8">
        <f>[1]Data!B446</f>
        <v>7</v>
      </c>
      <c r="C446" s="8">
        <f>[1]Data!C446</f>
        <v>0</v>
      </c>
      <c r="D446" s="8">
        <f>[1]Data!D446</f>
        <v>1</v>
      </c>
      <c r="E446" s="8" t="str">
        <f>[1]Data!E446</f>
        <v>INDIV</v>
      </c>
      <c r="F446" s="8" t="str">
        <f>[1]Data!F446</f>
        <v>East Los Angeles</v>
      </c>
      <c r="G446" s="8">
        <f>[1]Data!G446</f>
        <v>0</v>
      </c>
      <c r="H446" s="8">
        <f>[1]Data!H446</f>
        <v>0</v>
      </c>
      <c r="I446" s="8">
        <f>[1]Data!I446</f>
        <v>14.628</v>
      </c>
      <c r="J446" s="8">
        <f>[1]Data!J446</f>
        <v>9.5243997</v>
      </c>
      <c r="K446" s="8">
        <f>[1]Data!K446</f>
        <v>14.5243997</v>
      </c>
      <c r="L446" s="8">
        <f>[1]Data!L446</f>
        <v>0.10312661041292601</v>
      </c>
      <c r="M446" s="8">
        <f>[1]Data!M446</f>
        <v>14.6275263104129</v>
      </c>
      <c r="N446" s="8">
        <f>[1]Data!N446</f>
        <v>9.0909090909090898E-2</v>
      </c>
      <c r="O446" s="8">
        <f>[1]Data!O446</f>
        <v>0</v>
      </c>
      <c r="P446" s="8">
        <f>[1]Data!P446</f>
        <v>1</v>
      </c>
      <c r="Q446" s="8">
        <f>[1]Data!Q446</f>
        <v>0</v>
      </c>
      <c r="R446" s="8">
        <f>[1]Data!R446</f>
        <v>0</v>
      </c>
      <c r="S446" s="8">
        <f>[1]Data!S446</f>
        <v>0</v>
      </c>
      <c r="T446">
        <f t="shared" si="30"/>
        <v>9.0909090909090898E-2</v>
      </c>
      <c r="U446">
        <f t="shared" si="31"/>
        <v>0</v>
      </c>
      <c r="V446" s="4" t="str">
        <f t="shared" si="32"/>
        <v>0</v>
      </c>
      <c r="W446" s="4" t="str">
        <f t="shared" si="33"/>
        <v>7</v>
      </c>
      <c r="X446" s="4" t="str">
        <f t="shared" si="34"/>
        <v>0INDIV7</v>
      </c>
      <c r="Y446">
        <f>VLOOKUP(X446,Sheet1!$J$5:$K$121,2,FALSE)</f>
        <v>0</v>
      </c>
    </row>
    <row r="447" spans="1:25" x14ac:dyDescent="0.25">
      <c r="A447" s="8">
        <f>[1]Data!A447</f>
        <v>554519</v>
      </c>
      <c r="B447" s="8">
        <f>[1]Data!B447</f>
        <v>7</v>
      </c>
      <c r="C447" s="8">
        <f>[1]Data!C447</f>
        <v>0</v>
      </c>
      <c r="D447" s="8">
        <f>[1]Data!D447</f>
        <v>4</v>
      </c>
      <c r="E447" s="8" t="str">
        <f>[1]Data!E447</f>
        <v>INDIV</v>
      </c>
      <c r="F447" s="8" t="str">
        <f>[1]Data!F447</f>
        <v>Cerritos</v>
      </c>
      <c r="G447" s="8">
        <f>[1]Data!G447</f>
        <v>0</v>
      </c>
      <c r="H447" s="8">
        <f>[1]Data!H447</f>
        <v>0</v>
      </c>
      <c r="I447" s="8">
        <f>[1]Data!I447</f>
        <v>1.591</v>
      </c>
      <c r="J447" s="8">
        <f>[1]Data!J447</f>
        <v>1.43919657</v>
      </c>
      <c r="K447" s="8">
        <f>[1]Data!K447</f>
        <v>1.43919657</v>
      </c>
      <c r="L447" s="8">
        <f>[1]Data!L447</f>
        <v>0.15145200614003601</v>
      </c>
      <c r="M447" s="8">
        <f>[1]Data!M447</f>
        <v>1.59064857614004</v>
      </c>
      <c r="N447" s="8">
        <f>[1]Data!N447</f>
        <v>9.0909090909090898E-2</v>
      </c>
      <c r="O447" s="8">
        <f>[1]Data!O447</f>
        <v>0</v>
      </c>
      <c r="P447" s="8">
        <f>[1]Data!P447</f>
        <v>1</v>
      </c>
      <c r="Q447" s="8">
        <f>[1]Data!Q447</f>
        <v>0</v>
      </c>
      <c r="R447" s="8">
        <f>[1]Data!R447</f>
        <v>0</v>
      </c>
      <c r="S447" s="8">
        <f>[1]Data!S447</f>
        <v>0</v>
      </c>
      <c r="T447">
        <f t="shared" si="30"/>
        <v>9.0909090909090898E-2</v>
      </c>
      <c r="U447">
        <f t="shared" si="31"/>
        <v>0</v>
      </c>
      <c r="V447" s="4" t="str">
        <f t="shared" si="32"/>
        <v>0</v>
      </c>
      <c r="W447" s="4" t="str">
        <f t="shared" si="33"/>
        <v>7</v>
      </c>
      <c r="X447" s="4" t="str">
        <f t="shared" si="34"/>
        <v>0INDIV7</v>
      </c>
      <c r="Y447">
        <f>VLOOKUP(X447,Sheet1!$J$5:$K$121,2,FALSE)</f>
        <v>0</v>
      </c>
    </row>
    <row r="448" spans="1:25" x14ac:dyDescent="0.25">
      <c r="A448" s="8">
        <f>[1]Data!A448</f>
        <v>554001</v>
      </c>
      <c r="B448" s="8">
        <f>[1]Data!B448</f>
        <v>7</v>
      </c>
      <c r="C448" s="8">
        <f>[1]Data!C448</f>
        <v>0</v>
      </c>
      <c r="D448" s="8">
        <f>[1]Data!D448</f>
        <v>4</v>
      </c>
      <c r="E448" s="8" t="str">
        <f>[1]Data!E448</f>
        <v>INDIV</v>
      </c>
      <c r="F448" s="8" t="str">
        <f>[1]Data!F448</f>
        <v>Bellflower</v>
      </c>
      <c r="G448" s="8">
        <f>[1]Data!G448</f>
        <v>0</v>
      </c>
      <c r="H448" s="8">
        <f>[1]Data!H448</f>
        <v>0</v>
      </c>
      <c r="I448" s="8">
        <f>[1]Data!I448</f>
        <v>2.8079999999999998</v>
      </c>
      <c r="J448" s="8">
        <f>[1]Data!J448</f>
        <v>1.73313217</v>
      </c>
      <c r="K448" s="8">
        <f>[1]Data!K448</f>
        <v>2.7331321700000002</v>
      </c>
      <c r="L448" s="8">
        <f>[1]Data!L448</f>
        <v>7.4985510287253102E-2</v>
      </c>
      <c r="M448" s="8">
        <f>[1]Data!M448</f>
        <v>2.8081176802872498</v>
      </c>
      <c r="N448" s="8">
        <f>[1]Data!N448</f>
        <v>9.0909090909090898E-2</v>
      </c>
      <c r="O448" s="8">
        <f>[1]Data!O448</f>
        <v>0</v>
      </c>
      <c r="P448" s="8">
        <f>[1]Data!P448</f>
        <v>1</v>
      </c>
      <c r="Q448" s="8">
        <f>[1]Data!Q448</f>
        <v>0</v>
      </c>
      <c r="R448" s="8">
        <f>[1]Data!R448</f>
        <v>0</v>
      </c>
      <c r="S448" s="8">
        <f>[1]Data!S448</f>
        <v>0</v>
      </c>
      <c r="T448">
        <f t="shared" si="30"/>
        <v>9.0909090909090898E-2</v>
      </c>
      <c r="U448">
        <f t="shared" si="31"/>
        <v>0</v>
      </c>
      <c r="V448" s="4" t="str">
        <f t="shared" si="32"/>
        <v>0</v>
      </c>
      <c r="W448" s="4" t="str">
        <f t="shared" si="33"/>
        <v>7</v>
      </c>
      <c r="X448" s="4" t="str">
        <f t="shared" si="34"/>
        <v>0INDIV7</v>
      </c>
      <c r="Y448">
        <f>VLOOKUP(X448,Sheet1!$J$5:$K$121,2,FALSE)</f>
        <v>0</v>
      </c>
    </row>
    <row r="449" spans="1:25" x14ac:dyDescent="0.25">
      <c r="A449" s="8">
        <f>[1]Data!A449</f>
        <v>531504</v>
      </c>
      <c r="B449" s="8">
        <f>[1]Data!B449</f>
        <v>7</v>
      </c>
      <c r="C449" s="8">
        <f>[1]Data!C449</f>
        <v>0</v>
      </c>
      <c r="D449" s="8">
        <f>[1]Data!D449</f>
        <v>1</v>
      </c>
      <c r="E449" s="8" t="str">
        <f>[1]Data!E449</f>
        <v>INDIV</v>
      </c>
      <c r="F449" s="8" t="str">
        <f>[1]Data!F449</f>
        <v>East Los Angeles</v>
      </c>
      <c r="G449" s="8">
        <f>[1]Data!G449</f>
        <v>0</v>
      </c>
      <c r="H449" s="8">
        <f>[1]Data!H449</f>
        <v>0</v>
      </c>
      <c r="I449" s="8">
        <f>[1]Data!I449</f>
        <v>18.966999999999999</v>
      </c>
      <c r="J449" s="8">
        <f>[1]Data!J449</f>
        <v>9.6820391400000005</v>
      </c>
      <c r="K449" s="8">
        <f>[1]Data!K449</f>
        <v>18.682039140000001</v>
      </c>
      <c r="L449" s="8">
        <f>[1]Data!L449</f>
        <v>0.284221169012567</v>
      </c>
      <c r="M449" s="8">
        <f>[1]Data!M449</f>
        <v>18.966260309012601</v>
      </c>
      <c r="N449" s="8">
        <f>[1]Data!N449</f>
        <v>9.0909090909090898E-2</v>
      </c>
      <c r="O449" s="8">
        <f>[1]Data!O449</f>
        <v>0</v>
      </c>
      <c r="P449" s="8">
        <f>[1]Data!P449</f>
        <v>1</v>
      </c>
      <c r="Q449" s="8">
        <f>[1]Data!Q449</f>
        <v>0</v>
      </c>
      <c r="R449" s="8">
        <f>[1]Data!R449</f>
        <v>0</v>
      </c>
      <c r="S449" s="8">
        <f>[1]Data!S449</f>
        <v>0</v>
      </c>
      <c r="T449">
        <f t="shared" si="30"/>
        <v>9.0909090909090898E-2</v>
      </c>
      <c r="U449">
        <f t="shared" si="31"/>
        <v>0</v>
      </c>
      <c r="V449" s="4" t="str">
        <f t="shared" si="32"/>
        <v>0</v>
      </c>
      <c r="W449" s="4" t="str">
        <f t="shared" si="33"/>
        <v>7</v>
      </c>
      <c r="X449" s="4" t="str">
        <f t="shared" si="34"/>
        <v>0INDIV7</v>
      </c>
      <c r="Y449">
        <f>VLOOKUP(X449,Sheet1!$J$5:$K$121,2,FALSE)</f>
        <v>0</v>
      </c>
    </row>
    <row r="450" spans="1:25" x14ac:dyDescent="0.25">
      <c r="A450" s="8">
        <f>[1]Data!A450</f>
        <v>532500</v>
      </c>
      <c r="B450" s="8">
        <f>[1]Data!B450</f>
        <v>7</v>
      </c>
      <c r="C450" s="8">
        <f>[1]Data!C450</f>
        <v>0</v>
      </c>
      <c r="D450" s="8">
        <f>[1]Data!D450</f>
        <v>1</v>
      </c>
      <c r="E450" s="8" t="str">
        <f>[1]Data!E450</f>
        <v>INDIV</v>
      </c>
      <c r="F450" s="8" t="str">
        <f>[1]Data!F450</f>
        <v>Huntington Park</v>
      </c>
      <c r="G450" s="8">
        <f>[1]Data!G450</f>
        <v>0</v>
      </c>
      <c r="H450" s="8">
        <f>[1]Data!H450</f>
        <v>0</v>
      </c>
      <c r="I450" s="8">
        <f>[1]Data!I450</f>
        <v>3</v>
      </c>
      <c r="J450" s="8">
        <f>[1]Data!J450</f>
        <v>0</v>
      </c>
      <c r="K450" s="8">
        <f>[1]Data!K450</f>
        <v>3</v>
      </c>
      <c r="L450" s="8">
        <f>[1]Data!L450</f>
        <v>0</v>
      </c>
      <c r="M450" s="8">
        <f>[1]Data!M450</f>
        <v>3</v>
      </c>
      <c r="N450" s="8">
        <f>[1]Data!N450</f>
        <v>9.0909090909090898E-2</v>
      </c>
      <c r="O450" s="8">
        <f>[1]Data!O450</f>
        <v>0</v>
      </c>
      <c r="P450" s="8">
        <f>[1]Data!P450</f>
        <v>1</v>
      </c>
      <c r="Q450" s="8">
        <f>[1]Data!Q450</f>
        <v>0</v>
      </c>
      <c r="R450" s="8">
        <f>[1]Data!R450</f>
        <v>0</v>
      </c>
      <c r="S450" s="8">
        <f>[1]Data!S450</f>
        <v>0</v>
      </c>
      <c r="T450">
        <f t="shared" si="30"/>
        <v>9.0909090909090898E-2</v>
      </c>
      <c r="U450">
        <f t="shared" si="31"/>
        <v>0</v>
      </c>
      <c r="V450" s="4" t="str">
        <f t="shared" si="32"/>
        <v>0</v>
      </c>
      <c r="W450" s="4" t="str">
        <f t="shared" si="33"/>
        <v>7</v>
      </c>
      <c r="X450" s="4" t="str">
        <f t="shared" si="34"/>
        <v>0INDIV7</v>
      </c>
      <c r="Y450">
        <f>VLOOKUP(X450,Sheet1!$J$5:$K$121,2,FALSE)</f>
        <v>0</v>
      </c>
    </row>
    <row r="451" spans="1:25" x14ac:dyDescent="0.25">
      <c r="A451" s="8">
        <f>[1]Data!A451</f>
        <v>532604</v>
      </c>
      <c r="B451" s="8">
        <f>[1]Data!B451</f>
        <v>7</v>
      </c>
      <c r="C451" s="8">
        <f>[1]Data!C451</f>
        <v>0</v>
      </c>
      <c r="D451" s="8">
        <f>[1]Data!D451</f>
        <v>1</v>
      </c>
      <c r="E451" s="8" t="str">
        <f>[1]Data!E451</f>
        <v>INDIV</v>
      </c>
      <c r="F451" s="8" t="str">
        <f>[1]Data!F451</f>
        <v>Huntington Park</v>
      </c>
      <c r="G451" s="8">
        <f>[1]Data!G451</f>
        <v>0</v>
      </c>
      <c r="H451" s="8">
        <f>[1]Data!H451</f>
        <v>0</v>
      </c>
      <c r="I451" s="8">
        <f>[1]Data!I451</f>
        <v>9.4420000000000002</v>
      </c>
      <c r="J451" s="8">
        <f>[1]Data!J451</f>
        <v>5.2489564499999997</v>
      </c>
      <c r="K451" s="8">
        <f>[1]Data!K451</f>
        <v>9.2489564499999997</v>
      </c>
      <c r="L451" s="8">
        <f>[1]Data!L451</f>
        <v>0.192702650305207</v>
      </c>
      <c r="M451" s="8">
        <f>[1]Data!M451</f>
        <v>9.4416591003052108</v>
      </c>
      <c r="N451" s="8">
        <f>[1]Data!N451</f>
        <v>9.0909090909090898E-2</v>
      </c>
      <c r="O451" s="8">
        <f>[1]Data!O451</f>
        <v>0</v>
      </c>
      <c r="P451" s="8">
        <f>[1]Data!P451</f>
        <v>1</v>
      </c>
      <c r="Q451" s="8">
        <f>[1]Data!Q451</f>
        <v>0</v>
      </c>
      <c r="R451" s="8">
        <f>[1]Data!R451</f>
        <v>0</v>
      </c>
      <c r="S451" s="8">
        <f>[1]Data!S451</f>
        <v>0</v>
      </c>
      <c r="T451">
        <f t="shared" ref="T451:T514" si="35">N451+Y451*(1-N451)</f>
        <v>9.0909090909090898E-2</v>
      </c>
      <c r="U451">
        <f t="shared" ref="U451:U514" si="36">IF(T451="",0,1/T451*H451)</f>
        <v>0</v>
      </c>
      <c r="V451" s="4" t="str">
        <f t="shared" ref="V451:V514" si="37">TEXT(C451,"0")</f>
        <v>0</v>
      </c>
      <c r="W451" s="4" t="str">
        <f t="shared" ref="W451:W514" si="38">TEXT(B451,"0")</f>
        <v>7</v>
      </c>
      <c r="X451" s="4" t="str">
        <f t="shared" ref="X451:X514" si="39">CONCATENATE(V451,E451,W451)</f>
        <v>0INDIV7</v>
      </c>
      <c r="Y451">
        <f>VLOOKUP(X451,Sheet1!$J$5:$K$121,2,FALSE)</f>
        <v>0</v>
      </c>
    </row>
    <row r="452" spans="1:25" x14ac:dyDescent="0.25">
      <c r="A452" s="8">
        <f>[1]Data!A452</f>
        <v>533001</v>
      </c>
      <c r="B452" s="8">
        <f>[1]Data!B452</f>
        <v>7</v>
      </c>
      <c r="C452" s="8">
        <f>[1]Data!C452</f>
        <v>0</v>
      </c>
      <c r="D452" s="8">
        <f>[1]Data!D452</f>
        <v>2</v>
      </c>
      <c r="E452" s="8" t="str">
        <f>[1]Data!E452</f>
        <v>INDIV</v>
      </c>
      <c r="F452" s="8" t="str">
        <f>[1]Data!F452</f>
        <v>Florence-Graham</v>
      </c>
      <c r="G452" s="8">
        <f>[1]Data!G452</f>
        <v>0</v>
      </c>
      <c r="H452" s="8">
        <f>[1]Data!H452</f>
        <v>0</v>
      </c>
      <c r="I452" s="8">
        <f>[1]Data!I452</f>
        <v>10.805999999999999</v>
      </c>
      <c r="J452" s="8">
        <f>[1]Data!J452</f>
        <v>7.4336636599999997</v>
      </c>
      <c r="K452" s="8">
        <f>[1]Data!K452</f>
        <v>10.433663660000001</v>
      </c>
      <c r="L452" s="8">
        <f>[1]Data!L452</f>
        <v>0.37231622333931802</v>
      </c>
      <c r="M452" s="8">
        <f>[1]Data!M452</f>
        <v>10.805979883339299</v>
      </c>
      <c r="N452" s="8">
        <f>[1]Data!N452</f>
        <v>9.0909090909090898E-2</v>
      </c>
      <c r="O452" s="8">
        <f>[1]Data!O452</f>
        <v>0</v>
      </c>
      <c r="P452" s="8">
        <f>[1]Data!P452</f>
        <v>1</v>
      </c>
      <c r="Q452" s="8">
        <f>[1]Data!Q452</f>
        <v>0</v>
      </c>
      <c r="R452" s="8">
        <f>[1]Data!R452</f>
        <v>0</v>
      </c>
      <c r="S452" s="8">
        <f>[1]Data!S452</f>
        <v>0</v>
      </c>
      <c r="T452">
        <f t="shared" si="35"/>
        <v>9.0909090909090898E-2</v>
      </c>
      <c r="U452">
        <f t="shared" si="36"/>
        <v>0</v>
      </c>
      <c r="V452" s="4" t="str">
        <f t="shared" si="37"/>
        <v>0</v>
      </c>
      <c r="W452" s="4" t="str">
        <f t="shared" si="38"/>
        <v>7</v>
      </c>
      <c r="X452" s="4" t="str">
        <f t="shared" si="39"/>
        <v>0INDIV7</v>
      </c>
      <c r="Y452">
        <f>VLOOKUP(X452,Sheet1!$J$5:$K$121,2,FALSE)</f>
        <v>0</v>
      </c>
    </row>
    <row r="453" spans="1:25" x14ac:dyDescent="0.25">
      <c r="A453" s="8">
        <f>[1]Data!A453</f>
        <v>533403</v>
      </c>
      <c r="B453" s="8">
        <f>[1]Data!B453</f>
        <v>7</v>
      </c>
      <c r="C453" s="8">
        <f>[1]Data!C453</f>
        <v>0</v>
      </c>
      <c r="D453" s="8">
        <f>[1]Data!D453</f>
        <v>1</v>
      </c>
      <c r="E453" s="8" t="str">
        <f>[1]Data!E453</f>
        <v>INDIV</v>
      </c>
      <c r="F453" s="8" t="str">
        <f>[1]Data!F453</f>
        <v>Maywood</v>
      </c>
      <c r="G453" s="8">
        <f>[1]Data!G453</f>
        <v>0</v>
      </c>
      <c r="H453" s="8">
        <f>[1]Data!H453</f>
        <v>0</v>
      </c>
      <c r="I453" s="8">
        <f>[1]Data!I453</f>
        <v>13.702</v>
      </c>
      <c r="J453" s="8">
        <f>[1]Data!J453</f>
        <v>7.6195197600000002</v>
      </c>
      <c r="K453" s="8">
        <f>[1]Data!K453</f>
        <v>13.619519759999999</v>
      </c>
      <c r="L453" s="8">
        <f>[1]Data!L453</f>
        <v>8.2501288330341094E-2</v>
      </c>
      <c r="M453" s="8">
        <f>[1]Data!M453</f>
        <v>13.7020210483303</v>
      </c>
      <c r="N453" s="8">
        <f>[1]Data!N453</f>
        <v>9.0909090909090898E-2</v>
      </c>
      <c r="O453" s="8">
        <f>[1]Data!O453</f>
        <v>0</v>
      </c>
      <c r="P453" s="8">
        <f>[1]Data!P453</f>
        <v>1</v>
      </c>
      <c r="Q453" s="8">
        <f>[1]Data!Q453</f>
        <v>0</v>
      </c>
      <c r="R453" s="8">
        <f>[1]Data!R453</f>
        <v>0</v>
      </c>
      <c r="S453" s="8">
        <f>[1]Data!S453</f>
        <v>0</v>
      </c>
      <c r="T453">
        <f t="shared" si="35"/>
        <v>9.0909090909090898E-2</v>
      </c>
      <c r="U453">
        <f t="shared" si="36"/>
        <v>0</v>
      </c>
      <c r="V453" s="4" t="str">
        <f t="shared" si="37"/>
        <v>0</v>
      </c>
      <c r="W453" s="4" t="str">
        <f t="shared" si="38"/>
        <v>7</v>
      </c>
      <c r="X453" s="4" t="str">
        <f t="shared" si="39"/>
        <v>0INDIV7</v>
      </c>
      <c r="Y453">
        <f>VLOOKUP(X453,Sheet1!$J$5:$K$121,2,FALSE)</f>
        <v>0</v>
      </c>
    </row>
    <row r="454" spans="1:25" x14ac:dyDescent="0.25">
      <c r="A454" s="8">
        <f>[1]Data!A454</f>
        <v>533501</v>
      </c>
      <c r="B454" s="8">
        <f>[1]Data!B454</f>
        <v>7</v>
      </c>
      <c r="C454" s="8">
        <f>[1]Data!C454</f>
        <v>0</v>
      </c>
      <c r="D454" s="8">
        <f>[1]Data!D454</f>
        <v>1</v>
      </c>
      <c r="E454" s="8" t="str">
        <f>[1]Data!E454</f>
        <v>INDIV</v>
      </c>
      <c r="F454" s="8" t="str">
        <f>[1]Data!F454</f>
        <v>Huntington Park</v>
      </c>
      <c r="G454" s="8">
        <f>[1]Data!G454</f>
        <v>0</v>
      </c>
      <c r="H454" s="8">
        <f>[1]Data!H454</f>
        <v>0</v>
      </c>
      <c r="I454" s="8">
        <f>[1]Data!I454</f>
        <v>10.772</v>
      </c>
      <c r="J454" s="8">
        <f>[1]Data!J454</f>
        <v>4.31758971</v>
      </c>
      <c r="K454" s="8">
        <f>[1]Data!K454</f>
        <v>10.31758971</v>
      </c>
      <c r="L454" s="8">
        <f>[1]Data!L454</f>
        <v>0.45435601842010798</v>
      </c>
      <c r="M454" s="8">
        <f>[1]Data!M454</f>
        <v>10.7719457284201</v>
      </c>
      <c r="N454" s="8">
        <f>[1]Data!N454</f>
        <v>9.0909090909090898E-2</v>
      </c>
      <c r="O454" s="8">
        <f>[1]Data!O454</f>
        <v>0</v>
      </c>
      <c r="P454" s="8">
        <f>[1]Data!P454</f>
        <v>1</v>
      </c>
      <c r="Q454" s="8">
        <f>[1]Data!Q454</f>
        <v>0</v>
      </c>
      <c r="R454" s="8">
        <f>[1]Data!R454</f>
        <v>0</v>
      </c>
      <c r="S454" s="8">
        <f>[1]Data!S454</f>
        <v>0</v>
      </c>
      <c r="T454">
        <f t="shared" si="35"/>
        <v>9.0909090909090898E-2</v>
      </c>
      <c r="U454">
        <f t="shared" si="36"/>
        <v>0</v>
      </c>
      <c r="V454" s="4" t="str">
        <f t="shared" si="37"/>
        <v>0</v>
      </c>
      <c r="W454" s="4" t="str">
        <f t="shared" si="38"/>
        <v>7</v>
      </c>
      <c r="X454" s="4" t="str">
        <f t="shared" si="39"/>
        <v>0INDIV7</v>
      </c>
      <c r="Y454">
        <f>VLOOKUP(X454,Sheet1!$J$5:$K$121,2,FALSE)</f>
        <v>0</v>
      </c>
    </row>
    <row r="455" spans="1:25" x14ac:dyDescent="0.25">
      <c r="A455" s="8">
        <f>[1]Data!A455</f>
        <v>533203</v>
      </c>
      <c r="B455" s="8">
        <f>[1]Data!B455</f>
        <v>7</v>
      </c>
      <c r="C455" s="8">
        <f>[1]Data!C455</f>
        <v>0</v>
      </c>
      <c r="D455" s="8">
        <f>[1]Data!D455</f>
        <v>1</v>
      </c>
      <c r="E455" s="8" t="str">
        <f>[1]Data!E455</f>
        <v>INDIV</v>
      </c>
      <c r="F455" s="8" t="str">
        <f>[1]Data!F455</f>
        <v>Huntington Park</v>
      </c>
      <c r="G455" s="8">
        <f>[1]Data!G455</f>
        <v>0</v>
      </c>
      <c r="H455" s="8">
        <f>[1]Data!H455</f>
        <v>0</v>
      </c>
      <c r="I455" s="8">
        <f>[1]Data!I455</f>
        <v>1</v>
      </c>
      <c r="J455" s="8">
        <f>[1]Data!J455</f>
        <v>0</v>
      </c>
      <c r="K455" s="8">
        <f>[1]Data!K455</f>
        <v>1</v>
      </c>
      <c r="L455" s="8">
        <f>[1]Data!L455</f>
        <v>0</v>
      </c>
      <c r="M455" s="8">
        <f>[1]Data!M455</f>
        <v>1</v>
      </c>
      <c r="N455" s="8">
        <f>[1]Data!N455</f>
        <v>9.0909090909090898E-2</v>
      </c>
      <c r="O455" s="8">
        <f>[1]Data!O455</f>
        <v>0</v>
      </c>
      <c r="P455" s="8">
        <f>[1]Data!P455</f>
        <v>1</v>
      </c>
      <c r="Q455" s="8">
        <f>[1]Data!Q455</f>
        <v>0</v>
      </c>
      <c r="R455" s="8">
        <f>[1]Data!R455</f>
        <v>0</v>
      </c>
      <c r="S455" s="8">
        <f>[1]Data!S455</f>
        <v>0</v>
      </c>
      <c r="T455">
        <f t="shared" si="35"/>
        <v>9.0909090909090898E-2</v>
      </c>
      <c r="U455">
        <f t="shared" si="36"/>
        <v>0</v>
      </c>
      <c r="V455" s="4" t="str">
        <f t="shared" si="37"/>
        <v>0</v>
      </c>
      <c r="W455" s="4" t="str">
        <f t="shared" si="38"/>
        <v>7</v>
      </c>
      <c r="X455" s="4" t="str">
        <f t="shared" si="39"/>
        <v>0INDIV7</v>
      </c>
      <c r="Y455">
        <f>VLOOKUP(X455,Sheet1!$J$5:$K$121,2,FALSE)</f>
        <v>0</v>
      </c>
    </row>
    <row r="456" spans="1:25" x14ac:dyDescent="0.25">
      <c r="A456" s="8">
        <f>[1]Data!A456</f>
        <v>533602</v>
      </c>
      <c r="B456" s="8">
        <f>[1]Data!B456</f>
        <v>7</v>
      </c>
      <c r="C456" s="8">
        <f>[1]Data!C456</f>
        <v>0</v>
      </c>
      <c r="D456" s="8">
        <f>[1]Data!D456</f>
        <v>1</v>
      </c>
      <c r="E456" s="8" t="str">
        <f>[1]Data!E456</f>
        <v>INDIV</v>
      </c>
      <c r="F456" s="8" t="str">
        <f>[1]Data!F456</f>
        <v>Bell</v>
      </c>
      <c r="G456" s="8">
        <f>[1]Data!G456</f>
        <v>0</v>
      </c>
      <c r="H456" s="8">
        <f>[1]Data!H456</f>
        <v>0</v>
      </c>
      <c r="I456" s="8">
        <f>[1]Data!I456</f>
        <v>6</v>
      </c>
      <c r="J456" s="8">
        <f>[1]Data!J456</f>
        <v>0</v>
      </c>
      <c r="K456" s="8">
        <f>[1]Data!K456</f>
        <v>6</v>
      </c>
      <c r="L456" s="8">
        <f>[1]Data!L456</f>
        <v>0</v>
      </c>
      <c r="M456" s="8">
        <f>[1]Data!M456</f>
        <v>6</v>
      </c>
      <c r="N456" s="8">
        <f>[1]Data!N456</f>
        <v>9.0909090909090898E-2</v>
      </c>
      <c r="O456" s="8">
        <f>[1]Data!O456</f>
        <v>0</v>
      </c>
      <c r="P456" s="8">
        <f>[1]Data!P456</f>
        <v>1</v>
      </c>
      <c r="Q456" s="8">
        <f>[1]Data!Q456</f>
        <v>0</v>
      </c>
      <c r="R456" s="8">
        <f>[1]Data!R456</f>
        <v>0</v>
      </c>
      <c r="S456" s="8">
        <f>[1]Data!S456</f>
        <v>0</v>
      </c>
      <c r="T456">
        <f t="shared" si="35"/>
        <v>9.0909090909090898E-2</v>
      </c>
      <c r="U456">
        <f t="shared" si="36"/>
        <v>0</v>
      </c>
      <c r="V456" s="4" t="str">
        <f t="shared" si="37"/>
        <v>0</v>
      </c>
      <c r="W456" s="4" t="str">
        <f t="shared" si="38"/>
        <v>7</v>
      </c>
      <c r="X456" s="4" t="str">
        <f t="shared" si="39"/>
        <v>0INDIV7</v>
      </c>
      <c r="Y456">
        <f>VLOOKUP(X456,Sheet1!$J$5:$K$121,2,FALSE)</f>
        <v>0</v>
      </c>
    </row>
    <row r="457" spans="1:25" x14ac:dyDescent="0.25">
      <c r="A457" s="8">
        <f>[1]Data!A457</f>
        <v>552302</v>
      </c>
      <c r="B457" s="8">
        <f>[1]Data!B457</f>
        <v>7</v>
      </c>
      <c r="C457" s="8">
        <f>[1]Data!C457</f>
        <v>0</v>
      </c>
      <c r="D457" s="8">
        <f>[1]Data!D457</f>
        <v>4</v>
      </c>
      <c r="E457" s="8" t="str">
        <f>[1]Data!E457</f>
        <v>INDIV</v>
      </c>
      <c r="F457" s="8" t="str">
        <f>[1]Data!F457</f>
        <v>Norwalk</v>
      </c>
      <c r="G457" s="8">
        <f>[1]Data!G457</f>
        <v>1</v>
      </c>
      <c r="H457" s="8">
        <f>[1]Data!H457</f>
        <v>1</v>
      </c>
      <c r="I457" s="8">
        <f>[1]Data!I457</f>
        <v>1</v>
      </c>
      <c r="J457" s="8">
        <f>[1]Data!J457</f>
        <v>0</v>
      </c>
      <c r="K457" s="8">
        <f>[1]Data!K457</f>
        <v>1</v>
      </c>
      <c r="L457" s="8">
        <f>[1]Data!L457</f>
        <v>0</v>
      </c>
      <c r="M457" s="8">
        <f>[1]Data!M457</f>
        <v>1</v>
      </c>
      <c r="N457" s="8">
        <f>[1]Data!N457</f>
        <v>9.0909090909090898E-2</v>
      </c>
      <c r="O457" s="8">
        <f>[1]Data!O457</f>
        <v>11</v>
      </c>
      <c r="P457" s="8">
        <f>[1]Data!P457</f>
        <v>1</v>
      </c>
      <c r="Q457" s="8">
        <f>[1]Data!Q457</f>
        <v>0</v>
      </c>
      <c r="R457" s="8">
        <f>[1]Data!R457</f>
        <v>0</v>
      </c>
      <c r="S457" s="8">
        <f>[1]Data!S457</f>
        <v>0</v>
      </c>
      <c r="T457">
        <f t="shared" si="35"/>
        <v>9.0909090909090898E-2</v>
      </c>
      <c r="U457">
        <f t="shared" si="36"/>
        <v>11.000000000000002</v>
      </c>
      <c r="V457" s="4" t="str">
        <f t="shared" si="37"/>
        <v>0</v>
      </c>
      <c r="W457" s="4" t="str">
        <f t="shared" si="38"/>
        <v>7</v>
      </c>
      <c r="X457" s="4" t="str">
        <f t="shared" si="39"/>
        <v>0INDIV7</v>
      </c>
      <c r="Y457">
        <f>VLOOKUP(X457,Sheet1!$J$5:$K$121,2,FALSE)</f>
        <v>0</v>
      </c>
    </row>
    <row r="458" spans="1:25" x14ac:dyDescent="0.25">
      <c r="A458" s="8">
        <f>[1]Data!A458</f>
        <v>533701</v>
      </c>
      <c r="B458" s="8">
        <f>[1]Data!B458</f>
        <v>7</v>
      </c>
      <c r="C458" s="8">
        <f>[1]Data!C458</f>
        <v>0</v>
      </c>
      <c r="D458" s="8">
        <f>[1]Data!D458</f>
        <v>1</v>
      </c>
      <c r="E458" s="8" t="str">
        <f>[1]Data!E458</f>
        <v>INDIV</v>
      </c>
      <c r="F458" s="8" t="str">
        <f>[1]Data!F458</f>
        <v>Maywood</v>
      </c>
      <c r="G458" s="8">
        <f>[1]Data!G458</f>
        <v>0</v>
      </c>
      <c r="H458" s="8">
        <f>[1]Data!H458</f>
        <v>0</v>
      </c>
      <c r="I458" s="8">
        <f>[1]Data!I458</f>
        <v>0</v>
      </c>
      <c r="J458" s="8">
        <f>[1]Data!J458</f>
        <v>0</v>
      </c>
      <c r="K458" s="8">
        <f>[1]Data!K458</f>
        <v>0</v>
      </c>
      <c r="L458" s="8">
        <f>[1]Data!L458</f>
        <v>0</v>
      </c>
      <c r="M458" s="8">
        <f>[1]Data!M458</f>
        <v>0</v>
      </c>
      <c r="N458" s="8">
        <f>[1]Data!N458</f>
        <v>9.0909090909090898E-2</v>
      </c>
      <c r="O458" s="8">
        <f>[1]Data!O458</f>
        <v>0</v>
      </c>
      <c r="P458" s="8">
        <f>[1]Data!P458</f>
        <v>1</v>
      </c>
      <c r="Q458" s="8">
        <f>[1]Data!Q458</f>
        <v>0</v>
      </c>
      <c r="R458" s="8">
        <f>[1]Data!R458</f>
        <v>0</v>
      </c>
      <c r="S458" s="8">
        <f>[1]Data!S458</f>
        <v>0</v>
      </c>
      <c r="T458">
        <f t="shared" si="35"/>
        <v>9.0909090909090898E-2</v>
      </c>
      <c r="U458">
        <f t="shared" si="36"/>
        <v>0</v>
      </c>
      <c r="V458" s="4" t="str">
        <f t="shared" si="37"/>
        <v>0</v>
      </c>
      <c r="W458" s="4" t="str">
        <f t="shared" si="38"/>
        <v>7</v>
      </c>
      <c r="X458" s="4" t="str">
        <f t="shared" si="39"/>
        <v>0INDIV7</v>
      </c>
      <c r="Y458">
        <f>VLOOKUP(X458,Sheet1!$J$5:$K$121,2,FALSE)</f>
        <v>0</v>
      </c>
    </row>
    <row r="459" spans="1:25" x14ac:dyDescent="0.25">
      <c r="A459" s="8">
        <f>[1]Data!A459</f>
        <v>534302</v>
      </c>
      <c r="B459" s="8">
        <f>[1]Data!B459</f>
        <v>7</v>
      </c>
      <c r="C459" s="8">
        <f>[1]Data!C459</f>
        <v>0</v>
      </c>
      <c r="D459" s="8">
        <f>[1]Data!D459</f>
        <v>1</v>
      </c>
      <c r="E459" s="8" t="str">
        <f>[1]Data!E459</f>
        <v>INDIV</v>
      </c>
      <c r="F459" s="8" t="str">
        <f>[1]Data!F459</f>
        <v>Cudahy</v>
      </c>
      <c r="G459" s="8">
        <f>[1]Data!G459</f>
        <v>0</v>
      </c>
      <c r="H459" s="8">
        <f>[1]Data!H459</f>
        <v>0</v>
      </c>
      <c r="I459" s="8">
        <f>[1]Data!I459</f>
        <v>9.9459999999999997</v>
      </c>
      <c r="J459" s="8">
        <f>[1]Data!J459</f>
        <v>5.7934595399999997</v>
      </c>
      <c r="K459" s="8">
        <f>[1]Data!K459</f>
        <v>9.7934595400000006</v>
      </c>
      <c r="L459" s="8">
        <f>[1]Data!L459</f>
        <v>0.152423245547576</v>
      </c>
      <c r="M459" s="8">
        <f>[1]Data!M459</f>
        <v>9.94588278554758</v>
      </c>
      <c r="N459" s="8">
        <f>[1]Data!N459</f>
        <v>9.0909090909090898E-2</v>
      </c>
      <c r="O459" s="8">
        <f>[1]Data!O459</f>
        <v>0</v>
      </c>
      <c r="P459" s="8">
        <f>[1]Data!P459</f>
        <v>1</v>
      </c>
      <c r="Q459" s="8">
        <f>[1]Data!Q459</f>
        <v>0</v>
      </c>
      <c r="R459" s="8">
        <f>[1]Data!R459</f>
        <v>0</v>
      </c>
      <c r="S459" s="8">
        <f>[1]Data!S459</f>
        <v>0</v>
      </c>
      <c r="T459">
        <f t="shared" si="35"/>
        <v>9.0909090909090898E-2</v>
      </c>
      <c r="U459">
        <f t="shared" si="36"/>
        <v>0</v>
      </c>
      <c r="V459" s="4" t="str">
        <f t="shared" si="37"/>
        <v>0</v>
      </c>
      <c r="W459" s="4" t="str">
        <f t="shared" si="38"/>
        <v>7</v>
      </c>
      <c r="X459" s="4" t="str">
        <f t="shared" si="39"/>
        <v>0INDIV7</v>
      </c>
      <c r="Y459">
        <f>VLOOKUP(X459,Sheet1!$J$5:$K$121,2,FALSE)</f>
        <v>0</v>
      </c>
    </row>
    <row r="460" spans="1:25" x14ac:dyDescent="0.25">
      <c r="A460" s="8">
        <f>[1]Data!A460</f>
        <v>534405</v>
      </c>
      <c r="B460" s="8">
        <f>[1]Data!B460</f>
        <v>7</v>
      </c>
      <c r="C460" s="8">
        <f>[1]Data!C460</f>
        <v>0</v>
      </c>
      <c r="D460" s="8">
        <f>[1]Data!D460</f>
        <v>1</v>
      </c>
      <c r="E460" s="8" t="str">
        <f>[1]Data!E460</f>
        <v>INDIV</v>
      </c>
      <c r="F460" s="8" t="str">
        <f>[1]Data!F460</f>
        <v>Cudahy</v>
      </c>
      <c r="G460" s="8">
        <f>[1]Data!G460</f>
        <v>0</v>
      </c>
      <c r="H460" s="8">
        <f>[1]Data!H460</f>
        <v>0</v>
      </c>
      <c r="I460" s="8">
        <f>[1]Data!I460</f>
        <v>0</v>
      </c>
      <c r="J460" s="8">
        <f>[1]Data!J460</f>
        <v>0</v>
      </c>
      <c r="K460" s="8">
        <f>[1]Data!K460</f>
        <v>0</v>
      </c>
      <c r="L460" s="8">
        <f>[1]Data!L460</f>
        <v>0</v>
      </c>
      <c r="M460" s="8">
        <f>[1]Data!M460</f>
        <v>0</v>
      </c>
      <c r="N460" s="8">
        <f>[1]Data!N460</f>
        <v>9.0909090909090898E-2</v>
      </c>
      <c r="O460" s="8">
        <f>[1]Data!O460</f>
        <v>0</v>
      </c>
      <c r="P460" s="8">
        <f>[1]Data!P460</f>
        <v>1</v>
      </c>
      <c r="Q460" s="8">
        <f>[1]Data!Q460</f>
        <v>0</v>
      </c>
      <c r="R460" s="8">
        <f>[1]Data!R460</f>
        <v>0</v>
      </c>
      <c r="S460" s="8">
        <f>[1]Data!S460</f>
        <v>0</v>
      </c>
      <c r="T460">
        <f t="shared" si="35"/>
        <v>9.0909090909090898E-2</v>
      </c>
      <c r="U460">
        <f t="shared" si="36"/>
        <v>0</v>
      </c>
      <c r="V460" s="4" t="str">
        <f t="shared" si="37"/>
        <v>0</v>
      </c>
      <c r="W460" s="4" t="str">
        <f t="shared" si="38"/>
        <v>7</v>
      </c>
      <c r="X460" s="4" t="str">
        <f t="shared" si="39"/>
        <v>0INDIV7</v>
      </c>
      <c r="Y460">
        <f>VLOOKUP(X460,Sheet1!$J$5:$K$121,2,FALSE)</f>
        <v>0</v>
      </c>
    </row>
    <row r="461" spans="1:25" x14ac:dyDescent="0.25">
      <c r="A461" s="8">
        <f>[1]Data!A461</f>
        <v>534501</v>
      </c>
      <c r="B461" s="8">
        <f>[1]Data!B461</f>
        <v>7</v>
      </c>
      <c r="C461" s="8">
        <f>[1]Data!C461</f>
        <v>0</v>
      </c>
      <c r="D461" s="8">
        <f>[1]Data!D461</f>
        <v>1</v>
      </c>
      <c r="E461" s="8" t="str">
        <f>[1]Data!E461</f>
        <v>INDIV</v>
      </c>
      <c r="F461" s="8" t="str">
        <f>[1]Data!F461</f>
        <v>Huntington Park</v>
      </c>
      <c r="G461" s="8">
        <f>[1]Data!G461</f>
        <v>1</v>
      </c>
      <c r="H461" s="8">
        <f>[1]Data!H461</f>
        <v>1</v>
      </c>
      <c r="I461" s="8">
        <f>[1]Data!I461</f>
        <v>26.19</v>
      </c>
      <c r="J461" s="8">
        <f>[1]Data!J461</f>
        <v>3.9673993200000002</v>
      </c>
      <c r="K461" s="8">
        <f>[1]Data!K461</f>
        <v>25.967399319999998</v>
      </c>
      <c r="L461" s="8">
        <f>[1]Data!L461</f>
        <v>0.22234520276481101</v>
      </c>
      <c r="M461" s="8">
        <f>[1]Data!M461</f>
        <v>26.189744522764801</v>
      </c>
      <c r="N461" s="8">
        <f>[1]Data!N461</f>
        <v>9.0909090909090898E-2</v>
      </c>
      <c r="O461" s="8">
        <f>[1]Data!O461</f>
        <v>11</v>
      </c>
      <c r="P461" s="8">
        <f>[1]Data!P461</f>
        <v>1</v>
      </c>
      <c r="Q461" s="8">
        <f>[1]Data!Q461</f>
        <v>0</v>
      </c>
      <c r="R461" s="8">
        <f>[1]Data!R461</f>
        <v>0</v>
      </c>
      <c r="S461" s="8">
        <f>[1]Data!S461</f>
        <v>0</v>
      </c>
      <c r="T461">
        <f t="shared" si="35"/>
        <v>9.0909090909090898E-2</v>
      </c>
      <c r="U461">
        <f t="shared" si="36"/>
        <v>11.000000000000002</v>
      </c>
      <c r="V461" s="4" t="str">
        <f t="shared" si="37"/>
        <v>0</v>
      </c>
      <c r="W461" s="4" t="str">
        <f t="shared" si="38"/>
        <v>7</v>
      </c>
      <c r="X461" s="4" t="str">
        <f t="shared" si="39"/>
        <v>0INDIV7</v>
      </c>
      <c r="Y461">
        <f>VLOOKUP(X461,Sheet1!$J$5:$K$121,2,FALSE)</f>
        <v>0</v>
      </c>
    </row>
    <row r="462" spans="1:25" x14ac:dyDescent="0.25">
      <c r="A462" s="8">
        <f>[1]Data!A462</f>
        <v>530400</v>
      </c>
      <c r="B462" s="8">
        <f>[1]Data!B462</f>
        <v>7</v>
      </c>
      <c r="C462" s="8">
        <f>[1]Data!C462</f>
        <v>0</v>
      </c>
      <c r="D462" s="8">
        <f>[1]Data!D462</f>
        <v>1</v>
      </c>
      <c r="E462" s="8" t="str">
        <f>[1]Data!E462</f>
        <v>INDIV</v>
      </c>
      <c r="F462" s="8" t="str">
        <f>[1]Data!F462</f>
        <v>East Los Angeles</v>
      </c>
      <c r="G462" s="8">
        <f>[1]Data!G462</f>
        <v>1</v>
      </c>
      <c r="H462" s="8">
        <f>[1]Data!H462</f>
        <v>1</v>
      </c>
      <c r="I462" s="8">
        <f>[1]Data!I462</f>
        <v>11.332000000000001</v>
      </c>
      <c r="J462" s="8">
        <f>[1]Data!J462</f>
        <v>5.26746318</v>
      </c>
      <c r="K462" s="8">
        <f>[1]Data!K462</f>
        <v>11.26746318</v>
      </c>
      <c r="L462" s="8">
        <f>[1]Data!L462</f>
        <v>6.3609185601436302E-2</v>
      </c>
      <c r="M462" s="8">
        <f>[1]Data!M462</f>
        <v>11.331072365601401</v>
      </c>
      <c r="N462" s="8">
        <f>[1]Data!N462</f>
        <v>9.0909090909090898E-2</v>
      </c>
      <c r="O462" s="8">
        <f>[1]Data!O462</f>
        <v>11</v>
      </c>
      <c r="P462" s="8">
        <f>[1]Data!P462</f>
        <v>1</v>
      </c>
      <c r="Q462" s="8">
        <f>[1]Data!Q462</f>
        <v>0</v>
      </c>
      <c r="R462" s="8">
        <f>[1]Data!R462</f>
        <v>0</v>
      </c>
      <c r="S462" s="8">
        <f>[1]Data!S462</f>
        <v>0</v>
      </c>
      <c r="T462">
        <f t="shared" si="35"/>
        <v>9.0909090909090898E-2</v>
      </c>
      <c r="U462">
        <f t="shared" si="36"/>
        <v>11.000000000000002</v>
      </c>
      <c r="V462" s="4" t="str">
        <f t="shared" si="37"/>
        <v>0</v>
      </c>
      <c r="W462" s="4" t="str">
        <f t="shared" si="38"/>
        <v>7</v>
      </c>
      <c r="X462" s="4" t="str">
        <f t="shared" si="39"/>
        <v>0INDIV7</v>
      </c>
      <c r="Y462">
        <f>VLOOKUP(X462,Sheet1!$J$5:$K$121,2,FALSE)</f>
        <v>0</v>
      </c>
    </row>
    <row r="463" spans="1:25" x14ac:dyDescent="0.25">
      <c r="A463" s="8">
        <f>[1]Data!A463</f>
        <v>503801</v>
      </c>
      <c r="B463" s="8">
        <f>[1]Data!B463</f>
        <v>7</v>
      </c>
      <c r="C463" s="8">
        <f>[1]Data!C463</f>
        <v>0</v>
      </c>
      <c r="D463" s="8">
        <f>[1]Data!D463</f>
        <v>4</v>
      </c>
      <c r="E463" s="8" t="str">
        <f>[1]Data!E463</f>
        <v>INDIV</v>
      </c>
      <c r="F463" s="8" t="str">
        <f>[1]Data!F463</f>
        <v>La Mirada</v>
      </c>
      <c r="G463" s="8">
        <f>[1]Data!G463</f>
        <v>0</v>
      </c>
      <c r="H463" s="8">
        <f>[1]Data!H463</f>
        <v>0</v>
      </c>
      <c r="I463" s="8">
        <f>[1]Data!I463</f>
        <v>0</v>
      </c>
      <c r="J463" s="8">
        <f>[1]Data!J463</f>
        <v>0</v>
      </c>
      <c r="K463" s="8">
        <f>[1]Data!K463</f>
        <v>0</v>
      </c>
      <c r="L463" s="8">
        <f>[1]Data!L463</f>
        <v>0</v>
      </c>
      <c r="M463" s="8">
        <f>[1]Data!M463</f>
        <v>0</v>
      </c>
      <c r="N463" s="8">
        <f>[1]Data!N463</f>
        <v>9.0909090909090898E-2</v>
      </c>
      <c r="O463" s="8">
        <f>[1]Data!O463</f>
        <v>0</v>
      </c>
      <c r="P463" s="8">
        <f>[1]Data!P463</f>
        <v>1</v>
      </c>
      <c r="Q463" s="8">
        <f>[1]Data!Q463</f>
        <v>0</v>
      </c>
      <c r="R463" s="8">
        <f>[1]Data!R463</f>
        <v>0</v>
      </c>
      <c r="S463" s="8">
        <f>[1]Data!S463</f>
        <v>0</v>
      </c>
      <c r="T463">
        <f t="shared" si="35"/>
        <v>9.0909090909090898E-2</v>
      </c>
      <c r="U463">
        <f t="shared" si="36"/>
        <v>0</v>
      </c>
      <c r="V463" s="4" t="str">
        <f t="shared" si="37"/>
        <v>0</v>
      </c>
      <c r="W463" s="4" t="str">
        <f t="shared" si="38"/>
        <v>7</v>
      </c>
      <c r="X463" s="4" t="str">
        <f t="shared" si="39"/>
        <v>0INDIV7</v>
      </c>
      <c r="Y463">
        <f>VLOOKUP(X463,Sheet1!$J$5:$K$121,2,FALSE)</f>
        <v>0</v>
      </c>
    </row>
    <row r="464" spans="1:25" x14ac:dyDescent="0.25">
      <c r="A464" s="8">
        <f>[1]Data!A464</f>
        <v>534502</v>
      </c>
      <c r="B464" s="8">
        <f>[1]Data!B464</f>
        <v>7</v>
      </c>
      <c r="C464" s="8">
        <f>[1]Data!C464</f>
        <v>0</v>
      </c>
      <c r="D464" s="8">
        <f>[1]Data!D464</f>
        <v>1</v>
      </c>
      <c r="E464" s="8" t="str">
        <f>[1]Data!E464</f>
        <v>INDIV</v>
      </c>
      <c r="F464" s="8" t="str">
        <f>[1]Data!F464</f>
        <v>Huntington Park</v>
      </c>
      <c r="G464" s="8">
        <f>[1]Data!G464</f>
        <v>0</v>
      </c>
      <c r="H464" s="8">
        <f>[1]Data!H464</f>
        <v>0</v>
      </c>
      <c r="I464" s="8">
        <f>[1]Data!I464</f>
        <v>13.276</v>
      </c>
      <c r="J464" s="8">
        <f>[1]Data!J464</f>
        <v>4.8620928000000001</v>
      </c>
      <c r="K464" s="8">
        <f>[1]Data!K464</f>
        <v>12.862092799999999</v>
      </c>
      <c r="L464" s="8">
        <f>[1]Data!L464</f>
        <v>0.414076613662478</v>
      </c>
      <c r="M464" s="8">
        <f>[1]Data!M464</f>
        <v>13.276169413662499</v>
      </c>
      <c r="N464" s="8">
        <f>[1]Data!N464</f>
        <v>9.0909090909090898E-2</v>
      </c>
      <c r="O464" s="8">
        <f>[1]Data!O464</f>
        <v>0</v>
      </c>
      <c r="P464" s="8">
        <f>[1]Data!P464</f>
        <v>1</v>
      </c>
      <c r="Q464" s="8">
        <f>[1]Data!Q464</f>
        <v>0</v>
      </c>
      <c r="R464" s="8">
        <f>[1]Data!R464</f>
        <v>0</v>
      </c>
      <c r="S464" s="8">
        <f>[1]Data!S464</f>
        <v>0</v>
      </c>
      <c r="T464">
        <f t="shared" si="35"/>
        <v>9.0909090909090898E-2</v>
      </c>
      <c r="U464">
        <f t="shared" si="36"/>
        <v>0</v>
      </c>
      <c r="V464" s="4" t="str">
        <f t="shared" si="37"/>
        <v>0</v>
      </c>
      <c r="W464" s="4" t="str">
        <f t="shared" si="38"/>
        <v>7</v>
      </c>
      <c r="X464" s="4" t="str">
        <f t="shared" si="39"/>
        <v>0INDIV7</v>
      </c>
      <c r="Y464">
        <f>VLOOKUP(X464,Sheet1!$J$5:$K$121,2,FALSE)</f>
        <v>0</v>
      </c>
    </row>
    <row r="465" spans="1:25" x14ac:dyDescent="0.25">
      <c r="A465" s="8">
        <f>[1]Data!A465</f>
        <v>535803</v>
      </c>
      <c r="B465" s="8">
        <f>[1]Data!B465</f>
        <v>7</v>
      </c>
      <c r="C465" s="8">
        <f>[1]Data!C465</f>
        <v>0</v>
      </c>
      <c r="D465" s="8">
        <f>[1]Data!D465</f>
        <v>1</v>
      </c>
      <c r="E465" s="8" t="str">
        <f>[1]Data!E465</f>
        <v>INDIV</v>
      </c>
      <c r="F465" s="8" t="str">
        <f>[1]Data!F465</f>
        <v>South Gate</v>
      </c>
      <c r="G465" s="8">
        <f>[1]Data!G465</f>
        <v>0</v>
      </c>
      <c r="H465" s="8">
        <f>[1]Data!H465</f>
        <v>0</v>
      </c>
      <c r="I465" s="8">
        <f>[1]Data!I465</f>
        <v>6</v>
      </c>
      <c r="J465" s="8">
        <f>[1]Data!J465</f>
        <v>0</v>
      </c>
      <c r="K465" s="8">
        <f>[1]Data!K465</f>
        <v>6</v>
      </c>
      <c r="L465" s="8">
        <f>[1]Data!L465</f>
        <v>0</v>
      </c>
      <c r="M465" s="8">
        <f>[1]Data!M465</f>
        <v>6</v>
      </c>
      <c r="N465" s="8">
        <f>[1]Data!N465</f>
        <v>9.0909090909090898E-2</v>
      </c>
      <c r="O465" s="8">
        <f>[1]Data!O465</f>
        <v>0</v>
      </c>
      <c r="P465" s="8">
        <f>[1]Data!P465</f>
        <v>1</v>
      </c>
      <c r="Q465" s="8">
        <f>[1]Data!Q465</f>
        <v>0</v>
      </c>
      <c r="R465" s="8">
        <f>[1]Data!R465</f>
        <v>0</v>
      </c>
      <c r="S465" s="8">
        <f>[1]Data!S465</f>
        <v>0</v>
      </c>
      <c r="T465">
        <f t="shared" si="35"/>
        <v>9.0909090909090898E-2</v>
      </c>
      <c r="U465">
        <f t="shared" si="36"/>
        <v>0</v>
      </c>
      <c r="V465" s="4" t="str">
        <f t="shared" si="37"/>
        <v>0</v>
      </c>
      <c r="W465" s="4" t="str">
        <f t="shared" si="38"/>
        <v>7</v>
      </c>
      <c r="X465" s="4" t="str">
        <f t="shared" si="39"/>
        <v>0INDIV7</v>
      </c>
      <c r="Y465">
        <f>VLOOKUP(X465,Sheet1!$J$5:$K$121,2,FALSE)</f>
        <v>0</v>
      </c>
    </row>
    <row r="466" spans="1:25" x14ac:dyDescent="0.25">
      <c r="A466" s="8">
        <f>[1]Data!A466</f>
        <v>535606</v>
      </c>
      <c r="B466" s="8">
        <f>[1]Data!B466</f>
        <v>7</v>
      </c>
      <c r="C466" s="8">
        <f>[1]Data!C466</f>
        <v>0</v>
      </c>
      <c r="D466" s="8">
        <f>[1]Data!D466</f>
        <v>1</v>
      </c>
      <c r="E466" s="8" t="str">
        <f>[1]Data!E466</f>
        <v>INDIV</v>
      </c>
      <c r="F466" s="8" t="str">
        <f>[1]Data!F466</f>
        <v>South Gate</v>
      </c>
      <c r="G466" s="8">
        <f>[1]Data!G466</f>
        <v>0</v>
      </c>
      <c r="H466" s="8">
        <f>[1]Data!H466</f>
        <v>0</v>
      </c>
      <c r="I466" s="8">
        <f>[1]Data!I466</f>
        <v>7.851</v>
      </c>
      <c r="J466" s="8">
        <f>[1]Data!J466</f>
        <v>3.8097598800000001</v>
      </c>
      <c r="K466" s="8">
        <f>[1]Data!K466</f>
        <v>7.8097598799999997</v>
      </c>
      <c r="L466" s="8">
        <f>[1]Data!L466</f>
        <v>4.1250644165170602E-2</v>
      </c>
      <c r="M466" s="8">
        <f>[1]Data!M466</f>
        <v>7.8510105241651704</v>
      </c>
      <c r="N466" s="8">
        <f>[1]Data!N466</f>
        <v>9.0909090909090898E-2</v>
      </c>
      <c r="O466" s="8">
        <f>[1]Data!O466</f>
        <v>0</v>
      </c>
      <c r="P466" s="8">
        <f>[1]Data!P466</f>
        <v>1</v>
      </c>
      <c r="Q466" s="8">
        <f>[1]Data!Q466</f>
        <v>0</v>
      </c>
      <c r="R466" s="8">
        <f>[1]Data!R466</f>
        <v>0</v>
      </c>
      <c r="S466" s="8">
        <f>[1]Data!S466</f>
        <v>0</v>
      </c>
      <c r="T466">
        <f t="shared" si="35"/>
        <v>9.0909090909090898E-2</v>
      </c>
      <c r="U466">
        <f t="shared" si="36"/>
        <v>0</v>
      </c>
      <c r="V466" s="4" t="str">
        <f t="shared" si="37"/>
        <v>0</v>
      </c>
      <c r="W466" s="4" t="str">
        <f t="shared" si="38"/>
        <v>7</v>
      </c>
      <c r="X466" s="4" t="str">
        <f t="shared" si="39"/>
        <v>0INDIV7</v>
      </c>
      <c r="Y466">
        <f>VLOOKUP(X466,Sheet1!$J$5:$K$121,2,FALSE)</f>
        <v>0</v>
      </c>
    </row>
    <row r="467" spans="1:25" x14ac:dyDescent="0.25">
      <c r="A467" s="8">
        <f>[1]Data!A467</f>
        <v>550602</v>
      </c>
      <c r="B467" s="8">
        <f>[1]Data!B467</f>
        <v>7</v>
      </c>
      <c r="C467" s="8">
        <f>[1]Data!C467</f>
        <v>0</v>
      </c>
      <c r="D467" s="8">
        <f>[1]Data!D467</f>
        <v>4</v>
      </c>
      <c r="E467" s="8" t="str">
        <f>[1]Data!E467</f>
        <v>INDIV</v>
      </c>
      <c r="F467" s="8" t="str">
        <f>[1]Data!F467</f>
        <v>Downey</v>
      </c>
      <c r="G467" s="8">
        <f>[1]Data!G467</f>
        <v>1</v>
      </c>
      <c r="H467" s="8">
        <f>[1]Data!H467</f>
        <v>1</v>
      </c>
      <c r="I467" s="8">
        <f>[1]Data!I467</f>
        <v>2</v>
      </c>
      <c r="J467" s="8">
        <f>[1]Data!J467</f>
        <v>0</v>
      </c>
      <c r="K467" s="8">
        <f>[1]Data!K467</f>
        <v>2</v>
      </c>
      <c r="L467" s="8">
        <f>[1]Data!L467</f>
        <v>0</v>
      </c>
      <c r="M467" s="8">
        <f>[1]Data!M467</f>
        <v>2</v>
      </c>
      <c r="N467" s="8">
        <f>[1]Data!N467</f>
        <v>9.0909090909090898E-2</v>
      </c>
      <c r="O467" s="8">
        <f>[1]Data!O467</f>
        <v>11</v>
      </c>
      <c r="P467" s="8">
        <f>[1]Data!P467</f>
        <v>1</v>
      </c>
      <c r="Q467" s="8">
        <f>[1]Data!Q467</f>
        <v>0</v>
      </c>
      <c r="R467" s="8">
        <f>[1]Data!R467</f>
        <v>0</v>
      </c>
      <c r="S467" s="8">
        <f>[1]Data!S467</f>
        <v>0</v>
      </c>
      <c r="T467">
        <f t="shared" si="35"/>
        <v>9.0909090909090898E-2</v>
      </c>
      <c r="U467">
        <f t="shared" si="36"/>
        <v>11.000000000000002</v>
      </c>
      <c r="V467" s="4" t="str">
        <f t="shared" si="37"/>
        <v>0</v>
      </c>
      <c r="W467" s="4" t="str">
        <f t="shared" si="38"/>
        <v>7</v>
      </c>
      <c r="X467" s="4" t="str">
        <f t="shared" si="39"/>
        <v>0INDIV7</v>
      </c>
      <c r="Y467">
        <f>VLOOKUP(X467,Sheet1!$J$5:$K$121,2,FALSE)</f>
        <v>0</v>
      </c>
    </row>
    <row r="468" spans="1:25" x14ac:dyDescent="0.25">
      <c r="A468" s="8">
        <f>[1]Data!A468</f>
        <v>551101</v>
      </c>
      <c r="B468" s="8">
        <f>[1]Data!B468</f>
        <v>7</v>
      </c>
      <c r="C468" s="8">
        <f>[1]Data!C468</f>
        <v>0</v>
      </c>
      <c r="D468" s="8">
        <f>[1]Data!D468</f>
        <v>4</v>
      </c>
      <c r="E468" s="8" t="str">
        <f>[1]Data!E468</f>
        <v>INDIV</v>
      </c>
      <c r="F468" s="8" t="str">
        <f>[1]Data!F468</f>
        <v>Downey</v>
      </c>
      <c r="G468" s="8">
        <f>[1]Data!G468</f>
        <v>0</v>
      </c>
      <c r="H468" s="8">
        <f>[1]Data!H468</f>
        <v>0</v>
      </c>
      <c r="I468" s="8">
        <f>[1]Data!I468</f>
        <v>2.0950000000000002</v>
      </c>
      <c r="J468" s="8">
        <f>[1]Data!J468</f>
        <v>1.9836996600000001</v>
      </c>
      <c r="K468" s="8">
        <f>[1]Data!K468</f>
        <v>1.9836996600000001</v>
      </c>
      <c r="L468" s="8">
        <f>[1]Data!L468</f>
        <v>0.11117260138240601</v>
      </c>
      <c r="M468" s="8">
        <f>[1]Data!M468</f>
        <v>2.09487226138241</v>
      </c>
      <c r="N468" s="8">
        <f>[1]Data!N468</f>
        <v>9.0909090909090898E-2</v>
      </c>
      <c r="O468" s="8">
        <f>[1]Data!O468</f>
        <v>0</v>
      </c>
      <c r="P468" s="8">
        <f>[1]Data!P468</f>
        <v>1</v>
      </c>
      <c r="Q468" s="8">
        <f>[1]Data!Q468</f>
        <v>0</v>
      </c>
      <c r="R468" s="8">
        <f>[1]Data!R468</f>
        <v>0</v>
      </c>
      <c r="S468" s="8">
        <f>[1]Data!S468</f>
        <v>0</v>
      </c>
      <c r="T468">
        <f t="shared" si="35"/>
        <v>9.0909090909090898E-2</v>
      </c>
      <c r="U468">
        <f t="shared" si="36"/>
        <v>0</v>
      </c>
      <c r="V468" s="4" t="str">
        <f t="shared" si="37"/>
        <v>0</v>
      </c>
      <c r="W468" s="4" t="str">
        <f t="shared" si="38"/>
        <v>7</v>
      </c>
      <c r="X468" s="4" t="str">
        <f t="shared" si="39"/>
        <v>0INDIV7</v>
      </c>
      <c r="Y468">
        <f>VLOOKUP(X468,Sheet1!$J$5:$K$121,2,FALSE)</f>
        <v>0</v>
      </c>
    </row>
    <row r="469" spans="1:25" x14ac:dyDescent="0.25">
      <c r="A469" s="8">
        <f>[1]Data!A469</f>
        <v>551300</v>
      </c>
      <c r="B469" s="8">
        <f>[1]Data!B469</f>
        <v>7</v>
      </c>
      <c r="C469" s="8">
        <f>[1]Data!C469</f>
        <v>0</v>
      </c>
      <c r="D469" s="8">
        <f>[1]Data!D469</f>
        <v>4</v>
      </c>
      <c r="E469" s="8" t="str">
        <f>[1]Data!E469</f>
        <v>INDIV</v>
      </c>
      <c r="F469" s="8" t="str">
        <f>[1]Data!F469</f>
        <v>Downey</v>
      </c>
      <c r="G469" s="8">
        <f>[1]Data!G469</f>
        <v>0</v>
      </c>
      <c r="H469" s="8">
        <f>[1]Data!H469</f>
        <v>0</v>
      </c>
      <c r="I469" s="8">
        <f>[1]Data!I469</f>
        <v>9.3680000000000003</v>
      </c>
      <c r="J469" s="8">
        <f>[1]Data!J469</f>
        <v>7.1538363900000004</v>
      </c>
      <c r="K469" s="8">
        <f>[1]Data!K469</f>
        <v>9.1538363900000004</v>
      </c>
      <c r="L469" s="8">
        <f>[1]Data!L469</f>
        <v>0.213327972387792</v>
      </c>
      <c r="M469" s="8">
        <f>[1]Data!M469</f>
        <v>9.3671643623877898</v>
      </c>
      <c r="N469" s="8">
        <f>[1]Data!N469</f>
        <v>9.0909090909090898E-2</v>
      </c>
      <c r="O469" s="8">
        <f>[1]Data!O469</f>
        <v>0</v>
      </c>
      <c r="P469" s="8">
        <f>[1]Data!P469</f>
        <v>1</v>
      </c>
      <c r="Q469" s="8">
        <f>[1]Data!Q469</f>
        <v>0</v>
      </c>
      <c r="R469" s="8">
        <f>[1]Data!R469</f>
        <v>0</v>
      </c>
      <c r="S469" s="8">
        <f>[1]Data!S469</f>
        <v>0</v>
      </c>
      <c r="T469">
        <f t="shared" si="35"/>
        <v>9.0909090909090898E-2</v>
      </c>
      <c r="U469">
        <f t="shared" si="36"/>
        <v>0</v>
      </c>
      <c r="V469" s="4" t="str">
        <f t="shared" si="37"/>
        <v>0</v>
      </c>
      <c r="W469" s="4" t="str">
        <f t="shared" si="38"/>
        <v>7</v>
      </c>
      <c r="X469" s="4" t="str">
        <f t="shared" si="39"/>
        <v>0INDIV7</v>
      </c>
      <c r="Y469">
        <f>VLOOKUP(X469,Sheet1!$J$5:$K$121,2,FALSE)</f>
        <v>0</v>
      </c>
    </row>
    <row r="470" spans="1:25" x14ac:dyDescent="0.25">
      <c r="A470" s="8">
        <f>[1]Data!A470</f>
        <v>551600</v>
      </c>
      <c r="B470" s="8">
        <f>[1]Data!B470</f>
        <v>7</v>
      </c>
      <c r="C470" s="8">
        <f>[1]Data!C470</f>
        <v>0</v>
      </c>
      <c r="D470" s="8">
        <f>[1]Data!D470</f>
        <v>4</v>
      </c>
      <c r="E470" s="8" t="str">
        <f>[1]Data!E470</f>
        <v>INDIV</v>
      </c>
      <c r="F470" s="8" t="str">
        <f>[1]Data!F470</f>
        <v>Downey</v>
      </c>
      <c r="G470" s="8">
        <f>[1]Data!G470</f>
        <v>0</v>
      </c>
      <c r="H470" s="8">
        <f>[1]Data!H470</f>
        <v>0</v>
      </c>
      <c r="I470" s="8">
        <f>[1]Data!I470</f>
        <v>0</v>
      </c>
      <c r="J470" s="8">
        <f>[1]Data!J470</f>
        <v>0</v>
      </c>
      <c r="K470" s="8">
        <f>[1]Data!K470</f>
        <v>0</v>
      </c>
      <c r="L470" s="8">
        <f>[1]Data!L470</f>
        <v>0</v>
      </c>
      <c r="M470" s="8">
        <f>[1]Data!M470</f>
        <v>0</v>
      </c>
      <c r="N470" s="8">
        <f>[1]Data!N470</f>
        <v>9.0909090909090898E-2</v>
      </c>
      <c r="O470" s="8">
        <f>[1]Data!O470</f>
        <v>0</v>
      </c>
      <c r="P470" s="8">
        <f>[1]Data!P470</f>
        <v>1</v>
      </c>
      <c r="Q470" s="8">
        <f>[1]Data!Q470</f>
        <v>0</v>
      </c>
      <c r="R470" s="8">
        <f>[1]Data!R470</f>
        <v>0</v>
      </c>
      <c r="S470" s="8">
        <f>[1]Data!S470</f>
        <v>0</v>
      </c>
      <c r="T470">
        <f t="shared" si="35"/>
        <v>9.0909090909090898E-2</v>
      </c>
      <c r="U470">
        <f t="shared" si="36"/>
        <v>0</v>
      </c>
      <c r="V470" s="4" t="str">
        <f t="shared" si="37"/>
        <v>0</v>
      </c>
      <c r="W470" s="4" t="str">
        <f t="shared" si="38"/>
        <v>7</v>
      </c>
      <c r="X470" s="4" t="str">
        <f t="shared" si="39"/>
        <v>0INDIV7</v>
      </c>
      <c r="Y470">
        <f>VLOOKUP(X470,Sheet1!$J$5:$K$121,2,FALSE)</f>
        <v>0</v>
      </c>
    </row>
    <row r="471" spans="1:25" x14ac:dyDescent="0.25">
      <c r="A471" s="8">
        <f>[1]Data!A471</f>
        <v>503701</v>
      </c>
      <c r="B471" s="8">
        <f>[1]Data!B471</f>
        <v>7</v>
      </c>
      <c r="C471" s="8">
        <f>[1]Data!C471</f>
        <v>0</v>
      </c>
      <c r="D471" s="8">
        <f>[1]Data!D471</f>
        <v>4</v>
      </c>
      <c r="E471" s="8" t="str">
        <f>[1]Data!E471</f>
        <v>INDIV</v>
      </c>
      <c r="F471" s="8" t="str">
        <f>[1]Data!F471</f>
        <v>Unincorporated East Whittier</v>
      </c>
      <c r="G471" s="8">
        <f>[1]Data!G471</f>
        <v>0</v>
      </c>
      <c r="H471" s="8">
        <f>[1]Data!H471</f>
        <v>0</v>
      </c>
      <c r="I471" s="8">
        <f>[1]Data!I471</f>
        <v>17.797000000000001</v>
      </c>
      <c r="J471" s="8">
        <f>[1]Data!J471</f>
        <v>9.6032194200000003</v>
      </c>
      <c r="K471" s="8">
        <f>[1]Data!K471</f>
        <v>17.603219419999999</v>
      </c>
      <c r="L471" s="8">
        <f>[1]Data!L471</f>
        <v>0.19367388971274699</v>
      </c>
      <c r="M471" s="8">
        <f>[1]Data!M471</f>
        <v>17.796893309712701</v>
      </c>
      <c r="N471" s="8">
        <f>[1]Data!N471</f>
        <v>9.0909090909090898E-2</v>
      </c>
      <c r="O471" s="8">
        <f>[1]Data!O471</f>
        <v>0</v>
      </c>
      <c r="P471" s="8">
        <f>[1]Data!P471</f>
        <v>1</v>
      </c>
      <c r="Q471" s="8">
        <f>[1]Data!Q471</f>
        <v>0</v>
      </c>
      <c r="R471" s="8">
        <f>[1]Data!R471</f>
        <v>0</v>
      </c>
      <c r="S471" s="8">
        <f>[1]Data!S471</f>
        <v>0</v>
      </c>
      <c r="T471">
        <f t="shared" si="35"/>
        <v>9.0909090909090898E-2</v>
      </c>
      <c r="U471">
        <f t="shared" si="36"/>
        <v>0</v>
      </c>
      <c r="V471" s="4" t="str">
        <f t="shared" si="37"/>
        <v>0</v>
      </c>
      <c r="W471" s="4" t="str">
        <f t="shared" si="38"/>
        <v>7</v>
      </c>
      <c r="X471" s="4" t="str">
        <f t="shared" si="39"/>
        <v>0INDIV7</v>
      </c>
      <c r="Y471">
        <f>VLOOKUP(X471,Sheet1!$J$5:$K$121,2,FALSE)</f>
        <v>0</v>
      </c>
    </row>
    <row r="472" spans="1:25" x14ac:dyDescent="0.25">
      <c r="A472" s="8">
        <f>[1]Data!A472</f>
        <v>503301</v>
      </c>
      <c r="B472" s="8">
        <f>[1]Data!B472</f>
        <v>7</v>
      </c>
      <c r="C472" s="8">
        <f>[1]Data!C472</f>
        <v>0</v>
      </c>
      <c r="D472" s="8">
        <f>[1]Data!D472</f>
        <v>4</v>
      </c>
      <c r="E472" s="8" t="str">
        <f>[1]Data!E472</f>
        <v>INDIV</v>
      </c>
      <c r="F472" s="8" t="str">
        <f>[1]Data!F472</f>
        <v>Whittier</v>
      </c>
      <c r="G472" s="8">
        <f>[1]Data!G472</f>
        <v>0</v>
      </c>
      <c r="H472" s="8">
        <f>[1]Data!H472</f>
        <v>0</v>
      </c>
      <c r="I472" s="8">
        <f>[1]Data!I472</f>
        <v>5.6859999999999999</v>
      </c>
      <c r="J472" s="8">
        <f>[1]Data!J472</f>
        <v>3.4228962300000001</v>
      </c>
      <c r="K472" s="8">
        <f>[1]Data!K472</f>
        <v>5.4228962300000001</v>
      </c>
      <c r="L472" s="8">
        <f>[1]Data!L472</f>
        <v>0.26262460752244199</v>
      </c>
      <c r="M472" s="8">
        <f>[1]Data!M472</f>
        <v>5.6855208375224402</v>
      </c>
      <c r="N472" s="8">
        <f>[1]Data!N472</f>
        <v>9.0909090909090898E-2</v>
      </c>
      <c r="O472" s="8">
        <f>[1]Data!O472</f>
        <v>0</v>
      </c>
      <c r="P472" s="8">
        <f>[1]Data!P472</f>
        <v>1</v>
      </c>
      <c r="Q472" s="8">
        <f>[1]Data!Q472</f>
        <v>0</v>
      </c>
      <c r="R472" s="8">
        <f>[1]Data!R472</f>
        <v>0</v>
      </c>
      <c r="S472" s="8">
        <f>[1]Data!S472</f>
        <v>0</v>
      </c>
      <c r="T472">
        <f t="shared" si="35"/>
        <v>9.0909090909090898E-2</v>
      </c>
      <c r="U472">
        <f t="shared" si="36"/>
        <v>0</v>
      </c>
      <c r="V472" s="4" t="str">
        <f t="shared" si="37"/>
        <v>0</v>
      </c>
      <c r="W472" s="4" t="str">
        <f t="shared" si="38"/>
        <v>7</v>
      </c>
      <c r="X472" s="4" t="str">
        <f t="shared" si="39"/>
        <v>0INDIV7</v>
      </c>
      <c r="Y472">
        <f>VLOOKUP(X472,Sheet1!$J$5:$K$121,2,FALSE)</f>
        <v>0</v>
      </c>
    </row>
    <row r="473" spans="1:25" x14ac:dyDescent="0.25">
      <c r="A473" s="8">
        <f>[1]Data!A473</f>
        <v>551700</v>
      </c>
      <c r="B473" s="8">
        <f>[1]Data!B473</f>
        <v>7</v>
      </c>
      <c r="C473" s="8">
        <f>[1]Data!C473</f>
        <v>0</v>
      </c>
      <c r="D473" s="8">
        <f>[1]Data!D473</f>
        <v>4</v>
      </c>
      <c r="E473" s="8" t="str">
        <f>[1]Data!E473</f>
        <v>INDIV</v>
      </c>
      <c r="F473" s="8" t="str">
        <f>[1]Data!F473</f>
        <v>Downey</v>
      </c>
      <c r="G473" s="8">
        <f>[1]Data!G473</f>
        <v>0</v>
      </c>
      <c r="H473" s="8">
        <f>[1]Data!H473</f>
        <v>0</v>
      </c>
      <c r="I473" s="8">
        <f>[1]Data!I473</f>
        <v>0</v>
      </c>
      <c r="J473" s="8">
        <f>[1]Data!J473</f>
        <v>0</v>
      </c>
      <c r="K473" s="8">
        <f>[1]Data!K473</f>
        <v>0</v>
      </c>
      <c r="L473" s="8">
        <f>[1]Data!L473</f>
        <v>0</v>
      </c>
      <c r="M473" s="8">
        <f>[1]Data!M473</f>
        <v>0</v>
      </c>
      <c r="N473" s="8">
        <f>[1]Data!N473</f>
        <v>9.0909090909090898E-2</v>
      </c>
      <c r="O473" s="8">
        <f>[1]Data!O473</f>
        <v>0</v>
      </c>
      <c r="P473" s="8">
        <f>[1]Data!P473</f>
        <v>1</v>
      </c>
      <c r="Q473" s="8">
        <f>[1]Data!Q473</f>
        <v>0</v>
      </c>
      <c r="R473" s="8">
        <f>[1]Data!R473</f>
        <v>0</v>
      </c>
      <c r="S473" s="8">
        <f>[1]Data!S473</f>
        <v>0</v>
      </c>
      <c r="T473">
        <f t="shared" si="35"/>
        <v>9.0909090909090898E-2</v>
      </c>
      <c r="U473">
        <f t="shared" si="36"/>
        <v>0</v>
      </c>
      <c r="V473" s="4" t="str">
        <f t="shared" si="37"/>
        <v>0</v>
      </c>
      <c r="W473" s="4" t="str">
        <f t="shared" si="38"/>
        <v>7</v>
      </c>
      <c r="X473" s="4" t="str">
        <f t="shared" si="39"/>
        <v>0INDIV7</v>
      </c>
      <c r="Y473">
        <f>VLOOKUP(X473,Sheet1!$J$5:$K$121,2,FALSE)</f>
        <v>0</v>
      </c>
    </row>
    <row r="474" spans="1:25" x14ac:dyDescent="0.25">
      <c r="A474" s="8">
        <f>[1]Data!A474</f>
        <v>503501</v>
      </c>
      <c r="B474" s="8">
        <f>[1]Data!B474</f>
        <v>7</v>
      </c>
      <c r="C474" s="8">
        <f>[1]Data!C474</f>
        <v>0</v>
      </c>
      <c r="D474" s="8">
        <f>[1]Data!D474</f>
        <v>4</v>
      </c>
      <c r="E474" s="8" t="str">
        <f>[1]Data!E474</f>
        <v>INDIV</v>
      </c>
      <c r="F474" s="8" t="str">
        <f>[1]Data!F474</f>
        <v>South Whittier</v>
      </c>
      <c r="G474" s="8">
        <f>[1]Data!G474</f>
        <v>0</v>
      </c>
      <c r="H474" s="8">
        <f>[1]Data!H474</f>
        <v>0</v>
      </c>
      <c r="I474" s="8">
        <f>[1]Data!I474</f>
        <v>9.19</v>
      </c>
      <c r="J474" s="8">
        <f>[1]Data!J474</f>
        <v>3.9673993200000002</v>
      </c>
      <c r="K474" s="8">
        <f>[1]Data!K474</f>
        <v>8.9673993200000002</v>
      </c>
      <c r="L474" s="8">
        <f>[1]Data!L474</f>
        <v>0.22234520276481101</v>
      </c>
      <c r="M474" s="8">
        <f>[1]Data!M474</f>
        <v>9.1897445227648102</v>
      </c>
      <c r="N474" s="8">
        <f>[1]Data!N474</f>
        <v>9.0909090909090898E-2</v>
      </c>
      <c r="O474" s="8">
        <f>[1]Data!O474</f>
        <v>0</v>
      </c>
      <c r="P474" s="8">
        <f>[1]Data!P474</f>
        <v>1</v>
      </c>
      <c r="Q474" s="8">
        <f>[1]Data!Q474</f>
        <v>0</v>
      </c>
      <c r="R474" s="8">
        <f>[1]Data!R474</f>
        <v>0</v>
      </c>
      <c r="S474" s="8">
        <f>[1]Data!S474</f>
        <v>0</v>
      </c>
      <c r="T474">
        <f t="shared" si="35"/>
        <v>9.0909090909090898E-2</v>
      </c>
      <c r="U474">
        <f t="shared" si="36"/>
        <v>0</v>
      </c>
      <c r="V474" s="4" t="str">
        <f t="shared" si="37"/>
        <v>0</v>
      </c>
      <c r="W474" s="4" t="str">
        <f t="shared" si="38"/>
        <v>7</v>
      </c>
      <c r="X474" s="4" t="str">
        <f t="shared" si="39"/>
        <v>0INDIV7</v>
      </c>
      <c r="Y474">
        <f>VLOOKUP(X474,Sheet1!$J$5:$K$121,2,FALSE)</f>
        <v>0</v>
      </c>
    </row>
    <row r="475" spans="1:25" x14ac:dyDescent="0.25">
      <c r="A475" s="8">
        <f>[1]Data!A475</f>
        <v>503000</v>
      </c>
      <c r="B475" s="8">
        <f>[1]Data!B475</f>
        <v>7</v>
      </c>
      <c r="C475" s="8">
        <f>[1]Data!C475</f>
        <v>0</v>
      </c>
      <c r="D475" s="8">
        <f>[1]Data!D475</f>
        <v>4</v>
      </c>
      <c r="E475" s="8" t="str">
        <f>[1]Data!E475</f>
        <v>INDIV</v>
      </c>
      <c r="F475" s="8" t="str">
        <f>[1]Data!F475</f>
        <v>South Whittier</v>
      </c>
      <c r="G475" s="8">
        <f>[1]Data!G475</f>
        <v>0</v>
      </c>
      <c r="H475" s="8">
        <f>[1]Data!H475</f>
        <v>0</v>
      </c>
      <c r="I475" s="8">
        <f>[1]Data!I475</f>
        <v>12.875999999999999</v>
      </c>
      <c r="J475" s="8">
        <f>[1]Data!J475</f>
        <v>7.3902955500000003</v>
      </c>
      <c r="K475" s="8">
        <f>[1]Data!K475</f>
        <v>12.390295549999999</v>
      </c>
      <c r="L475" s="8">
        <f>[1]Data!L475</f>
        <v>0.484969810287253</v>
      </c>
      <c r="M475" s="8">
        <f>[1]Data!M475</f>
        <v>12.875265360287299</v>
      </c>
      <c r="N475" s="8">
        <f>[1]Data!N475</f>
        <v>9.0909090909090898E-2</v>
      </c>
      <c r="O475" s="8">
        <f>[1]Data!O475</f>
        <v>0</v>
      </c>
      <c r="P475" s="8">
        <f>[1]Data!P475</f>
        <v>1</v>
      </c>
      <c r="Q475" s="8">
        <f>[1]Data!Q475</f>
        <v>0</v>
      </c>
      <c r="R475" s="8">
        <f>[1]Data!R475</f>
        <v>0</v>
      </c>
      <c r="S475" s="8">
        <f>[1]Data!S475</f>
        <v>0</v>
      </c>
      <c r="T475">
        <f t="shared" si="35"/>
        <v>9.0909090909090898E-2</v>
      </c>
      <c r="U475">
        <f t="shared" si="36"/>
        <v>0</v>
      </c>
      <c r="V475" s="4" t="str">
        <f t="shared" si="37"/>
        <v>0</v>
      </c>
      <c r="W475" s="4" t="str">
        <f t="shared" si="38"/>
        <v>7</v>
      </c>
      <c r="X475" s="4" t="str">
        <f t="shared" si="39"/>
        <v>0INDIV7</v>
      </c>
      <c r="Y475">
        <f>VLOOKUP(X475,Sheet1!$J$5:$K$121,2,FALSE)</f>
        <v>0</v>
      </c>
    </row>
    <row r="476" spans="1:25" x14ac:dyDescent="0.25">
      <c r="A476" s="8">
        <f>[1]Data!A476</f>
        <v>552400</v>
      </c>
      <c r="B476" s="8">
        <f>[1]Data!B476</f>
        <v>7</v>
      </c>
      <c r="C476" s="8">
        <f>[1]Data!C476</f>
        <v>0</v>
      </c>
      <c r="D476" s="8">
        <f>[1]Data!D476</f>
        <v>4</v>
      </c>
      <c r="E476" s="8" t="str">
        <f>[1]Data!E476</f>
        <v>INDIV</v>
      </c>
      <c r="F476" s="8" t="str">
        <f>[1]Data!F476</f>
        <v>Norwalk</v>
      </c>
      <c r="G476" s="8">
        <f>[1]Data!G476</f>
        <v>0</v>
      </c>
      <c r="H476" s="8">
        <f>[1]Data!H476</f>
        <v>0</v>
      </c>
      <c r="I476" s="8">
        <f>[1]Data!I476</f>
        <v>10.048</v>
      </c>
      <c r="J476" s="8">
        <f>[1]Data!J476</f>
        <v>9.1796825099999992</v>
      </c>
      <c r="K476" s="8">
        <f>[1]Data!K476</f>
        <v>9.1796825099999992</v>
      </c>
      <c r="L476" s="8">
        <f>[1]Data!L476</f>
        <v>0.86843263208258503</v>
      </c>
      <c r="M476" s="8">
        <f>[1]Data!M476</f>
        <v>10.048115142082599</v>
      </c>
      <c r="N476" s="8">
        <f>[1]Data!N476</f>
        <v>9.0909090909090898E-2</v>
      </c>
      <c r="O476" s="8">
        <f>[1]Data!O476</f>
        <v>0</v>
      </c>
      <c r="P476" s="8">
        <f>[1]Data!P476</f>
        <v>1</v>
      </c>
      <c r="Q476" s="8">
        <f>[1]Data!Q476</f>
        <v>0</v>
      </c>
      <c r="R476" s="8">
        <f>[1]Data!R476</f>
        <v>0</v>
      </c>
      <c r="S476" s="8">
        <f>[1]Data!S476</f>
        <v>0</v>
      </c>
      <c r="T476">
        <f t="shared" si="35"/>
        <v>9.0909090909090898E-2</v>
      </c>
      <c r="U476">
        <f t="shared" si="36"/>
        <v>0</v>
      </c>
      <c r="V476" s="4" t="str">
        <f t="shared" si="37"/>
        <v>0</v>
      </c>
      <c r="W476" s="4" t="str">
        <f t="shared" si="38"/>
        <v>7</v>
      </c>
      <c r="X476" s="4" t="str">
        <f t="shared" si="39"/>
        <v>0INDIV7</v>
      </c>
      <c r="Y476">
        <f>VLOOKUP(X476,Sheet1!$J$5:$K$121,2,FALSE)</f>
        <v>0</v>
      </c>
    </row>
    <row r="477" spans="1:25" x14ac:dyDescent="0.25">
      <c r="A477" s="8">
        <f>[1]Data!A477</f>
        <v>552602</v>
      </c>
      <c r="B477" s="8">
        <f>[1]Data!B477</f>
        <v>7</v>
      </c>
      <c r="C477" s="8">
        <f>[1]Data!C477</f>
        <v>0</v>
      </c>
      <c r="D477" s="8">
        <f>[1]Data!D477</f>
        <v>4</v>
      </c>
      <c r="E477" s="8" t="str">
        <f>[1]Data!E477</f>
        <v>INDIV</v>
      </c>
      <c r="F477" s="8" t="str">
        <f>[1]Data!F477</f>
        <v>Norwalk</v>
      </c>
      <c r="G477" s="8">
        <f>[1]Data!G477</f>
        <v>0</v>
      </c>
      <c r="H477" s="8">
        <f>[1]Data!H477</f>
        <v>0</v>
      </c>
      <c r="I477" s="8">
        <f>[1]Data!I477</f>
        <v>0</v>
      </c>
      <c r="J477" s="8">
        <f>[1]Data!J477</f>
        <v>0</v>
      </c>
      <c r="K477" s="8">
        <f>[1]Data!K477</f>
        <v>0</v>
      </c>
      <c r="L477" s="8">
        <f>[1]Data!L477</f>
        <v>0</v>
      </c>
      <c r="M477" s="8">
        <f>[1]Data!M477</f>
        <v>0</v>
      </c>
      <c r="N477" s="8">
        <f>[1]Data!N477</f>
        <v>9.0909090909090898E-2</v>
      </c>
      <c r="O477" s="8">
        <f>[1]Data!O477</f>
        <v>0</v>
      </c>
      <c r="P477" s="8">
        <f>[1]Data!P477</f>
        <v>1</v>
      </c>
      <c r="Q477" s="8">
        <f>[1]Data!Q477</f>
        <v>0</v>
      </c>
      <c r="R477" s="8">
        <f>[1]Data!R477</f>
        <v>0</v>
      </c>
      <c r="S477" s="8">
        <f>[1]Data!S477</f>
        <v>0</v>
      </c>
      <c r="T477">
        <f t="shared" si="35"/>
        <v>9.0909090909090898E-2</v>
      </c>
      <c r="U477">
        <f t="shared" si="36"/>
        <v>0</v>
      </c>
      <c r="V477" s="4" t="str">
        <f t="shared" si="37"/>
        <v>0</v>
      </c>
      <c r="W477" s="4" t="str">
        <f t="shared" si="38"/>
        <v>7</v>
      </c>
      <c r="X477" s="4" t="str">
        <f t="shared" si="39"/>
        <v>0INDIV7</v>
      </c>
      <c r="Y477">
        <f>VLOOKUP(X477,Sheet1!$J$5:$K$121,2,FALSE)</f>
        <v>0</v>
      </c>
    </row>
    <row r="478" spans="1:25" x14ac:dyDescent="0.25">
      <c r="A478" s="8">
        <f>[1]Data!A478</f>
        <v>552900</v>
      </c>
      <c r="B478" s="8">
        <f>[1]Data!B478</f>
        <v>7</v>
      </c>
      <c r="C478" s="8">
        <f>[1]Data!C478</f>
        <v>0</v>
      </c>
      <c r="D478" s="8">
        <f>[1]Data!D478</f>
        <v>4</v>
      </c>
      <c r="E478" s="8" t="str">
        <f>[1]Data!E478</f>
        <v>INDIV</v>
      </c>
      <c r="F478" s="8" t="str">
        <f>[1]Data!F478</f>
        <v>Norwalk</v>
      </c>
      <c r="G478" s="8">
        <f>[1]Data!G478</f>
        <v>0</v>
      </c>
      <c r="H478" s="8">
        <f>[1]Data!H478</f>
        <v>0</v>
      </c>
      <c r="I478" s="8">
        <f>[1]Data!I478</f>
        <v>0</v>
      </c>
      <c r="J478" s="8">
        <f>[1]Data!J478</f>
        <v>0</v>
      </c>
      <c r="K478" s="8">
        <f>[1]Data!K478</f>
        <v>0</v>
      </c>
      <c r="L478" s="8">
        <f>[1]Data!L478</f>
        <v>0</v>
      </c>
      <c r="M478" s="8">
        <f>[1]Data!M478</f>
        <v>0</v>
      </c>
      <c r="N478" s="8">
        <f>[1]Data!N478</f>
        <v>9.0909090909090898E-2</v>
      </c>
      <c r="O478" s="8">
        <f>[1]Data!O478</f>
        <v>0</v>
      </c>
      <c r="P478" s="8">
        <f>[1]Data!P478</f>
        <v>1</v>
      </c>
      <c r="Q478" s="8">
        <f>[1]Data!Q478</f>
        <v>0</v>
      </c>
      <c r="R478" s="8">
        <f>[1]Data!R478</f>
        <v>0</v>
      </c>
      <c r="S478" s="8">
        <f>[1]Data!S478</f>
        <v>0</v>
      </c>
      <c r="T478">
        <f t="shared" si="35"/>
        <v>9.0909090909090898E-2</v>
      </c>
      <c r="U478">
        <f t="shared" si="36"/>
        <v>0</v>
      </c>
      <c r="V478" s="4" t="str">
        <f t="shared" si="37"/>
        <v>0</v>
      </c>
      <c r="W478" s="4" t="str">
        <f t="shared" si="38"/>
        <v>7</v>
      </c>
      <c r="X478" s="4" t="str">
        <f t="shared" si="39"/>
        <v>0INDIV7</v>
      </c>
      <c r="Y478">
        <f>VLOOKUP(X478,Sheet1!$J$5:$K$121,2,FALSE)</f>
        <v>0</v>
      </c>
    </row>
    <row r="479" spans="1:25" x14ac:dyDescent="0.25">
      <c r="A479" s="8">
        <f>[1]Data!A479</f>
        <v>554103</v>
      </c>
      <c r="B479" s="8">
        <f>[1]Data!B479</f>
        <v>7</v>
      </c>
      <c r="C479" s="8">
        <f>[1]Data!C479</f>
        <v>0</v>
      </c>
      <c r="D479" s="8">
        <f>[1]Data!D479</f>
        <v>4</v>
      </c>
      <c r="E479" s="8" t="str">
        <f>[1]Data!E479</f>
        <v>INDIV</v>
      </c>
      <c r="F479" s="8" t="str">
        <f>[1]Data!F479</f>
        <v>Bellflower</v>
      </c>
      <c r="G479" s="8">
        <f>[1]Data!G479</f>
        <v>0</v>
      </c>
      <c r="H479" s="8">
        <f>[1]Data!H479</f>
        <v>0</v>
      </c>
      <c r="I479" s="8">
        <f>[1]Data!I479</f>
        <v>0</v>
      </c>
      <c r="J479" s="8">
        <f>[1]Data!J479</f>
        <v>0</v>
      </c>
      <c r="K479" s="8">
        <f>[1]Data!K479</f>
        <v>0</v>
      </c>
      <c r="L479" s="8">
        <f>[1]Data!L479</f>
        <v>0</v>
      </c>
      <c r="M479" s="8">
        <f>[1]Data!M479</f>
        <v>0</v>
      </c>
      <c r="N479" s="8">
        <f>[1]Data!N479</f>
        <v>9.0909090909090898E-2</v>
      </c>
      <c r="O479" s="8">
        <f>[1]Data!O479</f>
        <v>0</v>
      </c>
      <c r="P479" s="8">
        <f>[1]Data!P479</f>
        <v>1</v>
      </c>
      <c r="Q479" s="8">
        <f>[1]Data!Q479</f>
        <v>0</v>
      </c>
      <c r="R479" s="8">
        <f>[1]Data!R479</f>
        <v>0</v>
      </c>
      <c r="S479" s="8">
        <f>[1]Data!S479</f>
        <v>0</v>
      </c>
      <c r="T479">
        <f t="shared" si="35"/>
        <v>9.0909090909090898E-2</v>
      </c>
      <c r="U479">
        <f t="shared" si="36"/>
        <v>0</v>
      </c>
      <c r="V479" s="4" t="str">
        <f t="shared" si="37"/>
        <v>0</v>
      </c>
      <c r="W479" s="4" t="str">
        <f t="shared" si="38"/>
        <v>7</v>
      </c>
      <c r="X479" s="4" t="str">
        <f t="shared" si="39"/>
        <v>0INDIV7</v>
      </c>
      <c r="Y479">
        <f>VLOOKUP(X479,Sheet1!$J$5:$K$121,2,FALSE)</f>
        <v>0</v>
      </c>
    </row>
    <row r="480" spans="1:25" x14ac:dyDescent="0.25">
      <c r="A480" s="8">
        <f>[1]Data!A480</f>
        <v>554301</v>
      </c>
      <c r="B480" s="8">
        <f>[1]Data!B480</f>
        <v>7</v>
      </c>
      <c r="C480" s="8">
        <f>[1]Data!C480</f>
        <v>0</v>
      </c>
      <c r="D480" s="8">
        <f>[1]Data!D480</f>
        <v>4</v>
      </c>
      <c r="E480" s="8" t="str">
        <f>[1]Data!E480</f>
        <v>INDIV</v>
      </c>
      <c r="F480" s="8" t="str">
        <f>[1]Data!F480</f>
        <v>Bellflower</v>
      </c>
      <c r="G480" s="8">
        <f>[1]Data!G480</f>
        <v>0</v>
      </c>
      <c r="H480" s="8">
        <f>[1]Data!H480</f>
        <v>0</v>
      </c>
      <c r="I480" s="8">
        <f>[1]Data!I480</f>
        <v>0</v>
      </c>
      <c r="J480" s="8">
        <f>[1]Data!J480</f>
        <v>0</v>
      </c>
      <c r="K480" s="8">
        <f>[1]Data!K480</f>
        <v>0</v>
      </c>
      <c r="L480" s="8">
        <f>[1]Data!L480</f>
        <v>0</v>
      </c>
      <c r="M480" s="8">
        <f>[1]Data!M480</f>
        <v>0</v>
      </c>
      <c r="N480" s="8">
        <f>[1]Data!N480</f>
        <v>9.0909090909090898E-2</v>
      </c>
      <c r="O480" s="8">
        <f>[1]Data!O480</f>
        <v>0</v>
      </c>
      <c r="P480" s="8">
        <f>[1]Data!P480</f>
        <v>1</v>
      </c>
      <c r="Q480" s="8">
        <f>[1]Data!Q480</f>
        <v>0</v>
      </c>
      <c r="R480" s="8">
        <f>[1]Data!R480</f>
        <v>0</v>
      </c>
      <c r="S480" s="8">
        <f>[1]Data!S480</f>
        <v>0</v>
      </c>
      <c r="T480">
        <f t="shared" si="35"/>
        <v>9.0909090909090898E-2</v>
      </c>
      <c r="U480">
        <f t="shared" si="36"/>
        <v>0</v>
      </c>
      <c r="V480" s="4" t="str">
        <f t="shared" si="37"/>
        <v>0</v>
      </c>
      <c r="W480" s="4" t="str">
        <f t="shared" si="38"/>
        <v>7</v>
      </c>
      <c r="X480" s="4" t="str">
        <f t="shared" si="39"/>
        <v>0INDIV7</v>
      </c>
      <c r="Y480">
        <f>VLOOKUP(X480,Sheet1!$J$5:$K$121,2,FALSE)</f>
        <v>0</v>
      </c>
    </row>
    <row r="481" spans="1:25" x14ac:dyDescent="0.25">
      <c r="A481" s="8">
        <f>[1]Data!A481</f>
        <v>554404</v>
      </c>
      <c r="B481" s="8">
        <f>[1]Data!B481</f>
        <v>7</v>
      </c>
      <c r="C481" s="8">
        <f>[1]Data!C481</f>
        <v>0</v>
      </c>
      <c r="D481" s="8">
        <f>[1]Data!D481</f>
        <v>4</v>
      </c>
      <c r="E481" s="8" t="str">
        <f>[1]Data!E481</f>
        <v>INDIV</v>
      </c>
      <c r="F481" s="8" t="str">
        <f>[1]Data!F481</f>
        <v>Bellflower</v>
      </c>
      <c r="G481" s="8">
        <f>[1]Data!G481</f>
        <v>0</v>
      </c>
      <c r="H481" s="8">
        <f>[1]Data!H481</f>
        <v>0</v>
      </c>
      <c r="I481" s="8">
        <f>[1]Data!I481</f>
        <v>1.8080000000000001</v>
      </c>
      <c r="J481" s="8">
        <f>[1]Data!J481</f>
        <v>1.73313217</v>
      </c>
      <c r="K481" s="8">
        <f>[1]Data!K481</f>
        <v>1.73313217</v>
      </c>
      <c r="L481" s="8">
        <f>[1]Data!L481</f>
        <v>7.4985510287253102E-2</v>
      </c>
      <c r="M481" s="8">
        <f>[1]Data!M481</f>
        <v>1.8081176802872501</v>
      </c>
      <c r="N481" s="8">
        <f>[1]Data!N481</f>
        <v>9.0909090909090898E-2</v>
      </c>
      <c r="O481" s="8">
        <f>[1]Data!O481</f>
        <v>0</v>
      </c>
      <c r="P481" s="8">
        <f>[1]Data!P481</f>
        <v>1</v>
      </c>
      <c r="Q481" s="8">
        <f>[1]Data!Q481</f>
        <v>0</v>
      </c>
      <c r="R481" s="8">
        <f>[1]Data!R481</f>
        <v>0</v>
      </c>
      <c r="S481" s="8">
        <f>[1]Data!S481</f>
        <v>0</v>
      </c>
      <c r="T481">
        <f t="shared" si="35"/>
        <v>9.0909090909090898E-2</v>
      </c>
      <c r="U481">
        <f t="shared" si="36"/>
        <v>0</v>
      </c>
      <c r="V481" s="4" t="str">
        <f t="shared" si="37"/>
        <v>0</v>
      </c>
      <c r="W481" s="4" t="str">
        <f t="shared" si="38"/>
        <v>7</v>
      </c>
      <c r="X481" s="4" t="str">
        <f t="shared" si="39"/>
        <v>0INDIV7</v>
      </c>
      <c r="Y481">
        <f>VLOOKUP(X481,Sheet1!$J$5:$K$121,2,FALSE)</f>
        <v>0</v>
      </c>
    </row>
    <row r="482" spans="1:25" x14ac:dyDescent="0.25">
      <c r="A482" s="8">
        <f>[1]Data!A482</f>
        <v>554801</v>
      </c>
      <c r="B482" s="8">
        <f>[1]Data!B482</f>
        <v>7</v>
      </c>
      <c r="C482" s="8">
        <f>[1]Data!C482</f>
        <v>0</v>
      </c>
      <c r="D482" s="8">
        <f>[1]Data!D482</f>
        <v>4</v>
      </c>
      <c r="E482" s="8" t="str">
        <f>[1]Data!E482</f>
        <v>INDIV</v>
      </c>
      <c r="F482" s="8" t="str">
        <f>[1]Data!F482</f>
        <v>Artesia</v>
      </c>
      <c r="G482" s="8">
        <f>[1]Data!G482</f>
        <v>0</v>
      </c>
      <c r="H482" s="8">
        <f>[1]Data!H482</f>
        <v>0</v>
      </c>
      <c r="I482" s="8">
        <f>[1]Data!I482</f>
        <v>1.9259999999999999</v>
      </c>
      <c r="J482" s="8">
        <f>[1]Data!J482</f>
        <v>1.90487994</v>
      </c>
      <c r="K482" s="8">
        <f>[1]Data!K482</f>
        <v>1.90487994</v>
      </c>
      <c r="L482" s="8">
        <f>[1]Data!L482</f>
        <v>2.0625322082585301E-2</v>
      </c>
      <c r="M482" s="8">
        <f>[1]Data!M482</f>
        <v>1.9255052620825901</v>
      </c>
      <c r="N482" s="8">
        <f>[1]Data!N482</f>
        <v>9.0909090909090898E-2</v>
      </c>
      <c r="O482" s="8">
        <f>[1]Data!O482</f>
        <v>0</v>
      </c>
      <c r="P482" s="8">
        <f>[1]Data!P482</f>
        <v>1</v>
      </c>
      <c r="Q482" s="8">
        <f>[1]Data!Q482</f>
        <v>0</v>
      </c>
      <c r="R482" s="8">
        <f>[1]Data!R482</f>
        <v>0</v>
      </c>
      <c r="S482" s="8">
        <f>[1]Data!S482</f>
        <v>0</v>
      </c>
      <c r="T482">
        <f t="shared" si="35"/>
        <v>9.0909090909090898E-2</v>
      </c>
      <c r="U482">
        <f t="shared" si="36"/>
        <v>0</v>
      </c>
      <c r="V482" s="4" t="str">
        <f t="shared" si="37"/>
        <v>0</v>
      </c>
      <c r="W482" s="4" t="str">
        <f t="shared" si="38"/>
        <v>7</v>
      </c>
      <c r="X482" s="4" t="str">
        <f t="shared" si="39"/>
        <v>0INDIV7</v>
      </c>
      <c r="Y482">
        <f>VLOOKUP(X482,Sheet1!$J$5:$K$121,2,FALSE)</f>
        <v>0</v>
      </c>
    </row>
    <row r="483" spans="1:25" x14ac:dyDescent="0.25">
      <c r="A483" s="8">
        <f>[1]Data!A483</f>
        <v>554900</v>
      </c>
      <c r="B483" s="8">
        <f>[1]Data!B483</f>
        <v>7</v>
      </c>
      <c r="C483" s="8">
        <f>[1]Data!C483</f>
        <v>0</v>
      </c>
      <c r="D483" s="8">
        <f>[1]Data!D483</f>
        <v>4</v>
      </c>
      <c r="E483" s="8" t="str">
        <f>[1]Data!E483</f>
        <v>INDIV</v>
      </c>
      <c r="F483" s="8" t="str">
        <f>[1]Data!F483</f>
        <v>Artesia</v>
      </c>
      <c r="G483" s="8">
        <f>[1]Data!G483</f>
        <v>0</v>
      </c>
      <c r="H483" s="8">
        <f>[1]Data!H483</f>
        <v>0</v>
      </c>
      <c r="I483" s="8">
        <f>[1]Data!I483</f>
        <v>5.8079999999999998</v>
      </c>
      <c r="J483" s="8">
        <f>[1]Data!J483</f>
        <v>1.73313217</v>
      </c>
      <c r="K483" s="8">
        <f>[1]Data!K483</f>
        <v>5.7331321700000002</v>
      </c>
      <c r="L483" s="8">
        <f>[1]Data!L483</f>
        <v>7.4985510287253102E-2</v>
      </c>
      <c r="M483" s="8">
        <f>[1]Data!M483</f>
        <v>5.8081176802872498</v>
      </c>
      <c r="N483" s="8">
        <f>[1]Data!N483</f>
        <v>9.0909090909090898E-2</v>
      </c>
      <c r="O483" s="8">
        <f>[1]Data!O483</f>
        <v>0</v>
      </c>
      <c r="P483" s="8">
        <f>[1]Data!P483</f>
        <v>1</v>
      </c>
      <c r="Q483" s="8">
        <f>[1]Data!Q483</f>
        <v>0</v>
      </c>
      <c r="R483" s="8">
        <f>[1]Data!R483</f>
        <v>0</v>
      </c>
      <c r="S483" s="8">
        <f>[1]Data!S483</f>
        <v>0</v>
      </c>
      <c r="T483">
        <f t="shared" si="35"/>
        <v>9.0909090909090898E-2</v>
      </c>
      <c r="U483">
        <f t="shared" si="36"/>
        <v>0</v>
      </c>
      <c r="V483" s="4" t="str">
        <f t="shared" si="37"/>
        <v>0</v>
      </c>
      <c r="W483" s="4" t="str">
        <f t="shared" si="38"/>
        <v>7</v>
      </c>
      <c r="X483" s="4" t="str">
        <f t="shared" si="39"/>
        <v>0INDIV7</v>
      </c>
      <c r="Y483">
        <f>VLOOKUP(X483,Sheet1!$J$5:$K$121,2,FALSE)</f>
        <v>0</v>
      </c>
    </row>
    <row r="484" spans="1:25" x14ac:dyDescent="0.25">
      <c r="A484" s="8">
        <f>[1]Data!A484</f>
        <v>555211</v>
      </c>
      <c r="B484" s="8">
        <f>[1]Data!B484</f>
        <v>7</v>
      </c>
      <c r="C484" s="8">
        <f>[1]Data!C484</f>
        <v>0</v>
      </c>
      <c r="D484" s="8">
        <f>[1]Data!D484</f>
        <v>4</v>
      </c>
      <c r="E484" s="8" t="str">
        <f>[1]Data!E484</f>
        <v>INDIV</v>
      </c>
      <c r="F484" s="8" t="str">
        <f>[1]Data!F484</f>
        <v>Hawaiian Gardens</v>
      </c>
      <c r="G484" s="8">
        <f>[1]Data!G484</f>
        <v>0</v>
      </c>
      <c r="H484" s="8">
        <f>[1]Data!H484</f>
        <v>0</v>
      </c>
      <c r="I484" s="8">
        <f>[1]Data!I484</f>
        <v>14.327</v>
      </c>
      <c r="J484" s="8">
        <f>[1]Data!J484</f>
        <v>8.91622834</v>
      </c>
      <c r="K484" s="8">
        <f>[1]Data!K484</f>
        <v>13.91622834</v>
      </c>
      <c r="L484" s="8">
        <f>[1]Data!L484</f>
        <v>0.411114642531418</v>
      </c>
      <c r="M484" s="8">
        <f>[1]Data!M484</f>
        <v>14.3273429825314</v>
      </c>
      <c r="N484" s="8">
        <f>[1]Data!N484</f>
        <v>9.0909090909090898E-2</v>
      </c>
      <c r="O484" s="8">
        <f>[1]Data!O484</f>
        <v>0</v>
      </c>
      <c r="P484" s="8">
        <f>[1]Data!P484</f>
        <v>1</v>
      </c>
      <c r="Q484" s="8">
        <f>[1]Data!Q484</f>
        <v>0</v>
      </c>
      <c r="R484" s="8">
        <f>[1]Data!R484</f>
        <v>0</v>
      </c>
      <c r="S484" s="8">
        <f>[1]Data!S484</f>
        <v>0</v>
      </c>
      <c r="T484">
        <f t="shared" si="35"/>
        <v>9.0909090909090898E-2</v>
      </c>
      <c r="U484">
        <f t="shared" si="36"/>
        <v>0</v>
      </c>
      <c r="V484" s="4" t="str">
        <f t="shared" si="37"/>
        <v>0</v>
      </c>
      <c r="W484" s="4" t="str">
        <f t="shared" si="38"/>
        <v>7</v>
      </c>
      <c r="X484" s="4" t="str">
        <f t="shared" si="39"/>
        <v>0INDIV7</v>
      </c>
      <c r="Y484">
        <f>VLOOKUP(X484,Sheet1!$J$5:$K$121,2,FALSE)</f>
        <v>0</v>
      </c>
    </row>
    <row r="485" spans="1:25" x14ac:dyDescent="0.25">
      <c r="A485" s="8">
        <f>[1]Data!A485</f>
        <v>570701</v>
      </c>
      <c r="B485" s="8">
        <f>[1]Data!B485</f>
        <v>7</v>
      </c>
      <c r="C485" s="8">
        <f>[1]Data!C485</f>
        <v>0</v>
      </c>
      <c r="D485" s="8">
        <f>[1]Data!D485</f>
        <v>4</v>
      </c>
      <c r="E485" s="8" t="str">
        <f>[1]Data!E485</f>
        <v>INDIV</v>
      </c>
      <c r="F485" s="8" t="str">
        <f>[1]Data!F485</f>
        <v>Lakewood</v>
      </c>
      <c r="G485" s="8">
        <f>[1]Data!G485</f>
        <v>0</v>
      </c>
      <c r="H485" s="8">
        <f>[1]Data!H485</f>
        <v>0</v>
      </c>
      <c r="I485" s="8">
        <f>[1]Data!I485</f>
        <v>8.1809999999999992</v>
      </c>
      <c r="J485" s="8">
        <f>[1]Data!J485</f>
        <v>2.87839314</v>
      </c>
      <c r="K485" s="8">
        <f>[1]Data!K485</f>
        <v>7.87839314</v>
      </c>
      <c r="L485" s="8">
        <f>[1]Data!L485</f>
        <v>0.30290401228007202</v>
      </c>
      <c r="M485" s="8">
        <f>[1]Data!M485</f>
        <v>8.1812971522800702</v>
      </c>
      <c r="N485" s="8">
        <f>[1]Data!N485</f>
        <v>9.0909090909090898E-2</v>
      </c>
      <c r="O485" s="8">
        <f>[1]Data!O485</f>
        <v>0</v>
      </c>
      <c r="P485" s="8">
        <f>[1]Data!P485</f>
        <v>1</v>
      </c>
      <c r="Q485" s="8">
        <f>[1]Data!Q485</f>
        <v>0</v>
      </c>
      <c r="R485" s="8">
        <f>[1]Data!R485</f>
        <v>0</v>
      </c>
      <c r="S485" s="8">
        <f>[1]Data!S485</f>
        <v>0</v>
      </c>
      <c r="T485">
        <f t="shared" si="35"/>
        <v>9.0909090909090898E-2</v>
      </c>
      <c r="U485">
        <f t="shared" si="36"/>
        <v>0</v>
      </c>
      <c r="V485" s="4" t="str">
        <f t="shared" si="37"/>
        <v>0</v>
      </c>
      <c r="W485" s="4" t="str">
        <f t="shared" si="38"/>
        <v>7</v>
      </c>
      <c r="X485" s="4" t="str">
        <f t="shared" si="39"/>
        <v>0INDIV7</v>
      </c>
      <c r="Y485">
        <f>VLOOKUP(X485,Sheet1!$J$5:$K$121,2,FALSE)</f>
        <v>0</v>
      </c>
    </row>
    <row r="486" spans="1:25" x14ac:dyDescent="0.25">
      <c r="A486" s="8">
        <f>[1]Data!A486</f>
        <v>571000</v>
      </c>
      <c r="B486" s="8">
        <f>[1]Data!B486</f>
        <v>7</v>
      </c>
      <c r="C486" s="8">
        <f>[1]Data!C486</f>
        <v>0</v>
      </c>
      <c r="D486" s="8">
        <f>[1]Data!D486</f>
        <v>4</v>
      </c>
      <c r="E486" s="8" t="str">
        <f>[1]Data!E486</f>
        <v>INDIV</v>
      </c>
      <c r="F486" s="8" t="str">
        <f>[1]Data!F486</f>
        <v>Lakewood</v>
      </c>
      <c r="G486" s="8">
        <f>[1]Data!G486</f>
        <v>0</v>
      </c>
      <c r="H486" s="8">
        <f>[1]Data!H486</f>
        <v>0</v>
      </c>
      <c r="I486" s="8">
        <f>[1]Data!I486</f>
        <v>2.9260000000000002</v>
      </c>
      <c r="J486" s="8">
        <f>[1]Data!J486</f>
        <v>1.90487994</v>
      </c>
      <c r="K486" s="8">
        <f>[1]Data!K486</f>
        <v>2.9048799399999998</v>
      </c>
      <c r="L486" s="8">
        <f>[1]Data!L486</f>
        <v>2.0625322082585301E-2</v>
      </c>
      <c r="M486" s="8">
        <f>[1]Data!M486</f>
        <v>2.9255052620825901</v>
      </c>
      <c r="N486" s="8">
        <f>[1]Data!N486</f>
        <v>9.0909090909090898E-2</v>
      </c>
      <c r="O486" s="8">
        <f>[1]Data!O486</f>
        <v>0</v>
      </c>
      <c r="P486" s="8">
        <f>[1]Data!P486</f>
        <v>1</v>
      </c>
      <c r="Q486" s="8">
        <f>[1]Data!Q486</f>
        <v>0</v>
      </c>
      <c r="R486" s="8">
        <f>[1]Data!R486</f>
        <v>0</v>
      </c>
      <c r="S486" s="8">
        <f>[1]Data!S486</f>
        <v>0</v>
      </c>
      <c r="T486">
        <f t="shared" si="35"/>
        <v>9.0909090909090898E-2</v>
      </c>
      <c r="U486">
        <f t="shared" si="36"/>
        <v>0</v>
      </c>
      <c r="V486" s="4" t="str">
        <f t="shared" si="37"/>
        <v>0</v>
      </c>
      <c r="W486" s="4" t="str">
        <f t="shared" si="38"/>
        <v>7</v>
      </c>
      <c r="X486" s="4" t="str">
        <f t="shared" si="39"/>
        <v>0INDIV7</v>
      </c>
      <c r="Y486">
        <f>VLOOKUP(X486,Sheet1!$J$5:$K$121,2,FALSE)</f>
        <v>0</v>
      </c>
    </row>
    <row r="487" spans="1:25" x14ac:dyDescent="0.25">
      <c r="A487" s="8">
        <f>[1]Data!A487</f>
        <v>571102</v>
      </c>
      <c r="B487" s="8">
        <f>[1]Data!B487</f>
        <v>7</v>
      </c>
      <c r="C487" s="8">
        <f>[1]Data!C487</f>
        <v>0</v>
      </c>
      <c r="D487" s="8">
        <f>[1]Data!D487</f>
        <v>4</v>
      </c>
      <c r="E487" s="8" t="str">
        <f>[1]Data!E487</f>
        <v>INDIV</v>
      </c>
      <c r="F487" s="8" t="str">
        <f>[1]Data!F487</f>
        <v>Lakewood</v>
      </c>
      <c r="G487" s="8">
        <f>[1]Data!G487</f>
        <v>0</v>
      </c>
      <c r="H487" s="8">
        <f>[1]Data!H487</f>
        <v>0</v>
      </c>
      <c r="I487" s="8">
        <f>[1]Data!I487</f>
        <v>0</v>
      </c>
      <c r="J487" s="8">
        <f>[1]Data!J487</f>
        <v>0</v>
      </c>
      <c r="K487" s="8">
        <f>[1]Data!K487</f>
        <v>0</v>
      </c>
      <c r="L487" s="8">
        <f>[1]Data!L487</f>
        <v>0</v>
      </c>
      <c r="M487" s="8">
        <f>[1]Data!M487</f>
        <v>0</v>
      </c>
      <c r="N487" s="8">
        <f>[1]Data!N487</f>
        <v>9.0909090909090898E-2</v>
      </c>
      <c r="O487" s="8">
        <f>[1]Data!O487</f>
        <v>0</v>
      </c>
      <c r="P487" s="8">
        <f>[1]Data!P487</f>
        <v>1</v>
      </c>
      <c r="Q487" s="8">
        <f>[1]Data!Q487</f>
        <v>0</v>
      </c>
      <c r="R487" s="8">
        <f>[1]Data!R487</f>
        <v>0</v>
      </c>
      <c r="S487" s="8">
        <f>[1]Data!S487</f>
        <v>0</v>
      </c>
      <c r="T487">
        <f t="shared" si="35"/>
        <v>9.0909090909090898E-2</v>
      </c>
      <c r="U487">
        <f t="shared" si="36"/>
        <v>0</v>
      </c>
      <c r="V487" s="4" t="str">
        <f t="shared" si="37"/>
        <v>0</v>
      </c>
      <c r="W487" s="4" t="str">
        <f t="shared" si="38"/>
        <v>7</v>
      </c>
      <c r="X487" s="4" t="str">
        <f t="shared" si="39"/>
        <v>0INDIV7</v>
      </c>
      <c r="Y487">
        <f>VLOOKUP(X487,Sheet1!$J$5:$K$121,2,FALSE)</f>
        <v>0</v>
      </c>
    </row>
    <row r="488" spans="1:25" x14ac:dyDescent="0.25">
      <c r="A488" s="8">
        <f>[1]Data!A488</f>
        <v>571400</v>
      </c>
      <c r="B488" s="8">
        <f>[1]Data!B488</f>
        <v>7</v>
      </c>
      <c r="C488" s="8">
        <f>[1]Data!C488</f>
        <v>0</v>
      </c>
      <c r="D488" s="8">
        <f>[1]Data!D488</f>
        <v>4</v>
      </c>
      <c r="E488" s="8" t="str">
        <f>[1]Data!E488</f>
        <v>INDIV</v>
      </c>
      <c r="F488" s="8" t="str">
        <f>[1]Data!F488</f>
        <v>Lakewood</v>
      </c>
      <c r="G488" s="8">
        <f>[1]Data!G488</f>
        <v>0</v>
      </c>
      <c r="H488" s="8">
        <f>[1]Data!H488</f>
        <v>0</v>
      </c>
      <c r="I488" s="8">
        <f>[1]Data!I488</f>
        <v>5.9029999999999996</v>
      </c>
      <c r="J488" s="8">
        <f>[1]Data!J488</f>
        <v>3.7168318299999998</v>
      </c>
      <c r="K488" s="8">
        <f>[1]Data!K488</f>
        <v>5.7168318300000003</v>
      </c>
      <c r="L488" s="8">
        <f>[1]Data!L488</f>
        <v>0.18615811166965901</v>
      </c>
      <c r="M488" s="8">
        <f>[1]Data!M488</f>
        <v>5.9029899416696603</v>
      </c>
      <c r="N488" s="8">
        <f>[1]Data!N488</f>
        <v>9.0909090909090898E-2</v>
      </c>
      <c r="O488" s="8">
        <f>[1]Data!O488</f>
        <v>0</v>
      </c>
      <c r="P488" s="8">
        <f>[1]Data!P488</f>
        <v>1</v>
      </c>
      <c r="Q488" s="8">
        <f>[1]Data!Q488</f>
        <v>0</v>
      </c>
      <c r="R488" s="8">
        <f>[1]Data!R488</f>
        <v>0</v>
      </c>
      <c r="S488" s="8">
        <f>[1]Data!S488</f>
        <v>0</v>
      </c>
      <c r="T488">
        <f t="shared" si="35"/>
        <v>9.0909090909090898E-2</v>
      </c>
      <c r="U488">
        <f t="shared" si="36"/>
        <v>0</v>
      </c>
      <c r="V488" s="4" t="str">
        <f t="shared" si="37"/>
        <v>0</v>
      </c>
      <c r="W488" s="4" t="str">
        <f t="shared" si="38"/>
        <v>7</v>
      </c>
      <c r="X488" s="4" t="str">
        <f t="shared" si="39"/>
        <v>0INDIV7</v>
      </c>
      <c r="Y488">
        <f>VLOOKUP(X488,Sheet1!$J$5:$K$121,2,FALSE)</f>
        <v>0</v>
      </c>
    </row>
    <row r="489" spans="1:25" x14ac:dyDescent="0.25">
      <c r="A489" s="8">
        <f>[1]Data!A489</f>
        <v>620800</v>
      </c>
      <c r="B489" s="8">
        <f>[1]Data!B489</f>
        <v>8</v>
      </c>
      <c r="C489" s="8">
        <f>[1]Data!C489</f>
        <v>0</v>
      </c>
      <c r="D489" s="8">
        <f>[1]Data!D489</f>
        <v>4</v>
      </c>
      <c r="E489" s="8" t="str">
        <f>[1]Data!E489</f>
        <v>INDIV</v>
      </c>
      <c r="F489" s="8" t="str">
        <f>[1]Data!F489</f>
        <v>Manhattan Beach</v>
      </c>
      <c r="G489" s="8">
        <f>[1]Data!G489</f>
        <v>0</v>
      </c>
      <c r="H489" s="8">
        <f>[1]Data!H489</f>
        <v>0</v>
      </c>
      <c r="I489" s="8">
        <f>[1]Data!I489</f>
        <v>0</v>
      </c>
      <c r="J489" s="8">
        <f>[1]Data!J489</f>
        <v>0</v>
      </c>
      <c r="K489" s="8">
        <f>[1]Data!K489</f>
        <v>0</v>
      </c>
      <c r="L489" s="8">
        <f>[1]Data!L489</f>
        <v>0</v>
      </c>
      <c r="M489" s="8">
        <f>[1]Data!M489</f>
        <v>0</v>
      </c>
      <c r="N489" s="8">
        <f>[1]Data!N489</f>
        <v>6.8181818181818205E-2</v>
      </c>
      <c r="O489" s="8">
        <f>[1]Data!O489</f>
        <v>0</v>
      </c>
      <c r="P489" s="8">
        <f>[1]Data!P489</f>
        <v>0.88636363636363602</v>
      </c>
      <c r="Q489" s="8">
        <f>[1]Data!Q489</f>
        <v>0</v>
      </c>
      <c r="R489" s="8">
        <f>[1]Data!R489</f>
        <v>0</v>
      </c>
      <c r="S489" s="8">
        <f>[1]Data!S489</f>
        <v>0</v>
      </c>
      <c r="T489">
        <f t="shared" si="35"/>
        <v>6.8181818181818205E-2</v>
      </c>
      <c r="U489">
        <f t="shared" si="36"/>
        <v>0</v>
      </c>
      <c r="V489" s="4" t="str">
        <f t="shared" si="37"/>
        <v>0</v>
      </c>
      <c r="W489" s="4" t="str">
        <f t="shared" si="38"/>
        <v>8</v>
      </c>
      <c r="X489" s="4" t="str">
        <f t="shared" si="39"/>
        <v>0INDIV8</v>
      </c>
      <c r="Y489">
        <f>VLOOKUP(X489,Sheet1!$J$5:$K$121,2,FALSE)</f>
        <v>0</v>
      </c>
    </row>
    <row r="490" spans="1:25" x14ac:dyDescent="0.25">
      <c r="A490" s="8">
        <f>[1]Data!A490</f>
        <v>602200</v>
      </c>
      <c r="B490" s="8">
        <f>[1]Data!B490</f>
        <v>8</v>
      </c>
      <c r="C490" s="8">
        <f>[1]Data!C490</f>
        <v>0</v>
      </c>
      <c r="D490" s="8">
        <f>[1]Data!D490</f>
        <v>2</v>
      </c>
      <c r="E490" s="8" t="str">
        <f>[1]Data!E490</f>
        <v>INDIV</v>
      </c>
      <c r="F490" s="8" t="str">
        <f>[1]Data!F490</f>
        <v>Del Aire</v>
      </c>
      <c r="G490" s="8">
        <f>[1]Data!G490</f>
        <v>0</v>
      </c>
      <c r="H490" s="8">
        <f>[1]Data!H490</f>
        <v>0</v>
      </c>
      <c r="I490" s="8">
        <f>[1]Data!I490</f>
        <v>9.19</v>
      </c>
      <c r="J490" s="8">
        <f>[1]Data!J490</f>
        <v>3.9673993200000002</v>
      </c>
      <c r="K490" s="8">
        <f>[1]Data!K490</f>
        <v>8.9673993200000002</v>
      </c>
      <c r="L490" s="8">
        <f>[1]Data!L490</f>
        <v>0.22234520276481101</v>
      </c>
      <c r="M490" s="8">
        <f>[1]Data!M490</f>
        <v>9.1897445227648102</v>
      </c>
      <c r="N490" s="8">
        <f>[1]Data!N490</f>
        <v>6.8181818181818205E-2</v>
      </c>
      <c r="O490" s="8">
        <f>[1]Data!O490</f>
        <v>0</v>
      </c>
      <c r="P490" s="8">
        <f>[1]Data!P490</f>
        <v>0.88636363636363602</v>
      </c>
      <c r="Q490" s="8">
        <f>[1]Data!Q490</f>
        <v>0</v>
      </c>
      <c r="R490" s="8">
        <f>[1]Data!R490</f>
        <v>0</v>
      </c>
      <c r="S490" s="8">
        <f>[1]Data!S490</f>
        <v>0</v>
      </c>
      <c r="T490">
        <f t="shared" si="35"/>
        <v>6.8181818181818205E-2</v>
      </c>
      <c r="U490">
        <f t="shared" si="36"/>
        <v>0</v>
      </c>
      <c r="V490" s="4" t="str">
        <f t="shared" si="37"/>
        <v>0</v>
      </c>
      <c r="W490" s="4" t="str">
        <f t="shared" si="38"/>
        <v>8</v>
      </c>
      <c r="X490" s="4" t="str">
        <f t="shared" si="39"/>
        <v>0INDIV8</v>
      </c>
      <c r="Y490">
        <f>VLOOKUP(X490,Sheet1!$J$5:$K$121,2,FALSE)</f>
        <v>0</v>
      </c>
    </row>
    <row r="491" spans="1:25" x14ac:dyDescent="0.25">
      <c r="A491" s="8">
        <f>[1]Data!A491</f>
        <v>601900</v>
      </c>
      <c r="B491" s="8">
        <f>[1]Data!B491</f>
        <v>8</v>
      </c>
      <c r="C491" s="8">
        <f>[1]Data!C491</f>
        <v>0</v>
      </c>
      <c r="D491" s="8">
        <f>[1]Data!D491</f>
        <v>2</v>
      </c>
      <c r="E491" s="8" t="str">
        <f>[1]Data!E491</f>
        <v>INDIV</v>
      </c>
      <c r="F491" s="8" t="str">
        <f>[1]Data!F491</f>
        <v>Inglewood</v>
      </c>
      <c r="G491" s="8">
        <f>[1]Data!G491</f>
        <v>0</v>
      </c>
      <c r="H491" s="8">
        <f>[1]Data!H491</f>
        <v>0</v>
      </c>
      <c r="I491" s="8">
        <f>[1]Data!I491</f>
        <v>0</v>
      </c>
      <c r="J491" s="8">
        <f>[1]Data!J491</f>
        <v>0</v>
      </c>
      <c r="K491" s="8">
        <f>[1]Data!K491</f>
        <v>0</v>
      </c>
      <c r="L491" s="8">
        <f>[1]Data!L491</f>
        <v>0</v>
      </c>
      <c r="M491" s="8">
        <f>[1]Data!M491</f>
        <v>0</v>
      </c>
      <c r="N491" s="8">
        <f>[1]Data!N491</f>
        <v>6.8181818181818205E-2</v>
      </c>
      <c r="O491" s="8">
        <f>[1]Data!O491</f>
        <v>0</v>
      </c>
      <c r="P491" s="8">
        <f>[1]Data!P491</f>
        <v>0.88636363636363602</v>
      </c>
      <c r="Q491" s="8">
        <f>[1]Data!Q491</f>
        <v>0</v>
      </c>
      <c r="R491" s="8">
        <f>[1]Data!R491</f>
        <v>0</v>
      </c>
      <c r="S491" s="8">
        <f>[1]Data!S491</f>
        <v>0</v>
      </c>
      <c r="T491">
        <f t="shared" si="35"/>
        <v>6.8181818181818205E-2</v>
      </c>
      <c r="U491">
        <f t="shared" si="36"/>
        <v>0</v>
      </c>
      <c r="V491" s="4" t="str">
        <f t="shared" si="37"/>
        <v>0</v>
      </c>
      <c r="W491" s="4" t="str">
        <f t="shared" si="38"/>
        <v>8</v>
      </c>
      <c r="X491" s="4" t="str">
        <f t="shared" si="39"/>
        <v>0INDIV8</v>
      </c>
      <c r="Y491">
        <f>VLOOKUP(X491,Sheet1!$J$5:$K$121,2,FALSE)</f>
        <v>0</v>
      </c>
    </row>
    <row r="492" spans="1:25" x14ac:dyDescent="0.25">
      <c r="A492" s="8">
        <f>[1]Data!A492</f>
        <v>601202</v>
      </c>
      <c r="B492" s="8">
        <f>[1]Data!B492</f>
        <v>8</v>
      </c>
      <c r="C492" s="8">
        <f>[1]Data!C492</f>
        <v>0</v>
      </c>
      <c r="D492" s="8">
        <f>[1]Data!D492</f>
        <v>2</v>
      </c>
      <c r="E492" s="8" t="str">
        <f>[1]Data!E492</f>
        <v>INDIV</v>
      </c>
      <c r="F492" s="8" t="str">
        <f>[1]Data!F492</f>
        <v>Inglewood</v>
      </c>
      <c r="G492" s="8">
        <f>[1]Data!G492</f>
        <v>0</v>
      </c>
      <c r="H492" s="8">
        <f>[1]Data!H492</f>
        <v>0</v>
      </c>
      <c r="I492" s="8">
        <f>[1]Data!I492</f>
        <v>13.475</v>
      </c>
      <c r="J492" s="8">
        <f>[1]Data!J492</f>
        <v>5.9988813299999997</v>
      </c>
      <c r="K492" s="8">
        <f>[1]Data!K492</f>
        <v>12.99888133</v>
      </c>
      <c r="L492" s="8">
        <f>[1]Data!L492</f>
        <v>0.47584795017953302</v>
      </c>
      <c r="M492" s="8">
        <f>[1]Data!M492</f>
        <v>13.474729280179499</v>
      </c>
      <c r="N492" s="8">
        <f>[1]Data!N492</f>
        <v>6.8181818181818205E-2</v>
      </c>
      <c r="O492" s="8">
        <f>[1]Data!O492</f>
        <v>0</v>
      </c>
      <c r="P492" s="8">
        <f>[1]Data!P492</f>
        <v>0.88636363636363602</v>
      </c>
      <c r="Q492" s="8">
        <f>[1]Data!Q492</f>
        <v>0</v>
      </c>
      <c r="R492" s="8">
        <f>[1]Data!R492</f>
        <v>0</v>
      </c>
      <c r="S492" s="8">
        <f>[1]Data!S492</f>
        <v>0</v>
      </c>
      <c r="T492">
        <f t="shared" si="35"/>
        <v>6.8181818181818205E-2</v>
      </c>
      <c r="U492">
        <f t="shared" si="36"/>
        <v>0</v>
      </c>
      <c r="V492" s="4" t="str">
        <f t="shared" si="37"/>
        <v>0</v>
      </c>
      <c r="W492" s="4" t="str">
        <f t="shared" si="38"/>
        <v>8</v>
      </c>
      <c r="X492" s="4" t="str">
        <f t="shared" si="39"/>
        <v>0INDIV8</v>
      </c>
      <c r="Y492">
        <f>VLOOKUP(X492,Sheet1!$J$5:$K$121,2,FALSE)</f>
        <v>0</v>
      </c>
    </row>
    <row r="493" spans="1:25" x14ac:dyDescent="0.25">
      <c r="A493" s="8">
        <f>[1]Data!A493</f>
        <v>543801</v>
      </c>
      <c r="B493" s="8">
        <f>[1]Data!B493</f>
        <v>8</v>
      </c>
      <c r="C493" s="8">
        <f>[1]Data!C493</f>
        <v>0</v>
      </c>
      <c r="D493" s="8">
        <f>[1]Data!D493</f>
        <v>2</v>
      </c>
      <c r="E493" s="8" t="str">
        <f>[1]Data!E493</f>
        <v>INDIV</v>
      </c>
      <c r="F493" s="8" t="str">
        <f>[1]Data!F493</f>
        <v>Carson</v>
      </c>
      <c r="G493" s="8">
        <f>[1]Data!G493</f>
        <v>0</v>
      </c>
      <c r="H493" s="8">
        <f>[1]Data!H493</f>
        <v>0</v>
      </c>
      <c r="I493" s="8">
        <f>[1]Data!I493</f>
        <v>9.327</v>
      </c>
      <c r="J493" s="8">
        <f>[1]Data!J493</f>
        <v>8.91622834</v>
      </c>
      <c r="K493" s="8">
        <f>[1]Data!K493</f>
        <v>8.91622834</v>
      </c>
      <c r="L493" s="8">
        <f>[1]Data!L493</f>
        <v>0.411114642531418</v>
      </c>
      <c r="M493" s="8">
        <f>[1]Data!M493</f>
        <v>9.3273429825314196</v>
      </c>
      <c r="N493" s="8">
        <f>[1]Data!N493</f>
        <v>6.8181818181818205E-2</v>
      </c>
      <c r="O493" s="8">
        <f>[1]Data!O493</f>
        <v>0</v>
      </c>
      <c r="P493" s="8">
        <f>[1]Data!P493</f>
        <v>0.88636363636363602</v>
      </c>
      <c r="Q493" s="8">
        <f>[1]Data!Q493</f>
        <v>0</v>
      </c>
      <c r="R493" s="8">
        <f>[1]Data!R493</f>
        <v>0</v>
      </c>
      <c r="S493" s="8">
        <f>[1]Data!S493</f>
        <v>0</v>
      </c>
      <c r="T493">
        <f t="shared" si="35"/>
        <v>6.8181818181818205E-2</v>
      </c>
      <c r="U493">
        <f t="shared" si="36"/>
        <v>0</v>
      </c>
      <c r="V493" s="4" t="str">
        <f t="shared" si="37"/>
        <v>0</v>
      </c>
      <c r="W493" s="4" t="str">
        <f t="shared" si="38"/>
        <v>8</v>
      </c>
      <c r="X493" s="4" t="str">
        <f t="shared" si="39"/>
        <v>0INDIV8</v>
      </c>
      <c r="Y493">
        <f>VLOOKUP(X493,Sheet1!$J$5:$K$121,2,FALSE)</f>
        <v>0</v>
      </c>
    </row>
    <row r="494" spans="1:25" x14ac:dyDescent="0.25">
      <c r="A494" s="8">
        <f>[1]Data!A494</f>
        <v>599000</v>
      </c>
      <c r="B494" s="8">
        <f>[1]Data!B494</f>
        <v>8</v>
      </c>
      <c r="C494" s="8">
        <f>[1]Data!C494</f>
        <v>0</v>
      </c>
      <c r="D494" s="8">
        <f>[1]Data!D494</f>
        <v>4</v>
      </c>
      <c r="E494" s="8" t="str">
        <f>[1]Data!E494</f>
        <v>INDIV</v>
      </c>
      <c r="F494" s="8" t="str">
        <f>[1]Data!F494</f>
        <v>Avalon</v>
      </c>
      <c r="G494" s="8">
        <f>[1]Data!G494</f>
        <v>1</v>
      </c>
      <c r="H494" s="8">
        <f>[1]Data!H494</f>
        <v>1</v>
      </c>
      <c r="I494" s="8">
        <f>[1]Data!I494</f>
        <v>6</v>
      </c>
      <c r="J494" s="8">
        <f>[1]Data!J494</f>
        <v>0</v>
      </c>
      <c r="K494" s="8">
        <f>[1]Data!K494</f>
        <v>6</v>
      </c>
      <c r="L494" s="8">
        <f>[1]Data!L494</f>
        <v>0</v>
      </c>
      <c r="M494" s="8">
        <f>[1]Data!M494</f>
        <v>6</v>
      </c>
      <c r="N494" s="8">
        <f>[1]Data!N494</f>
        <v>6.8181818181818205E-2</v>
      </c>
      <c r="O494" s="8">
        <f>[1]Data!O494</f>
        <v>14.6666666666667</v>
      </c>
      <c r="P494" s="8">
        <f>[1]Data!P494</f>
        <v>0.88636363636363602</v>
      </c>
      <c r="Q494" s="8">
        <f>[1]Data!Q494</f>
        <v>0</v>
      </c>
      <c r="R494" s="8">
        <f>[1]Data!R494</f>
        <v>0</v>
      </c>
      <c r="S494" s="8">
        <f>[1]Data!S494</f>
        <v>0</v>
      </c>
      <c r="T494">
        <f t="shared" si="35"/>
        <v>6.8181818181818205E-2</v>
      </c>
      <c r="U494">
        <f t="shared" si="36"/>
        <v>14.666666666666663</v>
      </c>
      <c r="V494" s="4" t="str">
        <f t="shared" si="37"/>
        <v>0</v>
      </c>
      <c r="W494" s="4" t="str">
        <f t="shared" si="38"/>
        <v>8</v>
      </c>
      <c r="X494" s="4" t="str">
        <f t="shared" si="39"/>
        <v>0INDIV8</v>
      </c>
      <c r="Y494">
        <f>VLOOKUP(X494,Sheet1!$J$5:$K$121,2,FALSE)</f>
        <v>0</v>
      </c>
    </row>
    <row r="495" spans="1:25" x14ac:dyDescent="0.25">
      <c r="A495" s="8">
        <f>[1]Data!A495</f>
        <v>600400</v>
      </c>
      <c r="B495" s="8">
        <f>[1]Data!B495</f>
        <v>8</v>
      </c>
      <c r="C495" s="8">
        <f>[1]Data!C495</f>
        <v>0</v>
      </c>
      <c r="D495" s="8">
        <f>[1]Data!D495</f>
        <v>2</v>
      </c>
      <c r="E495" s="8" t="str">
        <f>[1]Data!E495</f>
        <v>INDIV</v>
      </c>
      <c r="F495" s="8" t="str">
        <f>[1]Data!F495</f>
        <v>Westmont / West Athens</v>
      </c>
      <c r="G495" s="8">
        <f>[1]Data!G495</f>
        <v>0</v>
      </c>
      <c r="H495" s="8">
        <f>[1]Data!H495</f>
        <v>0</v>
      </c>
      <c r="I495" s="8">
        <f>[1]Data!I495</f>
        <v>10</v>
      </c>
      <c r="J495" s="8">
        <f>[1]Data!J495</f>
        <v>0</v>
      </c>
      <c r="K495" s="8">
        <f>[1]Data!K495</f>
        <v>10</v>
      </c>
      <c r="L495" s="8">
        <f>[1]Data!L495</f>
        <v>0</v>
      </c>
      <c r="M495" s="8">
        <f>[1]Data!M495</f>
        <v>10</v>
      </c>
      <c r="N495" s="8">
        <f>[1]Data!N495</f>
        <v>6.8181818181818205E-2</v>
      </c>
      <c r="O495" s="8">
        <f>[1]Data!O495</f>
        <v>0</v>
      </c>
      <c r="P495" s="8">
        <f>[1]Data!P495</f>
        <v>0.88636363636363602</v>
      </c>
      <c r="Q495" s="8">
        <f>[1]Data!Q495</f>
        <v>0</v>
      </c>
      <c r="R495" s="8">
        <f>[1]Data!R495</f>
        <v>0</v>
      </c>
      <c r="S495" s="8">
        <f>[1]Data!S495</f>
        <v>0</v>
      </c>
      <c r="T495">
        <f t="shared" si="35"/>
        <v>6.8181818181818205E-2</v>
      </c>
      <c r="U495">
        <f t="shared" si="36"/>
        <v>0</v>
      </c>
      <c r="V495" s="4" t="str">
        <f t="shared" si="37"/>
        <v>0</v>
      </c>
      <c r="W495" s="4" t="str">
        <f t="shared" si="38"/>
        <v>8</v>
      </c>
      <c r="X495" s="4" t="str">
        <f t="shared" si="39"/>
        <v>0INDIV8</v>
      </c>
      <c r="Y495">
        <f>VLOOKUP(X495,Sheet1!$J$5:$K$121,2,FALSE)</f>
        <v>0</v>
      </c>
    </row>
    <row r="496" spans="1:25" x14ac:dyDescent="0.25">
      <c r="A496" s="8">
        <f>[1]Data!A496</f>
        <v>600601</v>
      </c>
      <c r="B496" s="8">
        <f>[1]Data!B496</f>
        <v>8</v>
      </c>
      <c r="C496" s="8">
        <f>[1]Data!C496</f>
        <v>0</v>
      </c>
      <c r="D496" s="8">
        <f>[1]Data!D496</f>
        <v>2</v>
      </c>
      <c r="E496" s="8" t="str">
        <f>[1]Data!E496</f>
        <v>INDIV</v>
      </c>
      <c r="F496" s="8" t="str">
        <f>[1]Data!F496</f>
        <v>Inglewood</v>
      </c>
      <c r="G496" s="8">
        <f>[1]Data!G496</f>
        <v>0</v>
      </c>
      <c r="H496" s="8">
        <f>[1]Data!H496</f>
        <v>0</v>
      </c>
      <c r="I496" s="8">
        <f>[1]Data!I496</f>
        <v>8</v>
      </c>
      <c r="J496" s="8">
        <f>[1]Data!J496</f>
        <v>0</v>
      </c>
      <c r="K496" s="8">
        <f>[1]Data!K496</f>
        <v>8</v>
      </c>
      <c r="L496" s="8">
        <f>[1]Data!L496</f>
        <v>0</v>
      </c>
      <c r="M496" s="8">
        <f>[1]Data!M496</f>
        <v>8</v>
      </c>
      <c r="N496" s="8">
        <f>[1]Data!N496</f>
        <v>6.8181818181818205E-2</v>
      </c>
      <c r="O496" s="8">
        <f>[1]Data!O496</f>
        <v>0</v>
      </c>
      <c r="P496" s="8">
        <f>[1]Data!P496</f>
        <v>0.88636363636363602</v>
      </c>
      <c r="Q496" s="8">
        <f>[1]Data!Q496</f>
        <v>0</v>
      </c>
      <c r="R496" s="8">
        <f>[1]Data!R496</f>
        <v>0</v>
      </c>
      <c r="S496" s="8">
        <f>[1]Data!S496</f>
        <v>0</v>
      </c>
      <c r="T496">
        <f t="shared" si="35"/>
        <v>6.8181818181818205E-2</v>
      </c>
      <c r="U496">
        <f t="shared" si="36"/>
        <v>0</v>
      </c>
      <c r="V496" s="4" t="str">
        <f t="shared" si="37"/>
        <v>0</v>
      </c>
      <c r="W496" s="4" t="str">
        <f t="shared" si="38"/>
        <v>8</v>
      </c>
      <c r="X496" s="4" t="str">
        <f t="shared" si="39"/>
        <v>0INDIV8</v>
      </c>
      <c r="Y496">
        <f>VLOOKUP(X496,Sheet1!$J$5:$K$121,2,FALSE)</f>
        <v>0</v>
      </c>
    </row>
    <row r="497" spans="1:25" x14ac:dyDescent="0.25">
      <c r="A497" s="8">
        <f>[1]Data!A497</f>
        <v>600602</v>
      </c>
      <c r="B497" s="8">
        <f>[1]Data!B497</f>
        <v>8</v>
      </c>
      <c r="C497" s="8">
        <f>[1]Data!C497</f>
        <v>0</v>
      </c>
      <c r="D497" s="8">
        <f>[1]Data!D497</f>
        <v>2</v>
      </c>
      <c r="E497" s="8" t="str">
        <f>[1]Data!E497</f>
        <v>INDIV</v>
      </c>
      <c r="F497" s="8" t="str">
        <f>[1]Data!F497</f>
        <v>Inglewood</v>
      </c>
      <c r="G497" s="8">
        <f>[1]Data!G497</f>
        <v>0</v>
      </c>
      <c r="H497" s="8">
        <f>[1]Data!H497</f>
        <v>0</v>
      </c>
      <c r="I497" s="8">
        <f>[1]Data!I497</f>
        <v>7.0949999999999998</v>
      </c>
      <c r="J497" s="8">
        <f>[1]Data!J497</f>
        <v>1.9836996600000001</v>
      </c>
      <c r="K497" s="8">
        <f>[1]Data!K497</f>
        <v>6.9836996600000001</v>
      </c>
      <c r="L497" s="8">
        <f>[1]Data!L497</f>
        <v>0.11117260138240601</v>
      </c>
      <c r="M497" s="8">
        <f>[1]Data!M497</f>
        <v>7.0948722613824096</v>
      </c>
      <c r="N497" s="8">
        <f>[1]Data!N497</f>
        <v>6.8181818181818205E-2</v>
      </c>
      <c r="O497" s="8">
        <f>[1]Data!O497</f>
        <v>0</v>
      </c>
      <c r="P497" s="8">
        <f>[1]Data!P497</f>
        <v>0.88636363636363602</v>
      </c>
      <c r="Q497" s="8">
        <f>[1]Data!Q497</f>
        <v>0</v>
      </c>
      <c r="R497" s="8">
        <f>[1]Data!R497</f>
        <v>0</v>
      </c>
      <c r="S497" s="8">
        <f>[1]Data!S497</f>
        <v>0</v>
      </c>
      <c r="T497">
        <f t="shared" si="35"/>
        <v>6.8181818181818205E-2</v>
      </c>
      <c r="U497">
        <f t="shared" si="36"/>
        <v>0</v>
      </c>
      <c r="V497" s="4" t="str">
        <f t="shared" si="37"/>
        <v>0</v>
      </c>
      <c r="W497" s="4" t="str">
        <f t="shared" si="38"/>
        <v>8</v>
      </c>
      <c r="X497" s="4" t="str">
        <f t="shared" si="39"/>
        <v>0INDIV8</v>
      </c>
      <c r="Y497">
        <f>VLOOKUP(X497,Sheet1!$J$5:$K$121,2,FALSE)</f>
        <v>0</v>
      </c>
    </row>
    <row r="498" spans="1:25" x14ac:dyDescent="0.25">
      <c r="A498" s="8">
        <f>[1]Data!A498</f>
        <v>600801</v>
      </c>
      <c r="B498" s="8">
        <f>[1]Data!B498</f>
        <v>8</v>
      </c>
      <c r="C498" s="8">
        <f>[1]Data!C498</f>
        <v>0</v>
      </c>
      <c r="D498" s="8">
        <f>[1]Data!D498</f>
        <v>2</v>
      </c>
      <c r="E498" s="8" t="str">
        <f>[1]Data!E498</f>
        <v>INDIV</v>
      </c>
      <c r="F498" s="8" t="str">
        <f>[1]Data!F498</f>
        <v>Inglewood</v>
      </c>
      <c r="G498" s="8">
        <f>[1]Data!G498</f>
        <v>0</v>
      </c>
      <c r="H498" s="8">
        <f>[1]Data!H498</f>
        <v>0</v>
      </c>
      <c r="I498" s="8">
        <f>[1]Data!I498</f>
        <v>0</v>
      </c>
      <c r="J498" s="8">
        <f>[1]Data!J498</f>
        <v>0</v>
      </c>
      <c r="K498" s="8">
        <f>[1]Data!K498</f>
        <v>0</v>
      </c>
      <c r="L498" s="8">
        <f>[1]Data!L498</f>
        <v>0</v>
      </c>
      <c r="M498" s="8">
        <f>[1]Data!M498</f>
        <v>0</v>
      </c>
      <c r="N498" s="8">
        <f>[1]Data!N498</f>
        <v>6.8181818181818205E-2</v>
      </c>
      <c r="O498" s="8">
        <f>[1]Data!O498</f>
        <v>0</v>
      </c>
      <c r="P498" s="8">
        <f>[1]Data!P498</f>
        <v>0.88636363636363602</v>
      </c>
      <c r="Q498" s="8">
        <f>[1]Data!Q498</f>
        <v>0</v>
      </c>
      <c r="R498" s="8">
        <f>[1]Data!R498</f>
        <v>0</v>
      </c>
      <c r="S498" s="8">
        <f>[1]Data!S498</f>
        <v>0</v>
      </c>
      <c r="T498">
        <f t="shared" si="35"/>
        <v>6.8181818181818205E-2</v>
      </c>
      <c r="U498">
        <f t="shared" si="36"/>
        <v>0</v>
      </c>
      <c r="V498" s="4" t="str">
        <f t="shared" si="37"/>
        <v>0</v>
      </c>
      <c r="W498" s="4" t="str">
        <f t="shared" si="38"/>
        <v>8</v>
      </c>
      <c r="X498" s="4" t="str">
        <f t="shared" si="39"/>
        <v>0INDIV8</v>
      </c>
      <c r="Y498">
        <f>VLOOKUP(X498,Sheet1!$J$5:$K$121,2,FALSE)</f>
        <v>0</v>
      </c>
    </row>
    <row r="499" spans="1:25" x14ac:dyDescent="0.25">
      <c r="A499" s="8">
        <f>[1]Data!A499</f>
        <v>601501</v>
      </c>
      <c r="B499" s="8">
        <f>[1]Data!B499</f>
        <v>8</v>
      </c>
      <c r="C499" s="8">
        <f>[1]Data!C499</f>
        <v>0</v>
      </c>
      <c r="D499" s="8">
        <f>[1]Data!D499</f>
        <v>2</v>
      </c>
      <c r="E499" s="8" t="str">
        <f>[1]Data!E499</f>
        <v>INDIV</v>
      </c>
      <c r="F499" s="8" t="str">
        <f>[1]Data!F499</f>
        <v>Lennox</v>
      </c>
      <c r="G499" s="8">
        <f>[1]Data!G499</f>
        <v>0</v>
      </c>
      <c r="H499" s="8">
        <f>[1]Data!H499</f>
        <v>0</v>
      </c>
      <c r="I499" s="8">
        <f>[1]Data!I499</f>
        <v>20.265999999999998</v>
      </c>
      <c r="J499" s="8">
        <f>[1]Data!J499</f>
        <v>9.4736181100000003</v>
      </c>
      <c r="K499" s="8">
        <f>[1]Data!K499</f>
        <v>19.47361811</v>
      </c>
      <c r="L499" s="8">
        <f>[1]Data!L499</f>
        <v>0.79196613622980205</v>
      </c>
      <c r="M499" s="8">
        <f>[1]Data!M499</f>
        <v>20.2655842462298</v>
      </c>
      <c r="N499" s="8">
        <f>[1]Data!N499</f>
        <v>6.8181818181818205E-2</v>
      </c>
      <c r="O499" s="8">
        <f>[1]Data!O499</f>
        <v>0</v>
      </c>
      <c r="P499" s="8">
        <f>[1]Data!P499</f>
        <v>0.88636363636363602</v>
      </c>
      <c r="Q499" s="8">
        <f>[1]Data!Q499</f>
        <v>0</v>
      </c>
      <c r="R499" s="8">
        <f>[1]Data!R499</f>
        <v>0</v>
      </c>
      <c r="S499" s="8">
        <f>[1]Data!S499</f>
        <v>0</v>
      </c>
      <c r="T499">
        <f t="shared" si="35"/>
        <v>6.8181818181818205E-2</v>
      </c>
      <c r="U499">
        <f t="shared" si="36"/>
        <v>0</v>
      </c>
      <c r="V499" s="4" t="str">
        <f t="shared" si="37"/>
        <v>0</v>
      </c>
      <c r="W499" s="4" t="str">
        <f t="shared" si="38"/>
        <v>8</v>
      </c>
      <c r="X499" s="4" t="str">
        <f t="shared" si="39"/>
        <v>0INDIV8</v>
      </c>
      <c r="Y499">
        <f>VLOOKUP(X499,Sheet1!$J$5:$K$121,2,FALSE)</f>
        <v>0</v>
      </c>
    </row>
    <row r="500" spans="1:25" x14ac:dyDescent="0.25">
      <c r="A500" s="8">
        <f>[1]Data!A500</f>
        <v>601802</v>
      </c>
      <c r="B500" s="8">
        <f>[1]Data!B500</f>
        <v>8</v>
      </c>
      <c r="C500" s="8">
        <f>[1]Data!C500</f>
        <v>0</v>
      </c>
      <c r="D500" s="8">
        <f>[1]Data!D500</f>
        <v>2</v>
      </c>
      <c r="E500" s="8" t="str">
        <f>[1]Data!E500</f>
        <v>INDIV</v>
      </c>
      <c r="F500" s="8" t="str">
        <f>[1]Data!F500</f>
        <v>Lennox</v>
      </c>
      <c r="G500" s="8">
        <f>[1]Data!G500</f>
        <v>0</v>
      </c>
      <c r="H500" s="8">
        <f>[1]Data!H500</f>
        <v>0</v>
      </c>
      <c r="I500" s="8">
        <f>[1]Data!I500</f>
        <v>6.0949999999999998</v>
      </c>
      <c r="J500" s="8">
        <f>[1]Data!J500</f>
        <v>1.9836996600000001</v>
      </c>
      <c r="K500" s="8">
        <f>[1]Data!K500</f>
        <v>5.9836996600000001</v>
      </c>
      <c r="L500" s="8">
        <f>[1]Data!L500</f>
        <v>0.11117260138240601</v>
      </c>
      <c r="M500" s="8">
        <f>[1]Data!M500</f>
        <v>6.0948722613824096</v>
      </c>
      <c r="N500" s="8">
        <f>[1]Data!N500</f>
        <v>6.8181818181818205E-2</v>
      </c>
      <c r="O500" s="8">
        <f>[1]Data!O500</f>
        <v>0</v>
      </c>
      <c r="P500" s="8">
        <f>[1]Data!P500</f>
        <v>0.88636363636363602</v>
      </c>
      <c r="Q500" s="8">
        <f>[1]Data!Q500</f>
        <v>0</v>
      </c>
      <c r="R500" s="8">
        <f>[1]Data!R500</f>
        <v>0</v>
      </c>
      <c r="S500" s="8">
        <f>[1]Data!S500</f>
        <v>0</v>
      </c>
      <c r="T500">
        <f t="shared" si="35"/>
        <v>6.8181818181818205E-2</v>
      </c>
      <c r="U500">
        <f t="shared" si="36"/>
        <v>0</v>
      </c>
      <c r="V500" s="4" t="str">
        <f t="shared" si="37"/>
        <v>0</v>
      </c>
      <c r="W500" s="4" t="str">
        <f t="shared" si="38"/>
        <v>8</v>
      </c>
      <c r="X500" s="4" t="str">
        <f t="shared" si="39"/>
        <v>0INDIV8</v>
      </c>
      <c r="Y500">
        <f>VLOOKUP(X500,Sheet1!$J$5:$K$121,2,FALSE)</f>
        <v>0</v>
      </c>
    </row>
    <row r="501" spans="1:25" x14ac:dyDescent="0.25">
      <c r="A501" s="8">
        <f>[1]Data!A501</f>
        <v>602004</v>
      </c>
      <c r="B501" s="8">
        <f>[1]Data!B501</f>
        <v>8</v>
      </c>
      <c r="C501" s="8">
        <f>[1]Data!C501</f>
        <v>0</v>
      </c>
      <c r="D501" s="8">
        <f>[1]Data!D501</f>
        <v>2</v>
      </c>
      <c r="E501" s="8" t="str">
        <f>[1]Data!E501</f>
        <v>INDIV</v>
      </c>
      <c r="F501" s="8" t="str">
        <f>[1]Data!F501</f>
        <v>Inglewood</v>
      </c>
      <c r="G501" s="8">
        <f>[1]Data!G501</f>
        <v>0</v>
      </c>
      <c r="H501" s="8">
        <f>[1]Data!H501</f>
        <v>0</v>
      </c>
      <c r="I501" s="8">
        <f>[1]Data!I501</f>
        <v>0</v>
      </c>
      <c r="J501" s="8">
        <f>[1]Data!J501</f>
        <v>0</v>
      </c>
      <c r="K501" s="8">
        <f>[1]Data!K501</f>
        <v>0</v>
      </c>
      <c r="L501" s="8">
        <f>[1]Data!L501</f>
        <v>0</v>
      </c>
      <c r="M501" s="8">
        <f>[1]Data!M501</f>
        <v>0</v>
      </c>
      <c r="N501" s="8">
        <f>[1]Data!N501</f>
        <v>6.8181818181818205E-2</v>
      </c>
      <c r="O501" s="8">
        <f>[1]Data!O501</f>
        <v>0</v>
      </c>
      <c r="P501" s="8">
        <f>[1]Data!P501</f>
        <v>0.88636363636363602</v>
      </c>
      <c r="Q501" s="8">
        <f>[1]Data!Q501</f>
        <v>0</v>
      </c>
      <c r="R501" s="8">
        <f>[1]Data!R501</f>
        <v>0</v>
      </c>
      <c r="S501" s="8">
        <f>[1]Data!S501</f>
        <v>0</v>
      </c>
      <c r="T501">
        <f t="shared" si="35"/>
        <v>6.8181818181818205E-2</v>
      </c>
      <c r="U501">
        <f t="shared" si="36"/>
        <v>0</v>
      </c>
      <c r="V501" s="4" t="str">
        <f t="shared" si="37"/>
        <v>0</v>
      </c>
      <c r="W501" s="4" t="str">
        <f t="shared" si="38"/>
        <v>8</v>
      </c>
      <c r="X501" s="4" t="str">
        <f t="shared" si="39"/>
        <v>0INDIV8</v>
      </c>
      <c r="Y501">
        <f>VLOOKUP(X501,Sheet1!$J$5:$K$121,2,FALSE)</f>
        <v>0</v>
      </c>
    </row>
    <row r="502" spans="1:25" x14ac:dyDescent="0.25">
      <c r="A502" s="8">
        <f>[1]Data!A502</f>
        <v>602103</v>
      </c>
      <c r="B502" s="8">
        <f>[1]Data!B502</f>
        <v>8</v>
      </c>
      <c r="C502" s="8">
        <f>[1]Data!C502</f>
        <v>0</v>
      </c>
      <c r="D502" s="8">
        <f>[1]Data!D502</f>
        <v>2</v>
      </c>
      <c r="E502" s="8" t="str">
        <f>[1]Data!E502</f>
        <v>INDIV</v>
      </c>
      <c r="F502" s="8" t="str">
        <f>[1]Data!F502</f>
        <v>Hawthorne</v>
      </c>
      <c r="G502" s="8">
        <f>[1]Data!G502</f>
        <v>0</v>
      </c>
      <c r="H502" s="8">
        <f>[1]Data!H502</f>
        <v>0</v>
      </c>
      <c r="I502" s="8">
        <f>[1]Data!I502</f>
        <v>3</v>
      </c>
      <c r="J502" s="8">
        <f>[1]Data!J502</f>
        <v>0</v>
      </c>
      <c r="K502" s="8">
        <f>[1]Data!K502</f>
        <v>3</v>
      </c>
      <c r="L502" s="8">
        <f>[1]Data!L502</f>
        <v>0</v>
      </c>
      <c r="M502" s="8">
        <f>[1]Data!M502</f>
        <v>3</v>
      </c>
      <c r="N502" s="8">
        <f>[1]Data!N502</f>
        <v>6.8181818181818205E-2</v>
      </c>
      <c r="O502" s="8">
        <f>[1]Data!O502</f>
        <v>0</v>
      </c>
      <c r="P502" s="8">
        <f>[1]Data!P502</f>
        <v>0.88636363636363602</v>
      </c>
      <c r="Q502" s="8">
        <f>[1]Data!Q502</f>
        <v>0</v>
      </c>
      <c r="R502" s="8">
        <f>[1]Data!R502</f>
        <v>0</v>
      </c>
      <c r="S502" s="8">
        <f>[1]Data!S502</f>
        <v>0</v>
      </c>
      <c r="T502">
        <f t="shared" si="35"/>
        <v>6.8181818181818205E-2</v>
      </c>
      <c r="U502">
        <f t="shared" si="36"/>
        <v>0</v>
      </c>
      <c r="V502" s="4" t="str">
        <f t="shared" si="37"/>
        <v>0</v>
      </c>
      <c r="W502" s="4" t="str">
        <f t="shared" si="38"/>
        <v>8</v>
      </c>
      <c r="X502" s="4" t="str">
        <f t="shared" si="39"/>
        <v>0INDIV8</v>
      </c>
      <c r="Y502">
        <f>VLOOKUP(X502,Sheet1!$J$5:$K$121,2,FALSE)</f>
        <v>0</v>
      </c>
    </row>
    <row r="503" spans="1:25" x14ac:dyDescent="0.25">
      <c r="A503" s="8">
        <f>[1]Data!A503</f>
        <v>602104</v>
      </c>
      <c r="B503" s="8">
        <f>[1]Data!B503</f>
        <v>8</v>
      </c>
      <c r="C503" s="8">
        <f>[1]Data!C503</f>
        <v>0</v>
      </c>
      <c r="D503" s="8">
        <f>[1]Data!D503</f>
        <v>2</v>
      </c>
      <c r="E503" s="8" t="str">
        <f>[1]Data!E503</f>
        <v>INDIV</v>
      </c>
      <c r="F503" s="8" t="str">
        <f>[1]Data!F503</f>
        <v>Hawthorne</v>
      </c>
      <c r="G503" s="8">
        <f>[1]Data!G503</f>
        <v>0</v>
      </c>
      <c r="H503" s="8">
        <f>[1]Data!H503</f>
        <v>0</v>
      </c>
      <c r="I503" s="8">
        <f>[1]Data!I503</f>
        <v>1</v>
      </c>
      <c r="J503" s="8">
        <f>[1]Data!J503</f>
        <v>0</v>
      </c>
      <c r="K503" s="8">
        <f>[1]Data!K503</f>
        <v>1</v>
      </c>
      <c r="L503" s="8">
        <f>[1]Data!L503</f>
        <v>0</v>
      </c>
      <c r="M503" s="8">
        <f>[1]Data!M503</f>
        <v>1</v>
      </c>
      <c r="N503" s="8">
        <f>[1]Data!N503</f>
        <v>6.8181818181818205E-2</v>
      </c>
      <c r="O503" s="8">
        <f>[1]Data!O503</f>
        <v>0</v>
      </c>
      <c r="P503" s="8">
        <f>[1]Data!P503</f>
        <v>0.88636363636363602</v>
      </c>
      <c r="Q503" s="8">
        <f>[1]Data!Q503</f>
        <v>0</v>
      </c>
      <c r="R503" s="8">
        <f>[1]Data!R503</f>
        <v>0</v>
      </c>
      <c r="S503" s="8">
        <f>[1]Data!S503</f>
        <v>0</v>
      </c>
      <c r="T503">
        <f t="shared" si="35"/>
        <v>6.8181818181818205E-2</v>
      </c>
      <c r="U503">
        <f t="shared" si="36"/>
        <v>0</v>
      </c>
      <c r="V503" s="4" t="str">
        <f t="shared" si="37"/>
        <v>0</v>
      </c>
      <c r="W503" s="4" t="str">
        <f t="shared" si="38"/>
        <v>8</v>
      </c>
      <c r="X503" s="4" t="str">
        <f t="shared" si="39"/>
        <v>0INDIV8</v>
      </c>
      <c r="Y503">
        <f>VLOOKUP(X503,Sheet1!$J$5:$K$121,2,FALSE)</f>
        <v>0</v>
      </c>
    </row>
    <row r="504" spans="1:25" x14ac:dyDescent="0.25">
      <c r="A504" s="8">
        <f>[1]Data!A504</f>
        <v>602505</v>
      </c>
      <c r="B504" s="8">
        <f>[1]Data!B504</f>
        <v>8</v>
      </c>
      <c r="C504" s="8">
        <f>[1]Data!C504</f>
        <v>0</v>
      </c>
      <c r="D504" s="8">
        <f>[1]Data!D504</f>
        <v>2</v>
      </c>
      <c r="E504" s="8" t="str">
        <f>[1]Data!E504</f>
        <v>INDIV</v>
      </c>
      <c r="F504" s="8" t="str">
        <f>[1]Data!F504</f>
        <v>Hawthorne</v>
      </c>
      <c r="G504" s="8">
        <f>[1]Data!G504</f>
        <v>0</v>
      </c>
      <c r="H504" s="8">
        <f>[1]Data!H504</f>
        <v>0</v>
      </c>
      <c r="I504" s="8">
        <f>[1]Data!I504</f>
        <v>0</v>
      </c>
      <c r="J504" s="8">
        <f>[1]Data!J504</f>
        <v>0</v>
      </c>
      <c r="K504" s="8">
        <f>[1]Data!K504</f>
        <v>0</v>
      </c>
      <c r="L504" s="8">
        <f>[1]Data!L504</f>
        <v>0</v>
      </c>
      <c r="M504" s="8">
        <f>[1]Data!M504</f>
        <v>0</v>
      </c>
      <c r="N504" s="8">
        <f>[1]Data!N504</f>
        <v>6.8181818181818205E-2</v>
      </c>
      <c r="O504" s="8">
        <f>[1]Data!O504</f>
        <v>0</v>
      </c>
      <c r="P504" s="8">
        <f>[1]Data!P504</f>
        <v>0.88636363636363602</v>
      </c>
      <c r="Q504" s="8">
        <f>[1]Data!Q504</f>
        <v>0</v>
      </c>
      <c r="R504" s="8">
        <f>[1]Data!R504</f>
        <v>0</v>
      </c>
      <c r="S504" s="8">
        <f>[1]Data!S504</f>
        <v>0</v>
      </c>
      <c r="T504">
        <f t="shared" si="35"/>
        <v>6.8181818181818205E-2</v>
      </c>
      <c r="U504">
        <f t="shared" si="36"/>
        <v>0</v>
      </c>
      <c r="V504" s="4" t="str">
        <f t="shared" si="37"/>
        <v>0</v>
      </c>
      <c r="W504" s="4" t="str">
        <f t="shared" si="38"/>
        <v>8</v>
      </c>
      <c r="X504" s="4" t="str">
        <f t="shared" si="39"/>
        <v>0INDIV8</v>
      </c>
      <c r="Y504">
        <f>VLOOKUP(X504,Sheet1!$J$5:$K$121,2,FALSE)</f>
        <v>0</v>
      </c>
    </row>
    <row r="505" spans="1:25" x14ac:dyDescent="0.25">
      <c r="A505" s="8">
        <f>[1]Data!A505</f>
        <v>602700</v>
      </c>
      <c r="B505" s="8">
        <f>[1]Data!B505</f>
        <v>8</v>
      </c>
      <c r="C505" s="8">
        <f>[1]Data!C505</f>
        <v>0</v>
      </c>
      <c r="D505" s="8">
        <f>[1]Data!D505</f>
        <v>2</v>
      </c>
      <c r="E505" s="8" t="str">
        <f>[1]Data!E505</f>
        <v>INDIV</v>
      </c>
      <c r="F505" s="8" t="str">
        <f>[1]Data!F505</f>
        <v>Hawthorne</v>
      </c>
      <c r="G505" s="8">
        <f>[1]Data!G505</f>
        <v>0</v>
      </c>
      <c r="H505" s="8">
        <f>[1]Data!H505</f>
        <v>0</v>
      </c>
      <c r="I505" s="8">
        <f>[1]Data!I505</f>
        <v>6.399</v>
      </c>
      <c r="J505" s="8">
        <f>[1]Data!J505</f>
        <v>3.1723287400000002</v>
      </c>
      <c r="K505" s="8">
        <f>[1]Data!K505</f>
        <v>6.1723287400000002</v>
      </c>
      <c r="L505" s="8">
        <f>[1]Data!L505</f>
        <v>0.22643751642728899</v>
      </c>
      <c r="M505" s="8">
        <f>[1]Data!M505</f>
        <v>6.3987662564272902</v>
      </c>
      <c r="N505" s="8">
        <f>[1]Data!N505</f>
        <v>6.8181818181818205E-2</v>
      </c>
      <c r="O505" s="8">
        <f>[1]Data!O505</f>
        <v>0</v>
      </c>
      <c r="P505" s="8">
        <f>[1]Data!P505</f>
        <v>0.88636363636363602</v>
      </c>
      <c r="Q505" s="8">
        <f>[1]Data!Q505</f>
        <v>0</v>
      </c>
      <c r="R505" s="8">
        <f>[1]Data!R505</f>
        <v>0</v>
      </c>
      <c r="S505" s="8">
        <f>[1]Data!S505</f>
        <v>0</v>
      </c>
      <c r="T505">
        <f t="shared" si="35"/>
        <v>6.8181818181818205E-2</v>
      </c>
      <c r="U505">
        <f t="shared" si="36"/>
        <v>0</v>
      </c>
      <c r="V505" s="4" t="str">
        <f t="shared" si="37"/>
        <v>0</v>
      </c>
      <c r="W505" s="4" t="str">
        <f t="shared" si="38"/>
        <v>8</v>
      </c>
      <c r="X505" s="4" t="str">
        <f t="shared" si="39"/>
        <v>0INDIV8</v>
      </c>
      <c r="Y505">
        <f>VLOOKUP(X505,Sheet1!$J$5:$K$121,2,FALSE)</f>
        <v>0</v>
      </c>
    </row>
    <row r="506" spans="1:25" x14ac:dyDescent="0.25">
      <c r="A506" s="8">
        <f>[1]Data!A506</f>
        <v>601211</v>
      </c>
      <c r="B506" s="8">
        <f>[1]Data!B506</f>
        <v>8</v>
      </c>
      <c r="C506" s="8">
        <f>[1]Data!C506</f>
        <v>0</v>
      </c>
      <c r="D506" s="8">
        <f>[1]Data!D506</f>
        <v>2</v>
      </c>
      <c r="E506" s="8" t="str">
        <f>[1]Data!E506</f>
        <v>INDIV</v>
      </c>
      <c r="F506" s="8" t="str">
        <f>[1]Data!F506</f>
        <v>Inglewood</v>
      </c>
      <c r="G506" s="8">
        <f>[1]Data!G506</f>
        <v>0</v>
      </c>
      <c r="H506" s="8">
        <f>[1]Data!H506</f>
        <v>0</v>
      </c>
      <c r="I506" s="8">
        <f>[1]Data!I506</f>
        <v>6.5419999999999998</v>
      </c>
      <c r="J506" s="8">
        <f>[1]Data!J506</f>
        <v>5.3711442800000002</v>
      </c>
      <c r="K506" s="8">
        <f>[1]Data!K506</f>
        <v>6.3711442800000002</v>
      </c>
      <c r="L506" s="8">
        <f>[1]Data!L506</f>
        <v>0.170596342657092</v>
      </c>
      <c r="M506" s="8">
        <f>[1]Data!M506</f>
        <v>6.5417406226570902</v>
      </c>
      <c r="N506" s="8">
        <f>[1]Data!N506</f>
        <v>6.8181818181818205E-2</v>
      </c>
      <c r="O506" s="8">
        <f>[1]Data!O506</f>
        <v>0</v>
      </c>
      <c r="P506" s="8">
        <f>[1]Data!P506</f>
        <v>0.88636363636363602</v>
      </c>
      <c r="Q506" s="8">
        <f>[1]Data!Q506</f>
        <v>0</v>
      </c>
      <c r="R506" s="8">
        <f>[1]Data!R506</f>
        <v>0</v>
      </c>
      <c r="S506" s="8">
        <f>[1]Data!S506</f>
        <v>0</v>
      </c>
      <c r="T506">
        <f t="shared" si="35"/>
        <v>6.8181818181818205E-2</v>
      </c>
      <c r="U506">
        <f t="shared" si="36"/>
        <v>0</v>
      </c>
      <c r="V506" s="4" t="str">
        <f t="shared" si="37"/>
        <v>0</v>
      </c>
      <c r="W506" s="4" t="str">
        <f t="shared" si="38"/>
        <v>8</v>
      </c>
      <c r="X506" s="4" t="str">
        <f t="shared" si="39"/>
        <v>0INDIV8</v>
      </c>
      <c r="Y506">
        <f>VLOOKUP(X506,Sheet1!$J$5:$K$121,2,FALSE)</f>
        <v>0</v>
      </c>
    </row>
    <row r="507" spans="1:25" x14ac:dyDescent="0.25">
      <c r="A507" s="8">
        <f>[1]Data!A507</f>
        <v>603600</v>
      </c>
      <c r="B507" s="8">
        <f>[1]Data!B507</f>
        <v>8</v>
      </c>
      <c r="C507" s="8">
        <f>[1]Data!C507</f>
        <v>0</v>
      </c>
      <c r="D507" s="8">
        <f>[1]Data!D507</f>
        <v>2</v>
      </c>
      <c r="E507" s="8" t="str">
        <f>[1]Data!E507</f>
        <v>INDIV</v>
      </c>
      <c r="F507" s="8" t="str">
        <f>[1]Data!F507</f>
        <v>Gardena</v>
      </c>
      <c r="G507" s="8">
        <f>[1]Data!G507</f>
        <v>0</v>
      </c>
      <c r="H507" s="8">
        <f>[1]Data!H507</f>
        <v>0</v>
      </c>
      <c r="I507" s="8">
        <f>[1]Data!I507</f>
        <v>10.829000000000001</v>
      </c>
      <c r="J507" s="8">
        <f>[1]Data!J507</f>
        <v>5.6217117700000001</v>
      </c>
      <c r="K507" s="8">
        <f>[1]Data!K507</f>
        <v>10.621711769999999</v>
      </c>
      <c r="L507" s="8">
        <f>[1]Data!L507</f>
        <v>0.20678343375224401</v>
      </c>
      <c r="M507" s="8">
        <f>[1]Data!M507</f>
        <v>10.828495203752199</v>
      </c>
      <c r="N507" s="8">
        <f>[1]Data!N507</f>
        <v>6.8181818181818205E-2</v>
      </c>
      <c r="O507" s="8">
        <f>[1]Data!O507</f>
        <v>0</v>
      </c>
      <c r="P507" s="8">
        <f>[1]Data!P507</f>
        <v>0.88636363636363602</v>
      </c>
      <c r="Q507" s="8">
        <f>[1]Data!Q507</f>
        <v>0</v>
      </c>
      <c r="R507" s="8">
        <f>[1]Data!R507</f>
        <v>0</v>
      </c>
      <c r="S507" s="8">
        <f>[1]Data!S507</f>
        <v>0</v>
      </c>
      <c r="T507">
        <f t="shared" si="35"/>
        <v>6.8181818181818205E-2</v>
      </c>
      <c r="U507">
        <f t="shared" si="36"/>
        <v>0</v>
      </c>
      <c r="V507" s="4" t="str">
        <f t="shared" si="37"/>
        <v>0</v>
      </c>
      <c r="W507" s="4" t="str">
        <f t="shared" si="38"/>
        <v>8</v>
      </c>
      <c r="X507" s="4" t="str">
        <f t="shared" si="39"/>
        <v>0INDIV8</v>
      </c>
      <c r="Y507">
        <f>VLOOKUP(X507,Sheet1!$J$5:$K$121,2,FALSE)</f>
        <v>0</v>
      </c>
    </row>
    <row r="508" spans="1:25" x14ac:dyDescent="0.25">
      <c r="A508" s="8">
        <f>[1]Data!A508</f>
        <v>620305</v>
      </c>
      <c r="B508" s="8">
        <f>[1]Data!B508</f>
        <v>8</v>
      </c>
      <c r="C508" s="8">
        <f>[1]Data!C508</f>
        <v>0</v>
      </c>
      <c r="D508" s="8">
        <f>[1]Data!D508</f>
        <v>4</v>
      </c>
      <c r="E508" s="8" t="str">
        <f>[1]Data!E508</f>
        <v>INDIV</v>
      </c>
      <c r="F508" s="8" t="str">
        <f>[1]Data!F508</f>
        <v>Manhattan Beach</v>
      </c>
      <c r="G508" s="8">
        <f>[1]Data!G508</f>
        <v>0</v>
      </c>
      <c r="H508" s="8">
        <f>[1]Data!H508</f>
        <v>0</v>
      </c>
      <c r="I508" s="8">
        <f>[1]Data!I508</f>
        <v>0</v>
      </c>
      <c r="J508" s="8">
        <f>[1]Data!J508</f>
        <v>0</v>
      </c>
      <c r="K508" s="8">
        <f>[1]Data!K508</f>
        <v>0</v>
      </c>
      <c r="L508" s="8">
        <f>[1]Data!L508</f>
        <v>0</v>
      </c>
      <c r="M508" s="8">
        <f>[1]Data!M508</f>
        <v>0</v>
      </c>
      <c r="N508" s="8">
        <f>[1]Data!N508</f>
        <v>6.8181818181818205E-2</v>
      </c>
      <c r="O508" s="8">
        <f>[1]Data!O508</f>
        <v>0</v>
      </c>
      <c r="P508" s="8">
        <f>[1]Data!P508</f>
        <v>0.88636363636363602</v>
      </c>
      <c r="Q508" s="8">
        <f>[1]Data!Q508</f>
        <v>0</v>
      </c>
      <c r="R508" s="8">
        <f>[1]Data!R508</f>
        <v>0</v>
      </c>
      <c r="S508" s="8">
        <f>[1]Data!S508</f>
        <v>0</v>
      </c>
      <c r="T508">
        <f t="shared" si="35"/>
        <v>6.8181818181818205E-2</v>
      </c>
      <c r="U508">
        <f t="shared" si="36"/>
        <v>0</v>
      </c>
      <c r="V508" s="4" t="str">
        <f t="shared" si="37"/>
        <v>0</v>
      </c>
      <c r="W508" s="4" t="str">
        <f t="shared" si="38"/>
        <v>8</v>
      </c>
      <c r="X508" s="4" t="str">
        <f t="shared" si="39"/>
        <v>0INDIV8</v>
      </c>
      <c r="Y508">
        <f>VLOOKUP(X508,Sheet1!$J$5:$K$121,2,FALSE)</f>
        <v>0</v>
      </c>
    </row>
    <row r="509" spans="1:25" x14ac:dyDescent="0.25">
      <c r="A509" s="8">
        <f>[1]Data!A509</f>
        <v>600502</v>
      </c>
      <c r="B509" s="8">
        <f>[1]Data!B509</f>
        <v>8</v>
      </c>
      <c r="C509" s="8">
        <f>[1]Data!C509</f>
        <v>0</v>
      </c>
      <c r="D509" s="8">
        <f>[1]Data!D509</f>
        <v>2</v>
      </c>
      <c r="E509" s="8" t="str">
        <f>[1]Data!E509</f>
        <v>INDIV</v>
      </c>
      <c r="F509" s="8" t="str">
        <f>[1]Data!F509</f>
        <v>Inglewood</v>
      </c>
      <c r="G509" s="8">
        <f>[1]Data!G509</f>
        <v>0</v>
      </c>
      <c r="H509" s="8">
        <f>[1]Data!H509</f>
        <v>0</v>
      </c>
      <c r="I509" s="8">
        <f>[1]Data!I509</f>
        <v>0</v>
      </c>
      <c r="J509" s="8">
        <f>[1]Data!J509</f>
        <v>0</v>
      </c>
      <c r="K509" s="8">
        <f>[1]Data!K509</f>
        <v>0</v>
      </c>
      <c r="L509" s="8">
        <f>[1]Data!L509</f>
        <v>0</v>
      </c>
      <c r="M509" s="8">
        <f>[1]Data!M509</f>
        <v>0</v>
      </c>
      <c r="N509" s="8">
        <f>[1]Data!N509</f>
        <v>6.8181818181818205E-2</v>
      </c>
      <c r="O509" s="8">
        <f>[1]Data!O509</f>
        <v>0</v>
      </c>
      <c r="P509" s="8">
        <f>[1]Data!P509</f>
        <v>0.88636363636363602</v>
      </c>
      <c r="Q509" s="8">
        <f>[1]Data!Q509</f>
        <v>0</v>
      </c>
      <c r="R509" s="8">
        <f>[1]Data!R509</f>
        <v>0</v>
      </c>
      <c r="S509" s="8">
        <f>[1]Data!S509</f>
        <v>0</v>
      </c>
      <c r="T509">
        <f t="shared" si="35"/>
        <v>6.8181818181818205E-2</v>
      </c>
      <c r="U509">
        <f t="shared" si="36"/>
        <v>0</v>
      </c>
      <c r="V509" s="4" t="str">
        <f t="shared" si="37"/>
        <v>0</v>
      </c>
      <c r="W509" s="4" t="str">
        <f t="shared" si="38"/>
        <v>8</v>
      </c>
      <c r="X509" s="4" t="str">
        <f t="shared" si="39"/>
        <v>0INDIV8</v>
      </c>
      <c r="Y509">
        <f>VLOOKUP(X509,Sheet1!$J$5:$K$121,2,FALSE)</f>
        <v>0</v>
      </c>
    </row>
    <row r="510" spans="1:25" x14ac:dyDescent="0.25">
      <c r="A510" s="8">
        <f>[1]Data!A510</f>
        <v>620521</v>
      </c>
      <c r="B510" s="8">
        <f>[1]Data!B510</f>
        <v>8</v>
      </c>
      <c r="C510" s="8">
        <f>[1]Data!C510</f>
        <v>0</v>
      </c>
      <c r="D510" s="8">
        <f>[1]Data!D510</f>
        <v>4</v>
      </c>
      <c r="E510" s="8" t="str">
        <f>[1]Data!E510</f>
        <v>INDIV</v>
      </c>
      <c r="F510" s="8" t="str">
        <f>[1]Data!F510</f>
        <v>Redondo Beach</v>
      </c>
      <c r="G510" s="8">
        <f>[1]Data!G510</f>
        <v>0</v>
      </c>
      <c r="H510" s="8">
        <f>[1]Data!H510</f>
        <v>0</v>
      </c>
      <c r="I510" s="8">
        <f>[1]Data!I510</f>
        <v>16.466000000000001</v>
      </c>
      <c r="J510" s="8">
        <f>[1]Data!J510</f>
        <v>8.8294921199999994</v>
      </c>
      <c r="K510" s="8">
        <f>[1]Data!K510</f>
        <v>15.829492119999999</v>
      </c>
      <c r="L510" s="8">
        <f>[1]Data!L510</f>
        <v>0.63642181642728901</v>
      </c>
      <c r="M510" s="8">
        <f>[1]Data!M510</f>
        <v>16.465913936427299</v>
      </c>
      <c r="N510" s="8">
        <f>[1]Data!N510</f>
        <v>6.8181818181818205E-2</v>
      </c>
      <c r="O510" s="8">
        <f>[1]Data!O510</f>
        <v>0</v>
      </c>
      <c r="P510" s="8">
        <f>[1]Data!P510</f>
        <v>0.88636363636363602</v>
      </c>
      <c r="Q510" s="8">
        <f>[1]Data!Q510</f>
        <v>0</v>
      </c>
      <c r="R510" s="8">
        <f>[1]Data!R510</f>
        <v>0</v>
      </c>
      <c r="S510" s="8">
        <f>[1]Data!S510</f>
        <v>0</v>
      </c>
      <c r="T510">
        <f t="shared" si="35"/>
        <v>6.8181818181818205E-2</v>
      </c>
      <c r="U510">
        <f t="shared" si="36"/>
        <v>0</v>
      </c>
      <c r="V510" s="4" t="str">
        <f t="shared" si="37"/>
        <v>0</v>
      </c>
      <c r="W510" s="4" t="str">
        <f t="shared" si="38"/>
        <v>8</v>
      </c>
      <c r="X510" s="4" t="str">
        <f t="shared" si="39"/>
        <v>0INDIV8</v>
      </c>
      <c r="Y510">
        <f>VLOOKUP(X510,Sheet1!$J$5:$K$121,2,FALSE)</f>
        <v>0</v>
      </c>
    </row>
    <row r="511" spans="1:25" x14ac:dyDescent="0.25">
      <c r="A511" s="8">
        <f>[1]Data!A511</f>
        <v>620602</v>
      </c>
      <c r="B511" s="8">
        <f>[1]Data!B511</f>
        <v>8</v>
      </c>
      <c r="C511" s="8">
        <f>[1]Data!C511</f>
        <v>0</v>
      </c>
      <c r="D511" s="8">
        <f>[1]Data!D511</f>
        <v>4</v>
      </c>
      <c r="E511" s="8" t="str">
        <f>[1]Data!E511</f>
        <v>INDIV</v>
      </c>
      <c r="F511" s="8" t="str">
        <f>[1]Data!F511</f>
        <v>Redondo Beach</v>
      </c>
      <c r="G511" s="8">
        <f>[1]Data!G511</f>
        <v>0</v>
      </c>
      <c r="H511" s="8">
        <f>[1]Data!H511</f>
        <v>0</v>
      </c>
      <c r="I511" s="8">
        <f>[1]Data!I511</f>
        <v>5.181</v>
      </c>
      <c r="J511" s="8">
        <f>[1]Data!J511</f>
        <v>2.87839314</v>
      </c>
      <c r="K511" s="8">
        <f>[1]Data!K511</f>
        <v>4.87839314</v>
      </c>
      <c r="L511" s="8">
        <f>[1]Data!L511</f>
        <v>0.30290401228007202</v>
      </c>
      <c r="M511" s="8">
        <f>[1]Data!M511</f>
        <v>5.1812971522800702</v>
      </c>
      <c r="N511" s="8">
        <f>[1]Data!N511</f>
        <v>6.8181818181818205E-2</v>
      </c>
      <c r="O511" s="8">
        <f>[1]Data!O511</f>
        <v>0</v>
      </c>
      <c r="P511" s="8">
        <f>[1]Data!P511</f>
        <v>0.88636363636363602</v>
      </c>
      <c r="Q511" s="8">
        <f>[1]Data!Q511</f>
        <v>0</v>
      </c>
      <c r="R511" s="8">
        <f>[1]Data!R511</f>
        <v>0</v>
      </c>
      <c r="S511" s="8">
        <f>[1]Data!S511</f>
        <v>0</v>
      </c>
      <c r="T511">
        <f t="shared" si="35"/>
        <v>6.8181818181818205E-2</v>
      </c>
      <c r="U511">
        <f t="shared" si="36"/>
        <v>0</v>
      </c>
      <c r="V511" s="4" t="str">
        <f t="shared" si="37"/>
        <v>0</v>
      </c>
      <c r="W511" s="4" t="str">
        <f t="shared" si="38"/>
        <v>8</v>
      </c>
      <c r="X511" s="4" t="str">
        <f t="shared" si="39"/>
        <v>0INDIV8</v>
      </c>
      <c r="Y511">
        <f>VLOOKUP(X511,Sheet1!$J$5:$K$121,2,FALSE)</f>
        <v>0</v>
      </c>
    </row>
    <row r="512" spans="1:25" x14ac:dyDescent="0.25">
      <c r="A512" s="8">
        <f>[1]Data!A512</f>
        <v>543503</v>
      </c>
      <c r="B512" s="8">
        <f>[1]Data!B512</f>
        <v>8</v>
      </c>
      <c r="C512" s="8">
        <f>[1]Data!C512</f>
        <v>0</v>
      </c>
      <c r="D512" s="8">
        <f>[1]Data!D512</f>
        <v>2</v>
      </c>
      <c r="E512" s="8" t="str">
        <f>[1]Data!E512</f>
        <v>INDIV</v>
      </c>
      <c r="F512" s="8" t="str">
        <f>[1]Data!F512</f>
        <v>West Carson</v>
      </c>
      <c r="G512" s="8">
        <f>[1]Data!G512</f>
        <v>0</v>
      </c>
      <c r="H512" s="8">
        <f>[1]Data!H512</f>
        <v>0</v>
      </c>
      <c r="I512" s="8">
        <f>[1]Data!I512</f>
        <v>9.0950000000000006</v>
      </c>
      <c r="J512" s="8">
        <f>[1]Data!J512</f>
        <v>1.9836996600000001</v>
      </c>
      <c r="K512" s="8">
        <f>[1]Data!K512</f>
        <v>8.9836996599999992</v>
      </c>
      <c r="L512" s="8">
        <f>[1]Data!L512</f>
        <v>0.11117260138240601</v>
      </c>
      <c r="M512" s="8">
        <f>[1]Data!M512</f>
        <v>9.0948722613824007</v>
      </c>
      <c r="N512" s="8">
        <f>[1]Data!N512</f>
        <v>6.8181818181818205E-2</v>
      </c>
      <c r="O512" s="8">
        <f>[1]Data!O512</f>
        <v>0</v>
      </c>
      <c r="P512" s="8">
        <f>[1]Data!P512</f>
        <v>0.88636363636363602</v>
      </c>
      <c r="Q512" s="8">
        <f>[1]Data!Q512</f>
        <v>0</v>
      </c>
      <c r="R512" s="8">
        <f>[1]Data!R512</f>
        <v>0</v>
      </c>
      <c r="S512" s="8">
        <f>[1]Data!S512</f>
        <v>0</v>
      </c>
      <c r="T512">
        <f t="shared" si="35"/>
        <v>6.8181818181818205E-2</v>
      </c>
      <c r="U512">
        <f t="shared" si="36"/>
        <v>0</v>
      </c>
      <c r="V512" s="4" t="str">
        <f t="shared" si="37"/>
        <v>0</v>
      </c>
      <c r="W512" s="4" t="str">
        <f t="shared" si="38"/>
        <v>8</v>
      </c>
      <c r="X512" s="4" t="str">
        <f t="shared" si="39"/>
        <v>0INDIV8</v>
      </c>
      <c r="Y512">
        <f>VLOOKUP(X512,Sheet1!$J$5:$K$121,2,FALSE)</f>
        <v>0</v>
      </c>
    </row>
    <row r="513" spans="1:25" x14ac:dyDescent="0.25">
      <c r="A513" s="8">
        <f>[1]Data!A513</f>
        <v>620702</v>
      </c>
      <c r="B513" s="8">
        <f>[1]Data!B513</f>
        <v>8</v>
      </c>
      <c r="C513" s="8">
        <f>[1]Data!C513</f>
        <v>0</v>
      </c>
      <c r="D513" s="8">
        <f>[1]Data!D513</f>
        <v>4</v>
      </c>
      <c r="E513" s="8" t="str">
        <f>[1]Data!E513</f>
        <v>INDIV</v>
      </c>
      <c r="F513" s="8" t="str">
        <f>[1]Data!F513</f>
        <v>Redondo Beach</v>
      </c>
      <c r="G513" s="8">
        <f>[1]Data!G513</f>
        <v>1</v>
      </c>
      <c r="H513" s="8">
        <f>[1]Data!H513</f>
        <v>1</v>
      </c>
      <c r="I513" s="8">
        <f>[1]Data!I513</f>
        <v>3.903</v>
      </c>
      <c r="J513" s="8">
        <f>[1]Data!J513</f>
        <v>3.7168318299999998</v>
      </c>
      <c r="K513" s="8">
        <f>[1]Data!K513</f>
        <v>3.7168318299999998</v>
      </c>
      <c r="L513" s="8">
        <f>[1]Data!L513</f>
        <v>0.18615811166965901</v>
      </c>
      <c r="M513" s="8">
        <f>[1]Data!M513</f>
        <v>3.9029899416696598</v>
      </c>
      <c r="N513" s="8">
        <f>[1]Data!N513</f>
        <v>6.8181818181818205E-2</v>
      </c>
      <c r="O513" s="8">
        <f>[1]Data!O513</f>
        <v>14.6666666666667</v>
      </c>
      <c r="P513" s="8">
        <f>[1]Data!P513</f>
        <v>0.88636363636363602</v>
      </c>
      <c r="Q513" s="8">
        <f>[1]Data!Q513</f>
        <v>0</v>
      </c>
      <c r="R513" s="8">
        <f>[1]Data!R513</f>
        <v>0</v>
      </c>
      <c r="S513" s="8">
        <f>[1]Data!S513</f>
        <v>0</v>
      </c>
      <c r="T513">
        <f t="shared" si="35"/>
        <v>6.8181818181818205E-2</v>
      </c>
      <c r="U513">
        <f t="shared" si="36"/>
        <v>14.666666666666663</v>
      </c>
      <c r="V513" s="4" t="str">
        <f t="shared" si="37"/>
        <v>0</v>
      </c>
      <c r="W513" s="4" t="str">
        <f t="shared" si="38"/>
        <v>8</v>
      </c>
      <c r="X513" s="4" t="str">
        <f t="shared" si="39"/>
        <v>0INDIV8</v>
      </c>
      <c r="Y513">
        <f>VLOOKUP(X513,Sheet1!$J$5:$K$121,2,FALSE)</f>
        <v>0</v>
      </c>
    </row>
    <row r="514" spans="1:25" x14ac:dyDescent="0.25">
      <c r="A514" s="8">
        <f>[1]Data!A514</f>
        <v>621002</v>
      </c>
      <c r="B514" s="8">
        <f>[1]Data!B514</f>
        <v>8</v>
      </c>
      <c r="C514" s="8">
        <f>[1]Data!C514</f>
        <v>0</v>
      </c>
      <c r="D514" s="8">
        <f>[1]Data!D514</f>
        <v>4</v>
      </c>
      <c r="E514" s="8" t="str">
        <f>[1]Data!E514</f>
        <v>INDIV</v>
      </c>
      <c r="F514" s="8" t="str">
        <f>[1]Data!F514</f>
        <v>Hermosa Beach</v>
      </c>
      <c r="G514" s="8">
        <f>[1]Data!G514</f>
        <v>0</v>
      </c>
      <c r="H514" s="8">
        <f>[1]Data!H514</f>
        <v>0</v>
      </c>
      <c r="I514" s="8">
        <f>[1]Data!I514</f>
        <v>6</v>
      </c>
      <c r="J514" s="8">
        <f>[1]Data!J514</f>
        <v>0</v>
      </c>
      <c r="K514" s="8">
        <f>[1]Data!K514</f>
        <v>6</v>
      </c>
      <c r="L514" s="8">
        <f>[1]Data!L514</f>
        <v>0</v>
      </c>
      <c r="M514" s="8">
        <f>[1]Data!M514</f>
        <v>6</v>
      </c>
      <c r="N514" s="8">
        <f>[1]Data!N514</f>
        <v>6.8181818181818205E-2</v>
      </c>
      <c r="O514" s="8">
        <f>[1]Data!O514</f>
        <v>0</v>
      </c>
      <c r="P514" s="8">
        <f>[1]Data!P514</f>
        <v>0.88636363636363602</v>
      </c>
      <c r="Q514" s="8">
        <f>[1]Data!Q514</f>
        <v>0</v>
      </c>
      <c r="R514" s="8">
        <f>[1]Data!R514</f>
        <v>0</v>
      </c>
      <c r="S514" s="8">
        <f>[1]Data!S514</f>
        <v>0</v>
      </c>
      <c r="T514">
        <f t="shared" si="35"/>
        <v>6.8181818181818205E-2</v>
      </c>
      <c r="U514">
        <f t="shared" si="36"/>
        <v>0</v>
      </c>
      <c r="V514" s="4" t="str">
        <f t="shared" si="37"/>
        <v>0</v>
      </c>
      <c r="W514" s="4" t="str">
        <f t="shared" si="38"/>
        <v>8</v>
      </c>
      <c r="X514" s="4" t="str">
        <f t="shared" si="39"/>
        <v>0INDIV8</v>
      </c>
      <c r="Y514">
        <f>VLOOKUP(X514,Sheet1!$J$5:$K$121,2,FALSE)</f>
        <v>0</v>
      </c>
    </row>
    <row r="515" spans="1:25" x14ac:dyDescent="0.25">
      <c r="A515" s="8">
        <f>[1]Data!A515</f>
        <v>621004</v>
      </c>
      <c r="B515" s="8">
        <f>[1]Data!B515</f>
        <v>8</v>
      </c>
      <c r="C515" s="8">
        <f>[1]Data!C515</f>
        <v>0</v>
      </c>
      <c r="D515" s="8">
        <f>[1]Data!D515</f>
        <v>4</v>
      </c>
      <c r="E515" s="8" t="str">
        <f>[1]Data!E515</f>
        <v>INDIV</v>
      </c>
      <c r="F515" s="8" t="str">
        <f>[1]Data!F515</f>
        <v>Hermosa Beach</v>
      </c>
      <c r="G515" s="8">
        <f>[1]Data!G515</f>
        <v>0</v>
      </c>
      <c r="H515" s="8">
        <f>[1]Data!H515</f>
        <v>0</v>
      </c>
      <c r="I515" s="8">
        <f>[1]Data!I515</f>
        <v>2.9260000000000002</v>
      </c>
      <c r="J515" s="8">
        <f>[1]Data!J515</f>
        <v>1.90487994</v>
      </c>
      <c r="K515" s="8">
        <f>[1]Data!K515</f>
        <v>2.9048799399999998</v>
      </c>
      <c r="L515" s="8">
        <f>[1]Data!L515</f>
        <v>2.0625322082585301E-2</v>
      </c>
      <c r="M515" s="8">
        <f>[1]Data!M515</f>
        <v>2.9255052620825901</v>
      </c>
      <c r="N515" s="8">
        <f>[1]Data!N515</f>
        <v>6.8181818181818205E-2</v>
      </c>
      <c r="O515" s="8">
        <f>[1]Data!O515</f>
        <v>0</v>
      </c>
      <c r="P515" s="8">
        <f>[1]Data!P515</f>
        <v>0.88636363636363602</v>
      </c>
      <c r="Q515" s="8">
        <f>[1]Data!Q515</f>
        <v>0</v>
      </c>
      <c r="R515" s="8">
        <f>[1]Data!R515</f>
        <v>0</v>
      </c>
      <c r="S515" s="8">
        <f>[1]Data!S515</f>
        <v>0</v>
      </c>
      <c r="T515">
        <f t="shared" ref="T515:T578" si="40">N515+Y515*(1-N515)</f>
        <v>6.8181818181818205E-2</v>
      </c>
      <c r="U515">
        <f t="shared" ref="U515:U578" si="41">IF(T515="",0,1/T515*H515)</f>
        <v>0</v>
      </c>
      <c r="V515" s="4" t="str">
        <f t="shared" ref="V515:V578" si="42">TEXT(C515,"0")</f>
        <v>0</v>
      </c>
      <c r="W515" s="4" t="str">
        <f t="shared" ref="W515:W578" si="43">TEXT(B515,"0")</f>
        <v>8</v>
      </c>
      <c r="X515" s="4" t="str">
        <f t="shared" ref="X515:X578" si="44">CONCATENATE(V515,E515,W515)</f>
        <v>0INDIV8</v>
      </c>
      <c r="Y515">
        <f>VLOOKUP(X515,Sheet1!$J$5:$K$121,2,FALSE)</f>
        <v>0</v>
      </c>
    </row>
    <row r="516" spans="1:25" x14ac:dyDescent="0.25">
      <c r="A516" s="8">
        <f>[1]Data!A516</f>
        <v>621104</v>
      </c>
      <c r="B516" s="8">
        <f>[1]Data!B516</f>
        <v>8</v>
      </c>
      <c r="C516" s="8">
        <f>[1]Data!C516</f>
        <v>0</v>
      </c>
      <c r="D516" s="8">
        <f>[1]Data!D516</f>
        <v>4</v>
      </c>
      <c r="E516" s="8" t="str">
        <f>[1]Data!E516</f>
        <v>INDIV</v>
      </c>
      <c r="F516" s="8" t="str">
        <f>[1]Data!F516</f>
        <v>Hermosa Beach</v>
      </c>
      <c r="G516" s="8">
        <f>[1]Data!G516</f>
        <v>0</v>
      </c>
      <c r="H516" s="8">
        <f>[1]Data!H516</f>
        <v>0</v>
      </c>
      <c r="I516" s="8">
        <f>[1]Data!I516</f>
        <v>4.0949999999999998</v>
      </c>
      <c r="J516" s="8">
        <f>[1]Data!J516</f>
        <v>1.9836996600000001</v>
      </c>
      <c r="K516" s="8">
        <f>[1]Data!K516</f>
        <v>3.9836996600000001</v>
      </c>
      <c r="L516" s="8">
        <f>[1]Data!L516</f>
        <v>0.11117260138240601</v>
      </c>
      <c r="M516" s="8">
        <f>[1]Data!M516</f>
        <v>4.0948722613824096</v>
      </c>
      <c r="N516" s="8">
        <f>[1]Data!N516</f>
        <v>6.8181818181818205E-2</v>
      </c>
      <c r="O516" s="8">
        <f>[1]Data!O516</f>
        <v>0</v>
      </c>
      <c r="P516" s="8">
        <f>[1]Data!P516</f>
        <v>0.88636363636363602</v>
      </c>
      <c r="Q516" s="8">
        <f>[1]Data!Q516</f>
        <v>0</v>
      </c>
      <c r="R516" s="8">
        <f>[1]Data!R516</f>
        <v>0</v>
      </c>
      <c r="S516" s="8">
        <f>[1]Data!S516</f>
        <v>0</v>
      </c>
      <c r="T516">
        <f t="shared" si="40"/>
        <v>6.8181818181818205E-2</v>
      </c>
      <c r="U516">
        <f t="shared" si="41"/>
        <v>0</v>
      </c>
      <c r="V516" s="4" t="str">
        <f t="shared" si="42"/>
        <v>0</v>
      </c>
      <c r="W516" s="4" t="str">
        <f t="shared" si="43"/>
        <v>8</v>
      </c>
      <c r="X516" s="4" t="str">
        <f t="shared" si="44"/>
        <v>0INDIV8</v>
      </c>
      <c r="Y516">
        <f>VLOOKUP(X516,Sheet1!$J$5:$K$121,2,FALSE)</f>
        <v>0</v>
      </c>
    </row>
    <row r="517" spans="1:25" x14ac:dyDescent="0.25">
      <c r="A517" s="8">
        <f>[1]Data!A517</f>
        <v>621400</v>
      </c>
      <c r="B517" s="8">
        <f>[1]Data!B517</f>
        <v>8</v>
      </c>
      <c r="C517" s="8">
        <f>[1]Data!C517</f>
        <v>0</v>
      </c>
      <c r="D517" s="8">
        <f>[1]Data!D517</f>
        <v>4</v>
      </c>
      <c r="E517" s="8" t="str">
        <f>[1]Data!E517</f>
        <v>INDIV</v>
      </c>
      <c r="F517" s="8" t="str">
        <f>[1]Data!F517</f>
        <v>Redondo Beach</v>
      </c>
      <c r="G517" s="8">
        <f>[1]Data!G517</f>
        <v>0</v>
      </c>
      <c r="H517" s="8">
        <f>[1]Data!H517</f>
        <v>0</v>
      </c>
      <c r="I517" s="8">
        <f>[1]Data!I517</f>
        <v>9.2850000000000001</v>
      </c>
      <c r="J517" s="8">
        <f>[1]Data!J517</f>
        <v>5.9510989800000003</v>
      </c>
      <c r="K517" s="8">
        <f>[1]Data!K517</f>
        <v>8.9510989799999994</v>
      </c>
      <c r="L517" s="8">
        <f>[1]Data!L517</f>
        <v>0.33351780414721699</v>
      </c>
      <c r="M517" s="8">
        <f>[1]Data!M517</f>
        <v>9.2846167841472198</v>
      </c>
      <c r="N517" s="8">
        <f>[1]Data!N517</f>
        <v>6.8181818181818205E-2</v>
      </c>
      <c r="O517" s="8">
        <f>[1]Data!O517</f>
        <v>0</v>
      </c>
      <c r="P517" s="8">
        <f>[1]Data!P517</f>
        <v>0.88636363636363602</v>
      </c>
      <c r="Q517" s="8">
        <f>[1]Data!Q517</f>
        <v>0</v>
      </c>
      <c r="R517" s="8">
        <f>[1]Data!R517</f>
        <v>0</v>
      </c>
      <c r="S517" s="8">
        <f>[1]Data!S517</f>
        <v>0</v>
      </c>
      <c r="T517">
        <f t="shared" si="40"/>
        <v>6.8181818181818205E-2</v>
      </c>
      <c r="U517">
        <f t="shared" si="41"/>
        <v>0</v>
      </c>
      <c r="V517" s="4" t="str">
        <f t="shared" si="42"/>
        <v>0</v>
      </c>
      <c r="W517" s="4" t="str">
        <f t="shared" si="43"/>
        <v>8</v>
      </c>
      <c r="X517" s="4" t="str">
        <f t="shared" si="44"/>
        <v>0INDIV8</v>
      </c>
      <c r="Y517">
        <f>VLOOKUP(X517,Sheet1!$J$5:$K$121,2,FALSE)</f>
        <v>0</v>
      </c>
    </row>
    <row r="518" spans="1:25" x14ac:dyDescent="0.25">
      <c r="A518" s="8">
        <f>[1]Data!A518</f>
        <v>650200</v>
      </c>
      <c r="B518" s="8">
        <f>[1]Data!B518</f>
        <v>8</v>
      </c>
      <c r="C518" s="8">
        <f>[1]Data!C518</f>
        <v>0</v>
      </c>
      <c r="D518" s="8">
        <f>[1]Data!D518</f>
        <v>4</v>
      </c>
      <c r="E518" s="8" t="str">
        <f>[1]Data!E518</f>
        <v>INDIV</v>
      </c>
      <c r="F518" s="8" t="str">
        <f>[1]Data!F518</f>
        <v>Torrance</v>
      </c>
      <c r="G518" s="8">
        <f>[1]Data!G518</f>
        <v>0</v>
      </c>
      <c r="H518" s="8">
        <f>[1]Data!H518</f>
        <v>0</v>
      </c>
      <c r="I518" s="8">
        <f>[1]Data!I518</f>
        <v>1</v>
      </c>
      <c r="J518" s="8">
        <f>[1]Data!J518</f>
        <v>0</v>
      </c>
      <c r="K518" s="8">
        <f>[1]Data!K518</f>
        <v>1</v>
      </c>
      <c r="L518" s="8">
        <f>[1]Data!L518</f>
        <v>0</v>
      </c>
      <c r="M518" s="8">
        <f>[1]Data!M518</f>
        <v>1</v>
      </c>
      <c r="N518" s="8">
        <f>[1]Data!N518</f>
        <v>6.8181818181818205E-2</v>
      </c>
      <c r="O518" s="8">
        <f>[1]Data!O518</f>
        <v>0</v>
      </c>
      <c r="P518" s="8">
        <f>[1]Data!P518</f>
        <v>0.88636363636363602</v>
      </c>
      <c r="Q518" s="8">
        <f>[1]Data!Q518</f>
        <v>0</v>
      </c>
      <c r="R518" s="8">
        <f>[1]Data!R518</f>
        <v>0</v>
      </c>
      <c r="S518" s="8">
        <f>[1]Data!S518</f>
        <v>0</v>
      </c>
      <c r="T518">
        <f t="shared" si="40"/>
        <v>6.8181818181818205E-2</v>
      </c>
      <c r="U518">
        <f t="shared" si="41"/>
        <v>0</v>
      </c>
      <c r="V518" s="4" t="str">
        <f t="shared" si="42"/>
        <v>0</v>
      </c>
      <c r="W518" s="4" t="str">
        <f t="shared" si="43"/>
        <v>8</v>
      </c>
      <c r="X518" s="4" t="str">
        <f t="shared" si="44"/>
        <v>0INDIV8</v>
      </c>
      <c r="Y518">
        <f>VLOOKUP(X518,Sheet1!$J$5:$K$121,2,FALSE)</f>
        <v>0</v>
      </c>
    </row>
    <row r="519" spans="1:25" x14ac:dyDescent="0.25">
      <c r="A519" s="8">
        <f>[1]Data!A519</f>
        <v>650502</v>
      </c>
      <c r="B519" s="8">
        <f>[1]Data!B519</f>
        <v>8</v>
      </c>
      <c r="C519" s="8">
        <f>[1]Data!C519</f>
        <v>0</v>
      </c>
      <c r="D519" s="8">
        <f>[1]Data!D519</f>
        <v>4</v>
      </c>
      <c r="E519" s="8" t="str">
        <f>[1]Data!E519</f>
        <v>INDIV</v>
      </c>
      <c r="F519" s="8" t="str">
        <f>[1]Data!F519</f>
        <v>Torrance</v>
      </c>
      <c r="G519" s="8">
        <f>[1]Data!G519</f>
        <v>0</v>
      </c>
      <c r="H519" s="8">
        <f>[1]Data!H519</f>
        <v>0</v>
      </c>
      <c r="I519" s="8">
        <f>[1]Data!I519</f>
        <v>0</v>
      </c>
      <c r="J519" s="8">
        <f>[1]Data!J519</f>
        <v>0</v>
      </c>
      <c r="K519" s="8">
        <f>[1]Data!K519</f>
        <v>0</v>
      </c>
      <c r="L519" s="8">
        <f>[1]Data!L519</f>
        <v>0</v>
      </c>
      <c r="M519" s="8">
        <f>[1]Data!M519</f>
        <v>0</v>
      </c>
      <c r="N519" s="8">
        <f>[1]Data!N519</f>
        <v>6.8181818181818205E-2</v>
      </c>
      <c r="O519" s="8">
        <f>[1]Data!O519</f>
        <v>0</v>
      </c>
      <c r="P519" s="8">
        <f>[1]Data!P519</f>
        <v>0.88636363636363602</v>
      </c>
      <c r="Q519" s="8">
        <f>[1]Data!Q519</f>
        <v>0</v>
      </c>
      <c r="R519" s="8">
        <f>[1]Data!R519</f>
        <v>0</v>
      </c>
      <c r="S519" s="8">
        <f>[1]Data!S519</f>
        <v>0</v>
      </c>
      <c r="T519">
        <f t="shared" si="40"/>
        <v>6.8181818181818205E-2</v>
      </c>
      <c r="U519">
        <f t="shared" si="41"/>
        <v>0</v>
      </c>
      <c r="V519" s="4" t="str">
        <f t="shared" si="42"/>
        <v>0</v>
      </c>
      <c r="W519" s="4" t="str">
        <f t="shared" si="43"/>
        <v>8</v>
      </c>
      <c r="X519" s="4" t="str">
        <f t="shared" si="44"/>
        <v>0INDIV8</v>
      </c>
      <c r="Y519">
        <f>VLOOKUP(X519,Sheet1!$J$5:$K$121,2,FALSE)</f>
        <v>0</v>
      </c>
    </row>
    <row r="520" spans="1:25" x14ac:dyDescent="0.25">
      <c r="A520" s="8">
        <f>[1]Data!A520</f>
        <v>621324</v>
      </c>
      <c r="B520" s="8">
        <f>[1]Data!B520</f>
        <v>8</v>
      </c>
      <c r="C520" s="8">
        <f>[1]Data!C520</f>
        <v>0</v>
      </c>
      <c r="D520" s="8">
        <f>[1]Data!D520</f>
        <v>4</v>
      </c>
      <c r="E520" s="8" t="str">
        <f>[1]Data!E520</f>
        <v>INDIV</v>
      </c>
      <c r="F520" s="8" t="str">
        <f>[1]Data!F520</f>
        <v>Redondo Beach</v>
      </c>
      <c r="G520" s="8">
        <f>[1]Data!G520</f>
        <v>0</v>
      </c>
      <c r="H520" s="8">
        <f>[1]Data!H520</f>
        <v>0</v>
      </c>
      <c r="I520" s="8">
        <f>[1]Data!I520</f>
        <v>10</v>
      </c>
      <c r="J520" s="8">
        <f>[1]Data!J520</f>
        <v>0</v>
      </c>
      <c r="K520" s="8">
        <f>[1]Data!K520</f>
        <v>10</v>
      </c>
      <c r="L520" s="8">
        <f>[1]Data!L520</f>
        <v>0</v>
      </c>
      <c r="M520" s="8">
        <f>[1]Data!M520</f>
        <v>10</v>
      </c>
      <c r="N520" s="8">
        <f>[1]Data!N520</f>
        <v>6.8181818181818205E-2</v>
      </c>
      <c r="O520" s="8">
        <f>[1]Data!O520</f>
        <v>0</v>
      </c>
      <c r="P520" s="8">
        <f>[1]Data!P520</f>
        <v>0.88636363636363602</v>
      </c>
      <c r="Q520" s="8">
        <f>[1]Data!Q520</f>
        <v>0</v>
      </c>
      <c r="R520" s="8">
        <f>[1]Data!R520</f>
        <v>0</v>
      </c>
      <c r="S520" s="8">
        <f>[1]Data!S520</f>
        <v>0</v>
      </c>
      <c r="T520">
        <f t="shared" si="40"/>
        <v>6.8181818181818205E-2</v>
      </c>
      <c r="U520">
        <f t="shared" si="41"/>
        <v>0</v>
      </c>
      <c r="V520" s="4" t="str">
        <f t="shared" si="42"/>
        <v>0</v>
      </c>
      <c r="W520" s="4" t="str">
        <f t="shared" si="43"/>
        <v>8</v>
      </c>
      <c r="X520" s="4" t="str">
        <f t="shared" si="44"/>
        <v>0INDIV8</v>
      </c>
      <c r="Y520">
        <f>VLOOKUP(X520,Sheet1!$J$5:$K$121,2,FALSE)</f>
        <v>0</v>
      </c>
    </row>
    <row r="521" spans="1:25" x14ac:dyDescent="0.25">
      <c r="A521" s="8">
        <f>[1]Data!A521</f>
        <v>650603</v>
      </c>
      <c r="B521" s="8">
        <f>[1]Data!B521</f>
        <v>8</v>
      </c>
      <c r="C521" s="8">
        <f>[1]Data!C521</f>
        <v>0</v>
      </c>
      <c r="D521" s="8">
        <f>[1]Data!D521</f>
        <v>4</v>
      </c>
      <c r="E521" s="8" t="str">
        <f>[1]Data!E521</f>
        <v>INDIV</v>
      </c>
      <c r="F521" s="8" t="str">
        <f>[1]Data!F521</f>
        <v>Torrance</v>
      </c>
      <c r="G521" s="8">
        <f>[1]Data!G521</f>
        <v>0</v>
      </c>
      <c r="H521" s="8">
        <f>[1]Data!H521</f>
        <v>0</v>
      </c>
      <c r="I521" s="8">
        <f>[1]Data!I521</f>
        <v>0</v>
      </c>
      <c r="J521" s="8">
        <f>[1]Data!J521</f>
        <v>0</v>
      </c>
      <c r="K521" s="8">
        <f>[1]Data!K521</f>
        <v>0</v>
      </c>
      <c r="L521" s="8">
        <f>[1]Data!L521</f>
        <v>0</v>
      </c>
      <c r="M521" s="8">
        <f>[1]Data!M521</f>
        <v>0</v>
      </c>
      <c r="N521" s="8">
        <f>[1]Data!N521</f>
        <v>6.8181818181818205E-2</v>
      </c>
      <c r="O521" s="8">
        <f>[1]Data!O521</f>
        <v>0</v>
      </c>
      <c r="P521" s="8">
        <f>[1]Data!P521</f>
        <v>0.88636363636363602</v>
      </c>
      <c r="Q521" s="8">
        <f>[1]Data!Q521</f>
        <v>0</v>
      </c>
      <c r="R521" s="8">
        <f>[1]Data!R521</f>
        <v>0</v>
      </c>
      <c r="S521" s="8">
        <f>[1]Data!S521</f>
        <v>0</v>
      </c>
      <c r="T521">
        <f t="shared" si="40"/>
        <v>6.8181818181818205E-2</v>
      </c>
      <c r="U521">
        <f t="shared" si="41"/>
        <v>0</v>
      </c>
      <c r="V521" s="4" t="str">
        <f t="shared" si="42"/>
        <v>0</v>
      </c>
      <c r="W521" s="4" t="str">
        <f t="shared" si="43"/>
        <v>8</v>
      </c>
      <c r="X521" s="4" t="str">
        <f t="shared" si="44"/>
        <v>0INDIV8</v>
      </c>
      <c r="Y521">
        <f>VLOOKUP(X521,Sheet1!$J$5:$K$121,2,FALSE)</f>
        <v>0</v>
      </c>
    </row>
    <row r="522" spans="1:25" x14ac:dyDescent="0.25">
      <c r="A522" s="8">
        <f>[1]Data!A522</f>
        <v>650604</v>
      </c>
      <c r="B522" s="8">
        <f>[1]Data!B522</f>
        <v>8</v>
      </c>
      <c r="C522" s="8">
        <f>[1]Data!C522</f>
        <v>0</v>
      </c>
      <c r="D522" s="8">
        <f>[1]Data!D522</f>
        <v>4</v>
      </c>
      <c r="E522" s="8" t="str">
        <f>[1]Data!E522</f>
        <v>INDIV</v>
      </c>
      <c r="F522" s="8" t="str">
        <f>[1]Data!F522</f>
        <v>Torrance</v>
      </c>
      <c r="G522" s="8">
        <f>[1]Data!G522</f>
        <v>0</v>
      </c>
      <c r="H522" s="8">
        <f>[1]Data!H522</f>
        <v>0</v>
      </c>
      <c r="I522" s="8">
        <f>[1]Data!I522</f>
        <v>0</v>
      </c>
      <c r="J522" s="8">
        <f>[1]Data!J522</f>
        <v>0</v>
      </c>
      <c r="K522" s="8">
        <f>[1]Data!K522</f>
        <v>0</v>
      </c>
      <c r="L522" s="8">
        <f>[1]Data!L522</f>
        <v>0</v>
      </c>
      <c r="M522" s="8">
        <f>[1]Data!M522</f>
        <v>0</v>
      </c>
      <c r="N522" s="8">
        <f>[1]Data!N522</f>
        <v>6.8181818181818205E-2</v>
      </c>
      <c r="O522" s="8">
        <f>[1]Data!O522</f>
        <v>0</v>
      </c>
      <c r="P522" s="8">
        <f>[1]Data!P522</f>
        <v>0.88636363636363602</v>
      </c>
      <c r="Q522" s="8">
        <f>[1]Data!Q522</f>
        <v>0</v>
      </c>
      <c r="R522" s="8">
        <f>[1]Data!R522</f>
        <v>0</v>
      </c>
      <c r="S522" s="8">
        <f>[1]Data!S522</f>
        <v>0</v>
      </c>
      <c r="T522">
        <f t="shared" si="40"/>
        <v>6.8181818181818205E-2</v>
      </c>
      <c r="U522">
        <f t="shared" si="41"/>
        <v>0</v>
      </c>
      <c r="V522" s="4" t="str">
        <f t="shared" si="42"/>
        <v>0</v>
      </c>
      <c r="W522" s="4" t="str">
        <f t="shared" si="43"/>
        <v>8</v>
      </c>
      <c r="X522" s="4" t="str">
        <f t="shared" si="44"/>
        <v>0INDIV8</v>
      </c>
      <c r="Y522">
        <f>VLOOKUP(X522,Sheet1!$J$5:$K$121,2,FALSE)</f>
        <v>0</v>
      </c>
    </row>
    <row r="523" spans="1:25" x14ac:dyDescent="0.25">
      <c r="A523" s="8">
        <f>[1]Data!A523</f>
        <v>650701</v>
      </c>
      <c r="B523" s="8">
        <f>[1]Data!B523</f>
        <v>8</v>
      </c>
      <c r="C523" s="8">
        <f>[1]Data!C523</f>
        <v>0</v>
      </c>
      <c r="D523" s="8">
        <f>[1]Data!D523</f>
        <v>4</v>
      </c>
      <c r="E523" s="8" t="str">
        <f>[1]Data!E523</f>
        <v>INDIV</v>
      </c>
      <c r="F523" s="8" t="str">
        <f>[1]Data!F523</f>
        <v>Torrance</v>
      </c>
      <c r="G523" s="8">
        <f>[1]Data!G523</f>
        <v>0</v>
      </c>
      <c r="H523" s="8">
        <f>[1]Data!H523</f>
        <v>0</v>
      </c>
      <c r="I523" s="8">
        <f>[1]Data!I523</f>
        <v>7.181</v>
      </c>
      <c r="J523" s="8">
        <f>[1]Data!J523</f>
        <v>2.87839314</v>
      </c>
      <c r="K523" s="8">
        <f>[1]Data!K523</f>
        <v>6.87839314</v>
      </c>
      <c r="L523" s="8">
        <f>[1]Data!L523</f>
        <v>0.30290401228007202</v>
      </c>
      <c r="M523" s="8">
        <f>[1]Data!M523</f>
        <v>7.1812971522800702</v>
      </c>
      <c r="N523" s="8">
        <f>[1]Data!N523</f>
        <v>6.8181818181818205E-2</v>
      </c>
      <c r="O523" s="8">
        <f>[1]Data!O523</f>
        <v>0</v>
      </c>
      <c r="P523" s="8">
        <f>[1]Data!P523</f>
        <v>0.88636363636363602</v>
      </c>
      <c r="Q523" s="8">
        <f>[1]Data!Q523</f>
        <v>0</v>
      </c>
      <c r="R523" s="8">
        <f>[1]Data!R523</f>
        <v>0</v>
      </c>
      <c r="S523" s="8">
        <f>[1]Data!S523</f>
        <v>0</v>
      </c>
      <c r="T523">
        <f t="shared" si="40"/>
        <v>6.8181818181818205E-2</v>
      </c>
      <c r="U523">
        <f t="shared" si="41"/>
        <v>0</v>
      </c>
      <c r="V523" s="4" t="str">
        <f t="shared" si="42"/>
        <v>0</v>
      </c>
      <c r="W523" s="4" t="str">
        <f t="shared" si="43"/>
        <v>8</v>
      </c>
      <c r="X523" s="4" t="str">
        <f t="shared" si="44"/>
        <v>0INDIV8</v>
      </c>
      <c r="Y523">
        <f>VLOOKUP(X523,Sheet1!$J$5:$K$121,2,FALSE)</f>
        <v>0</v>
      </c>
    </row>
    <row r="524" spans="1:25" x14ac:dyDescent="0.25">
      <c r="A524" s="8">
        <f>[1]Data!A524</f>
        <v>650901</v>
      </c>
      <c r="B524" s="8">
        <f>[1]Data!B524</f>
        <v>8</v>
      </c>
      <c r="C524" s="8">
        <f>[1]Data!C524</f>
        <v>0</v>
      </c>
      <c r="D524" s="8">
        <f>[1]Data!D524</f>
        <v>4</v>
      </c>
      <c r="E524" s="8" t="str">
        <f>[1]Data!E524</f>
        <v>INDIV</v>
      </c>
      <c r="F524" s="8" t="str">
        <f>[1]Data!F524</f>
        <v>Torrance</v>
      </c>
      <c r="G524" s="8">
        <f>[1]Data!G524</f>
        <v>1</v>
      </c>
      <c r="H524" s="8">
        <f>[1]Data!H524</f>
        <v>1</v>
      </c>
      <c r="I524" s="8">
        <f>[1]Data!I524</f>
        <v>0</v>
      </c>
      <c r="J524" s="8">
        <f>[1]Data!J524</f>
        <v>0</v>
      </c>
      <c r="K524" s="8">
        <f>[1]Data!K524</f>
        <v>0</v>
      </c>
      <c r="L524" s="8">
        <f>[1]Data!L524</f>
        <v>0</v>
      </c>
      <c r="M524" s="8">
        <f>[1]Data!M524</f>
        <v>0</v>
      </c>
      <c r="N524" s="8">
        <f>[1]Data!N524</f>
        <v>6.8181818181818205E-2</v>
      </c>
      <c r="O524" s="8">
        <f>[1]Data!O524</f>
        <v>14.6666666666667</v>
      </c>
      <c r="P524" s="8">
        <f>[1]Data!P524</f>
        <v>0.88636363636363602</v>
      </c>
      <c r="Q524" s="8">
        <f>[1]Data!Q524</f>
        <v>0</v>
      </c>
      <c r="R524" s="8">
        <f>[1]Data!R524</f>
        <v>0</v>
      </c>
      <c r="S524" s="8">
        <f>[1]Data!S524</f>
        <v>0</v>
      </c>
      <c r="T524">
        <f t="shared" si="40"/>
        <v>6.8181818181818205E-2</v>
      </c>
      <c r="U524">
        <f t="shared" si="41"/>
        <v>14.666666666666663</v>
      </c>
      <c r="V524" s="4" t="str">
        <f t="shared" si="42"/>
        <v>0</v>
      </c>
      <c r="W524" s="4" t="str">
        <f t="shared" si="43"/>
        <v>8</v>
      </c>
      <c r="X524" s="4" t="str">
        <f t="shared" si="44"/>
        <v>0INDIV8</v>
      </c>
      <c r="Y524">
        <f>VLOOKUP(X524,Sheet1!$J$5:$K$121,2,FALSE)</f>
        <v>0</v>
      </c>
    </row>
    <row r="525" spans="1:25" x14ac:dyDescent="0.25">
      <c r="A525" s="8">
        <f>[1]Data!A525</f>
        <v>650902</v>
      </c>
      <c r="B525" s="8">
        <f>[1]Data!B525</f>
        <v>8</v>
      </c>
      <c r="C525" s="8">
        <f>[1]Data!C525</f>
        <v>0</v>
      </c>
      <c r="D525" s="8">
        <f>[1]Data!D525</f>
        <v>4</v>
      </c>
      <c r="E525" s="8" t="str">
        <f>[1]Data!E525</f>
        <v>INDIV</v>
      </c>
      <c r="F525" s="8" t="str">
        <f>[1]Data!F525</f>
        <v>Torrance</v>
      </c>
      <c r="G525" s="8">
        <f>[1]Data!G525</f>
        <v>0</v>
      </c>
      <c r="H525" s="8">
        <f>[1]Data!H525</f>
        <v>0</v>
      </c>
      <c r="I525" s="8">
        <f>[1]Data!I525</f>
        <v>5.6859999999999999</v>
      </c>
      <c r="J525" s="8">
        <f>[1]Data!J525</f>
        <v>3.4228962300000001</v>
      </c>
      <c r="K525" s="8">
        <f>[1]Data!K525</f>
        <v>5.4228962300000001</v>
      </c>
      <c r="L525" s="8">
        <f>[1]Data!L525</f>
        <v>0.26262460752244199</v>
      </c>
      <c r="M525" s="8">
        <f>[1]Data!M525</f>
        <v>5.6855208375224402</v>
      </c>
      <c r="N525" s="8">
        <f>[1]Data!N525</f>
        <v>6.8181818181818205E-2</v>
      </c>
      <c r="O525" s="8">
        <f>[1]Data!O525</f>
        <v>0</v>
      </c>
      <c r="P525" s="8">
        <f>[1]Data!P525</f>
        <v>0.88636363636363602</v>
      </c>
      <c r="Q525" s="8">
        <f>[1]Data!Q525</f>
        <v>0</v>
      </c>
      <c r="R525" s="8">
        <f>[1]Data!R525</f>
        <v>0</v>
      </c>
      <c r="S525" s="8">
        <f>[1]Data!S525</f>
        <v>0</v>
      </c>
      <c r="T525">
        <f t="shared" si="40"/>
        <v>6.8181818181818205E-2</v>
      </c>
      <c r="U525">
        <f t="shared" si="41"/>
        <v>0</v>
      </c>
      <c r="V525" s="4" t="str">
        <f t="shared" si="42"/>
        <v>0</v>
      </c>
      <c r="W525" s="4" t="str">
        <f t="shared" si="43"/>
        <v>8</v>
      </c>
      <c r="X525" s="4" t="str">
        <f t="shared" si="44"/>
        <v>0INDIV8</v>
      </c>
      <c r="Y525">
        <f>VLOOKUP(X525,Sheet1!$J$5:$K$121,2,FALSE)</f>
        <v>0</v>
      </c>
    </row>
    <row r="526" spans="1:25" x14ac:dyDescent="0.25">
      <c r="A526" s="8">
        <f>[1]Data!A526</f>
        <v>651304</v>
      </c>
      <c r="B526" s="8">
        <f>[1]Data!B526</f>
        <v>8</v>
      </c>
      <c r="C526" s="8">
        <f>[1]Data!C526</f>
        <v>0</v>
      </c>
      <c r="D526" s="8">
        <f>[1]Data!D526</f>
        <v>4</v>
      </c>
      <c r="E526" s="8" t="str">
        <f>[1]Data!E526</f>
        <v>INDIV</v>
      </c>
      <c r="F526" s="8" t="str">
        <f>[1]Data!F526</f>
        <v>Torrance</v>
      </c>
      <c r="G526" s="8">
        <f>[1]Data!G526</f>
        <v>0</v>
      </c>
      <c r="H526" s="8">
        <f>[1]Data!H526</f>
        <v>0</v>
      </c>
      <c r="I526" s="8">
        <f>[1]Data!I526</f>
        <v>14.77</v>
      </c>
      <c r="J526" s="8">
        <f>[1]Data!J526</f>
        <v>10.0181212</v>
      </c>
      <c r="K526" s="8">
        <f>[1]Data!K526</f>
        <v>14.0181212</v>
      </c>
      <c r="L526" s="8">
        <f>[1]Data!L526</f>
        <v>0.75168673147217202</v>
      </c>
      <c r="M526" s="8">
        <f>[1]Data!M526</f>
        <v>14.769807931472201</v>
      </c>
      <c r="N526" s="8">
        <f>[1]Data!N526</f>
        <v>6.8181818181818205E-2</v>
      </c>
      <c r="O526" s="8">
        <f>[1]Data!O526</f>
        <v>0</v>
      </c>
      <c r="P526" s="8">
        <f>[1]Data!P526</f>
        <v>0.88636363636363602</v>
      </c>
      <c r="Q526" s="8">
        <f>[1]Data!Q526</f>
        <v>0</v>
      </c>
      <c r="R526" s="8">
        <f>[1]Data!R526</f>
        <v>0</v>
      </c>
      <c r="S526" s="8">
        <f>[1]Data!S526</f>
        <v>0</v>
      </c>
      <c r="T526">
        <f t="shared" si="40"/>
        <v>6.8181818181818205E-2</v>
      </c>
      <c r="U526">
        <f t="shared" si="41"/>
        <v>0</v>
      </c>
      <c r="V526" s="4" t="str">
        <f t="shared" si="42"/>
        <v>0</v>
      </c>
      <c r="W526" s="4" t="str">
        <f t="shared" si="43"/>
        <v>8</v>
      </c>
      <c r="X526" s="4" t="str">
        <f t="shared" si="44"/>
        <v>0INDIV8</v>
      </c>
      <c r="Y526">
        <f>VLOOKUP(X526,Sheet1!$J$5:$K$121,2,FALSE)</f>
        <v>0</v>
      </c>
    </row>
    <row r="527" spans="1:25" x14ac:dyDescent="0.25">
      <c r="A527" s="8">
        <f>[1]Data!A527</f>
        <v>651402</v>
      </c>
      <c r="B527" s="8">
        <f>[1]Data!B527</f>
        <v>8</v>
      </c>
      <c r="C527" s="8">
        <f>[1]Data!C527</f>
        <v>0</v>
      </c>
      <c r="D527" s="8">
        <f>[1]Data!D527</f>
        <v>4</v>
      </c>
      <c r="E527" s="8" t="str">
        <f>[1]Data!E527</f>
        <v>INDIV</v>
      </c>
      <c r="F527" s="8" t="str">
        <f>[1]Data!F527</f>
        <v>Torrance</v>
      </c>
      <c r="G527" s="8">
        <f>[1]Data!G527</f>
        <v>0</v>
      </c>
      <c r="H527" s="8">
        <f>[1]Data!H527</f>
        <v>0</v>
      </c>
      <c r="I527" s="8">
        <f>[1]Data!I527</f>
        <v>1.8080000000000001</v>
      </c>
      <c r="J527" s="8">
        <f>[1]Data!J527</f>
        <v>1.73313217</v>
      </c>
      <c r="K527" s="8">
        <f>[1]Data!K527</f>
        <v>1.73313217</v>
      </c>
      <c r="L527" s="8">
        <f>[1]Data!L527</f>
        <v>7.4985510287253102E-2</v>
      </c>
      <c r="M527" s="8">
        <f>[1]Data!M527</f>
        <v>1.8081176802872501</v>
      </c>
      <c r="N527" s="8">
        <f>[1]Data!N527</f>
        <v>6.8181818181818205E-2</v>
      </c>
      <c r="O527" s="8">
        <f>[1]Data!O527</f>
        <v>0</v>
      </c>
      <c r="P527" s="8">
        <f>[1]Data!P527</f>
        <v>0.88636363636363602</v>
      </c>
      <c r="Q527" s="8">
        <f>[1]Data!Q527</f>
        <v>0</v>
      </c>
      <c r="R527" s="8">
        <f>[1]Data!R527</f>
        <v>0</v>
      </c>
      <c r="S527" s="8">
        <f>[1]Data!S527</f>
        <v>0</v>
      </c>
      <c r="T527">
        <f t="shared" si="40"/>
        <v>6.8181818181818205E-2</v>
      </c>
      <c r="U527">
        <f t="shared" si="41"/>
        <v>0</v>
      </c>
      <c r="V527" s="4" t="str">
        <f t="shared" si="42"/>
        <v>0</v>
      </c>
      <c r="W527" s="4" t="str">
        <f t="shared" si="43"/>
        <v>8</v>
      </c>
      <c r="X527" s="4" t="str">
        <f t="shared" si="44"/>
        <v>0INDIV8</v>
      </c>
      <c r="Y527">
        <f>VLOOKUP(X527,Sheet1!$J$5:$K$121,2,FALSE)</f>
        <v>0</v>
      </c>
    </row>
    <row r="528" spans="1:25" x14ac:dyDescent="0.25">
      <c r="A528" s="8">
        <f>[1]Data!A528</f>
        <v>910712</v>
      </c>
      <c r="B528" s="8">
        <f>[1]Data!B528</f>
        <v>1</v>
      </c>
      <c r="C528" s="8">
        <f>[1]Data!C528</f>
        <v>0</v>
      </c>
      <c r="D528" s="8">
        <f>[1]Data!D528</f>
        <v>5</v>
      </c>
      <c r="E528" s="8" t="str">
        <f>[1]Data!E528</f>
        <v>NON-HS</v>
      </c>
      <c r="F528" s="8" t="str">
        <f>[1]Data!F528</f>
        <v>Palmdale</v>
      </c>
      <c r="G528" s="8">
        <f>[1]Data!G528</f>
        <v>0</v>
      </c>
      <c r="H528" s="8">
        <f>[1]Data!H528</f>
        <v>0</v>
      </c>
      <c r="I528" s="8">
        <f>[1]Data!I528</f>
        <v>2.0950000000000002</v>
      </c>
      <c r="J528" s="8">
        <f>[1]Data!J528</f>
        <v>1.9836996600000001</v>
      </c>
      <c r="K528" s="8">
        <f>[1]Data!K528</f>
        <v>1.9836996600000001</v>
      </c>
      <c r="L528" s="8">
        <f>[1]Data!L528</f>
        <v>0.11117260138240601</v>
      </c>
      <c r="M528" s="8">
        <f>[1]Data!M528</f>
        <v>2.09487226138241</v>
      </c>
      <c r="N528" s="8">
        <f>[1]Data!N528</f>
        <v>0.02</v>
      </c>
      <c r="O528" s="8">
        <f>[1]Data!O528</f>
        <v>0</v>
      </c>
      <c r="P528" s="8">
        <f>[1]Data!P528</f>
        <v>1</v>
      </c>
      <c r="Q528" s="8">
        <f>[1]Data!Q528</f>
        <v>0</v>
      </c>
      <c r="R528" s="8">
        <f>[1]Data!R528</f>
        <v>0</v>
      </c>
      <c r="S528" s="8">
        <f>[1]Data!S528</f>
        <v>0</v>
      </c>
      <c r="T528">
        <f t="shared" si="40"/>
        <v>0.02</v>
      </c>
      <c r="U528">
        <f t="shared" si="41"/>
        <v>0</v>
      </c>
      <c r="V528" s="4" t="str">
        <f t="shared" si="42"/>
        <v>0</v>
      </c>
      <c r="W528" s="4" t="str">
        <f t="shared" si="43"/>
        <v>1</v>
      </c>
      <c r="X528" s="4" t="str">
        <f t="shared" si="44"/>
        <v>0NON-HS1</v>
      </c>
      <c r="Y528">
        <f>VLOOKUP(X528,Sheet1!$J$5:$K$121,2,FALSE)</f>
        <v>0</v>
      </c>
    </row>
    <row r="529" spans="1:25" x14ac:dyDescent="0.25">
      <c r="A529" s="8">
        <f>[1]Data!A529</f>
        <v>980004</v>
      </c>
      <c r="B529" s="8">
        <f>[1]Data!B529</f>
        <v>1</v>
      </c>
      <c r="C529" s="8">
        <f>[1]Data!C529</f>
        <v>0</v>
      </c>
      <c r="D529" s="8">
        <f>[1]Data!D529</f>
        <v>5</v>
      </c>
      <c r="E529" s="8" t="str">
        <f>[1]Data!E529</f>
        <v>NON-HS</v>
      </c>
      <c r="F529" s="8" t="str">
        <f>[1]Data!F529</f>
        <v>Palmdale</v>
      </c>
      <c r="G529" s="8">
        <f>[1]Data!G529</f>
        <v>1</v>
      </c>
      <c r="H529" s="8">
        <f>[1]Data!H529</f>
        <v>1</v>
      </c>
      <c r="I529" s="8">
        <f>[1]Data!I529</f>
        <v>0</v>
      </c>
      <c r="J529" s="8">
        <f>[1]Data!J529</f>
        <v>0</v>
      </c>
      <c r="K529" s="8">
        <f>[1]Data!K529</f>
        <v>0</v>
      </c>
      <c r="L529" s="8">
        <f>[1]Data!L529</f>
        <v>0</v>
      </c>
      <c r="M529" s="8">
        <f>[1]Data!M529</f>
        <v>0</v>
      </c>
      <c r="N529" s="8">
        <f>[1]Data!N529</f>
        <v>0.02</v>
      </c>
      <c r="O529" s="8">
        <f>[1]Data!O529</f>
        <v>50</v>
      </c>
      <c r="P529" s="8">
        <f>[1]Data!P529</f>
        <v>1</v>
      </c>
      <c r="Q529" s="8">
        <f>[1]Data!Q529</f>
        <v>0</v>
      </c>
      <c r="R529" s="8">
        <f>[1]Data!R529</f>
        <v>0</v>
      </c>
      <c r="S529" s="8">
        <f>[1]Data!S529</f>
        <v>0</v>
      </c>
      <c r="T529">
        <f t="shared" si="40"/>
        <v>0.02</v>
      </c>
      <c r="U529">
        <f t="shared" si="41"/>
        <v>50</v>
      </c>
      <c r="V529" s="4" t="str">
        <f t="shared" si="42"/>
        <v>0</v>
      </c>
      <c r="W529" s="4" t="str">
        <f t="shared" si="43"/>
        <v>1</v>
      </c>
      <c r="X529" s="4" t="str">
        <f t="shared" si="44"/>
        <v>0NON-HS1</v>
      </c>
      <c r="Y529">
        <f>VLOOKUP(X529,Sheet1!$J$5:$K$121,2,FALSE)</f>
        <v>0</v>
      </c>
    </row>
    <row r="530" spans="1:25" x14ac:dyDescent="0.25">
      <c r="A530" s="8">
        <f>[1]Data!A530</f>
        <v>901010</v>
      </c>
      <c r="B530" s="8">
        <f>[1]Data!B530</f>
        <v>1</v>
      </c>
      <c r="C530" s="8">
        <f>[1]Data!C530</f>
        <v>0</v>
      </c>
      <c r="D530" s="8">
        <f>[1]Data!D530</f>
        <v>5</v>
      </c>
      <c r="E530" s="8" t="str">
        <f>[1]Data!E530</f>
        <v>NON-HS</v>
      </c>
      <c r="F530" s="8" t="str">
        <f>[1]Data!F530</f>
        <v>Lancaster</v>
      </c>
      <c r="G530" s="8">
        <f>[1]Data!G530</f>
        <v>0</v>
      </c>
      <c r="H530" s="8">
        <f>[1]Data!H530</f>
        <v>0</v>
      </c>
      <c r="I530" s="8">
        <f>[1]Data!I530</f>
        <v>24.587</v>
      </c>
      <c r="J530" s="8">
        <f>[1]Data!J530</f>
        <v>24.31626258</v>
      </c>
      <c r="K530" s="8">
        <f>[1]Data!K530</f>
        <v>24.31626258</v>
      </c>
      <c r="L530" s="8">
        <f>[1]Data!L530</f>
        <v>0.26986240642728898</v>
      </c>
      <c r="M530" s="8">
        <f>[1]Data!M530</f>
        <v>24.586124986427301</v>
      </c>
      <c r="N530" s="8">
        <f>[1]Data!N530</f>
        <v>0.02</v>
      </c>
      <c r="O530" s="8">
        <f>[1]Data!O530</f>
        <v>0</v>
      </c>
      <c r="P530" s="8">
        <f>[1]Data!P530</f>
        <v>1</v>
      </c>
      <c r="Q530" s="8">
        <f>[1]Data!Q530</f>
        <v>0</v>
      </c>
      <c r="R530" s="8">
        <f>[1]Data!R530</f>
        <v>0</v>
      </c>
      <c r="S530" s="8">
        <f>[1]Data!S530</f>
        <v>0</v>
      </c>
      <c r="T530">
        <f t="shared" si="40"/>
        <v>0.02</v>
      </c>
      <c r="U530">
        <f t="shared" si="41"/>
        <v>0</v>
      </c>
      <c r="V530" s="4" t="str">
        <f t="shared" si="42"/>
        <v>0</v>
      </c>
      <c r="W530" s="4" t="str">
        <f t="shared" si="43"/>
        <v>1</v>
      </c>
      <c r="X530" s="4" t="str">
        <f t="shared" si="44"/>
        <v>0NON-HS1</v>
      </c>
      <c r="Y530">
        <f>VLOOKUP(X530,Sheet1!$J$5:$K$121,2,FALSE)</f>
        <v>0</v>
      </c>
    </row>
    <row r="531" spans="1:25" x14ac:dyDescent="0.25">
      <c r="A531" s="8">
        <f>[1]Data!A531</f>
        <v>901101</v>
      </c>
      <c r="B531" s="8">
        <f>[1]Data!B531</f>
        <v>1</v>
      </c>
      <c r="C531" s="8">
        <f>[1]Data!C531</f>
        <v>0</v>
      </c>
      <c r="D531" s="8">
        <f>[1]Data!D531</f>
        <v>5</v>
      </c>
      <c r="E531" s="8" t="str">
        <f>[1]Data!E531</f>
        <v>NON-HS</v>
      </c>
      <c r="F531" s="8" t="str">
        <f>[1]Data!F531</f>
        <v>Lancaster</v>
      </c>
      <c r="G531" s="8">
        <f>[1]Data!G531</f>
        <v>0</v>
      </c>
      <c r="H531" s="8">
        <f>[1]Data!H531</f>
        <v>0</v>
      </c>
      <c r="I531" s="8">
        <f>[1]Data!I531</f>
        <v>0</v>
      </c>
      <c r="J531" s="8">
        <f>[1]Data!J531</f>
        <v>0</v>
      </c>
      <c r="K531" s="8">
        <f>[1]Data!K531</f>
        <v>0</v>
      </c>
      <c r="L531" s="8">
        <f>[1]Data!L531</f>
        <v>0</v>
      </c>
      <c r="M531" s="8">
        <f>[1]Data!M531</f>
        <v>0</v>
      </c>
      <c r="N531" s="8">
        <f>[1]Data!N531</f>
        <v>0.02</v>
      </c>
      <c r="O531" s="8">
        <f>[1]Data!O531</f>
        <v>0</v>
      </c>
      <c r="P531" s="8">
        <f>[1]Data!P531</f>
        <v>1</v>
      </c>
      <c r="Q531" s="8">
        <f>[1]Data!Q531</f>
        <v>0</v>
      </c>
      <c r="R531" s="8">
        <f>[1]Data!R531</f>
        <v>0</v>
      </c>
      <c r="S531" s="8">
        <f>[1]Data!S531</f>
        <v>0</v>
      </c>
      <c r="T531">
        <f t="shared" si="40"/>
        <v>0.02</v>
      </c>
      <c r="U531">
        <f t="shared" si="41"/>
        <v>0</v>
      </c>
      <c r="V531" s="4" t="str">
        <f t="shared" si="42"/>
        <v>0</v>
      </c>
      <c r="W531" s="4" t="str">
        <f t="shared" si="43"/>
        <v>1</v>
      </c>
      <c r="X531" s="4" t="str">
        <f t="shared" si="44"/>
        <v>0NON-HS1</v>
      </c>
      <c r="Y531">
        <f>VLOOKUP(X531,Sheet1!$J$5:$K$121,2,FALSE)</f>
        <v>0</v>
      </c>
    </row>
    <row r="532" spans="1:25" x14ac:dyDescent="0.25">
      <c r="A532" s="8">
        <f>[1]Data!A532</f>
        <v>910711</v>
      </c>
      <c r="B532" s="8">
        <f>[1]Data!B532</f>
        <v>1</v>
      </c>
      <c r="C532" s="8">
        <f>[1]Data!C532</f>
        <v>0</v>
      </c>
      <c r="D532" s="8">
        <f>[1]Data!D532</f>
        <v>5</v>
      </c>
      <c r="E532" s="8" t="str">
        <f>[1]Data!E532</f>
        <v>NON-HS</v>
      </c>
      <c r="F532" s="8" t="str">
        <f>[1]Data!F532</f>
        <v>Palmdale</v>
      </c>
      <c r="G532" s="8">
        <f>[1]Data!G532</f>
        <v>0</v>
      </c>
      <c r="H532" s="8">
        <f>[1]Data!H532</f>
        <v>0</v>
      </c>
      <c r="I532" s="8">
        <f>[1]Data!I532</f>
        <v>7.19</v>
      </c>
      <c r="J532" s="8">
        <f>[1]Data!J532</f>
        <v>3.9673993200000002</v>
      </c>
      <c r="K532" s="8">
        <f>[1]Data!K532</f>
        <v>6.9673993200000002</v>
      </c>
      <c r="L532" s="8">
        <f>[1]Data!L532</f>
        <v>0.22234520276481101</v>
      </c>
      <c r="M532" s="8">
        <f>[1]Data!M532</f>
        <v>7.1897445227648102</v>
      </c>
      <c r="N532" s="8">
        <f>[1]Data!N532</f>
        <v>0.02</v>
      </c>
      <c r="O532" s="8">
        <f>[1]Data!O532</f>
        <v>0</v>
      </c>
      <c r="P532" s="8">
        <f>[1]Data!P532</f>
        <v>1</v>
      </c>
      <c r="Q532" s="8">
        <f>[1]Data!Q532</f>
        <v>0</v>
      </c>
      <c r="R532" s="8">
        <f>[1]Data!R532</f>
        <v>0</v>
      </c>
      <c r="S532" s="8">
        <f>[1]Data!S532</f>
        <v>0</v>
      </c>
      <c r="T532">
        <f t="shared" si="40"/>
        <v>0.02</v>
      </c>
      <c r="U532">
        <f t="shared" si="41"/>
        <v>0</v>
      </c>
      <c r="V532" s="4" t="str">
        <f t="shared" si="42"/>
        <v>0</v>
      </c>
      <c r="W532" s="4" t="str">
        <f t="shared" si="43"/>
        <v>1</v>
      </c>
      <c r="X532" s="4" t="str">
        <f t="shared" si="44"/>
        <v>0NON-HS1</v>
      </c>
      <c r="Y532">
        <f>VLOOKUP(X532,Sheet1!$J$5:$K$121,2,FALSE)</f>
        <v>0</v>
      </c>
    </row>
    <row r="533" spans="1:25" x14ac:dyDescent="0.25">
      <c r="A533" s="8">
        <f>[1]Data!A533</f>
        <v>900608</v>
      </c>
      <c r="B533" s="8">
        <f>[1]Data!B533</f>
        <v>1</v>
      </c>
      <c r="C533" s="8">
        <f>[1]Data!C533</f>
        <v>0</v>
      </c>
      <c r="D533" s="8">
        <f>[1]Data!D533</f>
        <v>5</v>
      </c>
      <c r="E533" s="8" t="str">
        <f>[1]Data!E533</f>
        <v>NON-HS</v>
      </c>
      <c r="F533" s="8" t="str">
        <f>[1]Data!F533</f>
        <v>Lancaster</v>
      </c>
      <c r="G533" s="8">
        <f>[1]Data!G533</f>
        <v>0</v>
      </c>
      <c r="H533" s="8">
        <f>[1]Data!H533</f>
        <v>0</v>
      </c>
      <c r="I533" s="8">
        <f>[1]Data!I533</f>
        <v>0</v>
      </c>
      <c r="J533" s="8">
        <f>[1]Data!J533</f>
        <v>0</v>
      </c>
      <c r="K533" s="8">
        <f>[1]Data!K533</f>
        <v>0</v>
      </c>
      <c r="L533" s="8">
        <f>[1]Data!L533</f>
        <v>0</v>
      </c>
      <c r="M533" s="8">
        <f>[1]Data!M533</f>
        <v>0</v>
      </c>
      <c r="N533" s="8">
        <f>[1]Data!N533</f>
        <v>0.02</v>
      </c>
      <c r="O533" s="8">
        <f>[1]Data!O533</f>
        <v>0</v>
      </c>
      <c r="P533" s="8">
        <f>[1]Data!P533</f>
        <v>1</v>
      </c>
      <c r="Q533" s="8">
        <f>[1]Data!Q533</f>
        <v>0</v>
      </c>
      <c r="R533" s="8">
        <f>[1]Data!R533</f>
        <v>0</v>
      </c>
      <c r="S533" s="8">
        <f>[1]Data!S533</f>
        <v>0</v>
      </c>
      <c r="T533">
        <f t="shared" si="40"/>
        <v>0.02</v>
      </c>
      <c r="U533">
        <f t="shared" si="41"/>
        <v>0</v>
      </c>
      <c r="V533" s="4" t="str">
        <f t="shared" si="42"/>
        <v>0</v>
      </c>
      <c r="W533" s="4" t="str">
        <f t="shared" si="43"/>
        <v>1</v>
      </c>
      <c r="X533" s="4" t="str">
        <f t="shared" si="44"/>
        <v>0NON-HS1</v>
      </c>
      <c r="Y533">
        <f>VLOOKUP(X533,Sheet1!$J$5:$K$121,2,FALSE)</f>
        <v>0</v>
      </c>
    </row>
    <row r="534" spans="1:25" x14ac:dyDescent="0.25">
      <c r="A534" s="8">
        <f>[1]Data!A534</f>
        <v>920012</v>
      </c>
      <c r="B534" s="8">
        <f>[1]Data!B534</f>
        <v>1</v>
      </c>
      <c r="C534" s="8">
        <f>[1]Data!C534</f>
        <v>0</v>
      </c>
      <c r="D534" s="8">
        <f>[1]Data!D534</f>
        <v>5</v>
      </c>
      <c r="E534" s="8" t="str">
        <f>[1]Data!E534</f>
        <v>NON-HS</v>
      </c>
      <c r="F534" s="8" t="str">
        <f>[1]Data!F534</f>
        <v>Unincorporated Antelope Valley</v>
      </c>
      <c r="G534" s="8">
        <f>[1]Data!G534</f>
        <v>0</v>
      </c>
      <c r="H534" s="8">
        <f>[1]Data!H534</f>
        <v>0</v>
      </c>
      <c r="I534" s="8">
        <f>[1]Data!I534</f>
        <v>0</v>
      </c>
      <c r="J534" s="8">
        <f>[1]Data!J534</f>
        <v>0</v>
      </c>
      <c r="K534" s="8">
        <f>[1]Data!K534</f>
        <v>0</v>
      </c>
      <c r="L534" s="8">
        <f>[1]Data!L534</f>
        <v>0</v>
      </c>
      <c r="M534" s="8">
        <f>[1]Data!M534</f>
        <v>0</v>
      </c>
      <c r="N534" s="8">
        <f>[1]Data!N534</f>
        <v>0.02</v>
      </c>
      <c r="O534" s="8">
        <f>[1]Data!O534</f>
        <v>0</v>
      </c>
      <c r="P534" s="8">
        <f>[1]Data!P534</f>
        <v>1</v>
      </c>
      <c r="Q534" s="8">
        <f>[1]Data!Q534</f>
        <v>0</v>
      </c>
      <c r="R534" s="8">
        <f>[1]Data!R534</f>
        <v>0</v>
      </c>
      <c r="S534" s="8">
        <f>[1]Data!S534</f>
        <v>0</v>
      </c>
      <c r="T534">
        <f t="shared" si="40"/>
        <v>0.02</v>
      </c>
      <c r="U534">
        <f t="shared" si="41"/>
        <v>0</v>
      </c>
      <c r="V534" s="4" t="str">
        <f t="shared" si="42"/>
        <v>0</v>
      </c>
      <c r="W534" s="4" t="str">
        <f t="shared" si="43"/>
        <v>1</v>
      </c>
      <c r="X534" s="4" t="str">
        <f t="shared" si="44"/>
        <v>0NON-HS1</v>
      </c>
      <c r="Y534">
        <f>VLOOKUP(X534,Sheet1!$J$5:$K$121,2,FALSE)</f>
        <v>0</v>
      </c>
    </row>
    <row r="535" spans="1:25" x14ac:dyDescent="0.25">
      <c r="A535" s="8">
        <f>[1]Data!A535</f>
        <v>910603</v>
      </c>
      <c r="B535" s="8">
        <f>[1]Data!B535</f>
        <v>1</v>
      </c>
      <c r="C535" s="8">
        <f>[1]Data!C535</f>
        <v>0</v>
      </c>
      <c r="D535" s="8">
        <f>[1]Data!D535</f>
        <v>5</v>
      </c>
      <c r="E535" s="8" t="str">
        <f>[1]Data!E535</f>
        <v>NON-HS</v>
      </c>
      <c r="F535" s="8" t="str">
        <f>[1]Data!F535</f>
        <v>Palmdale</v>
      </c>
      <c r="G535" s="8">
        <f>[1]Data!G535</f>
        <v>0</v>
      </c>
      <c r="H535" s="8">
        <f>[1]Data!H535</f>
        <v>0</v>
      </c>
      <c r="I535" s="8">
        <f>[1]Data!I535</f>
        <v>7.7720000000000002</v>
      </c>
      <c r="J535" s="8">
        <f>[1]Data!J535</f>
        <v>4.31758971</v>
      </c>
      <c r="K535" s="8">
        <f>[1]Data!K535</f>
        <v>7.31758971</v>
      </c>
      <c r="L535" s="8">
        <f>[1]Data!L535</f>
        <v>0.45435601842010798</v>
      </c>
      <c r="M535" s="8">
        <f>[1]Data!M535</f>
        <v>7.7719457284201097</v>
      </c>
      <c r="N535" s="8">
        <f>[1]Data!N535</f>
        <v>0.02</v>
      </c>
      <c r="O535" s="8">
        <f>[1]Data!O535</f>
        <v>0</v>
      </c>
      <c r="P535" s="8">
        <f>[1]Data!P535</f>
        <v>1</v>
      </c>
      <c r="Q535" s="8">
        <f>[1]Data!Q535</f>
        <v>0</v>
      </c>
      <c r="R535" s="8">
        <f>[1]Data!R535</f>
        <v>0</v>
      </c>
      <c r="S535" s="8">
        <f>[1]Data!S535</f>
        <v>0</v>
      </c>
      <c r="T535">
        <f t="shared" si="40"/>
        <v>0.02</v>
      </c>
      <c r="U535">
        <f t="shared" si="41"/>
        <v>0</v>
      </c>
      <c r="V535" s="4" t="str">
        <f t="shared" si="42"/>
        <v>0</v>
      </c>
      <c r="W535" s="4" t="str">
        <f t="shared" si="43"/>
        <v>1</v>
      </c>
      <c r="X535" s="4" t="str">
        <f t="shared" si="44"/>
        <v>0NON-HS1</v>
      </c>
      <c r="Y535">
        <f>VLOOKUP(X535,Sheet1!$J$5:$K$121,2,FALSE)</f>
        <v>0</v>
      </c>
    </row>
    <row r="536" spans="1:25" x14ac:dyDescent="0.25">
      <c r="A536" s="8">
        <f>[1]Data!A536</f>
        <v>910709</v>
      </c>
      <c r="B536" s="8">
        <f>[1]Data!B536</f>
        <v>1</v>
      </c>
      <c r="C536" s="8">
        <f>[1]Data!C536</f>
        <v>0</v>
      </c>
      <c r="D536" s="8">
        <f>[1]Data!D536</f>
        <v>5</v>
      </c>
      <c r="E536" s="8" t="str">
        <f>[1]Data!E536</f>
        <v>NON-HS</v>
      </c>
      <c r="F536" s="8" t="str">
        <f>[1]Data!F536</f>
        <v>Palmdale</v>
      </c>
      <c r="G536" s="8">
        <f>[1]Data!G536</f>
        <v>0</v>
      </c>
      <c r="H536" s="8">
        <f>[1]Data!H536</f>
        <v>0</v>
      </c>
      <c r="I536" s="8">
        <f>[1]Data!I536</f>
        <v>12.007999999999999</v>
      </c>
      <c r="J536" s="8">
        <f>[1]Data!J536</f>
        <v>11.520970200000001</v>
      </c>
      <c r="K536" s="8">
        <f>[1]Data!K536</f>
        <v>11.520970200000001</v>
      </c>
      <c r="L536" s="8">
        <f>[1]Data!L536</f>
        <v>0.48680765937163401</v>
      </c>
      <c r="M536" s="8">
        <f>[1]Data!M536</f>
        <v>12.0077778593716</v>
      </c>
      <c r="N536" s="8">
        <f>[1]Data!N536</f>
        <v>0.02</v>
      </c>
      <c r="O536" s="8">
        <f>[1]Data!O536</f>
        <v>0</v>
      </c>
      <c r="P536" s="8">
        <f>[1]Data!P536</f>
        <v>1</v>
      </c>
      <c r="Q536" s="8">
        <f>[1]Data!Q536</f>
        <v>0</v>
      </c>
      <c r="R536" s="8">
        <f>[1]Data!R536</f>
        <v>0</v>
      </c>
      <c r="S536" s="8">
        <f>[1]Data!S536</f>
        <v>0</v>
      </c>
      <c r="T536">
        <f t="shared" si="40"/>
        <v>0.02</v>
      </c>
      <c r="U536">
        <f t="shared" si="41"/>
        <v>0</v>
      </c>
      <c r="V536" s="4" t="str">
        <f t="shared" si="42"/>
        <v>0</v>
      </c>
      <c r="W536" s="4" t="str">
        <f t="shared" si="43"/>
        <v>1</v>
      </c>
      <c r="X536" s="4" t="str">
        <f t="shared" si="44"/>
        <v>0NON-HS1</v>
      </c>
      <c r="Y536">
        <f>VLOOKUP(X536,Sheet1!$J$5:$K$121,2,FALSE)</f>
        <v>0</v>
      </c>
    </row>
    <row r="537" spans="1:25" x14ac:dyDescent="0.25">
      <c r="A537" s="8">
        <f>[1]Data!A537</f>
        <v>910504</v>
      </c>
      <c r="B537" s="8">
        <f>[1]Data!B537</f>
        <v>1</v>
      </c>
      <c r="C537" s="8">
        <f>[1]Data!C537</f>
        <v>0</v>
      </c>
      <c r="D537" s="8">
        <f>[1]Data!D537</f>
        <v>5</v>
      </c>
      <c r="E537" s="8" t="str">
        <f>[1]Data!E537</f>
        <v>NON-HS</v>
      </c>
      <c r="F537" s="8" t="str">
        <f>[1]Data!F537</f>
        <v>Palmdale</v>
      </c>
      <c r="G537" s="8">
        <f>[1]Data!G537</f>
        <v>0</v>
      </c>
      <c r="H537" s="8">
        <f>[1]Data!H537</f>
        <v>0</v>
      </c>
      <c r="I537" s="8">
        <f>[1]Data!I537</f>
        <v>20.216000000000001</v>
      </c>
      <c r="J537" s="8">
        <f>[1]Data!J537</f>
        <v>16.025977860000001</v>
      </c>
      <c r="K537" s="8">
        <f>[1]Data!K537</f>
        <v>20.025977860000001</v>
      </c>
      <c r="L537" s="8">
        <f>[1]Data!L537</f>
        <v>0.189960947127469</v>
      </c>
      <c r="M537" s="8">
        <f>[1]Data!M537</f>
        <v>20.2159388071275</v>
      </c>
      <c r="N537" s="8">
        <f>[1]Data!N537</f>
        <v>0.02</v>
      </c>
      <c r="O537" s="8">
        <f>[1]Data!O537</f>
        <v>0</v>
      </c>
      <c r="P537" s="8">
        <f>[1]Data!P537</f>
        <v>1</v>
      </c>
      <c r="Q537" s="8">
        <f>[1]Data!Q537</f>
        <v>0</v>
      </c>
      <c r="R537" s="8">
        <f>[1]Data!R537</f>
        <v>0</v>
      </c>
      <c r="S537" s="8">
        <f>[1]Data!S537</f>
        <v>0</v>
      </c>
      <c r="T537">
        <f t="shared" si="40"/>
        <v>0.02</v>
      </c>
      <c r="U537">
        <f t="shared" si="41"/>
        <v>0</v>
      </c>
      <c r="V537" s="4" t="str">
        <f t="shared" si="42"/>
        <v>0</v>
      </c>
      <c r="W537" s="4" t="str">
        <f t="shared" si="43"/>
        <v>1</v>
      </c>
      <c r="X537" s="4" t="str">
        <f t="shared" si="44"/>
        <v>0NON-HS1</v>
      </c>
      <c r="Y537">
        <f>VLOOKUP(X537,Sheet1!$J$5:$K$121,2,FALSE)</f>
        <v>0</v>
      </c>
    </row>
    <row r="538" spans="1:25" x14ac:dyDescent="0.25">
      <c r="A538" s="8">
        <f>[1]Data!A538</f>
        <v>910606</v>
      </c>
      <c r="B538" s="8">
        <f>[1]Data!B538</f>
        <v>1</v>
      </c>
      <c r="C538" s="8">
        <f>[1]Data!C538</f>
        <v>0</v>
      </c>
      <c r="D538" s="8">
        <f>[1]Data!D538</f>
        <v>5</v>
      </c>
      <c r="E538" s="8" t="str">
        <f>[1]Data!E538</f>
        <v>NON-HS</v>
      </c>
      <c r="F538" s="8" t="str">
        <f>[1]Data!F538</f>
        <v>Palmdale</v>
      </c>
      <c r="G538" s="8">
        <f>[1]Data!G538</f>
        <v>0</v>
      </c>
      <c r="H538" s="8">
        <f>[1]Data!H538</f>
        <v>0</v>
      </c>
      <c r="I538" s="8">
        <f>[1]Data!I538</f>
        <v>3</v>
      </c>
      <c r="J538" s="8">
        <f>[1]Data!J538</f>
        <v>0</v>
      </c>
      <c r="K538" s="8">
        <f>[1]Data!K538</f>
        <v>3</v>
      </c>
      <c r="L538" s="8">
        <f>[1]Data!L538</f>
        <v>0</v>
      </c>
      <c r="M538" s="8">
        <f>[1]Data!M538</f>
        <v>3</v>
      </c>
      <c r="N538" s="8">
        <f>[1]Data!N538</f>
        <v>0.02</v>
      </c>
      <c r="O538" s="8">
        <f>[1]Data!O538</f>
        <v>0</v>
      </c>
      <c r="P538" s="8">
        <f>[1]Data!P538</f>
        <v>1</v>
      </c>
      <c r="Q538" s="8">
        <f>[1]Data!Q538</f>
        <v>0</v>
      </c>
      <c r="R538" s="8">
        <f>[1]Data!R538</f>
        <v>0</v>
      </c>
      <c r="S538" s="8">
        <f>[1]Data!S538</f>
        <v>0</v>
      </c>
      <c r="T538">
        <f t="shared" si="40"/>
        <v>0.02</v>
      </c>
      <c r="U538">
        <f t="shared" si="41"/>
        <v>0</v>
      </c>
      <c r="V538" s="4" t="str">
        <f t="shared" si="42"/>
        <v>0</v>
      </c>
      <c r="W538" s="4" t="str">
        <f t="shared" si="43"/>
        <v>1</v>
      </c>
      <c r="X538" s="4" t="str">
        <f t="shared" si="44"/>
        <v>0NON-HS1</v>
      </c>
      <c r="Y538">
        <f>VLOOKUP(X538,Sheet1!$J$5:$K$121,2,FALSE)</f>
        <v>0</v>
      </c>
    </row>
    <row r="539" spans="1:25" x14ac:dyDescent="0.25">
      <c r="A539" s="8">
        <f>[1]Data!A539</f>
        <v>900505</v>
      </c>
      <c r="B539" s="8">
        <f>[1]Data!B539</f>
        <v>1</v>
      </c>
      <c r="C539" s="8">
        <f>[1]Data!C539</f>
        <v>0</v>
      </c>
      <c r="D539" s="8">
        <f>[1]Data!D539</f>
        <v>5</v>
      </c>
      <c r="E539" s="8" t="str">
        <f>[1]Data!E539</f>
        <v>NON-HS</v>
      </c>
      <c r="F539" s="8" t="str">
        <f>[1]Data!F539</f>
        <v>Lancaster</v>
      </c>
      <c r="G539" s="8">
        <f>[1]Data!G539</f>
        <v>0</v>
      </c>
      <c r="H539" s="8">
        <f>[1]Data!H539</f>
        <v>0</v>
      </c>
      <c r="I539" s="8">
        <f>[1]Data!I539</f>
        <v>1.591</v>
      </c>
      <c r="J539" s="8">
        <f>[1]Data!J539</f>
        <v>1.43919657</v>
      </c>
      <c r="K539" s="8">
        <f>[1]Data!K539</f>
        <v>1.43919657</v>
      </c>
      <c r="L539" s="8">
        <f>[1]Data!L539</f>
        <v>0.15145200614003601</v>
      </c>
      <c r="M539" s="8">
        <f>[1]Data!M539</f>
        <v>1.59064857614004</v>
      </c>
      <c r="N539" s="8">
        <f>[1]Data!N539</f>
        <v>0.02</v>
      </c>
      <c r="O539" s="8">
        <f>[1]Data!O539</f>
        <v>0</v>
      </c>
      <c r="P539" s="8">
        <f>[1]Data!P539</f>
        <v>1</v>
      </c>
      <c r="Q539" s="8">
        <f>[1]Data!Q539</f>
        <v>0</v>
      </c>
      <c r="R539" s="8">
        <f>[1]Data!R539</f>
        <v>0</v>
      </c>
      <c r="S539" s="8">
        <f>[1]Data!S539</f>
        <v>0</v>
      </c>
      <c r="T539">
        <f t="shared" si="40"/>
        <v>0.02</v>
      </c>
      <c r="U539">
        <f t="shared" si="41"/>
        <v>0</v>
      </c>
      <c r="V539" s="4" t="str">
        <f t="shared" si="42"/>
        <v>0</v>
      </c>
      <c r="W539" s="4" t="str">
        <f t="shared" si="43"/>
        <v>1</v>
      </c>
      <c r="X539" s="4" t="str">
        <f t="shared" si="44"/>
        <v>0NON-HS1</v>
      </c>
      <c r="Y539">
        <f>VLOOKUP(X539,Sheet1!$J$5:$K$121,2,FALSE)</f>
        <v>0</v>
      </c>
    </row>
    <row r="540" spans="1:25" x14ac:dyDescent="0.25">
      <c r="A540" s="8">
        <f>[1]Data!A540</f>
        <v>910209</v>
      </c>
      <c r="B540" s="8">
        <f>[1]Data!B540</f>
        <v>1</v>
      </c>
      <c r="C540" s="8">
        <f>[1]Data!C540</f>
        <v>0</v>
      </c>
      <c r="D540" s="8">
        <f>[1]Data!D540</f>
        <v>5</v>
      </c>
      <c r="E540" s="8" t="str">
        <f>[1]Data!E540</f>
        <v>NON-HS</v>
      </c>
      <c r="F540" s="8" t="str">
        <f>[1]Data!F540</f>
        <v>Palmdale</v>
      </c>
      <c r="G540" s="8">
        <f>[1]Data!G540</f>
        <v>0</v>
      </c>
      <c r="H540" s="8">
        <f>[1]Data!H540</f>
        <v>0</v>
      </c>
      <c r="I540" s="8">
        <f>[1]Data!I540</f>
        <v>0</v>
      </c>
      <c r="J540" s="8">
        <f>[1]Data!J540</f>
        <v>0</v>
      </c>
      <c r="K540" s="8">
        <f>[1]Data!K540</f>
        <v>0</v>
      </c>
      <c r="L540" s="8">
        <f>[1]Data!L540</f>
        <v>0</v>
      </c>
      <c r="M540" s="8">
        <f>[1]Data!M540</f>
        <v>0</v>
      </c>
      <c r="N540" s="8">
        <f>[1]Data!N540</f>
        <v>0.02</v>
      </c>
      <c r="O540" s="8">
        <f>[1]Data!O540</f>
        <v>0</v>
      </c>
      <c r="P540" s="8">
        <f>[1]Data!P540</f>
        <v>1</v>
      </c>
      <c r="Q540" s="8">
        <f>[1]Data!Q540</f>
        <v>0</v>
      </c>
      <c r="R540" s="8">
        <f>[1]Data!R540</f>
        <v>0</v>
      </c>
      <c r="S540" s="8">
        <f>[1]Data!S540</f>
        <v>0</v>
      </c>
      <c r="T540">
        <f t="shared" si="40"/>
        <v>0.02</v>
      </c>
      <c r="U540">
        <f t="shared" si="41"/>
        <v>0</v>
      </c>
      <c r="V540" s="4" t="str">
        <f t="shared" si="42"/>
        <v>0</v>
      </c>
      <c r="W540" s="4" t="str">
        <f t="shared" si="43"/>
        <v>1</v>
      </c>
      <c r="X540" s="4" t="str">
        <f t="shared" si="44"/>
        <v>0NON-HS1</v>
      </c>
      <c r="Y540">
        <f>VLOOKUP(X540,Sheet1!$J$5:$K$121,2,FALSE)</f>
        <v>0</v>
      </c>
    </row>
    <row r="541" spans="1:25" x14ac:dyDescent="0.25">
      <c r="A541" s="8">
        <f>[1]Data!A541</f>
        <v>910605</v>
      </c>
      <c r="B541" s="8">
        <f>[1]Data!B541</f>
        <v>1</v>
      </c>
      <c r="C541" s="8">
        <f>[1]Data!C541</f>
        <v>0</v>
      </c>
      <c r="D541" s="8">
        <f>[1]Data!D541</f>
        <v>5</v>
      </c>
      <c r="E541" s="8" t="str">
        <f>[1]Data!E541</f>
        <v>NON-HS</v>
      </c>
      <c r="F541" s="8" t="str">
        <f>[1]Data!F541</f>
        <v>Palmdale</v>
      </c>
      <c r="G541" s="8">
        <f>[1]Data!G541</f>
        <v>0</v>
      </c>
      <c r="H541" s="8">
        <f>[1]Data!H541</f>
        <v>0</v>
      </c>
      <c r="I541" s="8">
        <f>[1]Data!I541</f>
        <v>0</v>
      </c>
      <c r="J541" s="8">
        <f>[1]Data!J541</f>
        <v>0</v>
      </c>
      <c r="K541" s="8">
        <f>[1]Data!K541</f>
        <v>0</v>
      </c>
      <c r="L541" s="8">
        <f>[1]Data!L541</f>
        <v>0</v>
      </c>
      <c r="M541" s="8">
        <f>[1]Data!M541</f>
        <v>0</v>
      </c>
      <c r="N541" s="8">
        <f>[1]Data!N541</f>
        <v>0.02</v>
      </c>
      <c r="O541" s="8">
        <f>[1]Data!O541</f>
        <v>0</v>
      </c>
      <c r="P541" s="8">
        <f>[1]Data!P541</f>
        <v>1</v>
      </c>
      <c r="Q541" s="8">
        <f>[1]Data!Q541</f>
        <v>0</v>
      </c>
      <c r="R541" s="8">
        <f>[1]Data!R541</f>
        <v>0</v>
      </c>
      <c r="S541" s="8">
        <f>[1]Data!S541</f>
        <v>0</v>
      </c>
      <c r="T541">
        <f t="shared" si="40"/>
        <v>0.02</v>
      </c>
      <c r="U541">
        <f t="shared" si="41"/>
        <v>0</v>
      </c>
      <c r="V541" s="4" t="str">
        <f t="shared" si="42"/>
        <v>0</v>
      </c>
      <c r="W541" s="4" t="str">
        <f t="shared" si="43"/>
        <v>1</v>
      </c>
      <c r="X541" s="4" t="str">
        <f t="shared" si="44"/>
        <v>0NON-HS1</v>
      </c>
      <c r="Y541">
        <f>VLOOKUP(X541,Sheet1!$J$5:$K$121,2,FALSE)</f>
        <v>0</v>
      </c>
    </row>
    <row r="542" spans="1:25" x14ac:dyDescent="0.25">
      <c r="A542" s="8">
        <f>[1]Data!A542</f>
        <v>910715</v>
      </c>
      <c r="B542" s="8">
        <f>[1]Data!B542</f>
        <v>1</v>
      </c>
      <c r="C542" s="8">
        <f>[1]Data!C542</f>
        <v>0</v>
      </c>
      <c r="D542" s="8">
        <f>[1]Data!D542</f>
        <v>5</v>
      </c>
      <c r="E542" s="8" t="str">
        <f>[1]Data!E542</f>
        <v>NON-HS</v>
      </c>
      <c r="F542" s="8" t="str">
        <f>[1]Data!F542</f>
        <v>Palmdale</v>
      </c>
      <c r="G542" s="8">
        <f>[1]Data!G542</f>
        <v>0</v>
      </c>
      <c r="H542" s="8">
        <f>[1]Data!H542</f>
        <v>0</v>
      </c>
      <c r="I542" s="8">
        <f>[1]Data!I542</f>
        <v>1</v>
      </c>
      <c r="J542" s="8">
        <f>[1]Data!J542</f>
        <v>0</v>
      </c>
      <c r="K542" s="8">
        <f>[1]Data!K542</f>
        <v>1</v>
      </c>
      <c r="L542" s="8">
        <f>[1]Data!L542</f>
        <v>0</v>
      </c>
      <c r="M542" s="8">
        <f>[1]Data!M542</f>
        <v>1</v>
      </c>
      <c r="N542" s="8">
        <f>[1]Data!N542</f>
        <v>0.02</v>
      </c>
      <c r="O542" s="8">
        <f>[1]Data!O542</f>
        <v>0</v>
      </c>
      <c r="P542" s="8">
        <f>[1]Data!P542</f>
        <v>1</v>
      </c>
      <c r="Q542" s="8">
        <f>[1]Data!Q542</f>
        <v>0</v>
      </c>
      <c r="R542" s="8">
        <f>[1]Data!R542</f>
        <v>0</v>
      </c>
      <c r="S542" s="8">
        <f>[1]Data!S542</f>
        <v>0</v>
      </c>
      <c r="T542">
        <f t="shared" si="40"/>
        <v>0.02</v>
      </c>
      <c r="U542">
        <f t="shared" si="41"/>
        <v>0</v>
      </c>
      <c r="V542" s="4" t="str">
        <f t="shared" si="42"/>
        <v>0</v>
      </c>
      <c r="W542" s="4" t="str">
        <f t="shared" si="43"/>
        <v>1</v>
      </c>
      <c r="X542" s="4" t="str">
        <f t="shared" si="44"/>
        <v>0NON-HS1</v>
      </c>
      <c r="Y542">
        <f>VLOOKUP(X542,Sheet1!$J$5:$K$121,2,FALSE)</f>
        <v>0</v>
      </c>
    </row>
    <row r="543" spans="1:25" x14ac:dyDescent="0.25">
      <c r="A543" s="8">
        <f>[1]Data!A543</f>
        <v>910716</v>
      </c>
      <c r="B543" s="8">
        <f>[1]Data!B543</f>
        <v>1</v>
      </c>
      <c r="C543" s="8">
        <f>[1]Data!C543</f>
        <v>0</v>
      </c>
      <c r="D543" s="8">
        <f>[1]Data!D543</f>
        <v>5</v>
      </c>
      <c r="E543" s="8" t="str">
        <f>[1]Data!E543</f>
        <v>NON-HS</v>
      </c>
      <c r="F543" s="8" t="str">
        <f>[1]Data!F543</f>
        <v>Palmdale</v>
      </c>
      <c r="G543" s="8">
        <f>[1]Data!G543</f>
        <v>0</v>
      </c>
      <c r="H543" s="8">
        <f>[1]Data!H543</f>
        <v>0</v>
      </c>
      <c r="I543" s="8">
        <f>[1]Data!I543</f>
        <v>0</v>
      </c>
      <c r="J543" s="8">
        <f>[1]Data!J543</f>
        <v>0</v>
      </c>
      <c r="K543" s="8">
        <f>[1]Data!K543</f>
        <v>0</v>
      </c>
      <c r="L543" s="8">
        <f>[1]Data!L543</f>
        <v>0</v>
      </c>
      <c r="M543" s="8">
        <f>[1]Data!M543</f>
        <v>0</v>
      </c>
      <c r="N543" s="8">
        <f>[1]Data!N543</f>
        <v>0.02</v>
      </c>
      <c r="O543" s="8">
        <f>[1]Data!O543</f>
        <v>0</v>
      </c>
      <c r="P543" s="8">
        <f>[1]Data!P543</f>
        <v>1</v>
      </c>
      <c r="Q543" s="8">
        <f>[1]Data!Q543</f>
        <v>0</v>
      </c>
      <c r="R543" s="8">
        <f>[1]Data!R543</f>
        <v>0</v>
      </c>
      <c r="S543" s="8">
        <f>[1]Data!S543</f>
        <v>0</v>
      </c>
      <c r="T543">
        <f t="shared" si="40"/>
        <v>0.02</v>
      </c>
      <c r="U543">
        <f t="shared" si="41"/>
        <v>0</v>
      </c>
      <c r="V543" s="4" t="str">
        <f t="shared" si="42"/>
        <v>0</v>
      </c>
      <c r="W543" s="4" t="str">
        <f t="shared" si="43"/>
        <v>1</v>
      </c>
      <c r="X543" s="4" t="str">
        <f t="shared" si="44"/>
        <v>0NON-HS1</v>
      </c>
      <c r="Y543">
        <f>VLOOKUP(X543,Sheet1!$J$5:$K$121,2,FALSE)</f>
        <v>0</v>
      </c>
    </row>
    <row r="544" spans="1:25" x14ac:dyDescent="0.25">
      <c r="A544" s="8">
        <f>[1]Data!A544</f>
        <v>901009</v>
      </c>
      <c r="B544" s="8">
        <f>[1]Data!B544</f>
        <v>1</v>
      </c>
      <c r="C544" s="8">
        <f>[1]Data!C544</f>
        <v>0</v>
      </c>
      <c r="D544" s="8">
        <f>[1]Data!D544</f>
        <v>5</v>
      </c>
      <c r="E544" s="8" t="str">
        <f>[1]Data!E544</f>
        <v>NON-HS</v>
      </c>
      <c r="F544" s="8" t="str">
        <f>[1]Data!F544</f>
        <v>Lancaster</v>
      </c>
      <c r="G544" s="8">
        <f>[1]Data!G544</f>
        <v>0</v>
      </c>
      <c r="H544" s="8">
        <f>[1]Data!H544</f>
        <v>0</v>
      </c>
      <c r="I544" s="8">
        <f>[1]Data!I544</f>
        <v>11.628</v>
      </c>
      <c r="J544" s="8">
        <f>[1]Data!J544</f>
        <v>9.5243997</v>
      </c>
      <c r="K544" s="8">
        <f>[1]Data!K544</f>
        <v>11.5243997</v>
      </c>
      <c r="L544" s="8">
        <f>[1]Data!L544</f>
        <v>0.10312661041292601</v>
      </c>
      <c r="M544" s="8">
        <f>[1]Data!M544</f>
        <v>11.6275263104129</v>
      </c>
      <c r="N544" s="8">
        <f>[1]Data!N544</f>
        <v>0.02</v>
      </c>
      <c r="O544" s="8">
        <f>[1]Data!O544</f>
        <v>0</v>
      </c>
      <c r="P544" s="8">
        <f>[1]Data!P544</f>
        <v>1</v>
      </c>
      <c r="Q544" s="8">
        <f>[1]Data!Q544</f>
        <v>0</v>
      </c>
      <c r="R544" s="8">
        <f>[1]Data!R544</f>
        <v>0</v>
      </c>
      <c r="S544" s="8">
        <f>[1]Data!S544</f>
        <v>0</v>
      </c>
      <c r="T544">
        <f t="shared" si="40"/>
        <v>0.02</v>
      </c>
      <c r="U544">
        <f t="shared" si="41"/>
        <v>0</v>
      </c>
      <c r="V544" s="4" t="str">
        <f t="shared" si="42"/>
        <v>0</v>
      </c>
      <c r="W544" s="4" t="str">
        <f t="shared" si="43"/>
        <v>1</v>
      </c>
      <c r="X544" s="4" t="str">
        <f t="shared" si="44"/>
        <v>0NON-HS1</v>
      </c>
      <c r="Y544">
        <f>VLOOKUP(X544,Sheet1!$J$5:$K$121,2,FALSE)</f>
        <v>0</v>
      </c>
    </row>
    <row r="545" spans="1:25" x14ac:dyDescent="0.25">
      <c r="A545" s="8">
        <f>[1]Data!A545</f>
        <v>910205</v>
      </c>
      <c r="B545" s="8">
        <f>[1]Data!B545</f>
        <v>1</v>
      </c>
      <c r="C545" s="8">
        <f>[1]Data!C545</f>
        <v>0</v>
      </c>
      <c r="D545" s="8">
        <f>[1]Data!D545</f>
        <v>5</v>
      </c>
      <c r="E545" s="8" t="str">
        <f>[1]Data!E545</f>
        <v>NON-HS</v>
      </c>
      <c r="F545" s="8" t="str">
        <f>[1]Data!F545</f>
        <v>Unincorporated Antelope Valley</v>
      </c>
      <c r="G545" s="8">
        <f>[1]Data!G545</f>
        <v>0</v>
      </c>
      <c r="H545" s="8">
        <f>[1]Data!H545</f>
        <v>0</v>
      </c>
      <c r="I545" s="8">
        <f>[1]Data!I545</f>
        <v>5.7240000000000002</v>
      </c>
      <c r="J545" s="8">
        <f>[1]Data!J545</f>
        <v>5.5698712199999996</v>
      </c>
      <c r="K545" s="8">
        <f>[1]Data!K545</f>
        <v>5.5698712199999996</v>
      </c>
      <c r="L545" s="8">
        <f>[1]Data!L545</f>
        <v>0.15328985522441699</v>
      </c>
      <c r="M545" s="8">
        <f>[1]Data!M545</f>
        <v>5.7231610752244197</v>
      </c>
      <c r="N545" s="8">
        <f>[1]Data!N545</f>
        <v>0.02</v>
      </c>
      <c r="O545" s="8">
        <f>[1]Data!O545</f>
        <v>0</v>
      </c>
      <c r="P545" s="8">
        <f>[1]Data!P545</f>
        <v>1</v>
      </c>
      <c r="Q545" s="8">
        <f>[1]Data!Q545</f>
        <v>0</v>
      </c>
      <c r="R545" s="8">
        <f>[1]Data!R545</f>
        <v>0</v>
      </c>
      <c r="S545" s="8">
        <f>[1]Data!S545</f>
        <v>0</v>
      </c>
      <c r="T545">
        <f t="shared" si="40"/>
        <v>0.02</v>
      </c>
      <c r="U545">
        <f t="shared" si="41"/>
        <v>0</v>
      </c>
      <c r="V545" s="4" t="str">
        <f t="shared" si="42"/>
        <v>0</v>
      </c>
      <c r="W545" s="4" t="str">
        <f t="shared" si="43"/>
        <v>1</v>
      </c>
      <c r="X545" s="4" t="str">
        <f t="shared" si="44"/>
        <v>0NON-HS1</v>
      </c>
      <c r="Y545">
        <f>VLOOKUP(X545,Sheet1!$J$5:$K$121,2,FALSE)</f>
        <v>0</v>
      </c>
    </row>
    <row r="546" spans="1:25" x14ac:dyDescent="0.25">
      <c r="A546" s="8">
        <f>[1]Data!A546</f>
        <v>900506</v>
      </c>
      <c r="B546" s="8">
        <f>[1]Data!B546</f>
        <v>1</v>
      </c>
      <c r="C546" s="8">
        <f>[1]Data!C546</f>
        <v>0</v>
      </c>
      <c r="D546" s="8">
        <f>[1]Data!D546</f>
        <v>5</v>
      </c>
      <c r="E546" s="8" t="str">
        <f>[1]Data!E546</f>
        <v>NON-HS</v>
      </c>
      <c r="F546" s="8" t="str">
        <f>[1]Data!F546</f>
        <v>Lancaster</v>
      </c>
      <c r="G546" s="8">
        <f>[1]Data!G546</f>
        <v>0</v>
      </c>
      <c r="H546" s="8">
        <f>[1]Data!H546</f>
        <v>0</v>
      </c>
      <c r="I546" s="8">
        <f>[1]Data!I546</f>
        <v>4.9260000000000002</v>
      </c>
      <c r="J546" s="8">
        <f>[1]Data!J546</f>
        <v>1.90487994</v>
      </c>
      <c r="K546" s="8">
        <f>[1]Data!K546</f>
        <v>4.9048799399999998</v>
      </c>
      <c r="L546" s="8">
        <f>[1]Data!L546</f>
        <v>2.0625322082585301E-2</v>
      </c>
      <c r="M546" s="8">
        <f>[1]Data!M546</f>
        <v>4.9255052620825897</v>
      </c>
      <c r="N546" s="8">
        <f>[1]Data!N546</f>
        <v>0.02</v>
      </c>
      <c r="O546" s="8">
        <f>[1]Data!O546</f>
        <v>0</v>
      </c>
      <c r="P546" s="8">
        <f>[1]Data!P546</f>
        <v>1</v>
      </c>
      <c r="Q546" s="8">
        <f>[1]Data!Q546</f>
        <v>0</v>
      </c>
      <c r="R546" s="8">
        <f>[1]Data!R546</f>
        <v>0</v>
      </c>
      <c r="S546" s="8">
        <f>[1]Data!S546</f>
        <v>0</v>
      </c>
      <c r="T546">
        <f t="shared" si="40"/>
        <v>0.02</v>
      </c>
      <c r="U546">
        <f t="shared" si="41"/>
        <v>0</v>
      </c>
      <c r="V546" s="4" t="str">
        <f t="shared" si="42"/>
        <v>0</v>
      </c>
      <c r="W546" s="4" t="str">
        <f t="shared" si="43"/>
        <v>1</v>
      </c>
      <c r="X546" s="4" t="str">
        <f t="shared" si="44"/>
        <v>0NON-HS1</v>
      </c>
      <c r="Y546">
        <f>VLOOKUP(X546,Sheet1!$J$5:$K$121,2,FALSE)</f>
        <v>0</v>
      </c>
    </row>
    <row r="547" spans="1:25" x14ac:dyDescent="0.25">
      <c r="A547" s="8">
        <f>[1]Data!A547</f>
        <v>901210</v>
      </c>
      <c r="B547" s="8">
        <f>[1]Data!B547</f>
        <v>1</v>
      </c>
      <c r="C547" s="8">
        <f>[1]Data!C547</f>
        <v>0</v>
      </c>
      <c r="D547" s="8">
        <f>[1]Data!D547</f>
        <v>5</v>
      </c>
      <c r="E547" s="8" t="str">
        <f>[1]Data!E547</f>
        <v>NON-HS</v>
      </c>
      <c r="F547" s="8" t="str">
        <f>[1]Data!F547</f>
        <v>Unincorporated Antelope Valley</v>
      </c>
      <c r="G547" s="8">
        <f>[1]Data!G547</f>
        <v>0</v>
      </c>
      <c r="H547" s="8">
        <f>[1]Data!H547</f>
        <v>0</v>
      </c>
      <c r="I547" s="8">
        <f>[1]Data!I547</f>
        <v>0</v>
      </c>
      <c r="J547" s="8">
        <f>[1]Data!J547</f>
        <v>0</v>
      </c>
      <c r="K547" s="8">
        <f>[1]Data!K547</f>
        <v>0</v>
      </c>
      <c r="L547" s="8">
        <f>[1]Data!L547</f>
        <v>0</v>
      </c>
      <c r="M547" s="8">
        <f>[1]Data!M547</f>
        <v>0</v>
      </c>
      <c r="N547" s="8">
        <f>[1]Data!N547</f>
        <v>0.02</v>
      </c>
      <c r="O547" s="8">
        <f>[1]Data!O547</f>
        <v>0</v>
      </c>
      <c r="P547" s="8">
        <f>[1]Data!P547</f>
        <v>1</v>
      </c>
      <c r="Q547" s="8">
        <f>[1]Data!Q547</f>
        <v>0</v>
      </c>
      <c r="R547" s="8">
        <f>[1]Data!R547</f>
        <v>0</v>
      </c>
      <c r="S547" s="8">
        <f>[1]Data!S547</f>
        <v>0</v>
      </c>
      <c r="T547">
        <f t="shared" si="40"/>
        <v>0.02</v>
      </c>
      <c r="U547">
        <f t="shared" si="41"/>
        <v>0</v>
      </c>
      <c r="V547" s="4" t="str">
        <f t="shared" si="42"/>
        <v>0</v>
      </c>
      <c r="W547" s="4" t="str">
        <f t="shared" si="43"/>
        <v>1</v>
      </c>
      <c r="X547" s="4" t="str">
        <f t="shared" si="44"/>
        <v>0NON-HS1</v>
      </c>
      <c r="Y547">
        <f>VLOOKUP(X547,Sheet1!$J$5:$K$121,2,FALSE)</f>
        <v>0</v>
      </c>
    </row>
    <row r="548" spans="1:25" x14ac:dyDescent="0.25">
      <c r="A548" s="8">
        <f>[1]Data!A548</f>
        <v>910713</v>
      </c>
      <c r="B548" s="8">
        <f>[1]Data!B548</f>
        <v>1</v>
      </c>
      <c r="C548" s="8">
        <f>[1]Data!C548</f>
        <v>0</v>
      </c>
      <c r="D548" s="8">
        <f>[1]Data!D548</f>
        <v>5</v>
      </c>
      <c r="E548" s="8" t="str">
        <f>[1]Data!E548</f>
        <v>NON-HS</v>
      </c>
      <c r="F548" s="8" t="str">
        <f>[1]Data!F548</f>
        <v>Palmdale</v>
      </c>
      <c r="G548" s="8">
        <f>[1]Data!G548</f>
        <v>0</v>
      </c>
      <c r="H548" s="8">
        <f>[1]Data!H548</f>
        <v>0</v>
      </c>
      <c r="I548" s="8">
        <f>[1]Data!I548</f>
        <v>2.0950000000000002</v>
      </c>
      <c r="J548" s="8">
        <f>[1]Data!J548</f>
        <v>1.9836996600000001</v>
      </c>
      <c r="K548" s="8">
        <f>[1]Data!K548</f>
        <v>1.9836996600000001</v>
      </c>
      <c r="L548" s="8">
        <f>[1]Data!L548</f>
        <v>0.11117260138240601</v>
      </c>
      <c r="M548" s="8">
        <f>[1]Data!M548</f>
        <v>2.09487226138241</v>
      </c>
      <c r="N548" s="8">
        <f>[1]Data!N548</f>
        <v>0.02</v>
      </c>
      <c r="O548" s="8">
        <f>[1]Data!O548</f>
        <v>0</v>
      </c>
      <c r="P548" s="8">
        <f>[1]Data!P548</f>
        <v>1</v>
      </c>
      <c r="Q548" s="8">
        <f>[1]Data!Q548</f>
        <v>0</v>
      </c>
      <c r="R548" s="8">
        <f>[1]Data!R548</f>
        <v>0</v>
      </c>
      <c r="S548" s="8">
        <f>[1]Data!S548</f>
        <v>0</v>
      </c>
      <c r="T548">
        <f t="shared" si="40"/>
        <v>0.02</v>
      </c>
      <c r="U548">
        <f t="shared" si="41"/>
        <v>0</v>
      </c>
      <c r="V548" s="4" t="str">
        <f t="shared" si="42"/>
        <v>0</v>
      </c>
      <c r="W548" s="4" t="str">
        <f t="shared" si="43"/>
        <v>1</v>
      </c>
      <c r="X548" s="4" t="str">
        <f t="shared" si="44"/>
        <v>0NON-HS1</v>
      </c>
      <c r="Y548">
        <f>VLOOKUP(X548,Sheet1!$J$5:$K$121,2,FALSE)</f>
        <v>0</v>
      </c>
    </row>
    <row r="549" spans="1:25" x14ac:dyDescent="0.25">
      <c r="A549" s="8">
        <f>[1]Data!A549</f>
        <v>910210</v>
      </c>
      <c r="B549" s="8">
        <f>[1]Data!B549</f>
        <v>1</v>
      </c>
      <c r="C549" s="8">
        <f>[1]Data!C549</f>
        <v>0</v>
      </c>
      <c r="D549" s="8">
        <f>[1]Data!D549</f>
        <v>5</v>
      </c>
      <c r="E549" s="8" t="str">
        <f>[1]Data!E549</f>
        <v>NON-HS</v>
      </c>
      <c r="F549" s="8" t="str">
        <f>[1]Data!F549</f>
        <v>Palmdale</v>
      </c>
      <c r="G549" s="8">
        <f>[1]Data!G549</f>
        <v>0</v>
      </c>
      <c r="H549" s="8">
        <f>[1]Data!H549</f>
        <v>0</v>
      </c>
      <c r="I549" s="8">
        <f>[1]Data!I549</f>
        <v>0</v>
      </c>
      <c r="J549" s="8">
        <f>[1]Data!J549</f>
        <v>0</v>
      </c>
      <c r="K549" s="8">
        <f>[1]Data!K549</f>
        <v>0</v>
      </c>
      <c r="L549" s="8">
        <f>[1]Data!L549</f>
        <v>0</v>
      </c>
      <c r="M549" s="8">
        <f>[1]Data!M549</f>
        <v>0</v>
      </c>
      <c r="N549" s="8">
        <f>[1]Data!N549</f>
        <v>0.02</v>
      </c>
      <c r="O549" s="8">
        <f>[1]Data!O549</f>
        <v>0</v>
      </c>
      <c r="P549" s="8">
        <f>[1]Data!P549</f>
        <v>1</v>
      </c>
      <c r="Q549" s="8">
        <f>[1]Data!Q549</f>
        <v>0</v>
      </c>
      <c r="R549" s="8">
        <f>[1]Data!R549</f>
        <v>0</v>
      </c>
      <c r="S549" s="8">
        <f>[1]Data!S549</f>
        <v>0</v>
      </c>
      <c r="T549">
        <f t="shared" si="40"/>
        <v>0.02</v>
      </c>
      <c r="U549">
        <f t="shared" si="41"/>
        <v>0</v>
      </c>
      <c r="V549" s="4" t="str">
        <f t="shared" si="42"/>
        <v>0</v>
      </c>
      <c r="W549" s="4" t="str">
        <f t="shared" si="43"/>
        <v>1</v>
      </c>
      <c r="X549" s="4" t="str">
        <f t="shared" si="44"/>
        <v>0NON-HS1</v>
      </c>
      <c r="Y549">
        <f>VLOOKUP(X549,Sheet1!$J$5:$K$121,2,FALSE)</f>
        <v>0</v>
      </c>
    </row>
    <row r="550" spans="1:25" x14ac:dyDescent="0.25">
      <c r="A550" s="8">
        <f>[1]Data!A550</f>
        <v>901003</v>
      </c>
      <c r="B550" s="8">
        <f>[1]Data!B550</f>
        <v>1</v>
      </c>
      <c r="C550" s="8">
        <f>[1]Data!C550</f>
        <v>0</v>
      </c>
      <c r="D550" s="8">
        <f>[1]Data!D550</f>
        <v>5</v>
      </c>
      <c r="E550" s="8" t="str">
        <f>[1]Data!E550</f>
        <v>NON-HS</v>
      </c>
      <c r="F550" s="8" t="str">
        <f>[1]Data!F550</f>
        <v>Lancaster</v>
      </c>
      <c r="G550" s="8">
        <f>[1]Data!G550</f>
        <v>0</v>
      </c>
      <c r="H550" s="8">
        <f>[1]Data!H550</f>
        <v>0</v>
      </c>
      <c r="I550" s="8">
        <f>[1]Data!I550</f>
        <v>0</v>
      </c>
      <c r="J550" s="8">
        <f>[1]Data!J550</f>
        <v>0</v>
      </c>
      <c r="K550" s="8">
        <f>[1]Data!K550</f>
        <v>0</v>
      </c>
      <c r="L550" s="8">
        <f>[1]Data!L550</f>
        <v>0</v>
      </c>
      <c r="M550" s="8">
        <f>[1]Data!M550</f>
        <v>0</v>
      </c>
      <c r="N550" s="8">
        <f>[1]Data!N550</f>
        <v>0.02</v>
      </c>
      <c r="O550" s="8">
        <f>[1]Data!O550</f>
        <v>0</v>
      </c>
      <c r="P550" s="8">
        <f>[1]Data!P550</f>
        <v>1</v>
      </c>
      <c r="Q550" s="8">
        <f>[1]Data!Q550</f>
        <v>0</v>
      </c>
      <c r="R550" s="8">
        <f>[1]Data!R550</f>
        <v>0</v>
      </c>
      <c r="S550" s="8">
        <f>[1]Data!S550</f>
        <v>0</v>
      </c>
      <c r="T550">
        <f t="shared" si="40"/>
        <v>0.02</v>
      </c>
      <c r="U550">
        <f t="shared" si="41"/>
        <v>0</v>
      </c>
      <c r="V550" s="4" t="str">
        <f t="shared" si="42"/>
        <v>0</v>
      </c>
      <c r="W550" s="4" t="str">
        <f t="shared" si="43"/>
        <v>1</v>
      </c>
      <c r="X550" s="4" t="str">
        <f t="shared" si="44"/>
        <v>0NON-HS1</v>
      </c>
      <c r="Y550">
        <f>VLOOKUP(X550,Sheet1!$J$5:$K$121,2,FALSE)</f>
        <v>0</v>
      </c>
    </row>
    <row r="551" spans="1:25" x14ac:dyDescent="0.25">
      <c r="A551" s="8">
        <f>[1]Data!A551</f>
        <v>910804</v>
      </c>
      <c r="B551" s="8">
        <f>[1]Data!B551</f>
        <v>1</v>
      </c>
      <c r="C551" s="8">
        <f>[1]Data!C551</f>
        <v>0</v>
      </c>
      <c r="D551" s="8">
        <f>[1]Data!D551</f>
        <v>5</v>
      </c>
      <c r="E551" s="8" t="str">
        <f>[1]Data!E551</f>
        <v>NON-HS</v>
      </c>
      <c r="F551" s="8" t="str">
        <f>[1]Data!F551</f>
        <v>Unincorporated Antelope Valley</v>
      </c>
      <c r="G551" s="8">
        <f>[1]Data!G551</f>
        <v>0</v>
      </c>
      <c r="H551" s="8">
        <f>[1]Data!H551</f>
        <v>0</v>
      </c>
      <c r="I551" s="8">
        <f>[1]Data!I551</f>
        <v>15.156000000000001</v>
      </c>
      <c r="J551" s="8">
        <f>[1]Data!J551</f>
        <v>13.649438460000001</v>
      </c>
      <c r="K551" s="8">
        <f>[1]Data!K551</f>
        <v>14.649438460000001</v>
      </c>
      <c r="L551" s="8">
        <f>[1]Data!L551</f>
        <v>0.50656637177737895</v>
      </c>
      <c r="M551" s="8">
        <f>[1]Data!M551</f>
        <v>15.1560048317774</v>
      </c>
      <c r="N551" s="8">
        <f>[1]Data!N551</f>
        <v>0.02</v>
      </c>
      <c r="O551" s="8">
        <f>[1]Data!O551</f>
        <v>0</v>
      </c>
      <c r="P551" s="8">
        <f>[1]Data!P551</f>
        <v>1</v>
      </c>
      <c r="Q551" s="8">
        <f>[1]Data!Q551</f>
        <v>0</v>
      </c>
      <c r="R551" s="8">
        <f>[1]Data!R551</f>
        <v>0</v>
      </c>
      <c r="S551" s="8">
        <f>[1]Data!S551</f>
        <v>0</v>
      </c>
      <c r="T551">
        <f t="shared" si="40"/>
        <v>0.02</v>
      </c>
      <c r="U551">
        <f t="shared" si="41"/>
        <v>0</v>
      </c>
      <c r="V551" s="4" t="str">
        <f t="shared" si="42"/>
        <v>0</v>
      </c>
      <c r="W551" s="4" t="str">
        <f t="shared" si="43"/>
        <v>1</v>
      </c>
      <c r="X551" s="4" t="str">
        <f t="shared" si="44"/>
        <v>0NON-HS1</v>
      </c>
      <c r="Y551">
        <f>VLOOKUP(X551,Sheet1!$J$5:$K$121,2,FALSE)</f>
        <v>0</v>
      </c>
    </row>
    <row r="552" spans="1:25" x14ac:dyDescent="0.25">
      <c r="A552" s="8">
        <f>[1]Data!A552</f>
        <v>910505</v>
      </c>
      <c r="B552" s="8">
        <f>[1]Data!B552</f>
        <v>1</v>
      </c>
      <c r="C552" s="8">
        <f>[1]Data!C552</f>
        <v>0</v>
      </c>
      <c r="D552" s="8">
        <f>[1]Data!D552</f>
        <v>5</v>
      </c>
      <c r="E552" s="8" t="str">
        <f>[1]Data!E552</f>
        <v>NON-HS</v>
      </c>
      <c r="F552" s="8" t="str">
        <f>[1]Data!F552</f>
        <v>Palmdale</v>
      </c>
      <c r="G552" s="8">
        <f>[1]Data!G552</f>
        <v>0</v>
      </c>
      <c r="H552" s="8">
        <f>[1]Data!H552</f>
        <v>0</v>
      </c>
      <c r="I552" s="8">
        <f>[1]Data!I552</f>
        <v>11.896000000000001</v>
      </c>
      <c r="J552" s="8">
        <f>[1]Data!J552</f>
        <v>11.278875149999999</v>
      </c>
      <c r="K552" s="8">
        <f>[1]Data!K552</f>
        <v>11.278875149999999</v>
      </c>
      <c r="L552" s="8">
        <f>[1]Data!L552</f>
        <v>0.61676773375224403</v>
      </c>
      <c r="M552" s="8">
        <f>[1]Data!M552</f>
        <v>11.895642883752201</v>
      </c>
      <c r="N552" s="8">
        <f>[1]Data!N552</f>
        <v>0.02</v>
      </c>
      <c r="O552" s="8">
        <f>[1]Data!O552</f>
        <v>0</v>
      </c>
      <c r="P552" s="8">
        <f>[1]Data!P552</f>
        <v>1</v>
      </c>
      <c r="Q552" s="8">
        <f>[1]Data!Q552</f>
        <v>0</v>
      </c>
      <c r="R552" s="8">
        <f>[1]Data!R552</f>
        <v>0</v>
      </c>
      <c r="S552" s="8">
        <f>[1]Data!S552</f>
        <v>0</v>
      </c>
      <c r="T552">
        <f t="shared" si="40"/>
        <v>0.02</v>
      </c>
      <c r="U552">
        <f t="shared" si="41"/>
        <v>0</v>
      </c>
      <c r="V552" s="4" t="str">
        <f t="shared" si="42"/>
        <v>0</v>
      </c>
      <c r="W552" s="4" t="str">
        <f t="shared" si="43"/>
        <v>1</v>
      </c>
      <c r="X552" s="4" t="str">
        <f t="shared" si="44"/>
        <v>0NON-HS1</v>
      </c>
      <c r="Y552">
        <f>VLOOKUP(X552,Sheet1!$J$5:$K$121,2,FALSE)</f>
        <v>0</v>
      </c>
    </row>
    <row r="553" spans="1:25" x14ac:dyDescent="0.25">
      <c r="A553" s="8">
        <f>[1]Data!A553</f>
        <v>910101</v>
      </c>
      <c r="B553" s="8">
        <f>[1]Data!B553</f>
        <v>1</v>
      </c>
      <c r="C553" s="8">
        <f>[1]Data!C553</f>
        <v>0</v>
      </c>
      <c r="D553" s="8">
        <f>[1]Data!D553</f>
        <v>5</v>
      </c>
      <c r="E553" s="8" t="str">
        <f>[1]Data!E553</f>
        <v>NON-HS</v>
      </c>
      <c r="F553" s="8" t="str">
        <f>[1]Data!F553</f>
        <v>Palmdale</v>
      </c>
      <c r="G553" s="8">
        <f>[1]Data!G553</f>
        <v>0</v>
      </c>
      <c r="H553" s="8">
        <f>[1]Data!H553</f>
        <v>0</v>
      </c>
      <c r="I553" s="8">
        <f>[1]Data!I553</f>
        <v>1.9259999999999999</v>
      </c>
      <c r="J553" s="8">
        <f>[1]Data!J553</f>
        <v>1.90487994</v>
      </c>
      <c r="K553" s="8">
        <f>[1]Data!K553</f>
        <v>1.90487994</v>
      </c>
      <c r="L553" s="8">
        <f>[1]Data!L553</f>
        <v>2.0625322082585301E-2</v>
      </c>
      <c r="M553" s="8">
        <f>[1]Data!M553</f>
        <v>1.9255052620825901</v>
      </c>
      <c r="N553" s="8">
        <f>[1]Data!N553</f>
        <v>0.02</v>
      </c>
      <c r="O553" s="8">
        <f>[1]Data!O553</f>
        <v>0</v>
      </c>
      <c r="P553" s="8">
        <f>[1]Data!P553</f>
        <v>1</v>
      </c>
      <c r="Q553" s="8">
        <f>[1]Data!Q553</f>
        <v>0</v>
      </c>
      <c r="R553" s="8">
        <f>[1]Data!R553</f>
        <v>0</v>
      </c>
      <c r="S553" s="8">
        <f>[1]Data!S553</f>
        <v>0</v>
      </c>
      <c r="T553">
        <f t="shared" si="40"/>
        <v>0.02</v>
      </c>
      <c r="U553">
        <f t="shared" si="41"/>
        <v>0</v>
      </c>
      <c r="V553" s="4" t="str">
        <f t="shared" si="42"/>
        <v>0</v>
      </c>
      <c r="W553" s="4" t="str">
        <f t="shared" si="43"/>
        <v>1</v>
      </c>
      <c r="X553" s="4" t="str">
        <f t="shared" si="44"/>
        <v>0NON-HS1</v>
      </c>
      <c r="Y553">
        <f>VLOOKUP(X553,Sheet1!$J$5:$K$121,2,FALSE)</f>
        <v>0</v>
      </c>
    </row>
    <row r="554" spans="1:25" x14ac:dyDescent="0.25">
      <c r="A554" s="8">
        <f>[1]Data!A554</f>
        <v>910301</v>
      </c>
      <c r="B554" s="8">
        <f>[1]Data!B554</f>
        <v>1</v>
      </c>
      <c r="C554" s="8">
        <f>[1]Data!C554</f>
        <v>0</v>
      </c>
      <c r="D554" s="8">
        <f>[1]Data!D554</f>
        <v>5</v>
      </c>
      <c r="E554" s="8" t="str">
        <f>[1]Data!E554</f>
        <v>NON-HS</v>
      </c>
      <c r="F554" s="8" t="str">
        <f>[1]Data!F554</f>
        <v>Palmdale</v>
      </c>
      <c r="G554" s="8">
        <f>[1]Data!G554</f>
        <v>0</v>
      </c>
      <c r="H554" s="8">
        <f>[1]Data!H554</f>
        <v>0</v>
      </c>
      <c r="I554" s="8">
        <f>[1]Data!I554</f>
        <v>0</v>
      </c>
      <c r="J554" s="8">
        <f>[1]Data!J554</f>
        <v>0</v>
      </c>
      <c r="K554" s="8">
        <f>[1]Data!K554</f>
        <v>0</v>
      </c>
      <c r="L554" s="8">
        <f>[1]Data!L554</f>
        <v>0</v>
      </c>
      <c r="M554" s="8">
        <f>[1]Data!M554</f>
        <v>0</v>
      </c>
      <c r="N554" s="8">
        <f>[1]Data!N554</f>
        <v>0.02</v>
      </c>
      <c r="O554" s="8">
        <f>[1]Data!O554</f>
        <v>0</v>
      </c>
      <c r="P554" s="8">
        <f>[1]Data!P554</f>
        <v>1</v>
      </c>
      <c r="Q554" s="8">
        <f>[1]Data!Q554</f>
        <v>0</v>
      </c>
      <c r="R554" s="8">
        <f>[1]Data!R554</f>
        <v>0</v>
      </c>
      <c r="S554" s="8">
        <f>[1]Data!S554</f>
        <v>0</v>
      </c>
      <c r="T554">
        <f t="shared" si="40"/>
        <v>0.02</v>
      </c>
      <c r="U554">
        <f t="shared" si="41"/>
        <v>0</v>
      </c>
      <c r="V554" s="4" t="str">
        <f t="shared" si="42"/>
        <v>0</v>
      </c>
      <c r="W554" s="4" t="str">
        <f t="shared" si="43"/>
        <v>1</v>
      </c>
      <c r="X554" s="4" t="str">
        <f t="shared" si="44"/>
        <v>0NON-HS1</v>
      </c>
      <c r="Y554">
        <f>VLOOKUP(X554,Sheet1!$J$5:$K$121,2,FALSE)</f>
        <v>0</v>
      </c>
    </row>
    <row r="555" spans="1:25" x14ac:dyDescent="0.25">
      <c r="A555" s="8">
        <f>[1]Data!A555</f>
        <v>900508</v>
      </c>
      <c r="B555" s="8">
        <f>[1]Data!B555</f>
        <v>1</v>
      </c>
      <c r="C555" s="8">
        <f>[1]Data!C555</f>
        <v>0</v>
      </c>
      <c r="D555" s="8">
        <f>[1]Data!D555</f>
        <v>5</v>
      </c>
      <c r="E555" s="8" t="str">
        <f>[1]Data!E555</f>
        <v>NON-HS</v>
      </c>
      <c r="F555" s="8" t="str">
        <f>[1]Data!F555</f>
        <v>Lancaster</v>
      </c>
      <c r="G555" s="8">
        <f>[1]Data!G555</f>
        <v>0</v>
      </c>
      <c r="H555" s="8">
        <f>[1]Data!H555</f>
        <v>0</v>
      </c>
      <c r="I555" s="8">
        <f>[1]Data!I555</f>
        <v>11.967000000000001</v>
      </c>
      <c r="J555" s="8">
        <f>[1]Data!J555</f>
        <v>9.6820391400000005</v>
      </c>
      <c r="K555" s="8">
        <f>[1]Data!K555</f>
        <v>11.682039140000001</v>
      </c>
      <c r="L555" s="8">
        <f>[1]Data!L555</f>
        <v>0.284221169012567</v>
      </c>
      <c r="M555" s="8">
        <f>[1]Data!M555</f>
        <v>11.966260309012601</v>
      </c>
      <c r="N555" s="8">
        <f>[1]Data!N555</f>
        <v>0.02</v>
      </c>
      <c r="O555" s="8">
        <f>[1]Data!O555</f>
        <v>0</v>
      </c>
      <c r="P555" s="8">
        <f>[1]Data!P555</f>
        <v>1</v>
      </c>
      <c r="Q555" s="8">
        <f>[1]Data!Q555</f>
        <v>0</v>
      </c>
      <c r="R555" s="8">
        <f>[1]Data!R555</f>
        <v>0</v>
      </c>
      <c r="S555" s="8">
        <f>[1]Data!S555</f>
        <v>0</v>
      </c>
      <c r="T555">
        <f t="shared" si="40"/>
        <v>0.02</v>
      </c>
      <c r="U555">
        <f t="shared" si="41"/>
        <v>0</v>
      </c>
      <c r="V555" s="4" t="str">
        <f t="shared" si="42"/>
        <v>0</v>
      </c>
      <c r="W555" s="4" t="str">
        <f t="shared" si="43"/>
        <v>1</v>
      </c>
      <c r="X555" s="4" t="str">
        <f t="shared" si="44"/>
        <v>0NON-HS1</v>
      </c>
      <c r="Y555">
        <f>VLOOKUP(X555,Sheet1!$J$5:$K$121,2,FALSE)</f>
        <v>0</v>
      </c>
    </row>
    <row r="556" spans="1:25" x14ac:dyDescent="0.25">
      <c r="A556" s="8">
        <f>[1]Data!A556</f>
        <v>901205</v>
      </c>
      <c r="B556" s="8">
        <f>[1]Data!B556</f>
        <v>1</v>
      </c>
      <c r="C556" s="8">
        <f>[1]Data!C556</f>
        <v>0</v>
      </c>
      <c r="D556" s="8">
        <f>[1]Data!D556</f>
        <v>5</v>
      </c>
      <c r="E556" s="8" t="str">
        <f>[1]Data!E556</f>
        <v>NON-HS</v>
      </c>
      <c r="F556" s="8" t="str">
        <f>[1]Data!F556</f>
        <v>Lancaster</v>
      </c>
      <c r="G556" s="8">
        <f>[1]Data!G556</f>
        <v>0</v>
      </c>
      <c r="H556" s="8">
        <f>[1]Data!H556</f>
        <v>0</v>
      </c>
      <c r="I556" s="8">
        <f>[1]Data!I556</f>
        <v>0</v>
      </c>
      <c r="J556" s="8">
        <f>[1]Data!J556</f>
        <v>0</v>
      </c>
      <c r="K556" s="8">
        <f>[1]Data!K556</f>
        <v>0</v>
      </c>
      <c r="L556" s="8">
        <f>[1]Data!L556</f>
        <v>0</v>
      </c>
      <c r="M556" s="8">
        <f>[1]Data!M556</f>
        <v>0</v>
      </c>
      <c r="N556" s="8">
        <f>[1]Data!N556</f>
        <v>0.02</v>
      </c>
      <c r="O556" s="8">
        <f>[1]Data!O556</f>
        <v>0</v>
      </c>
      <c r="P556" s="8">
        <f>[1]Data!P556</f>
        <v>1</v>
      </c>
      <c r="Q556" s="8">
        <f>[1]Data!Q556</f>
        <v>0</v>
      </c>
      <c r="R556" s="8">
        <f>[1]Data!R556</f>
        <v>0</v>
      </c>
      <c r="S556" s="8">
        <f>[1]Data!S556</f>
        <v>0</v>
      </c>
      <c r="T556">
        <f t="shared" si="40"/>
        <v>0.02</v>
      </c>
      <c r="U556">
        <f t="shared" si="41"/>
        <v>0</v>
      </c>
      <c r="V556" s="4" t="str">
        <f t="shared" si="42"/>
        <v>0</v>
      </c>
      <c r="W556" s="4" t="str">
        <f t="shared" si="43"/>
        <v>1</v>
      </c>
      <c r="X556" s="4" t="str">
        <f t="shared" si="44"/>
        <v>0NON-HS1</v>
      </c>
      <c r="Y556">
        <f>VLOOKUP(X556,Sheet1!$J$5:$K$121,2,FALSE)</f>
        <v>0</v>
      </c>
    </row>
    <row r="557" spans="1:25" x14ac:dyDescent="0.25">
      <c r="A557" s="8">
        <f>[1]Data!A557</f>
        <v>910207</v>
      </c>
      <c r="B557" s="8">
        <f>[1]Data!B557</f>
        <v>1</v>
      </c>
      <c r="C557" s="8">
        <f>[1]Data!C557</f>
        <v>0</v>
      </c>
      <c r="D557" s="8">
        <f>[1]Data!D557</f>
        <v>5</v>
      </c>
      <c r="E557" s="8" t="str">
        <f>[1]Data!E557</f>
        <v>NON-HS</v>
      </c>
      <c r="F557" s="8" t="str">
        <f>[1]Data!F557</f>
        <v>Palmdale</v>
      </c>
      <c r="G557" s="8">
        <f>[1]Data!G557</f>
        <v>0</v>
      </c>
      <c r="H557" s="8">
        <f>[1]Data!H557</f>
        <v>0</v>
      </c>
      <c r="I557" s="8">
        <f>[1]Data!I557</f>
        <v>0</v>
      </c>
      <c r="J557" s="8">
        <f>[1]Data!J557</f>
        <v>0</v>
      </c>
      <c r="K557" s="8">
        <f>[1]Data!K557</f>
        <v>0</v>
      </c>
      <c r="L557" s="8">
        <f>[1]Data!L557</f>
        <v>0</v>
      </c>
      <c r="M557" s="8">
        <f>[1]Data!M557</f>
        <v>0</v>
      </c>
      <c r="N557" s="8">
        <f>[1]Data!N557</f>
        <v>0.02</v>
      </c>
      <c r="O557" s="8">
        <f>[1]Data!O557</f>
        <v>0</v>
      </c>
      <c r="P557" s="8">
        <f>[1]Data!P557</f>
        <v>1</v>
      </c>
      <c r="Q557" s="8">
        <f>[1]Data!Q557</f>
        <v>0</v>
      </c>
      <c r="R557" s="8">
        <f>[1]Data!R557</f>
        <v>0</v>
      </c>
      <c r="S557" s="8">
        <f>[1]Data!S557</f>
        <v>0</v>
      </c>
      <c r="T557">
        <f t="shared" si="40"/>
        <v>0.02</v>
      </c>
      <c r="U557">
        <f t="shared" si="41"/>
        <v>0</v>
      </c>
      <c r="V557" s="4" t="str">
        <f t="shared" si="42"/>
        <v>0</v>
      </c>
      <c r="W557" s="4" t="str">
        <f t="shared" si="43"/>
        <v>1</v>
      </c>
      <c r="X557" s="4" t="str">
        <f t="shared" si="44"/>
        <v>0NON-HS1</v>
      </c>
      <c r="Y557">
        <f>VLOOKUP(X557,Sheet1!$J$5:$K$121,2,FALSE)</f>
        <v>0</v>
      </c>
    </row>
    <row r="558" spans="1:25" x14ac:dyDescent="0.25">
      <c r="A558" s="8">
        <f>[1]Data!A558</f>
        <v>910302</v>
      </c>
      <c r="B558" s="8">
        <f>[1]Data!B558</f>
        <v>1</v>
      </c>
      <c r="C558" s="8">
        <f>[1]Data!C558</f>
        <v>0</v>
      </c>
      <c r="D558" s="8">
        <f>[1]Data!D558</f>
        <v>5</v>
      </c>
      <c r="E558" s="8" t="str">
        <f>[1]Data!E558</f>
        <v>NON-HS</v>
      </c>
      <c r="F558" s="8" t="str">
        <f>[1]Data!F558</f>
        <v>Palmdale</v>
      </c>
      <c r="G558" s="8">
        <f>[1]Data!G558</f>
        <v>0</v>
      </c>
      <c r="H558" s="8">
        <f>[1]Data!H558</f>
        <v>0</v>
      </c>
      <c r="I558" s="8">
        <f>[1]Data!I558</f>
        <v>0</v>
      </c>
      <c r="J558" s="8">
        <f>[1]Data!J558</f>
        <v>0</v>
      </c>
      <c r="K558" s="8">
        <f>[1]Data!K558</f>
        <v>0</v>
      </c>
      <c r="L558" s="8">
        <f>[1]Data!L558</f>
        <v>0</v>
      </c>
      <c r="M558" s="8">
        <f>[1]Data!M558</f>
        <v>0</v>
      </c>
      <c r="N558" s="8">
        <f>[1]Data!N558</f>
        <v>0.02</v>
      </c>
      <c r="O558" s="8">
        <f>[1]Data!O558</f>
        <v>0</v>
      </c>
      <c r="P558" s="8">
        <f>[1]Data!P558</f>
        <v>1</v>
      </c>
      <c r="Q558" s="8">
        <f>[1]Data!Q558</f>
        <v>0</v>
      </c>
      <c r="R558" s="8">
        <f>[1]Data!R558</f>
        <v>0</v>
      </c>
      <c r="S558" s="8">
        <f>[1]Data!S558</f>
        <v>0</v>
      </c>
      <c r="T558">
        <f t="shared" si="40"/>
        <v>0.02</v>
      </c>
      <c r="U558">
        <f t="shared" si="41"/>
        <v>0</v>
      </c>
      <c r="V558" s="4" t="str">
        <f t="shared" si="42"/>
        <v>0</v>
      </c>
      <c r="W558" s="4" t="str">
        <f t="shared" si="43"/>
        <v>1</v>
      </c>
      <c r="X558" s="4" t="str">
        <f t="shared" si="44"/>
        <v>0NON-HS1</v>
      </c>
      <c r="Y558">
        <f>VLOOKUP(X558,Sheet1!$J$5:$K$121,2,FALSE)</f>
        <v>0</v>
      </c>
    </row>
    <row r="559" spans="1:25" x14ac:dyDescent="0.25">
      <c r="A559" s="8">
        <f>[1]Data!A559</f>
        <v>910705</v>
      </c>
      <c r="B559" s="8">
        <f>[1]Data!B559</f>
        <v>1</v>
      </c>
      <c r="C559" s="8">
        <f>[1]Data!C559</f>
        <v>0</v>
      </c>
      <c r="D559" s="8">
        <f>[1]Data!D559</f>
        <v>5</v>
      </c>
      <c r="E559" s="8" t="str">
        <f>[1]Data!E559</f>
        <v>NON-HS</v>
      </c>
      <c r="F559" s="8" t="str">
        <f>[1]Data!F559</f>
        <v>Palmdale</v>
      </c>
      <c r="G559" s="8">
        <f>[1]Data!G559</f>
        <v>0</v>
      </c>
      <c r="H559" s="8">
        <f>[1]Data!H559</f>
        <v>0</v>
      </c>
      <c r="I559" s="8">
        <f>[1]Data!I559</f>
        <v>3.851</v>
      </c>
      <c r="J559" s="8">
        <f>[1]Data!J559</f>
        <v>3.8097598800000001</v>
      </c>
      <c r="K559" s="8">
        <f>[1]Data!K559</f>
        <v>3.8097598800000001</v>
      </c>
      <c r="L559" s="8">
        <f>[1]Data!L559</f>
        <v>4.1250644165170602E-2</v>
      </c>
      <c r="M559" s="8">
        <f>[1]Data!M559</f>
        <v>3.85101052416517</v>
      </c>
      <c r="N559" s="8">
        <f>[1]Data!N559</f>
        <v>0.02</v>
      </c>
      <c r="O559" s="8">
        <f>[1]Data!O559</f>
        <v>0</v>
      </c>
      <c r="P559" s="8">
        <f>[1]Data!P559</f>
        <v>1</v>
      </c>
      <c r="Q559" s="8">
        <f>[1]Data!Q559</f>
        <v>0</v>
      </c>
      <c r="R559" s="8">
        <f>[1]Data!R559</f>
        <v>0</v>
      </c>
      <c r="S559" s="8">
        <f>[1]Data!S559</f>
        <v>0</v>
      </c>
      <c r="T559">
        <f t="shared" si="40"/>
        <v>0.02</v>
      </c>
      <c r="U559">
        <f t="shared" si="41"/>
        <v>0</v>
      </c>
      <c r="V559" s="4" t="str">
        <f t="shared" si="42"/>
        <v>0</v>
      </c>
      <c r="W559" s="4" t="str">
        <f t="shared" si="43"/>
        <v>1</v>
      </c>
      <c r="X559" s="4" t="str">
        <f t="shared" si="44"/>
        <v>0NON-HS1</v>
      </c>
      <c r="Y559">
        <f>VLOOKUP(X559,Sheet1!$J$5:$K$121,2,FALSE)</f>
        <v>0</v>
      </c>
    </row>
    <row r="560" spans="1:25" x14ac:dyDescent="0.25">
      <c r="A560" s="8">
        <f>[1]Data!A560</f>
        <v>910206</v>
      </c>
      <c r="B560" s="8">
        <f>[1]Data!B560</f>
        <v>1</v>
      </c>
      <c r="C560" s="8">
        <f>[1]Data!C560</f>
        <v>0</v>
      </c>
      <c r="D560" s="8">
        <f>[1]Data!D560</f>
        <v>5</v>
      </c>
      <c r="E560" s="8" t="str">
        <f>[1]Data!E560</f>
        <v>NON-HS</v>
      </c>
      <c r="F560" s="8" t="str">
        <f>[1]Data!F560</f>
        <v>Palmdale</v>
      </c>
      <c r="G560" s="8">
        <f>[1]Data!G560</f>
        <v>0</v>
      </c>
      <c r="H560" s="8">
        <f>[1]Data!H560</f>
        <v>0</v>
      </c>
      <c r="I560" s="8">
        <f>[1]Data!I560</f>
        <v>10.379</v>
      </c>
      <c r="J560" s="8">
        <f>[1]Data!J560</f>
        <v>7.9347986400000003</v>
      </c>
      <c r="K560" s="8">
        <f>[1]Data!K560</f>
        <v>9.9347986400000003</v>
      </c>
      <c r="L560" s="8">
        <f>[1]Data!L560</f>
        <v>0.44469040552962302</v>
      </c>
      <c r="M560" s="8">
        <f>[1]Data!M560</f>
        <v>10.379489045529599</v>
      </c>
      <c r="N560" s="8">
        <f>[1]Data!N560</f>
        <v>0.02</v>
      </c>
      <c r="O560" s="8">
        <f>[1]Data!O560</f>
        <v>0</v>
      </c>
      <c r="P560" s="8">
        <f>[1]Data!P560</f>
        <v>1</v>
      </c>
      <c r="Q560" s="8">
        <f>[1]Data!Q560</f>
        <v>0</v>
      </c>
      <c r="R560" s="8">
        <f>[1]Data!R560</f>
        <v>0</v>
      </c>
      <c r="S560" s="8">
        <f>[1]Data!S560</f>
        <v>0</v>
      </c>
      <c r="T560">
        <f t="shared" si="40"/>
        <v>0.02</v>
      </c>
      <c r="U560">
        <f t="shared" si="41"/>
        <v>0</v>
      </c>
      <c r="V560" s="4" t="str">
        <f t="shared" si="42"/>
        <v>0</v>
      </c>
      <c r="W560" s="4" t="str">
        <f t="shared" si="43"/>
        <v>1</v>
      </c>
      <c r="X560" s="4" t="str">
        <f t="shared" si="44"/>
        <v>0NON-HS1</v>
      </c>
      <c r="Y560">
        <f>VLOOKUP(X560,Sheet1!$J$5:$K$121,2,FALSE)</f>
        <v>0</v>
      </c>
    </row>
    <row r="561" spans="1:25" x14ac:dyDescent="0.25">
      <c r="A561" s="8">
        <f>[1]Data!A561</f>
        <v>901102</v>
      </c>
      <c r="B561" s="8">
        <f>[1]Data!B561</f>
        <v>1</v>
      </c>
      <c r="C561" s="8">
        <f>[1]Data!C561</f>
        <v>0</v>
      </c>
      <c r="D561" s="8">
        <f>[1]Data!D561</f>
        <v>5</v>
      </c>
      <c r="E561" s="8" t="str">
        <f>[1]Data!E561</f>
        <v>NON-HS</v>
      </c>
      <c r="F561" s="8" t="str">
        <f>[1]Data!F561</f>
        <v>Lancaster</v>
      </c>
      <c r="G561" s="8">
        <f>[1]Data!G561</f>
        <v>0</v>
      </c>
      <c r="H561" s="8">
        <f>[1]Data!H561</f>
        <v>0</v>
      </c>
      <c r="I561" s="8">
        <f>[1]Data!I561</f>
        <v>11.553000000000001</v>
      </c>
      <c r="J561" s="8">
        <f>[1]Data!J561</f>
        <v>11.429279640000001</v>
      </c>
      <c r="K561" s="8">
        <f>[1]Data!K561</f>
        <v>11.429279640000001</v>
      </c>
      <c r="L561" s="8">
        <f>[1]Data!L561</f>
        <v>0.123751932495512</v>
      </c>
      <c r="M561" s="8">
        <f>[1]Data!M561</f>
        <v>11.553031572495501</v>
      </c>
      <c r="N561" s="8">
        <f>[1]Data!N561</f>
        <v>0.02</v>
      </c>
      <c r="O561" s="8">
        <f>[1]Data!O561</f>
        <v>0</v>
      </c>
      <c r="P561" s="8">
        <f>[1]Data!P561</f>
        <v>1</v>
      </c>
      <c r="Q561" s="8">
        <f>[1]Data!Q561</f>
        <v>0</v>
      </c>
      <c r="R561" s="8">
        <f>[1]Data!R561</f>
        <v>0</v>
      </c>
      <c r="S561" s="8">
        <f>[1]Data!S561</f>
        <v>0</v>
      </c>
      <c r="T561">
        <f t="shared" si="40"/>
        <v>0.02</v>
      </c>
      <c r="U561">
        <f t="shared" si="41"/>
        <v>0</v>
      </c>
      <c r="V561" s="4" t="str">
        <f t="shared" si="42"/>
        <v>0</v>
      </c>
      <c r="W561" s="4" t="str">
        <f t="shared" si="43"/>
        <v>1</v>
      </c>
      <c r="X561" s="4" t="str">
        <f t="shared" si="44"/>
        <v>0NON-HS1</v>
      </c>
      <c r="Y561">
        <f>VLOOKUP(X561,Sheet1!$J$5:$K$121,2,FALSE)</f>
        <v>0</v>
      </c>
    </row>
    <row r="562" spans="1:25" x14ac:dyDescent="0.25">
      <c r="A562" s="8">
        <f>[1]Data!A562</f>
        <v>910601</v>
      </c>
      <c r="B562" s="8">
        <f>[1]Data!B562</f>
        <v>1</v>
      </c>
      <c r="C562" s="8">
        <f>[1]Data!C562</f>
        <v>0</v>
      </c>
      <c r="D562" s="8">
        <f>[1]Data!D562</f>
        <v>5</v>
      </c>
      <c r="E562" s="8" t="str">
        <f>[1]Data!E562</f>
        <v>NON-HS</v>
      </c>
      <c r="F562" s="8" t="str">
        <f>[1]Data!F562</f>
        <v>Palmdale</v>
      </c>
      <c r="G562" s="8">
        <f>[1]Data!G562</f>
        <v>0</v>
      </c>
      <c r="H562" s="8">
        <f>[1]Data!H562</f>
        <v>0</v>
      </c>
      <c r="I562" s="8">
        <f>[1]Data!I562</f>
        <v>0</v>
      </c>
      <c r="J562" s="8">
        <f>[1]Data!J562</f>
        <v>0</v>
      </c>
      <c r="K562" s="8">
        <f>[1]Data!K562</f>
        <v>0</v>
      </c>
      <c r="L562" s="8">
        <f>[1]Data!L562</f>
        <v>0</v>
      </c>
      <c r="M562" s="8">
        <f>[1]Data!M562</f>
        <v>0</v>
      </c>
      <c r="N562" s="8">
        <f>[1]Data!N562</f>
        <v>0.02</v>
      </c>
      <c r="O562" s="8">
        <f>[1]Data!O562</f>
        <v>0</v>
      </c>
      <c r="P562" s="8">
        <f>[1]Data!P562</f>
        <v>1</v>
      </c>
      <c r="Q562" s="8">
        <f>[1]Data!Q562</f>
        <v>0</v>
      </c>
      <c r="R562" s="8">
        <f>[1]Data!R562</f>
        <v>0</v>
      </c>
      <c r="S562" s="8">
        <f>[1]Data!S562</f>
        <v>0</v>
      </c>
      <c r="T562">
        <f t="shared" si="40"/>
        <v>0.02</v>
      </c>
      <c r="U562">
        <f t="shared" si="41"/>
        <v>0</v>
      </c>
      <c r="V562" s="4" t="str">
        <f t="shared" si="42"/>
        <v>0</v>
      </c>
      <c r="W562" s="4" t="str">
        <f t="shared" si="43"/>
        <v>1</v>
      </c>
      <c r="X562" s="4" t="str">
        <f t="shared" si="44"/>
        <v>0NON-HS1</v>
      </c>
      <c r="Y562">
        <f>VLOOKUP(X562,Sheet1!$J$5:$K$121,2,FALSE)</f>
        <v>0</v>
      </c>
    </row>
    <row r="563" spans="1:25" x14ac:dyDescent="0.25">
      <c r="A563" s="8">
        <f>[1]Data!A563</f>
        <v>910714</v>
      </c>
      <c r="B563" s="8">
        <f>[1]Data!B563</f>
        <v>1</v>
      </c>
      <c r="C563" s="8">
        <f>[1]Data!C563</f>
        <v>0</v>
      </c>
      <c r="D563" s="8">
        <f>[1]Data!D563</f>
        <v>5</v>
      </c>
      <c r="E563" s="8" t="str">
        <f>[1]Data!E563</f>
        <v>NON-HS</v>
      </c>
      <c r="F563" s="8" t="str">
        <f>[1]Data!F563</f>
        <v>Palmdale</v>
      </c>
      <c r="G563" s="8">
        <f>[1]Data!G563</f>
        <v>0</v>
      </c>
      <c r="H563" s="8">
        <f>[1]Data!H563</f>
        <v>0</v>
      </c>
      <c r="I563" s="8">
        <f>[1]Data!I563</f>
        <v>0</v>
      </c>
      <c r="J563" s="8">
        <f>[1]Data!J563</f>
        <v>0</v>
      </c>
      <c r="K563" s="8">
        <f>[1]Data!K563</f>
        <v>0</v>
      </c>
      <c r="L563" s="8">
        <f>[1]Data!L563</f>
        <v>0</v>
      </c>
      <c r="M563" s="8">
        <f>[1]Data!M563</f>
        <v>0</v>
      </c>
      <c r="N563" s="8">
        <f>[1]Data!N563</f>
        <v>0.02</v>
      </c>
      <c r="O563" s="8">
        <f>[1]Data!O563</f>
        <v>0</v>
      </c>
      <c r="P563" s="8">
        <f>[1]Data!P563</f>
        <v>1</v>
      </c>
      <c r="Q563" s="8">
        <f>[1]Data!Q563</f>
        <v>0</v>
      </c>
      <c r="R563" s="8">
        <f>[1]Data!R563</f>
        <v>0</v>
      </c>
      <c r="S563" s="8">
        <f>[1]Data!S563</f>
        <v>0</v>
      </c>
      <c r="T563">
        <f t="shared" si="40"/>
        <v>0.02</v>
      </c>
      <c r="U563">
        <f t="shared" si="41"/>
        <v>0</v>
      </c>
      <c r="V563" s="4" t="str">
        <f t="shared" si="42"/>
        <v>0</v>
      </c>
      <c r="W563" s="4" t="str">
        <f t="shared" si="43"/>
        <v>1</v>
      </c>
      <c r="X563" s="4" t="str">
        <f t="shared" si="44"/>
        <v>0NON-HS1</v>
      </c>
      <c r="Y563">
        <f>VLOOKUP(X563,Sheet1!$J$5:$K$121,2,FALSE)</f>
        <v>0</v>
      </c>
    </row>
    <row r="564" spans="1:25" x14ac:dyDescent="0.25">
      <c r="A564" s="8">
        <f>[1]Data!A564</f>
        <v>900804</v>
      </c>
      <c r="B564" s="8">
        <f>[1]Data!B564</f>
        <v>1</v>
      </c>
      <c r="C564" s="8">
        <f>[1]Data!C564</f>
        <v>0</v>
      </c>
      <c r="D564" s="8">
        <f>[1]Data!D564</f>
        <v>5</v>
      </c>
      <c r="E564" s="8" t="str">
        <f>[1]Data!E564</f>
        <v>NON-HS</v>
      </c>
      <c r="F564" s="8" t="str">
        <f>[1]Data!F564</f>
        <v>Lancaster</v>
      </c>
      <c r="G564" s="8">
        <f>[1]Data!G564</f>
        <v>0</v>
      </c>
      <c r="H564" s="8">
        <f>[1]Data!H564</f>
        <v>0</v>
      </c>
      <c r="I564" s="8">
        <f>[1]Data!I564</f>
        <v>19.59</v>
      </c>
      <c r="J564" s="8">
        <f>[1]Data!J564</f>
        <v>17.809388729999998</v>
      </c>
      <c r="K564" s="8">
        <f>[1]Data!K564</f>
        <v>18.809388729999998</v>
      </c>
      <c r="L564" s="8">
        <f>[1]Data!L564</f>
        <v>0.77982783159784597</v>
      </c>
      <c r="M564" s="8">
        <f>[1]Data!M564</f>
        <v>19.589216561597802</v>
      </c>
      <c r="N564" s="8">
        <f>[1]Data!N564</f>
        <v>0.02</v>
      </c>
      <c r="O564" s="8">
        <f>[1]Data!O564</f>
        <v>0</v>
      </c>
      <c r="P564" s="8">
        <f>[1]Data!P564</f>
        <v>1</v>
      </c>
      <c r="Q564" s="8">
        <f>[1]Data!Q564</f>
        <v>0</v>
      </c>
      <c r="R564" s="8">
        <f>[1]Data!R564</f>
        <v>0</v>
      </c>
      <c r="S564" s="8">
        <f>[1]Data!S564</f>
        <v>0</v>
      </c>
      <c r="T564">
        <f t="shared" si="40"/>
        <v>0.02</v>
      </c>
      <c r="U564">
        <f t="shared" si="41"/>
        <v>0</v>
      </c>
      <c r="V564" s="4" t="str">
        <f t="shared" si="42"/>
        <v>0</v>
      </c>
      <c r="W564" s="4" t="str">
        <f t="shared" si="43"/>
        <v>1</v>
      </c>
      <c r="X564" s="4" t="str">
        <f t="shared" si="44"/>
        <v>0NON-HS1</v>
      </c>
      <c r="Y564">
        <f>VLOOKUP(X564,Sheet1!$J$5:$K$121,2,FALSE)</f>
        <v>0</v>
      </c>
    </row>
    <row r="565" spans="1:25" x14ac:dyDescent="0.25">
      <c r="A565" s="8">
        <f>[1]Data!A565</f>
        <v>910404</v>
      </c>
      <c r="B565" s="8">
        <f>[1]Data!B565</f>
        <v>1</v>
      </c>
      <c r="C565" s="8">
        <f>[1]Data!C565</f>
        <v>0</v>
      </c>
      <c r="D565" s="8">
        <f>[1]Data!D565</f>
        <v>5</v>
      </c>
      <c r="E565" s="8" t="str">
        <f>[1]Data!E565</f>
        <v>NON-HS</v>
      </c>
      <c r="F565" s="8" t="str">
        <f>[1]Data!F565</f>
        <v>Palmdale</v>
      </c>
      <c r="G565" s="8">
        <f>[1]Data!G565</f>
        <v>0</v>
      </c>
      <c r="H565" s="8">
        <f>[1]Data!H565</f>
        <v>0</v>
      </c>
      <c r="I565" s="8">
        <f>[1]Data!I565</f>
        <v>27.233000000000001</v>
      </c>
      <c r="J565" s="8">
        <f>[1]Data!J565</f>
        <v>25.78809558</v>
      </c>
      <c r="K565" s="8">
        <f>[1]Data!K565</f>
        <v>25.78809558</v>
      </c>
      <c r="L565" s="8">
        <f>[1]Data!L565</f>
        <v>1.4452438179712701</v>
      </c>
      <c r="M565" s="8">
        <f>[1]Data!M565</f>
        <v>27.233339397971299</v>
      </c>
      <c r="N565" s="8">
        <f>[1]Data!N565</f>
        <v>0.02</v>
      </c>
      <c r="O565" s="8">
        <f>[1]Data!O565</f>
        <v>0</v>
      </c>
      <c r="P565" s="8">
        <f>[1]Data!P565</f>
        <v>1</v>
      </c>
      <c r="Q565" s="8">
        <f>[1]Data!Q565</f>
        <v>0</v>
      </c>
      <c r="R565" s="8">
        <f>[1]Data!R565</f>
        <v>0</v>
      </c>
      <c r="S565" s="8">
        <f>[1]Data!S565</f>
        <v>0</v>
      </c>
      <c r="T565">
        <f t="shared" si="40"/>
        <v>0.02</v>
      </c>
      <c r="U565">
        <f t="shared" si="41"/>
        <v>0</v>
      </c>
      <c r="V565" s="4" t="str">
        <f t="shared" si="42"/>
        <v>0</v>
      </c>
      <c r="W565" s="4" t="str">
        <f t="shared" si="43"/>
        <v>1</v>
      </c>
      <c r="X565" s="4" t="str">
        <f t="shared" si="44"/>
        <v>0NON-HS1</v>
      </c>
      <c r="Y565">
        <f>VLOOKUP(X565,Sheet1!$J$5:$K$121,2,FALSE)</f>
        <v>0</v>
      </c>
    </row>
    <row r="566" spans="1:25" x14ac:dyDescent="0.25">
      <c r="A566" s="8">
        <f>[1]Data!A566</f>
        <v>901213</v>
      </c>
      <c r="B566" s="8">
        <f>[1]Data!B566</f>
        <v>1</v>
      </c>
      <c r="C566" s="8">
        <f>[1]Data!C566</f>
        <v>0</v>
      </c>
      <c r="D566" s="8">
        <f>[1]Data!D566</f>
        <v>5</v>
      </c>
      <c r="E566" s="8" t="str">
        <f>[1]Data!E566</f>
        <v>NON-HS</v>
      </c>
      <c r="F566" s="8" t="str">
        <f>[1]Data!F566</f>
        <v>Palmdale</v>
      </c>
      <c r="G566" s="8">
        <f>[1]Data!G566</f>
        <v>0</v>
      </c>
      <c r="H566" s="8">
        <f>[1]Data!H566</f>
        <v>0</v>
      </c>
      <c r="I566" s="8">
        <f>[1]Data!I566</f>
        <v>22.875</v>
      </c>
      <c r="J566" s="8">
        <f>[1]Data!J566</f>
        <v>21.74187654</v>
      </c>
      <c r="K566" s="8">
        <f>[1]Data!K566</f>
        <v>21.74187654</v>
      </c>
      <c r="L566" s="8">
        <f>[1]Data!L566</f>
        <v>1.1323513359066399</v>
      </c>
      <c r="M566" s="8">
        <f>[1]Data!M566</f>
        <v>22.874227875906598</v>
      </c>
      <c r="N566" s="8">
        <f>[1]Data!N566</f>
        <v>0.02</v>
      </c>
      <c r="O566" s="8">
        <f>[1]Data!O566</f>
        <v>0</v>
      </c>
      <c r="P566" s="8">
        <f>[1]Data!P566</f>
        <v>1</v>
      </c>
      <c r="Q566" s="8">
        <f>[1]Data!Q566</f>
        <v>0</v>
      </c>
      <c r="R566" s="8">
        <f>[1]Data!R566</f>
        <v>0</v>
      </c>
      <c r="S566" s="8">
        <f>[1]Data!S566</f>
        <v>0</v>
      </c>
      <c r="T566">
        <f t="shared" si="40"/>
        <v>0.02</v>
      </c>
      <c r="U566">
        <f t="shared" si="41"/>
        <v>0</v>
      </c>
      <c r="V566" s="4" t="str">
        <f t="shared" si="42"/>
        <v>0</v>
      </c>
      <c r="W566" s="4" t="str">
        <f t="shared" si="43"/>
        <v>1</v>
      </c>
      <c r="X566" s="4" t="str">
        <f t="shared" si="44"/>
        <v>0NON-HS1</v>
      </c>
      <c r="Y566">
        <f>VLOOKUP(X566,Sheet1!$J$5:$K$121,2,FALSE)</f>
        <v>0</v>
      </c>
    </row>
    <row r="567" spans="1:25" x14ac:dyDescent="0.25">
      <c r="A567" s="8">
        <f>[1]Data!A567</f>
        <v>901007</v>
      </c>
      <c r="B567" s="8">
        <f>[1]Data!B567</f>
        <v>1</v>
      </c>
      <c r="C567" s="8">
        <f>[1]Data!C567</f>
        <v>0</v>
      </c>
      <c r="D567" s="8">
        <f>[1]Data!D567</f>
        <v>5</v>
      </c>
      <c r="E567" s="8" t="str">
        <f>[1]Data!E567</f>
        <v>NON-HS</v>
      </c>
      <c r="F567" s="8" t="str">
        <f>[1]Data!F567</f>
        <v>Lancaster</v>
      </c>
      <c r="G567" s="8">
        <f>[1]Data!G567</f>
        <v>0</v>
      </c>
      <c r="H567" s="8">
        <f>[1]Data!H567</f>
        <v>0</v>
      </c>
      <c r="I567" s="8">
        <f>[1]Data!I567</f>
        <v>1</v>
      </c>
      <c r="J567" s="8">
        <f>[1]Data!J567</f>
        <v>0</v>
      </c>
      <c r="K567" s="8">
        <f>[1]Data!K567</f>
        <v>1</v>
      </c>
      <c r="L567" s="8">
        <f>[1]Data!L567</f>
        <v>0</v>
      </c>
      <c r="M567" s="8">
        <f>[1]Data!M567</f>
        <v>1</v>
      </c>
      <c r="N567" s="8">
        <f>[1]Data!N567</f>
        <v>0.02</v>
      </c>
      <c r="O567" s="8">
        <f>[1]Data!O567</f>
        <v>0</v>
      </c>
      <c r="P567" s="8">
        <f>[1]Data!P567</f>
        <v>1</v>
      </c>
      <c r="Q567" s="8">
        <f>[1]Data!Q567</f>
        <v>0</v>
      </c>
      <c r="R567" s="8">
        <f>[1]Data!R567</f>
        <v>0</v>
      </c>
      <c r="S567" s="8">
        <f>[1]Data!S567</f>
        <v>0</v>
      </c>
      <c r="T567">
        <f t="shared" si="40"/>
        <v>0.02</v>
      </c>
      <c r="U567">
        <f t="shared" si="41"/>
        <v>0</v>
      </c>
      <c r="V567" s="4" t="str">
        <f t="shared" si="42"/>
        <v>0</v>
      </c>
      <c r="W567" s="4" t="str">
        <f t="shared" si="43"/>
        <v>1</v>
      </c>
      <c r="X567" s="4" t="str">
        <f t="shared" si="44"/>
        <v>0NON-HS1</v>
      </c>
      <c r="Y567">
        <f>VLOOKUP(X567,Sheet1!$J$5:$K$121,2,FALSE)</f>
        <v>0</v>
      </c>
    </row>
    <row r="568" spans="1:25" x14ac:dyDescent="0.25">
      <c r="A568" s="8">
        <f>[1]Data!A568</f>
        <v>980003</v>
      </c>
      <c r="B568" s="8">
        <f>[1]Data!B568</f>
        <v>1</v>
      </c>
      <c r="C568" s="8">
        <f>[1]Data!C568</f>
        <v>0</v>
      </c>
      <c r="D568" s="8">
        <f>[1]Data!D568</f>
        <v>5</v>
      </c>
      <c r="E568" s="8" t="str">
        <f>[1]Data!E568</f>
        <v>NON-HS</v>
      </c>
      <c r="F568" s="8" t="str">
        <f>[1]Data!F568</f>
        <v>Unincorporated Antelope Valley</v>
      </c>
      <c r="G568" s="8">
        <f>[1]Data!G568</f>
        <v>0</v>
      </c>
      <c r="H568" s="8">
        <f>[1]Data!H568</f>
        <v>0</v>
      </c>
      <c r="I568" s="8">
        <f>[1]Data!I568</f>
        <v>0</v>
      </c>
      <c r="J568" s="8">
        <f>[1]Data!J568</f>
        <v>0</v>
      </c>
      <c r="K568" s="8">
        <f>[1]Data!K568</f>
        <v>0</v>
      </c>
      <c r="L568" s="8">
        <f>[1]Data!L568</f>
        <v>0</v>
      </c>
      <c r="M568" s="8">
        <f>[1]Data!M568</f>
        <v>0</v>
      </c>
      <c r="N568" s="8">
        <f>[1]Data!N568</f>
        <v>0.02</v>
      </c>
      <c r="O568" s="8">
        <f>[1]Data!O568</f>
        <v>0</v>
      </c>
      <c r="P568" s="8">
        <f>[1]Data!P568</f>
        <v>1</v>
      </c>
      <c r="Q568" s="8">
        <f>[1]Data!Q568</f>
        <v>0</v>
      </c>
      <c r="R568" s="8">
        <f>[1]Data!R568</f>
        <v>0</v>
      </c>
      <c r="S568" s="8">
        <f>[1]Data!S568</f>
        <v>0</v>
      </c>
      <c r="T568">
        <f t="shared" si="40"/>
        <v>0.02</v>
      </c>
      <c r="U568">
        <f t="shared" si="41"/>
        <v>0</v>
      </c>
      <c r="V568" s="4" t="str">
        <f t="shared" si="42"/>
        <v>0</v>
      </c>
      <c r="W568" s="4" t="str">
        <f t="shared" si="43"/>
        <v>1</v>
      </c>
      <c r="X568" s="4" t="str">
        <f t="shared" si="44"/>
        <v>0NON-HS1</v>
      </c>
      <c r="Y568">
        <f>VLOOKUP(X568,Sheet1!$J$5:$K$121,2,FALSE)</f>
        <v>0</v>
      </c>
    </row>
    <row r="569" spans="1:25" x14ac:dyDescent="0.25">
      <c r="A569" s="8">
        <f>[1]Data!A569</f>
        <v>901011</v>
      </c>
      <c r="B569" s="8">
        <f>[1]Data!B569</f>
        <v>1</v>
      </c>
      <c r="C569" s="8">
        <f>[1]Data!C569</f>
        <v>0</v>
      </c>
      <c r="D569" s="8">
        <f>[1]Data!D569</f>
        <v>5</v>
      </c>
      <c r="E569" s="8" t="str">
        <f>[1]Data!E569</f>
        <v>NON-HS</v>
      </c>
      <c r="F569" s="8" t="str">
        <f>[1]Data!F569</f>
        <v>Lancaster</v>
      </c>
      <c r="G569" s="8">
        <f>[1]Data!G569</f>
        <v>0</v>
      </c>
      <c r="H569" s="8">
        <f>[1]Data!H569</f>
        <v>0</v>
      </c>
      <c r="I569" s="8">
        <f>[1]Data!I569</f>
        <v>0</v>
      </c>
      <c r="J569" s="8">
        <f>[1]Data!J569</f>
        <v>0</v>
      </c>
      <c r="K569" s="8">
        <f>[1]Data!K569</f>
        <v>0</v>
      </c>
      <c r="L569" s="8">
        <f>[1]Data!L569</f>
        <v>0</v>
      </c>
      <c r="M569" s="8">
        <f>[1]Data!M569</f>
        <v>0</v>
      </c>
      <c r="N569" s="8">
        <f>[1]Data!N569</f>
        <v>0.02</v>
      </c>
      <c r="O569" s="8">
        <f>[1]Data!O569</f>
        <v>0</v>
      </c>
      <c r="P569" s="8">
        <f>[1]Data!P569</f>
        <v>1</v>
      </c>
      <c r="Q569" s="8">
        <f>[1]Data!Q569</f>
        <v>0</v>
      </c>
      <c r="R569" s="8">
        <f>[1]Data!R569</f>
        <v>0</v>
      </c>
      <c r="S569" s="8">
        <f>[1]Data!S569</f>
        <v>0</v>
      </c>
      <c r="T569">
        <f t="shared" si="40"/>
        <v>0.02</v>
      </c>
      <c r="U569">
        <f t="shared" si="41"/>
        <v>0</v>
      </c>
      <c r="V569" s="4" t="str">
        <f t="shared" si="42"/>
        <v>0</v>
      </c>
      <c r="W569" s="4" t="str">
        <f t="shared" si="43"/>
        <v>1</v>
      </c>
      <c r="X569" s="4" t="str">
        <f t="shared" si="44"/>
        <v>0NON-HS1</v>
      </c>
      <c r="Y569">
        <f>VLOOKUP(X569,Sheet1!$J$5:$K$121,2,FALSE)</f>
        <v>0</v>
      </c>
    </row>
    <row r="570" spans="1:25" x14ac:dyDescent="0.25">
      <c r="A570" s="8">
        <f>[1]Data!A570</f>
        <v>910208</v>
      </c>
      <c r="B570" s="8">
        <f>[1]Data!B570</f>
        <v>1</v>
      </c>
      <c r="C570" s="8">
        <f>[1]Data!C570</f>
        <v>0</v>
      </c>
      <c r="D570" s="8">
        <f>[1]Data!D570</f>
        <v>5</v>
      </c>
      <c r="E570" s="8" t="str">
        <f>[1]Data!E570</f>
        <v>NON-HS</v>
      </c>
      <c r="F570" s="8" t="str">
        <f>[1]Data!F570</f>
        <v>Palmdale</v>
      </c>
      <c r="G570" s="8">
        <f>[1]Data!G570</f>
        <v>0</v>
      </c>
      <c r="H570" s="8">
        <f>[1]Data!H570</f>
        <v>0</v>
      </c>
      <c r="I570" s="8">
        <f>[1]Data!I570</f>
        <v>33.518000000000001</v>
      </c>
      <c r="J570" s="8">
        <f>[1]Data!J570</f>
        <v>31.739194560000001</v>
      </c>
      <c r="K570" s="8">
        <f>[1]Data!K570</f>
        <v>31.739194560000001</v>
      </c>
      <c r="L570" s="8">
        <f>[1]Data!L570</f>
        <v>1.7787616221184901</v>
      </c>
      <c r="M570" s="8">
        <f>[1]Data!M570</f>
        <v>33.517956182118503</v>
      </c>
      <c r="N570" s="8">
        <f>[1]Data!N570</f>
        <v>0.02</v>
      </c>
      <c r="O570" s="8">
        <f>[1]Data!O570</f>
        <v>0</v>
      </c>
      <c r="P570" s="8">
        <f>[1]Data!P570</f>
        <v>1</v>
      </c>
      <c r="Q570" s="8">
        <f>[1]Data!Q570</f>
        <v>0</v>
      </c>
      <c r="R570" s="8">
        <f>[1]Data!R570</f>
        <v>0</v>
      </c>
      <c r="S570" s="8">
        <f>[1]Data!S570</f>
        <v>0</v>
      </c>
      <c r="T570">
        <f t="shared" si="40"/>
        <v>0.02</v>
      </c>
      <c r="U570">
        <f t="shared" si="41"/>
        <v>0</v>
      </c>
      <c r="V570" s="4" t="str">
        <f t="shared" si="42"/>
        <v>0</v>
      </c>
      <c r="W570" s="4" t="str">
        <f t="shared" si="43"/>
        <v>1</v>
      </c>
      <c r="X570" s="4" t="str">
        <f t="shared" si="44"/>
        <v>0NON-HS1</v>
      </c>
      <c r="Y570">
        <f>VLOOKUP(X570,Sheet1!$J$5:$K$121,2,FALSE)</f>
        <v>0</v>
      </c>
    </row>
    <row r="571" spans="1:25" x14ac:dyDescent="0.25">
      <c r="A571" s="8">
        <f>[1]Data!A571</f>
        <v>900507</v>
      </c>
      <c r="B571" s="8">
        <f>[1]Data!B571</f>
        <v>1</v>
      </c>
      <c r="C571" s="8">
        <f>[1]Data!C571</f>
        <v>0</v>
      </c>
      <c r="D571" s="8">
        <f>[1]Data!D571</f>
        <v>5</v>
      </c>
      <c r="E571" s="8" t="str">
        <f>[1]Data!E571</f>
        <v>NON-HS</v>
      </c>
      <c r="F571" s="8" t="str">
        <f>[1]Data!F571</f>
        <v>Lancaster</v>
      </c>
      <c r="G571" s="8">
        <f>[1]Data!G571</f>
        <v>0</v>
      </c>
      <c r="H571" s="8">
        <f>[1]Data!H571</f>
        <v>0</v>
      </c>
      <c r="I571" s="8">
        <f>[1]Data!I571</f>
        <v>4.851</v>
      </c>
      <c r="J571" s="8">
        <f>[1]Data!J571</f>
        <v>3.8097598800000001</v>
      </c>
      <c r="K571" s="8">
        <f>[1]Data!K571</f>
        <v>4.8097598799999997</v>
      </c>
      <c r="L571" s="8">
        <f>[1]Data!L571</f>
        <v>4.1250644165170602E-2</v>
      </c>
      <c r="M571" s="8">
        <f>[1]Data!M571</f>
        <v>4.8510105241651704</v>
      </c>
      <c r="N571" s="8">
        <f>[1]Data!N571</f>
        <v>0.02</v>
      </c>
      <c r="O571" s="8">
        <f>[1]Data!O571</f>
        <v>0</v>
      </c>
      <c r="P571" s="8">
        <f>[1]Data!P571</f>
        <v>1</v>
      </c>
      <c r="Q571" s="8">
        <f>[1]Data!Q571</f>
        <v>0</v>
      </c>
      <c r="R571" s="8">
        <f>[1]Data!R571</f>
        <v>0</v>
      </c>
      <c r="S571" s="8">
        <f>[1]Data!S571</f>
        <v>0</v>
      </c>
      <c r="T571">
        <f t="shared" si="40"/>
        <v>0.02</v>
      </c>
      <c r="U571">
        <f t="shared" si="41"/>
        <v>0</v>
      </c>
      <c r="V571" s="4" t="str">
        <f t="shared" si="42"/>
        <v>0</v>
      </c>
      <c r="W571" s="4" t="str">
        <f t="shared" si="43"/>
        <v>1</v>
      </c>
      <c r="X571" s="4" t="str">
        <f t="shared" si="44"/>
        <v>0NON-HS1</v>
      </c>
      <c r="Y571">
        <f>VLOOKUP(X571,Sheet1!$J$5:$K$121,2,FALSE)</f>
        <v>0</v>
      </c>
    </row>
    <row r="572" spans="1:25" x14ac:dyDescent="0.25">
      <c r="A572" s="8">
        <f>[1]Data!A572</f>
        <v>910602</v>
      </c>
      <c r="B572" s="8">
        <f>[1]Data!B572</f>
        <v>1</v>
      </c>
      <c r="C572" s="8">
        <f>[1]Data!C572</f>
        <v>0</v>
      </c>
      <c r="D572" s="8">
        <f>[1]Data!D572</f>
        <v>5</v>
      </c>
      <c r="E572" s="8" t="str">
        <f>[1]Data!E572</f>
        <v>NON-HS</v>
      </c>
      <c r="F572" s="8" t="str">
        <f>[1]Data!F572</f>
        <v>Palmdale</v>
      </c>
      <c r="G572" s="8">
        <f>[1]Data!G572</f>
        <v>0</v>
      </c>
      <c r="H572" s="8">
        <f>[1]Data!H572</f>
        <v>0</v>
      </c>
      <c r="I572" s="8">
        <f>[1]Data!I572</f>
        <v>1</v>
      </c>
      <c r="J572" s="8">
        <f>[1]Data!J572</f>
        <v>0</v>
      </c>
      <c r="K572" s="8">
        <f>[1]Data!K572</f>
        <v>1</v>
      </c>
      <c r="L572" s="8">
        <f>[1]Data!L572</f>
        <v>0</v>
      </c>
      <c r="M572" s="8">
        <f>[1]Data!M572</f>
        <v>1</v>
      </c>
      <c r="N572" s="8">
        <f>[1]Data!N572</f>
        <v>0.02</v>
      </c>
      <c r="O572" s="8">
        <f>[1]Data!O572</f>
        <v>0</v>
      </c>
      <c r="P572" s="8">
        <f>[1]Data!P572</f>
        <v>1</v>
      </c>
      <c r="Q572" s="8">
        <f>[1]Data!Q572</f>
        <v>0</v>
      </c>
      <c r="R572" s="8">
        <f>[1]Data!R572</f>
        <v>0</v>
      </c>
      <c r="S572" s="8">
        <f>[1]Data!S572</f>
        <v>0</v>
      </c>
      <c r="T572">
        <f t="shared" si="40"/>
        <v>0.02</v>
      </c>
      <c r="U572">
        <f t="shared" si="41"/>
        <v>0</v>
      </c>
      <c r="V572" s="4" t="str">
        <f t="shared" si="42"/>
        <v>0</v>
      </c>
      <c r="W572" s="4" t="str">
        <f t="shared" si="43"/>
        <v>1</v>
      </c>
      <c r="X572" s="4" t="str">
        <f t="shared" si="44"/>
        <v>0NON-HS1</v>
      </c>
      <c r="Y572">
        <f>VLOOKUP(X572,Sheet1!$J$5:$K$121,2,FALSE)</f>
        <v>0</v>
      </c>
    </row>
    <row r="573" spans="1:25" x14ac:dyDescent="0.25">
      <c r="A573" s="8">
        <f>[1]Data!A573</f>
        <v>910707</v>
      </c>
      <c r="B573" s="8">
        <f>[1]Data!B573</f>
        <v>1</v>
      </c>
      <c r="C573" s="8">
        <f>[1]Data!C573</f>
        <v>0</v>
      </c>
      <c r="D573" s="8">
        <f>[1]Data!D573</f>
        <v>5</v>
      </c>
      <c r="E573" s="8" t="str">
        <f>[1]Data!E573</f>
        <v>NON-HS</v>
      </c>
      <c r="F573" s="8" t="str">
        <f>[1]Data!F573</f>
        <v>Palmdale</v>
      </c>
      <c r="G573" s="8">
        <f>[1]Data!G573</f>
        <v>0</v>
      </c>
      <c r="H573" s="8">
        <f>[1]Data!H573</f>
        <v>0</v>
      </c>
      <c r="I573" s="8">
        <f>[1]Data!I573</f>
        <v>10.305</v>
      </c>
      <c r="J573" s="8">
        <f>[1]Data!J573</f>
        <v>9.8396785799999993</v>
      </c>
      <c r="K573" s="8">
        <f>[1]Data!K573</f>
        <v>9.8396785799999993</v>
      </c>
      <c r="L573" s="8">
        <f>[1]Data!L573</f>
        <v>0.46531572761220802</v>
      </c>
      <c r="M573" s="8">
        <f>[1]Data!M573</f>
        <v>10.304994307612199</v>
      </c>
      <c r="N573" s="8">
        <f>[1]Data!N573</f>
        <v>0.02</v>
      </c>
      <c r="O573" s="8">
        <f>[1]Data!O573</f>
        <v>0</v>
      </c>
      <c r="P573" s="8">
        <f>[1]Data!P573</f>
        <v>1</v>
      </c>
      <c r="Q573" s="8">
        <f>[1]Data!Q573</f>
        <v>0</v>
      </c>
      <c r="R573" s="8">
        <f>[1]Data!R573</f>
        <v>0</v>
      </c>
      <c r="S573" s="8">
        <f>[1]Data!S573</f>
        <v>0</v>
      </c>
      <c r="T573">
        <f t="shared" si="40"/>
        <v>0.02</v>
      </c>
      <c r="U573">
        <f t="shared" si="41"/>
        <v>0</v>
      </c>
      <c r="V573" s="4" t="str">
        <f t="shared" si="42"/>
        <v>0</v>
      </c>
      <c r="W573" s="4" t="str">
        <f t="shared" si="43"/>
        <v>1</v>
      </c>
      <c r="X573" s="4" t="str">
        <f t="shared" si="44"/>
        <v>0NON-HS1</v>
      </c>
      <c r="Y573">
        <f>VLOOKUP(X573,Sheet1!$J$5:$K$121,2,FALSE)</f>
        <v>0</v>
      </c>
    </row>
    <row r="574" spans="1:25" x14ac:dyDescent="0.25">
      <c r="A574" s="8">
        <f>[1]Data!A574</f>
        <v>900805</v>
      </c>
      <c r="B574" s="8">
        <f>[1]Data!B574</f>
        <v>1</v>
      </c>
      <c r="C574" s="8">
        <f>[1]Data!C574</f>
        <v>0</v>
      </c>
      <c r="D574" s="8">
        <f>[1]Data!D574</f>
        <v>5</v>
      </c>
      <c r="E574" s="8" t="str">
        <f>[1]Data!E574</f>
        <v>NON-HS</v>
      </c>
      <c r="F574" s="8" t="str">
        <f>[1]Data!F574</f>
        <v>Lancaster</v>
      </c>
      <c r="G574" s="8">
        <f>[1]Data!G574</f>
        <v>0</v>
      </c>
      <c r="H574" s="8">
        <f>[1]Data!H574</f>
        <v>0</v>
      </c>
      <c r="I574" s="8">
        <f>[1]Data!I574</f>
        <v>1.9259999999999999</v>
      </c>
      <c r="J574" s="8">
        <f>[1]Data!J574</f>
        <v>1.90487994</v>
      </c>
      <c r="K574" s="8">
        <f>[1]Data!K574</f>
        <v>1.90487994</v>
      </c>
      <c r="L574" s="8">
        <f>[1]Data!L574</f>
        <v>2.0625322082585301E-2</v>
      </c>
      <c r="M574" s="8">
        <f>[1]Data!M574</f>
        <v>1.9255052620825901</v>
      </c>
      <c r="N574" s="8">
        <f>[1]Data!N574</f>
        <v>0.02</v>
      </c>
      <c r="O574" s="8">
        <f>[1]Data!O574</f>
        <v>0</v>
      </c>
      <c r="P574" s="8">
        <f>[1]Data!P574</f>
        <v>1</v>
      </c>
      <c r="Q574" s="8">
        <f>[1]Data!Q574</f>
        <v>0</v>
      </c>
      <c r="R574" s="8">
        <f>[1]Data!R574</f>
        <v>0</v>
      </c>
      <c r="S574" s="8">
        <f>[1]Data!S574</f>
        <v>0</v>
      </c>
      <c r="T574">
        <f t="shared" si="40"/>
        <v>0.02</v>
      </c>
      <c r="U574">
        <f t="shared" si="41"/>
        <v>0</v>
      </c>
      <c r="V574" s="4" t="str">
        <f t="shared" si="42"/>
        <v>0</v>
      </c>
      <c r="W574" s="4" t="str">
        <f t="shared" si="43"/>
        <v>1</v>
      </c>
      <c r="X574" s="4" t="str">
        <f t="shared" si="44"/>
        <v>0NON-HS1</v>
      </c>
      <c r="Y574">
        <f>VLOOKUP(X574,Sheet1!$J$5:$K$121,2,FALSE)</f>
        <v>0</v>
      </c>
    </row>
    <row r="575" spans="1:25" x14ac:dyDescent="0.25">
      <c r="A575" s="8">
        <f>[1]Data!A575</f>
        <v>910001</v>
      </c>
      <c r="B575" s="8">
        <f>[1]Data!B575</f>
        <v>1</v>
      </c>
      <c r="C575" s="8">
        <f>[1]Data!C575</f>
        <v>0</v>
      </c>
      <c r="D575" s="8">
        <f>[1]Data!D575</f>
        <v>5</v>
      </c>
      <c r="E575" s="8" t="str">
        <f>[1]Data!E575</f>
        <v>NON-HS</v>
      </c>
      <c r="F575" s="8" t="str">
        <f>[1]Data!F575</f>
        <v>Unincorporated Antelope Valley</v>
      </c>
      <c r="G575" s="8">
        <f>[1]Data!G575</f>
        <v>0</v>
      </c>
      <c r="H575" s="8">
        <f>[1]Data!H575</f>
        <v>0</v>
      </c>
      <c r="I575" s="8">
        <f>[1]Data!I575</f>
        <v>1</v>
      </c>
      <c r="J575" s="8">
        <f>[1]Data!J575</f>
        <v>0</v>
      </c>
      <c r="K575" s="8">
        <f>[1]Data!K575</f>
        <v>1</v>
      </c>
      <c r="L575" s="8">
        <f>[1]Data!L575</f>
        <v>0</v>
      </c>
      <c r="M575" s="8">
        <f>[1]Data!M575</f>
        <v>1</v>
      </c>
      <c r="N575" s="8">
        <f>[1]Data!N575</f>
        <v>0.02</v>
      </c>
      <c r="O575" s="8">
        <f>[1]Data!O575</f>
        <v>0</v>
      </c>
      <c r="P575" s="8">
        <f>[1]Data!P575</f>
        <v>1</v>
      </c>
      <c r="Q575" s="8">
        <f>[1]Data!Q575</f>
        <v>0</v>
      </c>
      <c r="R575" s="8">
        <f>[1]Data!R575</f>
        <v>0</v>
      </c>
      <c r="S575" s="8">
        <f>[1]Data!S575</f>
        <v>0</v>
      </c>
      <c r="T575">
        <f t="shared" si="40"/>
        <v>0.02</v>
      </c>
      <c r="U575">
        <f t="shared" si="41"/>
        <v>0</v>
      </c>
      <c r="V575" s="4" t="str">
        <f t="shared" si="42"/>
        <v>0</v>
      </c>
      <c r="W575" s="4" t="str">
        <f t="shared" si="43"/>
        <v>1</v>
      </c>
      <c r="X575" s="4" t="str">
        <f t="shared" si="44"/>
        <v>0NON-HS1</v>
      </c>
      <c r="Y575">
        <f>VLOOKUP(X575,Sheet1!$J$5:$K$121,2,FALSE)</f>
        <v>0</v>
      </c>
    </row>
    <row r="576" spans="1:25" x14ac:dyDescent="0.25">
      <c r="A576" s="8">
        <f>[1]Data!A576</f>
        <v>901004</v>
      </c>
      <c r="B576" s="8">
        <f>[1]Data!B576</f>
        <v>1</v>
      </c>
      <c r="C576" s="8">
        <f>[1]Data!C576</f>
        <v>0</v>
      </c>
      <c r="D576" s="8">
        <f>[1]Data!D576</f>
        <v>5</v>
      </c>
      <c r="E576" s="8" t="str">
        <f>[1]Data!E576</f>
        <v>NON-HS</v>
      </c>
      <c r="F576" s="8" t="str">
        <f>[1]Data!F576</f>
        <v>Lancaster</v>
      </c>
      <c r="G576" s="8">
        <f>[1]Data!G576</f>
        <v>0</v>
      </c>
      <c r="H576" s="8">
        <f>[1]Data!H576</f>
        <v>0</v>
      </c>
      <c r="I576" s="8">
        <f>[1]Data!I576</f>
        <v>5.2140000000000004</v>
      </c>
      <c r="J576" s="8">
        <f>[1]Data!J576</f>
        <v>5.0957154100000004</v>
      </c>
      <c r="K576" s="8">
        <f>[1]Data!K576</f>
        <v>5.0957154100000004</v>
      </c>
      <c r="L576" s="8">
        <f>[1]Data!L576</f>
        <v>0.11796937380610401</v>
      </c>
      <c r="M576" s="8">
        <f>[1]Data!M576</f>
        <v>5.2136847838060998</v>
      </c>
      <c r="N576" s="8">
        <f>[1]Data!N576</f>
        <v>0.02</v>
      </c>
      <c r="O576" s="8">
        <f>[1]Data!O576</f>
        <v>0</v>
      </c>
      <c r="P576" s="8">
        <f>[1]Data!P576</f>
        <v>1</v>
      </c>
      <c r="Q576" s="8">
        <f>[1]Data!Q576</f>
        <v>0</v>
      </c>
      <c r="R576" s="8">
        <f>[1]Data!R576</f>
        <v>0</v>
      </c>
      <c r="S576" s="8">
        <f>[1]Data!S576</f>
        <v>0</v>
      </c>
      <c r="T576">
        <f t="shared" si="40"/>
        <v>0.02</v>
      </c>
      <c r="U576">
        <f t="shared" si="41"/>
        <v>0</v>
      </c>
      <c r="V576" s="4" t="str">
        <f t="shared" si="42"/>
        <v>0</v>
      </c>
      <c r="W576" s="4" t="str">
        <f t="shared" si="43"/>
        <v>1</v>
      </c>
      <c r="X576" s="4" t="str">
        <f t="shared" si="44"/>
        <v>0NON-HS1</v>
      </c>
      <c r="Y576">
        <f>VLOOKUP(X576,Sheet1!$J$5:$K$121,2,FALSE)</f>
        <v>0</v>
      </c>
    </row>
    <row r="577" spans="1:25" x14ac:dyDescent="0.25">
      <c r="A577" s="8">
        <f>[1]Data!A577</f>
        <v>910813</v>
      </c>
      <c r="B577" s="8">
        <f>[1]Data!B577</f>
        <v>1</v>
      </c>
      <c r="C577" s="8">
        <f>[1]Data!C577</f>
        <v>0</v>
      </c>
      <c r="D577" s="8">
        <f>[1]Data!D577</f>
        <v>5</v>
      </c>
      <c r="E577" s="8" t="str">
        <f>[1]Data!E577</f>
        <v>NON-HS</v>
      </c>
      <c r="F577" s="8" t="str">
        <f>[1]Data!F577</f>
        <v>Unincorporated Antelope Valley</v>
      </c>
      <c r="G577" s="8">
        <f>[1]Data!G577</f>
        <v>0</v>
      </c>
      <c r="H577" s="8">
        <f>[1]Data!H577</f>
        <v>0</v>
      </c>
      <c r="I577" s="8">
        <f>[1]Data!I577</f>
        <v>6.2850000000000001</v>
      </c>
      <c r="J577" s="8">
        <f>[1]Data!J577</f>
        <v>5.9510989800000003</v>
      </c>
      <c r="K577" s="8">
        <f>[1]Data!K577</f>
        <v>5.9510989800000003</v>
      </c>
      <c r="L577" s="8">
        <f>[1]Data!L577</f>
        <v>0.33351780414721699</v>
      </c>
      <c r="M577" s="8">
        <f>[1]Data!M577</f>
        <v>6.2846167841472198</v>
      </c>
      <c r="N577" s="8">
        <f>[1]Data!N577</f>
        <v>0.02</v>
      </c>
      <c r="O577" s="8">
        <f>[1]Data!O577</f>
        <v>0</v>
      </c>
      <c r="P577" s="8">
        <f>[1]Data!P577</f>
        <v>1</v>
      </c>
      <c r="Q577" s="8">
        <f>[1]Data!Q577</f>
        <v>0</v>
      </c>
      <c r="R577" s="8">
        <f>[1]Data!R577</f>
        <v>0</v>
      </c>
      <c r="S577" s="8">
        <f>[1]Data!S577</f>
        <v>0</v>
      </c>
      <c r="T577">
        <f t="shared" si="40"/>
        <v>0.02</v>
      </c>
      <c r="U577">
        <f t="shared" si="41"/>
        <v>0</v>
      </c>
      <c r="V577" s="4" t="str">
        <f t="shared" si="42"/>
        <v>0</v>
      </c>
      <c r="W577" s="4" t="str">
        <f t="shared" si="43"/>
        <v>1</v>
      </c>
      <c r="X577" s="4" t="str">
        <f t="shared" si="44"/>
        <v>0NON-HS1</v>
      </c>
      <c r="Y577">
        <f>VLOOKUP(X577,Sheet1!$J$5:$K$121,2,FALSE)</f>
        <v>0</v>
      </c>
    </row>
    <row r="578" spans="1:25" x14ac:dyDescent="0.25">
      <c r="A578" s="8">
        <f>[1]Data!A578</f>
        <v>920013</v>
      </c>
      <c r="B578" s="8">
        <f>[1]Data!B578</f>
        <v>2</v>
      </c>
      <c r="C578" s="8">
        <f>[1]Data!C578</f>
        <v>0</v>
      </c>
      <c r="D578" s="8">
        <f>[1]Data!D578</f>
        <v>5</v>
      </c>
      <c r="E578" s="8" t="str">
        <f>[1]Data!E578</f>
        <v>NON-HS</v>
      </c>
      <c r="F578" s="8" t="str">
        <f>[1]Data!F578</f>
        <v>Santa Clarita</v>
      </c>
      <c r="G578" s="8">
        <f>[1]Data!G578</f>
        <v>0</v>
      </c>
      <c r="H578" s="8">
        <f>[1]Data!H578</f>
        <v>0</v>
      </c>
      <c r="I578" s="8">
        <f>[1]Data!I578</f>
        <v>0</v>
      </c>
      <c r="J578" s="8">
        <f>[1]Data!J578</f>
        <v>0</v>
      </c>
      <c r="K578" s="8">
        <f>[1]Data!K578</f>
        <v>0</v>
      </c>
      <c r="L578" s="8">
        <f>[1]Data!L578</f>
        <v>0</v>
      </c>
      <c r="M578" s="8">
        <f>[1]Data!M578</f>
        <v>0</v>
      </c>
      <c r="N578" s="8">
        <f>[1]Data!N578</f>
        <v>2.2140221402214E-2</v>
      </c>
      <c r="O578" s="8">
        <f>[1]Data!O578</f>
        <v>0</v>
      </c>
      <c r="P578" s="8">
        <f>[1]Data!P578</f>
        <v>0.30627306273062699</v>
      </c>
      <c r="Q578" s="8">
        <f>[1]Data!Q578</f>
        <v>0</v>
      </c>
      <c r="R578" s="8">
        <f>[1]Data!R578</f>
        <v>0</v>
      </c>
      <c r="S578" s="8">
        <f>[1]Data!S578</f>
        <v>0</v>
      </c>
      <c r="T578">
        <f t="shared" si="40"/>
        <v>2.2140221402214E-2</v>
      </c>
      <c r="U578">
        <f t="shared" si="41"/>
        <v>0</v>
      </c>
      <c r="V578" s="4" t="str">
        <f t="shared" si="42"/>
        <v>0</v>
      </c>
      <c r="W578" s="4" t="str">
        <f t="shared" si="43"/>
        <v>2</v>
      </c>
      <c r="X578" s="4" t="str">
        <f t="shared" si="44"/>
        <v>0NON-HS2</v>
      </c>
      <c r="Y578">
        <f>VLOOKUP(X578,Sheet1!$J$5:$K$121,2,FALSE)</f>
        <v>0</v>
      </c>
    </row>
    <row r="579" spans="1:25" x14ac:dyDescent="0.25">
      <c r="A579" s="8">
        <f>[1]Data!A579</f>
        <v>310400</v>
      </c>
      <c r="B579" s="8">
        <f>[1]Data!B579</f>
        <v>2</v>
      </c>
      <c r="C579" s="8">
        <f>[1]Data!C579</f>
        <v>0</v>
      </c>
      <c r="D579" s="8">
        <f>[1]Data!D579</f>
        <v>5</v>
      </c>
      <c r="E579" s="8" t="str">
        <f>[1]Data!E579</f>
        <v>NON-HS</v>
      </c>
      <c r="F579" s="8" t="str">
        <f>[1]Data!F579</f>
        <v>Burbank</v>
      </c>
      <c r="G579" s="8">
        <f>[1]Data!G579</f>
        <v>0</v>
      </c>
      <c r="H579" s="8">
        <f>[1]Data!H579</f>
        <v>0</v>
      </c>
      <c r="I579" s="8">
        <f>[1]Data!I579</f>
        <v>7.42</v>
      </c>
      <c r="J579" s="8">
        <f>[1]Data!J579</f>
        <v>7.0609083400000001</v>
      </c>
      <c r="K579" s="8">
        <f>[1]Data!K579</f>
        <v>7.0609083400000001</v>
      </c>
      <c r="L579" s="8">
        <f>[1]Data!L579</f>
        <v>0.35823543989228002</v>
      </c>
      <c r="M579" s="8">
        <f>[1]Data!M579</f>
        <v>7.4191437798922797</v>
      </c>
      <c r="N579" s="8">
        <f>[1]Data!N579</f>
        <v>2.2140221402214E-2</v>
      </c>
      <c r="O579" s="8">
        <f>[1]Data!O579</f>
        <v>0</v>
      </c>
      <c r="P579" s="8">
        <f>[1]Data!P579</f>
        <v>0.30627306273062699</v>
      </c>
      <c r="Q579" s="8">
        <f>[1]Data!Q579</f>
        <v>0</v>
      </c>
      <c r="R579" s="8">
        <f>[1]Data!R579</f>
        <v>0</v>
      </c>
      <c r="S579" s="8">
        <f>[1]Data!S579</f>
        <v>0</v>
      </c>
      <c r="T579">
        <f t="shared" ref="T579:T642" si="45">N579+Y579*(1-N579)</f>
        <v>2.2140221402214E-2</v>
      </c>
      <c r="U579">
        <f t="shared" ref="U579:U642" si="46">IF(T579="",0,1/T579*H579)</f>
        <v>0</v>
      </c>
      <c r="V579" s="4" t="str">
        <f t="shared" ref="V579:V642" si="47">TEXT(C579,"0")</f>
        <v>0</v>
      </c>
      <c r="W579" s="4" t="str">
        <f t="shared" ref="W579:W642" si="48">TEXT(B579,"0")</f>
        <v>2</v>
      </c>
      <c r="X579" s="4" t="str">
        <f t="shared" ref="X579:X642" si="49">CONCATENATE(V579,E579,W579)</f>
        <v>0NON-HS2</v>
      </c>
      <c r="Y579">
        <f>VLOOKUP(X579,Sheet1!$J$5:$K$121,2,FALSE)</f>
        <v>0</v>
      </c>
    </row>
    <row r="580" spans="1:25" x14ac:dyDescent="0.25">
      <c r="A580" s="8">
        <f>[1]Data!A580</f>
        <v>920200</v>
      </c>
      <c r="B580" s="8">
        <f>[1]Data!B580</f>
        <v>2</v>
      </c>
      <c r="C580" s="8">
        <f>[1]Data!C580</f>
        <v>0</v>
      </c>
      <c r="D580" s="8">
        <f>[1]Data!D580</f>
        <v>5</v>
      </c>
      <c r="E580" s="8" t="str">
        <f>[1]Data!E580</f>
        <v>NON-HS</v>
      </c>
      <c r="F580" s="8" t="str">
        <f>[1]Data!F580</f>
        <v>Agua Dulce</v>
      </c>
      <c r="G580" s="8">
        <f>[1]Data!G580</f>
        <v>0</v>
      </c>
      <c r="H580" s="8">
        <f>[1]Data!H580</f>
        <v>0</v>
      </c>
      <c r="I580" s="8">
        <f>[1]Data!I580</f>
        <v>2.0950000000000002</v>
      </c>
      <c r="J580" s="8">
        <f>[1]Data!J580</f>
        <v>1.9836996600000001</v>
      </c>
      <c r="K580" s="8">
        <f>[1]Data!K580</f>
        <v>1.9836996600000001</v>
      </c>
      <c r="L580" s="8">
        <f>[1]Data!L580</f>
        <v>0.11117260138240601</v>
      </c>
      <c r="M580" s="8">
        <f>[1]Data!M580</f>
        <v>2.09487226138241</v>
      </c>
      <c r="N580" s="8">
        <f>[1]Data!N580</f>
        <v>2.2140221402214E-2</v>
      </c>
      <c r="O580" s="8">
        <f>[1]Data!O580</f>
        <v>0</v>
      </c>
      <c r="P580" s="8">
        <f>[1]Data!P580</f>
        <v>0.30627306273062699</v>
      </c>
      <c r="Q580" s="8">
        <f>[1]Data!Q580</f>
        <v>0</v>
      </c>
      <c r="R580" s="8">
        <f>[1]Data!R580</f>
        <v>0</v>
      </c>
      <c r="S580" s="8">
        <f>[1]Data!S580</f>
        <v>0</v>
      </c>
      <c r="T580">
        <f t="shared" si="45"/>
        <v>2.2140221402214E-2</v>
      </c>
      <c r="U580">
        <f t="shared" si="46"/>
        <v>0</v>
      </c>
      <c r="V580" s="4" t="str">
        <f t="shared" si="47"/>
        <v>0</v>
      </c>
      <c r="W580" s="4" t="str">
        <f t="shared" si="48"/>
        <v>2</v>
      </c>
      <c r="X580" s="4" t="str">
        <f t="shared" si="49"/>
        <v>0NON-HS2</v>
      </c>
      <c r="Y580">
        <f>VLOOKUP(X580,Sheet1!$J$5:$K$121,2,FALSE)</f>
        <v>0</v>
      </c>
    </row>
    <row r="581" spans="1:25" x14ac:dyDescent="0.25">
      <c r="A581" s="8">
        <f>[1]Data!A581</f>
        <v>310201</v>
      </c>
      <c r="B581" s="8">
        <f>[1]Data!B581</f>
        <v>2</v>
      </c>
      <c r="C581" s="8">
        <f>[1]Data!C581</f>
        <v>0</v>
      </c>
      <c r="D581" s="8">
        <f>[1]Data!D581</f>
        <v>5</v>
      </c>
      <c r="E581" s="8" t="str">
        <f>[1]Data!E581</f>
        <v>NON-HS</v>
      </c>
      <c r="F581" s="8" t="str">
        <f>[1]Data!F581</f>
        <v>Burbank</v>
      </c>
      <c r="G581" s="8">
        <f>[1]Data!G581</f>
        <v>0</v>
      </c>
      <c r="H581" s="8">
        <f>[1]Data!H581</f>
        <v>0</v>
      </c>
      <c r="I581" s="8">
        <f>[1]Data!I581</f>
        <v>0</v>
      </c>
      <c r="J581" s="8">
        <f>[1]Data!J581</f>
        <v>0</v>
      </c>
      <c r="K581" s="8">
        <f>[1]Data!K581</f>
        <v>0</v>
      </c>
      <c r="L581" s="8">
        <f>[1]Data!L581</f>
        <v>0</v>
      </c>
      <c r="M581" s="8">
        <f>[1]Data!M581</f>
        <v>0</v>
      </c>
      <c r="N581" s="8">
        <f>[1]Data!N581</f>
        <v>2.2140221402214E-2</v>
      </c>
      <c r="O581" s="8">
        <f>[1]Data!O581</f>
        <v>0</v>
      </c>
      <c r="P581" s="8">
        <f>[1]Data!P581</f>
        <v>0.30627306273062699</v>
      </c>
      <c r="Q581" s="8">
        <f>[1]Data!Q581</f>
        <v>0</v>
      </c>
      <c r="R581" s="8">
        <f>[1]Data!R581</f>
        <v>0</v>
      </c>
      <c r="S581" s="8">
        <f>[1]Data!S581</f>
        <v>0</v>
      </c>
      <c r="T581">
        <f t="shared" si="45"/>
        <v>2.2140221402214E-2</v>
      </c>
      <c r="U581">
        <f t="shared" si="46"/>
        <v>0</v>
      </c>
      <c r="V581" s="4" t="str">
        <f t="shared" si="47"/>
        <v>0</v>
      </c>
      <c r="W581" s="4" t="str">
        <f t="shared" si="48"/>
        <v>2</v>
      </c>
      <c r="X581" s="4" t="str">
        <f t="shared" si="49"/>
        <v>0NON-HS2</v>
      </c>
      <c r="Y581">
        <f>VLOOKUP(X581,Sheet1!$J$5:$K$121,2,FALSE)</f>
        <v>0</v>
      </c>
    </row>
    <row r="582" spans="1:25" x14ac:dyDescent="0.25">
      <c r="A582" s="8">
        <f>[1]Data!A582</f>
        <v>920029</v>
      </c>
      <c r="B582" s="8">
        <f>[1]Data!B582</f>
        <v>2</v>
      </c>
      <c r="C582" s="8">
        <f>[1]Data!C582</f>
        <v>0</v>
      </c>
      <c r="D582" s="8">
        <f>[1]Data!D582</f>
        <v>5</v>
      </c>
      <c r="E582" s="8" t="str">
        <f>[1]Data!E582</f>
        <v>NON-HS</v>
      </c>
      <c r="F582" s="8" t="str">
        <f>[1]Data!F582</f>
        <v>Santa Clarita</v>
      </c>
      <c r="G582" s="8">
        <f>[1]Data!G582</f>
        <v>0</v>
      </c>
      <c r="H582" s="8">
        <f>[1]Data!H582</f>
        <v>0</v>
      </c>
      <c r="I582" s="8">
        <f>[1]Data!I582</f>
        <v>0</v>
      </c>
      <c r="J582" s="8">
        <f>[1]Data!J582</f>
        <v>0</v>
      </c>
      <c r="K582" s="8">
        <f>[1]Data!K582</f>
        <v>0</v>
      </c>
      <c r="L582" s="8">
        <f>[1]Data!L582</f>
        <v>0</v>
      </c>
      <c r="M582" s="8">
        <f>[1]Data!M582</f>
        <v>0</v>
      </c>
      <c r="N582" s="8">
        <f>[1]Data!N582</f>
        <v>2.2140221402214E-2</v>
      </c>
      <c r="O582" s="8">
        <f>[1]Data!O582</f>
        <v>0</v>
      </c>
      <c r="P582" s="8">
        <f>[1]Data!P582</f>
        <v>0.30627306273062699</v>
      </c>
      <c r="Q582" s="8">
        <f>[1]Data!Q582</f>
        <v>0</v>
      </c>
      <c r="R582" s="8">
        <f>[1]Data!R582</f>
        <v>0</v>
      </c>
      <c r="S582" s="8">
        <f>[1]Data!S582</f>
        <v>0</v>
      </c>
      <c r="T582">
        <f t="shared" si="45"/>
        <v>2.2140221402214E-2</v>
      </c>
      <c r="U582">
        <f t="shared" si="46"/>
        <v>0</v>
      </c>
      <c r="V582" s="4" t="str">
        <f t="shared" si="47"/>
        <v>0</v>
      </c>
      <c r="W582" s="4" t="str">
        <f t="shared" si="48"/>
        <v>2</v>
      </c>
      <c r="X582" s="4" t="str">
        <f t="shared" si="49"/>
        <v>0NON-HS2</v>
      </c>
      <c r="Y582">
        <f>VLOOKUP(X582,Sheet1!$J$5:$K$121,2,FALSE)</f>
        <v>0</v>
      </c>
    </row>
    <row r="583" spans="1:25" x14ac:dyDescent="0.25">
      <c r="A583" s="8">
        <f>[1]Data!A583</f>
        <v>910810</v>
      </c>
      <c r="B583" s="8">
        <f>[1]Data!B583</f>
        <v>2</v>
      </c>
      <c r="C583" s="8">
        <f>[1]Data!C583</f>
        <v>0</v>
      </c>
      <c r="D583" s="8">
        <f>[1]Data!D583</f>
        <v>5</v>
      </c>
      <c r="E583" s="8" t="str">
        <f>[1]Data!E583</f>
        <v>NON-HS</v>
      </c>
      <c r="F583" s="8" t="str">
        <f>[1]Data!F583</f>
        <v>Canyon Country</v>
      </c>
      <c r="G583" s="8">
        <f>[1]Data!G583</f>
        <v>0</v>
      </c>
      <c r="H583" s="8">
        <f>[1]Data!H583</f>
        <v>0</v>
      </c>
      <c r="I583" s="8">
        <f>[1]Data!I583</f>
        <v>4.7720000000000002</v>
      </c>
      <c r="J583" s="8">
        <f>[1]Data!J583</f>
        <v>4.31758971</v>
      </c>
      <c r="K583" s="8">
        <f>[1]Data!K583</f>
        <v>4.31758971</v>
      </c>
      <c r="L583" s="8">
        <f>[1]Data!L583</f>
        <v>0.45435601842010798</v>
      </c>
      <c r="M583" s="8">
        <f>[1]Data!M583</f>
        <v>4.7719457284201097</v>
      </c>
      <c r="N583" s="8">
        <f>[1]Data!N583</f>
        <v>2.2140221402214E-2</v>
      </c>
      <c r="O583" s="8">
        <f>[1]Data!O583</f>
        <v>0</v>
      </c>
      <c r="P583" s="8">
        <f>[1]Data!P583</f>
        <v>0.30627306273062699</v>
      </c>
      <c r="Q583" s="8">
        <f>[1]Data!Q583</f>
        <v>0</v>
      </c>
      <c r="R583" s="8">
        <f>[1]Data!R583</f>
        <v>0</v>
      </c>
      <c r="S583" s="8">
        <f>[1]Data!S583</f>
        <v>0</v>
      </c>
      <c r="T583">
        <f t="shared" si="45"/>
        <v>2.2140221402214E-2</v>
      </c>
      <c r="U583">
        <f t="shared" si="46"/>
        <v>0</v>
      </c>
      <c r="V583" s="4" t="str">
        <f t="shared" si="47"/>
        <v>0</v>
      </c>
      <c r="W583" s="4" t="str">
        <f t="shared" si="48"/>
        <v>2</v>
      </c>
      <c r="X583" s="4" t="str">
        <f t="shared" si="49"/>
        <v>0NON-HS2</v>
      </c>
      <c r="Y583">
        <f>VLOOKUP(X583,Sheet1!$J$5:$K$121,2,FALSE)</f>
        <v>0</v>
      </c>
    </row>
    <row r="584" spans="1:25" x14ac:dyDescent="0.25">
      <c r="A584" s="8">
        <f>[1]Data!A584</f>
        <v>920331</v>
      </c>
      <c r="B584" s="8">
        <f>[1]Data!B584</f>
        <v>2</v>
      </c>
      <c r="C584" s="8">
        <f>[1]Data!C584</f>
        <v>0</v>
      </c>
      <c r="D584" s="8">
        <f>[1]Data!D584</f>
        <v>5</v>
      </c>
      <c r="E584" s="8" t="str">
        <f>[1]Data!E584</f>
        <v>NON-HS</v>
      </c>
      <c r="F584" s="8" t="str">
        <f>[1]Data!F584</f>
        <v>Santa Clarita</v>
      </c>
      <c r="G584" s="8">
        <f>[1]Data!G584</f>
        <v>0</v>
      </c>
      <c r="H584" s="8">
        <f>[1]Data!H584</f>
        <v>0</v>
      </c>
      <c r="I584" s="8">
        <f>[1]Data!I584</f>
        <v>0</v>
      </c>
      <c r="J584" s="8">
        <f>[1]Data!J584</f>
        <v>0</v>
      </c>
      <c r="K584" s="8">
        <f>[1]Data!K584</f>
        <v>0</v>
      </c>
      <c r="L584" s="8">
        <f>[1]Data!L584</f>
        <v>0</v>
      </c>
      <c r="M584" s="8">
        <f>[1]Data!M584</f>
        <v>0</v>
      </c>
      <c r="N584" s="8">
        <f>[1]Data!N584</f>
        <v>2.2140221402214E-2</v>
      </c>
      <c r="O584" s="8">
        <f>[1]Data!O584</f>
        <v>0</v>
      </c>
      <c r="P584" s="8">
        <f>[1]Data!P584</f>
        <v>0.30627306273062699</v>
      </c>
      <c r="Q584" s="8">
        <f>[1]Data!Q584</f>
        <v>0</v>
      </c>
      <c r="R584" s="8">
        <f>[1]Data!R584</f>
        <v>0</v>
      </c>
      <c r="S584" s="8">
        <f>[1]Data!S584</f>
        <v>0</v>
      </c>
      <c r="T584">
        <f t="shared" si="45"/>
        <v>2.2140221402214E-2</v>
      </c>
      <c r="U584">
        <f t="shared" si="46"/>
        <v>0</v>
      </c>
      <c r="V584" s="4" t="str">
        <f t="shared" si="47"/>
        <v>0</v>
      </c>
      <c r="W584" s="4" t="str">
        <f t="shared" si="48"/>
        <v>2</v>
      </c>
      <c r="X584" s="4" t="str">
        <f t="shared" si="49"/>
        <v>0NON-HS2</v>
      </c>
      <c r="Y584">
        <f>VLOOKUP(X584,Sheet1!$J$5:$K$121,2,FALSE)</f>
        <v>0</v>
      </c>
    </row>
    <row r="585" spans="1:25" x14ac:dyDescent="0.25">
      <c r="A585" s="8">
        <f>[1]Data!A585</f>
        <v>920119</v>
      </c>
      <c r="B585" s="8">
        <f>[1]Data!B585</f>
        <v>2</v>
      </c>
      <c r="C585" s="8">
        <f>[1]Data!C585</f>
        <v>0</v>
      </c>
      <c r="D585" s="8">
        <f>[1]Data!D585</f>
        <v>5</v>
      </c>
      <c r="E585" s="8" t="str">
        <f>[1]Data!E585</f>
        <v>NON-HS</v>
      </c>
      <c r="F585" s="8" t="str">
        <f>[1]Data!F585</f>
        <v>Agua Dulce</v>
      </c>
      <c r="G585" s="8">
        <f>[1]Data!G585</f>
        <v>0</v>
      </c>
      <c r="H585" s="8">
        <f>[1]Data!H585</f>
        <v>0</v>
      </c>
      <c r="I585" s="8">
        <f>[1]Data!I585</f>
        <v>0</v>
      </c>
      <c r="J585" s="8">
        <f>[1]Data!J585</f>
        <v>0</v>
      </c>
      <c r="K585" s="8">
        <f>[1]Data!K585</f>
        <v>0</v>
      </c>
      <c r="L585" s="8">
        <f>[1]Data!L585</f>
        <v>0</v>
      </c>
      <c r="M585" s="8">
        <f>[1]Data!M585</f>
        <v>0</v>
      </c>
      <c r="N585" s="8">
        <f>[1]Data!N585</f>
        <v>2.2140221402214E-2</v>
      </c>
      <c r="O585" s="8">
        <f>[1]Data!O585</f>
        <v>0</v>
      </c>
      <c r="P585" s="8">
        <f>[1]Data!P585</f>
        <v>0.30627306273062699</v>
      </c>
      <c r="Q585" s="8">
        <f>[1]Data!Q585</f>
        <v>0</v>
      </c>
      <c r="R585" s="8">
        <f>[1]Data!R585</f>
        <v>0</v>
      </c>
      <c r="S585" s="8">
        <f>[1]Data!S585</f>
        <v>0</v>
      </c>
      <c r="T585">
        <f t="shared" si="45"/>
        <v>2.2140221402214E-2</v>
      </c>
      <c r="U585">
        <f t="shared" si="46"/>
        <v>0</v>
      </c>
      <c r="V585" s="4" t="str">
        <f t="shared" si="47"/>
        <v>0</v>
      </c>
      <c r="W585" s="4" t="str">
        <f t="shared" si="48"/>
        <v>2</v>
      </c>
      <c r="X585" s="4" t="str">
        <f t="shared" si="49"/>
        <v>0NON-HS2</v>
      </c>
      <c r="Y585">
        <f>VLOOKUP(X585,Sheet1!$J$5:$K$121,2,FALSE)</f>
        <v>0</v>
      </c>
    </row>
    <row r="586" spans="1:25" x14ac:dyDescent="0.25">
      <c r="A586" s="8">
        <f>[1]Data!A586</f>
        <v>800332</v>
      </c>
      <c r="B586" s="8">
        <f>[1]Data!B586</f>
        <v>2</v>
      </c>
      <c r="C586" s="8">
        <f>[1]Data!C586</f>
        <v>0</v>
      </c>
      <c r="D586" s="8">
        <f>[1]Data!D586</f>
        <v>3</v>
      </c>
      <c r="E586" s="8" t="str">
        <f>[1]Data!E586</f>
        <v>NON-HS</v>
      </c>
      <c r="F586" s="8" t="str">
        <f>[1]Data!F586</f>
        <v>Agoura Hills</v>
      </c>
      <c r="G586" s="8">
        <f>[1]Data!G586</f>
        <v>0</v>
      </c>
      <c r="H586" s="8">
        <f>[1]Data!H586</f>
        <v>0</v>
      </c>
      <c r="I586" s="8">
        <f>[1]Data!I586</f>
        <v>0</v>
      </c>
      <c r="J586" s="8">
        <f>[1]Data!J586</f>
        <v>0</v>
      </c>
      <c r="K586" s="8">
        <f>[1]Data!K586</f>
        <v>0</v>
      </c>
      <c r="L586" s="8">
        <f>[1]Data!L586</f>
        <v>0</v>
      </c>
      <c r="M586" s="8">
        <f>[1]Data!M586</f>
        <v>0</v>
      </c>
      <c r="N586" s="8">
        <f>[1]Data!N586</f>
        <v>2.2140221402214E-2</v>
      </c>
      <c r="O586" s="8">
        <f>[1]Data!O586</f>
        <v>0</v>
      </c>
      <c r="P586" s="8">
        <f>[1]Data!P586</f>
        <v>0.30627306273062699</v>
      </c>
      <c r="Q586" s="8">
        <f>[1]Data!Q586</f>
        <v>0</v>
      </c>
      <c r="R586" s="8">
        <f>[1]Data!R586</f>
        <v>0</v>
      </c>
      <c r="S586" s="8">
        <f>[1]Data!S586</f>
        <v>0</v>
      </c>
      <c r="T586">
        <f t="shared" si="45"/>
        <v>2.2140221402214E-2</v>
      </c>
      <c r="U586">
        <f t="shared" si="46"/>
        <v>0</v>
      </c>
      <c r="V586" s="4" t="str">
        <f t="shared" si="47"/>
        <v>0</v>
      </c>
      <c r="W586" s="4" t="str">
        <f t="shared" si="48"/>
        <v>2</v>
      </c>
      <c r="X586" s="4" t="str">
        <f t="shared" si="49"/>
        <v>0NON-HS2</v>
      </c>
      <c r="Y586">
        <f>VLOOKUP(X586,Sheet1!$J$5:$K$121,2,FALSE)</f>
        <v>0</v>
      </c>
    </row>
    <row r="587" spans="1:25" x14ac:dyDescent="0.25">
      <c r="A587" s="8">
        <f>[1]Data!A587</f>
        <v>920033</v>
      </c>
      <c r="B587" s="8">
        <f>[1]Data!B587</f>
        <v>2</v>
      </c>
      <c r="C587" s="8">
        <f>[1]Data!C587</f>
        <v>0</v>
      </c>
      <c r="D587" s="8">
        <f>[1]Data!D587</f>
        <v>5</v>
      </c>
      <c r="E587" s="8" t="str">
        <f>[1]Data!E587</f>
        <v>NON-HS</v>
      </c>
      <c r="F587" s="8" t="str">
        <f>[1]Data!F587</f>
        <v>Canyon Country</v>
      </c>
      <c r="G587" s="8">
        <f>[1]Data!G587</f>
        <v>0</v>
      </c>
      <c r="H587" s="8">
        <f>[1]Data!H587</f>
        <v>0</v>
      </c>
      <c r="I587" s="8">
        <f>[1]Data!I587</f>
        <v>0</v>
      </c>
      <c r="J587" s="8">
        <f>[1]Data!J587</f>
        <v>0</v>
      </c>
      <c r="K587" s="8">
        <f>[1]Data!K587</f>
        <v>0</v>
      </c>
      <c r="L587" s="8">
        <f>[1]Data!L587</f>
        <v>0</v>
      </c>
      <c r="M587" s="8">
        <f>[1]Data!M587</f>
        <v>0</v>
      </c>
      <c r="N587" s="8">
        <f>[1]Data!N587</f>
        <v>2.2140221402214E-2</v>
      </c>
      <c r="O587" s="8">
        <f>[1]Data!O587</f>
        <v>0</v>
      </c>
      <c r="P587" s="8">
        <f>[1]Data!P587</f>
        <v>0.30627306273062699</v>
      </c>
      <c r="Q587" s="8">
        <f>[1]Data!Q587</f>
        <v>0</v>
      </c>
      <c r="R587" s="8">
        <f>[1]Data!R587</f>
        <v>0</v>
      </c>
      <c r="S587" s="8">
        <f>[1]Data!S587</f>
        <v>0</v>
      </c>
      <c r="T587">
        <f t="shared" si="45"/>
        <v>2.2140221402214E-2</v>
      </c>
      <c r="U587">
        <f t="shared" si="46"/>
        <v>0</v>
      </c>
      <c r="V587" s="4" t="str">
        <f t="shared" si="47"/>
        <v>0</v>
      </c>
      <c r="W587" s="4" t="str">
        <f t="shared" si="48"/>
        <v>2</v>
      </c>
      <c r="X587" s="4" t="str">
        <f t="shared" si="49"/>
        <v>0NON-HS2</v>
      </c>
      <c r="Y587">
        <f>VLOOKUP(X587,Sheet1!$J$5:$K$121,2,FALSE)</f>
        <v>0</v>
      </c>
    </row>
    <row r="588" spans="1:25" x14ac:dyDescent="0.25">
      <c r="A588" s="8">
        <f>[1]Data!A588</f>
        <v>920334</v>
      </c>
      <c r="B588" s="8">
        <f>[1]Data!B588</f>
        <v>2</v>
      </c>
      <c r="C588" s="8">
        <f>[1]Data!C588</f>
        <v>0</v>
      </c>
      <c r="D588" s="8">
        <f>[1]Data!D588</f>
        <v>5</v>
      </c>
      <c r="E588" s="8" t="str">
        <f>[1]Data!E588</f>
        <v>NON-HS</v>
      </c>
      <c r="F588" s="8" t="str">
        <f>[1]Data!F588</f>
        <v>Santa Clarita</v>
      </c>
      <c r="G588" s="8">
        <f>[1]Data!G588</f>
        <v>1</v>
      </c>
      <c r="H588" s="8">
        <f>[1]Data!H588</f>
        <v>1</v>
      </c>
      <c r="I588" s="8">
        <f>[1]Data!I588</f>
        <v>0</v>
      </c>
      <c r="J588" s="8">
        <f>[1]Data!J588</f>
        <v>0</v>
      </c>
      <c r="K588" s="8">
        <f>[1]Data!K588</f>
        <v>0</v>
      </c>
      <c r="L588" s="8">
        <f>[1]Data!L588</f>
        <v>0</v>
      </c>
      <c r="M588" s="8">
        <f>[1]Data!M588</f>
        <v>0</v>
      </c>
      <c r="N588" s="8">
        <f>[1]Data!N588</f>
        <v>2.2140221402214E-2</v>
      </c>
      <c r="O588" s="8">
        <f>[1]Data!O588</f>
        <v>45.1666666666667</v>
      </c>
      <c r="P588" s="8">
        <f>[1]Data!P588</f>
        <v>0.30627306273062699</v>
      </c>
      <c r="Q588" s="8">
        <f>[1]Data!Q588</f>
        <v>0</v>
      </c>
      <c r="R588" s="8">
        <f>[1]Data!R588</f>
        <v>0</v>
      </c>
      <c r="S588" s="8">
        <f>[1]Data!S588</f>
        <v>0</v>
      </c>
      <c r="T588">
        <f t="shared" si="45"/>
        <v>2.2140221402214E-2</v>
      </c>
      <c r="U588">
        <f t="shared" si="46"/>
        <v>45.166666666666714</v>
      </c>
      <c r="V588" s="4" t="str">
        <f t="shared" si="47"/>
        <v>0</v>
      </c>
      <c r="W588" s="4" t="str">
        <f t="shared" si="48"/>
        <v>2</v>
      </c>
      <c r="X588" s="4" t="str">
        <f t="shared" si="49"/>
        <v>0NON-HS2</v>
      </c>
      <c r="Y588">
        <f>VLOOKUP(X588,Sheet1!$J$5:$K$121,2,FALSE)</f>
        <v>0</v>
      </c>
    </row>
    <row r="589" spans="1:25" x14ac:dyDescent="0.25">
      <c r="A589" s="8">
        <f>[1]Data!A589</f>
        <v>920108</v>
      </c>
      <c r="B589" s="8">
        <f>[1]Data!B589</f>
        <v>2</v>
      </c>
      <c r="C589" s="8">
        <f>[1]Data!C589</f>
        <v>0</v>
      </c>
      <c r="D589" s="8">
        <f>[1]Data!D589</f>
        <v>5</v>
      </c>
      <c r="E589" s="8" t="str">
        <f>[1]Data!E589</f>
        <v>NON-HS</v>
      </c>
      <c r="F589" s="8" t="str">
        <f>[1]Data!F589</f>
        <v>Santa Clarita</v>
      </c>
      <c r="G589" s="8">
        <f>[1]Data!G589</f>
        <v>0</v>
      </c>
      <c r="H589" s="8">
        <f>[1]Data!H589</f>
        <v>0</v>
      </c>
      <c r="I589" s="8">
        <f>[1]Data!I589</f>
        <v>3.6859999999999999</v>
      </c>
      <c r="J589" s="8">
        <f>[1]Data!J589</f>
        <v>3.4228962300000001</v>
      </c>
      <c r="K589" s="8">
        <f>[1]Data!K589</f>
        <v>3.4228962300000001</v>
      </c>
      <c r="L589" s="8">
        <f>[1]Data!L589</f>
        <v>0.26262460752244199</v>
      </c>
      <c r="M589" s="8">
        <f>[1]Data!M589</f>
        <v>3.6855208375224402</v>
      </c>
      <c r="N589" s="8">
        <f>[1]Data!N589</f>
        <v>2.2140221402214E-2</v>
      </c>
      <c r="O589" s="8">
        <f>[1]Data!O589</f>
        <v>0</v>
      </c>
      <c r="P589" s="8">
        <f>[1]Data!P589</f>
        <v>0.30627306273062699</v>
      </c>
      <c r="Q589" s="8">
        <f>[1]Data!Q589</f>
        <v>0</v>
      </c>
      <c r="R589" s="8">
        <f>[1]Data!R589</f>
        <v>0</v>
      </c>
      <c r="S589" s="8">
        <f>[1]Data!S589</f>
        <v>0</v>
      </c>
      <c r="T589">
        <f t="shared" si="45"/>
        <v>2.2140221402214E-2</v>
      </c>
      <c r="U589">
        <f t="shared" si="46"/>
        <v>0</v>
      </c>
      <c r="V589" s="4" t="str">
        <f t="shared" si="47"/>
        <v>0</v>
      </c>
      <c r="W589" s="4" t="str">
        <f t="shared" si="48"/>
        <v>2</v>
      </c>
      <c r="X589" s="4" t="str">
        <f t="shared" si="49"/>
        <v>0NON-HS2</v>
      </c>
      <c r="Y589">
        <f>VLOOKUP(X589,Sheet1!$J$5:$K$121,2,FALSE)</f>
        <v>0</v>
      </c>
    </row>
    <row r="590" spans="1:25" x14ac:dyDescent="0.25">
      <c r="A590" s="8">
        <f>[1]Data!A590</f>
        <v>920020</v>
      </c>
      <c r="B590" s="8">
        <f>[1]Data!B590</f>
        <v>2</v>
      </c>
      <c r="C590" s="8">
        <f>[1]Data!C590</f>
        <v>0</v>
      </c>
      <c r="D590" s="8">
        <f>[1]Data!D590</f>
        <v>5</v>
      </c>
      <c r="E590" s="8" t="str">
        <f>[1]Data!E590</f>
        <v>NON-HS</v>
      </c>
      <c r="F590" s="8" t="str">
        <f>[1]Data!F590</f>
        <v>Santa Clarita</v>
      </c>
      <c r="G590" s="8">
        <f>[1]Data!G590</f>
        <v>0</v>
      </c>
      <c r="H590" s="8">
        <f>[1]Data!H590</f>
        <v>0</v>
      </c>
      <c r="I590" s="8">
        <f>[1]Data!I590</f>
        <v>3.0950000000000002</v>
      </c>
      <c r="J590" s="8">
        <f>[1]Data!J590</f>
        <v>1.9836996600000001</v>
      </c>
      <c r="K590" s="8">
        <f>[1]Data!K590</f>
        <v>2.9836996600000001</v>
      </c>
      <c r="L590" s="8">
        <f>[1]Data!L590</f>
        <v>0.11117260138240601</v>
      </c>
      <c r="M590" s="8">
        <f>[1]Data!M590</f>
        <v>3.09487226138241</v>
      </c>
      <c r="N590" s="8">
        <f>[1]Data!N590</f>
        <v>2.2140221402214E-2</v>
      </c>
      <c r="O590" s="8">
        <f>[1]Data!O590</f>
        <v>0</v>
      </c>
      <c r="P590" s="8">
        <f>[1]Data!P590</f>
        <v>0.30627306273062699</v>
      </c>
      <c r="Q590" s="8">
        <f>[1]Data!Q590</f>
        <v>0</v>
      </c>
      <c r="R590" s="8">
        <f>[1]Data!R590</f>
        <v>0</v>
      </c>
      <c r="S590" s="8">
        <f>[1]Data!S590</f>
        <v>0</v>
      </c>
      <c r="T590">
        <f t="shared" si="45"/>
        <v>2.2140221402214E-2</v>
      </c>
      <c r="U590">
        <f t="shared" si="46"/>
        <v>0</v>
      </c>
      <c r="V590" s="4" t="str">
        <f t="shared" si="47"/>
        <v>0</v>
      </c>
      <c r="W590" s="4" t="str">
        <f t="shared" si="48"/>
        <v>2</v>
      </c>
      <c r="X590" s="4" t="str">
        <f t="shared" si="49"/>
        <v>0NON-HS2</v>
      </c>
      <c r="Y590">
        <f>VLOOKUP(X590,Sheet1!$J$5:$K$121,2,FALSE)</f>
        <v>0</v>
      </c>
    </row>
    <row r="591" spans="1:25" x14ac:dyDescent="0.25">
      <c r="A591" s="8">
        <f>[1]Data!A591</f>
        <v>460502</v>
      </c>
      <c r="B591" s="8">
        <f>[1]Data!B591</f>
        <v>2</v>
      </c>
      <c r="C591" s="8">
        <f>[1]Data!C591</f>
        <v>0</v>
      </c>
      <c r="D591" s="8">
        <f>[1]Data!D591</f>
        <v>5</v>
      </c>
      <c r="E591" s="8" t="str">
        <f>[1]Data!E591</f>
        <v>NON-HS</v>
      </c>
      <c r="F591" s="8" t="str">
        <f>[1]Data!F591</f>
        <v>La Cañada Flintridge</v>
      </c>
      <c r="G591" s="8">
        <f>[1]Data!G591</f>
        <v>0</v>
      </c>
      <c r="H591" s="8">
        <f>[1]Data!H591</f>
        <v>0</v>
      </c>
      <c r="I591" s="8">
        <f>[1]Data!I591</f>
        <v>0</v>
      </c>
      <c r="J591" s="8">
        <f>[1]Data!J591</f>
        <v>0</v>
      </c>
      <c r="K591" s="8">
        <f>[1]Data!K591</f>
        <v>0</v>
      </c>
      <c r="L591" s="8">
        <f>[1]Data!L591</f>
        <v>0</v>
      </c>
      <c r="M591" s="8">
        <f>[1]Data!M591</f>
        <v>0</v>
      </c>
      <c r="N591" s="8">
        <f>[1]Data!N591</f>
        <v>2.2140221402214E-2</v>
      </c>
      <c r="O591" s="8">
        <f>[1]Data!O591</f>
        <v>0</v>
      </c>
      <c r="P591" s="8">
        <f>[1]Data!P591</f>
        <v>0.30627306273062699</v>
      </c>
      <c r="Q591" s="8">
        <f>[1]Data!Q591</f>
        <v>0</v>
      </c>
      <c r="R591" s="8">
        <f>[1]Data!R591</f>
        <v>0</v>
      </c>
      <c r="S591" s="8">
        <f>[1]Data!S591</f>
        <v>0</v>
      </c>
      <c r="T591">
        <f t="shared" si="45"/>
        <v>2.2140221402214E-2</v>
      </c>
      <c r="U591">
        <f t="shared" si="46"/>
        <v>0</v>
      </c>
      <c r="V591" s="4" t="str">
        <f t="shared" si="47"/>
        <v>0</v>
      </c>
      <c r="W591" s="4" t="str">
        <f t="shared" si="48"/>
        <v>2</v>
      </c>
      <c r="X591" s="4" t="str">
        <f t="shared" si="49"/>
        <v>0NON-HS2</v>
      </c>
      <c r="Y591">
        <f>VLOOKUP(X591,Sheet1!$J$5:$K$121,2,FALSE)</f>
        <v>0</v>
      </c>
    </row>
    <row r="592" spans="1:25" x14ac:dyDescent="0.25">
      <c r="A592" s="8">
        <f>[1]Data!A592</f>
        <v>460700</v>
      </c>
      <c r="B592" s="8">
        <f>[1]Data!B592</f>
        <v>2</v>
      </c>
      <c r="C592" s="8">
        <f>[1]Data!C592</f>
        <v>0</v>
      </c>
      <c r="D592" s="8">
        <f>[1]Data!D592</f>
        <v>5</v>
      </c>
      <c r="E592" s="8" t="str">
        <f>[1]Data!E592</f>
        <v>NON-HS</v>
      </c>
      <c r="F592" s="8" t="str">
        <f>[1]Data!F592</f>
        <v>La Cañada Flintridge</v>
      </c>
      <c r="G592" s="8">
        <f>[1]Data!G592</f>
        <v>0</v>
      </c>
      <c r="H592" s="8">
        <f>[1]Data!H592</f>
        <v>0</v>
      </c>
      <c r="I592" s="8">
        <f>[1]Data!I592</f>
        <v>0</v>
      </c>
      <c r="J592" s="8">
        <f>[1]Data!J592</f>
        <v>0</v>
      </c>
      <c r="K592" s="8">
        <f>[1]Data!K592</f>
        <v>0</v>
      </c>
      <c r="L592" s="8">
        <f>[1]Data!L592</f>
        <v>0</v>
      </c>
      <c r="M592" s="8">
        <f>[1]Data!M592</f>
        <v>0</v>
      </c>
      <c r="N592" s="8">
        <f>[1]Data!N592</f>
        <v>2.2140221402214E-2</v>
      </c>
      <c r="O592" s="8">
        <f>[1]Data!O592</f>
        <v>0</v>
      </c>
      <c r="P592" s="8">
        <f>[1]Data!P592</f>
        <v>0.30627306273062699</v>
      </c>
      <c r="Q592" s="8">
        <f>[1]Data!Q592</f>
        <v>0</v>
      </c>
      <c r="R592" s="8">
        <f>[1]Data!R592</f>
        <v>0</v>
      </c>
      <c r="S592" s="8">
        <f>[1]Data!S592</f>
        <v>0</v>
      </c>
      <c r="T592">
        <f t="shared" si="45"/>
        <v>2.2140221402214E-2</v>
      </c>
      <c r="U592">
        <f t="shared" si="46"/>
        <v>0</v>
      </c>
      <c r="V592" s="4" t="str">
        <f t="shared" si="47"/>
        <v>0</v>
      </c>
      <c r="W592" s="4" t="str">
        <f t="shared" si="48"/>
        <v>2</v>
      </c>
      <c r="X592" s="4" t="str">
        <f t="shared" si="49"/>
        <v>0NON-HS2</v>
      </c>
      <c r="Y592">
        <f>VLOOKUP(X592,Sheet1!$J$5:$K$121,2,FALSE)</f>
        <v>0</v>
      </c>
    </row>
    <row r="593" spans="1:25" x14ac:dyDescent="0.25">
      <c r="A593" s="8">
        <f>[1]Data!A593</f>
        <v>920329</v>
      </c>
      <c r="B593" s="8">
        <f>[1]Data!B593</f>
        <v>2</v>
      </c>
      <c r="C593" s="8">
        <f>[1]Data!C593</f>
        <v>0</v>
      </c>
      <c r="D593" s="8">
        <f>[1]Data!D593</f>
        <v>5</v>
      </c>
      <c r="E593" s="8" t="str">
        <f>[1]Data!E593</f>
        <v>NON-HS</v>
      </c>
      <c r="F593" s="8" t="str">
        <f>[1]Data!F593</f>
        <v>Santa Clarita</v>
      </c>
      <c r="G593" s="8">
        <f>[1]Data!G593</f>
        <v>0</v>
      </c>
      <c r="H593" s="8">
        <f>[1]Data!H593</f>
        <v>0</v>
      </c>
      <c r="I593" s="8">
        <f>[1]Data!I593</f>
        <v>2.8079999999999998</v>
      </c>
      <c r="J593" s="8">
        <f>[1]Data!J593</f>
        <v>1.73313217</v>
      </c>
      <c r="K593" s="8">
        <f>[1]Data!K593</f>
        <v>2.7331321700000002</v>
      </c>
      <c r="L593" s="8">
        <f>[1]Data!L593</f>
        <v>7.4985510287253102E-2</v>
      </c>
      <c r="M593" s="8">
        <f>[1]Data!M593</f>
        <v>2.8081176802872498</v>
      </c>
      <c r="N593" s="8">
        <f>[1]Data!N593</f>
        <v>2.2140221402214E-2</v>
      </c>
      <c r="O593" s="8">
        <f>[1]Data!O593</f>
        <v>0</v>
      </c>
      <c r="P593" s="8">
        <f>[1]Data!P593</f>
        <v>0.30627306273062699</v>
      </c>
      <c r="Q593" s="8">
        <f>[1]Data!Q593</f>
        <v>0</v>
      </c>
      <c r="R593" s="8">
        <f>[1]Data!R593</f>
        <v>0</v>
      </c>
      <c r="S593" s="8">
        <f>[1]Data!S593</f>
        <v>0</v>
      </c>
      <c r="T593">
        <f t="shared" si="45"/>
        <v>2.2140221402214E-2</v>
      </c>
      <c r="U593">
        <f t="shared" si="46"/>
        <v>0</v>
      </c>
      <c r="V593" s="4" t="str">
        <f t="shared" si="47"/>
        <v>0</v>
      </c>
      <c r="W593" s="4" t="str">
        <f t="shared" si="48"/>
        <v>2</v>
      </c>
      <c r="X593" s="4" t="str">
        <f t="shared" si="49"/>
        <v>0NON-HS2</v>
      </c>
      <c r="Y593">
        <f>VLOOKUP(X593,Sheet1!$J$5:$K$121,2,FALSE)</f>
        <v>0</v>
      </c>
    </row>
    <row r="594" spans="1:25" x14ac:dyDescent="0.25">
      <c r="A594" s="8">
        <f>[1]Data!A594</f>
        <v>320000</v>
      </c>
      <c r="B594" s="8">
        <f>[1]Data!B594</f>
        <v>2</v>
      </c>
      <c r="C594" s="8">
        <f>[1]Data!C594</f>
        <v>0</v>
      </c>
      <c r="D594" s="8">
        <f>[1]Data!D594</f>
        <v>3</v>
      </c>
      <c r="E594" s="8" t="str">
        <f>[1]Data!E594</f>
        <v>NON-HS</v>
      </c>
      <c r="F594" s="8" t="str">
        <f>[1]Data!F594</f>
        <v>Universal City</v>
      </c>
      <c r="G594" s="8">
        <f>[1]Data!G594</f>
        <v>0</v>
      </c>
      <c r="H594" s="8">
        <f>[1]Data!H594</f>
        <v>0</v>
      </c>
      <c r="I594" s="8">
        <f>[1]Data!I594</f>
        <v>4.851</v>
      </c>
      <c r="J594" s="8">
        <f>[1]Data!J594</f>
        <v>3.8097598800000001</v>
      </c>
      <c r="K594" s="8">
        <f>[1]Data!K594</f>
        <v>4.8097598799999997</v>
      </c>
      <c r="L594" s="8">
        <f>[1]Data!L594</f>
        <v>4.1250644165170602E-2</v>
      </c>
      <c r="M594" s="8">
        <f>[1]Data!M594</f>
        <v>4.8510105241651704</v>
      </c>
      <c r="N594" s="8">
        <f>[1]Data!N594</f>
        <v>2.2140221402214E-2</v>
      </c>
      <c r="O594" s="8">
        <f>[1]Data!O594</f>
        <v>0</v>
      </c>
      <c r="P594" s="8">
        <f>[1]Data!P594</f>
        <v>0.30627306273062699</v>
      </c>
      <c r="Q594" s="8">
        <f>[1]Data!Q594</f>
        <v>0</v>
      </c>
      <c r="R594" s="8">
        <f>[1]Data!R594</f>
        <v>0</v>
      </c>
      <c r="S594" s="8">
        <f>[1]Data!S594</f>
        <v>0</v>
      </c>
      <c r="T594">
        <f t="shared" si="45"/>
        <v>2.2140221402214E-2</v>
      </c>
      <c r="U594">
        <f t="shared" si="46"/>
        <v>0</v>
      </c>
      <c r="V594" s="4" t="str">
        <f t="shared" si="47"/>
        <v>0</v>
      </c>
      <c r="W594" s="4" t="str">
        <f t="shared" si="48"/>
        <v>2</v>
      </c>
      <c r="X594" s="4" t="str">
        <f t="shared" si="49"/>
        <v>0NON-HS2</v>
      </c>
      <c r="Y594">
        <f>VLOOKUP(X594,Sheet1!$J$5:$K$121,2,FALSE)</f>
        <v>0</v>
      </c>
    </row>
    <row r="595" spans="1:25" x14ac:dyDescent="0.25">
      <c r="A595" s="8">
        <f>[1]Data!A595</f>
        <v>800330</v>
      </c>
      <c r="B595" s="8">
        <f>[1]Data!B595</f>
        <v>2</v>
      </c>
      <c r="C595" s="8">
        <f>[1]Data!C595</f>
        <v>0</v>
      </c>
      <c r="D595" s="8">
        <f>[1]Data!D595</f>
        <v>3</v>
      </c>
      <c r="E595" s="8" t="str">
        <f>[1]Data!E595</f>
        <v>NON-HS</v>
      </c>
      <c r="F595" s="8" t="str">
        <f>[1]Data!F595</f>
        <v>Malibu Lake</v>
      </c>
      <c r="G595" s="8">
        <f>[1]Data!G595</f>
        <v>0</v>
      </c>
      <c r="H595" s="8">
        <f>[1]Data!H595</f>
        <v>0</v>
      </c>
      <c r="I595" s="8">
        <f>[1]Data!I595</f>
        <v>6.3630000000000004</v>
      </c>
      <c r="J595" s="8">
        <f>[1]Data!J595</f>
        <v>5.75678628</v>
      </c>
      <c r="K595" s="8">
        <f>[1]Data!K595</f>
        <v>5.75678628</v>
      </c>
      <c r="L595" s="8">
        <f>[1]Data!L595</f>
        <v>0.60580802456014404</v>
      </c>
      <c r="M595" s="8">
        <f>[1]Data!M595</f>
        <v>6.3625943045601403</v>
      </c>
      <c r="N595" s="8">
        <f>[1]Data!N595</f>
        <v>2.2140221402214E-2</v>
      </c>
      <c r="O595" s="8">
        <f>[1]Data!O595</f>
        <v>0</v>
      </c>
      <c r="P595" s="8">
        <f>[1]Data!P595</f>
        <v>0.30627306273062699</v>
      </c>
      <c r="Q595" s="8">
        <f>[1]Data!Q595</f>
        <v>0</v>
      </c>
      <c r="R595" s="8">
        <f>[1]Data!R595</f>
        <v>0</v>
      </c>
      <c r="S595" s="8">
        <f>[1]Data!S595</f>
        <v>0</v>
      </c>
      <c r="T595">
        <f t="shared" si="45"/>
        <v>2.2140221402214E-2</v>
      </c>
      <c r="U595">
        <f t="shared" si="46"/>
        <v>0</v>
      </c>
      <c r="V595" s="4" t="str">
        <f t="shared" si="47"/>
        <v>0</v>
      </c>
      <c r="W595" s="4" t="str">
        <f t="shared" si="48"/>
        <v>2</v>
      </c>
      <c r="X595" s="4" t="str">
        <f t="shared" si="49"/>
        <v>0NON-HS2</v>
      </c>
      <c r="Y595">
        <f>VLOOKUP(X595,Sheet1!$J$5:$K$121,2,FALSE)</f>
        <v>0</v>
      </c>
    </row>
    <row r="596" spans="1:25" x14ac:dyDescent="0.25">
      <c r="A596" s="8">
        <f>[1]Data!A596</f>
        <v>920028</v>
      </c>
      <c r="B596" s="8">
        <f>[1]Data!B596</f>
        <v>2</v>
      </c>
      <c r="C596" s="8">
        <f>[1]Data!C596</f>
        <v>0</v>
      </c>
      <c r="D596" s="8">
        <f>[1]Data!D596</f>
        <v>5</v>
      </c>
      <c r="E596" s="8" t="str">
        <f>[1]Data!E596</f>
        <v>NON-HS</v>
      </c>
      <c r="F596" s="8" t="str">
        <f>[1]Data!F596</f>
        <v>Santa Clarita</v>
      </c>
      <c r="G596" s="8">
        <f>[1]Data!G596</f>
        <v>0</v>
      </c>
      <c r="H596" s="8">
        <f>[1]Data!H596</f>
        <v>0</v>
      </c>
      <c r="I596" s="8">
        <f>[1]Data!I596</f>
        <v>0</v>
      </c>
      <c r="J596" s="8">
        <f>[1]Data!J596</f>
        <v>0</v>
      </c>
      <c r="K596" s="8">
        <f>[1]Data!K596</f>
        <v>0</v>
      </c>
      <c r="L596" s="8">
        <f>[1]Data!L596</f>
        <v>0</v>
      </c>
      <c r="M596" s="8">
        <f>[1]Data!M596</f>
        <v>0</v>
      </c>
      <c r="N596" s="8">
        <f>[1]Data!N596</f>
        <v>2.2140221402214E-2</v>
      </c>
      <c r="O596" s="8">
        <f>[1]Data!O596</f>
        <v>0</v>
      </c>
      <c r="P596" s="8">
        <f>[1]Data!P596</f>
        <v>0.30627306273062699</v>
      </c>
      <c r="Q596" s="8">
        <f>[1]Data!Q596</f>
        <v>0</v>
      </c>
      <c r="R596" s="8">
        <f>[1]Data!R596</f>
        <v>0</v>
      </c>
      <c r="S596" s="8">
        <f>[1]Data!S596</f>
        <v>0</v>
      </c>
      <c r="T596">
        <f t="shared" si="45"/>
        <v>2.2140221402214E-2</v>
      </c>
      <c r="U596">
        <f t="shared" si="46"/>
        <v>0</v>
      </c>
      <c r="V596" s="4" t="str">
        <f t="shared" si="47"/>
        <v>0</v>
      </c>
      <c r="W596" s="4" t="str">
        <f t="shared" si="48"/>
        <v>2</v>
      </c>
      <c r="X596" s="4" t="str">
        <f t="shared" si="49"/>
        <v>0NON-HS2</v>
      </c>
      <c r="Y596">
        <f>VLOOKUP(X596,Sheet1!$J$5:$K$121,2,FALSE)</f>
        <v>0</v>
      </c>
    </row>
    <row r="597" spans="1:25" x14ac:dyDescent="0.25">
      <c r="A597" s="8">
        <f>[1]Data!A597</f>
        <v>311801</v>
      </c>
      <c r="B597" s="8">
        <f>[1]Data!B597</f>
        <v>2</v>
      </c>
      <c r="C597" s="8">
        <f>[1]Data!C597</f>
        <v>0</v>
      </c>
      <c r="D597" s="8">
        <f>[1]Data!D597</f>
        <v>5</v>
      </c>
      <c r="E597" s="8" t="str">
        <f>[1]Data!E597</f>
        <v>NON-HS</v>
      </c>
      <c r="F597" s="8" t="str">
        <f>[1]Data!F597</f>
        <v>Burbank</v>
      </c>
      <c r="G597" s="8">
        <f>[1]Data!G597</f>
        <v>1</v>
      </c>
      <c r="H597" s="8">
        <f>[1]Data!H597</f>
        <v>1</v>
      </c>
      <c r="I597" s="8">
        <f>[1]Data!I597</f>
        <v>4.1900000000000004</v>
      </c>
      <c r="J597" s="8">
        <f>[1]Data!J597</f>
        <v>3.9673993200000002</v>
      </c>
      <c r="K597" s="8">
        <f>[1]Data!K597</f>
        <v>3.9673993200000002</v>
      </c>
      <c r="L597" s="8">
        <f>[1]Data!L597</f>
        <v>0.22234520276481101</v>
      </c>
      <c r="M597" s="8">
        <f>[1]Data!M597</f>
        <v>4.1897445227648102</v>
      </c>
      <c r="N597" s="8">
        <f>[1]Data!N597</f>
        <v>2.2140221402214E-2</v>
      </c>
      <c r="O597" s="8">
        <f>[1]Data!O597</f>
        <v>45.1666666666667</v>
      </c>
      <c r="P597" s="8">
        <f>[1]Data!P597</f>
        <v>0.30627306273062699</v>
      </c>
      <c r="Q597" s="8">
        <f>[1]Data!Q597</f>
        <v>0</v>
      </c>
      <c r="R597" s="8">
        <f>[1]Data!R597</f>
        <v>0</v>
      </c>
      <c r="S597" s="8">
        <f>[1]Data!S597</f>
        <v>0</v>
      </c>
      <c r="T597">
        <f t="shared" si="45"/>
        <v>2.2140221402214E-2</v>
      </c>
      <c r="U597">
        <f t="shared" si="46"/>
        <v>45.166666666666714</v>
      </c>
      <c r="V597" s="4" t="str">
        <f t="shared" si="47"/>
        <v>0</v>
      </c>
      <c r="W597" s="4" t="str">
        <f t="shared" si="48"/>
        <v>2</v>
      </c>
      <c r="X597" s="4" t="str">
        <f t="shared" si="49"/>
        <v>0NON-HS2</v>
      </c>
      <c r="Y597">
        <f>VLOOKUP(X597,Sheet1!$J$5:$K$121,2,FALSE)</f>
        <v>0</v>
      </c>
    </row>
    <row r="598" spans="1:25" x14ac:dyDescent="0.25">
      <c r="A598" s="8">
        <f>[1]Data!A598</f>
        <v>920116</v>
      </c>
      <c r="B598" s="8">
        <f>[1]Data!B598</f>
        <v>2</v>
      </c>
      <c r="C598" s="8">
        <f>[1]Data!C598</f>
        <v>0</v>
      </c>
      <c r="D598" s="8">
        <f>[1]Data!D598</f>
        <v>5</v>
      </c>
      <c r="E598" s="8" t="str">
        <f>[1]Data!E598</f>
        <v>NON-HS</v>
      </c>
      <c r="F598" s="8" t="str">
        <f>[1]Data!F598</f>
        <v>Agua Dulce</v>
      </c>
      <c r="G598" s="8">
        <f>[1]Data!G598</f>
        <v>0</v>
      </c>
      <c r="H598" s="8">
        <f>[1]Data!H598</f>
        <v>0</v>
      </c>
      <c r="I598" s="8">
        <f>[1]Data!I598</f>
        <v>0</v>
      </c>
      <c r="J598" s="8">
        <f>[1]Data!J598</f>
        <v>0</v>
      </c>
      <c r="K598" s="8">
        <f>[1]Data!K598</f>
        <v>0</v>
      </c>
      <c r="L598" s="8">
        <f>[1]Data!L598</f>
        <v>0</v>
      </c>
      <c r="M598" s="8">
        <f>[1]Data!M598</f>
        <v>0</v>
      </c>
      <c r="N598" s="8">
        <f>[1]Data!N598</f>
        <v>2.2140221402214E-2</v>
      </c>
      <c r="O598" s="8">
        <f>[1]Data!O598</f>
        <v>0</v>
      </c>
      <c r="P598" s="8">
        <f>[1]Data!P598</f>
        <v>0.30627306273062699</v>
      </c>
      <c r="Q598" s="8">
        <f>[1]Data!Q598</f>
        <v>0</v>
      </c>
      <c r="R598" s="8">
        <f>[1]Data!R598</f>
        <v>0</v>
      </c>
      <c r="S598" s="8">
        <f>[1]Data!S598</f>
        <v>0</v>
      </c>
      <c r="T598">
        <f t="shared" si="45"/>
        <v>2.2140221402214E-2</v>
      </c>
      <c r="U598">
        <f t="shared" si="46"/>
        <v>0</v>
      </c>
      <c r="V598" s="4" t="str">
        <f t="shared" si="47"/>
        <v>0</v>
      </c>
      <c r="W598" s="4" t="str">
        <f t="shared" si="48"/>
        <v>2</v>
      </c>
      <c r="X598" s="4" t="str">
        <f t="shared" si="49"/>
        <v>0NON-HS2</v>
      </c>
      <c r="Y598">
        <f>VLOOKUP(X598,Sheet1!$J$5:$K$121,2,FALSE)</f>
        <v>0</v>
      </c>
    </row>
    <row r="599" spans="1:25" x14ac:dyDescent="0.25">
      <c r="A599" s="8">
        <f>[1]Data!A599</f>
        <v>300100</v>
      </c>
      <c r="B599" s="8">
        <f>[1]Data!B599</f>
        <v>2</v>
      </c>
      <c r="C599" s="8">
        <f>[1]Data!C599</f>
        <v>0</v>
      </c>
      <c r="D599" s="8">
        <f>[1]Data!D599</f>
        <v>5</v>
      </c>
      <c r="E599" s="8" t="str">
        <f>[1]Data!E599</f>
        <v>NON-HS</v>
      </c>
      <c r="F599" s="8" t="str">
        <f>[1]Data!F599</f>
        <v>La Crescenta-Montrose</v>
      </c>
      <c r="G599" s="8">
        <f>[1]Data!G599</f>
        <v>0</v>
      </c>
      <c r="H599" s="8">
        <f>[1]Data!H599</f>
        <v>0</v>
      </c>
      <c r="I599" s="8">
        <f>[1]Data!I599</f>
        <v>0</v>
      </c>
      <c r="J599" s="8">
        <f>[1]Data!J599</f>
        <v>0</v>
      </c>
      <c r="K599" s="8">
        <f>[1]Data!K599</f>
        <v>0</v>
      </c>
      <c r="L599" s="8">
        <f>[1]Data!L599</f>
        <v>0</v>
      </c>
      <c r="M599" s="8">
        <f>[1]Data!M599</f>
        <v>0</v>
      </c>
      <c r="N599" s="8">
        <f>[1]Data!N599</f>
        <v>2.2140221402214E-2</v>
      </c>
      <c r="O599" s="8">
        <f>[1]Data!O599</f>
        <v>0</v>
      </c>
      <c r="P599" s="8">
        <f>[1]Data!P599</f>
        <v>0.30627306273062699</v>
      </c>
      <c r="Q599" s="8">
        <f>[1]Data!Q599</f>
        <v>0</v>
      </c>
      <c r="R599" s="8">
        <f>[1]Data!R599</f>
        <v>0</v>
      </c>
      <c r="S599" s="8">
        <f>[1]Data!S599</f>
        <v>0</v>
      </c>
      <c r="T599">
        <f t="shared" si="45"/>
        <v>2.2140221402214E-2</v>
      </c>
      <c r="U599">
        <f t="shared" si="46"/>
        <v>0</v>
      </c>
      <c r="V599" s="4" t="str">
        <f t="shared" si="47"/>
        <v>0</v>
      </c>
      <c r="W599" s="4" t="str">
        <f t="shared" si="48"/>
        <v>2</v>
      </c>
      <c r="X599" s="4" t="str">
        <f t="shared" si="49"/>
        <v>0NON-HS2</v>
      </c>
      <c r="Y599">
        <f>VLOOKUP(X599,Sheet1!$J$5:$K$121,2,FALSE)</f>
        <v>0</v>
      </c>
    </row>
    <row r="600" spans="1:25" x14ac:dyDescent="0.25">
      <c r="A600" s="8">
        <f>[1]Data!A600</f>
        <v>920017</v>
      </c>
      <c r="B600" s="8">
        <f>[1]Data!B600</f>
        <v>2</v>
      </c>
      <c r="C600" s="8">
        <f>[1]Data!C600</f>
        <v>0</v>
      </c>
      <c r="D600" s="8">
        <f>[1]Data!D600</f>
        <v>5</v>
      </c>
      <c r="E600" s="8" t="str">
        <f>[1]Data!E600</f>
        <v>NON-HS</v>
      </c>
      <c r="F600" s="8" t="str">
        <f>[1]Data!F600</f>
        <v>Santa Clarita</v>
      </c>
      <c r="G600" s="8">
        <f>[1]Data!G600</f>
        <v>0</v>
      </c>
      <c r="H600" s="8">
        <f>[1]Data!H600</f>
        <v>0</v>
      </c>
      <c r="I600" s="8">
        <f>[1]Data!I600</f>
        <v>0</v>
      </c>
      <c r="J600" s="8">
        <f>[1]Data!J600</f>
        <v>0</v>
      </c>
      <c r="K600" s="8">
        <f>[1]Data!K600</f>
        <v>0</v>
      </c>
      <c r="L600" s="8">
        <f>[1]Data!L600</f>
        <v>0</v>
      </c>
      <c r="M600" s="8">
        <f>[1]Data!M600</f>
        <v>0</v>
      </c>
      <c r="N600" s="8">
        <f>[1]Data!N600</f>
        <v>2.2140221402214E-2</v>
      </c>
      <c r="O600" s="8">
        <f>[1]Data!O600</f>
        <v>0</v>
      </c>
      <c r="P600" s="8">
        <f>[1]Data!P600</f>
        <v>0.30627306273062699</v>
      </c>
      <c r="Q600" s="8">
        <f>[1]Data!Q600</f>
        <v>0</v>
      </c>
      <c r="R600" s="8">
        <f>[1]Data!R600</f>
        <v>0</v>
      </c>
      <c r="S600" s="8">
        <f>[1]Data!S600</f>
        <v>0</v>
      </c>
      <c r="T600">
        <f t="shared" si="45"/>
        <v>2.2140221402214E-2</v>
      </c>
      <c r="U600">
        <f t="shared" si="46"/>
        <v>0</v>
      </c>
      <c r="V600" s="4" t="str">
        <f t="shared" si="47"/>
        <v>0</v>
      </c>
      <c r="W600" s="4" t="str">
        <f t="shared" si="48"/>
        <v>2</v>
      </c>
      <c r="X600" s="4" t="str">
        <f t="shared" si="49"/>
        <v>0NON-HS2</v>
      </c>
      <c r="Y600">
        <f>VLOOKUP(X600,Sheet1!$J$5:$K$121,2,FALSE)</f>
        <v>0</v>
      </c>
    </row>
    <row r="601" spans="1:25" x14ac:dyDescent="0.25">
      <c r="A601" s="8">
        <f>[1]Data!A601</f>
        <v>800329</v>
      </c>
      <c r="B601" s="8">
        <f>[1]Data!B601</f>
        <v>2</v>
      </c>
      <c r="C601" s="8">
        <f>[1]Data!C601</f>
        <v>0</v>
      </c>
      <c r="D601" s="8">
        <f>[1]Data!D601</f>
        <v>3</v>
      </c>
      <c r="E601" s="8" t="str">
        <f>[1]Data!E601</f>
        <v>NON-HS</v>
      </c>
      <c r="F601" s="8" t="str">
        <f>[1]Data!F601</f>
        <v>Malibu Lake</v>
      </c>
      <c r="G601" s="8">
        <f>[1]Data!G601</f>
        <v>0</v>
      </c>
      <c r="H601" s="8">
        <f>[1]Data!H601</f>
        <v>0</v>
      </c>
      <c r="I601" s="8">
        <f>[1]Data!I601</f>
        <v>0</v>
      </c>
      <c r="J601" s="8">
        <f>[1]Data!J601</f>
        <v>0</v>
      </c>
      <c r="K601" s="8">
        <f>[1]Data!K601</f>
        <v>0</v>
      </c>
      <c r="L601" s="8">
        <f>[1]Data!L601</f>
        <v>0</v>
      </c>
      <c r="M601" s="8">
        <f>[1]Data!M601</f>
        <v>0</v>
      </c>
      <c r="N601" s="8">
        <f>[1]Data!N601</f>
        <v>2.2140221402214E-2</v>
      </c>
      <c r="O601" s="8">
        <f>[1]Data!O601</f>
        <v>0</v>
      </c>
      <c r="P601" s="8">
        <f>[1]Data!P601</f>
        <v>0.30627306273062699</v>
      </c>
      <c r="Q601" s="8">
        <f>[1]Data!Q601</f>
        <v>0</v>
      </c>
      <c r="R601" s="8">
        <f>[1]Data!R601</f>
        <v>0</v>
      </c>
      <c r="S601" s="8">
        <f>[1]Data!S601</f>
        <v>0</v>
      </c>
      <c r="T601">
        <f t="shared" si="45"/>
        <v>2.2140221402214E-2</v>
      </c>
      <c r="U601">
        <f t="shared" si="46"/>
        <v>0</v>
      </c>
      <c r="V601" s="4" t="str">
        <f t="shared" si="47"/>
        <v>0</v>
      </c>
      <c r="W601" s="4" t="str">
        <f t="shared" si="48"/>
        <v>2</v>
      </c>
      <c r="X601" s="4" t="str">
        <f t="shared" si="49"/>
        <v>0NON-HS2</v>
      </c>
      <c r="Y601">
        <f>VLOOKUP(X601,Sheet1!$J$5:$K$121,2,FALSE)</f>
        <v>0</v>
      </c>
    </row>
    <row r="602" spans="1:25" x14ac:dyDescent="0.25">
      <c r="A602" s="8">
        <f>[1]Data!A602</f>
        <v>920045</v>
      </c>
      <c r="B602" s="8">
        <f>[1]Data!B602</f>
        <v>2</v>
      </c>
      <c r="C602" s="8">
        <f>[1]Data!C602</f>
        <v>0</v>
      </c>
      <c r="D602" s="8">
        <f>[1]Data!D602</f>
        <v>5</v>
      </c>
      <c r="E602" s="8" t="str">
        <f>[1]Data!E602</f>
        <v>NON-HS</v>
      </c>
      <c r="F602" s="8" t="str">
        <f>[1]Data!F602</f>
        <v>Santa Clarita</v>
      </c>
      <c r="G602" s="8">
        <f>[1]Data!G602</f>
        <v>0</v>
      </c>
      <c r="H602" s="8">
        <f>[1]Data!H602</f>
        <v>0</v>
      </c>
      <c r="I602" s="8">
        <f>[1]Data!I602</f>
        <v>6.2850000000000001</v>
      </c>
      <c r="J602" s="8">
        <f>[1]Data!J602</f>
        <v>5.9510989800000003</v>
      </c>
      <c r="K602" s="8">
        <f>[1]Data!K602</f>
        <v>5.9510989800000003</v>
      </c>
      <c r="L602" s="8">
        <f>[1]Data!L602</f>
        <v>0.33351780414721699</v>
      </c>
      <c r="M602" s="8">
        <f>[1]Data!M602</f>
        <v>6.2846167841472198</v>
      </c>
      <c r="N602" s="8">
        <f>[1]Data!N602</f>
        <v>2.2140221402214E-2</v>
      </c>
      <c r="O602" s="8">
        <f>[1]Data!O602</f>
        <v>0</v>
      </c>
      <c r="P602" s="8">
        <f>[1]Data!P602</f>
        <v>0.30627306273062699</v>
      </c>
      <c r="Q602" s="8">
        <f>[1]Data!Q602</f>
        <v>0</v>
      </c>
      <c r="R602" s="8">
        <f>[1]Data!R602</f>
        <v>0</v>
      </c>
      <c r="S602" s="8">
        <f>[1]Data!S602</f>
        <v>0</v>
      </c>
      <c r="T602">
        <f t="shared" si="45"/>
        <v>2.2140221402214E-2</v>
      </c>
      <c r="U602">
        <f t="shared" si="46"/>
        <v>0</v>
      </c>
      <c r="V602" s="4" t="str">
        <f t="shared" si="47"/>
        <v>0</v>
      </c>
      <c r="W602" s="4" t="str">
        <f t="shared" si="48"/>
        <v>2</v>
      </c>
      <c r="X602" s="4" t="str">
        <f t="shared" si="49"/>
        <v>0NON-HS2</v>
      </c>
      <c r="Y602">
        <f>VLOOKUP(X602,Sheet1!$J$5:$K$121,2,FALSE)</f>
        <v>0</v>
      </c>
    </row>
    <row r="603" spans="1:25" x14ac:dyDescent="0.25">
      <c r="A603" s="8">
        <f>[1]Data!A603</f>
        <v>300501</v>
      </c>
      <c r="B603" s="8">
        <f>[1]Data!B603</f>
        <v>2</v>
      </c>
      <c r="C603" s="8">
        <f>[1]Data!C603</f>
        <v>0</v>
      </c>
      <c r="D603" s="8">
        <f>[1]Data!D603</f>
        <v>5</v>
      </c>
      <c r="E603" s="8" t="str">
        <f>[1]Data!E603</f>
        <v>NON-HS</v>
      </c>
      <c r="F603" s="8" t="str">
        <f>[1]Data!F603</f>
        <v>La Crescenta-Montrose</v>
      </c>
      <c r="G603" s="8">
        <f>[1]Data!G603</f>
        <v>0</v>
      </c>
      <c r="H603" s="8">
        <f>[1]Data!H603</f>
        <v>0</v>
      </c>
      <c r="I603" s="8">
        <f>[1]Data!I603</f>
        <v>0</v>
      </c>
      <c r="J603" s="8">
        <f>[1]Data!J603</f>
        <v>0</v>
      </c>
      <c r="K603" s="8">
        <f>[1]Data!K603</f>
        <v>0</v>
      </c>
      <c r="L603" s="8">
        <f>[1]Data!L603</f>
        <v>0</v>
      </c>
      <c r="M603" s="8">
        <f>[1]Data!M603</f>
        <v>0</v>
      </c>
      <c r="N603" s="8">
        <f>[1]Data!N603</f>
        <v>2.2140221402214E-2</v>
      </c>
      <c r="O603" s="8">
        <f>[1]Data!O603</f>
        <v>0</v>
      </c>
      <c r="P603" s="8">
        <f>[1]Data!P603</f>
        <v>0.30627306273062699</v>
      </c>
      <c r="Q603" s="8">
        <f>[1]Data!Q603</f>
        <v>0</v>
      </c>
      <c r="R603" s="8">
        <f>[1]Data!R603</f>
        <v>0</v>
      </c>
      <c r="S603" s="8">
        <f>[1]Data!S603</f>
        <v>0</v>
      </c>
      <c r="T603">
        <f t="shared" si="45"/>
        <v>2.2140221402214E-2</v>
      </c>
      <c r="U603">
        <f t="shared" si="46"/>
        <v>0</v>
      </c>
      <c r="V603" s="4" t="str">
        <f t="shared" si="47"/>
        <v>0</v>
      </c>
      <c r="W603" s="4" t="str">
        <f t="shared" si="48"/>
        <v>2</v>
      </c>
      <c r="X603" s="4" t="str">
        <f t="shared" si="49"/>
        <v>0NON-HS2</v>
      </c>
      <c r="Y603">
        <f>VLOOKUP(X603,Sheet1!$J$5:$K$121,2,FALSE)</f>
        <v>0</v>
      </c>
    </row>
    <row r="604" spans="1:25" x14ac:dyDescent="0.25">
      <c r="A604" s="8">
        <f>[1]Data!A604</f>
        <v>920039</v>
      </c>
      <c r="B604" s="8">
        <f>[1]Data!B604</f>
        <v>2</v>
      </c>
      <c r="C604" s="8">
        <f>[1]Data!C604</f>
        <v>0</v>
      </c>
      <c r="D604" s="8">
        <f>[1]Data!D604</f>
        <v>5</v>
      </c>
      <c r="E604" s="8" t="str">
        <f>[1]Data!E604</f>
        <v>NON-HS</v>
      </c>
      <c r="F604" s="8" t="str">
        <f>[1]Data!F604</f>
        <v>Santa Clarita</v>
      </c>
      <c r="G604" s="8">
        <f>[1]Data!G604</f>
        <v>0</v>
      </c>
      <c r="H604" s="8">
        <f>[1]Data!H604</f>
        <v>0</v>
      </c>
      <c r="I604" s="8">
        <f>[1]Data!I604</f>
        <v>0</v>
      </c>
      <c r="J604" s="8">
        <f>[1]Data!J604</f>
        <v>0</v>
      </c>
      <c r="K604" s="8">
        <f>[1]Data!K604</f>
        <v>0</v>
      </c>
      <c r="L604" s="8">
        <f>[1]Data!L604</f>
        <v>0</v>
      </c>
      <c r="M604" s="8">
        <f>[1]Data!M604</f>
        <v>0</v>
      </c>
      <c r="N604" s="8">
        <f>[1]Data!N604</f>
        <v>2.2140221402214E-2</v>
      </c>
      <c r="O604" s="8">
        <f>[1]Data!O604</f>
        <v>0</v>
      </c>
      <c r="P604" s="8">
        <f>[1]Data!P604</f>
        <v>0.30627306273062699</v>
      </c>
      <c r="Q604" s="8">
        <f>[1]Data!Q604</f>
        <v>0</v>
      </c>
      <c r="R604" s="8">
        <f>[1]Data!R604</f>
        <v>0</v>
      </c>
      <c r="S604" s="8">
        <f>[1]Data!S604</f>
        <v>0</v>
      </c>
      <c r="T604">
        <f t="shared" si="45"/>
        <v>2.2140221402214E-2</v>
      </c>
      <c r="U604">
        <f t="shared" si="46"/>
        <v>0</v>
      </c>
      <c r="V604" s="4" t="str">
        <f t="shared" si="47"/>
        <v>0</v>
      </c>
      <c r="W604" s="4" t="str">
        <f t="shared" si="48"/>
        <v>2</v>
      </c>
      <c r="X604" s="4" t="str">
        <f t="shared" si="49"/>
        <v>0NON-HS2</v>
      </c>
      <c r="Y604">
        <f>VLOOKUP(X604,Sheet1!$J$5:$K$121,2,FALSE)</f>
        <v>0</v>
      </c>
    </row>
    <row r="605" spans="1:25" x14ac:dyDescent="0.25">
      <c r="A605" s="8">
        <f>[1]Data!A605</f>
        <v>920111</v>
      </c>
      <c r="B605" s="8">
        <f>[1]Data!B605</f>
        <v>2</v>
      </c>
      <c r="C605" s="8">
        <f>[1]Data!C605</f>
        <v>0</v>
      </c>
      <c r="D605" s="8">
        <f>[1]Data!D605</f>
        <v>5</v>
      </c>
      <c r="E605" s="8" t="str">
        <f>[1]Data!E605</f>
        <v>NON-HS</v>
      </c>
      <c r="F605" s="8" t="str">
        <f>[1]Data!F605</f>
        <v>Santa Clarita</v>
      </c>
      <c r="G605" s="8">
        <f>[1]Data!G605</f>
        <v>0</v>
      </c>
      <c r="H605" s="8">
        <f>[1]Data!H605</f>
        <v>0</v>
      </c>
      <c r="I605" s="8">
        <f>[1]Data!I605</f>
        <v>0</v>
      </c>
      <c r="J605" s="8">
        <f>[1]Data!J605</f>
        <v>0</v>
      </c>
      <c r="K605" s="8">
        <f>[1]Data!K605</f>
        <v>0</v>
      </c>
      <c r="L605" s="8">
        <f>[1]Data!L605</f>
        <v>0</v>
      </c>
      <c r="M605" s="8">
        <f>[1]Data!M605</f>
        <v>0</v>
      </c>
      <c r="N605" s="8">
        <f>[1]Data!N605</f>
        <v>2.2140221402214E-2</v>
      </c>
      <c r="O605" s="8">
        <f>[1]Data!O605</f>
        <v>0</v>
      </c>
      <c r="P605" s="8">
        <f>[1]Data!P605</f>
        <v>0.30627306273062699</v>
      </c>
      <c r="Q605" s="8">
        <f>[1]Data!Q605</f>
        <v>0</v>
      </c>
      <c r="R605" s="8">
        <f>[1]Data!R605</f>
        <v>0</v>
      </c>
      <c r="S605" s="8">
        <f>[1]Data!S605</f>
        <v>0</v>
      </c>
      <c r="T605">
        <f t="shared" si="45"/>
        <v>2.2140221402214E-2</v>
      </c>
      <c r="U605">
        <f t="shared" si="46"/>
        <v>0</v>
      </c>
      <c r="V605" s="4" t="str">
        <f t="shared" si="47"/>
        <v>0</v>
      </c>
      <c r="W605" s="4" t="str">
        <f t="shared" si="48"/>
        <v>2</v>
      </c>
      <c r="X605" s="4" t="str">
        <f t="shared" si="49"/>
        <v>0NON-HS2</v>
      </c>
      <c r="Y605">
        <f>VLOOKUP(X605,Sheet1!$J$5:$K$121,2,FALSE)</f>
        <v>0</v>
      </c>
    </row>
    <row r="606" spans="1:25" x14ac:dyDescent="0.25">
      <c r="A606" s="8">
        <f>[1]Data!A606</f>
        <v>311200</v>
      </c>
      <c r="B606" s="8">
        <f>[1]Data!B606</f>
        <v>2</v>
      </c>
      <c r="C606" s="8">
        <f>[1]Data!C606</f>
        <v>0</v>
      </c>
      <c r="D606" s="8">
        <f>[1]Data!D606</f>
        <v>5</v>
      </c>
      <c r="E606" s="8" t="str">
        <f>[1]Data!E606</f>
        <v>NON-HS</v>
      </c>
      <c r="F606" s="8" t="str">
        <f>[1]Data!F606</f>
        <v>Burbank</v>
      </c>
      <c r="G606" s="8">
        <f>[1]Data!G606</f>
        <v>0</v>
      </c>
      <c r="H606" s="8">
        <f>[1]Data!H606</f>
        <v>0</v>
      </c>
      <c r="I606" s="8">
        <f>[1]Data!I606</f>
        <v>5.19</v>
      </c>
      <c r="J606" s="8">
        <f>[1]Data!J606</f>
        <v>3.9673993200000002</v>
      </c>
      <c r="K606" s="8">
        <f>[1]Data!K606</f>
        <v>4.9673993200000002</v>
      </c>
      <c r="L606" s="8">
        <f>[1]Data!L606</f>
        <v>0.22234520276481101</v>
      </c>
      <c r="M606" s="8">
        <f>[1]Data!M606</f>
        <v>5.1897445227648102</v>
      </c>
      <c r="N606" s="8">
        <f>[1]Data!N606</f>
        <v>2.2140221402214E-2</v>
      </c>
      <c r="O606" s="8">
        <f>[1]Data!O606</f>
        <v>0</v>
      </c>
      <c r="P606" s="8">
        <f>[1]Data!P606</f>
        <v>0.30627306273062699</v>
      </c>
      <c r="Q606" s="8">
        <f>[1]Data!Q606</f>
        <v>0</v>
      </c>
      <c r="R606" s="8">
        <f>[1]Data!R606</f>
        <v>0</v>
      </c>
      <c r="S606" s="8">
        <f>[1]Data!S606</f>
        <v>0</v>
      </c>
      <c r="T606">
        <f t="shared" si="45"/>
        <v>2.2140221402214E-2</v>
      </c>
      <c r="U606">
        <f t="shared" si="46"/>
        <v>0</v>
      </c>
      <c r="V606" s="4" t="str">
        <f t="shared" si="47"/>
        <v>0</v>
      </c>
      <c r="W606" s="4" t="str">
        <f t="shared" si="48"/>
        <v>2</v>
      </c>
      <c r="X606" s="4" t="str">
        <f t="shared" si="49"/>
        <v>0NON-HS2</v>
      </c>
      <c r="Y606">
        <f>VLOOKUP(X606,Sheet1!$J$5:$K$121,2,FALSE)</f>
        <v>0</v>
      </c>
    </row>
    <row r="607" spans="1:25" x14ac:dyDescent="0.25">
      <c r="A607" s="8">
        <f>[1]Data!A607</f>
        <v>800328</v>
      </c>
      <c r="B607" s="8">
        <f>[1]Data!B607</f>
        <v>2</v>
      </c>
      <c r="C607" s="8">
        <f>[1]Data!C607</f>
        <v>0</v>
      </c>
      <c r="D607" s="8">
        <f>[1]Data!D607</f>
        <v>3</v>
      </c>
      <c r="E607" s="8" t="str">
        <f>[1]Data!E607</f>
        <v>NON-HS</v>
      </c>
      <c r="F607" s="8" t="str">
        <f>[1]Data!F607</f>
        <v>Agoura Hills</v>
      </c>
      <c r="G607" s="8">
        <f>[1]Data!G607</f>
        <v>0</v>
      </c>
      <c r="H607" s="8">
        <f>[1]Data!H607</f>
        <v>0</v>
      </c>
      <c r="I607" s="8">
        <f>[1]Data!I607</f>
        <v>0</v>
      </c>
      <c r="J607" s="8">
        <f>[1]Data!J607</f>
        <v>0</v>
      </c>
      <c r="K607" s="8">
        <f>[1]Data!K607</f>
        <v>0</v>
      </c>
      <c r="L607" s="8">
        <f>[1]Data!L607</f>
        <v>0</v>
      </c>
      <c r="M607" s="8">
        <f>[1]Data!M607</f>
        <v>0</v>
      </c>
      <c r="N607" s="8">
        <f>[1]Data!N607</f>
        <v>2.2140221402214E-2</v>
      </c>
      <c r="O607" s="8">
        <f>[1]Data!O607</f>
        <v>0</v>
      </c>
      <c r="P607" s="8">
        <f>[1]Data!P607</f>
        <v>0.30627306273062699</v>
      </c>
      <c r="Q607" s="8">
        <f>[1]Data!Q607</f>
        <v>0</v>
      </c>
      <c r="R607" s="8">
        <f>[1]Data!R607</f>
        <v>0</v>
      </c>
      <c r="S607" s="8">
        <f>[1]Data!S607</f>
        <v>0</v>
      </c>
      <c r="T607">
        <f t="shared" si="45"/>
        <v>2.2140221402214E-2</v>
      </c>
      <c r="U607">
        <f t="shared" si="46"/>
        <v>0</v>
      </c>
      <c r="V607" s="4" t="str">
        <f t="shared" si="47"/>
        <v>0</v>
      </c>
      <c r="W607" s="4" t="str">
        <f t="shared" si="48"/>
        <v>2</v>
      </c>
      <c r="X607" s="4" t="str">
        <f t="shared" si="49"/>
        <v>0NON-HS2</v>
      </c>
      <c r="Y607">
        <f>VLOOKUP(X607,Sheet1!$J$5:$K$121,2,FALSE)</f>
        <v>0</v>
      </c>
    </row>
    <row r="608" spans="1:25" x14ac:dyDescent="0.25">
      <c r="A608" s="8">
        <f>[1]Data!A608</f>
        <v>920112</v>
      </c>
      <c r="B608" s="8">
        <f>[1]Data!B608</f>
        <v>2</v>
      </c>
      <c r="C608" s="8">
        <f>[1]Data!C608</f>
        <v>0</v>
      </c>
      <c r="D608" s="8">
        <f>[1]Data!D608</f>
        <v>5</v>
      </c>
      <c r="E608" s="8" t="str">
        <f>[1]Data!E608</f>
        <v>NON-HS</v>
      </c>
      <c r="F608" s="8" t="str">
        <f>[1]Data!F608</f>
        <v>Santa Clarita</v>
      </c>
      <c r="G608" s="8">
        <f>[1]Data!G608</f>
        <v>0</v>
      </c>
      <c r="H608" s="8">
        <f>[1]Data!H608</f>
        <v>0</v>
      </c>
      <c r="I608" s="8">
        <f>[1]Data!I608</f>
        <v>0</v>
      </c>
      <c r="J608" s="8">
        <f>[1]Data!J608</f>
        <v>0</v>
      </c>
      <c r="K608" s="8">
        <f>[1]Data!K608</f>
        <v>0</v>
      </c>
      <c r="L608" s="8">
        <f>[1]Data!L608</f>
        <v>0</v>
      </c>
      <c r="M608" s="8">
        <f>[1]Data!M608</f>
        <v>0</v>
      </c>
      <c r="N608" s="8">
        <f>[1]Data!N608</f>
        <v>2.2140221402214E-2</v>
      </c>
      <c r="O608" s="8">
        <f>[1]Data!O608</f>
        <v>0</v>
      </c>
      <c r="P608" s="8">
        <f>[1]Data!P608</f>
        <v>0.30627306273062699</v>
      </c>
      <c r="Q608" s="8">
        <f>[1]Data!Q608</f>
        <v>0</v>
      </c>
      <c r="R608" s="8">
        <f>[1]Data!R608</f>
        <v>0</v>
      </c>
      <c r="S608" s="8">
        <f>[1]Data!S608</f>
        <v>0</v>
      </c>
      <c r="T608">
        <f t="shared" si="45"/>
        <v>2.2140221402214E-2</v>
      </c>
      <c r="U608">
        <f t="shared" si="46"/>
        <v>0</v>
      </c>
      <c r="V608" s="4" t="str">
        <f t="shared" si="47"/>
        <v>0</v>
      </c>
      <c r="W608" s="4" t="str">
        <f t="shared" si="48"/>
        <v>2</v>
      </c>
      <c r="X608" s="4" t="str">
        <f t="shared" si="49"/>
        <v>0NON-HS2</v>
      </c>
      <c r="Y608">
        <f>VLOOKUP(X608,Sheet1!$J$5:$K$121,2,FALSE)</f>
        <v>0</v>
      </c>
    </row>
    <row r="609" spans="1:25" x14ac:dyDescent="0.25">
      <c r="A609" s="8">
        <f>[1]Data!A609</f>
        <v>920110</v>
      </c>
      <c r="B609" s="8">
        <f>[1]Data!B609</f>
        <v>2</v>
      </c>
      <c r="C609" s="8">
        <f>[1]Data!C609</f>
        <v>0</v>
      </c>
      <c r="D609" s="8">
        <f>[1]Data!D609</f>
        <v>5</v>
      </c>
      <c r="E609" s="8" t="str">
        <f>[1]Data!E609</f>
        <v>NON-HS</v>
      </c>
      <c r="F609" s="8" t="str">
        <f>[1]Data!F609</f>
        <v>Santa Clarita</v>
      </c>
      <c r="G609" s="8">
        <f>[1]Data!G609</f>
        <v>0</v>
      </c>
      <c r="H609" s="8">
        <f>[1]Data!H609</f>
        <v>0</v>
      </c>
      <c r="I609" s="8">
        <f>[1]Data!I609</f>
        <v>0</v>
      </c>
      <c r="J609" s="8">
        <f>[1]Data!J609</f>
        <v>0</v>
      </c>
      <c r="K609" s="8">
        <f>[1]Data!K609</f>
        <v>0</v>
      </c>
      <c r="L609" s="8">
        <f>[1]Data!L609</f>
        <v>0</v>
      </c>
      <c r="M609" s="8">
        <f>[1]Data!M609</f>
        <v>0</v>
      </c>
      <c r="N609" s="8">
        <f>[1]Data!N609</f>
        <v>2.2140221402214E-2</v>
      </c>
      <c r="O609" s="8">
        <f>[1]Data!O609</f>
        <v>0</v>
      </c>
      <c r="P609" s="8">
        <f>[1]Data!P609</f>
        <v>0.30627306273062699</v>
      </c>
      <c r="Q609" s="8">
        <f>[1]Data!Q609</f>
        <v>0</v>
      </c>
      <c r="R609" s="8">
        <f>[1]Data!R609</f>
        <v>0</v>
      </c>
      <c r="S609" s="8">
        <f>[1]Data!S609</f>
        <v>0</v>
      </c>
      <c r="T609">
        <f t="shared" si="45"/>
        <v>2.2140221402214E-2</v>
      </c>
      <c r="U609">
        <f t="shared" si="46"/>
        <v>0</v>
      </c>
      <c r="V609" s="4" t="str">
        <f t="shared" si="47"/>
        <v>0</v>
      </c>
      <c r="W609" s="4" t="str">
        <f t="shared" si="48"/>
        <v>2</v>
      </c>
      <c r="X609" s="4" t="str">
        <f t="shared" si="49"/>
        <v>0NON-HS2</v>
      </c>
      <c r="Y609">
        <f>VLOOKUP(X609,Sheet1!$J$5:$K$121,2,FALSE)</f>
        <v>0</v>
      </c>
    </row>
    <row r="610" spans="1:25" x14ac:dyDescent="0.25">
      <c r="A610" s="8">
        <f>[1]Data!A610</f>
        <v>920326</v>
      </c>
      <c r="B610" s="8">
        <f>[1]Data!B610</f>
        <v>2</v>
      </c>
      <c r="C610" s="8">
        <f>[1]Data!C610</f>
        <v>0</v>
      </c>
      <c r="D610" s="8">
        <f>[1]Data!D610</f>
        <v>5</v>
      </c>
      <c r="E610" s="8" t="str">
        <f>[1]Data!E610</f>
        <v>NON-HS</v>
      </c>
      <c r="F610" s="8" t="str">
        <f>[1]Data!F610</f>
        <v>Stevenson Ranch</v>
      </c>
      <c r="G610" s="8">
        <f>[1]Data!G610</f>
        <v>0</v>
      </c>
      <c r="H610" s="8">
        <f>[1]Data!H610</f>
        <v>0</v>
      </c>
      <c r="I610" s="8">
        <f>[1]Data!I610</f>
        <v>0</v>
      </c>
      <c r="J610" s="8">
        <f>[1]Data!J610</f>
        <v>0</v>
      </c>
      <c r="K610" s="8">
        <f>[1]Data!K610</f>
        <v>0</v>
      </c>
      <c r="L610" s="8">
        <f>[1]Data!L610</f>
        <v>0</v>
      </c>
      <c r="M610" s="8">
        <f>[1]Data!M610</f>
        <v>0</v>
      </c>
      <c r="N610" s="8">
        <f>[1]Data!N610</f>
        <v>2.2140221402214E-2</v>
      </c>
      <c r="O610" s="8">
        <f>[1]Data!O610</f>
        <v>0</v>
      </c>
      <c r="P610" s="8">
        <f>[1]Data!P610</f>
        <v>0.30627306273062699</v>
      </c>
      <c r="Q610" s="8">
        <f>[1]Data!Q610</f>
        <v>0</v>
      </c>
      <c r="R610" s="8">
        <f>[1]Data!R610</f>
        <v>0</v>
      </c>
      <c r="S610" s="8">
        <f>[1]Data!S610</f>
        <v>0</v>
      </c>
      <c r="T610">
        <f t="shared" si="45"/>
        <v>2.2140221402214E-2</v>
      </c>
      <c r="U610">
        <f t="shared" si="46"/>
        <v>0</v>
      </c>
      <c r="V610" s="4" t="str">
        <f t="shared" si="47"/>
        <v>0</v>
      </c>
      <c r="W610" s="4" t="str">
        <f t="shared" si="48"/>
        <v>2</v>
      </c>
      <c r="X610" s="4" t="str">
        <f t="shared" si="49"/>
        <v>0NON-HS2</v>
      </c>
      <c r="Y610">
        <f>VLOOKUP(X610,Sheet1!$J$5:$K$121,2,FALSE)</f>
        <v>0</v>
      </c>
    </row>
    <row r="611" spans="1:25" x14ac:dyDescent="0.25">
      <c r="A611" s="8">
        <f>[1]Data!A611</f>
        <v>920032</v>
      </c>
      <c r="B611" s="8">
        <f>[1]Data!B611</f>
        <v>2</v>
      </c>
      <c r="C611" s="8">
        <f>[1]Data!C611</f>
        <v>0</v>
      </c>
      <c r="D611" s="8">
        <f>[1]Data!D611</f>
        <v>5</v>
      </c>
      <c r="E611" s="8" t="str">
        <f>[1]Data!E611</f>
        <v>NON-HS</v>
      </c>
      <c r="F611" s="8" t="str">
        <f>[1]Data!F611</f>
        <v>Santa Clarita</v>
      </c>
      <c r="G611" s="8">
        <f>[1]Data!G611</f>
        <v>0</v>
      </c>
      <c r="H611" s="8">
        <f>[1]Data!H611</f>
        <v>0</v>
      </c>
      <c r="I611" s="8">
        <f>[1]Data!I611</f>
        <v>10.888</v>
      </c>
      <c r="J611" s="8">
        <f>[1]Data!J611</f>
        <v>10.189868969999999</v>
      </c>
      <c r="K611" s="8">
        <f>[1]Data!K611</f>
        <v>10.189868969999999</v>
      </c>
      <c r="L611" s="8">
        <f>[1]Data!L611</f>
        <v>0.69732654326750498</v>
      </c>
      <c r="M611" s="8">
        <f>[1]Data!M611</f>
        <v>10.8871955132675</v>
      </c>
      <c r="N611" s="8">
        <f>[1]Data!N611</f>
        <v>2.2140221402214E-2</v>
      </c>
      <c r="O611" s="8">
        <f>[1]Data!O611</f>
        <v>0</v>
      </c>
      <c r="P611" s="8">
        <f>[1]Data!P611</f>
        <v>0.30627306273062699</v>
      </c>
      <c r="Q611" s="8">
        <f>[1]Data!Q611</f>
        <v>0</v>
      </c>
      <c r="R611" s="8">
        <f>[1]Data!R611</f>
        <v>0</v>
      </c>
      <c r="S611" s="8">
        <f>[1]Data!S611</f>
        <v>0</v>
      </c>
      <c r="T611">
        <f t="shared" si="45"/>
        <v>2.2140221402214E-2</v>
      </c>
      <c r="U611">
        <f t="shared" si="46"/>
        <v>0</v>
      </c>
      <c r="V611" s="4" t="str">
        <f t="shared" si="47"/>
        <v>0</v>
      </c>
      <c r="W611" s="4" t="str">
        <f t="shared" si="48"/>
        <v>2</v>
      </c>
      <c r="X611" s="4" t="str">
        <f t="shared" si="49"/>
        <v>0NON-HS2</v>
      </c>
      <c r="Y611">
        <f>VLOOKUP(X611,Sheet1!$J$5:$K$121,2,FALSE)</f>
        <v>0</v>
      </c>
    </row>
    <row r="612" spans="1:25" x14ac:dyDescent="0.25">
      <c r="A612" s="8">
        <f>[1]Data!A612</f>
        <v>460600</v>
      </c>
      <c r="B612" s="8">
        <f>[1]Data!B612</f>
        <v>2</v>
      </c>
      <c r="C612" s="8">
        <f>[1]Data!C612</f>
        <v>0</v>
      </c>
      <c r="D612" s="8">
        <f>[1]Data!D612</f>
        <v>5</v>
      </c>
      <c r="E612" s="8" t="str">
        <f>[1]Data!E612</f>
        <v>NON-HS</v>
      </c>
      <c r="F612" s="8" t="str">
        <f>[1]Data!F612</f>
        <v>La Cañada Flintridge</v>
      </c>
      <c r="G612" s="8">
        <f>[1]Data!G612</f>
        <v>0</v>
      </c>
      <c r="H612" s="8">
        <f>[1]Data!H612</f>
        <v>0</v>
      </c>
      <c r="I612" s="8">
        <f>[1]Data!I612</f>
        <v>0</v>
      </c>
      <c r="J612" s="8">
        <f>[1]Data!J612</f>
        <v>0</v>
      </c>
      <c r="K612" s="8">
        <f>[1]Data!K612</f>
        <v>0</v>
      </c>
      <c r="L612" s="8">
        <f>[1]Data!L612</f>
        <v>0</v>
      </c>
      <c r="M612" s="8">
        <f>[1]Data!M612</f>
        <v>0</v>
      </c>
      <c r="N612" s="8">
        <f>[1]Data!N612</f>
        <v>2.2140221402214E-2</v>
      </c>
      <c r="O612" s="8">
        <f>[1]Data!O612</f>
        <v>0</v>
      </c>
      <c r="P612" s="8">
        <f>[1]Data!P612</f>
        <v>0.30627306273062699</v>
      </c>
      <c r="Q612" s="8">
        <f>[1]Data!Q612</f>
        <v>0</v>
      </c>
      <c r="R612" s="8">
        <f>[1]Data!R612</f>
        <v>0</v>
      </c>
      <c r="S612" s="8">
        <f>[1]Data!S612</f>
        <v>0</v>
      </c>
      <c r="T612">
        <f t="shared" si="45"/>
        <v>2.2140221402214E-2</v>
      </c>
      <c r="U612">
        <f t="shared" si="46"/>
        <v>0</v>
      </c>
      <c r="V612" s="4" t="str">
        <f t="shared" si="47"/>
        <v>0</v>
      </c>
      <c r="W612" s="4" t="str">
        <f t="shared" si="48"/>
        <v>2</v>
      </c>
      <c r="X612" s="4" t="str">
        <f t="shared" si="49"/>
        <v>0NON-HS2</v>
      </c>
      <c r="Y612">
        <f>VLOOKUP(X612,Sheet1!$J$5:$K$121,2,FALSE)</f>
        <v>0</v>
      </c>
    </row>
    <row r="613" spans="1:25" x14ac:dyDescent="0.25">
      <c r="A613" s="8">
        <f>[1]Data!A613</f>
        <v>920011</v>
      </c>
      <c r="B613" s="8">
        <f>[1]Data!B613</f>
        <v>2</v>
      </c>
      <c r="C613" s="8">
        <f>[1]Data!C613</f>
        <v>0</v>
      </c>
      <c r="D613" s="8">
        <f>[1]Data!D613</f>
        <v>5</v>
      </c>
      <c r="E613" s="8" t="str">
        <f>[1]Data!E613</f>
        <v>NON-HS</v>
      </c>
      <c r="F613" s="8" t="str">
        <f>[1]Data!F613</f>
        <v>Agua Dulce</v>
      </c>
      <c r="G613" s="8">
        <f>[1]Data!G613</f>
        <v>0</v>
      </c>
      <c r="H613" s="8">
        <f>[1]Data!H613</f>
        <v>0</v>
      </c>
      <c r="I613" s="8">
        <f>[1]Data!I613</f>
        <v>1.9259999999999999</v>
      </c>
      <c r="J613" s="8">
        <f>[1]Data!J613</f>
        <v>1.90487994</v>
      </c>
      <c r="K613" s="8">
        <f>[1]Data!K613</f>
        <v>1.90487994</v>
      </c>
      <c r="L613" s="8">
        <f>[1]Data!L613</f>
        <v>2.0625322082585301E-2</v>
      </c>
      <c r="M613" s="8">
        <f>[1]Data!M613</f>
        <v>1.9255052620825901</v>
      </c>
      <c r="N613" s="8">
        <f>[1]Data!N613</f>
        <v>2.2140221402214E-2</v>
      </c>
      <c r="O613" s="8">
        <f>[1]Data!O613</f>
        <v>0</v>
      </c>
      <c r="P613" s="8">
        <f>[1]Data!P613</f>
        <v>0.30627306273062699</v>
      </c>
      <c r="Q613" s="8">
        <f>[1]Data!Q613</f>
        <v>0</v>
      </c>
      <c r="R613" s="8">
        <f>[1]Data!R613</f>
        <v>0</v>
      </c>
      <c r="S613" s="8">
        <f>[1]Data!S613</f>
        <v>0</v>
      </c>
      <c r="T613">
        <f t="shared" si="45"/>
        <v>2.2140221402214E-2</v>
      </c>
      <c r="U613">
        <f t="shared" si="46"/>
        <v>0</v>
      </c>
      <c r="V613" s="4" t="str">
        <f t="shared" si="47"/>
        <v>0</v>
      </c>
      <c r="W613" s="4" t="str">
        <f t="shared" si="48"/>
        <v>2</v>
      </c>
      <c r="X613" s="4" t="str">
        <f t="shared" si="49"/>
        <v>0NON-HS2</v>
      </c>
      <c r="Y613">
        <f>VLOOKUP(X613,Sheet1!$J$5:$K$121,2,FALSE)</f>
        <v>0</v>
      </c>
    </row>
    <row r="614" spans="1:25" x14ac:dyDescent="0.25">
      <c r="A614" s="8">
        <f>[1]Data!A614</f>
        <v>800326</v>
      </c>
      <c r="B614" s="8">
        <f>[1]Data!B614</f>
        <v>2</v>
      </c>
      <c r="C614" s="8">
        <f>[1]Data!C614</f>
        <v>0</v>
      </c>
      <c r="D614" s="8">
        <f>[1]Data!D614</f>
        <v>3</v>
      </c>
      <c r="E614" s="8" t="str">
        <f>[1]Data!E614</f>
        <v>NON-HS</v>
      </c>
      <c r="F614" s="8" t="str">
        <f>[1]Data!F614</f>
        <v>Westlake Village</v>
      </c>
      <c r="G614" s="8">
        <f>[1]Data!G614</f>
        <v>0</v>
      </c>
      <c r="H614" s="8">
        <f>[1]Data!H614</f>
        <v>0</v>
      </c>
      <c r="I614" s="8">
        <f>[1]Data!I614</f>
        <v>3.5910000000000002</v>
      </c>
      <c r="J614" s="8">
        <f>[1]Data!J614</f>
        <v>1.43919657</v>
      </c>
      <c r="K614" s="8">
        <f>[1]Data!K614</f>
        <v>3.43919657</v>
      </c>
      <c r="L614" s="8">
        <f>[1]Data!L614</f>
        <v>0.15145200614003601</v>
      </c>
      <c r="M614" s="8">
        <f>[1]Data!M614</f>
        <v>3.59064857614004</v>
      </c>
      <c r="N614" s="8">
        <f>[1]Data!N614</f>
        <v>2.2140221402214E-2</v>
      </c>
      <c r="O614" s="8">
        <f>[1]Data!O614</f>
        <v>0</v>
      </c>
      <c r="P614" s="8">
        <f>[1]Data!P614</f>
        <v>0.30627306273062699</v>
      </c>
      <c r="Q614" s="8">
        <f>[1]Data!Q614</f>
        <v>0</v>
      </c>
      <c r="R614" s="8">
        <f>[1]Data!R614</f>
        <v>0</v>
      </c>
      <c r="S614" s="8">
        <f>[1]Data!S614</f>
        <v>0</v>
      </c>
      <c r="T614">
        <f t="shared" si="45"/>
        <v>2.2140221402214E-2</v>
      </c>
      <c r="U614">
        <f t="shared" si="46"/>
        <v>0</v>
      </c>
      <c r="V614" s="4" t="str">
        <f t="shared" si="47"/>
        <v>0</v>
      </c>
      <c r="W614" s="4" t="str">
        <f t="shared" si="48"/>
        <v>2</v>
      </c>
      <c r="X614" s="4" t="str">
        <f t="shared" si="49"/>
        <v>0NON-HS2</v>
      </c>
      <c r="Y614">
        <f>VLOOKUP(X614,Sheet1!$J$5:$K$121,2,FALSE)</f>
        <v>0</v>
      </c>
    </row>
    <row r="615" spans="1:25" x14ac:dyDescent="0.25">
      <c r="A615" s="8">
        <f>[1]Data!A615</f>
        <v>920114</v>
      </c>
      <c r="B615" s="8">
        <f>[1]Data!B615</f>
        <v>2</v>
      </c>
      <c r="C615" s="8">
        <f>[1]Data!C615</f>
        <v>0</v>
      </c>
      <c r="D615" s="8">
        <f>[1]Data!D615</f>
        <v>5</v>
      </c>
      <c r="E615" s="8" t="str">
        <f>[1]Data!E615</f>
        <v>NON-HS</v>
      </c>
      <c r="F615" s="8" t="str">
        <f>[1]Data!F615</f>
        <v>Santa Clarita</v>
      </c>
      <c r="G615" s="8">
        <f>[1]Data!G615</f>
        <v>0</v>
      </c>
      <c r="H615" s="8">
        <f>[1]Data!H615</f>
        <v>0</v>
      </c>
      <c r="I615" s="8">
        <f>[1]Data!I615</f>
        <v>0</v>
      </c>
      <c r="J615" s="8">
        <f>[1]Data!J615</f>
        <v>0</v>
      </c>
      <c r="K615" s="8">
        <f>[1]Data!K615</f>
        <v>0</v>
      </c>
      <c r="L615" s="8">
        <f>[1]Data!L615</f>
        <v>0</v>
      </c>
      <c r="M615" s="8">
        <f>[1]Data!M615</f>
        <v>0</v>
      </c>
      <c r="N615" s="8">
        <f>[1]Data!N615</f>
        <v>2.2140221402214E-2</v>
      </c>
      <c r="O615" s="8">
        <f>[1]Data!O615</f>
        <v>0</v>
      </c>
      <c r="P615" s="8">
        <f>[1]Data!P615</f>
        <v>0.30627306273062699</v>
      </c>
      <c r="Q615" s="8">
        <f>[1]Data!Q615</f>
        <v>0</v>
      </c>
      <c r="R615" s="8">
        <f>[1]Data!R615</f>
        <v>0</v>
      </c>
      <c r="S615" s="8">
        <f>[1]Data!S615</f>
        <v>0</v>
      </c>
      <c r="T615">
        <f t="shared" si="45"/>
        <v>2.2140221402214E-2</v>
      </c>
      <c r="U615">
        <f t="shared" si="46"/>
        <v>0</v>
      </c>
      <c r="V615" s="4" t="str">
        <f t="shared" si="47"/>
        <v>0</v>
      </c>
      <c r="W615" s="4" t="str">
        <f t="shared" si="48"/>
        <v>2</v>
      </c>
      <c r="X615" s="4" t="str">
        <f t="shared" si="49"/>
        <v>0NON-HS2</v>
      </c>
      <c r="Y615">
        <f>VLOOKUP(X615,Sheet1!$J$5:$K$121,2,FALSE)</f>
        <v>0</v>
      </c>
    </row>
    <row r="616" spans="1:25" x14ac:dyDescent="0.25">
      <c r="A616" s="8">
        <f>[1]Data!A616</f>
        <v>320100</v>
      </c>
      <c r="B616" s="8">
        <f>[1]Data!B616</f>
        <v>2</v>
      </c>
      <c r="C616" s="8">
        <f>[1]Data!C616</f>
        <v>0</v>
      </c>
      <c r="D616" s="8">
        <f>[1]Data!D616</f>
        <v>3</v>
      </c>
      <c r="E616" s="8" t="str">
        <f>[1]Data!E616</f>
        <v>NON-HS</v>
      </c>
      <c r="F616" s="8" t="str">
        <f>[1]Data!F616</f>
        <v>San Fernando</v>
      </c>
      <c r="G616" s="8">
        <f>[1]Data!G616</f>
        <v>0</v>
      </c>
      <c r="H616" s="8">
        <f>[1]Data!H616</f>
        <v>0</v>
      </c>
      <c r="I616" s="8">
        <f>[1]Data!I616</f>
        <v>5.19</v>
      </c>
      <c r="J616" s="8">
        <f>[1]Data!J616</f>
        <v>3.9673993200000002</v>
      </c>
      <c r="K616" s="8">
        <f>[1]Data!K616</f>
        <v>4.9673993200000002</v>
      </c>
      <c r="L616" s="8">
        <f>[1]Data!L616</f>
        <v>0.22234520276481101</v>
      </c>
      <c r="M616" s="8">
        <f>[1]Data!M616</f>
        <v>5.1897445227648102</v>
      </c>
      <c r="N616" s="8">
        <f>[1]Data!N616</f>
        <v>2.2140221402214E-2</v>
      </c>
      <c r="O616" s="8">
        <f>[1]Data!O616</f>
        <v>0</v>
      </c>
      <c r="P616" s="8">
        <f>[1]Data!P616</f>
        <v>0.30627306273062699</v>
      </c>
      <c r="Q616" s="8">
        <f>[1]Data!Q616</f>
        <v>0</v>
      </c>
      <c r="R616" s="8">
        <f>[1]Data!R616</f>
        <v>0</v>
      </c>
      <c r="S616" s="8">
        <f>[1]Data!S616</f>
        <v>0</v>
      </c>
      <c r="T616">
        <f t="shared" si="45"/>
        <v>2.2140221402214E-2</v>
      </c>
      <c r="U616">
        <f t="shared" si="46"/>
        <v>0</v>
      </c>
      <c r="V616" s="4" t="str">
        <f t="shared" si="47"/>
        <v>0</v>
      </c>
      <c r="W616" s="4" t="str">
        <f t="shared" si="48"/>
        <v>2</v>
      </c>
      <c r="X616" s="4" t="str">
        <f t="shared" si="49"/>
        <v>0NON-HS2</v>
      </c>
      <c r="Y616">
        <f>VLOOKUP(X616,Sheet1!$J$5:$K$121,2,FALSE)</f>
        <v>0</v>
      </c>
    </row>
    <row r="617" spans="1:25" x14ac:dyDescent="0.25">
      <c r="A617" s="8">
        <f>[1]Data!A617</f>
        <v>920038</v>
      </c>
      <c r="B617" s="8">
        <f>[1]Data!B617</f>
        <v>2</v>
      </c>
      <c r="C617" s="8">
        <f>[1]Data!C617</f>
        <v>0</v>
      </c>
      <c r="D617" s="8">
        <f>[1]Data!D617</f>
        <v>5</v>
      </c>
      <c r="E617" s="8" t="str">
        <f>[1]Data!E617</f>
        <v>NON-HS</v>
      </c>
      <c r="F617" s="8" t="str">
        <f>[1]Data!F617</f>
        <v>Santa Clarita</v>
      </c>
      <c r="G617" s="8">
        <f>[1]Data!G617</f>
        <v>0</v>
      </c>
      <c r="H617" s="8">
        <f>[1]Data!H617</f>
        <v>0</v>
      </c>
      <c r="I617" s="8">
        <f>[1]Data!I617</f>
        <v>1.591</v>
      </c>
      <c r="J617" s="8">
        <f>[1]Data!J617</f>
        <v>1.43919657</v>
      </c>
      <c r="K617" s="8">
        <f>[1]Data!K617</f>
        <v>1.43919657</v>
      </c>
      <c r="L617" s="8">
        <f>[1]Data!L617</f>
        <v>0.15145200614003601</v>
      </c>
      <c r="M617" s="8">
        <f>[1]Data!M617</f>
        <v>1.59064857614004</v>
      </c>
      <c r="N617" s="8">
        <f>[1]Data!N617</f>
        <v>2.2140221402214E-2</v>
      </c>
      <c r="O617" s="8">
        <f>[1]Data!O617</f>
        <v>0</v>
      </c>
      <c r="P617" s="8">
        <f>[1]Data!P617</f>
        <v>0.30627306273062699</v>
      </c>
      <c r="Q617" s="8">
        <f>[1]Data!Q617</f>
        <v>0</v>
      </c>
      <c r="R617" s="8">
        <f>[1]Data!R617</f>
        <v>0</v>
      </c>
      <c r="S617" s="8">
        <f>[1]Data!S617</f>
        <v>0</v>
      </c>
      <c r="T617">
        <f t="shared" si="45"/>
        <v>2.2140221402214E-2</v>
      </c>
      <c r="U617">
        <f t="shared" si="46"/>
        <v>0</v>
      </c>
      <c r="V617" s="4" t="str">
        <f t="shared" si="47"/>
        <v>0</v>
      </c>
      <c r="W617" s="4" t="str">
        <f t="shared" si="48"/>
        <v>2</v>
      </c>
      <c r="X617" s="4" t="str">
        <f t="shared" si="49"/>
        <v>0NON-HS2</v>
      </c>
      <c r="Y617">
        <f>VLOOKUP(X617,Sheet1!$J$5:$K$121,2,FALSE)</f>
        <v>0</v>
      </c>
    </row>
    <row r="618" spans="1:25" x14ac:dyDescent="0.25">
      <c r="A618" s="8">
        <f>[1]Data!A618</f>
        <v>310300</v>
      </c>
      <c r="B618" s="8">
        <f>[1]Data!B618</f>
        <v>2</v>
      </c>
      <c r="C618" s="8">
        <f>[1]Data!C618</f>
        <v>0</v>
      </c>
      <c r="D618" s="8">
        <f>[1]Data!D618</f>
        <v>5</v>
      </c>
      <c r="E618" s="8" t="str">
        <f>[1]Data!E618</f>
        <v>NON-HS</v>
      </c>
      <c r="F618" s="8" t="str">
        <f>[1]Data!F618</f>
        <v>Burbank</v>
      </c>
      <c r="G618" s="8">
        <f>[1]Data!G618</f>
        <v>0</v>
      </c>
      <c r="H618" s="8">
        <f>[1]Data!H618</f>
        <v>0</v>
      </c>
      <c r="I618" s="8">
        <f>[1]Data!I618</f>
        <v>1</v>
      </c>
      <c r="J618" s="8">
        <f>[1]Data!J618</f>
        <v>0</v>
      </c>
      <c r="K618" s="8">
        <f>[1]Data!K618</f>
        <v>1</v>
      </c>
      <c r="L618" s="8">
        <f>[1]Data!L618</f>
        <v>0</v>
      </c>
      <c r="M618" s="8">
        <f>[1]Data!M618</f>
        <v>1</v>
      </c>
      <c r="N618" s="8">
        <f>[1]Data!N618</f>
        <v>2.2140221402214E-2</v>
      </c>
      <c r="O618" s="8">
        <f>[1]Data!O618</f>
        <v>0</v>
      </c>
      <c r="P618" s="8">
        <f>[1]Data!P618</f>
        <v>0.30627306273062699</v>
      </c>
      <c r="Q618" s="8">
        <f>[1]Data!Q618</f>
        <v>0</v>
      </c>
      <c r="R618" s="8">
        <f>[1]Data!R618</f>
        <v>0</v>
      </c>
      <c r="S618" s="8">
        <f>[1]Data!S618</f>
        <v>0</v>
      </c>
      <c r="T618">
        <f t="shared" si="45"/>
        <v>2.2140221402214E-2</v>
      </c>
      <c r="U618">
        <f t="shared" si="46"/>
        <v>0</v>
      </c>
      <c r="V618" s="4" t="str">
        <f t="shared" si="47"/>
        <v>0</v>
      </c>
      <c r="W618" s="4" t="str">
        <f t="shared" si="48"/>
        <v>2</v>
      </c>
      <c r="X618" s="4" t="str">
        <f t="shared" si="49"/>
        <v>0NON-HS2</v>
      </c>
      <c r="Y618">
        <f>VLOOKUP(X618,Sheet1!$J$5:$K$121,2,FALSE)</f>
        <v>0</v>
      </c>
    </row>
    <row r="619" spans="1:25" x14ac:dyDescent="0.25">
      <c r="A619" s="8">
        <f>[1]Data!A619</f>
        <v>910807</v>
      </c>
      <c r="B619" s="8">
        <f>[1]Data!B619</f>
        <v>2</v>
      </c>
      <c r="C619" s="8">
        <f>[1]Data!C619</f>
        <v>0</v>
      </c>
      <c r="D619" s="8">
        <f>[1]Data!D619</f>
        <v>5</v>
      </c>
      <c r="E619" s="8" t="str">
        <f>[1]Data!E619</f>
        <v>NON-HS</v>
      </c>
      <c r="F619" s="8" t="str">
        <f>[1]Data!F619</f>
        <v>Santa Clarita</v>
      </c>
      <c r="G619" s="8">
        <f>[1]Data!G619</f>
        <v>0</v>
      </c>
      <c r="H619" s="8">
        <f>[1]Data!H619</f>
        <v>0</v>
      </c>
      <c r="I619" s="8">
        <f>[1]Data!I619</f>
        <v>3.399</v>
      </c>
      <c r="J619" s="8">
        <f>[1]Data!J619</f>
        <v>3.1723287400000002</v>
      </c>
      <c r="K619" s="8">
        <f>[1]Data!K619</f>
        <v>3.1723287400000002</v>
      </c>
      <c r="L619" s="8">
        <f>[1]Data!L619</f>
        <v>0.22643751642728899</v>
      </c>
      <c r="M619" s="8">
        <f>[1]Data!M619</f>
        <v>3.3987662564272898</v>
      </c>
      <c r="N619" s="8">
        <f>[1]Data!N619</f>
        <v>2.2140221402214E-2</v>
      </c>
      <c r="O619" s="8">
        <f>[1]Data!O619</f>
        <v>0</v>
      </c>
      <c r="P619" s="8">
        <f>[1]Data!P619</f>
        <v>0.30627306273062699</v>
      </c>
      <c r="Q619" s="8">
        <f>[1]Data!Q619</f>
        <v>0</v>
      </c>
      <c r="R619" s="8">
        <f>[1]Data!R619</f>
        <v>0</v>
      </c>
      <c r="S619" s="8">
        <f>[1]Data!S619</f>
        <v>0</v>
      </c>
      <c r="T619">
        <f t="shared" si="45"/>
        <v>2.2140221402214E-2</v>
      </c>
      <c r="U619">
        <f t="shared" si="46"/>
        <v>0</v>
      </c>
      <c r="V619" s="4" t="str">
        <f t="shared" si="47"/>
        <v>0</v>
      </c>
      <c r="W619" s="4" t="str">
        <f t="shared" si="48"/>
        <v>2</v>
      </c>
      <c r="X619" s="4" t="str">
        <f t="shared" si="49"/>
        <v>0NON-HS2</v>
      </c>
      <c r="Y619">
        <f>VLOOKUP(X619,Sheet1!$J$5:$K$121,2,FALSE)</f>
        <v>0</v>
      </c>
    </row>
    <row r="620" spans="1:25" x14ac:dyDescent="0.25">
      <c r="A620" s="8">
        <f>[1]Data!A620</f>
        <v>920322</v>
      </c>
      <c r="B620" s="8">
        <f>[1]Data!B620</f>
        <v>2</v>
      </c>
      <c r="C620" s="8">
        <f>[1]Data!C620</f>
        <v>0</v>
      </c>
      <c r="D620" s="8">
        <f>[1]Data!D620</f>
        <v>5</v>
      </c>
      <c r="E620" s="8" t="str">
        <f>[1]Data!E620</f>
        <v>NON-HS</v>
      </c>
      <c r="F620" s="8" t="str">
        <f>[1]Data!F620</f>
        <v>Santa Clarita</v>
      </c>
      <c r="G620" s="8">
        <f>[1]Data!G620</f>
        <v>0</v>
      </c>
      <c r="H620" s="8">
        <f>[1]Data!H620</f>
        <v>0</v>
      </c>
      <c r="I620" s="8">
        <f>[1]Data!I620</f>
        <v>0</v>
      </c>
      <c r="J620" s="8">
        <f>[1]Data!J620</f>
        <v>0</v>
      </c>
      <c r="K620" s="8">
        <f>[1]Data!K620</f>
        <v>0</v>
      </c>
      <c r="L620" s="8">
        <f>[1]Data!L620</f>
        <v>0</v>
      </c>
      <c r="M620" s="8">
        <f>[1]Data!M620</f>
        <v>0</v>
      </c>
      <c r="N620" s="8">
        <f>[1]Data!N620</f>
        <v>2.2140221402214E-2</v>
      </c>
      <c r="O620" s="8">
        <f>[1]Data!O620</f>
        <v>0</v>
      </c>
      <c r="P620" s="8">
        <f>[1]Data!P620</f>
        <v>0.30627306273062699</v>
      </c>
      <c r="Q620" s="8">
        <f>[1]Data!Q620</f>
        <v>0</v>
      </c>
      <c r="R620" s="8">
        <f>[1]Data!R620</f>
        <v>0</v>
      </c>
      <c r="S620" s="8">
        <f>[1]Data!S620</f>
        <v>0</v>
      </c>
      <c r="T620">
        <f t="shared" si="45"/>
        <v>2.2140221402214E-2</v>
      </c>
      <c r="U620">
        <f t="shared" si="46"/>
        <v>0</v>
      </c>
      <c r="V620" s="4" t="str">
        <f t="shared" si="47"/>
        <v>0</v>
      </c>
      <c r="W620" s="4" t="str">
        <f t="shared" si="48"/>
        <v>2</v>
      </c>
      <c r="X620" s="4" t="str">
        <f t="shared" si="49"/>
        <v>0NON-HS2</v>
      </c>
      <c r="Y620">
        <f>VLOOKUP(X620,Sheet1!$J$5:$K$121,2,FALSE)</f>
        <v>0</v>
      </c>
    </row>
    <row r="621" spans="1:25" x14ac:dyDescent="0.25">
      <c r="A621" s="8">
        <f>[1]Data!A621</f>
        <v>920118</v>
      </c>
      <c r="B621" s="8">
        <f>[1]Data!B621</f>
        <v>2</v>
      </c>
      <c r="C621" s="8">
        <f>[1]Data!C621</f>
        <v>0</v>
      </c>
      <c r="D621" s="8">
        <f>[1]Data!D621</f>
        <v>5</v>
      </c>
      <c r="E621" s="8" t="str">
        <f>[1]Data!E621</f>
        <v>NON-HS</v>
      </c>
      <c r="F621" s="8" t="str">
        <f>[1]Data!F621</f>
        <v>Agua Dulce</v>
      </c>
      <c r="G621" s="8">
        <f>[1]Data!G621</f>
        <v>0</v>
      </c>
      <c r="H621" s="8">
        <f>[1]Data!H621</f>
        <v>0</v>
      </c>
      <c r="I621" s="8">
        <f>[1]Data!I621</f>
        <v>0</v>
      </c>
      <c r="J621" s="8">
        <f>[1]Data!J621</f>
        <v>0</v>
      </c>
      <c r="K621" s="8">
        <f>[1]Data!K621</f>
        <v>0</v>
      </c>
      <c r="L621" s="8">
        <f>[1]Data!L621</f>
        <v>0</v>
      </c>
      <c r="M621" s="8">
        <f>[1]Data!M621</f>
        <v>0</v>
      </c>
      <c r="N621" s="8">
        <f>[1]Data!N621</f>
        <v>2.2140221402214E-2</v>
      </c>
      <c r="O621" s="8">
        <f>[1]Data!O621</f>
        <v>0</v>
      </c>
      <c r="P621" s="8">
        <f>[1]Data!P621</f>
        <v>0.30627306273062699</v>
      </c>
      <c r="Q621" s="8">
        <f>[1]Data!Q621</f>
        <v>0</v>
      </c>
      <c r="R621" s="8">
        <f>[1]Data!R621</f>
        <v>0</v>
      </c>
      <c r="S621" s="8">
        <f>[1]Data!S621</f>
        <v>0</v>
      </c>
      <c r="T621">
        <f t="shared" si="45"/>
        <v>2.2140221402214E-2</v>
      </c>
      <c r="U621">
        <f t="shared" si="46"/>
        <v>0</v>
      </c>
      <c r="V621" s="4" t="str">
        <f t="shared" si="47"/>
        <v>0</v>
      </c>
      <c r="W621" s="4" t="str">
        <f t="shared" si="48"/>
        <v>2</v>
      </c>
      <c r="X621" s="4" t="str">
        <f t="shared" si="49"/>
        <v>0NON-HS2</v>
      </c>
      <c r="Y621">
        <f>VLOOKUP(X621,Sheet1!$J$5:$K$121,2,FALSE)</f>
        <v>0</v>
      </c>
    </row>
    <row r="622" spans="1:25" x14ac:dyDescent="0.25">
      <c r="A622" s="8">
        <f>[1]Data!A622</f>
        <v>920015</v>
      </c>
      <c r="B622" s="8">
        <f>[1]Data!B622</f>
        <v>2</v>
      </c>
      <c r="C622" s="8">
        <f>[1]Data!C622</f>
        <v>0</v>
      </c>
      <c r="D622" s="8">
        <f>[1]Data!D622</f>
        <v>5</v>
      </c>
      <c r="E622" s="8" t="str">
        <f>[1]Data!E622</f>
        <v>NON-HS</v>
      </c>
      <c r="F622" s="8" t="str">
        <f>[1]Data!F622</f>
        <v>Santa Clarita</v>
      </c>
      <c r="G622" s="8">
        <f>[1]Data!G622</f>
        <v>0</v>
      </c>
      <c r="H622" s="8">
        <f>[1]Data!H622</f>
        <v>0</v>
      </c>
      <c r="I622" s="8">
        <f>[1]Data!I622</f>
        <v>7.2569999999999997</v>
      </c>
      <c r="J622" s="8">
        <f>[1]Data!J622</f>
        <v>7.1723431199999998</v>
      </c>
      <c r="K622" s="8">
        <f>[1]Data!K622</f>
        <v>7.1723431199999998</v>
      </c>
      <c r="L622" s="8">
        <f>[1]Data!L622</f>
        <v>8.4234507684021506E-2</v>
      </c>
      <c r="M622" s="8">
        <f>[1]Data!M622</f>
        <v>7.2565776276840204</v>
      </c>
      <c r="N622" s="8">
        <f>[1]Data!N622</f>
        <v>2.2140221402214E-2</v>
      </c>
      <c r="O622" s="8">
        <f>[1]Data!O622</f>
        <v>0</v>
      </c>
      <c r="P622" s="8">
        <f>[1]Data!P622</f>
        <v>0.30627306273062699</v>
      </c>
      <c r="Q622" s="8">
        <f>[1]Data!Q622</f>
        <v>0</v>
      </c>
      <c r="R622" s="8">
        <f>[1]Data!R622</f>
        <v>0</v>
      </c>
      <c r="S622" s="8">
        <f>[1]Data!S622</f>
        <v>0</v>
      </c>
      <c r="T622">
        <f t="shared" si="45"/>
        <v>2.2140221402214E-2</v>
      </c>
      <c r="U622">
        <f t="shared" si="46"/>
        <v>0</v>
      </c>
      <c r="V622" s="4" t="str">
        <f t="shared" si="47"/>
        <v>0</v>
      </c>
      <c r="W622" s="4" t="str">
        <f t="shared" si="48"/>
        <v>2</v>
      </c>
      <c r="X622" s="4" t="str">
        <f t="shared" si="49"/>
        <v>0NON-HS2</v>
      </c>
      <c r="Y622">
        <f>VLOOKUP(X622,Sheet1!$J$5:$K$121,2,FALSE)</f>
        <v>0</v>
      </c>
    </row>
    <row r="623" spans="1:25" x14ac:dyDescent="0.25">
      <c r="A623" s="8">
        <f>[1]Data!A623</f>
        <v>310601</v>
      </c>
      <c r="B623" s="8">
        <f>[1]Data!B623</f>
        <v>2</v>
      </c>
      <c r="C623" s="8">
        <f>[1]Data!C623</f>
        <v>0</v>
      </c>
      <c r="D623" s="8">
        <f>[1]Data!D623</f>
        <v>5</v>
      </c>
      <c r="E623" s="8" t="str">
        <f>[1]Data!E623</f>
        <v>NON-HS</v>
      </c>
      <c r="F623" s="8" t="str">
        <f>[1]Data!F623</f>
        <v>Burbank</v>
      </c>
      <c r="G623" s="8">
        <f>[1]Data!G623</f>
        <v>0</v>
      </c>
      <c r="H623" s="8">
        <f>[1]Data!H623</f>
        <v>0</v>
      </c>
      <c r="I623" s="8">
        <f>[1]Data!I623</f>
        <v>5.734</v>
      </c>
      <c r="J623" s="8">
        <f>[1]Data!J623</f>
        <v>3.63801211</v>
      </c>
      <c r="K623" s="8">
        <f>[1]Data!K623</f>
        <v>5.63801211</v>
      </c>
      <c r="L623" s="8">
        <f>[1]Data!L623</f>
        <v>9.5610832369838403E-2</v>
      </c>
      <c r="M623" s="8">
        <f>[1]Data!M623</f>
        <v>5.7336229423698404</v>
      </c>
      <c r="N623" s="8">
        <f>[1]Data!N623</f>
        <v>2.2140221402214E-2</v>
      </c>
      <c r="O623" s="8">
        <f>[1]Data!O623</f>
        <v>0</v>
      </c>
      <c r="P623" s="8">
        <f>[1]Data!P623</f>
        <v>0.30627306273062699</v>
      </c>
      <c r="Q623" s="8">
        <f>[1]Data!Q623</f>
        <v>0</v>
      </c>
      <c r="R623" s="8">
        <f>[1]Data!R623</f>
        <v>0</v>
      </c>
      <c r="S623" s="8">
        <f>[1]Data!S623</f>
        <v>0</v>
      </c>
      <c r="T623">
        <f t="shared" si="45"/>
        <v>2.2140221402214E-2</v>
      </c>
      <c r="U623">
        <f t="shared" si="46"/>
        <v>0</v>
      </c>
      <c r="V623" s="4" t="str">
        <f t="shared" si="47"/>
        <v>0</v>
      </c>
      <c r="W623" s="4" t="str">
        <f t="shared" si="48"/>
        <v>2</v>
      </c>
      <c r="X623" s="4" t="str">
        <f t="shared" si="49"/>
        <v>0NON-HS2</v>
      </c>
      <c r="Y623">
        <f>VLOOKUP(X623,Sheet1!$J$5:$K$121,2,FALSE)</f>
        <v>0</v>
      </c>
    </row>
    <row r="624" spans="1:25" x14ac:dyDescent="0.25">
      <c r="A624" s="8">
        <f>[1]Data!A624</f>
        <v>920044</v>
      </c>
      <c r="B624" s="8">
        <f>[1]Data!B624</f>
        <v>2</v>
      </c>
      <c r="C624" s="8">
        <f>[1]Data!C624</f>
        <v>0</v>
      </c>
      <c r="D624" s="8">
        <f>[1]Data!D624</f>
        <v>5</v>
      </c>
      <c r="E624" s="8" t="str">
        <f>[1]Data!E624</f>
        <v>NON-HS</v>
      </c>
      <c r="F624" s="8" t="str">
        <f>[1]Data!F624</f>
        <v>Santa Clarita</v>
      </c>
      <c r="G624" s="8">
        <f>[1]Data!G624</f>
        <v>0</v>
      </c>
      <c r="H624" s="8">
        <f>[1]Data!H624</f>
        <v>0</v>
      </c>
      <c r="I624" s="8">
        <f>[1]Data!I624</f>
        <v>0</v>
      </c>
      <c r="J624" s="8">
        <f>[1]Data!J624</f>
        <v>0</v>
      </c>
      <c r="K624" s="8">
        <f>[1]Data!K624</f>
        <v>0</v>
      </c>
      <c r="L624" s="8">
        <f>[1]Data!L624</f>
        <v>0</v>
      </c>
      <c r="M624" s="8">
        <f>[1]Data!M624</f>
        <v>0</v>
      </c>
      <c r="N624" s="8">
        <f>[1]Data!N624</f>
        <v>2.2140221402214E-2</v>
      </c>
      <c r="O624" s="8">
        <f>[1]Data!O624</f>
        <v>0</v>
      </c>
      <c r="P624" s="8">
        <f>[1]Data!P624</f>
        <v>0.30627306273062699</v>
      </c>
      <c r="Q624" s="8">
        <f>[1]Data!Q624</f>
        <v>0</v>
      </c>
      <c r="R624" s="8">
        <f>[1]Data!R624</f>
        <v>0</v>
      </c>
      <c r="S624" s="8">
        <f>[1]Data!S624</f>
        <v>0</v>
      </c>
      <c r="T624">
        <f t="shared" si="45"/>
        <v>2.2140221402214E-2</v>
      </c>
      <c r="U624">
        <f t="shared" si="46"/>
        <v>0</v>
      </c>
      <c r="V624" s="4" t="str">
        <f t="shared" si="47"/>
        <v>0</v>
      </c>
      <c r="W624" s="4" t="str">
        <f t="shared" si="48"/>
        <v>2</v>
      </c>
      <c r="X624" s="4" t="str">
        <f t="shared" si="49"/>
        <v>0NON-HS2</v>
      </c>
      <c r="Y624">
        <f>VLOOKUP(X624,Sheet1!$J$5:$K$121,2,FALSE)</f>
        <v>0</v>
      </c>
    </row>
    <row r="625" spans="1:25" x14ac:dyDescent="0.25">
      <c r="A625" s="8">
        <f>[1]Data!A625</f>
        <v>920328</v>
      </c>
      <c r="B625" s="8">
        <f>[1]Data!B625</f>
        <v>2</v>
      </c>
      <c r="C625" s="8">
        <f>[1]Data!C625</f>
        <v>0</v>
      </c>
      <c r="D625" s="8">
        <f>[1]Data!D625</f>
        <v>5</v>
      </c>
      <c r="E625" s="8" t="str">
        <f>[1]Data!E625</f>
        <v>NON-HS</v>
      </c>
      <c r="F625" s="8" t="str">
        <f>[1]Data!F625</f>
        <v>Santa Clarita</v>
      </c>
      <c r="G625" s="8">
        <f>[1]Data!G625</f>
        <v>0</v>
      </c>
      <c r="H625" s="8">
        <f>[1]Data!H625</f>
        <v>0</v>
      </c>
      <c r="I625" s="8">
        <f>[1]Data!I625</f>
        <v>2.0950000000000002</v>
      </c>
      <c r="J625" s="8">
        <f>[1]Data!J625</f>
        <v>1.9836996600000001</v>
      </c>
      <c r="K625" s="8">
        <f>[1]Data!K625</f>
        <v>1.9836996600000001</v>
      </c>
      <c r="L625" s="8">
        <f>[1]Data!L625</f>
        <v>0.11117260138240601</v>
      </c>
      <c r="M625" s="8">
        <f>[1]Data!M625</f>
        <v>2.09487226138241</v>
      </c>
      <c r="N625" s="8">
        <f>[1]Data!N625</f>
        <v>2.2140221402214E-2</v>
      </c>
      <c r="O625" s="8">
        <f>[1]Data!O625</f>
        <v>0</v>
      </c>
      <c r="P625" s="8">
        <f>[1]Data!P625</f>
        <v>0.30627306273062699</v>
      </c>
      <c r="Q625" s="8">
        <f>[1]Data!Q625</f>
        <v>0</v>
      </c>
      <c r="R625" s="8">
        <f>[1]Data!R625</f>
        <v>0</v>
      </c>
      <c r="S625" s="8">
        <f>[1]Data!S625</f>
        <v>0</v>
      </c>
      <c r="T625">
        <f t="shared" si="45"/>
        <v>2.2140221402214E-2</v>
      </c>
      <c r="U625">
        <f t="shared" si="46"/>
        <v>0</v>
      </c>
      <c r="V625" s="4" t="str">
        <f t="shared" si="47"/>
        <v>0</v>
      </c>
      <c r="W625" s="4" t="str">
        <f t="shared" si="48"/>
        <v>2</v>
      </c>
      <c r="X625" s="4" t="str">
        <f t="shared" si="49"/>
        <v>0NON-HS2</v>
      </c>
      <c r="Y625">
        <f>VLOOKUP(X625,Sheet1!$J$5:$K$121,2,FALSE)</f>
        <v>0</v>
      </c>
    </row>
    <row r="626" spans="1:25" x14ac:dyDescent="0.25">
      <c r="A626" s="8">
        <f>[1]Data!A626</f>
        <v>920338</v>
      </c>
      <c r="B626" s="8">
        <f>[1]Data!B626</f>
        <v>2</v>
      </c>
      <c r="C626" s="8">
        <f>[1]Data!C626</f>
        <v>0</v>
      </c>
      <c r="D626" s="8">
        <f>[1]Data!D626</f>
        <v>5</v>
      </c>
      <c r="E626" s="8" t="str">
        <f>[1]Data!E626</f>
        <v>NON-HS</v>
      </c>
      <c r="F626" s="8" t="str">
        <f>[1]Data!F626</f>
        <v>Stevenson Ranch</v>
      </c>
      <c r="G626" s="8">
        <f>[1]Data!G626</f>
        <v>0</v>
      </c>
      <c r="H626" s="8">
        <f>[1]Data!H626</f>
        <v>0</v>
      </c>
      <c r="I626" s="8">
        <f>[1]Data!I626</f>
        <v>0</v>
      </c>
      <c r="J626" s="8">
        <f>[1]Data!J626</f>
        <v>0</v>
      </c>
      <c r="K626" s="8">
        <f>[1]Data!K626</f>
        <v>0</v>
      </c>
      <c r="L626" s="8">
        <f>[1]Data!L626</f>
        <v>0</v>
      </c>
      <c r="M626" s="8">
        <f>[1]Data!M626</f>
        <v>0</v>
      </c>
      <c r="N626" s="8">
        <f>[1]Data!N626</f>
        <v>2.2140221402214E-2</v>
      </c>
      <c r="O626" s="8">
        <f>[1]Data!O626</f>
        <v>0</v>
      </c>
      <c r="P626" s="8">
        <f>[1]Data!P626</f>
        <v>0.30627306273062699</v>
      </c>
      <c r="Q626" s="8">
        <f>[1]Data!Q626</f>
        <v>0</v>
      </c>
      <c r="R626" s="8">
        <f>[1]Data!R626</f>
        <v>0</v>
      </c>
      <c r="S626" s="8">
        <f>[1]Data!S626</f>
        <v>0</v>
      </c>
      <c r="T626">
        <f t="shared" si="45"/>
        <v>2.2140221402214E-2</v>
      </c>
      <c r="U626">
        <f t="shared" si="46"/>
        <v>0</v>
      </c>
      <c r="V626" s="4" t="str">
        <f t="shared" si="47"/>
        <v>0</v>
      </c>
      <c r="W626" s="4" t="str">
        <f t="shared" si="48"/>
        <v>2</v>
      </c>
      <c r="X626" s="4" t="str">
        <f t="shared" si="49"/>
        <v>0NON-HS2</v>
      </c>
      <c r="Y626">
        <f>VLOOKUP(X626,Sheet1!$J$5:$K$121,2,FALSE)</f>
        <v>0</v>
      </c>
    </row>
    <row r="627" spans="1:25" x14ac:dyDescent="0.25">
      <c r="A627" s="8">
        <f>[1]Data!A627</f>
        <v>920339</v>
      </c>
      <c r="B627" s="8">
        <f>[1]Data!B627</f>
        <v>2</v>
      </c>
      <c r="C627" s="8">
        <f>[1]Data!C627</f>
        <v>0</v>
      </c>
      <c r="D627" s="8">
        <f>[1]Data!D627</f>
        <v>5</v>
      </c>
      <c r="E627" s="8" t="str">
        <f>[1]Data!E627</f>
        <v>NON-HS</v>
      </c>
      <c r="F627" s="8" t="str">
        <f>[1]Data!F627</f>
        <v>Stevenson Ranch</v>
      </c>
      <c r="G627" s="8">
        <f>[1]Data!G627</f>
        <v>0</v>
      </c>
      <c r="H627" s="8">
        <f>[1]Data!H627</f>
        <v>0</v>
      </c>
      <c r="I627" s="8">
        <f>[1]Data!I627</f>
        <v>1.591</v>
      </c>
      <c r="J627" s="8">
        <f>[1]Data!J627</f>
        <v>1.43919657</v>
      </c>
      <c r="K627" s="8">
        <f>[1]Data!K627</f>
        <v>1.43919657</v>
      </c>
      <c r="L627" s="8">
        <f>[1]Data!L627</f>
        <v>0.15145200614003601</v>
      </c>
      <c r="M627" s="8">
        <f>[1]Data!M627</f>
        <v>1.59064857614004</v>
      </c>
      <c r="N627" s="8">
        <f>[1]Data!N627</f>
        <v>2.2140221402214E-2</v>
      </c>
      <c r="O627" s="8">
        <f>[1]Data!O627</f>
        <v>0</v>
      </c>
      <c r="P627" s="8">
        <f>[1]Data!P627</f>
        <v>0.30627306273062699</v>
      </c>
      <c r="Q627" s="8">
        <f>[1]Data!Q627</f>
        <v>0</v>
      </c>
      <c r="R627" s="8">
        <f>[1]Data!R627</f>
        <v>0</v>
      </c>
      <c r="S627" s="8">
        <f>[1]Data!S627</f>
        <v>0</v>
      </c>
      <c r="T627">
        <f t="shared" si="45"/>
        <v>2.2140221402214E-2</v>
      </c>
      <c r="U627">
        <f t="shared" si="46"/>
        <v>0</v>
      </c>
      <c r="V627" s="4" t="str">
        <f t="shared" si="47"/>
        <v>0</v>
      </c>
      <c r="W627" s="4" t="str">
        <f t="shared" si="48"/>
        <v>2</v>
      </c>
      <c r="X627" s="4" t="str">
        <f t="shared" si="49"/>
        <v>0NON-HS2</v>
      </c>
      <c r="Y627">
        <f>VLOOKUP(X627,Sheet1!$J$5:$K$121,2,FALSE)</f>
        <v>0</v>
      </c>
    </row>
    <row r="628" spans="1:25" x14ac:dyDescent="0.25">
      <c r="A628" s="8">
        <f>[1]Data!A628</f>
        <v>800204</v>
      </c>
      <c r="B628" s="8">
        <f>[1]Data!B628</f>
        <v>2</v>
      </c>
      <c r="C628" s="8">
        <f>[1]Data!C628</f>
        <v>0</v>
      </c>
      <c r="D628" s="8">
        <f>[1]Data!D628</f>
        <v>3</v>
      </c>
      <c r="E628" s="8" t="str">
        <f>[1]Data!E628</f>
        <v>NON-HS</v>
      </c>
      <c r="F628" s="8" t="str">
        <f>[1]Data!F628</f>
        <v>Calabasas and Hidden Hills</v>
      </c>
      <c r="G628" s="8">
        <f>[1]Data!G628</f>
        <v>0</v>
      </c>
      <c r="H628" s="8">
        <f>[1]Data!H628</f>
        <v>0</v>
      </c>
      <c r="I628" s="8">
        <f>[1]Data!I628</f>
        <v>0</v>
      </c>
      <c r="J628" s="8">
        <f>[1]Data!J628</f>
        <v>0</v>
      </c>
      <c r="K628" s="8">
        <f>[1]Data!K628</f>
        <v>0</v>
      </c>
      <c r="L628" s="8">
        <f>[1]Data!L628</f>
        <v>0</v>
      </c>
      <c r="M628" s="8">
        <f>[1]Data!M628</f>
        <v>0</v>
      </c>
      <c r="N628" s="8">
        <f>[1]Data!N628</f>
        <v>2.2140221402214E-2</v>
      </c>
      <c r="O628" s="8">
        <f>[1]Data!O628</f>
        <v>0</v>
      </c>
      <c r="P628" s="8">
        <f>[1]Data!P628</f>
        <v>0.30627306273062699</v>
      </c>
      <c r="Q628" s="8">
        <f>[1]Data!Q628</f>
        <v>0</v>
      </c>
      <c r="R628" s="8">
        <f>[1]Data!R628</f>
        <v>0</v>
      </c>
      <c r="S628" s="8">
        <f>[1]Data!S628</f>
        <v>0</v>
      </c>
      <c r="T628">
        <f t="shared" si="45"/>
        <v>2.2140221402214E-2</v>
      </c>
      <c r="U628">
        <f t="shared" si="46"/>
        <v>0</v>
      </c>
      <c r="V628" s="4" t="str">
        <f t="shared" si="47"/>
        <v>0</v>
      </c>
      <c r="W628" s="4" t="str">
        <f t="shared" si="48"/>
        <v>2</v>
      </c>
      <c r="X628" s="4" t="str">
        <f t="shared" si="49"/>
        <v>0NON-HS2</v>
      </c>
      <c r="Y628">
        <f>VLOOKUP(X628,Sheet1!$J$5:$K$121,2,FALSE)</f>
        <v>0</v>
      </c>
    </row>
    <row r="629" spans="1:25" x14ac:dyDescent="0.25">
      <c r="A629" s="8">
        <f>[1]Data!A629</f>
        <v>311300</v>
      </c>
      <c r="B629" s="8">
        <f>[1]Data!B629</f>
        <v>2</v>
      </c>
      <c r="C629" s="8">
        <f>[1]Data!C629</f>
        <v>0</v>
      </c>
      <c r="D629" s="8">
        <f>[1]Data!D629</f>
        <v>5</v>
      </c>
      <c r="E629" s="8" t="str">
        <f>[1]Data!E629</f>
        <v>NON-HS</v>
      </c>
      <c r="F629" s="8" t="str">
        <f>[1]Data!F629</f>
        <v>Burbank</v>
      </c>
      <c r="G629" s="8">
        <f>[1]Data!G629</f>
        <v>0</v>
      </c>
      <c r="H629" s="8">
        <f>[1]Data!H629</f>
        <v>0</v>
      </c>
      <c r="I629" s="8">
        <f>[1]Data!I629</f>
        <v>4.0949999999999998</v>
      </c>
      <c r="J629" s="8">
        <f>[1]Data!J629</f>
        <v>1.9836996600000001</v>
      </c>
      <c r="K629" s="8">
        <f>[1]Data!K629</f>
        <v>3.9836996600000001</v>
      </c>
      <c r="L629" s="8">
        <f>[1]Data!L629</f>
        <v>0.11117260138240601</v>
      </c>
      <c r="M629" s="8">
        <f>[1]Data!M629</f>
        <v>4.0948722613824096</v>
      </c>
      <c r="N629" s="8">
        <f>[1]Data!N629</f>
        <v>2.2140221402214E-2</v>
      </c>
      <c r="O629" s="8">
        <f>[1]Data!O629</f>
        <v>0</v>
      </c>
      <c r="P629" s="8">
        <f>[1]Data!P629</f>
        <v>0.30627306273062699</v>
      </c>
      <c r="Q629" s="8">
        <f>[1]Data!Q629</f>
        <v>0</v>
      </c>
      <c r="R629" s="8">
        <f>[1]Data!R629</f>
        <v>0</v>
      </c>
      <c r="S629" s="8">
        <f>[1]Data!S629</f>
        <v>0</v>
      </c>
      <c r="T629">
        <f t="shared" si="45"/>
        <v>2.2140221402214E-2</v>
      </c>
      <c r="U629">
        <f t="shared" si="46"/>
        <v>0</v>
      </c>
      <c r="V629" s="4" t="str">
        <f t="shared" si="47"/>
        <v>0</v>
      </c>
      <c r="W629" s="4" t="str">
        <f t="shared" si="48"/>
        <v>2</v>
      </c>
      <c r="X629" s="4" t="str">
        <f t="shared" si="49"/>
        <v>0NON-HS2</v>
      </c>
      <c r="Y629">
        <f>VLOOKUP(X629,Sheet1!$J$5:$K$121,2,FALSE)</f>
        <v>0</v>
      </c>
    </row>
    <row r="630" spans="1:25" x14ac:dyDescent="0.25">
      <c r="A630" s="8">
        <f>[1]Data!A630</f>
        <v>800101</v>
      </c>
      <c r="B630" s="8">
        <f>[1]Data!B630</f>
        <v>2</v>
      </c>
      <c r="C630" s="8">
        <f>[1]Data!C630</f>
        <v>0</v>
      </c>
      <c r="D630" s="8">
        <f>[1]Data!D630</f>
        <v>3</v>
      </c>
      <c r="E630" s="8" t="str">
        <f>[1]Data!E630</f>
        <v>NON-HS</v>
      </c>
      <c r="F630" s="8" t="str">
        <f>[1]Data!F630</f>
        <v>Calabasas</v>
      </c>
      <c r="G630" s="8">
        <f>[1]Data!G630</f>
        <v>0</v>
      </c>
      <c r="H630" s="8">
        <f>[1]Data!H630</f>
        <v>0</v>
      </c>
      <c r="I630" s="8">
        <f>[1]Data!I630</f>
        <v>0</v>
      </c>
      <c r="J630" s="8">
        <f>[1]Data!J630</f>
        <v>0</v>
      </c>
      <c r="K630" s="8">
        <f>[1]Data!K630</f>
        <v>0</v>
      </c>
      <c r="L630" s="8">
        <f>[1]Data!L630</f>
        <v>0</v>
      </c>
      <c r="M630" s="8">
        <f>[1]Data!M630</f>
        <v>0</v>
      </c>
      <c r="N630" s="8">
        <f>[1]Data!N630</f>
        <v>2.2140221402214E-2</v>
      </c>
      <c r="O630" s="8">
        <f>[1]Data!O630</f>
        <v>0</v>
      </c>
      <c r="P630" s="8">
        <f>[1]Data!P630</f>
        <v>0.30627306273062699</v>
      </c>
      <c r="Q630" s="8">
        <f>[1]Data!Q630</f>
        <v>0</v>
      </c>
      <c r="R630" s="8">
        <f>[1]Data!R630</f>
        <v>0</v>
      </c>
      <c r="S630" s="8">
        <f>[1]Data!S630</f>
        <v>0</v>
      </c>
      <c r="T630">
        <f t="shared" si="45"/>
        <v>2.2140221402214E-2</v>
      </c>
      <c r="U630">
        <f t="shared" si="46"/>
        <v>0</v>
      </c>
      <c r="V630" s="4" t="str">
        <f t="shared" si="47"/>
        <v>0</v>
      </c>
      <c r="W630" s="4" t="str">
        <f t="shared" si="48"/>
        <v>2</v>
      </c>
      <c r="X630" s="4" t="str">
        <f t="shared" si="49"/>
        <v>0NON-HS2</v>
      </c>
      <c r="Y630">
        <f>VLOOKUP(X630,Sheet1!$J$5:$K$121,2,FALSE)</f>
        <v>0</v>
      </c>
    </row>
    <row r="631" spans="1:25" x14ac:dyDescent="0.25">
      <c r="A631" s="8">
        <f>[1]Data!A631</f>
        <v>910808</v>
      </c>
      <c r="B631" s="8">
        <f>[1]Data!B631</f>
        <v>2</v>
      </c>
      <c r="C631" s="8">
        <f>[1]Data!C631</f>
        <v>0</v>
      </c>
      <c r="D631" s="8">
        <f>[1]Data!D631</f>
        <v>5</v>
      </c>
      <c r="E631" s="8" t="str">
        <f>[1]Data!E631</f>
        <v>NON-HS</v>
      </c>
      <c r="F631" s="8" t="str">
        <f>[1]Data!F631</f>
        <v>Canyon Country</v>
      </c>
      <c r="G631" s="8">
        <f>[1]Data!G631</f>
        <v>0</v>
      </c>
      <c r="H631" s="8">
        <f>[1]Data!H631</f>
        <v>0</v>
      </c>
      <c r="I631" s="8">
        <f>[1]Data!I631</f>
        <v>0</v>
      </c>
      <c r="J631" s="8">
        <f>[1]Data!J631</f>
        <v>0</v>
      </c>
      <c r="K631" s="8">
        <f>[1]Data!K631</f>
        <v>0</v>
      </c>
      <c r="L631" s="8">
        <f>[1]Data!L631</f>
        <v>0</v>
      </c>
      <c r="M631" s="8">
        <f>[1]Data!M631</f>
        <v>0</v>
      </c>
      <c r="N631" s="8">
        <f>[1]Data!N631</f>
        <v>2.2140221402214E-2</v>
      </c>
      <c r="O631" s="8">
        <f>[1]Data!O631</f>
        <v>0</v>
      </c>
      <c r="P631" s="8">
        <f>[1]Data!P631</f>
        <v>0.30627306273062699</v>
      </c>
      <c r="Q631" s="8">
        <f>[1]Data!Q631</f>
        <v>0</v>
      </c>
      <c r="R631" s="8">
        <f>[1]Data!R631</f>
        <v>0</v>
      </c>
      <c r="S631" s="8">
        <f>[1]Data!S631</f>
        <v>0</v>
      </c>
      <c r="T631">
        <f t="shared" si="45"/>
        <v>2.2140221402214E-2</v>
      </c>
      <c r="U631">
        <f t="shared" si="46"/>
        <v>0</v>
      </c>
      <c r="V631" s="4" t="str">
        <f t="shared" si="47"/>
        <v>0</v>
      </c>
      <c r="W631" s="4" t="str">
        <f t="shared" si="48"/>
        <v>2</v>
      </c>
      <c r="X631" s="4" t="str">
        <f t="shared" si="49"/>
        <v>0NON-HS2</v>
      </c>
      <c r="Y631">
        <f>VLOOKUP(X631,Sheet1!$J$5:$K$121,2,FALSE)</f>
        <v>0</v>
      </c>
    </row>
    <row r="632" spans="1:25" x14ac:dyDescent="0.25">
      <c r="A632" s="8">
        <f>[1]Data!A632</f>
        <v>920018</v>
      </c>
      <c r="B632" s="8">
        <f>[1]Data!B632</f>
        <v>2</v>
      </c>
      <c r="C632" s="8">
        <f>[1]Data!C632</f>
        <v>0</v>
      </c>
      <c r="D632" s="8">
        <f>[1]Data!D632</f>
        <v>5</v>
      </c>
      <c r="E632" s="8" t="str">
        <f>[1]Data!E632</f>
        <v>NON-HS</v>
      </c>
      <c r="F632" s="8" t="str">
        <f>[1]Data!F632</f>
        <v>Santa Clarita</v>
      </c>
      <c r="G632" s="8">
        <f>[1]Data!G632</f>
        <v>0</v>
      </c>
      <c r="H632" s="8">
        <f>[1]Data!H632</f>
        <v>0</v>
      </c>
      <c r="I632" s="8">
        <f>[1]Data!I632</f>
        <v>1.591</v>
      </c>
      <c r="J632" s="8">
        <f>[1]Data!J632</f>
        <v>1.43919657</v>
      </c>
      <c r="K632" s="8">
        <f>[1]Data!K632</f>
        <v>1.43919657</v>
      </c>
      <c r="L632" s="8">
        <f>[1]Data!L632</f>
        <v>0.15145200614003601</v>
      </c>
      <c r="M632" s="8">
        <f>[1]Data!M632</f>
        <v>1.59064857614004</v>
      </c>
      <c r="N632" s="8">
        <f>[1]Data!N632</f>
        <v>2.2140221402214E-2</v>
      </c>
      <c r="O632" s="8">
        <f>[1]Data!O632</f>
        <v>0</v>
      </c>
      <c r="P632" s="8">
        <f>[1]Data!P632</f>
        <v>0.30627306273062699</v>
      </c>
      <c r="Q632" s="8">
        <f>[1]Data!Q632</f>
        <v>0</v>
      </c>
      <c r="R632" s="8">
        <f>[1]Data!R632</f>
        <v>0</v>
      </c>
      <c r="S632" s="8">
        <f>[1]Data!S632</f>
        <v>0</v>
      </c>
      <c r="T632">
        <f t="shared" si="45"/>
        <v>2.2140221402214E-2</v>
      </c>
      <c r="U632">
        <f t="shared" si="46"/>
        <v>0</v>
      </c>
      <c r="V632" s="4" t="str">
        <f t="shared" si="47"/>
        <v>0</v>
      </c>
      <c r="W632" s="4" t="str">
        <f t="shared" si="48"/>
        <v>2</v>
      </c>
      <c r="X632" s="4" t="str">
        <f t="shared" si="49"/>
        <v>0NON-HS2</v>
      </c>
      <c r="Y632">
        <f>VLOOKUP(X632,Sheet1!$J$5:$K$121,2,FALSE)</f>
        <v>0</v>
      </c>
    </row>
    <row r="633" spans="1:25" x14ac:dyDescent="0.25">
      <c r="A633" s="8">
        <f>[1]Data!A633</f>
        <v>311500</v>
      </c>
      <c r="B633" s="8">
        <f>[1]Data!B633</f>
        <v>2</v>
      </c>
      <c r="C633" s="8">
        <f>[1]Data!C633</f>
        <v>0</v>
      </c>
      <c r="D633" s="8">
        <f>[1]Data!D633</f>
        <v>5</v>
      </c>
      <c r="E633" s="8" t="str">
        <f>[1]Data!E633</f>
        <v>NON-HS</v>
      </c>
      <c r="F633" s="8" t="str">
        <f>[1]Data!F633</f>
        <v>Burbank</v>
      </c>
      <c r="G633" s="8">
        <f>[1]Data!G633</f>
        <v>0</v>
      </c>
      <c r="H633" s="8">
        <f>[1]Data!H633</f>
        <v>0</v>
      </c>
      <c r="I633" s="8">
        <f>[1]Data!I633</f>
        <v>4.399</v>
      </c>
      <c r="J633" s="8">
        <f>[1]Data!J633</f>
        <v>3.1723287400000002</v>
      </c>
      <c r="K633" s="8">
        <f>[1]Data!K633</f>
        <v>4.1723287400000002</v>
      </c>
      <c r="L633" s="8">
        <f>[1]Data!L633</f>
        <v>0.22643751642728899</v>
      </c>
      <c r="M633" s="8">
        <f>[1]Data!M633</f>
        <v>4.3987662564272902</v>
      </c>
      <c r="N633" s="8">
        <f>[1]Data!N633</f>
        <v>2.2140221402214E-2</v>
      </c>
      <c r="O633" s="8">
        <f>[1]Data!O633</f>
        <v>0</v>
      </c>
      <c r="P633" s="8">
        <f>[1]Data!P633</f>
        <v>0.30627306273062699</v>
      </c>
      <c r="Q633" s="8">
        <f>[1]Data!Q633</f>
        <v>0</v>
      </c>
      <c r="R633" s="8">
        <f>[1]Data!R633</f>
        <v>0</v>
      </c>
      <c r="S633" s="8">
        <f>[1]Data!S633</f>
        <v>0</v>
      </c>
      <c r="T633">
        <f t="shared" si="45"/>
        <v>2.2140221402214E-2</v>
      </c>
      <c r="U633">
        <f t="shared" si="46"/>
        <v>0</v>
      </c>
      <c r="V633" s="4" t="str">
        <f t="shared" si="47"/>
        <v>0</v>
      </c>
      <c r="W633" s="4" t="str">
        <f t="shared" si="48"/>
        <v>2</v>
      </c>
      <c r="X633" s="4" t="str">
        <f t="shared" si="49"/>
        <v>0NON-HS2</v>
      </c>
      <c r="Y633">
        <f>VLOOKUP(X633,Sheet1!$J$5:$K$121,2,FALSE)</f>
        <v>0</v>
      </c>
    </row>
    <row r="634" spans="1:25" x14ac:dyDescent="0.25">
      <c r="A634" s="8">
        <f>[1]Data!A634</f>
        <v>920026</v>
      </c>
      <c r="B634" s="8">
        <f>[1]Data!B634</f>
        <v>2</v>
      </c>
      <c r="C634" s="8">
        <f>[1]Data!C634</f>
        <v>0</v>
      </c>
      <c r="D634" s="8">
        <f>[1]Data!D634</f>
        <v>5</v>
      </c>
      <c r="E634" s="8" t="str">
        <f>[1]Data!E634</f>
        <v>NON-HS</v>
      </c>
      <c r="F634" s="8" t="str">
        <f>[1]Data!F634</f>
        <v>Canyon Country</v>
      </c>
      <c r="G634" s="8">
        <f>[1]Data!G634</f>
        <v>0</v>
      </c>
      <c r="H634" s="8">
        <f>[1]Data!H634</f>
        <v>0</v>
      </c>
      <c r="I634" s="8">
        <f>[1]Data!I634</f>
        <v>0</v>
      </c>
      <c r="J634" s="8">
        <f>[1]Data!J634</f>
        <v>0</v>
      </c>
      <c r="K634" s="8">
        <f>[1]Data!K634</f>
        <v>0</v>
      </c>
      <c r="L634" s="8">
        <f>[1]Data!L634</f>
        <v>0</v>
      </c>
      <c r="M634" s="8">
        <f>[1]Data!M634</f>
        <v>0</v>
      </c>
      <c r="N634" s="8">
        <f>[1]Data!N634</f>
        <v>2.2140221402214E-2</v>
      </c>
      <c r="O634" s="8">
        <f>[1]Data!O634</f>
        <v>0</v>
      </c>
      <c r="P634" s="8">
        <f>[1]Data!P634</f>
        <v>0.30627306273062699</v>
      </c>
      <c r="Q634" s="8">
        <f>[1]Data!Q634</f>
        <v>0</v>
      </c>
      <c r="R634" s="8">
        <f>[1]Data!R634</f>
        <v>0</v>
      </c>
      <c r="S634" s="8">
        <f>[1]Data!S634</f>
        <v>0</v>
      </c>
      <c r="T634">
        <f t="shared" si="45"/>
        <v>2.2140221402214E-2</v>
      </c>
      <c r="U634">
        <f t="shared" si="46"/>
        <v>0</v>
      </c>
      <c r="V634" s="4" t="str">
        <f t="shared" si="47"/>
        <v>0</v>
      </c>
      <c r="W634" s="4" t="str">
        <f t="shared" si="48"/>
        <v>2</v>
      </c>
      <c r="X634" s="4" t="str">
        <f t="shared" si="49"/>
        <v>0NON-HS2</v>
      </c>
      <c r="Y634">
        <f>VLOOKUP(X634,Sheet1!$J$5:$K$121,2,FALSE)</f>
        <v>0</v>
      </c>
    </row>
    <row r="635" spans="1:25" x14ac:dyDescent="0.25">
      <c r="A635" s="8">
        <f>[1]Data!A635</f>
        <v>920330</v>
      </c>
      <c r="B635" s="8">
        <f>[1]Data!B635</f>
        <v>2</v>
      </c>
      <c r="C635" s="8">
        <f>[1]Data!C635</f>
        <v>0</v>
      </c>
      <c r="D635" s="8">
        <f>[1]Data!D635</f>
        <v>5</v>
      </c>
      <c r="E635" s="8" t="str">
        <f>[1]Data!E635</f>
        <v>NON-HS</v>
      </c>
      <c r="F635" s="8" t="str">
        <f>[1]Data!F635</f>
        <v>Santa Clarita</v>
      </c>
      <c r="G635" s="8">
        <f>[1]Data!G635</f>
        <v>0</v>
      </c>
      <c r="H635" s="8">
        <f>[1]Data!H635</f>
        <v>0</v>
      </c>
      <c r="I635" s="8">
        <f>[1]Data!I635</f>
        <v>0</v>
      </c>
      <c r="J635" s="8">
        <f>[1]Data!J635</f>
        <v>0</v>
      </c>
      <c r="K635" s="8">
        <f>[1]Data!K635</f>
        <v>0</v>
      </c>
      <c r="L635" s="8">
        <f>[1]Data!L635</f>
        <v>0</v>
      </c>
      <c r="M635" s="8">
        <f>[1]Data!M635</f>
        <v>0</v>
      </c>
      <c r="N635" s="8">
        <f>[1]Data!N635</f>
        <v>2.2140221402214E-2</v>
      </c>
      <c r="O635" s="8">
        <f>[1]Data!O635</f>
        <v>0</v>
      </c>
      <c r="P635" s="8">
        <f>[1]Data!P635</f>
        <v>0.30627306273062699</v>
      </c>
      <c r="Q635" s="8">
        <f>[1]Data!Q635</f>
        <v>0</v>
      </c>
      <c r="R635" s="8">
        <f>[1]Data!R635</f>
        <v>0</v>
      </c>
      <c r="S635" s="8">
        <f>[1]Data!S635</f>
        <v>0</v>
      </c>
      <c r="T635">
        <f t="shared" si="45"/>
        <v>2.2140221402214E-2</v>
      </c>
      <c r="U635">
        <f t="shared" si="46"/>
        <v>0</v>
      </c>
      <c r="V635" s="4" t="str">
        <f t="shared" si="47"/>
        <v>0</v>
      </c>
      <c r="W635" s="4" t="str">
        <f t="shared" si="48"/>
        <v>2</v>
      </c>
      <c r="X635" s="4" t="str">
        <f t="shared" si="49"/>
        <v>0NON-HS2</v>
      </c>
      <c r="Y635">
        <f>VLOOKUP(X635,Sheet1!$J$5:$K$121,2,FALSE)</f>
        <v>0</v>
      </c>
    </row>
    <row r="636" spans="1:25" x14ac:dyDescent="0.25">
      <c r="A636" s="8">
        <f>[1]Data!A636</f>
        <v>800324</v>
      </c>
      <c r="B636" s="8">
        <f>[1]Data!B636</f>
        <v>2</v>
      </c>
      <c r="C636" s="8">
        <f>[1]Data!C636</f>
        <v>0</v>
      </c>
      <c r="D636" s="8">
        <f>[1]Data!D636</f>
        <v>3</v>
      </c>
      <c r="E636" s="8" t="str">
        <f>[1]Data!E636</f>
        <v>NON-HS</v>
      </c>
      <c r="F636" s="8" t="str">
        <f>[1]Data!F636</f>
        <v>Agoura Hills</v>
      </c>
      <c r="G636" s="8">
        <f>[1]Data!G636</f>
        <v>0</v>
      </c>
      <c r="H636" s="8">
        <f>[1]Data!H636</f>
        <v>0</v>
      </c>
      <c r="I636" s="8">
        <f>[1]Data!I636</f>
        <v>4.181</v>
      </c>
      <c r="J636" s="8">
        <f>[1]Data!J636</f>
        <v>2.87839314</v>
      </c>
      <c r="K636" s="8">
        <f>[1]Data!K636</f>
        <v>3.87839314</v>
      </c>
      <c r="L636" s="8">
        <f>[1]Data!L636</f>
        <v>0.30290401228007202</v>
      </c>
      <c r="M636" s="8">
        <f>[1]Data!M636</f>
        <v>4.1812971522800702</v>
      </c>
      <c r="N636" s="8">
        <f>[1]Data!N636</f>
        <v>2.2140221402214E-2</v>
      </c>
      <c r="O636" s="8">
        <f>[1]Data!O636</f>
        <v>0</v>
      </c>
      <c r="P636" s="8">
        <f>[1]Data!P636</f>
        <v>0.30627306273062699</v>
      </c>
      <c r="Q636" s="8">
        <f>[1]Data!Q636</f>
        <v>0</v>
      </c>
      <c r="R636" s="8">
        <f>[1]Data!R636</f>
        <v>0</v>
      </c>
      <c r="S636" s="8">
        <f>[1]Data!S636</f>
        <v>0</v>
      </c>
      <c r="T636">
        <f t="shared" si="45"/>
        <v>2.2140221402214E-2</v>
      </c>
      <c r="U636">
        <f t="shared" si="46"/>
        <v>0</v>
      </c>
      <c r="V636" s="4" t="str">
        <f t="shared" si="47"/>
        <v>0</v>
      </c>
      <c r="W636" s="4" t="str">
        <f t="shared" si="48"/>
        <v>2</v>
      </c>
      <c r="X636" s="4" t="str">
        <f t="shared" si="49"/>
        <v>0NON-HS2</v>
      </c>
      <c r="Y636">
        <f>VLOOKUP(X636,Sheet1!$J$5:$K$121,2,FALSE)</f>
        <v>0</v>
      </c>
    </row>
    <row r="637" spans="1:25" x14ac:dyDescent="0.25">
      <c r="A637" s="8">
        <f>[1]Data!A637</f>
        <v>800327</v>
      </c>
      <c r="B637" s="8">
        <f>[1]Data!B637</f>
        <v>2</v>
      </c>
      <c r="C637" s="8">
        <f>[1]Data!C637</f>
        <v>0</v>
      </c>
      <c r="D637" s="8">
        <f>[1]Data!D637</f>
        <v>3</v>
      </c>
      <c r="E637" s="8" t="str">
        <f>[1]Data!E637</f>
        <v>NON-HS</v>
      </c>
      <c r="F637" s="8" t="str">
        <f>[1]Data!F637</f>
        <v>Agoura Hills</v>
      </c>
      <c r="G637" s="8">
        <f>[1]Data!G637</f>
        <v>0</v>
      </c>
      <c r="H637" s="8">
        <f>[1]Data!H637</f>
        <v>0</v>
      </c>
      <c r="I637" s="8">
        <f>[1]Data!I637</f>
        <v>0</v>
      </c>
      <c r="J637" s="8">
        <f>[1]Data!J637</f>
        <v>0</v>
      </c>
      <c r="K637" s="8">
        <f>[1]Data!K637</f>
        <v>0</v>
      </c>
      <c r="L637" s="8">
        <f>[1]Data!L637</f>
        <v>0</v>
      </c>
      <c r="M637" s="8">
        <f>[1]Data!M637</f>
        <v>0</v>
      </c>
      <c r="N637" s="8">
        <f>[1]Data!N637</f>
        <v>2.2140221402214E-2</v>
      </c>
      <c r="O637" s="8">
        <f>[1]Data!O637</f>
        <v>0</v>
      </c>
      <c r="P637" s="8">
        <f>[1]Data!P637</f>
        <v>0.30627306273062699</v>
      </c>
      <c r="Q637" s="8">
        <f>[1]Data!Q637</f>
        <v>0</v>
      </c>
      <c r="R637" s="8">
        <f>[1]Data!R637</f>
        <v>0</v>
      </c>
      <c r="S637" s="8">
        <f>[1]Data!S637</f>
        <v>0</v>
      </c>
      <c r="T637">
        <f t="shared" si="45"/>
        <v>2.2140221402214E-2</v>
      </c>
      <c r="U637">
        <f t="shared" si="46"/>
        <v>0</v>
      </c>
      <c r="V637" s="4" t="str">
        <f t="shared" si="47"/>
        <v>0</v>
      </c>
      <c r="W637" s="4" t="str">
        <f t="shared" si="48"/>
        <v>2</v>
      </c>
      <c r="X637" s="4" t="str">
        <f t="shared" si="49"/>
        <v>0NON-HS2</v>
      </c>
      <c r="Y637">
        <f>VLOOKUP(X637,Sheet1!$J$5:$K$121,2,FALSE)</f>
        <v>0</v>
      </c>
    </row>
    <row r="638" spans="1:25" x14ac:dyDescent="0.25">
      <c r="A638" s="8">
        <f>[1]Data!A638</f>
        <v>920313</v>
      </c>
      <c r="B638" s="8">
        <f>[1]Data!B638</f>
        <v>2</v>
      </c>
      <c r="C638" s="8">
        <f>[1]Data!C638</f>
        <v>0</v>
      </c>
      <c r="D638" s="8">
        <f>[1]Data!D638</f>
        <v>5</v>
      </c>
      <c r="E638" s="8" t="str">
        <f>[1]Data!E638</f>
        <v>NON-HS</v>
      </c>
      <c r="F638" s="8" t="str">
        <f>[1]Data!F638</f>
        <v>Santa Clarita</v>
      </c>
      <c r="G638" s="8">
        <f>[1]Data!G638</f>
        <v>0</v>
      </c>
      <c r="H638" s="8">
        <f>[1]Data!H638</f>
        <v>0</v>
      </c>
      <c r="I638" s="8">
        <f>[1]Data!I638</f>
        <v>3.6859999999999999</v>
      </c>
      <c r="J638" s="8">
        <f>[1]Data!J638</f>
        <v>3.4228962300000001</v>
      </c>
      <c r="K638" s="8">
        <f>[1]Data!K638</f>
        <v>3.4228962300000001</v>
      </c>
      <c r="L638" s="8">
        <f>[1]Data!L638</f>
        <v>0.26262460752244199</v>
      </c>
      <c r="M638" s="8">
        <f>[1]Data!M638</f>
        <v>3.6855208375224402</v>
      </c>
      <c r="N638" s="8">
        <f>[1]Data!N638</f>
        <v>2.2140221402214E-2</v>
      </c>
      <c r="O638" s="8">
        <f>[1]Data!O638</f>
        <v>0</v>
      </c>
      <c r="P638" s="8">
        <f>[1]Data!P638</f>
        <v>0.30627306273062699</v>
      </c>
      <c r="Q638" s="8">
        <f>[1]Data!Q638</f>
        <v>0</v>
      </c>
      <c r="R638" s="8">
        <f>[1]Data!R638</f>
        <v>0</v>
      </c>
      <c r="S638" s="8">
        <f>[1]Data!S638</f>
        <v>0</v>
      </c>
      <c r="T638">
        <f t="shared" si="45"/>
        <v>2.2140221402214E-2</v>
      </c>
      <c r="U638">
        <f t="shared" si="46"/>
        <v>0</v>
      </c>
      <c r="V638" s="4" t="str">
        <f t="shared" si="47"/>
        <v>0</v>
      </c>
      <c r="W638" s="4" t="str">
        <f t="shared" si="48"/>
        <v>2</v>
      </c>
      <c r="X638" s="4" t="str">
        <f t="shared" si="49"/>
        <v>0NON-HS2</v>
      </c>
      <c r="Y638">
        <f>VLOOKUP(X638,Sheet1!$J$5:$K$121,2,FALSE)</f>
        <v>0</v>
      </c>
    </row>
    <row r="639" spans="1:25" x14ac:dyDescent="0.25">
      <c r="A639" s="8">
        <f>[1]Data!A639</f>
        <v>920303</v>
      </c>
      <c r="B639" s="8">
        <f>[1]Data!B639</f>
        <v>2</v>
      </c>
      <c r="C639" s="8">
        <f>[1]Data!C639</f>
        <v>0</v>
      </c>
      <c r="D639" s="8">
        <f>[1]Data!D639</f>
        <v>5</v>
      </c>
      <c r="E639" s="8" t="str">
        <f>[1]Data!E639</f>
        <v>NON-HS</v>
      </c>
      <c r="F639" s="8" t="str">
        <f>[1]Data!F639</f>
        <v>Santa Susana Mountains</v>
      </c>
      <c r="G639" s="8">
        <f>[1]Data!G639</f>
        <v>0</v>
      </c>
      <c r="H639" s="8">
        <f>[1]Data!H639</f>
        <v>0</v>
      </c>
      <c r="I639" s="8">
        <f>[1]Data!I639</f>
        <v>0</v>
      </c>
      <c r="J639" s="8">
        <f>[1]Data!J639</f>
        <v>0</v>
      </c>
      <c r="K639" s="8">
        <f>[1]Data!K639</f>
        <v>0</v>
      </c>
      <c r="L639" s="8">
        <f>[1]Data!L639</f>
        <v>0</v>
      </c>
      <c r="M639" s="8">
        <f>[1]Data!M639</f>
        <v>0</v>
      </c>
      <c r="N639" s="8">
        <f>[1]Data!N639</f>
        <v>2.2140221402214E-2</v>
      </c>
      <c r="O639" s="8">
        <f>[1]Data!O639</f>
        <v>0</v>
      </c>
      <c r="P639" s="8">
        <f>[1]Data!P639</f>
        <v>0.30627306273062699</v>
      </c>
      <c r="Q639" s="8">
        <f>[1]Data!Q639</f>
        <v>0</v>
      </c>
      <c r="R639" s="8">
        <f>[1]Data!R639</f>
        <v>0</v>
      </c>
      <c r="S639" s="8">
        <f>[1]Data!S639</f>
        <v>0</v>
      </c>
      <c r="T639">
        <f t="shared" si="45"/>
        <v>2.2140221402214E-2</v>
      </c>
      <c r="U639">
        <f t="shared" si="46"/>
        <v>0</v>
      </c>
      <c r="V639" s="4" t="str">
        <f t="shared" si="47"/>
        <v>0</v>
      </c>
      <c r="W639" s="4" t="str">
        <f t="shared" si="48"/>
        <v>2</v>
      </c>
      <c r="X639" s="4" t="str">
        <f t="shared" si="49"/>
        <v>0NON-HS2</v>
      </c>
      <c r="Y639">
        <f>VLOOKUP(X639,Sheet1!$J$5:$K$121,2,FALSE)</f>
        <v>0</v>
      </c>
    </row>
    <row r="640" spans="1:25" x14ac:dyDescent="0.25">
      <c r="A640" s="8">
        <f>[1]Data!A640</f>
        <v>320201</v>
      </c>
      <c r="B640" s="8">
        <f>[1]Data!B640</f>
        <v>2</v>
      </c>
      <c r="C640" s="8">
        <f>[1]Data!C640</f>
        <v>0</v>
      </c>
      <c r="D640" s="8">
        <f>[1]Data!D640</f>
        <v>3</v>
      </c>
      <c r="E640" s="8" t="str">
        <f>[1]Data!E640</f>
        <v>NON-HS</v>
      </c>
      <c r="F640" s="8" t="str">
        <f>[1]Data!F640</f>
        <v>San Fernando</v>
      </c>
      <c r="G640" s="8">
        <f>[1]Data!G640</f>
        <v>0</v>
      </c>
      <c r="H640" s="8">
        <f>[1]Data!H640</f>
        <v>0</v>
      </c>
      <c r="I640" s="8">
        <f>[1]Data!I640</f>
        <v>9.1790000000000003</v>
      </c>
      <c r="J640" s="8">
        <f>[1]Data!J640</f>
        <v>8.5789246299999995</v>
      </c>
      <c r="K640" s="8">
        <f>[1]Data!K640</f>
        <v>8.5789246299999995</v>
      </c>
      <c r="L640" s="8">
        <f>[1]Data!L640</f>
        <v>0.60023472533213695</v>
      </c>
      <c r="M640" s="8">
        <f>[1]Data!M640</f>
        <v>9.1791593553321391</v>
      </c>
      <c r="N640" s="8">
        <f>[1]Data!N640</f>
        <v>2.2140221402214E-2</v>
      </c>
      <c r="O640" s="8">
        <f>[1]Data!O640</f>
        <v>0</v>
      </c>
      <c r="P640" s="8">
        <f>[1]Data!P640</f>
        <v>0.30627306273062699</v>
      </c>
      <c r="Q640" s="8">
        <f>[1]Data!Q640</f>
        <v>0</v>
      </c>
      <c r="R640" s="8">
        <f>[1]Data!R640</f>
        <v>0</v>
      </c>
      <c r="S640" s="8">
        <f>[1]Data!S640</f>
        <v>0</v>
      </c>
      <c r="T640">
        <f t="shared" si="45"/>
        <v>2.2140221402214E-2</v>
      </c>
      <c r="U640">
        <f t="shared" si="46"/>
        <v>0</v>
      </c>
      <c r="V640" s="4" t="str">
        <f t="shared" si="47"/>
        <v>0</v>
      </c>
      <c r="W640" s="4" t="str">
        <f t="shared" si="48"/>
        <v>2</v>
      </c>
      <c r="X640" s="4" t="str">
        <f t="shared" si="49"/>
        <v>0NON-HS2</v>
      </c>
      <c r="Y640">
        <f>VLOOKUP(X640,Sheet1!$J$5:$K$121,2,FALSE)</f>
        <v>0</v>
      </c>
    </row>
    <row r="641" spans="1:25" x14ac:dyDescent="0.25">
      <c r="A641" s="8">
        <f>[1]Data!A641</f>
        <v>800325</v>
      </c>
      <c r="B641" s="8">
        <f>[1]Data!B641</f>
        <v>2</v>
      </c>
      <c r="C641" s="8">
        <f>[1]Data!C641</f>
        <v>0</v>
      </c>
      <c r="D641" s="8">
        <f>[1]Data!D641</f>
        <v>3</v>
      </c>
      <c r="E641" s="8" t="str">
        <f>[1]Data!E641</f>
        <v>NON-HS</v>
      </c>
      <c r="F641" s="8" t="str">
        <f>[1]Data!F641</f>
        <v>Westlake Village</v>
      </c>
      <c r="G641" s="8">
        <f>[1]Data!G641</f>
        <v>0</v>
      </c>
      <c r="H641" s="8">
        <f>[1]Data!H641</f>
        <v>0</v>
      </c>
      <c r="I641" s="8">
        <f>[1]Data!I641</f>
        <v>0</v>
      </c>
      <c r="J641" s="8">
        <f>[1]Data!J641</f>
        <v>0</v>
      </c>
      <c r="K641" s="8">
        <f>[1]Data!K641</f>
        <v>0</v>
      </c>
      <c r="L641" s="8">
        <f>[1]Data!L641</f>
        <v>0</v>
      </c>
      <c r="M641" s="8">
        <f>[1]Data!M641</f>
        <v>0</v>
      </c>
      <c r="N641" s="8">
        <f>[1]Data!N641</f>
        <v>2.2140221402214E-2</v>
      </c>
      <c r="O641" s="8">
        <f>[1]Data!O641</f>
        <v>0</v>
      </c>
      <c r="P641" s="8">
        <f>[1]Data!P641</f>
        <v>0.30627306273062699</v>
      </c>
      <c r="Q641" s="8">
        <f>[1]Data!Q641</f>
        <v>0</v>
      </c>
      <c r="R641" s="8">
        <f>[1]Data!R641</f>
        <v>0</v>
      </c>
      <c r="S641" s="8">
        <f>[1]Data!S641</f>
        <v>0</v>
      </c>
      <c r="T641">
        <f t="shared" si="45"/>
        <v>2.2140221402214E-2</v>
      </c>
      <c r="U641">
        <f t="shared" si="46"/>
        <v>0</v>
      </c>
      <c r="V641" s="4" t="str">
        <f t="shared" si="47"/>
        <v>0</v>
      </c>
      <c r="W641" s="4" t="str">
        <f t="shared" si="48"/>
        <v>2</v>
      </c>
      <c r="X641" s="4" t="str">
        <f t="shared" si="49"/>
        <v>0NON-HS2</v>
      </c>
      <c r="Y641">
        <f>VLOOKUP(X641,Sheet1!$J$5:$K$121,2,FALSE)</f>
        <v>0</v>
      </c>
    </row>
    <row r="642" spans="1:25" x14ac:dyDescent="0.25">
      <c r="A642" s="8">
        <f>[1]Data!A642</f>
        <v>800203</v>
      </c>
      <c r="B642" s="8">
        <f>[1]Data!B642</f>
        <v>2</v>
      </c>
      <c r="C642" s="8">
        <f>[1]Data!C642</f>
        <v>0</v>
      </c>
      <c r="D642" s="8">
        <f>[1]Data!D642</f>
        <v>3</v>
      </c>
      <c r="E642" s="8" t="str">
        <f>[1]Data!E642</f>
        <v>NON-HS</v>
      </c>
      <c r="F642" s="8" t="str">
        <f>[1]Data!F642</f>
        <v>Calabasas and Hidden Hills</v>
      </c>
      <c r="G642" s="8">
        <f>[1]Data!G642</f>
        <v>0</v>
      </c>
      <c r="H642" s="8">
        <f>[1]Data!H642</f>
        <v>0</v>
      </c>
      <c r="I642" s="8">
        <f>[1]Data!I642</f>
        <v>0</v>
      </c>
      <c r="J642" s="8">
        <f>[1]Data!J642</f>
        <v>0</v>
      </c>
      <c r="K642" s="8">
        <f>[1]Data!K642</f>
        <v>0</v>
      </c>
      <c r="L642" s="8">
        <f>[1]Data!L642</f>
        <v>0</v>
      </c>
      <c r="M642" s="8">
        <f>[1]Data!M642</f>
        <v>0</v>
      </c>
      <c r="N642" s="8">
        <f>[1]Data!N642</f>
        <v>2.2140221402214E-2</v>
      </c>
      <c r="O642" s="8">
        <f>[1]Data!O642</f>
        <v>0</v>
      </c>
      <c r="P642" s="8">
        <f>[1]Data!P642</f>
        <v>0.30627306273062699</v>
      </c>
      <c r="Q642" s="8">
        <f>[1]Data!Q642</f>
        <v>0</v>
      </c>
      <c r="R642" s="8">
        <f>[1]Data!R642</f>
        <v>0</v>
      </c>
      <c r="S642" s="8">
        <f>[1]Data!S642</f>
        <v>0</v>
      </c>
      <c r="T642">
        <f t="shared" si="45"/>
        <v>2.2140221402214E-2</v>
      </c>
      <c r="U642">
        <f t="shared" si="46"/>
        <v>0</v>
      </c>
      <c r="V642" s="4" t="str">
        <f t="shared" si="47"/>
        <v>0</v>
      </c>
      <c r="W642" s="4" t="str">
        <f t="shared" si="48"/>
        <v>2</v>
      </c>
      <c r="X642" s="4" t="str">
        <f t="shared" si="49"/>
        <v>0NON-HS2</v>
      </c>
      <c r="Y642">
        <f>VLOOKUP(X642,Sheet1!$J$5:$K$121,2,FALSE)</f>
        <v>0</v>
      </c>
    </row>
    <row r="643" spans="1:25" x14ac:dyDescent="0.25">
      <c r="A643" s="8">
        <f>[1]Data!A643</f>
        <v>920041</v>
      </c>
      <c r="B643" s="8">
        <f>[1]Data!B643</f>
        <v>2</v>
      </c>
      <c r="C643" s="8">
        <f>[1]Data!C643</f>
        <v>0</v>
      </c>
      <c r="D643" s="8">
        <f>[1]Data!D643</f>
        <v>5</v>
      </c>
      <c r="E643" s="8" t="str">
        <f>[1]Data!E643</f>
        <v>NON-HS</v>
      </c>
      <c r="F643" s="8" t="str">
        <f>[1]Data!F643</f>
        <v>Santa Clarita</v>
      </c>
      <c r="G643" s="8">
        <f>[1]Data!G643</f>
        <v>0</v>
      </c>
      <c r="H643" s="8">
        <f>[1]Data!H643</f>
        <v>0</v>
      </c>
      <c r="I643" s="8">
        <f>[1]Data!I643</f>
        <v>2.0950000000000002</v>
      </c>
      <c r="J643" s="8">
        <f>[1]Data!J643</f>
        <v>1.9836996600000001</v>
      </c>
      <c r="K643" s="8">
        <f>[1]Data!K643</f>
        <v>1.9836996600000001</v>
      </c>
      <c r="L643" s="8">
        <f>[1]Data!L643</f>
        <v>0.11117260138240601</v>
      </c>
      <c r="M643" s="8">
        <f>[1]Data!M643</f>
        <v>2.09487226138241</v>
      </c>
      <c r="N643" s="8">
        <f>[1]Data!N643</f>
        <v>2.2140221402214E-2</v>
      </c>
      <c r="O643" s="8">
        <f>[1]Data!O643</f>
        <v>0</v>
      </c>
      <c r="P643" s="8">
        <f>[1]Data!P643</f>
        <v>0.30627306273062699</v>
      </c>
      <c r="Q643" s="8">
        <f>[1]Data!Q643</f>
        <v>0</v>
      </c>
      <c r="R643" s="8">
        <f>[1]Data!R643</f>
        <v>0</v>
      </c>
      <c r="S643" s="8">
        <f>[1]Data!S643</f>
        <v>0</v>
      </c>
      <c r="T643">
        <f t="shared" ref="T643:T706" si="50">N643+Y643*(1-N643)</f>
        <v>2.2140221402214E-2</v>
      </c>
      <c r="U643">
        <f t="shared" ref="U643:U706" si="51">IF(T643="",0,1/T643*H643)</f>
        <v>0</v>
      </c>
      <c r="V643" s="4" t="str">
        <f t="shared" ref="V643:V706" si="52">TEXT(C643,"0")</f>
        <v>0</v>
      </c>
      <c r="W643" s="4" t="str">
        <f t="shared" ref="W643:W706" si="53">TEXT(B643,"0")</f>
        <v>2</v>
      </c>
      <c r="X643" s="4" t="str">
        <f t="shared" ref="X643:X706" si="54">CONCATENATE(V643,E643,W643)</f>
        <v>0NON-HS2</v>
      </c>
      <c r="Y643">
        <f>VLOOKUP(X643,Sheet1!$J$5:$K$121,2,FALSE)</f>
        <v>0</v>
      </c>
    </row>
    <row r="644" spans="1:25" x14ac:dyDescent="0.25">
      <c r="A644" s="8">
        <f>[1]Data!A644</f>
        <v>311100</v>
      </c>
      <c r="B644" s="8">
        <f>[1]Data!B644</f>
        <v>2</v>
      </c>
      <c r="C644" s="8">
        <f>[1]Data!C644</f>
        <v>0</v>
      </c>
      <c r="D644" s="8">
        <f>[1]Data!D644</f>
        <v>5</v>
      </c>
      <c r="E644" s="8" t="str">
        <f>[1]Data!E644</f>
        <v>NON-HS</v>
      </c>
      <c r="F644" s="8" t="str">
        <f>[1]Data!F644</f>
        <v>Burbank</v>
      </c>
      <c r="G644" s="8">
        <f>[1]Data!G644</f>
        <v>0</v>
      </c>
      <c r="H644" s="8">
        <f>[1]Data!H644</f>
        <v>0</v>
      </c>
      <c r="I644" s="8">
        <f>[1]Data!I644</f>
        <v>7.0839999999999996</v>
      </c>
      <c r="J644" s="8">
        <f>[1]Data!J644</f>
        <v>6.5952249700000003</v>
      </c>
      <c r="K644" s="8">
        <f>[1]Data!K644</f>
        <v>6.5952249700000003</v>
      </c>
      <c r="L644" s="8">
        <f>[1]Data!L644</f>
        <v>0.48906212394973098</v>
      </c>
      <c r="M644" s="8">
        <f>[1]Data!M644</f>
        <v>7.0842870939497304</v>
      </c>
      <c r="N644" s="8">
        <f>[1]Data!N644</f>
        <v>2.2140221402214E-2</v>
      </c>
      <c r="O644" s="8">
        <f>[1]Data!O644</f>
        <v>0</v>
      </c>
      <c r="P644" s="8">
        <f>[1]Data!P644</f>
        <v>0.30627306273062699</v>
      </c>
      <c r="Q644" s="8">
        <f>[1]Data!Q644</f>
        <v>0</v>
      </c>
      <c r="R644" s="8">
        <f>[1]Data!R644</f>
        <v>0</v>
      </c>
      <c r="S644" s="8">
        <f>[1]Data!S644</f>
        <v>0</v>
      </c>
      <c r="T644">
        <f t="shared" si="50"/>
        <v>2.2140221402214E-2</v>
      </c>
      <c r="U644">
        <f t="shared" si="51"/>
        <v>0</v>
      </c>
      <c r="V644" s="4" t="str">
        <f t="shared" si="52"/>
        <v>0</v>
      </c>
      <c r="W644" s="4" t="str">
        <f t="shared" si="53"/>
        <v>2</v>
      </c>
      <c r="X644" s="4" t="str">
        <f t="shared" si="54"/>
        <v>0NON-HS2</v>
      </c>
      <c r="Y644">
        <f>VLOOKUP(X644,Sheet1!$J$5:$K$121,2,FALSE)</f>
        <v>0</v>
      </c>
    </row>
    <row r="645" spans="1:25" x14ac:dyDescent="0.25">
      <c r="A645" s="8">
        <f>[1]Data!A645</f>
        <v>300502</v>
      </c>
      <c r="B645" s="8">
        <f>[1]Data!B645</f>
        <v>2</v>
      </c>
      <c r="C645" s="8">
        <f>[1]Data!C645</f>
        <v>0</v>
      </c>
      <c r="D645" s="8">
        <f>[1]Data!D645</f>
        <v>5</v>
      </c>
      <c r="E645" s="8" t="str">
        <f>[1]Data!E645</f>
        <v>NON-HS</v>
      </c>
      <c r="F645" s="8" t="str">
        <f>[1]Data!F645</f>
        <v>La Crescenta-Montrose</v>
      </c>
      <c r="G645" s="8">
        <f>[1]Data!G645</f>
        <v>0</v>
      </c>
      <c r="H645" s="8">
        <f>[1]Data!H645</f>
        <v>0</v>
      </c>
      <c r="I645" s="8">
        <f>[1]Data!I645</f>
        <v>0</v>
      </c>
      <c r="J645" s="8">
        <f>[1]Data!J645</f>
        <v>0</v>
      </c>
      <c r="K645" s="8">
        <f>[1]Data!K645</f>
        <v>0</v>
      </c>
      <c r="L645" s="8">
        <f>[1]Data!L645</f>
        <v>0</v>
      </c>
      <c r="M645" s="8">
        <f>[1]Data!M645</f>
        <v>0</v>
      </c>
      <c r="N645" s="8">
        <f>[1]Data!N645</f>
        <v>2.2140221402214E-2</v>
      </c>
      <c r="O645" s="8">
        <f>[1]Data!O645</f>
        <v>0</v>
      </c>
      <c r="P645" s="8">
        <f>[1]Data!P645</f>
        <v>0.30627306273062699</v>
      </c>
      <c r="Q645" s="8">
        <f>[1]Data!Q645</f>
        <v>0</v>
      </c>
      <c r="R645" s="8">
        <f>[1]Data!R645</f>
        <v>0</v>
      </c>
      <c r="S645" s="8">
        <f>[1]Data!S645</f>
        <v>0</v>
      </c>
      <c r="T645">
        <f t="shared" si="50"/>
        <v>2.2140221402214E-2</v>
      </c>
      <c r="U645">
        <f t="shared" si="51"/>
        <v>0</v>
      </c>
      <c r="V645" s="4" t="str">
        <f t="shared" si="52"/>
        <v>0</v>
      </c>
      <c r="W645" s="4" t="str">
        <f t="shared" si="53"/>
        <v>2</v>
      </c>
      <c r="X645" s="4" t="str">
        <f t="shared" si="54"/>
        <v>0NON-HS2</v>
      </c>
      <c r="Y645">
        <f>VLOOKUP(X645,Sheet1!$J$5:$K$121,2,FALSE)</f>
        <v>0</v>
      </c>
    </row>
    <row r="646" spans="1:25" x14ac:dyDescent="0.25">
      <c r="A646" s="8">
        <f>[1]Data!A646</f>
        <v>920016</v>
      </c>
      <c r="B646" s="8">
        <f>[1]Data!B646</f>
        <v>2</v>
      </c>
      <c r="C646" s="8">
        <f>[1]Data!C646</f>
        <v>0</v>
      </c>
      <c r="D646" s="8">
        <f>[1]Data!D646</f>
        <v>5</v>
      </c>
      <c r="E646" s="8" t="str">
        <f>[1]Data!E646</f>
        <v>NON-HS</v>
      </c>
      <c r="F646" s="8" t="str">
        <f>[1]Data!F646</f>
        <v>Santa Clarita</v>
      </c>
      <c r="G646" s="8">
        <f>[1]Data!G646</f>
        <v>0</v>
      </c>
      <c r="H646" s="8">
        <f>[1]Data!H646</f>
        <v>0</v>
      </c>
      <c r="I646" s="8">
        <f>[1]Data!I646</f>
        <v>0</v>
      </c>
      <c r="J646" s="8">
        <f>[1]Data!J646</f>
        <v>0</v>
      </c>
      <c r="K646" s="8">
        <f>[1]Data!K646</f>
        <v>0</v>
      </c>
      <c r="L646" s="8">
        <f>[1]Data!L646</f>
        <v>0</v>
      </c>
      <c r="M646" s="8">
        <f>[1]Data!M646</f>
        <v>0</v>
      </c>
      <c r="N646" s="8">
        <f>[1]Data!N646</f>
        <v>2.2140221402214E-2</v>
      </c>
      <c r="O646" s="8">
        <f>[1]Data!O646</f>
        <v>0</v>
      </c>
      <c r="P646" s="8">
        <f>[1]Data!P646</f>
        <v>0.30627306273062699</v>
      </c>
      <c r="Q646" s="8">
        <f>[1]Data!Q646</f>
        <v>0</v>
      </c>
      <c r="R646" s="8">
        <f>[1]Data!R646</f>
        <v>0</v>
      </c>
      <c r="S646" s="8">
        <f>[1]Data!S646</f>
        <v>0</v>
      </c>
      <c r="T646">
        <f t="shared" si="50"/>
        <v>2.2140221402214E-2</v>
      </c>
      <c r="U646">
        <f t="shared" si="51"/>
        <v>0</v>
      </c>
      <c r="V646" s="4" t="str">
        <f t="shared" si="52"/>
        <v>0</v>
      </c>
      <c r="W646" s="4" t="str">
        <f t="shared" si="53"/>
        <v>2</v>
      </c>
      <c r="X646" s="4" t="str">
        <f t="shared" si="54"/>
        <v>0NON-HS2</v>
      </c>
      <c r="Y646">
        <f>VLOOKUP(X646,Sheet1!$J$5:$K$121,2,FALSE)</f>
        <v>0</v>
      </c>
    </row>
    <row r="647" spans="1:25" x14ac:dyDescent="0.25">
      <c r="A647" s="8">
        <f>[1]Data!A647</f>
        <v>920030</v>
      </c>
      <c r="B647" s="8">
        <f>[1]Data!B647</f>
        <v>2</v>
      </c>
      <c r="C647" s="8">
        <f>[1]Data!C647</f>
        <v>0</v>
      </c>
      <c r="D647" s="8">
        <f>[1]Data!D647</f>
        <v>5</v>
      </c>
      <c r="E647" s="8" t="str">
        <f>[1]Data!E647</f>
        <v>NON-HS</v>
      </c>
      <c r="F647" s="8" t="str">
        <f>[1]Data!F647</f>
        <v>Santa Clarita</v>
      </c>
      <c r="G647" s="8">
        <f>[1]Data!G647</f>
        <v>0</v>
      </c>
      <c r="H647" s="8">
        <f>[1]Data!H647</f>
        <v>0</v>
      </c>
      <c r="I647" s="8">
        <f>[1]Data!I647</f>
        <v>6.2759999999999998</v>
      </c>
      <c r="J647" s="8">
        <f>[1]Data!J647</f>
        <v>4.8620928000000001</v>
      </c>
      <c r="K647" s="8">
        <f>[1]Data!K647</f>
        <v>5.8620928000000001</v>
      </c>
      <c r="L647" s="8">
        <f>[1]Data!L647</f>
        <v>0.414076613662478</v>
      </c>
      <c r="M647" s="8">
        <f>[1]Data!M647</f>
        <v>6.2761694136624797</v>
      </c>
      <c r="N647" s="8">
        <f>[1]Data!N647</f>
        <v>2.2140221402214E-2</v>
      </c>
      <c r="O647" s="8">
        <f>[1]Data!O647</f>
        <v>0</v>
      </c>
      <c r="P647" s="8">
        <f>[1]Data!P647</f>
        <v>0.30627306273062699</v>
      </c>
      <c r="Q647" s="8">
        <f>[1]Data!Q647</f>
        <v>0</v>
      </c>
      <c r="R647" s="8">
        <f>[1]Data!R647</f>
        <v>0</v>
      </c>
      <c r="S647" s="8">
        <f>[1]Data!S647</f>
        <v>0</v>
      </c>
      <c r="T647">
        <f t="shared" si="50"/>
        <v>2.2140221402214E-2</v>
      </c>
      <c r="U647">
        <f t="shared" si="51"/>
        <v>0</v>
      </c>
      <c r="V647" s="4" t="str">
        <f t="shared" si="52"/>
        <v>0</v>
      </c>
      <c r="W647" s="4" t="str">
        <f t="shared" si="53"/>
        <v>2</v>
      </c>
      <c r="X647" s="4" t="str">
        <f t="shared" si="54"/>
        <v>0NON-HS2</v>
      </c>
      <c r="Y647">
        <f>VLOOKUP(X647,Sheet1!$J$5:$K$121,2,FALSE)</f>
        <v>0</v>
      </c>
    </row>
    <row r="648" spans="1:25" x14ac:dyDescent="0.25">
      <c r="A648" s="8">
        <f>[1]Data!A648</f>
        <v>310202</v>
      </c>
      <c r="B648" s="8">
        <f>[1]Data!B648</f>
        <v>2</v>
      </c>
      <c r="C648" s="8">
        <f>[1]Data!C648</f>
        <v>0</v>
      </c>
      <c r="D648" s="8">
        <f>[1]Data!D648</f>
        <v>5</v>
      </c>
      <c r="E648" s="8" t="str">
        <f>[1]Data!E648</f>
        <v>NON-HS</v>
      </c>
      <c r="F648" s="8" t="str">
        <f>[1]Data!F648</f>
        <v>Burbank</v>
      </c>
      <c r="G648" s="8">
        <f>[1]Data!G648</f>
        <v>0</v>
      </c>
      <c r="H648" s="8">
        <f>[1]Data!H648</f>
        <v>0</v>
      </c>
      <c r="I648" s="8">
        <f>[1]Data!I648</f>
        <v>0</v>
      </c>
      <c r="J648" s="8">
        <f>[1]Data!J648</f>
        <v>0</v>
      </c>
      <c r="K648" s="8">
        <f>[1]Data!K648</f>
        <v>0</v>
      </c>
      <c r="L648" s="8">
        <f>[1]Data!L648</f>
        <v>0</v>
      </c>
      <c r="M648" s="8">
        <f>[1]Data!M648</f>
        <v>0</v>
      </c>
      <c r="N648" s="8">
        <f>[1]Data!N648</f>
        <v>2.2140221402214E-2</v>
      </c>
      <c r="O648" s="8">
        <f>[1]Data!O648</f>
        <v>0</v>
      </c>
      <c r="P648" s="8">
        <f>[1]Data!P648</f>
        <v>0.30627306273062699</v>
      </c>
      <c r="Q648" s="8">
        <f>[1]Data!Q648</f>
        <v>0</v>
      </c>
      <c r="R648" s="8">
        <f>[1]Data!R648</f>
        <v>0</v>
      </c>
      <c r="S648" s="8">
        <f>[1]Data!S648</f>
        <v>0</v>
      </c>
      <c r="T648">
        <f t="shared" si="50"/>
        <v>2.2140221402214E-2</v>
      </c>
      <c r="U648">
        <f t="shared" si="51"/>
        <v>0</v>
      </c>
      <c r="V648" s="4" t="str">
        <f t="shared" si="52"/>
        <v>0</v>
      </c>
      <c r="W648" s="4" t="str">
        <f t="shared" si="53"/>
        <v>2</v>
      </c>
      <c r="X648" s="4" t="str">
        <f t="shared" si="54"/>
        <v>0NON-HS2</v>
      </c>
      <c r="Y648">
        <f>VLOOKUP(X648,Sheet1!$J$5:$K$121,2,FALSE)</f>
        <v>0</v>
      </c>
    </row>
    <row r="649" spans="1:25" x14ac:dyDescent="0.25">
      <c r="A649" s="8">
        <f>[1]Data!A649</f>
        <v>310100</v>
      </c>
      <c r="B649" s="8">
        <f>[1]Data!B649</f>
        <v>2</v>
      </c>
      <c r="C649" s="8">
        <f>[1]Data!C649</f>
        <v>0</v>
      </c>
      <c r="D649" s="8">
        <f>[1]Data!D649</f>
        <v>5</v>
      </c>
      <c r="E649" s="8" t="str">
        <f>[1]Data!E649</f>
        <v>NON-HS</v>
      </c>
      <c r="F649" s="8" t="str">
        <f>[1]Data!F649</f>
        <v>Burbank</v>
      </c>
      <c r="G649" s="8">
        <f>[1]Data!G649</f>
        <v>0</v>
      </c>
      <c r="H649" s="8">
        <f>[1]Data!H649</f>
        <v>0</v>
      </c>
      <c r="I649" s="8">
        <f>[1]Data!I649</f>
        <v>0</v>
      </c>
      <c r="J649" s="8">
        <f>[1]Data!J649</f>
        <v>0</v>
      </c>
      <c r="K649" s="8">
        <f>[1]Data!K649</f>
        <v>0</v>
      </c>
      <c r="L649" s="8">
        <f>[1]Data!L649</f>
        <v>0</v>
      </c>
      <c r="M649" s="8">
        <f>[1]Data!M649</f>
        <v>0</v>
      </c>
      <c r="N649" s="8">
        <f>[1]Data!N649</f>
        <v>2.2140221402214E-2</v>
      </c>
      <c r="O649" s="8">
        <f>[1]Data!O649</f>
        <v>0</v>
      </c>
      <c r="P649" s="8">
        <f>[1]Data!P649</f>
        <v>0.30627306273062699</v>
      </c>
      <c r="Q649" s="8">
        <f>[1]Data!Q649</f>
        <v>0</v>
      </c>
      <c r="R649" s="8">
        <f>[1]Data!R649</f>
        <v>0</v>
      </c>
      <c r="S649" s="8">
        <f>[1]Data!S649</f>
        <v>0</v>
      </c>
      <c r="T649">
        <f t="shared" si="50"/>
        <v>2.2140221402214E-2</v>
      </c>
      <c r="U649">
        <f t="shared" si="51"/>
        <v>0</v>
      </c>
      <c r="V649" s="4" t="str">
        <f t="shared" si="52"/>
        <v>0</v>
      </c>
      <c r="W649" s="4" t="str">
        <f t="shared" si="53"/>
        <v>2</v>
      </c>
      <c r="X649" s="4" t="str">
        <f t="shared" si="54"/>
        <v>0NON-HS2</v>
      </c>
      <c r="Y649">
        <f>VLOOKUP(X649,Sheet1!$J$5:$K$121,2,FALSE)</f>
        <v>0</v>
      </c>
    </row>
    <row r="650" spans="1:25" x14ac:dyDescent="0.25">
      <c r="A650" s="8">
        <f>[1]Data!A650</f>
        <v>920107</v>
      </c>
      <c r="B650" s="8">
        <f>[1]Data!B650</f>
        <v>2</v>
      </c>
      <c r="C650" s="8">
        <f>[1]Data!C650</f>
        <v>0</v>
      </c>
      <c r="D650" s="8">
        <f>[1]Data!D650</f>
        <v>5</v>
      </c>
      <c r="E650" s="8" t="str">
        <f>[1]Data!E650</f>
        <v>NON-HS</v>
      </c>
      <c r="F650" s="8" t="str">
        <f>[1]Data!F650</f>
        <v>Santa Clarita</v>
      </c>
      <c r="G650" s="8">
        <f>[1]Data!G650</f>
        <v>0</v>
      </c>
      <c r="H650" s="8">
        <f>[1]Data!H650</f>
        <v>0</v>
      </c>
      <c r="I650" s="8">
        <f>[1]Data!I650</f>
        <v>5.4939999999999998</v>
      </c>
      <c r="J650" s="8">
        <f>[1]Data!J650</f>
        <v>5.1560284000000003</v>
      </c>
      <c r="K650" s="8">
        <f>[1]Data!K650</f>
        <v>5.1560284000000003</v>
      </c>
      <c r="L650" s="8">
        <f>[1]Data!L650</f>
        <v>0.33761011780969502</v>
      </c>
      <c r="M650" s="8">
        <f>[1]Data!M650</f>
        <v>5.4936385178096998</v>
      </c>
      <c r="N650" s="8">
        <f>[1]Data!N650</f>
        <v>2.2140221402214E-2</v>
      </c>
      <c r="O650" s="8">
        <f>[1]Data!O650</f>
        <v>0</v>
      </c>
      <c r="P650" s="8">
        <f>[1]Data!P650</f>
        <v>0.30627306273062699</v>
      </c>
      <c r="Q650" s="8">
        <f>[1]Data!Q650</f>
        <v>0</v>
      </c>
      <c r="R650" s="8">
        <f>[1]Data!R650</f>
        <v>0</v>
      </c>
      <c r="S650" s="8">
        <f>[1]Data!S650</f>
        <v>0</v>
      </c>
      <c r="T650">
        <f t="shared" si="50"/>
        <v>2.2140221402214E-2</v>
      </c>
      <c r="U650">
        <f t="shared" si="51"/>
        <v>0</v>
      </c>
      <c r="V650" s="4" t="str">
        <f t="shared" si="52"/>
        <v>0</v>
      </c>
      <c r="W650" s="4" t="str">
        <f t="shared" si="53"/>
        <v>2</v>
      </c>
      <c r="X650" s="4" t="str">
        <f t="shared" si="54"/>
        <v>0NON-HS2</v>
      </c>
      <c r="Y650">
        <f>VLOOKUP(X650,Sheet1!$J$5:$K$121,2,FALSE)</f>
        <v>0</v>
      </c>
    </row>
    <row r="651" spans="1:25" x14ac:dyDescent="0.25">
      <c r="A651" s="8">
        <f>[1]Data!A651</f>
        <v>300200</v>
      </c>
      <c r="B651" s="8">
        <f>[1]Data!B651</f>
        <v>2</v>
      </c>
      <c r="C651" s="8">
        <f>[1]Data!C651</f>
        <v>0</v>
      </c>
      <c r="D651" s="8">
        <f>[1]Data!D651</f>
        <v>5</v>
      </c>
      <c r="E651" s="8" t="str">
        <f>[1]Data!E651</f>
        <v>NON-HS</v>
      </c>
      <c r="F651" s="8" t="str">
        <f>[1]Data!F651</f>
        <v>La Crescenta-Montrose</v>
      </c>
      <c r="G651" s="8">
        <f>[1]Data!G651</f>
        <v>0</v>
      </c>
      <c r="H651" s="8">
        <f>[1]Data!H651</f>
        <v>0</v>
      </c>
      <c r="I651" s="8">
        <f>[1]Data!I651</f>
        <v>2.0950000000000002</v>
      </c>
      <c r="J651" s="8">
        <f>[1]Data!J651</f>
        <v>1.9836996600000001</v>
      </c>
      <c r="K651" s="8">
        <f>[1]Data!K651</f>
        <v>1.9836996600000001</v>
      </c>
      <c r="L651" s="8">
        <f>[1]Data!L651</f>
        <v>0.11117260138240601</v>
      </c>
      <c r="M651" s="8">
        <f>[1]Data!M651</f>
        <v>2.09487226138241</v>
      </c>
      <c r="N651" s="8">
        <f>[1]Data!N651</f>
        <v>2.2140221402214E-2</v>
      </c>
      <c r="O651" s="8">
        <f>[1]Data!O651</f>
        <v>0</v>
      </c>
      <c r="P651" s="8">
        <f>[1]Data!P651</f>
        <v>0.30627306273062699</v>
      </c>
      <c r="Q651" s="8">
        <f>[1]Data!Q651</f>
        <v>0</v>
      </c>
      <c r="R651" s="8">
        <f>[1]Data!R651</f>
        <v>0</v>
      </c>
      <c r="S651" s="8">
        <f>[1]Data!S651</f>
        <v>0</v>
      </c>
      <c r="T651">
        <f t="shared" si="50"/>
        <v>2.2140221402214E-2</v>
      </c>
      <c r="U651">
        <f t="shared" si="51"/>
        <v>0</v>
      </c>
      <c r="V651" s="4" t="str">
        <f t="shared" si="52"/>
        <v>0</v>
      </c>
      <c r="W651" s="4" t="str">
        <f t="shared" si="53"/>
        <v>2</v>
      </c>
      <c r="X651" s="4" t="str">
        <f t="shared" si="54"/>
        <v>0NON-HS2</v>
      </c>
      <c r="Y651">
        <f>VLOOKUP(X651,Sheet1!$J$5:$K$121,2,FALSE)</f>
        <v>0</v>
      </c>
    </row>
    <row r="652" spans="1:25" x14ac:dyDescent="0.25">
      <c r="A652" s="8">
        <f>[1]Data!A652</f>
        <v>311600</v>
      </c>
      <c r="B652" s="8">
        <f>[1]Data!B652</f>
        <v>2</v>
      </c>
      <c r="C652" s="8">
        <f>[1]Data!C652</f>
        <v>0</v>
      </c>
      <c r="D652" s="8">
        <f>[1]Data!D652</f>
        <v>5</v>
      </c>
      <c r="E652" s="8" t="str">
        <f>[1]Data!E652</f>
        <v>NON-HS</v>
      </c>
      <c r="F652" s="8" t="str">
        <f>[1]Data!F652</f>
        <v>Burbank</v>
      </c>
      <c r="G652" s="8">
        <f>[1]Data!G652</f>
        <v>0</v>
      </c>
      <c r="H652" s="8">
        <f>[1]Data!H652</f>
        <v>0</v>
      </c>
      <c r="I652" s="8">
        <f>[1]Data!I652</f>
        <v>0</v>
      </c>
      <c r="J652" s="8">
        <f>[1]Data!J652</f>
        <v>0</v>
      </c>
      <c r="K652" s="8">
        <f>[1]Data!K652</f>
        <v>0</v>
      </c>
      <c r="L652" s="8">
        <f>[1]Data!L652</f>
        <v>0</v>
      </c>
      <c r="M652" s="8">
        <f>[1]Data!M652</f>
        <v>0</v>
      </c>
      <c r="N652" s="8">
        <f>[1]Data!N652</f>
        <v>2.2140221402214E-2</v>
      </c>
      <c r="O652" s="8">
        <f>[1]Data!O652</f>
        <v>0</v>
      </c>
      <c r="P652" s="8">
        <f>[1]Data!P652</f>
        <v>0.30627306273062699</v>
      </c>
      <c r="Q652" s="8">
        <f>[1]Data!Q652</f>
        <v>0</v>
      </c>
      <c r="R652" s="8">
        <f>[1]Data!R652</f>
        <v>0</v>
      </c>
      <c r="S652" s="8">
        <f>[1]Data!S652</f>
        <v>0</v>
      </c>
      <c r="T652">
        <f t="shared" si="50"/>
        <v>2.2140221402214E-2</v>
      </c>
      <c r="U652">
        <f t="shared" si="51"/>
        <v>0</v>
      </c>
      <c r="V652" s="4" t="str">
        <f t="shared" si="52"/>
        <v>0</v>
      </c>
      <c r="W652" s="4" t="str">
        <f t="shared" si="53"/>
        <v>2</v>
      </c>
      <c r="X652" s="4" t="str">
        <f t="shared" si="54"/>
        <v>0NON-HS2</v>
      </c>
      <c r="Y652">
        <f>VLOOKUP(X652,Sheet1!$J$5:$K$121,2,FALSE)</f>
        <v>0</v>
      </c>
    </row>
    <row r="653" spans="1:25" x14ac:dyDescent="0.25">
      <c r="A653" s="8">
        <f>[1]Data!A653</f>
        <v>920043</v>
      </c>
      <c r="B653" s="8">
        <f>[1]Data!B653</f>
        <v>2</v>
      </c>
      <c r="C653" s="8">
        <f>[1]Data!C653</f>
        <v>0</v>
      </c>
      <c r="D653" s="8">
        <f>[1]Data!D653</f>
        <v>5</v>
      </c>
      <c r="E653" s="8" t="str">
        <f>[1]Data!E653</f>
        <v>NON-HS</v>
      </c>
      <c r="F653" s="8" t="str">
        <f>[1]Data!F653</f>
        <v>Santa Clarita</v>
      </c>
      <c r="G653" s="8">
        <f>[1]Data!G653</f>
        <v>0</v>
      </c>
      <c r="H653" s="8">
        <f>[1]Data!H653</f>
        <v>0</v>
      </c>
      <c r="I653" s="8">
        <f>[1]Data!I653</f>
        <v>4.9889999999999999</v>
      </c>
      <c r="J653" s="8">
        <f>[1]Data!J653</f>
        <v>4.6115253100000002</v>
      </c>
      <c r="K653" s="8">
        <f>[1]Data!K653</f>
        <v>4.6115253100000002</v>
      </c>
      <c r="L653" s="8">
        <f>[1]Data!L653</f>
        <v>0.377889522567325</v>
      </c>
      <c r="M653" s="8">
        <f>[1]Data!M653</f>
        <v>4.9894148325673298</v>
      </c>
      <c r="N653" s="8">
        <f>[1]Data!N653</f>
        <v>2.2140221402214E-2</v>
      </c>
      <c r="O653" s="8">
        <f>[1]Data!O653</f>
        <v>0</v>
      </c>
      <c r="P653" s="8">
        <f>[1]Data!P653</f>
        <v>0.30627306273062699</v>
      </c>
      <c r="Q653" s="8">
        <f>[1]Data!Q653</f>
        <v>0</v>
      </c>
      <c r="R653" s="8">
        <f>[1]Data!R653</f>
        <v>0</v>
      </c>
      <c r="S653" s="8">
        <f>[1]Data!S653</f>
        <v>0</v>
      </c>
      <c r="T653">
        <f t="shared" si="50"/>
        <v>2.2140221402214E-2</v>
      </c>
      <c r="U653">
        <f t="shared" si="51"/>
        <v>0</v>
      </c>
      <c r="V653" s="4" t="str">
        <f t="shared" si="52"/>
        <v>0</v>
      </c>
      <c r="W653" s="4" t="str">
        <f t="shared" si="53"/>
        <v>2</v>
      </c>
      <c r="X653" s="4" t="str">
        <f t="shared" si="54"/>
        <v>0NON-HS2</v>
      </c>
      <c r="Y653">
        <f>VLOOKUP(X653,Sheet1!$J$5:$K$121,2,FALSE)</f>
        <v>0</v>
      </c>
    </row>
    <row r="654" spans="1:25" x14ac:dyDescent="0.25">
      <c r="A654" s="8">
        <f>[1]Data!A654</f>
        <v>920109</v>
      </c>
      <c r="B654" s="8">
        <f>[1]Data!B654</f>
        <v>2</v>
      </c>
      <c r="C654" s="8">
        <f>[1]Data!C654</f>
        <v>0</v>
      </c>
      <c r="D654" s="8">
        <f>[1]Data!D654</f>
        <v>5</v>
      </c>
      <c r="E654" s="8" t="str">
        <f>[1]Data!E654</f>
        <v>NON-HS</v>
      </c>
      <c r="F654" s="8" t="str">
        <f>[1]Data!F654</f>
        <v>Santa Clarita</v>
      </c>
      <c r="G654" s="8">
        <f>[1]Data!G654</f>
        <v>0</v>
      </c>
      <c r="H654" s="8">
        <f>[1]Data!H654</f>
        <v>0</v>
      </c>
      <c r="I654" s="8">
        <f>[1]Data!I654</f>
        <v>0</v>
      </c>
      <c r="J654" s="8">
        <f>[1]Data!J654</f>
        <v>0</v>
      </c>
      <c r="K654" s="8">
        <f>[1]Data!K654</f>
        <v>0</v>
      </c>
      <c r="L654" s="8">
        <f>[1]Data!L654</f>
        <v>0</v>
      </c>
      <c r="M654" s="8">
        <f>[1]Data!M654</f>
        <v>0</v>
      </c>
      <c r="N654" s="8">
        <f>[1]Data!N654</f>
        <v>2.2140221402214E-2</v>
      </c>
      <c r="O654" s="8">
        <f>[1]Data!O654</f>
        <v>0</v>
      </c>
      <c r="P654" s="8">
        <f>[1]Data!P654</f>
        <v>0.30627306273062699</v>
      </c>
      <c r="Q654" s="8">
        <f>[1]Data!Q654</f>
        <v>0</v>
      </c>
      <c r="R654" s="8">
        <f>[1]Data!R654</f>
        <v>0</v>
      </c>
      <c r="S654" s="8">
        <f>[1]Data!S654</f>
        <v>0</v>
      </c>
      <c r="T654">
        <f t="shared" si="50"/>
        <v>2.2140221402214E-2</v>
      </c>
      <c r="U654">
        <f t="shared" si="51"/>
        <v>0</v>
      </c>
      <c r="V654" s="4" t="str">
        <f t="shared" si="52"/>
        <v>0</v>
      </c>
      <c r="W654" s="4" t="str">
        <f t="shared" si="53"/>
        <v>2</v>
      </c>
      <c r="X654" s="4" t="str">
        <f t="shared" si="54"/>
        <v>0NON-HS2</v>
      </c>
      <c r="Y654">
        <f>VLOOKUP(X654,Sheet1!$J$5:$K$121,2,FALSE)</f>
        <v>0</v>
      </c>
    </row>
    <row r="655" spans="1:25" x14ac:dyDescent="0.25">
      <c r="A655" s="8">
        <f>[1]Data!A655</f>
        <v>920034</v>
      </c>
      <c r="B655" s="8">
        <f>[1]Data!B655</f>
        <v>2</v>
      </c>
      <c r="C655" s="8">
        <f>[1]Data!C655</f>
        <v>0</v>
      </c>
      <c r="D655" s="8">
        <f>[1]Data!D655</f>
        <v>5</v>
      </c>
      <c r="E655" s="8" t="str">
        <f>[1]Data!E655</f>
        <v>NON-HS</v>
      </c>
      <c r="F655" s="8" t="str">
        <f>[1]Data!F655</f>
        <v>Santa Clarita</v>
      </c>
      <c r="G655" s="8">
        <f>[1]Data!G655</f>
        <v>0</v>
      </c>
      <c r="H655" s="8">
        <f>[1]Data!H655</f>
        <v>0</v>
      </c>
      <c r="I655" s="8">
        <f>[1]Data!I655</f>
        <v>1.591</v>
      </c>
      <c r="J655" s="8">
        <f>[1]Data!J655</f>
        <v>1.43919657</v>
      </c>
      <c r="K655" s="8">
        <f>[1]Data!K655</f>
        <v>1.43919657</v>
      </c>
      <c r="L655" s="8">
        <f>[1]Data!L655</f>
        <v>0.15145200614003601</v>
      </c>
      <c r="M655" s="8">
        <f>[1]Data!M655</f>
        <v>1.59064857614004</v>
      </c>
      <c r="N655" s="8">
        <f>[1]Data!N655</f>
        <v>2.2140221402214E-2</v>
      </c>
      <c r="O655" s="8">
        <f>[1]Data!O655</f>
        <v>0</v>
      </c>
      <c r="P655" s="8">
        <f>[1]Data!P655</f>
        <v>0.30627306273062699</v>
      </c>
      <c r="Q655" s="8">
        <f>[1]Data!Q655</f>
        <v>0</v>
      </c>
      <c r="R655" s="8">
        <f>[1]Data!R655</f>
        <v>0</v>
      </c>
      <c r="S655" s="8">
        <f>[1]Data!S655</f>
        <v>0</v>
      </c>
      <c r="T655">
        <f t="shared" si="50"/>
        <v>2.2140221402214E-2</v>
      </c>
      <c r="U655">
        <f t="shared" si="51"/>
        <v>0</v>
      </c>
      <c r="V655" s="4" t="str">
        <f t="shared" si="52"/>
        <v>0</v>
      </c>
      <c r="W655" s="4" t="str">
        <f t="shared" si="53"/>
        <v>2</v>
      </c>
      <c r="X655" s="4" t="str">
        <f t="shared" si="54"/>
        <v>0NON-HS2</v>
      </c>
      <c r="Y655">
        <f>VLOOKUP(X655,Sheet1!$J$5:$K$121,2,FALSE)</f>
        <v>0</v>
      </c>
    </row>
    <row r="656" spans="1:25" x14ac:dyDescent="0.25">
      <c r="A656" s="8">
        <f>[1]Data!A656</f>
        <v>980001</v>
      </c>
      <c r="B656" s="8">
        <f>[1]Data!B656</f>
        <v>2</v>
      </c>
      <c r="C656" s="8">
        <f>[1]Data!C656</f>
        <v>0</v>
      </c>
      <c r="D656" s="8">
        <f>[1]Data!D656</f>
        <v>5</v>
      </c>
      <c r="E656" s="8" t="str">
        <f>[1]Data!E656</f>
        <v>NON-HS</v>
      </c>
      <c r="F656" s="8" t="str">
        <f>[1]Data!F656</f>
        <v>Burbank</v>
      </c>
      <c r="G656" s="8">
        <f>[1]Data!G656</f>
        <v>0</v>
      </c>
      <c r="H656" s="8">
        <f>[1]Data!H656</f>
        <v>0</v>
      </c>
      <c r="I656" s="8">
        <f>[1]Data!I656</f>
        <v>1.591</v>
      </c>
      <c r="J656" s="8">
        <f>[1]Data!J656</f>
        <v>1.43919657</v>
      </c>
      <c r="K656" s="8">
        <f>[1]Data!K656</f>
        <v>1.43919657</v>
      </c>
      <c r="L656" s="8">
        <f>[1]Data!L656</f>
        <v>0.15145200614003601</v>
      </c>
      <c r="M656" s="8">
        <f>[1]Data!M656</f>
        <v>1.59064857614004</v>
      </c>
      <c r="N656" s="8">
        <f>[1]Data!N656</f>
        <v>2.2140221402214E-2</v>
      </c>
      <c r="O656" s="8">
        <f>[1]Data!O656</f>
        <v>0</v>
      </c>
      <c r="P656" s="8">
        <f>[1]Data!P656</f>
        <v>0.30627306273062699</v>
      </c>
      <c r="Q656" s="8">
        <f>[1]Data!Q656</f>
        <v>0</v>
      </c>
      <c r="R656" s="8">
        <f>[1]Data!R656</f>
        <v>0</v>
      </c>
      <c r="S656" s="8">
        <f>[1]Data!S656</f>
        <v>0</v>
      </c>
      <c r="T656">
        <f t="shared" si="50"/>
        <v>2.2140221402214E-2</v>
      </c>
      <c r="U656">
        <f t="shared" si="51"/>
        <v>0</v>
      </c>
      <c r="V656" s="4" t="str">
        <f t="shared" si="52"/>
        <v>0</v>
      </c>
      <c r="W656" s="4" t="str">
        <f t="shared" si="53"/>
        <v>2</v>
      </c>
      <c r="X656" s="4" t="str">
        <f t="shared" si="54"/>
        <v>0NON-HS2</v>
      </c>
      <c r="Y656">
        <f>VLOOKUP(X656,Sheet1!$J$5:$K$121,2,FALSE)</f>
        <v>0</v>
      </c>
    </row>
    <row r="657" spans="1:25" x14ac:dyDescent="0.25">
      <c r="A657" s="8">
        <f>[1]Data!A657</f>
        <v>920106</v>
      </c>
      <c r="B657" s="8">
        <f>[1]Data!B657</f>
        <v>2</v>
      </c>
      <c r="C657" s="8">
        <f>[1]Data!C657</f>
        <v>0</v>
      </c>
      <c r="D657" s="8">
        <f>[1]Data!D657</f>
        <v>5</v>
      </c>
      <c r="E657" s="8" t="str">
        <f>[1]Data!E657</f>
        <v>NON-HS</v>
      </c>
      <c r="F657" s="8" t="str">
        <f>[1]Data!F657</f>
        <v>Agua Dulce</v>
      </c>
      <c r="G657" s="8">
        <f>[1]Data!G657</f>
        <v>0</v>
      </c>
      <c r="H657" s="8">
        <f>[1]Data!H657</f>
        <v>0</v>
      </c>
      <c r="I657" s="8">
        <f>[1]Data!I657</f>
        <v>5.6120000000000001</v>
      </c>
      <c r="J657" s="8">
        <f>[1]Data!J657</f>
        <v>5.3277761699999999</v>
      </c>
      <c r="K657" s="8">
        <f>[1]Data!K657</f>
        <v>5.3277761699999999</v>
      </c>
      <c r="L657" s="8">
        <f>[1]Data!L657</f>
        <v>0.28324992960502698</v>
      </c>
      <c r="M657" s="8">
        <f>[1]Data!M657</f>
        <v>5.6110260996050298</v>
      </c>
      <c r="N657" s="8">
        <f>[1]Data!N657</f>
        <v>2.2140221402214E-2</v>
      </c>
      <c r="O657" s="8">
        <f>[1]Data!O657</f>
        <v>0</v>
      </c>
      <c r="P657" s="8">
        <f>[1]Data!P657</f>
        <v>0.30627306273062699</v>
      </c>
      <c r="Q657" s="8">
        <f>[1]Data!Q657</f>
        <v>0</v>
      </c>
      <c r="R657" s="8">
        <f>[1]Data!R657</f>
        <v>0</v>
      </c>
      <c r="S657" s="8">
        <f>[1]Data!S657</f>
        <v>0</v>
      </c>
      <c r="T657">
        <f t="shared" si="50"/>
        <v>2.2140221402214E-2</v>
      </c>
      <c r="U657">
        <f t="shared" si="51"/>
        <v>0</v>
      </c>
      <c r="V657" s="4" t="str">
        <f t="shared" si="52"/>
        <v>0</v>
      </c>
      <c r="W657" s="4" t="str">
        <f t="shared" si="53"/>
        <v>2</v>
      </c>
      <c r="X657" s="4" t="str">
        <f t="shared" si="54"/>
        <v>0NON-HS2</v>
      </c>
      <c r="Y657">
        <f>VLOOKUP(X657,Sheet1!$J$5:$K$121,2,FALSE)</f>
        <v>0</v>
      </c>
    </row>
    <row r="658" spans="1:25" x14ac:dyDescent="0.25">
      <c r="A658" s="8">
        <f>[1]Data!A658</f>
        <v>920332</v>
      </c>
      <c r="B658" s="8">
        <f>[1]Data!B658</f>
        <v>2</v>
      </c>
      <c r="C658" s="8">
        <f>[1]Data!C658</f>
        <v>0</v>
      </c>
      <c r="D658" s="8">
        <f>[1]Data!D658</f>
        <v>5</v>
      </c>
      <c r="E658" s="8" t="str">
        <f>[1]Data!E658</f>
        <v>NON-HS</v>
      </c>
      <c r="F658" s="8" t="str">
        <f>[1]Data!F658</f>
        <v>Santa Clarita</v>
      </c>
      <c r="G658" s="8">
        <f>[1]Data!G658</f>
        <v>0</v>
      </c>
      <c r="H658" s="8">
        <f>[1]Data!H658</f>
        <v>0</v>
      </c>
      <c r="I658" s="8">
        <f>[1]Data!I658</f>
        <v>2.0950000000000002</v>
      </c>
      <c r="J658" s="8">
        <f>[1]Data!J658</f>
        <v>1.9836996600000001</v>
      </c>
      <c r="K658" s="8">
        <f>[1]Data!K658</f>
        <v>1.9836996600000001</v>
      </c>
      <c r="L658" s="8">
        <f>[1]Data!L658</f>
        <v>0.11117260138240601</v>
      </c>
      <c r="M658" s="8">
        <f>[1]Data!M658</f>
        <v>2.09487226138241</v>
      </c>
      <c r="N658" s="8">
        <f>[1]Data!N658</f>
        <v>2.2140221402214E-2</v>
      </c>
      <c r="O658" s="8">
        <f>[1]Data!O658</f>
        <v>0</v>
      </c>
      <c r="P658" s="8">
        <f>[1]Data!P658</f>
        <v>0.30627306273062699</v>
      </c>
      <c r="Q658" s="8">
        <f>[1]Data!Q658</f>
        <v>0</v>
      </c>
      <c r="R658" s="8">
        <f>[1]Data!R658</f>
        <v>0</v>
      </c>
      <c r="S658" s="8">
        <f>[1]Data!S658</f>
        <v>0</v>
      </c>
      <c r="T658">
        <f t="shared" si="50"/>
        <v>2.2140221402214E-2</v>
      </c>
      <c r="U658">
        <f t="shared" si="51"/>
        <v>0</v>
      </c>
      <c r="V658" s="4" t="str">
        <f t="shared" si="52"/>
        <v>0</v>
      </c>
      <c r="W658" s="4" t="str">
        <f t="shared" si="53"/>
        <v>2</v>
      </c>
      <c r="X658" s="4" t="str">
        <f t="shared" si="54"/>
        <v>0NON-HS2</v>
      </c>
      <c r="Y658">
        <f>VLOOKUP(X658,Sheet1!$J$5:$K$121,2,FALSE)</f>
        <v>0</v>
      </c>
    </row>
    <row r="659" spans="1:25" x14ac:dyDescent="0.25">
      <c r="A659" s="8">
        <f>[1]Data!A659</f>
        <v>920312</v>
      </c>
      <c r="B659" s="8">
        <f>[1]Data!B659</f>
        <v>2</v>
      </c>
      <c r="C659" s="8">
        <f>[1]Data!C659</f>
        <v>0</v>
      </c>
      <c r="D659" s="8">
        <f>[1]Data!D659</f>
        <v>5</v>
      </c>
      <c r="E659" s="8" t="str">
        <f>[1]Data!E659</f>
        <v>NON-HS</v>
      </c>
      <c r="F659" s="8" t="str">
        <f>[1]Data!F659</f>
        <v>Santa Clarita</v>
      </c>
      <c r="G659" s="8">
        <f>[1]Data!G659</f>
        <v>0</v>
      </c>
      <c r="H659" s="8">
        <f>[1]Data!H659</f>
        <v>0</v>
      </c>
      <c r="I659" s="8">
        <f>[1]Data!I659</f>
        <v>0</v>
      </c>
      <c r="J659" s="8">
        <f>[1]Data!J659</f>
        <v>0</v>
      </c>
      <c r="K659" s="8">
        <f>[1]Data!K659</f>
        <v>0</v>
      </c>
      <c r="L659" s="8">
        <f>[1]Data!L659</f>
        <v>0</v>
      </c>
      <c r="M659" s="8">
        <f>[1]Data!M659</f>
        <v>0</v>
      </c>
      <c r="N659" s="8">
        <f>[1]Data!N659</f>
        <v>2.2140221402214E-2</v>
      </c>
      <c r="O659" s="8">
        <f>[1]Data!O659</f>
        <v>0</v>
      </c>
      <c r="P659" s="8">
        <f>[1]Data!P659</f>
        <v>0.30627306273062699</v>
      </c>
      <c r="Q659" s="8">
        <f>[1]Data!Q659</f>
        <v>0</v>
      </c>
      <c r="R659" s="8">
        <f>[1]Data!R659</f>
        <v>0</v>
      </c>
      <c r="S659" s="8">
        <f>[1]Data!S659</f>
        <v>0</v>
      </c>
      <c r="T659">
        <f t="shared" si="50"/>
        <v>2.2140221402214E-2</v>
      </c>
      <c r="U659">
        <f t="shared" si="51"/>
        <v>0</v>
      </c>
      <c r="V659" s="4" t="str">
        <f t="shared" si="52"/>
        <v>0</v>
      </c>
      <c r="W659" s="4" t="str">
        <f t="shared" si="53"/>
        <v>2</v>
      </c>
      <c r="X659" s="4" t="str">
        <f t="shared" si="54"/>
        <v>0NON-HS2</v>
      </c>
      <c r="Y659">
        <f>VLOOKUP(X659,Sheet1!$J$5:$K$121,2,FALSE)</f>
        <v>0</v>
      </c>
    </row>
    <row r="660" spans="1:25" x14ac:dyDescent="0.25">
      <c r="A660" s="8">
        <f>[1]Data!A660</f>
        <v>460501</v>
      </c>
      <c r="B660" s="8">
        <f>[1]Data!B660</f>
        <v>2</v>
      </c>
      <c r="C660" s="8">
        <f>[1]Data!C660</f>
        <v>0</v>
      </c>
      <c r="D660" s="8">
        <f>[1]Data!D660</f>
        <v>5</v>
      </c>
      <c r="E660" s="8" t="str">
        <f>[1]Data!E660</f>
        <v>NON-HS</v>
      </c>
      <c r="F660" s="8" t="str">
        <f>[1]Data!F660</f>
        <v>La Cañada Flintridge</v>
      </c>
      <c r="G660" s="8">
        <f>[1]Data!G660</f>
        <v>0</v>
      </c>
      <c r="H660" s="8">
        <f>[1]Data!H660</f>
        <v>0</v>
      </c>
      <c r="I660" s="8">
        <f>[1]Data!I660</f>
        <v>0</v>
      </c>
      <c r="J660" s="8">
        <f>[1]Data!J660</f>
        <v>0</v>
      </c>
      <c r="K660" s="8">
        <f>[1]Data!K660</f>
        <v>0</v>
      </c>
      <c r="L660" s="8">
        <f>[1]Data!L660</f>
        <v>0</v>
      </c>
      <c r="M660" s="8">
        <f>[1]Data!M660</f>
        <v>0</v>
      </c>
      <c r="N660" s="8">
        <f>[1]Data!N660</f>
        <v>2.2140221402214E-2</v>
      </c>
      <c r="O660" s="8">
        <f>[1]Data!O660</f>
        <v>0</v>
      </c>
      <c r="P660" s="8">
        <f>[1]Data!P660</f>
        <v>0.30627306273062699</v>
      </c>
      <c r="Q660" s="8">
        <f>[1]Data!Q660</f>
        <v>0</v>
      </c>
      <c r="R660" s="8">
        <f>[1]Data!R660</f>
        <v>0</v>
      </c>
      <c r="S660" s="8">
        <f>[1]Data!S660</f>
        <v>0</v>
      </c>
      <c r="T660">
        <f t="shared" si="50"/>
        <v>2.2140221402214E-2</v>
      </c>
      <c r="U660">
        <f t="shared" si="51"/>
        <v>0</v>
      </c>
      <c r="V660" s="4" t="str">
        <f t="shared" si="52"/>
        <v>0</v>
      </c>
      <c r="W660" s="4" t="str">
        <f t="shared" si="53"/>
        <v>2</v>
      </c>
      <c r="X660" s="4" t="str">
        <f t="shared" si="54"/>
        <v>0NON-HS2</v>
      </c>
      <c r="Y660">
        <f>VLOOKUP(X660,Sheet1!$J$5:$K$121,2,FALSE)</f>
        <v>0</v>
      </c>
    </row>
    <row r="661" spans="1:25" x14ac:dyDescent="0.25">
      <c r="A661" s="8">
        <f>[1]Data!A661</f>
        <v>401901</v>
      </c>
      <c r="B661" s="8">
        <f>[1]Data!B661</f>
        <v>3</v>
      </c>
      <c r="C661" s="8">
        <f>[1]Data!C661</f>
        <v>0</v>
      </c>
      <c r="D661" s="8">
        <f>[1]Data!D661</f>
        <v>1</v>
      </c>
      <c r="E661" s="8" t="str">
        <f>[1]Data!E661</f>
        <v>NON-HS</v>
      </c>
      <c r="F661" s="8" t="str">
        <f>[1]Data!F661</f>
        <v>Claremont</v>
      </c>
      <c r="G661" s="8">
        <f>[1]Data!G661</f>
        <v>0</v>
      </c>
      <c r="H661" s="8">
        <f>[1]Data!H661</f>
        <v>0</v>
      </c>
      <c r="I661" s="8">
        <f>[1]Data!I661</f>
        <v>0</v>
      </c>
      <c r="J661" s="8">
        <f>[1]Data!J661</f>
        <v>0</v>
      </c>
      <c r="K661" s="8">
        <f>[1]Data!K661</f>
        <v>0</v>
      </c>
      <c r="L661" s="8">
        <f>[1]Data!L661</f>
        <v>0</v>
      </c>
      <c r="M661" s="8">
        <f>[1]Data!M661</f>
        <v>0</v>
      </c>
      <c r="N661" s="8">
        <f>[1]Data!N661</f>
        <v>3.09278350515464E-2</v>
      </c>
      <c r="O661" s="8">
        <f>[1]Data!O661</f>
        <v>0</v>
      </c>
      <c r="P661" s="8">
        <f>[1]Data!P661</f>
        <v>1</v>
      </c>
      <c r="Q661" s="8">
        <f>[1]Data!Q661</f>
        <v>0</v>
      </c>
      <c r="R661" s="8">
        <f>[1]Data!R661</f>
        <v>0</v>
      </c>
      <c r="S661" s="8">
        <f>[1]Data!S661</f>
        <v>0</v>
      </c>
      <c r="T661">
        <f t="shared" si="50"/>
        <v>3.09278350515464E-2</v>
      </c>
      <c r="U661">
        <f t="shared" si="51"/>
        <v>0</v>
      </c>
      <c r="V661" s="4" t="str">
        <f t="shared" si="52"/>
        <v>0</v>
      </c>
      <c r="W661" s="4" t="str">
        <f t="shared" si="53"/>
        <v>3</v>
      </c>
      <c r="X661" s="4" t="str">
        <f t="shared" si="54"/>
        <v>0NON-HS3</v>
      </c>
      <c r="Y661">
        <f>VLOOKUP(X661,Sheet1!$J$5:$K$121,2,FALSE)</f>
        <v>0</v>
      </c>
    </row>
    <row r="662" spans="1:25" x14ac:dyDescent="0.25">
      <c r="A662" s="8">
        <f>[1]Data!A662</f>
        <v>481711</v>
      </c>
      <c r="B662" s="8">
        <f>[1]Data!B662</f>
        <v>3</v>
      </c>
      <c r="C662" s="8">
        <f>[1]Data!C662</f>
        <v>0</v>
      </c>
      <c r="D662" s="8">
        <f>[1]Data!D662</f>
        <v>1</v>
      </c>
      <c r="E662" s="8" t="str">
        <f>[1]Data!E662</f>
        <v>NON-HS</v>
      </c>
      <c r="F662" s="8" t="str">
        <f>[1]Data!F662</f>
        <v>Monterey Park</v>
      </c>
      <c r="G662" s="8">
        <f>[1]Data!G662</f>
        <v>0</v>
      </c>
      <c r="H662" s="8">
        <f>[1]Data!H662</f>
        <v>0</v>
      </c>
      <c r="I662" s="8">
        <f>[1]Data!I662</f>
        <v>0</v>
      </c>
      <c r="J662" s="8">
        <f>[1]Data!J662</f>
        <v>0</v>
      </c>
      <c r="K662" s="8">
        <f>[1]Data!K662</f>
        <v>0</v>
      </c>
      <c r="L662" s="8">
        <f>[1]Data!L662</f>
        <v>0</v>
      </c>
      <c r="M662" s="8">
        <f>[1]Data!M662</f>
        <v>0</v>
      </c>
      <c r="N662" s="8">
        <f>[1]Data!N662</f>
        <v>3.09278350515464E-2</v>
      </c>
      <c r="O662" s="8">
        <f>[1]Data!O662</f>
        <v>0</v>
      </c>
      <c r="P662" s="8">
        <f>[1]Data!P662</f>
        <v>1</v>
      </c>
      <c r="Q662" s="8">
        <f>[1]Data!Q662</f>
        <v>0</v>
      </c>
      <c r="R662" s="8">
        <f>[1]Data!R662</f>
        <v>0</v>
      </c>
      <c r="S662" s="8">
        <f>[1]Data!S662</f>
        <v>0</v>
      </c>
      <c r="T662">
        <f t="shared" si="50"/>
        <v>3.09278350515464E-2</v>
      </c>
      <c r="U662">
        <f t="shared" si="51"/>
        <v>0</v>
      </c>
      <c r="V662" s="4" t="str">
        <f t="shared" si="52"/>
        <v>0</v>
      </c>
      <c r="W662" s="4" t="str">
        <f t="shared" si="53"/>
        <v>3</v>
      </c>
      <c r="X662" s="4" t="str">
        <f t="shared" si="54"/>
        <v>0NON-HS3</v>
      </c>
      <c r="Y662">
        <f>VLOOKUP(X662,Sheet1!$J$5:$K$121,2,FALSE)</f>
        <v>0</v>
      </c>
    </row>
    <row r="663" spans="1:25" x14ac:dyDescent="0.25">
      <c r="A663" s="8">
        <f>[1]Data!A663</f>
        <v>408624</v>
      </c>
      <c r="B663" s="8">
        <f>[1]Data!B663</f>
        <v>3</v>
      </c>
      <c r="C663" s="8">
        <f>[1]Data!C663</f>
        <v>0</v>
      </c>
      <c r="D663" s="8">
        <f>[1]Data!D663</f>
        <v>4</v>
      </c>
      <c r="E663" s="8" t="str">
        <f>[1]Data!E663</f>
        <v>NON-HS</v>
      </c>
      <c r="F663" s="8" t="str">
        <f>[1]Data!F663</f>
        <v>Hacienda Heights</v>
      </c>
      <c r="G663" s="8">
        <f>[1]Data!G663</f>
        <v>0</v>
      </c>
      <c r="H663" s="8">
        <f>[1]Data!H663</f>
        <v>0</v>
      </c>
      <c r="I663" s="8">
        <f>[1]Data!I663</f>
        <v>0</v>
      </c>
      <c r="J663" s="8">
        <f>[1]Data!J663</f>
        <v>0</v>
      </c>
      <c r="K663" s="8">
        <f>[1]Data!K663</f>
        <v>0</v>
      </c>
      <c r="L663" s="8">
        <f>[1]Data!L663</f>
        <v>0</v>
      </c>
      <c r="M663" s="8">
        <f>[1]Data!M663</f>
        <v>0</v>
      </c>
      <c r="N663" s="8">
        <f>[1]Data!N663</f>
        <v>3.09278350515464E-2</v>
      </c>
      <c r="O663" s="8">
        <f>[1]Data!O663</f>
        <v>0</v>
      </c>
      <c r="P663" s="8">
        <f>[1]Data!P663</f>
        <v>1</v>
      </c>
      <c r="Q663" s="8">
        <f>[1]Data!Q663</f>
        <v>0</v>
      </c>
      <c r="R663" s="8">
        <f>[1]Data!R663</f>
        <v>0</v>
      </c>
      <c r="S663" s="8">
        <f>[1]Data!S663</f>
        <v>0</v>
      </c>
      <c r="T663">
        <f t="shared" si="50"/>
        <v>3.09278350515464E-2</v>
      </c>
      <c r="U663">
        <f t="shared" si="51"/>
        <v>0</v>
      </c>
      <c r="V663" s="4" t="str">
        <f t="shared" si="52"/>
        <v>0</v>
      </c>
      <c r="W663" s="4" t="str">
        <f t="shared" si="53"/>
        <v>3</v>
      </c>
      <c r="X663" s="4" t="str">
        <f t="shared" si="54"/>
        <v>0NON-HS3</v>
      </c>
      <c r="Y663">
        <f>VLOOKUP(X663,Sheet1!$J$5:$K$121,2,FALSE)</f>
        <v>0</v>
      </c>
    </row>
    <row r="664" spans="1:25" x14ac:dyDescent="0.25">
      <c r="A664" s="8">
        <f>[1]Data!A664</f>
        <v>408139</v>
      </c>
      <c r="B664" s="8">
        <f>[1]Data!B664</f>
        <v>3</v>
      </c>
      <c r="C664" s="8">
        <f>[1]Data!C664</f>
        <v>0</v>
      </c>
      <c r="D664" s="8">
        <f>[1]Data!D664</f>
        <v>1</v>
      </c>
      <c r="E664" s="8" t="str">
        <f>[1]Data!E664</f>
        <v>NON-HS</v>
      </c>
      <c r="F664" s="8" t="str">
        <f>[1]Data!F664</f>
        <v>South San Jose Hills</v>
      </c>
      <c r="G664" s="8">
        <f>[1]Data!G664</f>
        <v>0</v>
      </c>
      <c r="H664" s="8">
        <f>[1]Data!H664</f>
        <v>0</v>
      </c>
      <c r="I664" s="8">
        <f>[1]Data!I664</f>
        <v>0</v>
      </c>
      <c r="J664" s="8">
        <f>[1]Data!J664</f>
        <v>0</v>
      </c>
      <c r="K664" s="8">
        <f>[1]Data!K664</f>
        <v>0</v>
      </c>
      <c r="L664" s="8">
        <f>[1]Data!L664</f>
        <v>0</v>
      </c>
      <c r="M664" s="8">
        <f>[1]Data!M664</f>
        <v>0</v>
      </c>
      <c r="N664" s="8">
        <f>[1]Data!N664</f>
        <v>3.09278350515464E-2</v>
      </c>
      <c r="O664" s="8">
        <f>[1]Data!O664</f>
        <v>0</v>
      </c>
      <c r="P664" s="8">
        <f>[1]Data!P664</f>
        <v>1</v>
      </c>
      <c r="Q664" s="8">
        <f>[1]Data!Q664</f>
        <v>0</v>
      </c>
      <c r="R664" s="8">
        <f>[1]Data!R664</f>
        <v>0</v>
      </c>
      <c r="S664" s="8">
        <f>[1]Data!S664</f>
        <v>0</v>
      </c>
      <c r="T664">
        <f t="shared" si="50"/>
        <v>3.09278350515464E-2</v>
      </c>
      <c r="U664">
        <f t="shared" si="51"/>
        <v>0</v>
      </c>
      <c r="V664" s="4" t="str">
        <f t="shared" si="52"/>
        <v>0</v>
      </c>
      <c r="W664" s="4" t="str">
        <f t="shared" si="53"/>
        <v>3</v>
      </c>
      <c r="X664" s="4" t="str">
        <f t="shared" si="54"/>
        <v>0NON-HS3</v>
      </c>
      <c r="Y664">
        <f>VLOOKUP(X664,Sheet1!$J$5:$K$121,2,FALSE)</f>
        <v>0</v>
      </c>
    </row>
    <row r="665" spans="1:25" x14ac:dyDescent="0.25">
      <c r="A665" s="8">
        <f>[1]Data!A665</f>
        <v>408303</v>
      </c>
      <c r="B665" s="8">
        <f>[1]Data!B665</f>
        <v>3</v>
      </c>
      <c r="C665" s="8">
        <f>[1]Data!C665</f>
        <v>0</v>
      </c>
      <c r="D665" s="8">
        <f>[1]Data!D665</f>
        <v>1</v>
      </c>
      <c r="E665" s="8" t="str">
        <f>[1]Data!E665</f>
        <v>NON-HS</v>
      </c>
      <c r="F665" s="8" t="str">
        <f>[1]Data!F665</f>
        <v>Avocado Heights</v>
      </c>
      <c r="G665" s="8">
        <f>[1]Data!G665</f>
        <v>0</v>
      </c>
      <c r="H665" s="8">
        <f>[1]Data!H665</f>
        <v>0</v>
      </c>
      <c r="I665" s="8">
        <f>[1]Data!I665</f>
        <v>0</v>
      </c>
      <c r="J665" s="8">
        <f>[1]Data!J665</f>
        <v>0</v>
      </c>
      <c r="K665" s="8">
        <f>[1]Data!K665</f>
        <v>0</v>
      </c>
      <c r="L665" s="8">
        <f>[1]Data!L665</f>
        <v>0</v>
      </c>
      <c r="M665" s="8">
        <f>[1]Data!M665</f>
        <v>0</v>
      </c>
      <c r="N665" s="8">
        <f>[1]Data!N665</f>
        <v>3.09278350515464E-2</v>
      </c>
      <c r="O665" s="8">
        <f>[1]Data!O665</f>
        <v>0</v>
      </c>
      <c r="P665" s="8">
        <f>[1]Data!P665</f>
        <v>1</v>
      </c>
      <c r="Q665" s="8">
        <f>[1]Data!Q665</f>
        <v>0</v>
      </c>
      <c r="R665" s="8">
        <f>[1]Data!R665</f>
        <v>0</v>
      </c>
      <c r="S665" s="8">
        <f>[1]Data!S665</f>
        <v>0</v>
      </c>
      <c r="T665">
        <f t="shared" si="50"/>
        <v>3.09278350515464E-2</v>
      </c>
      <c r="U665">
        <f t="shared" si="51"/>
        <v>0</v>
      </c>
      <c r="V665" s="4" t="str">
        <f t="shared" si="52"/>
        <v>0</v>
      </c>
      <c r="W665" s="4" t="str">
        <f t="shared" si="53"/>
        <v>3</v>
      </c>
      <c r="X665" s="4" t="str">
        <f t="shared" si="54"/>
        <v>0NON-HS3</v>
      </c>
      <c r="Y665">
        <f>VLOOKUP(X665,Sheet1!$J$5:$K$121,2,FALSE)</f>
        <v>0</v>
      </c>
    </row>
    <row r="666" spans="1:25" x14ac:dyDescent="0.25">
      <c r="A666" s="8">
        <f>[1]Data!A666</f>
        <v>408135</v>
      </c>
      <c r="B666" s="8">
        <f>[1]Data!B666</f>
        <v>3</v>
      </c>
      <c r="C666" s="8">
        <f>[1]Data!C666</f>
        <v>0</v>
      </c>
      <c r="D666" s="8">
        <f>[1]Data!D666</f>
        <v>1</v>
      </c>
      <c r="E666" s="8" t="str">
        <f>[1]Data!E666</f>
        <v>NON-HS</v>
      </c>
      <c r="F666" s="8" t="str">
        <f>[1]Data!F666</f>
        <v>West Covina</v>
      </c>
      <c r="G666" s="8">
        <f>[1]Data!G666</f>
        <v>0</v>
      </c>
      <c r="H666" s="8">
        <f>[1]Data!H666</f>
        <v>0</v>
      </c>
      <c r="I666" s="8">
        <f>[1]Data!I666</f>
        <v>0</v>
      </c>
      <c r="J666" s="8">
        <f>[1]Data!J666</f>
        <v>0</v>
      </c>
      <c r="K666" s="8">
        <f>[1]Data!K666</f>
        <v>0</v>
      </c>
      <c r="L666" s="8">
        <f>[1]Data!L666</f>
        <v>0</v>
      </c>
      <c r="M666" s="8">
        <f>[1]Data!M666</f>
        <v>0</v>
      </c>
      <c r="N666" s="8">
        <f>[1]Data!N666</f>
        <v>3.09278350515464E-2</v>
      </c>
      <c r="O666" s="8">
        <f>[1]Data!O666</f>
        <v>0</v>
      </c>
      <c r="P666" s="8">
        <f>[1]Data!P666</f>
        <v>1</v>
      </c>
      <c r="Q666" s="8">
        <f>[1]Data!Q666</f>
        <v>0</v>
      </c>
      <c r="R666" s="8">
        <f>[1]Data!R666</f>
        <v>0</v>
      </c>
      <c r="S666" s="8">
        <f>[1]Data!S666</f>
        <v>0</v>
      </c>
      <c r="T666">
        <f t="shared" si="50"/>
        <v>3.09278350515464E-2</v>
      </c>
      <c r="U666">
        <f t="shared" si="51"/>
        <v>0</v>
      </c>
      <c r="V666" s="4" t="str">
        <f t="shared" si="52"/>
        <v>0</v>
      </c>
      <c r="W666" s="4" t="str">
        <f t="shared" si="53"/>
        <v>3</v>
      </c>
      <c r="X666" s="4" t="str">
        <f t="shared" si="54"/>
        <v>0NON-HS3</v>
      </c>
      <c r="Y666">
        <f>VLOOKUP(X666,Sheet1!$J$5:$K$121,2,FALSE)</f>
        <v>0</v>
      </c>
    </row>
    <row r="667" spans="1:25" x14ac:dyDescent="0.25">
      <c r="A667" s="8">
        <f>[1]Data!A667</f>
        <v>408003</v>
      </c>
      <c r="B667" s="8">
        <f>[1]Data!B667</f>
        <v>3</v>
      </c>
      <c r="C667" s="8">
        <f>[1]Data!C667</f>
        <v>0</v>
      </c>
      <c r="D667" s="8">
        <f>[1]Data!D667</f>
        <v>1</v>
      </c>
      <c r="E667" s="8" t="str">
        <f>[1]Data!E667</f>
        <v>NON-HS</v>
      </c>
      <c r="F667" s="8" t="str">
        <f>[1]Data!F667</f>
        <v>West Covina</v>
      </c>
      <c r="G667" s="8">
        <f>[1]Data!G667</f>
        <v>0</v>
      </c>
      <c r="H667" s="8">
        <f>[1]Data!H667</f>
        <v>0</v>
      </c>
      <c r="I667" s="8">
        <f>[1]Data!I667</f>
        <v>0</v>
      </c>
      <c r="J667" s="8">
        <f>[1]Data!J667</f>
        <v>0</v>
      </c>
      <c r="K667" s="8">
        <f>[1]Data!K667</f>
        <v>0</v>
      </c>
      <c r="L667" s="8">
        <f>[1]Data!L667</f>
        <v>0</v>
      </c>
      <c r="M667" s="8">
        <f>[1]Data!M667</f>
        <v>0</v>
      </c>
      <c r="N667" s="8">
        <f>[1]Data!N667</f>
        <v>3.09278350515464E-2</v>
      </c>
      <c r="O667" s="8">
        <f>[1]Data!O667</f>
        <v>0</v>
      </c>
      <c r="P667" s="8">
        <f>[1]Data!P667</f>
        <v>1</v>
      </c>
      <c r="Q667" s="8">
        <f>[1]Data!Q667</f>
        <v>0</v>
      </c>
      <c r="R667" s="8">
        <f>[1]Data!R667</f>
        <v>0</v>
      </c>
      <c r="S667" s="8">
        <f>[1]Data!S667</f>
        <v>0</v>
      </c>
      <c r="T667">
        <f t="shared" si="50"/>
        <v>3.09278350515464E-2</v>
      </c>
      <c r="U667">
        <f t="shared" si="51"/>
        <v>0</v>
      </c>
      <c r="V667" s="4" t="str">
        <f t="shared" si="52"/>
        <v>0</v>
      </c>
      <c r="W667" s="4" t="str">
        <f t="shared" si="53"/>
        <v>3</v>
      </c>
      <c r="X667" s="4" t="str">
        <f t="shared" si="54"/>
        <v>0NON-HS3</v>
      </c>
      <c r="Y667">
        <f>VLOOKUP(X667,Sheet1!$J$5:$K$121,2,FALSE)</f>
        <v>0</v>
      </c>
    </row>
    <row r="668" spans="1:25" x14ac:dyDescent="0.25">
      <c r="A668" s="8">
        <f>[1]Data!A668</f>
        <v>406601</v>
      </c>
      <c r="B668" s="8">
        <f>[1]Data!B668</f>
        <v>3</v>
      </c>
      <c r="C668" s="8">
        <f>[1]Data!C668</f>
        <v>0</v>
      </c>
      <c r="D668" s="8">
        <f>[1]Data!D668</f>
        <v>1</v>
      </c>
      <c r="E668" s="8" t="str">
        <f>[1]Data!E668</f>
        <v>NON-HS</v>
      </c>
      <c r="F668" s="8" t="str">
        <f>[1]Data!F668</f>
        <v>West Covina</v>
      </c>
      <c r="G668" s="8">
        <f>[1]Data!G668</f>
        <v>0</v>
      </c>
      <c r="H668" s="8">
        <f>[1]Data!H668</f>
        <v>0</v>
      </c>
      <c r="I668" s="8">
        <f>[1]Data!I668</f>
        <v>0</v>
      </c>
      <c r="J668" s="8">
        <f>[1]Data!J668</f>
        <v>0</v>
      </c>
      <c r="K668" s="8">
        <f>[1]Data!K668</f>
        <v>0</v>
      </c>
      <c r="L668" s="8">
        <f>[1]Data!L668</f>
        <v>0</v>
      </c>
      <c r="M668" s="8">
        <f>[1]Data!M668</f>
        <v>0</v>
      </c>
      <c r="N668" s="8">
        <f>[1]Data!N668</f>
        <v>3.09278350515464E-2</v>
      </c>
      <c r="O668" s="8">
        <f>[1]Data!O668</f>
        <v>0</v>
      </c>
      <c r="P668" s="8">
        <f>[1]Data!P668</f>
        <v>1</v>
      </c>
      <c r="Q668" s="8">
        <f>[1]Data!Q668</f>
        <v>0</v>
      </c>
      <c r="R668" s="8">
        <f>[1]Data!R668</f>
        <v>0</v>
      </c>
      <c r="S668" s="8">
        <f>[1]Data!S668</f>
        <v>0</v>
      </c>
      <c r="T668">
        <f t="shared" si="50"/>
        <v>3.09278350515464E-2</v>
      </c>
      <c r="U668">
        <f t="shared" si="51"/>
        <v>0</v>
      </c>
      <c r="V668" s="4" t="str">
        <f t="shared" si="52"/>
        <v>0</v>
      </c>
      <c r="W668" s="4" t="str">
        <f t="shared" si="53"/>
        <v>3</v>
      </c>
      <c r="X668" s="4" t="str">
        <f t="shared" si="54"/>
        <v>0NON-HS3</v>
      </c>
      <c r="Y668">
        <f>VLOOKUP(X668,Sheet1!$J$5:$K$121,2,FALSE)</f>
        <v>0</v>
      </c>
    </row>
    <row r="669" spans="1:25" x14ac:dyDescent="0.25">
      <c r="A669" s="8">
        <f>[1]Data!A669</f>
        <v>404903</v>
      </c>
      <c r="B669" s="8">
        <f>[1]Data!B669</f>
        <v>3</v>
      </c>
      <c r="C669" s="8">
        <f>[1]Data!C669</f>
        <v>0</v>
      </c>
      <c r="D669" s="8">
        <f>[1]Data!D669</f>
        <v>1</v>
      </c>
      <c r="E669" s="8" t="str">
        <f>[1]Data!E669</f>
        <v>NON-HS</v>
      </c>
      <c r="F669" s="8" t="str">
        <f>[1]Data!F669</f>
        <v>Baldwin Park</v>
      </c>
      <c r="G669" s="8">
        <f>[1]Data!G669</f>
        <v>0</v>
      </c>
      <c r="H669" s="8">
        <f>[1]Data!H669</f>
        <v>0</v>
      </c>
      <c r="I669" s="8">
        <f>[1]Data!I669</f>
        <v>0</v>
      </c>
      <c r="J669" s="8">
        <f>[1]Data!J669</f>
        <v>0</v>
      </c>
      <c r="K669" s="8">
        <f>[1]Data!K669</f>
        <v>0</v>
      </c>
      <c r="L669" s="8">
        <f>[1]Data!L669</f>
        <v>0</v>
      </c>
      <c r="M669" s="8">
        <f>[1]Data!M669</f>
        <v>0</v>
      </c>
      <c r="N669" s="8">
        <f>[1]Data!N669</f>
        <v>3.09278350515464E-2</v>
      </c>
      <c r="O669" s="8">
        <f>[1]Data!O669</f>
        <v>0</v>
      </c>
      <c r="P669" s="8">
        <f>[1]Data!P669</f>
        <v>1</v>
      </c>
      <c r="Q669" s="8">
        <f>[1]Data!Q669</f>
        <v>0</v>
      </c>
      <c r="R669" s="8">
        <f>[1]Data!R669</f>
        <v>0</v>
      </c>
      <c r="S669" s="8">
        <f>[1]Data!S669</f>
        <v>0</v>
      </c>
      <c r="T669">
        <f t="shared" si="50"/>
        <v>3.09278350515464E-2</v>
      </c>
      <c r="U669">
        <f t="shared" si="51"/>
        <v>0</v>
      </c>
      <c r="V669" s="4" t="str">
        <f t="shared" si="52"/>
        <v>0</v>
      </c>
      <c r="W669" s="4" t="str">
        <f t="shared" si="53"/>
        <v>3</v>
      </c>
      <c r="X669" s="4" t="str">
        <f t="shared" si="54"/>
        <v>0NON-HS3</v>
      </c>
      <c r="Y669">
        <f>VLOOKUP(X669,Sheet1!$J$5:$K$121,2,FALSE)</f>
        <v>0</v>
      </c>
    </row>
    <row r="670" spans="1:25" x14ac:dyDescent="0.25">
      <c r="A670" s="8">
        <f>[1]Data!A670</f>
        <v>404902</v>
      </c>
      <c r="B670" s="8">
        <f>[1]Data!B670</f>
        <v>3</v>
      </c>
      <c r="C670" s="8">
        <f>[1]Data!C670</f>
        <v>0</v>
      </c>
      <c r="D670" s="8">
        <f>[1]Data!D670</f>
        <v>1</v>
      </c>
      <c r="E670" s="8" t="str">
        <f>[1]Data!E670</f>
        <v>NON-HS</v>
      </c>
      <c r="F670" s="8" t="str">
        <f>[1]Data!F670</f>
        <v>Baldwin Park</v>
      </c>
      <c r="G670" s="8">
        <f>[1]Data!G670</f>
        <v>0</v>
      </c>
      <c r="H670" s="8">
        <f>[1]Data!H670</f>
        <v>0</v>
      </c>
      <c r="I670" s="8">
        <f>[1]Data!I670</f>
        <v>0</v>
      </c>
      <c r="J670" s="8">
        <f>[1]Data!J670</f>
        <v>0</v>
      </c>
      <c r="K670" s="8">
        <f>[1]Data!K670</f>
        <v>0</v>
      </c>
      <c r="L670" s="8">
        <f>[1]Data!L670</f>
        <v>0</v>
      </c>
      <c r="M670" s="8">
        <f>[1]Data!M670</f>
        <v>0</v>
      </c>
      <c r="N670" s="8">
        <f>[1]Data!N670</f>
        <v>3.09278350515464E-2</v>
      </c>
      <c r="O670" s="8">
        <f>[1]Data!O670</f>
        <v>0</v>
      </c>
      <c r="P670" s="8">
        <f>[1]Data!P670</f>
        <v>1</v>
      </c>
      <c r="Q670" s="8">
        <f>[1]Data!Q670</f>
        <v>0</v>
      </c>
      <c r="R670" s="8">
        <f>[1]Data!R670</f>
        <v>0</v>
      </c>
      <c r="S670" s="8">
        <f>[1]Data!S670</f>
        <v>0</v>
      </c>
      <c r="T670">
        <f t="shared" si="50"/>
        <v>3.09278350515464E-2</v>
      </c>
      <c r="U670">
        <f t="shared" si="51"/>
        <v>0</v>
      </c>
      <c r="V670" s="4" t="str">
        <f t="shared" si="52"/>
        <v>0</v>
      </c>
      <c r="W670" s="4" t="str">
        <f t="shared" si="53"/>
        <v>3</v>
      </c>
      <c r="X670" s="4" t="str">
        <f t="shared" si="54"/>
        <v>0NON-HS3</v>
      </c>
      <c r="Y670">
        <f>VLOOKUP(X670,Sheet1!$J$5:$K$121,2,FALSE)</f>
        <v>0</v>
      </c>
    </row>
    <row r="671" spans="1:25" x14ac:dyDescent="0.25">
      <c r="A671" s="8">
        <f>[1]Data!A671</f>
        <v>406402</v>
      </c>
      <c r="B671" s="8">
        <f>[1]Data!B671</f>
        <v>3</v>
      </c>
      <c r="C671" s="8">
        <f>[1]Data!C671</f>
        <v>0</v>
      </c>
      <c r="D671" s="8">
        <f>[1]Data!D671</f>
        <v>1</v>
      </c>
      <c r="E671" s="8" t="str">
        <f>[1]Data!E671</f>
        <v>NON-HS</v>
      </c>
      <c r="F671" s="8" t="str">
        <f>[1]Data!F671</f>
        <v>West Covina</v>
      </c>
      <c r="G671" s="8">
        <f>[1]Data!G671</f>
        <v>0</v>
      </c>
      <c r="H671" s="8">
        <f>[1]Data!H671</f>
        <v>0</v>
      </c>
      <c r="I671" s="8">
        <f>[1]Data!I671</f>
        <v>0</v>
      </c>
      <c r="J671" s="8">
        <f>[1]Data!J671</f>
        <v>0</v>
      </c>
      <c r="K671" s="8">
        <f>[1]Data!K671</f>
        <v>0</v>
      </c>
      <c r="L671" s="8">
        <f>[1]Data!L671</f>
        <v>0</v>
      </c>
      <c r="M671" s="8">
        <f>[1]Data!M671</f>
        <v>0</v>
      </c>
      <c r="N671" s="8">
        <f>[1]Data!N671</f>
        <v>3.09278350515464E-2</v>
      </c>
      <c r="O671" s="8">
        <f>[1]Data!O671</f>
        <v>0</v>
      </c>
      <c r="P671" s="8">
        <f>[1]Data!P671</f>
        <v>1</v>
      </c>
      <c r="Q671" s="8">
        <f>[1]Data!Q671</f>
        <v>0</v>
      </c>
      <c r="R671" s="8">
        <f>[1]Data!R671</f>
        <v>0</v>
      </c>
      <c r="S671" s="8">
        <f>[1]Data!S671</f>
        <v>0</v>
      </c>
      <c r="T671">
        <f t="shared" si="50"/>
        <v>3.09278350515464E-2</v>
      </c>
      <c r="U671">
        <f t="shared" si="51"/>
        <v>0</v>
      </c>
      <c r="V671" s="4" t="str">
        <f t="shared" si="52"/>
        <v>0</v>
      </c>
      <c r="W671" s="4" t="str">
        <f t="shared" si="53"/>
        <v>3</v>
      </c>
      <c r="X671" s="4" t="str">
        <f t="shared" si="54"/>
        <v>0NON-HS3</v>
      </c>
      <c r="Y671">
        <f>VLOOKUP(X671,Sheet1!$J$5:$K$121,2,FALSE)</f>
        <v>0</v>
      </c>
    </row>
    <row r="672" spans="1:25" x14ac:dyDescent="0.25">
      <c r="A672" s="8">
        <f>[1]Data!A672</f>
        <v>400304</v>
      </c>
      <c r="B672" s="8">
        <f>[1]Data!B672</f>
        <v>3</v>
      </c>
      <c r="C672" s="8">
        <f>[1]Data!C672</f>
        <v>0</v>
      </c>
      <c r="D672" s="8">
        <f>[1]Data!D672</f>
        <v>5</v>
      </c>
      <c r="E672" s="8" t="str">
        <f>[1]Data!E672</f>
        <v>NON-HS</v>
      </c>
      <c r="F672" s="8" t="str">
        <f>[1]Data!F672</f>
        <v>San Dimas</v>
      </c>
      <c r="G672" s="8">
        <f>[1]Data!G672</f>
        <v>0</v>
      </c>
      <c r="H672" s="8">
        <f>[1]Data!H672</f>
        <v>0</v>
      </c>
      <c r="I672" s="8">
        <f>[1]Data!I672</f>
        <v>1</v>
      </c>
      <c r="J672" s="8">
        <f>[1]Data!J672</f>
        <v>0</v>
      </c>
      <c r="K672" s="8">
        <f>[1]Data!K672</f>
        <v>1</v>
      </c>
      <c r="L672" s="8">
        <f>[1]Data!L672</f>
        <v>0</v>
      </c>
      <c r="M672" s="8">
        <f>[1]Data!M672</f>
        <v>1</v>
      </c>
      <c r="N672" s="8">
        <f>[1]Data!N672</f>
        <v>3.09278350515464E-2</v>
      </c>
      <c r="O672" s="8">
        <f>[1]Data!O672</f>
        <v>0</v>
      </c>
      <c r="P672" s="8">
        <f>[1]Data!P672</f>
        <v>1</v>
      </c>
      <c r="Q672" s="8">
        <f>[1]Data!Q672</f>
        <v>0</v>
      </c>
      <c r="R672" s="8">
        <f>[1]Data!R672</f>
        <v>0</v>
      </c>
      <c r="S672" s="8">
        <f>[1]Data!S672</f>
        <v>0</v>
      </c>
      <c r="T672">
        <f t="shared" si="50"/>
        <v>3.09278350515464E-2</v>
      </c>
      <c r="U672">
        <f t="shared" si="51"/>
        <v>0</v>
      </c>
      <c r="V672" s="4" t="str">
        <f t="shared" si="52"/>
        <v>0</v>
      </c>
      <c r="W672" s="4" t="str">
        <f t="shared" si="53"/>
        <v>3</v>
      </c>
      <c r="X672" s="4" t="str">
        <f t="shared" si="54"/>
        <v>0NON-HS3</v>
      </c>
      <c r="Y672">
        <f>VLOOKUP(X672,Sheet1!$J$5:$K$121,2,FALSE)</f>
        <v>0</v>
      </c>
    </row>
    <row r="673" spans="1:25" x14ac:dyDescent="0.25">
      <c r="A673" s="8">
        <f>[1]Data!A673</f>
        <v>401312</v>
      </c>
      <c r="B673" s="8">
        <f>[1]Data!B673</f>
        <v>3</v>
      </c>
      <c r="C673" s="8">
        <f>[1]Data!C673</f>
        <v>0</v>
      </c>
      <c r="D673" s="8">
        <f>[1]Data!D673</f>
        <v>5</v>
      </c>
      <c r="E673" s="8" t="str">
        <f>[1]Data!E673</f>
        <v>NON-HS</v>
      </c>
      <c r="F673" s="8" t="str">
        <f>[1]Data!F673</f>
        <v>San Dimas</v>
      </c>
      <c r="G673" s="8">
        <f>[1]Data!G673</f>
        <v>0</v>
      </c>
      <c r="H673" s="8">
        <f>[1]Data!H673</f>
        <v>0</v>
      </c>
      <c r="I673" s="8">
        <f>[1]Data!I673</f>
        <v>0</v>
      </c>
      <c r="J673" s="8">
        <f>[1]Data!J673</f>
        <v>0</v>
      </c>
      <c r="K673" s="8">
        <f>[1]Data!K673</f>
        <v>0</v>
      </c>
      <c r="L673" s="8">
        <f>[1]Data!L673</f>
        <v>0</v>
      </c>
      <c r="M673" s="8">
        <f>[1]Data!M673</f>
        <v>0</v>
      </c>
      <c r="N673" s="8">
        <f>[1]Data!N673</f>
        <v>3.09278350515464E-2</v>
      </c>
      <c r="O673" s="8">
        <f>[1]Data!O673</f>
        <v>0</v>
      </c>
      <c r="P673" s="8">
        <f>[1]Data!P673</f>
        <v>1</v>
      </c>
      <c r="Q673" s="8">
        <f>[1]Data!Q673</f>
        <v>0</v>
      </c>
      <c r="R673" s="8">
        <f>[1]Data!R673</f>
        <v>0</v>
      </c>
      <c r="S673" s="8">
        <f>[1]Data!S673</f>
        <v>0</v>
      </c>
      <c r="T673">
        <f t="shared" si="50"/>
        <v>3.09278350515464E-2</v>
      </c>
      <c r="U673">
        <f t="shared" si="51"/>
        <v>0</v>
      </c>
      <c r="V673" s="4" t="str">
        <f t="shared" si="52"/>
        <v>0</v>
      </c>
      <c r="W673" s="4" t="str">
        <f t="shared" si="53"/>
        <v>3</v>
      </c>
      <c r="X673" s="4" t="str">
        <f t="shared" si="54"/>
        <v>0NON-HS3</v>
      </c>
      <c r="Y673">
        <f>VLOOKUP(X673,Sheet1!$J$5:$K$121,2,FALSE)</f>
        <v>0</v>
      </c>
    </row>
    <row r="674" spans="1:25" x14ac:dyDescent="0.25">
      <c r="A674" s="8">
        <f>[1]Data!A674</f>
        <v>400402</v>
      </c>
      <c r="B674" s="8">
        <f>[1]Data!B674</f>
        <v>3</v>
      </c>
      <c r="C674" s="8">
        <f>[1]Data!C674</f>
        <v>0</v>
      </c>
      <c r="D674" s="8">
        <f>[1]Data!D674</f>
        <v>5</v>
      </c>
      <c r="E674" s="8" t="str">
        <f>[1]Data!E674</f>
        <v>NON-HS</v>
      </c>
      <c r="F674" s="8" t="str">
        <f>[1]Data!F674</f>
        <v>Glendora</v>
      </c>
      <c r="G674" s="8">
        <f>[1]Data!G674</f>
        <v>0</v>
      </c>
      <c r="H674" s="8">
        <f>[1]Data!H674</f>
        <v>0</v>
      </c>
      <c r="I674" s="8">
        <f>[1]Data!I674</f>
        <v>0</v>
      </c>
      <c r="J674" s="8">
        <f>[1]Data!J674</f>
        <v>0</v>
      </c>
      <c r="K674" s="8">
        <f>[1]Data!K674</f>
        <v>0</v>
      </c>
      <c r="L674" s="8">
        <f>[1]Data!L674</f>
        <v>0</v>
      </c>
      <c r="M674" s="8">
        <f>[1]Data!M674</f>
        <v>0</v>
      </c>
      <c r="N674" s="8">
        <f>[1]Data!N674</f>
        <v>3.09278350515464E-2</v>
      </c>
      <c r="O674" s="8">
        <f>[1]Data!O674</f>
        <v>0</v>
      </c>
      <c r="P674" s="8">
        <f>[1]Data!P674</f>
        <v>1</v>
      </c>
      <c r="Q674" s="8">
        <f>[1]Data!Q674</f>
        <v>0</v>
      </c>
      <c r="R674" s="8">
        <f>[1]Data!R674</f>
        <v>0</v>
      </c>
      <c r="S674" s="8">
        <f>[1]Data!S674</f>
        <v>0</v>
      </c>
      <c r="T674">
        <f t="shared" si="50"/>
        <v>3.09278350515464E-2</v>
      </c>
      <c r="U674">
        <f t="shared" si="51"/>
        <v>0</v>
      </c>
      <c r="V674" s="4" t="str">
        <f t="shared" si="52"/>
        <v>0</v>
      </c>
      <c r="W674" s="4" t="str">
        <f t="shared" si="53"/>
        <v>3</v>
      </c>
      <c r="X674" s="4" t="str">
        <f t="shared" si="54"/>
        <v>0NON-HS3</v>
      </c>
      <c r="Y674">
        <f>VLOOKUP(X674,Sheet1!$J$5:$K$121,2,FALSE)</f>
        <v>0</v>
      </c>
    </row>
    <row r="675" spans="1:25" x14ac:dyDescent="0.25">
      <c r="A675" s="8">
        <f>[1]Data!A675</f>
        <v>403901</v>
      </c>
      <c r="B675" s="8">
        <f>[1]Data!B675</f>
        <v>3</v>
      </c>
      <c r="C675" s="8">
        <f>[1]Data!C675</f>
        <v>0</v>
      </c>
      <c r="D675" s="8">
        <f>[1]Data!D675</f>
        <v>5</v>
      </c>
      <c r="E675" s="8" t="str">
        <f>[1]Data!E675</f>
        <v>NON-HS</v>
      </c>
      <c r="F675" s="8" t="str">
        <f>[1]Data!F675</f>
        <v>Glendora</v>
      </c>
      <c r="G675" s="8">
        <f>[1]Data!G675</f>
        <v>0</v>
      </c>
      <c r="H675" s="8">
        <f>[1]Data!H675</f>
        <v>0</v>
      </c>
      <c r="I675" s="8">
        <f>[1]Data!I675</f>
        <v>0</v>
      </c>
      <c r="J675" s="8">
        <f>[1]Data!J675</f>
        <v>0</v>
      </c>
      <c r="K675" s="8">
        <f>[1]Data!K675</f>
        <v>0</v>
      </c>
      <c r="L675" s="8">
        <f>[1]Data!L675</f>
        <v>0</v>
      </c>
      <c r="M675" s="8">
        <f>[1]Data!M675</f>
        <v>0</v>
      </c>
      <c r="N675" s="8">
        <f>[1]Data!N675</f>
        <v>3.09278350515464E-2</v>
      </c>
      <c r="O675" s="8">
        <f>[1]Data!O675</f>
        <v>0</v>
      </c>
      <c r="P675" s="8">
        <f>[1]Data!P675</f>
        <v>1</v>
      </c>
      <c r="Q675" s="8">
        <f>[1]Data!Q675</f>
        <v>0</v>
      </c>
      <c r="R675" s="8">
        <f>[1]Data!R675</f>
        <v>0</v>
      </c>
      <c r="S675" s="8">
        <f>[1]Data!S675</f>
        <v>0</v>
      </c>
      <c r="T675">
        <f t="shared" si="50"/>
        <v>3.09278350515464E-2</v>
      </c>
      <c r="U675">
        <f t="shared" si="51"/>
        <v>0</v>
      </c>
      <c r="V675" s="4" t="str">
        <f t="shared" si="52"/>
        <v>0</v>
      </c>
      <c r="W675" s="4" t="str">
        <f t="shared" si="53"/>
        <v>3</v>
      </c>
      <c r="X675" s="4" t="str">
        <f t="shared" si="54"/>
        <v>0NON-HS3</v>
      </c>
      <c r="Y675">
        <f>VLOOKUP(X675,Sheet1!$J$5:$K$121,2,FALSE)</f>
        <v>0</v>
      </c>
    </row>
    <row r="676" spans="1:25" x14ac:dyDescent="0.25">
      <c r="A676" s="8">
        <f>[1]Data!A676</f>
        <v>400403</v>
      </c>
      <c r="B676" s="8">
        <f>[1]Data!B676</f>
        <v>3</v>
      </c>
      <c r="C676" s="8">
        <f>[1]Data!C676</f>
        <v>0</v>
      </c>
      <c r="D676" s="8">
        <f>[1]Data!D676</f>
        <v>5</v>
      </c>
      <c r="E676" s="8" t="str">
        <f>[1]Data!E676</f>
        <v>NON-HS</v>
      </c>
      <c r="F676" s="8" t="str">
        <f>[1]Data!F676</f>
        <v>San Dimas</v>
      </c>
      <c r="G676" s="8">
        <f>[1]Data!G676</f>
        <v>0</v>
      </c>
      <c r="H676" s="8">
        <f>[1]Data!H676</f>
        <v>0</v>
      </c>
      <c r="I676" s="8">
        <f>[1]Data!I676</f>
        <v>0</v>
      </c>
      <c r="J676" s="8">
        <f>[1]Data!J676</f>
        <v>0</v>
      </c>
      <c r="K676" s="8">
        <f>[1]Data!K676</f>
        <v>0</v>
      </c>
      <c r="L676" s="8">
        <f>[1]Data!L676</f>
        <v>0</v>
      </c>
      <c r="M676" s="8">
        <f>[1]Data!M676</f>
        <v>0</v>
      </c>
      <c r="N676" s="8">
        <f>[1]Data!N676</f>
        <v>3.09278350515464E-2</v>
      </c>
      <c r="O676" s="8">
        <f>[1]Data!O676</f>
        <v>0</v>
      </c>
      <c r="P676" s="8">
        <f>[1]Data!P676</f>
        <v>1</v>
      </c>
      <c r="Q676" s="8">
        <f>[1]Data!Q676</f>
        <v>0</v>
      </c>
      <c r="R676" s="8">
        <f>[1]Data!R676</f>
        <v>0</v>
      </c>
      <c r="S676" s="8">
        <f>[1]Data!S676</f>
        <v>0</v>
      </c>
      <c r="T676">
        <f t="shared" si="50"/>
        <v>3.09278350515464E-2</v>
      </c>
      <c r="U676">
        <f t="shared" si="51"/>
        <v>0</v>
      </c>
      <c r="V676" s="4" t="str">
        <f t="shared" si="52"/>
        <v>0</v>
      </c>
      <c r="W676" s="4" t="str">
        <f t="shared" si="53"/>
        <v>3</v>
      </c>
      <c r="X676" s="4" t="str">
        <f t="shared" si="54"/>
        <v>0NON-HS3</v>
      </c>
      <c r="Y676">
        <f>VLOOKUP(X676,Sheet1!$J$5:$K$121,2,FALSE)</f>
        <v>0</v>
      </c>
    </row>
    <row r="677" spans="1:25" x14ac:dyDescent="0.25">
      <c r="A677" s="8">
        <f>[1]Data!A677</f>
        <v>401001</v>
      </c>
      <c r="B677" s="8">
        <f>[1]Data!B677</f>
        <v>3</v>
      </c>
      <c r="C677" s="8">
        <f>[1]Data!C677</f>
        <v>0</v>
      </c>
      <c r="D677" s="8">
        <f>[1]Data!D677</f>
        <v>5</v>
      </c>
      <c r="E677" s="8" t="str">
        <f>[1]Data!E677</f>
        <v>NON-HS</v>
      </c>
      <c r="F677" s="8" t="str">
        <f>[1]Data!F677</f>
        <v>Glendora</v>
      </c>
      <c r="G677" s="8">
        <f>[1]Data!G677</f>
        <v>0</v>
      </c>
      <c r="H677" s="8">
        <f>[1]Data!H677</f>
        <v>0</v>
      </c>
      <c r="I677" s="8">
        <f>[1]Data!I677</f>
        <v>0</v>
      </c>
      <c r="J677" s="8">
        <f>[1]Data!J677</f>
        <v>0</v>
      </c>
      <c r="K677" s="8">
        <f>[1]Data!K677</f>
        <v>0</v>
      </c>
      <c r="L677" s="8">
        <f>[1]Data!L677</f>
        <v>0</v>
      </c>
      <c r="M677" s="8">
        <f>[1]Data!M677</f>
        <v>0</v>
      </c>
      <c r="N677" s="8">
        <f>[1]Data!N677</f>
        <v>3.09278350515464E-2</v>
      </c>
      <c r="O677" s="8">
        <f>[1]Data!O677</f>
        <v>0</v>
      </c>
      <c r="P677" s="8">
        <f>[1]Data!P677</f>
        <v>1</v>
      </c>
      <c r="Q677" s="8">
        <f>[1]Data!Q677</f>
        <v>0</v>
      </c>
      <c r="R677" s="8">
        <f>[1]Data!R677</f>
        <v>0</v>
      </c>
      <c r="S677" s="8">
        <f>[1]Data!S677</f>
        <v>0</v>
      </c>
      <c r="T677">
        <f t="shared" si="50"/>
        <v>3.09278350515464E-2</v>
      </c>
      <c r="U677">
        <f t="shared" si="51"/>
        <v>0</v>
      </c>
      <c r="V677" s="4" t="str">
        <f t="shared" si="52"/>
        <v>0</v>
      </c>
      <c r="W677" s="4" t="str">
        <f t="shared" si="53"/>
        <v>3</v>
      </c>
      <c r="X677" s="4" t="str">
        <f t="shared" si="54"/>
        <v>0NON-HS3</v>
      </c>
      <c r="Y677">
        <f>VLOOKUP(X677,Sheet1!$J$5:$K$121,2,FALSE)</f>
        <v>0</v>
      </c>
    </row>
    <row r="678" spans="1:25" x14ac:dyDescent="0.25">
      <c r="A678" s="8">
        <f>[1]Data!A678</f>
        <v>404901</v>
      </c>
      <c r="B678" s="8">
        <f>[1]Data!B678</f>
        <v>3</v>
      </c>
      <c r="C678" s="8">
        <f>[1]Data!C678</f>
        <v>0</v>
      </c>
      <c r="D678" s="8">
        <f>[1]Data!D678</f>
        <v>1</v>
      </c>
      <c r="E678" s="8" t="str">
        <f>[1]Data!E678</f>
        <v>NON-HS</v>
      </c>
      <c r="F678" s="8" t="str">
        <f>[1]Data!F678</f>
        <v>Baldwin Park</v>
      </c>
      <c r="G678" s="8">
        <f>[1]Data!G678</f>
        <v>1</v>
      </c>
      <c r="H678" s="8">
        <f>[1]Data!H678</f>
        <v>1</v>
      </c>
      <c r="I678" s="8">
        <f>[1]Data!I678</f>
        <v>3.0950000000000002</v>
      </c>
      <c r="J678" s="8">
        <f>[1]Data!J678</f>
        <v>1.9836996600000001</v>
      </c>
      <c r="K678" s="8">
        <f>[1]Data!K678</f>
        <v>2.9836996600000001</v>
      </c>
      <c r="L678" s="8">
        <f>[1]Data!L678</f>
        <v>0.11117260138240601</v>
      </c>
      <c r="M678" s="8">
        <f>[1]Data!M678</f>
        <v>3.09487226138241</v>
      </c>
      <c r="N678" s="8">
        <f>[1]Data!N678</f>
        <v>3.09278350515464E-2</v>
      </c>
      <c r="O678" s="8">
        <f>[1]Data!O678</f>
        <v>32.3333333333333</v>
      </c>
      <c r="P678" s="8">
        <f>[1]Data!P678</f>
        <v>1</v>
      </c>
      <c r="Q678" s="8">
        <f>[1]Data!Q678</f>
        <v>0</v>
      </c>
      <c r="R678" s="8">
        <f>[1]Data!R678</f>
        <v>0</v>
      </c>
      <c r="S678" s="8">
        <f>[1]Data!S678</f>
        <v>0</v>
      </c>
      <c r="T678">
        <f t="shared" si="50"/>
        <v>3.09278350515464E-2</v>
      </c>
      <c r="U678">
        <f t="shared" si="51"/>
        <v>32.333333333333321</v>
      </c>
      <c r="V678" s="4" t="str">
        <f t="shared" si="52"/>
        <v>0</v>
      </c>
      <c r="W678" s="4" t="str">
        <f t="shared" si="53"/>
        <v>3</v>
      </c>
      <c r="X678" s="4" t="str">
        <f t="shared" si="54"/>
        <v>0NON-HS3</v>
      </c>
      <c r="Y678">
        <f>VLOOKUP(X678,Sheet1!$J$5:$K$121,2,FALSE)</f>
        <v>0</v>
      </c>
    </row>
    <row r="679" spans="1:25" x14ac:dyDescent="0.25">
      <c r="A679" s="8">
        <f>[1]Data!A679</f>
        <v>408138</v>
      </c>
      <c r="B679" s="8">
        <f>[1]Data!B679</f>
        <v>3</v>
      </c>
      <c r="C679" s="8">
        <f>[1]Data!C679</f>
        <v>0</v>
      </c>
      <c r="D679" s="8">
        <f>[1]Data!D679</f>
        <v>1</v>
      </c>
      <c r="E679" s="8" t="str">
        <f>[1]Data!E679</f>
        <v>NON-HS</v>
      </c>
      <c r="F679" s="8" t="str">
        <f>[1]Data!F679</f>
        <v>South San Jose Hills</v>
      </c>
      <c r="G679" s="8">
        <f>[1]Data!G679</f>
        <v>0</v>
      </c>
      <c r="H679" s="8">
        <f>[1]Data!H679</f>
        <v>0</v>
      </c>
      <c r="I679" s="8">
        <f>[1]Data!I679</f>
        <v>3.903</v>
      </c>
      <c r="J679" s="8">
        <f>[1]Data!J679</f>
        <v>3.7168318299999998</v>
      </c>
      <c r="K679" s="8">
        <f>[1]Data!K679</f>
        <v>3.7168318299999998</v>
      </c>
      <c r="L679" s="8">
        <f>[1]Data!L679</f>
        <v>0.18615811166965901</v>
      </c>
      <c r="M679" s="8">
        <f>[1]Data!M679</f>
        <v>3.9029899416696598</v>
      </c>
      <c r="N679" s="8">
        <f>[1]Data!N679</f>
        <v>3.09278350515464E-2</v>
      </c>
      <c r="O679" s="8">
        <f>[1]Data!O679</f>
        <v>0</v>
      </c>
      <c r="P679" s="8">
        <f>[1]Data!P679</f>
        <v>1</v>
      </c>
      <c r="Q679" s="8">
        <f>[1]Data!Q679</f>
        <v>0</v>
      </c>
      <c r="R679" s="8">
        <f>[1]Data!R679</f>
        <v>0</v>
      </c>
      <c r="S679" s="8">
        <f>[1]Data!S679</f>
        <v>0</v>
      </c>
      <c r="T679">
        <f t="shared" si="50"/>
        <v>3.09278350515464E-2</v>
      </c>
      <c r="U679">
        <f t="shared" si="51"/>
        <v>0</v>
      </c>
      <c r="V679" s="4" t="str">
        <f t="shared" si="52"/>
        <v>0</v>
      </c>
      <c r="W679" s="4" t="str">
        <f t="shared" si="53"/>
        <v>3</v>
      </c>
      <c r="X679" s="4" t="str">
        <f t="shared" si="54"/>
        <v>0NON-HS3</v>
      </c>
      <c r="Y679">
        <f>VLOOKUP(X679,Sheet1!$J$5:$K$121,2,FALSE)</f>
        <v>0</v>
      </c>
    </row>
    <row r="680" spans="1:25" x14ac:dyDescent="0.25">
      <c r="A680" s="8">
        <f>[1]Data!A680</f>
        <v>401002</v>
      </c>
      <c r="B680" s="8">
        <f>[1]Data!B680</f>
        <v>3</v>
      </c>
      <c r="C680" s="8">
        <f>[1]Data!C680</f>
        <v>0</v>
      </c>
      <c r="D680" s="8">
        <f>[1]Data!D680</f>
        <v>5</v>
      </c>
      <c r="E680" s="8" t="str">
        <f>[1]Data!E680</f>
        <v>NON-HS</v>
      </c>
      <c r="F680" s="8" t="str">
        <f>[1]Data!F680</f>
        <v>Glendora</v>
      </c>
      <c r="G680" s="8">
        <f>[1]Data!G680</f>
        <v>0</v>
      </c>
      <c r="H680" s="8">
        <f>[1]Data!H680</f>
        <v>0</v>
      </c>
      <c r="I680" s="8">
        <f>[1]Data!I680</f>
        <v>1</v>
      </c>
      <c r="J680" s="8">
        <f>[1]Data!J680</f>
        <v>0</v>
      </c>
      <c r="K680" s="8">
        <f>[1]Data!K680</f>
        <v>1</v>
      </c>
      <c r="L680" s="8">
        <f>[1]Data!L680</f>
        <v>0</v>
      </c>
      <c r="M680" s="8">
        <f>[1]Data!M680</f>
        <v>1</v>
      </c>
      <c r="N680" s="8">
        <f>[1]Data!N680</f>
        <v>3.09278350515464E-2</v>
      </c>
      <c r="O680" s="8">
        <f>[1]Data!O680</f>
        <v>0</v>
      </c>
      <c r="P680" s="8">
        <f>[1]Data!P680</f>
        <v>1</v>
      </c>
      <c r="Q680" s="8">
        <f>[1]Data!Q680</f>
        <v>0</v>
      </c>
      <c r="R680" s="8">
        <f>[1]Data!R680</f>
        <v>0</v>
      </c>
      <c r="S680" s="8">
        <f>[1]Data!S680</f>
        <v>0</v>
      </c>
      <c r="T680">
        <f t="shared" si="50"/>
        <v>3.09278350515464E-2</v>
      </c>
      <c r="U680">
        <f t="shared" si="51"/>
        <v>0</v>
      </c>
      <c r="V680" s="4" t="str">
        <f t="shared" si="52"/>
        <v>0</v>
      </c>
      <c r="W680" s="4" t="str">
        <f t="shared" si="53"/>
        <v>3</v>
      </c>
      <c r="X680" s="4" t="str">
        <f t="shared" si="54"/>
        <v>0NON-HS3</v>
      </c>
      <c r="Y680">
        <f>VLOOKUP(X680,Sheet1!$J$5:$K$121,2,FALSE)</f>
        <v>0</v>
      </c>
    </row>
    <row r="681" spans="1:25" x14ac:dyDescent="0.25">
      <c r="A681" s="8">
        <f>[1]Data!A681</f>
        <v>401203</v>
      </c>
      <c r="B681" s="8">
        <f>[1]Data!B681</f>
        <v>3</v>
      </c>
      <c r="C681" s="8">
        <f>[1]Data!C681</f>
        <v>0</v>
      </c>
      <c r="D681" s="8">
        <f>[1]Data!D681</f>
        <v>5</v>
      </c>
      <c r="E681" s="8" t="str">
        <f>[1]Data!E681</f>
        <v>NON-HS</v>
      </c>
      <c r="F681" s="8" t="str">
        <f>[1]Data!F681</f>
        <v>Glendora</v>
      </c>
      <c r="G681" s="8">
        <f>[1]Data!G681</f>
        <v>0</v>
      </c>
      <c r="H681" s="8">
        <f>[1]Data!H681</f>
        <v>0</v>
      </c>
      <c r="I681" s="8">
        <f>[1]Data!I681</f>
        <v>0</v>
      </c>
      <c r="J681" s="8">
        <f>[1]Data!J681</f>
        <v>0</v>
      </c>
      <c r="K681" s="8">
        <f>[1]Data!K681</f>
        <v>0</v>
      </c>
      <c r="L681" s="8">
        <f>[1]Data!L681</f>
        <v>0</v>
      </c>
      <c r="M681" s="8">
        <f>[1]Data!M681</f>
        <v>0</v>
      </c>
      <c r="N681" s="8">
        <f>[1]Data!N681</f>
        <v>3.09278350515464E-2</v>
      </c>
      <c r="O681" s="8">
        <f>[1]Data!O681</f>
        <v>0</v>
      </c>
      <c r="P681" s="8">
        <f>[1]Data!P681</f>
        <v>1</v>
      </c>
      <c r="Q681" s="8">
        <f>[1]Data!Q681</f>
        <v>0</v>
      </c>
      <c r="R681" s="8">
        <f>[1]Data!R681</f>
        <v>0</v>
      </c>
      <c r="S681" s="8">
        <f>[1]Data!S681</f>
        <v>0</v>
      </c>
      <c r="T681">
        <f t="shared" si="50"/>
        <v>3.09278350515464E-2</v>
      </c>
      <c r="U681">
        <f t="shared" si="51"/>
        <v>0</v>
      </c>
      <c r="V681" s="4" t="str">
        <f t="shared" si="52"/>
        <v>0</v>
      </c>
      <c r="W681" s="4" t="str">
        <f t="shared" si="53"/>
        <v>3</v>
      </c>
      <c r="X681" s="4" t="str">
        <f t="shared" si="54"/>
        <v>0NON-HS3</v>
      </c>
      <c r="Y681">
        <f>VLOOKUP(X681,Sheet1!$J$5:$K$121,2,FALSE)</f>
        <v>0</v>
      </c>
    </row>
    <row r="682" spans="1:25" x14ac:dyDescent="0.25">
      <c r="A682" s="8">
        <f>[1]Data!A682</f>
        <v>408005</v>
      </c>
      <c r="B682" s="8">
        <f>[1]Data!B682</f>
        <v>3</v>
      </c>
      <c r="C682" s="8">
        <f>[1]Data!C682</f>
        <v>0</v>
      </c>
      <c r="D682" s="8">
        <f>[1]Data!D682</f>
        <v>1</v>
      </c>
      <c r="E682" s="8" t="str">
        <f>[1]Data!E682</f>
        <v>NON-HS</v>
      </c>
      <c r="F682" s="8" t="str">
        <f>[1]Data!F682</f>
        <v>West Covina</v>
      </c>
      <c r="G682" s="8">
        <f>[1]Data!G682</f>
        <v>0</v>
      </c>
      <c r="H682" s="8">
        <f>[1]Data!H682</f>
        <v>0</v>
      </c>
      <c r="I682" s="8">
        <f>[1]Data!I682</f>
        <v>3.6859999999999999</v>
      </c>
      <c r="J682" s="8">
        <f>[1]Data!J682</f>
        <v>3.4228962300000001</v>
      </c>
      <c r="K682" s="8">
        <f>[1]Data!K682</f>
        <v>3.4228962300000001</v>
      </c>
      <c r="L682" s="8">
        <f>[1]Data!L682</f>
        <v>0.26262460752244199</v>
      </c>
      <c r="M682" s="8">
        <f>[1]Data!M682</f>
        <v>3.6855208375224402</v>
      </c>
      <c r="N682" s="8">
        <f>[1]Data!N682</f>
        <v>3.09278350515464E-2</v>
      </c>
      <c r="O682" s="8">
        <f>[1]Data!O682</f>
        <v>0</v>
      </c>
      <c r="P682" s="8">
        <f>[1]Data!P682</f>
        <v>1</v>
      </c>
      <c r="Q682" s="8">
        <f>[1]Data!Q682</f>
        <v>0</v>
      </c>
      <c r="R682" s="8">
        <f>[1]Data!R682</f>
        <v>0</v>
      </c>
      <c r="S682" s="8">
        <f>[1]Data!S682</f>
        <v>0</v>
      </c>
      <c r="T682">
        <f t="shared" si="50"/>
        <v>3.09278350515464E-2</v>
      </c>
      <c r="U682">
        <f t="shared" si="51"/>
        <v>0</v>
      </c>
      <c r="V682" s="4" t="str">
        <f t="shared" si="52"/>
        <v>0</v>
      </c>
      <c r="W682" s="4" t="str">
        <f t="shared" si="53"/>
        <v>3</v>
      </c>
      <c r="X682" s="4" t="str">
        <f t="shared" si="54"/>
        <v>0NON-HS3</v>
      </c>
      <c r="Y682">
        <f>VLOOKUP(X682,Sheet1!$J$5:$K$121,2,FALSE)</f>
        <v>0</v>
      </c>
    </row>
    <row r="683" spans="1:25" x14ac:dyDescent="0.25">
      <c r="A683" s="8">
        <f>[1]Data!A683</f>
        <v>401201</v>
      </c>
      <c r="B683" s="8">
        <f>[1]Data!B683</f>
        <v>3</v>
      </c>
      <c r="C683" s="8">
        <f>[1]Data!C683</f>
        <v>0</v>
      </c>
      <c r="D683" s="8">
        <f>[1]Data!D683</f>
        <v>5</v>
      </c>
      <c r="E683" s="8" t="str">
        <f>[1]Data!E683</f>
        <v>NON-HS</v>
      </c>
      <c r="F683" s="8" t="str">
        <f>[1]Data!F683</f>
        <v>Glendora</v>
      </c>
      <c r="G683" s="8">
        <f>[1]Data!G683</f>
        <v>0</v>
      </c>
      <c r="H683" s="8">
        <f>[1]Data!H683</f>
        <v>0</v>
      </c>
      <c r="I683" s="8">
        <f>[1]Data!I683</f>
        <v>1</v>
      </c>
      <c r="J683" s="8">
        <f>[1]Data!J683</f>
        <v>0</v>
      </c>
      <c r="K683" s="8">
        <f>[1]Data!K683</f>
        <v>1</v>
      </c>
      <c r="L683" s="8">
        <f>[1]Data!L683</f>
        <v>0</v>
      </c>
      <c r="M683" s="8">
        <f>[1]Data!M683</f>
        <v>1</v>
      </c>
      <c r="N683" s="8">
        <f>[1]Data!N683</f>
        <v>3.09278350515464E-2</v>
      </c>
      <c r="O683" s="8">
        <f>[1]Data!O683</f>
        <v>0</v>
      </c>
      <c r="P683" s="8">
        <f>[1]Data!P683</f>
        <v>1</v>
      </c>
      <c r="Q683" s="8">
        <f>[1]Data!Q683</f>
        <v>0</v>
      </c>
      <c r="R683" s="8">
        <f>[1]Data!R683</f>
        <v>0</v>
      </c>
      <c r="S683" s="8">
        <f>[1]Data!S683</f>
        <v>0</v>
      </c>
      <c r="T683">
        <f t="shared" si="50"/>
        <v>3.09278350515464E-2</v>
      </c>
      <c r="U683">
        <f t="shared" si="51"/>
        <v>0</v>
      </c>
      <c r="V683" s="4" t="str">
        <f t="shared" si="52"/>
        <v>0</v>
      </c>
      <c r="W683" s="4" t="str">
        <f t="shared" si="53"/>
        <v>3</v>
      </c>
      <c r="X683" s="4" t="str">
        <f t="shared" si="54"/>
        <v>0NON-HS3</v>
      </c>
      <c r="Y683">
        <f>VLOOKUP(X683,Sheet1!$J$5:$K$121,2,FALSE)</f>
        <v>0</v>
      </c>
    </row>
    <row r="684" spans="1:25" x14ac:dyDescent="0.25">
      <c r="A684" s="8">
        <f>[1]Data!A684</f>
        <v>403321</v>
      </c>
      <c r="B684" s="8">
        <f>[1]Data!B684</f>
        <v>3</v>
      </c>
      <c r="C684" s="8">
        <f>[1]Data!C684</f>
        <v>0</v>
      </c>
      <c r="D684" s="8">
        <f>[1]Data!D684</f>
        <v>4</v>
      </c>
      <c r="E684" s="8" t="str">
        <f>[1]Data!E684</f>
        <v>NON-HS</v>
      </c>
      <c r="F684" s="8" t="str">
        <f>[1]Data!F684</f>
        <v>Diamond Bar</v>
      </c>
      <c r="G684" s="8">
        <f>[1]Data!G684</f>
        <v>0</v>
      </c>
      <c r="H684" s="8">
        <f>[1]Data!H684</f>
        <v>0</v>
      </c>
      <c r="I684" s="8">
        <f>[1]Data!I684</f>
        <v>2</v>
      </c>
      <c r="J684" s="8">
        <f>[1]Data!J684</f>
        <v>0</v>
      </c>
      <c r="K684" s="8">
        <f>[1]Data!K684</f>
        <v>2</v>
      </c>
      <c r="L684" s="8">
        <f>[1]Data!L684</f>
        <v>0</v>
      </c>
      <c r="M684" s="8">
        <f>[1]Data!M684</f>
        <v>2</v>
      </c>
      <c r="N684" s="8">
        <f>[1]Data!N684</f>
        <v>3.09278350515464E-2</v>
      </c>
      <c r="O684" s="8">
        <f>[1]Data!O684</f>
        <v>0</v>
      </c>
      <c r="P684" s="8">
        <f>[1]Data!P684</f>
        <v>1</v>
      </c>
      <c r="Q684" s="8">
        <f>[1]Data!Q684</f>
        <v>0</v>
      </c>
      <c r="R684" s="8">
        <f>[1]Data!R684</f>
        <v>0</v>
      </c>
      <c r="S684" s="8">
        <f>[1]Data!S684</f>
        <v>0</v>
      </c>
      <c r="T684">
        <f t="shared" si="50"/>
        <v>3.09278350515464E-2</v>
      </c>
      <c r="U684">
        <f t="shared" si="51"/>
        <v>0</v>
      </c>
      <c r="V684" s="4" t="str">
        <f t="shared" si="52"/>
        <v>0</v>
      </c>
      <c r="W684" s="4" t="str">
        <f t="shared" si="53"/>
        <v>3</v>
      </c>
      <c r="X684" s="4" t="str">
        <f t="shared" si="54"/>
        <v>0NON-HS3</v>
      </c>
      <c r="Y684">
        <f>VLOOKUP(X684,Sheet1!$J$5:$K$121,2,FALSE)</f>
        <v>0</v>
      </c>
    </row>
    <row r="685" spans="1:25" x14ac:dyDescent="0.25">
      <c r="A685" s="8">
        <f>[1]Data!A685</f>
        <v>402405</v>
      </c>
      <c r="B685" s="8">
        <f>[1]Data!B685</f>
        <v>3</v>
      </c>
      <c r="C685" s="8">
        <f>[1]Data!C685</f>
        <v>0</v>
      </c>
      <c r="D685" s="8">
        <f>[1]Data!D685</f>
        <v>1</v>
      </c>
      <c r="E685" s="8" t="str">
        <f>[1]Data!E685</f>
        <v>NON-HS</v>
      </c>
      <c r="F685" s="8" t="str">
        <f>[1]Data!F685</f>
        <v>Pomona</v>
      </c>
      <c r="G685" s="8">
        <f>[1]Data!G685</f>
        <v>0</v>
      </c>
      <c r="H685" s="8">
        <f>[1]Data!H685</f>
        <v>0</v>
      </c>
      <c r="I685" s="8">
        <f>[1]Data!I685</f>
        <v>1.9259999999999999</v>
      </c>
      <c r="J685" s="8">
        <f>[1]Data!J685</f>
        <v>1.90487994</v>
      </c>
      <c r="K685" s="8">
        <f>[1]Data!K685</f>
        <v>1.90487994</v>
      </c>
      <c r="L685" s="8">
        <f>[1]Data!L685</f>
        <v>2.0625322082585301E-2</v>
      </c>
      <c r="M685" s="8">
        <f>[1]Data!M685</f>
        <v>1.9255052620825901</v>
      </c>
      <c r="N685" s="8">
        <f>[1]Data!N685</f>
        <v>3.09278350515464E-2</v>
      </c>
      <c r="O685" s="8">
        <f>[1]Data!O685</f>
        <v>0</v>
      </c>
      <c r="P685" s="8">
        <f>[1]Data!P685</f>
        <v>1</v>
      </c>
      <c r="Q685" s="8">
        <f>[1]Data!Q685</f>
        <v>0</v>
      </c>
      <c r="R685" s="8">
        <f>[1]Data!R685</f>
        <v>0</v>
      </c>
      <c r="S685" s="8">
        <f>[1]Data!S685</f>
        <v>0</v>
      </c>
      <c r="T685">
        <f t="shared" si="50"/>
        <v>3.09278350515464E-2</v>
      </c>
      <c r="U685">
        <f t="shared" si="51"/>
        <v>0</v>
      </c>
      <c r="V685" s="4" t="str">
        <f t="shared" si="52"/>
        <v>0</v>
      </c>
      <c r="W685" s="4" t="str">
        <f t="shared" si="53"/>
        <v>3</v>
      </c>
      <c r="X685" s="4" t="str">
        <f t="shared" si="54"/>
        <v>0NON-HS3</v>
      </c>
      <c r="Y685">
        <f>VLOOKUP(X685,Sheet1!$J$5:$K$121,2,FALSE)</f>
        <v>0</v>
      </c>
    </row>
    <row r="686" spans="1:25" x14ac:dyDescent="0.25">
      <c r="A686" s="8">
        <f>[1]Data!A686</f>
        <v>401603</v>
      </c>
      <c r="B686" s="8">
        <f>[1]Data!B686</f>
        <v>3</v>
      </c>
      <c r="C686" s="8">
        <f>[1]Data!C686</f>
        <v>0</v>
      </c>
      <c r="D686" s="8">
        <f>[1]Data!D686</f>
        <v>5</v>
      </c>
      <c r="E686" s="8" t="str">
        <f>[1]Data!E686</f>
        <v>NON-HS</v>
      </c>
      <c r="F686" s="8" t="str">
        <f>[1]Data!F686</f>
        <v>La Verne</v>
      </c>
      <c r="G686" s="8">
        <f>[1]Data!G686</f>
        <v>0</v>
      </c>
      <c r="H686" s="8">
        <f>[1]Data!H686</f>
        <v>0</v>
      </c>
      <c r="I686" s="8">
        <f>[1]Data!I686</f>
        <v>0</v>
      </c>
      <c r="J686" s="8">
        <f>[1]Data!J686</f>
        <v>0</v>
      </c>
      <c r="K686" s="8">
        <f>[1]Data!K686</f>
        <v>0</v>
      </c>
      <c r="L686" s="8">
        <f>[1]Data!L686</f>
        <v>0</v>
      </c>
      <c r="M686" s="8">
        <f>[1]Data!M686</f>
        <v>0</v>
      </c>
      <c r="N686" s="8">
        <f>[1]Data!N686</f>
        <v>3.09278350515464E-2</v>
      </c>
      <c r="O686" s="8">
        <f>[1]Data!O686</f>
        <v>0</v>
      </c>
      <c r="P686" s="8">
        <f>[1]Data!P686</f>
        <v>1</v>
      </c>
      <c r="Q686" s="8">
        <f>[1]Data!Q686</f>
        <v>0</v>
      </c>
      <c r="R686" s="8">
        <f>[1]Data!R686</f>
        <v>0</v>
      </c>
      <c r="S686" s="8">
        <f>[1]Data!S686</f>
        <v>0</v>
      </c>
      <c r="T686">
        <f t="shared" si="50"/>
        <v>3.09278350515464E-2</v>
      </c>
      <c r="U686">
        <f t="shared" si="51"/>
        <v>0</v>
      </c>
      <c r="V686" s="4" t="str">
        <f t="shared" si="52"/>
        <v>0</v>
      </c>
      <c r="W686" s="4" t="str">
        <f t="shared" si="53"/>
        <v>3</v>
      </c>
      <c r="X686" s="4" t="str">
        <f t="shared" si="54"/>
        <v>0NON-HS3</v>
      </c>
      <c r="Y686">
        <f>VLOOKUP(X686,Sheet1!$J$5:$K$121,2,FALSE)</f>
        <v>0</v>
      </c>
    </row>
    <row r="687" spans="1:25" x14ac:dyDescent="0.25">
      <c r="A687" s="8">
        <f>[1]Data!A687</f>
        <v>482202</v>
      </c>
      <c r="B687" s="8">
        <f>[1]Data!B687</f>
        <v>3</v>
      </c>
      <c r="C687" s="8">
        <f>[1]Data!C687</f>
        <v>0</v>
      </c>
      <c r="D687" s="8">
        <f>[1]Data!D687</f>
        <v>1</v>
      </c>
      <c r="E687" s="8" t="str">
        <f>[1]Data!E687</f>
        <v>NON-HS</v>
      </c>
      <c r="F687" s="8" t="str">
        <f>[1]Data!F687</f>
        <v>Monterey Park</v>
      </c>
      <c r="G687" s="8">
        <f>[1]Data!G687</f>
        <v>0</v>
      </c>
      <c r="H687" s="8">
        <f>[1]Data!H687</f>
        <v>0</v>
      </c>
      <c r="I687" s="8">
        <f>[1]Data!I687</f>
        <v>1</v>
      </c>
      <c r="J687" s="8">
        <f>[1]Data!J687</f>
        <v>0</v>
      </c>
      <c r="K687" s="8">
        <f>[1]Data!K687</f>
        <v>1</v>
      </c>
      <c r="L687" s="8">
        <f>[1]Data!L687</f>
        <v>0</v>
      </c>
      <c r="M687" s="8">
        <f>[1]Data!M687</f>
        <v>1</v>
      </c>
      <c r="N687" s="8">
        <f>[1]Data!N687</f>
        <v>3.09278350515464E-2</v>
      </c>
      <c r="O687" s="8">
        <f>[1]Data!O687</f>
        <v>0</v>
      </c>
      <c r="P687" s="8">
        <f>[1]Data!P687</f>
        <v>1</v>
      </c>
      <c r="Q687" s="8">
        <f>[1]Data!Q687</f>
        <v>0</v>
      </c>
      <c r="R687" s="8">
        <f>[1]Data!R687</f>
        <v>0</v>
      </c>
      <c r="S687" s="8">
        <f>[1]Data!S687</f>
        <v>0</v>
      </c>
      <c r="T687">
        <f t="shared" si="50"/>
        <v>3.09278350515464E-2</v>
      </c>
      <c r="U687">
        <f t="shared" si="51"/>
        <v>0</v>
      </c>
      <c r="V687" s="4" t="str">
        <f t="shared" si="52"/>
        <v>0</v>
      </c>
      <c r="W687" s="4" t="str">
        <f t="shared" si="53"/>
        <v>3</v>
      </c>
      <c r="X687" s="4" t="str">
        <f t="shared" si="54"/>
        <v>0NON-HS3</v>
      </c>
      <c r="Y687">
        <f>VLOOKUP(X687,Sheet1!$J$5:$K$121,2,FALSE)</f>
        <v>0</v>
      </c>
    </row>
    <row r="688" spans="1:25" x14ac:dyDescent="0.25">
      <c r="A688" s="8">
        <f>[1]Data!A688</f>
        <v>482304</v>
      </c>
      <c r="B688" s="8">
        <f>[1]Data!B688</f>
        <v>3</v>
      </c>
      <c r="C688" s="8">
        <f>[1]Data!C688</f>
        <v>0</v>
      </c>
      <c r="D688" s="8">
        <f>[1]Data!D688</f>
        <v>1</v>
      </c>
      <c r="E688" s="8" t="str">
        <f>[1]Data!E688</f>
        <v>NON-HS</v>
      </c>
      <c r="F688" s="8" t="str">
        <f>[1]Data!F688</f>
        <v>Rosemead</v>
      </c>
      <c r="G688" s="8">
        <f>[1]Data!G688</f>
        <v>0</v>
      </c>
      <c r="H688" s="8">
        <f>[1]Data!H688</f>
        <v>0</v>
      </c>
      <c r="I688" s="8">
        <f>[1]Data!I688</f>
        <v>0</v>
      </c>
      <c r="J688" s="8">
        <f>[1]Data!J688</f>
        <v>0</v>
      </c>
      <c r="K688" s="8">
        <f>[1]Data!K688</f>
        <v>0</v>
      </c>
      <c r="L688" s="8">
        <f>[1]Data!L688</f>
        <v>0</v>
      </c>
      <c r="M688" s="8">
        <f>[1]Data!M688</f>
        <v>0</v>
      </c>
      <c r="N688" s="8">
        <f>[1]Data!N688</f>
        <v>3.09278350515464E-2</v>
      </c>
      <c r="O688" s="8">
        <f>[1]Data!O688</f>
        <v>0</v>
      </c>
      <c r="P688" s="8">
        <f>[1]Data!P688</f>
        <v>1</v>
      </c>
      <c r="Q688" s="8">
        <f>[1]Data!Q688</f>
        <v>0</v>
      </c>
      <c r="R688" s="8">
        <f>[1]Data!R688</f>
        <v>0</v>
      </c>
      <c r="S688" s="8">
        <f>[1]Data!S688</f>
        <v>0</v>
      </c>
      <c r="T688">
        <f t="shared" si="50"/>
        <v>3.09278350515464E-2</v>
      </c>
      <c r="U688">
        <f t="shared" si="51"/>
        <v>0</v>
      </c>
      <c r="V688" s="4" t="str">
        <f t="shared" si="52"/>
        <v>0</v>
      </c>
      <c r="W688" s="4" t="str">
        <f t="shared" si="53"/>
        <v>3</v>
      </c>
      <c r="X688" s="4" t="str">
        <f t="shared" si="54"/>
        <v>0NON-HS3</v>
      </c>
      <c r="Y688">
        <f>VLOOKUP(X688,Sheet1!$J$5:$K$121,2,FALSE)</f>
        <v>0</v>
      </c>
    </row>
    <row r="689" spans="1:25" x14ac:dyDescent="0.25">
      <c r="A689" s="8">
        <f>[1]Data!A689</f>
        <v>408629</v>
      </c>
      <c r="B689" s="8">
        <f>[1]Data!B689</f>
        <v>3</v>
      </c>
      <c r="C689" s="8">
        <f>[1]Data!C689</f>
        <v>0</v>
      </c>
      <c r="D689" s="8">
        <f>[1]Data!D689</f>
        <v>4</v>
      </c>
      <c r="E689" s="8" t="str">
        <f>[1]Data!E689</f>
        <v>NON-HS</v>
      </c>
      <c r="F689" s="8" t="str">
        <f>[1]Data!F689</f>
        <v>Hacienda Heights</v>
      </c>
      <c r="G689" s="8">
        <f>[1]Data!G689</f>
        <v>0</v>
      </c>
      <c r="H689" s="8">
        <f>[1]Data!H689</f>
        <v>0</v>
      </c>
      <c r="I689" s="8">
        <f>[1]Data!I689</f>
        <v>0</v>
      </c>
      <c r="J689" s="8">
        <f>[1]Data!J689</f>
        <v>0</v>
      </c>
      <c r="K689" s="8">
        <f>[1]Data!K689</f>
        <v>0</v>
      </c>
      <c r="L689" s="8">
        <f>[1]Data!L689</f>
        <v>0</v>
      </c>
      <c r="M689" s="8">
        <f>[1]Data!M689</f>
        <v>0</v>
      </c>
      <c r="N689" s="8">
        <f>[1]Data!N689</f>
        <v>3.09278350515464E-2</v>
      </c>
      <c r="O689" s="8">
        <f>[1]Data!O689</f>
        <v>0</v>
      </c>
      <c r="P689" s="8">
        <f>[1]Data!P689</f>
        <v>1</v>
      </c>
      <c r="Q689" s="8">
        <f>[1]Data!Q689</f>
        <v>0</v>
      </c>
      <c r="R689" s="8">
        <f>[1]Data!R689</f>
        <v>0</v>
      </c>
      <c r="S689" s="8">
        <f>[1]Data!S689</f>
        <v>0</v>
      </c>
      <c r="T689">
        <f t="shared" si="50"/>
        <v>3.09278350515464E-2</v>
      </c>
      <c r="U689">
        <f t="shared" si="51"/>
        <v>0</v>
      </c>
      <c r="V689" s="4" t="str">
        <f t="shared" si="52"/>
        <v>0</v>
      </c>
      <c r="W689" s="4" t="str">
        <f t="shared" si="53"/>
        <v>3</v>
      </c>
      <c r="X689" s="4" t="str">
        <f t="shared" si="54"/>
        <v>0NON-HS3</v>
      </c>
      <c r="Y689">
        <f>VLOOKUP(X689,Sheet1!$J$5:$K$121,2,FALSE)</f>
        <v>0</v>
      </c>
    </row>
    <row r="690" spans="1:25" x14ac:dyDescent="0.25">
      <c r="A690" s="8">
        <f>[1]Data!A690</f>
        <v>401303</v>
      </c>
      <c r="B690" s="8">
        <f>[1]Data!B690</f>
        <v>3</v>
      </c>
      <c r="C690" s="8">
        <f>[1]Data!C690</f>
        <v>0</v>
      </c>
      <c r="D690" s="8">
        <f>[1]Data!D690</f>
        <v>5</v>
      </c>
      <c r="E690" s="8" t="str">
        <f>[1]Data!E690</f>
        <v>NON-HS</v>
      </c>
      <c r="F690" s="8" t="str">
        <f>[1]Data!F690</f>
        <v>San Dimas</v>
      </c>
      <c r="G690" s="8">
        <f>[1]Data!G690</f>
        <v>0</v>
      </c>
      <c r="H690" s="8">
        <f>[1]Data!H690</f>
        <v>0</v>
      </c>
      <c r="I690" s="8">
        <f>[1]Data!I690</f>
        <v>2.0950000000000002</v>
      </c>
      <c r="J690" s="8">
        <f>[1]Data!J690</f>
        <v>1.9836996600000001</v>
      </c>
      <c r="K690" s="8">
        <f>[1]Data!K690</f>
        <v>1.9836996600000001</v>
      </c>
      <c r="L690" s="8">
        <f>[1]Data!L690</f>
        <v>0.11117260138240601</v>
      </c>
      <c r="M690" s="8">
        <f>[1]Data!M690</f>
        <v>2.09487226138241</v>
      </c>
      <c r="N690" s="8">
        <f>[1]Data!N690</f>
        <v>3.09278350515464E-2</v>
      </c>
      <c r="O690" s="8">
        <f>[1]Data!O690</f>
        <v>0</v>
      </c>
      <c r="P690" s="8">
        <f>[1]Data!P690</f>
        <v>1</v>
      </c>
      <c r="Q690" s="8">
        <f>[1]Data!Q690</f>
        <v>0</v>
      </c>
      <c r="R690" s="8">
        <f>[1]Data!R690</f>
        <v>0</v>
      </c>
      <c r="S690" s="8">
        <f>[1]Data!S690</f>
        <v>0</v>
      </c>
      <c r="T690">
        <f t="shared" si="50"/>
        <v>3.09278350515464E-2</v>
      </c>
      <c r="U690">
        <f t="shared" si="51"/>
        <v>0</v>
      </c>
      <c r="V690" s="4" t="str">
        <f t="shared" si="52"/>
        <v>0</v>
      </c>
      <c r="W690" s="4" t="str">
        <f t="shared" si="53"/>
        <v>3</v>
      </c>
      <c r="X690" s="4" t="str">
        <f t="shared" si="54"/>
        <v>0NON-HS3</v>
      </c>
      <c r="Y690">
        <f>VLOOKUP(X690,Sheet1!$J$5:$K$121,2,FALSE)</f>
        <v>0</v>
      </c>
    </row>
    <row r="691" spans="1:25" x14ac:dyDescent="0.25">
      <c r="A691" s="8">
        <f>[1]Data!A691</f>
        <v>480201</v>
      </c>
      <c r="B691" s="8">
        <f>[1]Data!B691</f>
        <v>3</v>
      </c>
      <c r="C691" s="8">
        <f>[1]Data!C691</f>
        <v>0</v>
      </c>
      <c r="D691" s="8">
        <f>[1]Data!D691</f>
        <v>5</v>
      </c>
      <c r="E691" s="8" t="str">
        <f>[1]Data!E691</f>
        <v>NON-HS</v>
      </c>
      <c r="F691" s="8" t="str">
        <f>[1]Data!F691</f>
        <v>San Gabriel</v>
      </c>
      <c r="G691" s="8">
        <f>[1]Data!G691</f>
        <v>0</v>
      </c>
      <c r="H691" s="8">
        <f>[1]Data!H691</f>
        <v>0</v>
      </c>
      <c r="I691" s="8">
        <f>[1]Data!I691</f>
        <v>0</v>
      </c>
      <c r="J691" s="8">
        <f>[1]Data!J691</f>
        <v>0</v>
      </c>
      <c r="K691" s="8">
        <f>[1]Data!K691</f>
        <v>0</v>
      </c>
      <c r="L691" s="8">
        <f>[1]Data!L691</f>
        <v>0</v>
      </c>
      <c r="M691" s="8">
        <f>[1]Data!M691</f>
        <v>0</v>
      </c>
      <c r="N691" s="8">
        <f>[1]Data!N691</f>
        <v>3.09278350515464E-2</v>
      </c>
      <c r="O691" s="8">
        <f>[1]Data!O691</f>
        <v>0</v>
      </c>
      <c r="P691" s="8">
        <f>[1]Data!P691</f>
        <v>1</v>
      </c>
      <c r="Q691" s="8">
        <f>[1]Data!Q691</f>
        <v>0</v>
      </c>
      <c r="R691" s="8">
        <f>[1]Data!R691</f>
        <v>0</v>
      </c>
      <c r="S691" s="8">
        <f>[1]Data!S691</f>
        <v>0</v>
      </c>
      <c r="T691">
        <f t="shared" si="50"/>
        <v>3.09278350515464E-2</v>
      </c>
      <c r="U691">
        <f t="shared" si="51"/>
        <v>0</v>
      </c>
      <c r="V691" s="4" t="str">
        <f t="shared" si="52"/>
        <v>0</v>
      </c>
      <c r="W691" s="4" t="str">
        <f t="shared" si="53"/>
        <v>3</v>
      </c>
      <c r="X691" s="4" t="str">
        <f t="shared" si="54"/>
        <v>0NON-HS3</v>
      </c>
      <c r="Y691">
        <f>VLOOKUP(X691,Sheet1!$J$5:$K$121,2,FALSE)</f>
        <v>0</v>
      </c>
    </row>
    <row r="692" spans="1:25" x14ac:dyDescent="0.25">
      <c r="A692" s="8">
        <f>[1]Data!A692</f>
        <v>401703</v>
      </c>
      <c r="B692" s="8">
        <f>[1]Data!B692</f>
        <v>3</v>
      </c>
      <c r="C692" s="8">
        <f>[1]Data!C692</f>
        <v>0</v>
      </c>
      <c r="D692" s="8">
        <f>[1]Data!D692</f>
        <v>1</v>
      </c>
      <c r="E692" s="8" t="str">
        <f>[1]Data!E692</f>
        <v>NON-HS</v>
      </c>
      <c r="F692" s="8" t="str">
        <f>[1]Data!F692</f>
        <v>Pomona</v>
      </c>
      <c r="G692" s="8">
        <f>[1]Data!G692</f>
        <v>0</v>
      </c>
      <c r="H692" s="8">
        <f>[1]Data!H692</f>
        <v>0</v>
      </c>
      <c r="I692" s="8">
        <f>[1]Data!I692</f>
        <v>5.6859999999999999</v>
      </c>
      <c r="J692" s="8">
        <f>[1]Data!J692</f>
        <v>3.4228962300000001</v>
      </c>
      <c r="K692" s="8">
        <f>[1]Data!K692</f>
        <v>5.4228962300000001</v>
      </c>
      <c r="L692" s="8">
        <f>[1]Data!L692</f>
        <v>0.26262460752244199</v>
      </c>
      <c r="M692" s="8">
        <f>[1]Data!M692</f>
        <v>5.6855208375224402</v>
      </c>
      <c r="N692" s="8">
        <f>[1]Data!N692</f>
        <v>3.09278350515464E-2</v>
      </c>
      <c r="O692" s="8">
        <f>[1]Data!O692</f>
        <v>0</v>
      </c>
      <c r="P692" s="8">
        <f>[1]Data!P692</f>
        <v>1</v>
      </c>
      <c r="Q692" s="8">
        <f>[1]Data!Q692</f>
        <v>0</v>
      </c>
      <c r="R692" s="8">
        <f>[1]Data!R692</f>
        <v>0</v>
      </c>
      <c r="S692" s="8">
        <f>[1]Data!S692</f>
        <v>0</v>
      </c>
      <c r="T692">
        <f t="shared" si="50"/>
        <v>3.09278350515464E-2</v>
      </c>
      <c r="U692">
        <f t="shared" si="51"/>
        <v>0</v>
      </c>
      <c r="V692" s="4" t="str">
        <f t="shared" si="52"/>
        <v>0</v>
      </c>
      <c r="W692" s="4" t="str">
        <f t="shared" si="53"/>
        <v>3</v>
      </c>
      <c r="X692" s="4" t="str">
        <f t="shared" si="54"/>
        <v>0NON-HS3</v>
      </c>
      <c r="Y692">
        <f>VLOOKUP(X692,Sheet1!$J$5:$K$121,2,FALSE)</f>
        <v>0</v>
      </c>
    </row>
    <row r="693" spans="1:25" x14ac:dyDescent="0.25">
      <c r="A693" s="8">
        <f>[1]Data!A693</f>
        <v>408141</v>
      </c>
      <c r="B693" s="8">
        <f>[1]Data!B693</f>
        <v>3</v>
      </c>
      <c r="C693" s="8">
        <f>[1]Data!C693</f>
        <v>0</v>
      </c>
      <c r="D693" s="8">
        <f>[1]Data!D693</f>
        <v>1</v>
      </c>
      <c r="E693" s="8" t="str">
        <f>[1]Data!E693</f>
        <v>NON-HS</v>
      </c>
      <c r="F693" s="8" t="str">
        <f>[1]Data!F693</f>
        <v>South San Jose Hills</v>
      </c>
      <c r="G693" s="8">
        <f>[1]Data!G693</f>
        <v>0</v>
      </c>
      <c r="H693" s="8">
        <f>[1]Data!H693</f>
        <v>0</v>
      </c>
      <c r="I693" s="8">
        <f>[1]Data!I693</f>
        <v>0</v>
      </c>
      <c r="J693" s="8">
        <f>[1]Data!J693</f>
        <v>0</v>
      </c>
      <c r="K693" s="8">
        <f>[1]Data!K693</f>
        <v>0</v>
      </c>
      <c r="L693" s="8">
        <f>[1]Data!L693</f>
        <v>0</v>
      </c>
      <c r="M693" s="8">
        <f>[1]Data!M693</f>
        <v>0</v>
      </c>
      <c r="N693" s="8">
        <f>[1]Data!N693</f>
        <v>3.09278350515464E-2</v>
      </c>
      <c r="O693" s="8">
        <f>[1]Data!O693</f>
        <v>0</v>
      </c>
      <c r="P693" s="8">
        <f>[1]Data!P693</f>
        <v>1</v>
      </c>
      <c r="Q693" s="8">
        <f>[1]Data!Q693</f>
        <v>0</v>
      </c>
      <c r="R693" s="8">
        <f>[1]Data!R693</f>
        <v>0</v>
      </c>
      <c r="S693" s="8">
        <f>[1]Data!S693</f>
        <v>0</v>
      </c>
      <c r="T693">
        <f t="shared" si="50"/>
        <v>3.09278350515464E-2</v>
      </c>
      <c r="U693">
        <f t="shared" si="51"/>
        <v>0</v>
      </c>
      <c r="V693" s="4" t="str">
        <f t="shared" si="52"/>
        <v>0</v>
      </c>
      <c r="W693" s="4" t="str">
        <f t="shared" si="53"/>
        <v>3</v>
      </c>
      <c r="X693" s="4" t="str">
        <f t="shared" si="54"/>
        <v>0NON-HS3</v>
      </c>
      <c r="Y693">
        <f>VLOOKUP(X693,Sheet1!$J$5:$K$121,2,FALSE)</f>
        <v>0</v>
      </c>
    </row>
    <row r="694" spans="1:25" x14ac:dyDescent="0.25">
      <c r="A694" s="8">
        <f>[1]Data!A694</f>
        <v>403305</v>
      </c>
      <c r="B694" s="8">
        <f>[1]Data!B694</f>
        <v>3</v>
      </c>
      <c r="C694" s="8">
        <f>[1]Data!C694</f>
        <v>0</v>
      </c>
      <c r="D694" s="8">
        <f>[1]Data!D694</f>
        <v>4</v>
      </c>
      <c r="E694" s="8" t="str">
        <f>[1]Data!E694</f>
        <v>NON-HS</v>
      </c>
      <c r="F694" s="8" t="str">
        <f>[1]Data!F694</f>
        <v>Diamond Bar</v>
      </c>
      <c r="G694" s="8">
        <f>[1]Data!G694</f>
        <v>0</v>
      </c>
      <c r="H694" s="8">
        <f>[1]Data!H694</f>
        <v>0</v>
      </c>
      <c r="I694" s="8">
        <f>[1]Data!I694</f>
        <v>0</v>
      </c>
      <c r="J694" s="8">
        <f>[1]Data!J694</f>
        <v>0</v>
      </c>
      <c r="K694" s="8">
        <f>[1]Data!K694</f>
        <v>0</v>
      </c>
      <c r="L694" s="8">
        <f>[1]Data!L694</f>
        <v>0</v>
      </c>
      <c r="M694" s="8">
        <f>[1]Data!M694</f>
        <v>0</v>
      </c>
      <c r="N694" s="8">
        <f>[1]Data!N694</f>
        <v>3.09278350515464E-2</v>
      </c>
      <c r="O694" s="8">
        <f>[1]Data!O694</f>
        <v>0</v>
      </c>
      <c r="P694" s="8">
        <f>[1]Data!P694</f>
        <v>1</v>
      </c>
      <c r="Q694" s="8">
        <f>[1]Data!Q694</f>
        <v>0</v>
      </c>
      <c r="R694" s="8">
        <f>[1]Data!R694</f>
        <v>0</v>
      </c>
      <c r="S694" s="8">
        <f>[1]Data!S694</f>
        <v>0</v>
      </c>
      <c r="T694">
        <f t="shared" si="50"/>
        <v>3.09278350515464E-2</v>
      </c>
      <c r="U694">
        <f t="shared" si="51"/>
        <v>0</v>
      </c>
      <c r="V694" s="4" t="str">
        <f t="shared" si="52"/>
        <v>0</v>
      </c>
      <c r="W694" s="4" t="str">
        <f t="shared" si="53"/>
        <v>3</v>
      </c>
      <c r="X694" s="4" t="str">
        <f t="shared" si="54"/>
        <v>0NON-HS3</v>
      </c>
      <c r="Y694">
        <f>VLOOKUP(X694,Sheet1!$J$5:$K$121,2,FALSE)</f>
        <v>0</v>
      </c>
    </row>
    <row r="695" spans="1:25" x14ac:dyDescent="0.25">
      <c r="A695" s="8">
        <f>[1]Data!A695</f>
        <v>402101</v>
      </c>
      <c r="B695" s="8">
        <f>[1]Data!B695</f>
        <v>3</v>
      </c>
      <c r="C695" s="8">
        <f>[1]Data!C695</f>
        <v>0</v>
      </c>
      <c r="D695" s="8">
        <f>[1]Data!D695</f>
        <v>1</v>
      </c>
      <c r="E695" s="8" t="str">
        <f>[1]Data!E695</f>
        <v>NON-HS</v>
      </c>
      <c r="F695" s="8" t="str">
        <f>[1]Data!F695</f>
        <v>Pomona</v>
      </c>
      <c r="G695" s="8">
        <f>[1]Data!G695</f>
        <v>0</v>
      </c>
      <c r="H695" s="8">
        <f>[1]Data!H695</f>
        <v>0</v>
      </c>
      <c r="I695" s="8">
        <f>[1]Data!I695</f>
        <v>0</v>
      </c>
      <c r="J695" s="8">
        <f>[1]Data!J695</f>
        <v>0</v>
      </c>
      <c r="K695" s="8">
        <f>[1]Data!K695</f>
        <v>0</v>
      </c>
      <c r="L695" s="8">
        <f>[1]Data!L695</f>
        <v>0</v>
      </c>
      <c r="M695" s="8">
        <f>[1]Data!M695</f>
        <v>0</v>
      </c>
      <c r="N695" s="8">
        <f>[1]Data!N695</f>
        <v>3.09278350515464E-2</v>
      </c>
      <c r="O695" s="8">
        <f>[1]Data!O695</f>
        <v>0</v>
      </c>
      <c r="P695" s="8">
        <f>[1]Data!P695</f>
        <v>1</v>
      </c>
      <c r="Q695" s="8">
        <f>[1]Data!Q695</f>
        <v>0</v>
      </c>
      <c r="R695" s="8">
        <f>[1]Data!R695</f>
        <v>0</v>
      </c>
      <c r="S695" s="8">
        <f>[1]Data!S695</f>
        <v>0</v>
      </c>
      <c r="T695">
        <f t="shared" si="50"/>
        <v>3.09278350515464E-2</v>
      </c>
      <c r="U695">
        <f t="shared" si="51"/>
        <v>0</v>
      </c>
      <c r="V695" s="4" t="str">
        <f t="shared" si="52"/>
        <v>0</v>
      </c>
      <c r="W695" s="4" t="str">
        <f t="shared" si="53"/>
        <v>3</v>
      </c>
      <c r="X695" s="4" t="str">
        <f t="shared" si="54"/>
        <v>0NON-HS3</v>
      </c>
      <c r="Y695">
        <f>VLOOKUP(X695,Sheet1!$J$5:$K$121,2,FALSE)</f>
        <v>0</v>
      </c>
    </row>
    <row r="696" spans="1:25" x14ac:dyDescent="0.25">
      <c r="A696" s="8">
        <f>[1]Data!A696</f>
        <v>401101</v>
      </c>
      <c r="B696" s="8">
        <f>[1]Data!B696</f>
        <v>3</v>
      </c>
      <c r="C696" s="8">
        <f>[1]Data!C696</f>
        <v>0</v>
      </c>
      <c r="D696" s="8">
        <f>[1]Data!D696</f>
        <v>5</v>
      </c>
      <c r="E696" s="8" t="str">
        <f>[1]Data!E696</f>
        <v>NON-HS</v>
      </c>
      <c r="F696" s="8" t="str">
        <f>[1]Data!F696</f>
        <v>Glendora</v>
      </c>
      <c r="G696" s="8">
        <f>[1]Data!G696</f>
        <v>0</v>
      </c>
      <c r="H696" s="8">
        <f>[1]Data!H696</f>
        <v>0</v>
      </c>
      <c r="I696" s="8">
        <f>[1]Data!I696</f>
        <v>1.9259999999999999</v>
      </c>
      <c r="J696" s="8">
        <f>[1]Data!J696</f>
        <v>1.90487994</v>
      </c>
      <c r="K696" s="8">
        <f>[1]Data!K696</f>
        <v>1.90487994</v>
      </c>
      <c r="L696" s="8">
        <f>[1]Data!L696</f>
        <v>2.0625322082585301E-2</v>
      </c>
      <c r="M696" s="8">
        <f>[1]Data!M696</f>
        <v>1.9255052620825901</v>
      </c>
      <c r="N696" s="8">
        <f>[1]Data!N696</f>
        <v>3.09278350515464E-2</v>
      </c>
      <c r="O696" s="8">
        <f>[1]Data!O696</f>
        <v>0</v>
      </c>
      <c r="P696" s="8">
        <f>[1]Data!P696</f>
        <v>1</v>
      </c>
      <c r="Q696" s="8">
        <f>[1]Data!Q696</f>
        <v>0</v>
      </c>
      <c r="R696" s="8">
        <f>[1]Data!R696</f>
        <v>0</v>
      </c>
      <c r="S696" s="8">
        <f>[1]Data!S696</f>
        <v>0</v>
      </c>
      <c r="T696">
        <f t="shared" si="50"/>
        <v>3.09278350515464E-2</v>
      </c>
      <c r="U696">
        <f t="shared" si="51"/>
        <v>0</v>
      </c>
      <c r="V696" s="4" t="str">
        <f t="shared" si="52"/>
        <v>0</v>
      </c>
      <c r="W696" s="4" t="str">
        <f t="shared" si="53"/>
        <v>3</v>
      </c>
      <c r="X696" s="4" t="str">
        <f t="shared" si="54"/>
        <v>0NON-HS3</v>
      </c>
      <c r="Y696">
        <f>VLOOKUP(X696,Sheet1!$J$5:$K$121,2,FALSE)</f>
        <v>0</v>
      </c>
    </row>
    <row r="697" spans="1:25" x14ac:dyDescent="0.25">
      <c r="A697" s="8">
        <f>[1]Data!A697</f>
        <v>400501</v>
      </c>
      <c r="B697" s="8">
        <f>[1]Data!B697</f>
        <v>3</v>
      </c>
      <c r="C697" s="8">
        <f>[1]Data!C697</f>
        <v>0</v>
      </c>
      <c r="D697" s="8">
        <f>[1]Data!D697</f>
        <v>5</v>
      </c>
      <c r="E697" s="8" t="str">
        <f>[1]Data!E697</f>
        <v>NON-HS</v>
      </c>
      <c r="F697" s="8" t="str">
        <f>[1]Data!F697</f>
        <v>Glendora</v>
      </c>
      <c r="G697" s="8">
        <f>[1]Data!G697</f>
        <v>0</v>
      </c>
      <c r="H697" s="8">
        <f>[1]Data!H697</f>
        <v>0</v>
      </c>
      <c r="I697" s="8">
        <f>[1]Data!I697</f>
        <v>0</v>
      </c>
      <c r="J697" s="8">
        <f>[1]Data!J697</f>
        <v>0</v>
      </c>
      <c r="K697" s="8">
        <f>[1]Data!K697</f>
        <v>0</v>
      </c>
      <c r="L697" s="8">
        <f>[1]Data!L697</f>
        <v>0</v>
      </c>
      <c r="M697" s="8">
        <f>[1]Data!M697</f>
        <v>0</v>
      </c>
      <c r="N697" s="8">
        <f>[1]Data!N697</f>
        <v>3.09278350515464E-2</v>
      </c>
      <c r="O697" s="8">
        <f>[1]Data!O697</f>
        <v>0</v>
      </c>
      <c r="P697" s="8">
        <f>[1]Data!P697</f>
        <v>1</v>
      </c>
      <c r="Q697" s="8">
        <f>[1]Data!Q697</f>
        <v>0</v>
      </c>
      <c r="R697" s="8">
        <f>[1]Data!R697</f>
        <v>0</v>
      </c>
      <c r="S697" s="8">
        <f>[1]Data!S697</f>
        <v>0</v>
      </c>
      <c r="T697">
        <f t="shared" si="50"/>
        <v>3.09278350515464E-2</v>
      </c>
      <c r="U697">
        <f t="shared" si="51"/>
        <v>0</v>
      </c>
      <c r="V697" s="4" t="str">
        <f t="shared" si="52"/>
        <v>0</v>
      </c>
      <c r="W697" s="4" t="str">
        <f t="shared" si="53"/>
        <v>3</v>
      </c>
      <c r="X697" s="4" t="str">
        <f t="shared" si="54"/>
        <v>0NON-HS3</v>
      </c>
      <c r="Y697">
        <f>VLOOKUP(X697,Sheet1!$J$5:$K$121,2,FALSE)</f>
        <v>0</v>
      </c>
    </row>
    <row r="698" spans="1:25" x14ac:dyDescent="0.25">
      <c r="A698" s="8">
        <f>[1]Data!A698</f>
        <v>403303</v>
      </c>
      <c r="B698" s="8">
        <f>[1]Data!B698</f>
        <v>3</v>
      </c>
      <c r="C698" s="8">
        <f>[1]Data!C698</f>
        <v>0</v>
      </c>
      <c r="D698" s="8">
        <f>[1]Data!D698</f>
        <v>4</v>
      </c>
      <c r="E698" s="8" t="str">
        <f>[1]Data!E698</f>
        <v>NON-HS</v>
      </c>
      <c r="F698" s="8" t="str">
        <f>[1]Data!F698</f>
        <v>Industry</v>
      </c>
      <c r="G698" s="8">
        <f>[1]Data!G698</f>
        <v>0</v>
      </c>
      <c r="H698" s="8">
        <f>[1]Data!H698</f>
        <v>0</v>
      </c>
      <c r="I698" s="8">
        <f>[1]Data!I698</f>
        <v>1.9259999999999999</v>
      </c>
      <c r="J698" s="8">
        <f>[1]Data!J698</f>
        <v>1.90487994</v>
      </c>
      <c r="K698" s="8">
        <f>[1]Data!K698</f>
        <v>1.90487994</v>
      </c>
      <c r="L698" s="8">
        <f>[1]Data!L698</f>
        <v>2.0625322082585301E-2</v>
      </c>
      <c r="M698" s="8">
        <f>[1]Data!M698</f>
        <v>1.9255052620825901</v>
      </c>
      <c r="N698" s="8">
        <f>[1]Data!N698</f>
        <v>3.09278350515464E-2</v>
      </c>
      <c r="O698" s="8">
        <f>[1]Data!O698</f>
        <v>0</v>
      </c>
      <c r="P698" s="8">
        <f>[1]Data!P698</f>
        <v>1</v>
      </c>
      <c r="Q698" s="8">
        <f>[1]Data!Q698</f>
        <v>0</v>
      </c>
      <c r="R698" s="8">
        <f>[1]Data!R698</f>
        <v>0</v>
      </c>
      <c r="S698" s="8">
        <f>[1]Data!S698</f>
        <v>0</v>
      </c>
      <c r="T698">
        <f t="shared" si="50"/>
        <v>3.09278350515464E-2</v>
      </c>
      <c r="U698">
        <f t="shared" si="51"/>
        <v>0</v>
      </c>
      <c r="V698" s="4" t="str">
        <f t="shared" si="52"/>
        <v>0</v>
      </c>
      <c r="W698" s="4" t="str">
        <f t="shared" si="53"/>
        <v>3</v>
      </c>
      <c r="X698" s="4" t="str">
        <f t="shared" si="54"/>
        <v>0NON-HS3</v>
      </c>
      <c r="Y698">
        <f>VLOOKUP(X698,Sheet1!$J$5:$K$121,2,FALSE)</f>
        <v>0</v>
      </c>
    </row>
    <row r="699" spans="1:25" x14ac:dyDescent="0.25">
      <c r="A699" s="8">
        <f>[1]Data!A699</f>
        <v>403404</v>
      </c>
      <c r="B699" s="8">
        <f>[1]Data!B699</f>
        <v>3</v>
      </c>
      <c r="C699" s="8">
        <f>[1]Data!C699</f>
        <v>0</v>
      </c>
      <c r="D699" s="8">
        <f>[1]Data!D699</f>
        <v>1</v>
      </c>
      <c r="E699" s="8" t="str">
        <f>[1]Data!E699</f>
        <v>NON-HS</v>
      </c>
      <c r="F699" s="8" t="str">
        <f>[1]Data!F699</f>
        <v>Walnut</v>
      </c>
      <c r="G699" s="8">
        <f>[1]Data!G699</f>
        <v>0</v>
      </c>
      <c r="H699" s="8">
        <f>[1]Data!H699</f>
        <v>0</v>
      </c>
      <c r="I699" s="8">
        <f>[1]Data!I699</f>
        <v>0</v>
      </c>
      <c r="J699" s="8">
        <f>[1]Data!J699</f>
        <v>0</v>
      </c>
      <c r="K699" s="8">
        <f>[1]Data!K699</f>
        <v>0</v>
      </c>
      <c r="L699" s="8">
        <f>[1]Data!L699</f>
        <v>0</v>
      </c>
      <c r="M699" s="8">
        <f>[1]Data!M699</f>
        <v>0</v>
      </c>
      <c r="N699" s="8">
        <f>[1]Data!N699</f>
        <v>3.09278350515464E-2</v>
      </c>
      <c r="O699" s="8">
        <f>[1]Data!O699</f>
        <v>0</v>
      </c>
      <c r="P699" s="8">
        <f>[1]Data!P699</f>
        <v>1</v>
      </c>
      <c r="Q699" s="8">
        <f>[1]Data!Q699</f>
        <v>0</v>
      </c>
      <c r="R699" s="8">
        <f>[1]Data!R699</f>
        <v>0</v>
      </c>
      <c r="S699" s="8">
        <f>[1]Data!S699</f>
        <v>0</v>
      </c>
      <c r="T699">
        <f t="shared" si="50"/>
        <v>3.09278350515464E-2</v>
      </c>
      <c r="U699">
        <f t="shared" si="51"/>
        <v>0</v>
      </c>
      <c r="V699" s="4" t="str">
        <f t="shared" si="52"/>
        <v>0</v>
      </c>
      <c r="W699" s="4" t="str">
        <f t="shared" si="53"/>
        <v>3</v>
      </c>
      <c r="X699" s="4" t="str">
        <f t="shared" si="54"/>
        <v>0NON-HS3</v>
      </c>
      <c r="Y699">
        <f>VLOOKUP(X699,Sheet1!$J$5:$K$121,2,FALSE)</f>
        <v>0</v>
      </c>
    </row>
    <row r="700" spans="1:25" x14ac:dyDescent="0.25">
      <c r="A700" s="8">
        <f>[1]Data!A700</f>
        <v>403320</v>
      </c>
      <c r="B700" s="8">
        <f>[1]Data!B700</f>
        <v>3</v>
      </c>
      <c r="C700" s="8">
        <f>[1]Data!C700</f>
        <v>0</v>
      </c>
      <c r="D700" s="8">
        <f>[1]Data!D700</f>
        <v>4</v>
      </c>
      <c r="E700" s="8" t="str">
        <f>[1]Data!E700</f>
        <v>NON-HS</v>
      </c>
      <c r="F700" s="8" t="str">
        <f>[1]Data!F700</f>
        <v>Diamond Bar</v>
      </c>
      <c r="G700" s="8">
        <f>[1]Data!G700</f>
        <v>0</v>
      </c>
      <c r="H700" s="8">
        <f>[1]Data!H700</f>
        <v>0</v>
      </c>
      <c r="I700" s="8">
        <f>[1]Data!I700</f>
        <v>0</v>
      </c>
      <c r="J700" s="8">
        <f>[1]Data!J700</f>
        <v>0</v>
      </c>
      <c r="K700" s="8">
        <f>[1]Data!K700</f>
        <v>0</v>
      </c>
      <c r="L700" s="8">
        <f>[1]Data!L700</f>
        <v>0</v>
      </c>
      <c r="M700" s="8">
        <f>[1]Data!M700</f>
        <v>0</v>
      </c>
      <c r="N700" s="8">
        <f>[1]Data!N700</f>
        <v>3.09278350515464E-2</v>
      </c>
      <c r="O700" s="8">
        <f>[1]Data!O700</f>
        <v>0</v>
      </c>
      <c r="P700" s="8">
        <f>[1]Data!P700</f>
        <v>1</v>
      </c>
      <c r="Q700" s="8">
        <f>[1]Data!Q700</f>
        <v>0</v>
      </c>
      <c r="R700" s="8">
        <f>[1]Data!R700</f>
        <v>0</v>
      </c>
      <c r="S700" s="8">
        <f>[1]Data!S700</f>
        <v>0</v>
      </c>
      <c r="T700">
        <f t="shared" si="50"/>
        <v>3.09278350515464E-2</v>
      </c>
      <c r="U700">
        <f t="shared" si="51"/>
        <v>0</v>
      </c>
      <c r="V700" s="4" t="str">
        <f t="shared" si="52"/>
        <v>0</v>
      </c>
      <c r="W700" s="4" t="str">
        <f t="shared" si="53"/>
        <v>3</v>
      </c>
      <c r="X700" s="4" t="str">
        <f t="shared" si="54"/>
        <v>0NON-HS3</v>
      </c>
      <c r="Y700">
        <f>VLOOKUP(X700,Sheet1!$J$5:$K$121,2,FALSE)</f>
        <v>0</v>
      </c>
    </row>
    <row r="701" spans="1:25" x14ac:dyDescent="0.25">
      <c r="A701" s="8">
        <f>[1]Data!A701</f>
        <v>403200</v>
      </c>
      <c r="B701" s="8">
        <f>[1]Data!B701</f>
        <v>3</v>
      </c>
      <c r="C701" s="8">
        <f>[1]Data!C701</f>
        <v>0</v>
      </c>
      <c r="D701" s="8">
        <f>[1]Data!D701</f>
        <v>1</v>
      </c>
      <c r="E701" s="8" t="str">
        <f>[1]Data!E701</f>
        <v>NON-HS</v>
      </c>
      <c r="F701" s="8" t="str">
        <f>[1]Data!F701</f>
        <v>Pomona</v>
      </c>
      <c r="G701" s="8">
        <f>[1]Data!G701</f>
        <v>0</v>
      </c>
      <c r="H701" s="8">
        <f>[1]Data!H701</f>
        <v>0</v>
      </c>
      <c r="I701" s="8">
        <f>[1]Data!I701</f>
        <v>3.0950000000000002</v>
      </c>
      <c r="J701" s="8">
        <f>[1]Data!J701</f>
        <v>1.9836996600000001</v>
      </c>
      <c r="K701" s="8">
        <f>[1]Data!K701</f>
        <v>2.9836996600000001</v>
      </c>
      <c r="L701" s="8">
        <f>[1]Data!L701</f>
        <v>0.11117260138240601</v>
      </c>
      <c r="M701" s="8">
        <f>[1]Data!M701</f>
        <v>3.09487226138241</v>
      </c>
      <c r="N701" s="8">
        <f>[1]Data!N701</f>
        <v>3.09278350515464E-2</v>
      </c>
      <c r="O701" s="8">
        <f>[1]Data!O701</f>
        <v>0</v>
      </c>
      <c r="P701" s="8">
        <f>[1]Data!P701</f>
        <v>1</v>
      </c>
      <c r="Q701" s="8">
        <f>[1]Data!Q701</f>
        <v>0</v>
      </c>
      <c r="R701" s="8">
        <f>[1]Data!R701</f>
        <v>0</v>
      </c>
      <c r="S701" s="8">
        <f>[1]Data!S701</f>
        <v>0</v>
      </c>
      <c r="T701">
        <f t="shared" si="50"/>
        <v>3.09278350515464E-2</v>
      </c>
      <c r="U701">
        <f t="shared" si="51"/>
        <v>0</v>
      </c>
      <c r="V701" s="4" t="str">
        <f t="shared" si="52"/>
        <v>0</v>
      </c>
      <c r="W701" s="4" t="str">
        <f t="shared" si="53"/>
        <v>3</v>
      </c>
      <c r="X701" s="4" t="str">
        <f t="shared" si="54"/>
        <v>0NON-HS3</v>
      </c>
      <c r="Y701">
        <f>VLOOKUP(X701,Sheet1!$J$5:$K$121,2,FALSE)</f>
        <v>0</v>
      </c>
    </row>
    <row r="702" spans="1:25" x14ac:dyDescent="0.25">
      <c r="A702" s="8">
        <f>[1]Data!A702</f>
        <v>402705</v>
      </c>
      <c r="B702" s="8">
        <f>[1]Data!B702</f>
        <v>3</v>
      </c>
      <c r="C702" s="8">
        <f>[1]Data!C702</f>
        <v>0</v>
      </c>
      <c r="D702" s="8">
        <f>[1]Data!D702</f>
        <v>1</v>
      </c>
      <c r="E702" s="8" t="str">
        <f>[1]Data!E702</f>
        <v>NON-HS</v>
      </c>
      <c r="F702" s="8" t="str">
        <f>[1]Data!F702</f>
        <v>Pomona</v>
      </c>
      <c r="G702" s="8">
        <f>[1]Data!G702</f>
        <v>0</v>
      </c>
      <c r="H702" s="8">
        <f>[1]Data!H702</f>
        <v>0</v>
      </c>
      <c r="I702" s="8">
        <f>[1]Data!I702</f>
        <v>0</v>
      </c>
      <c r="J702" s="8">
        <f>[1]Data!J702</f>
        <v>0</v>
      </c>
      <c r="K702" s="8">
        <f>[1]Data!K702</f>
        <v>0</v>
      </c>
      <c r="L702" s="8">
        <f>[1]Data!L702</f>
        <v>0</v>
      </c>
      <c r="M702" s="8">
        <f>[1]Data!M702</f>
        <v>0</v>
      </c>
      <c r="N702" s="8">
        <f>[1]Data!N702</f>
        <v>3.09278350515464E-2</v>
      </c>
      <c r="O702" s="8">
        <f>[1]Data!O702</f>
        <v>0</v>
      </c>
      <c r="P702" s="8">
        <f>[1]Data!P702</f>
        <v>1</v>
      </c>
      <c r="Q702" s="8">
        <f>[1]Data!Q702</f>
        <v>0</v>
      </c>
      <c r="R702" s="8">
        <f>[1]Data!R702</f>
        <v>0</v>
      </c>
      <c r="S702" s="8">
        <f>[1]Data!S702</f>
        <v>0</v>
      </c>
      <c r="T702">
        <f t="shared" si="50"/>
        <v>3.09278350515464E-2</v>
      </c>
      <c r="U702">
        <f t="shared" si="51"/>
        <v>0</v>
      </c>
      <c r="V702" s="4" t="str">
        <f t="shared" si="52"/>
        <v>0</v>
      </c>
      <c r="W702" s="4" t="str">
        <f t="shared" si="53"/>
        <v>3</v>
      </c>
      <c r="X702" s="4" t="str">
        <f t="shared" si="54"/>
        <v>0NON-HS3</v>
      </c>
      <c r="Y702">
        <f>VLOOKUP(X702,Sheet1!$J$5:$K$121,2,FALSE)</f>
        <v>0</v>
      </c>
    </row>
    <row r="703" spans="1:25" x14ac:dyDescent="0.25">
      <c r="A703" s="8">
        <f>[1]Data!A703</f>
        <v>402803</v>
      </c>
      <c r="B703" s="8">
        <f>[1]Data!B703</f>
        <v>3</v>
      </c>
      <c r="C703" s="8">
        <f>[1]Data!C703</f>
        <v>0</v>
      </c>
      <c r="D703" s="8">
        <f>[1]Data!D703</f>
        <v>1</v>
      </c>
      <c r="E703" s="8" t="str">
        <f>[1]Data!E703</f>
        <v>NON-HS</v>
      </c>
      <c r="F703" s="8" t="str">
        <f>[1]Data!F703</f>
        <v>Pomona</v>
      </c>
      <c r="G703" s="8">
        <f>[1]Data!G703</f>
        <v>0</v>
      </c>
      <c r="H703" s="8">
        <f>[1]Data!H703</f>
        <v>0</v>
      </c>
      <c r="I703" s="8">
        <f>[1]Data!I703</f>
        <v>0</v>
      </c>
      <c r="J703" s="8">
        <f>[1]Data!J703</f>
        <v>0</v>
      </c>
      <c r="K703" s="8">
        <f>[1]Data!K703</f>
        <v>0</v>
      </c>
      <c r="L703" s="8">
        <f>[1]Data!L703</f>
        <v>0</v>
      </c>
      <c r="M703" s="8">
        <f>[1]Data!M703</f>
        <v>0</v>
      </c>
      <c r="N703" s="8">
        <f>[1]Data!N703</f>
        <v>3.09278350515464E-2</v>
      </c>
      <c r="O703" s="8">
        <f>[1]Data!O703</f>
        <v>0</v>
      </c>
      <c r="P703" s="8">
        <f>[1]Data!P703</f>
        <v>1</v>
      </c>
      <c r="Q703" s="8">
        <f>[1]Data!Q703</f>
        <v>0</v>
      </c>
      <c r="R703" s="8">
        <f>[1]Data!R703</f>
        <v>0</v>
      </c>
      <c r="S703" s="8">
        <f>[1]Data!S703</f>
        <v>0</v>
      </c>
      <c r="T703">
        <f t="shared" si="50"/>
        <v>3.09278350515464E-2</v>
      </c>
      <c r="U703">
        <f t="shared" si="51"/>
        <v>0</v>
      </c>
      <c r="V703" s="4" t="str">
        <f t="shared" si="52"/>
        <v>0</v>
      </c>
      <c r="W703" s="4" t="str">
        <f t="shared" si="53"/>
        <v>3</v>
      </c>
      <c r="X703" s="4" t="str">
        <f t="shared" si="54"/>
        <v>0NON-HS3</v>
      </c>
      <c r="Y703">
        <f>VLOOKUP(X703,Sheet1!$J$5:$K$121,2,FALSE)</f>
        <v>0</v>
      </c>
    </row>
    <row r="704" spans="1:25" x14ac:dyDescent="0.25">
      <c r="A704" s="8">
        <f>[1]Data!A704</f>
        <v>408134</v>
      </c>
      <c r="B704" s="8">
        <f>[1]Data!B704</f>
        <v>3</v>
      </c>
      <c r="C704" s="8">
        <f>[1]Data!C704</f>
        <v>0</v>
      </c>
      <c r="D704" s="8">
        <f>[1]Data!D704</f>
        <v>1</v>
      </c>
      <c r="E704" s="8" t="str">
        <f>[1]Data!E704</f>
        <v>NON-HS</v>
      </c>
      <c r="F704" s="8" t="str">
        <f>[1]Data!F704</f>
        <v>West Covina</v>
      </c>
      <c r="G704" s="8">
        <f>[1]Data!G704</f>
        <v>0</v>
      </c>
      <c r="H704" s="8">
        <f>[1]Data!H704</f>
        <v>0</v>
      </c>
      <c r="I704" s="8">
        <f>[1]Data!I704</f>
        <v>1</v>
      </c>
      <c r="J704" s="8">
        <f>[1]Data!J704</f>
        <v>0</v>
      </c>
      <c r="K704" s="8">
        <f>[1]Data!K704</f>
        <v>1</v>
      </c>
      <c r="L704" s="8">
        <f>[1]Data!L704</f>
        <v>0</v>
      </c>
      <c r="M704" s="8">
        <f>[1]Data!M704</f>
        <v>1</v>
      </c>
      <c r="N704" s="8">
        <f>[1]Data!N704</f>
        <v>3.09278350515464E-2</v>
      </c>
      <c r="O704" s="8">
        <f>[1]Data!O704</f>
        <v>0</v>
      </c>
      <c r="P704" s="8">
        <f>[1]Data!P704</f>
        <v>1</v>
      </c>
      <c r="Q704" s="8">
        <f>[1]Data!Q704</f>
        <v>0</v>
      </c>
      <c r="R704" s="8">
        <f>[1]Data!R704</f>
        <v>0</v>
      </c>
      <c r="S704" s="8">
        <f>[1]Data!S704</f>
        <v>0</v>
      </c>
      <c r="T704">
        <f t="shared" si="50"/>
        <v>3.09278350515464E-2</v>
      </c>
      <c r="U704">
        <f t="shared" si="51"/>
        <v>0</v>
      </c>
      <c r="V704" s="4" t="str">
        <f t="shared" si="52"/>
        <v>0</v>
      </c>
      <c r="W704" s="4" t="str">
        <f t="shared" si="53"/>
        <v>3</v>
      </c>
      <c r="X704" s="4" t="str">
        <f t="shared" si="54"/>
        <v>0NON-HS3</v>
      </c>
      <c r="Y704">
        <f>VLOOKUP(X704,Sheet1!$J$5:$K$121,2,FALSE)</f>
        <v>0</v>
      </c>
    </row>
    <row r="705" spans="1:25" x14ac:dyDescent="0.25">
      <c r="A705" s="8">
        <f>[1]Data!A705</f>
        <v>405701</v>
      </c>
      <c r="B705" s="8">
        <f>[1]Data!B705</f>
        <v>3</v>
      </c>
      <c r="C705" s="8">
        <f>[1]Data!C705</f>
        <v>0</v>
      </c>
      <c r="D705" s="8">
        <f>[1]Data!D705</f>
        <v>5</v>
      </c>
      <c r="E705" s="8" t="str">
        <f>[1]Data!E705</f>
        <v>NON-HS</v>
      </c>
      <c r="F705" s="8" t="str">
        <f>[1]Data!F705</f>
        <v>Covina</v>
      </c>
      <c r="G705" s="8">
        <f>[1]Data!G705</f>
        <v>0</v>
      </c>
      <c r="H705" s="8">
        <f>[1]Data!H705</f>
        <v>0</v>
      </c>
      <c r="I705" s="8">
        <f>[1]Data!I705</f>
        <v>2.8079999999999998</v>
      </c>
      <c r="J705" s="8">
        <f>[1]Data!J705</f>
        <v>1.73313217</v>
      </c>
      <c r="K705" s="8">
        <f>[1]Data!K705</f>
        <v>2.7331321700000002</v>
      </c>
      <c r="L705" s="8">
        <f>[1]Data!L705</f>
        <v>7.4985510287253102E-2</v>
      </c>
      <c r="M705" s="8">
        <f>[1]Data!M705</f>
        <v>2.8081176802872498</v>
      </c>
      <c r="N705" s="8">
        <f>[1]Data!N705</f>
        <v>3.09278350515464E-2</v>
      </c>
      <c r="O705" s="8">
        <f>[1]Data!O705</f>
        <v>0</v>
      </c>
      <c r="P705" s="8">
        <f>[1]Data!P705</f>
        <v>1</v>
      </c>
      <c r="Q705" s="8">
        <f>[1]Data!Q705</f>
        <v>0</v>
      </c>
      <c r="R705" s="8">
        <f>[1]Data!R705</f>
        <v>0</v>
      </c>
      <c r="S705" s="8">
        <f>[1]Data!S705</f>
        <v>0</v>
      </c>
      <c r="T705">
        <f t="shared" si="50"/>
        <v>3.09278350515464E-2</v>
      </c>
      <c r="U705">
        <f t="shared" si="51"/>
        <v>0</v>
      </c>
      <c r="V705" s="4" t="str">
        <f t="shared" si="52"/>
        <v>0</v>
      </c>
      <c r="W705" s="4" t="str">
        <f t="shared" si="53"/>
        <v>3</v>
      </c>
      <c r="X705" s="4" t="str">
        <f t="shared" si="54"/>
        <v>0NON-HS3</v>
      </c>
      <c r="Y705">
        <f>VLOOKUP(X705,Sheet1!$J$5:$K$121,2,FALSE)</f>
        <v>0</v>
      </c>
    </row>
    <row r="706" spans="1:25" x14ac:dyDescent="0.25">
      <c r="A706" s="8">
        <f>[1]Data!A706</f>
        <v>434003</v>
      </c>
      <c r="B706" s="8">
        <f>[1]Data!B706</f>
        <v>3</v>
      </c>
      <c r="C706" s="8">
        <f>[1]Data!C706</f>
        <v>0</v>
      </c>
      <c r="D706" s="8">
        <f>[1]Data!D706</f>
        <v>1</v>
      </c>
      <c r="E706" s="8" t="str">
        <f>[1]Data!E706</f>
        <v>NON-HS</v>
      </c>
      <c r="F706" s="8" t="str">
        <f>[1]Data!F706</f>
        <v>El Monte</v>
      </c>
      <c r="G706" s="8">
        <f>[1]Data!G706</f>
        <v>0</v>
      </c>
      <c r="H706" s="8">
        <f>[1]Data!H706</f>
        <v>0</v>
      </c>
      <c r="I706" s="8">
        <f>[1]Data!I706</f>
        <v>2.5910000000000002</v>
      </c>
      <c r="J706" s="8">
        <f>[1]Data!J706</f>
        <v>1.43919657</v>
      </c>
      <c r="K706" s="8">
        <f>[1]Data!K706</f>
        <v>2.43919657</v>
      </c>
      <c r="L706" s="8">
        <f>[1]Data!L706</f>
        <v>0.15145200614003601</v>
      </c>
      <c r="M706" s="8">
        <f>[1]Data!M706</f>
        <v>2.59064857614004</v>
      </c>
      <c r="N706" s="8">
        <f>[1]Data!N706</f>
        <v>3.09278350515464E-2</v>
      </c>
      <c r="O706" s="8">
        <f>[1]Data!O706</f>
        <v>0</v>
      </c>
      <c r="P706" s="8">
        <f>[1]Data!P706</f>
        <v>1</v>
      </c>
      <c r="Q706" s="8">
        <f>[1]Data!Q706</f>
        <v>0</v>
      </c>
      <c r="R706" s="8">
        <f>[1]Data!R706</f>
        <v>0</v>
      </c>
      <c r="S706" s="8">
        <f>[1]Data!S706</f>
        <v>0</v>
      </c>
      <c r="T706">
        <f t="shared" si="50"/>
        <v>3.09278350515464E-2</v>
      </c>
      <c r="U706">
        <f t="shared" si="51"/>
        <v>0</v>
      </c>
      <c r="V706" s="4" t="str">
        <f t="shared" si="52"/>
        <v>0</v>
      </c>
      <c r="W706" s="4" t="str">
        <f t="shared" si="53"/>
        <v>3</v>
      </c>
      <c r="X706" s="4" t="str">
        <f t="shared" si="54"/>
        <v>0NON-HS3</v>
      </c>
      <c r="Y706">
        <f>VLOOKUP(X706,Sheet1!$J$5:$K$121,2,FALSE)</f>
        <v>0</v>
      </c>
    </row>
    <row r="707" spans="1:25" x14ac:dyDescent="0.25">
      <c r="A707" s="8">
        <f>[1]Data!A707</f>
        <v>406102</v>
      </c>
      <c r="B707" s="8">
        <f>[1]Data!B707</f>
        <v>3</v>
      </c>
      <c r="C707" s="8">
        <f>[1]Data!C707</f>
        <v>0</v>
      </c>
      <c r="D707" s="8">
        <f>[1]Data!D707</f>
        <v>5</v>
      </c>
      <c r="E707" s="8" t="str">
        <f>[1]Data!E707</f>
        <v>NON-HS</v>
      </c>
      <c r="F707" s="8" t="str">
        <f>[1]Data!F707</f>
        <v>Covina</v>
      </c>
      <c r="G707" s="8">
        <f>[1]Data!G707</f>
        <v>0</v>
      </c>
      <c r="H707" s="8">
        <f>[1]Data!H707</f>
        <v>0</v>
      </c>
      <c r="I707" s="8">
        <f>[1]Data!I707</f>
        <v>0</v>
      </c>
      <c r="J707" s="8">
        <f>[1]Data!J707</f>
        <v>0</v>
      </c>
      <c r="K707" s="8">
        <f>[1]Data!K707</f>
        <v>0</v>
      </c>
      <c r="L707" s="8">
        <f>[1]Data!L707</f>
        <v>0</v>
      </c>
      <c r="M707" s="8">
        <f>[1]Data!M707</f>
        <v>0</v>
      </c>
      <c r="N707" s="8">
        <f>[1]Data!N707</f>
        <v>3.09278350515464E-2</v>
      </c>
      <c r="O707" s="8">
        <f>[1]Data!O707</f>
        <v>0</v>
      </c>
      <c r="P707" s="8">
        <f>[1]Data!P707</f>
        <v>1</v>
      </c>
      <c r="Q707" s="8">
        <f>[1]Data!Q707</f>
        <v>0</v>
      </c>
      <c r="R707" s="8">
        <f>[1]Data!R707</f>
        <v>0</v>
      </c>
      <c r="S707" s="8">
        <f>[1]Data!S707</f>
        <v>0</v>
      </c>
      <c r="T707">
        <f t="shared" ref="T707:T770" si="55">N707+Y707*(1-N707)</f>
        <v>3.09278350515464E-2</v>
      </c>
      <c r="U707">
        <f t="shared" ref="U707:U770" si="56">IF(T707="",0,1/T707*H707)</f>
        <v>0</v>
      </c>
      <c r="V707" s="4" t="str">
        <f t="shared" ref="V707:V770" si="57">TEXT(C707,"0")</f>
        <v>0</v>
      </c>
      <c r="W707" s="4" t="str">
        <f t="shared" ref="W707:W770" si="58">TEXT(B707,"0")</f>
        <v>3</v>
      </c>
      <c r="X707" s="4" t="str">
        <f t="shared" ref="X707:X770" si="59">CONCATENATE(V707,E707,W707)</f>
        <v>0NON-HS3</v>
      </c>
      <c r="Y707">
        <f>VLOOKUP(X707,Sheet1!$J$5:$K$121,2,FALSE)</f>
        <v>0</v>
      </c>
    </row>
    <row r="708" spans="1:25" x14ac:dyDescent="0.25">
      <c r="A708" s="8">
        <f>[1]Data!A708</f>
        <v>403325</v>
      </c>
      <c r="B708" s="8">
        <f>[1]Data!B708</f>
        <v>3</v>
      </c>
      <c r="C708" s="8">
        <f>[1]Data!C708</f>
        <v>0</v>
      </c>
      <c r="D708" s="8">
        <f>[1]Data!D708</f>
        <v>4</v>
      </c>
      <c r="E708" s="8" t="str">
        <f>[1]Data!E708</f>
        <v>NON-HS</v>
      </c>
      <c r="F708" s="8" t="str">
        <f>[1]Data!F708</f>
        <v>Diamond Bar</v>
      </c>
      <c r="G708" s="8">
        <f>[1]Data!G708</f>
        <v>0</v>
      </c>
      <c r="H708" s="8">
        <f>[1]Data!H708</f>
        <v>0</v>
      </c>
      <c r="I708" s="8">
        <f>[1]Data!I708</f>
        <v>0</v>
      </c>
      <c r="J708" s="8">
        <f>[1]Data!J708</f>
        <v>0</v>
      </c>
      <c r="K708" s="8">
        <f>[1]Data!K708</f>
        <v>0</v>
      </c>
      <c r="L708" s="8">
        <f>[1]Data!L708</f>
        <v>0</v>
      </c>
      <c r="M708" s="8">
        <f>[1]Data!M708</f>
        <v>0</v>
      </c>
      <c r="N708" s="8">
        <f>[1]Data!N708</f>
        <v>3.09278350515464E-2</v>
      </c>
      <c r="O708" s="8">
        <f>[1]Data!O708</f>
        <v>0</v>
      </c>
      <c r="P708" s="8">
        <f>[1]Data!P708</f>
        <v>1</v>
      </c>
      <c r="Q708" s="8">
        <f>[1]Data!Q708</f>
        <v>0</v>
      </c>
      <c r="R708" s="8">
        <f>[1]Data!R708</f>
        <v>0</v>
      </c>
      <c r="S708" s="8">
        <f>[1]Data!S708</f>
        <v>0</v>
      </c>
      <c r="T708">
        <f t="shared" si="55"/>
        <v>3.09278350515464E-2</v>
      </c>
      <c r="U708">
        <f t="shared" si="56"/>
        <v>0</v>
      </c>
      <c r="V708" s="4" t="str">
        <f t="shared" si="57"/>
        <v>0</v>
      </c>
      <c r="W708" s="4" t="str">
        <f t="shared" si="58"/>
        <v>3</v>
      </c>
      <c r="X708" s="4" t="str">
        <f t="shared" si="59"/>
        <v>0NON-HS3</v>
      </c>
      <c r="Y708">
        <f>VLOOKUP(X708,Sheet1!$J$5:$K$121,2,FALSE)</f>
        <v>0</v>
      </c>
    </row>
    <row r="709" spans="1:25" x14ac:dyDescent="0.25">
      <c r="A709" s="8">
        <f>[1]Data!A709</f>
        <v>403702</v>
      </c>
      <c r="B709" s="8">
        <f>[1]Data!B709</f>
        <v>3</v>
      </c>
      <c r="C709" s="8">
        <f>[1]Data!C709</f>
        <v>0</v>
      </c>
      <c r="D709" s="8">
        <f>[1]Data!D709</f>
        <v>5</v>
      </c>
      <c r="E709" s="8" t="str">
        <f>[1]Data!E709</f>
        <v>NON-HS</v>
      </c>
      <c r="F709" s="8" t="str">
        <f>[1]Data!F709</f>
        <v>Covina</v>
      </c>
      <c r="G709" s="8">
        <f>[1]Data!G709</f>
        <v>0</v>
      </c>
      <c r="H709" s="8">
        <f>[1]Data!H709</f>
        <v>0</v>
      </c>
      <c r="I709" s="8">
        <f>[1]Data!I709</f>
        <v>0</v>
      </c>
      <c r="J709" s="8">
        <f>[1]Data!J709</f>
        <v>0</v>
      </c>
      <c r="K709" s="8">
        <f>[1]Data!K709</f>
        <v>0</v>
      </c>
      <c r="L709" s="8">
        <f>[1]Data!L709</f>
        <v>0</v>
      </c>
      <c r="M709" s="8">
        <f>[1]Data!M709</f>
        <v>0</v>
      </c>
      <c r="N709" s="8">
        <f>[1]Data!N709</f>
        <v>3.09278350515464E-2</v>
      </c>
      <c r="O709" s="8">
        <f>[1]Data!O709</f>
        <v>0</v>
      </c>
      <c r="P709" s="8">
        <f>[1]Data!P709</f>
        <v>1</v>
      </c>
      <c r="Q709" s="8">
        <f>[1]Data!Q709</f>
        <v>0</v>
      </c>
      <c r="R709" s="8">
        <f>[1]Data!R709</f>
        <v>0</v>
      </c>
      <c r="S709" s="8">
        <f>[1]Data!S709</f>
        <v>0</v>
      </c>
      <c r="T709">
        <f t="shared" si="55"/>
        <v>3.09278350515464E-2</v>
      </c>
      <c r="U709">
        <f t="shared" si="56"/>
        <v>0</v>
      </c>
      <c r="V709" s="4" t="str">
        <f t="shared" si="57"/>
        <v>0</v>
      </c>
      <c r="W709" s="4" t="str">
        <f t="shared" si="58"/>
        <v>3</v>
      </c>
      <c r="X709" s="4" t="str">
        <f t="shared" si="59"/>
        <v>0NON-HS3</v>
      </c>
      <c r="Y709">
        <f>VLOOKUP(X709,Sheet1!$J$5:$K$121,2,FALSE)</f>
        <v>0</v>
      </c>
    </row>
    <row r="710" spans="1:25" x14ac:dyDescent="0.25">
      <c r="A710" s="8">
        <f>[1]Data!A710</f>
        <v>407301</v>
      </c>
      <c r="B710" s="8">
        <f>[1]Data!B710</f>
        <v>3</v>
      </c>
      <c r="C710" s="8">
        <f>[1]Data!C710</f>
        <v>0</v>
      </c>
      <c r="D710" s="8">
        <f>[1]Data!D710</f>
        <v>1</v>
      </c>
      <c r="E710" s="8" t="str">
        <f>[1]Data!E710</f>
        <v>NON-HS</v>
      </c>
      <c r="F710" s="8" t="str">
        <f>[1]Data!F710</f>
        <v>West Puente Valley</v>
      </c>
      <c r="G710" s="8">
        <f>[1]Data!G710</f>
        <v>0</v>
      </c>
      <c r="H710" s="8">
        <f>[1]Data!H710</f>
        <v>0</v>
      </c>
      <c r="I710" s="8">
        <f>[1]Data!I710</f>
        <v>0</v>
      </c>
      <c r="J710" s="8">
        <f>[1]Data!J710</f>
        <v>0</v>
      </c>
      <c r="K710" s="8">
        <f>[1]Data!K710</f>
        <v>0</v>
      </c>
      <c r="L710" s="8">
        <f>[1]Data!L710</f>
        <v>0</v>
      </c>
      <c r="M710" s="8">
        <f>[1]Data!M710</f>
        <v>0</v>
      </c>
      <c r="N710" s="8">
        <f>[1]Data!N710</f>
        <v>3.09278350515464E-2</v>
      </c>
      <c r="O710" s="8">
        <f>[1]Data!O710</f>
        <v>0</v>
      </c>
      <c r="P710" s="8">
        <f>[1]Data!P710</f>
        <v>1</v>
      </c>
      <c r="Q710" s="8">
        <f>[1]Data!Q710</f>
        <v>0</v>
      </c>
      <c r="R710" s="8">
        <f>[1]Data!R710</f>
        <v>0</v>
      </c>
      <c r="S710" s="8">
        <f>[1]Data!S710</f>
        <v>0</v>
      </c>
      <c r="T710">
        <f t="shared" si="55"/>
        <v>3.09278350515464E-2</v>
      </c>
      <c r="U710">
        <f t="shared" si="56"/>
        <v>0</v>
      </c>
      <c r="V710" s="4" t="str">
        <f t="shared" si="57"/>
        <v>0</v>
      </c>
      <c r="W710" s="4" t="str">
        <f t="shared" si="58"/>
        <v>3</v>
      </c>
      <c r="X710" s="4" t="str">
        <f t="shared" si="59"/>
        <v>0NON-HS3</v>
      </c>
      <c r="Y710">
        <f>VLOOKUP(X710,Sheet1!$J$5:$K$121,2,FALSE)</f>
        <v>0</v>
      </c>
    </row>
    <row r="711" spans="1:25" x14ac:dyDescent="0.25">
      <c r="A711" s="8">
        <f>[1]Data!A711</f>
        <v>407400</v>
      </c>
      <c r="B711" s="8">
        <f>[1]Data!B711</f>
        <v>3</v>
      </c>
      <c r="C711" s="8">
        <f>[1]Data!C711</f>
        <v>0</v>
      </c>
      <c r="D711" s="8">
        <f>[1]Data!D711</f>
        <v>1</v>
      </c>
      <c r="E711" s="8" t="str">
        <f>[1]Data!E711</f>
        <v>NON-HS</v>
      </c>
      <c r="F711" s="8" t="str">
        <f>[1]Data!F711</f>
        <v>West Covina</v>
      </c>
      <c r="G711" s="8">
        <f>[1]Data!G711</f>
        <v>0</v>
      </c>
      <c r="H711" s="8">
        <f>[1]Data!H711</f>
        <v>0</v>
      </c>
      <c r="I711" s="8">
        <f>[1]Data!I711</f>
        <v>0</v>
      </c>
      <c r="J711" s="8">
        <f>[1]Data!J711</f>
        <v>0</v>
      </c>
      <c r="K711" s="8">
        <f>[1]Data!K711</f>
        <v>0</v>
      </c>
      <c r="L711" s="8">
        <f>[1]Data!L711</f>
        <v>0</v>
      </c>
      <c r="M711" s="8">
        <f>[1]Data!M711</f>
        <v>0</v>
      </c>
      <c r="N711" s="8">
        <f>[1]Data!N711</f>
        <v>3.09278350515464E-2</v>
      </c>
      <c r="O711" s="8">
        <f>[1]Data!O711</f>
        <v>0</v>
      </c>
      <c r="P711" s="8">
        <f>[1]Data!P711</f>
        <v>1</v>
      </c>
      <c r="Q711" s="8">
        <f>[1]Data!Q711</f>
        <v>0</v>
      </c>
      <c r="R711" s="8">
        <f>[1]Data!R711</f>
        <v>0</v>
      </c>
      <c r="S711" s="8">
        <f>[1]Data!S711</f>
        <v>0</v>
      </c>
      <c r="T711">
        <f t="shared" si="55"/>
        <v>3.09278350515464E-2</v>
      </c>
      <c r="U711">
        <f t="shared" si="56"/>
        <v>0</v>
      </c>
      <c r="V711" s="4" t="str">
        <f t="shared" si="57"/>
        <v>0</v>
      </c>
      <c r="W711" s="4" t="str">
        <f t="shared" si="58"/>
        <v>3</v>
      </c>
      <c r="X711" s="4" t="str">
        <f t="shared" si="59"/>
        <v>0NON-HS3</v>
      </c>
      <c r="Y711">
        <f>VLOOKUP(X711,Sheet1!$J$5:$K$121,2,FALSE)</f>
        <v>0</v>
      </c>
    </row>
    <row r="712" spans="1:25" x14ac:dyDescent="0.25">
      <c r="A712" s="8">
        <f>[1]Data!A712</f>
        <v>403319</v>
      </c>
      <c r="B712" s="8">
        <f>[1]Data!B712</f>
        <v>3</v>
      </c>
      <c r="C712" s="8">
        <f>[1]Data!C712</f>
        <v>0</v>
      </c>
      <c r="D712" s="8">
        <f>[1]Data!D712</f>
        <v>4</v>
      </c>
      <c r="E712" s="8" t="str">
        <f>[1]Data!E712</f>
        <v>NON-HS</v>
      </c>
      <c r="F712" s="8" t="str">
        <f>[1]Data!F712</f>
        <v>Diamond Bar</v>
      </c>
      <c r="G712" s="8">
        <f>[1]Data!G712</f>
        <v>0</v>
      </c>
      <c r="H712" s="8">
        <f>[1]Data!H712</f>
        <v>0</v>
      </c>
      <c r="I712" s="8">
        <f>[1]Data!I712</f>
        <v>0</v>
      </c>
      <c r="J712" s="8">
        <f>[1]Data!J712</f>
        <v>0</v>
      </c>
      <c r="K712" s="8">
        <f>[1]Data!K712</f>
        <v>0</v>
      </c>
      <c r="L712" s="8">
        <f>[1]Data!L712</f>
        <v>0</v>
      </c>
      <c r="M712" s="8">
        <f>[1]Data!M712</f>
        <v>0</v>
      </c>
      <c r="N712" s="8">
        <f>[1]Data!N712</f>
        <v>3.09278350515464E-2</v>
      </c>
      <c r="O712" s="8">
        <f>[1]Data!O712</f>
        <v>0</v>
      </c>
      <c r="P712" s="8">
        <f>[1]Data!P712</f>
        <v>1</v>
      </c>
      <c r="Q712" s="8">
        <f>[1]Data!Q712</f>
        <v>0</v>
      </c>
      <c r="R712" s="8">
        <f>[1]Data!R712</f>
        <v>0</v>
      </c>
      <c r="S712" s="8">
        <f>[1]Data!S712</f>
        <v>0</v>
      </c>
      <c r="T712">
        <f t="shared" si="55"/>
        <v>3.09278350515464E-2</v>
      </c>
      <c r="U712">
        <f t="shared" si="56"/>
        <v>0</v>
      </c>
      <c r="V712" s="4" t="str">
        <f t="shared" si="57"/>
        <v>0</v>
      </c>
      <c r="W712" s="4" t="str">
        <f t="shared" si="58"/>
        <v>3</v>
      </c>
      <c r="X712" s="4" t="str">
        <f t="shared" si="59"/>
        <v>0NON-HS3</v>
      </c>
      <c r="Y712">
        <f>VLOOKUP(X712,Sheet1!$J$5:$K$121,2,FALSE)</f>
        <v>0</v>
      </c>
    </row>
    <row r="713" spans="1:25" x14ac:dyDescent="0.25">
      <c r="A713" s="8">
        <f>[1]Data!A713</f>
        <v>481001</v>
      </c>
      <c r="B713" s="8">
        <f>[1]Data!B713</f>
        <v>3</v>
      </c>
      <c r="C713" s="8">
        <f>[1]Data!C713</f>
        <v>0</v>
      </c>
      <c r="D713" s="8">
        <f>[1]Data!D713</f>
        <v>5</v>
      </c>
      <c r="E713" s="8" t="str">
        <f>[1]Data!E713</f>
        <v>NON-HS</v>
      </c>
      <c r="F713" s="8" t="str">
        <f>[1]Data!F713</f>
        <v>Alhambra</v>
      </c>
      <c r="G713" s="8">
        <f>[1]Data!G713</f>
        <v>0</v>
      </c>
      <c r="H713" s="8">
        <f>[1]Data!H713</f>
        <v>0</v>
      </c>
      <c r="I713" s="8">
        <f>[1]Data!I713</f>
        <v>4.851</v>
      </c>
      <c r="J713" s="8">
        <f>[1]Data!J713</f>
        <v>3.8097598800000001</v>
      </c>
      <c r="K713" s="8">
        <f>[1]Data!K713</f>
        <v>4.8097598799999997</v>
      </c>
      <c r="L713" s="8">
        <f>[1]Data!L713</f>
        <v>4.1250644165170602E-2</v>
      </c>
      <c r="M713" s="8">
        <f>[1]Data!M713</f>
        <v>4.8510105241651704</v>
      </c>
      <c r="N713" s="8">
        <f>[1]Data!N713</f>
        <v>3.09278350515464E-2</v>
      </c>
      <c r="O713" s="8">
        <f>[1]Data!O713</f>
        <v>0</v>
      </c>
      <c r="P713" s="8">
        <f>[1]Data!P713</f>
        <v>1</v>
      </c>
      <c r="Q713" s="8">
        <f>[1]Data!Q713</f>
        <v>0</v>
      </c>
      <c r="R713" s="8">
        <f>[1]Data!R713</f>
        <v>0</v>
      </c>
      <c r="S713" s="8">
        <f>[1]Data!S713</f>
        <v>0</v>
      </c>
      <c r="T713">
        <f t="shared" si="55"/>
        <v>3.09278350515464E-2</v>
      </c>
      <c r="U713">
        <f t="shared" si="56"/>
        <v>0</v>
      </c>
      <c r="V713" s="4" t="str">
        <f t="shared" si="57"/>
        <v>0</v>
      </c>
      <c r="W713" s="4" t="str">
        <f t="shared" si="58"/>
        <v>3</v>
      </c>
      <c r="X713" s="4" t="str">
        <f t="shared" si="59"/>
        <v>0NON-HS3</v>
      </c>
      <c r="Y713">
        <f>VLOOKUP(X713,Sheet1!$J$5:$K$121,2,FALSE)</f>
        <v>0</v>
      </c>
    </row>
    <row r="714" spans="1:25" x14ac:dyDescent="0.25">
      <c r="A714" s="8">
        <f>[1]Data!A714</f>
        <v>481300</v>
      </c>
      <c r="B714" s="8">
        <f>[1]Data!B714</f>
        <v>3</v>
      </c>
      <c r="C714" s="8">
        <f>[1]Data!C714</f>
        <v>0</v>
      </c>
      <c r="D714" s="8">
        <f>[1]Data!D714</f>
        <v>1</v>
      </c>
      <c r="E714" s="8" t="str">
        <f>[1]Data!E714</f>
        <v>NON-HS</v>
      </c>
      <c r="F714" s="8" t="str">
        <f>[1]Data!F714</f>
        <v>Rosemead</v>
      </c>
      <c r="G714" s="8">
        <f>[1]Data!G714</f>
        <v>0</v>
      </c>
      <c r="H714" s="8">
        <f>[1]Data!H714</f>
        <v>0</v>
      </c>
      <c r="I714" s="8">
        <f>[1]Data!I714</f>
        <v>1.591</v>
      </c>
      <c r="J714" s="8">
        <f>[1]Data!J714</f>
        <v>1.43919657</v>
      </c>
      <c r="K714" s="8">
        <f>[1]Data!K714</f>
        <v>1.43919657</v>
      </c>
      <c r="L714" s="8">
        <f>[1]Data!L714</f>
        <v>0.15145200614003601</v>
      </c>
      <c r="M714" s="8">
        <f>[1]Data!M714</f>
        <v>1.59064857614004</v>
      </c>
      <c r="N714" s="8">
        <f>[1]Data!N714</f>
        <v>3.09278350515464E-2</v>
      </c>
      <c r="O714" s="8">
        <f>[1]Data!O714</f>
        <v>0</v>
      </c>
      <c r="P714" s="8">
        <f>[1]Data!P714</f>
        <v>1</v>
      </c>
      <c r="Q714" s="8">
        <f>[1]Data!Q714</f>
        <v>0</v>
      </c>
      <c r="R714" s="8">
        <f>[1]Data!R714</f>
        <v>0</v>
      </c>
      <c r="S714" s="8">
        <f>[1]Data!S714</f>
        <v>0</v>
      </c>
      <c r="T714">
        <f t="shared" si="55"/>
        <v>3.09278350515464E-2</v>
      </c>
      <c r="U714">
        <f t="shared" si="56"/>
        <v>0</v>
      </c>
      <c r="V714" s="4" t="str">
        <f t="shared" si="57"/>
        <v>0</v>
      </c>
      <c r="W714" s="4" t="str">
        <f t="shared" si="58"/>
        <v>3</v>
      </c>
      <c r="X714" s="4" t="str">
        <f t="shared" si="59"/>
        <v>0NON-HS3</v>
      </c>
      <c r="Y714">
        <f>VLOOKUP(X714,Sheet1!$J$5:$K$121,2,FALSE)</f>
        <v>0</v>
      </c>
    </row>
    <row r="715" spans="1:25" x14ac:dyDescent="0.25">
      <c r="A715" s="8">
        <f>[1]Data!A715</f>
        <v>408004</v>
      </c>
      <c r="B715" s="8">
        <f>[1]Data!B715</f>
        <v>3</v>
      </c>
      <c r="C715" s="8">
        <f>[1]Data!C715</f>
        <v>0</v>
      </c>
      <c r="D715" s="8">
        <f>[1]Data!D715</f>
        <v>1</v>
      </c>
      <c r="E715" s="8" t="str">
        <f>[1]Data!E715</f>
        <v>NON-HS</v>
      </c>
      <c r="F715" s="8" t="str">
        <f>[1]Data!F715</f>
        <v>West Covina</v>
      </c>
      <c r="G715" s="8">
        <f>[1]Data!G715</f>
        <v>0</v>
      </c>
      <c r="H715" s="8">
        <f>[1]Data!H715</f>
        <v>0</v>
      </c>
      <c r="I715" s="8">
        <f>[1]Data!I715</f>
        <v>0</v>
      </c>
      <c r="J715" s="8">
        <f>[1]Data!J715</f>
        <v>0</v>
      </c>
      <c r="K715" s="8">
        <f>[1]Data!K715</f>
        <v>0</v>
      </c>
      <c r="L715" s="8">
        <f>[1]Data!L715</f>
        <v>0</v>
      </c>
      <c r="M715" s="8">
        <f>[1]Data!M715</f>
        <v>0</v>
      </c>
      <c r="N715" s="8">
        <f>[1]Data!N715</f>
        <v>3.09278350515464E-2</v>
      </c>
      <c r="O715" s="8">
        <f>[1]Data!O715</f>
        <v>0</v>
      </c>
      <c r="P715" s="8">
        <f>[1]Data!P715</f>
        <v>1</v>
      </c>
      <c r="Q715" s="8">
        <f>[1]Data!Q715</f>
        <v>0</v>
      </c>
      <c r="R715" s="8">
        <f>[1]Data!R715</f>
        <v>0</v>
      </c>
      <c r="S715" s="8">
        <f>[1]Data!S715</f>
        <v>0</v>
      </c>
      <c r="T715">
        <f t="shared" si="55"/>
        <v>3.09278350515464E-2</v>
      </c>
      <c r="U715">
        <f t="shared" si="56"/>
        <v>0</v>
      </c>
      <c r="V715" s="4" t="str">
        <f t="shared" si="57"/>
        <v>0</v>
      </c>
      <c r="W715" s="4" t="str">
        <f t="shared" si="58"/>
        <v>3</v>
      </c>
      <c r="X715" s="4" t="str">
        <f t="shared" si="59"/>
        <v>0NON-HS3</v>
      </c>
      <c r="Y715">
        <f>VLOOKUP(X715,Sheet1!$J$5:$K$121,2,FALSE)</f>
        <v>0</v>
      </c>
    </row>
    <row r="716" spans="1:25" x14ac:dyDescent="0.25">
      <c r="A716" s="8">
        <f>[1]Data!A716</f>
        <v>403402</v>
      </c>
      <c r="B716" s="8">
        <f>[1]Data!B716</f>
        <v>3</v>
      </c>
      <c r="C716" s="8">
        <f>[1]Data!C716</f>
        <v>0</v>
      </c>
      <c r="D716" s="8">
        <f>[1]Data!D716</f>
        <v>1</v>
      </c>
      <c r="E716" s="8" t="str">
        <f>[1]Data!E716</f>
        <v>NON-HS</v>
      </c>
      <c r="F716" s="8" t="str">
        <f>[1]Data!F716</f>
        <v>Walnut</v>
      </c>
      <c r="G716" s="8">
        <f>[1]Data!G716</f>
        <v>1</v>
      </c>
      <c r="H716" s="8">
        <f>[1]Data!H716</f>
        <v>1</v>
      </c>
      <c r="I716" s="8">
        <f>[1]Data!I716</f>
        <v>1</v>
      </c>
      <c r="J716" s="8">
        <f>[1]Data!J716</f>
        <v>0</v>
      </c>
      <c r="K716" s="8">
        <f>[1]Data!K716</f>
        <v>1</v>
      </c>
      <c r="L716" s="8">
        <f>[1]Data!L716</f>
        <v>0</v>
      </c>
      <c r="M716" s="8">
        <f>[1]Data!M716</f>
        <v>1</v>
      </c>
      <c r="N716" s="8">
        <f>[1]Data!N716</f>
        <v>3.09278350515464E-2</v>
      </c>
      <c r="O716" s="8">
        <f>[1]Data!O716</f>
        <v>32.3333333333333</v>
      </c>
      <c r="P716" s="8">
        <f>[1]Data!P716</f>
        <v>1</v>
      </c>
      <c r="Q716" s="8">
        <f>[1]Data!Q716</f>
        <v>0</v>
      </c>
      <c r="R716" s="8">
        <f>[1]Data!R716</f>
        <v>0</v>
      </c>
      <c r="S716" s="8">
        <f>[1]Data!S716</f>
        <v>0</v>
      </c>
      <c r="T716">
        <f t="shared" si="55"/>
        <v>3.09278350515464E-2</v>
      </c>
      <c r="U716">
        <f t="shared" si="56"/>
        <v>32.333333333333321</v>
      </c>
      <c r="V716" s="4" t="str">
        <f t="shared" si="57"/>
        <v>0</v>
      </c>
      <c r="W716" s="4" t="str">
        <f t="shared" si="58"/>
        <v>3</v>
      </c>
      <c r="X716" s="4" t="str">
        <f t="shared" si="59"/>
        <v>0NON-HS3</v>
      </c>
      <c r="Y716">
        <f>VLOOKUP(X716,Sheet1!$J$5:$K$121,2,FALSE)</f>
        <v>0</v>
      </c>
    </row>
    <row r="717" spans="1:25" x14ac:dyDescent="0.25">
      <c r="A717" s="8">
        <f>[1]Data!A717</f>
        <v>403322</v>
      </c>
      <c r="B717" s="8">
        <f>[1]Data!B717</f>
        <v>3</v>
      </c>
      <c r="C717" s="8">
        <f>[1]Data!C717</f>
        <v>0</v>
      </c>
      <c r="D717" s="8">
        <f>[1]Data!D717</f>
        <v>4</v>
      </c>
      <c r="E717" s="8" t="str">
        <f>[1]Data!E717</f>
        <v>NON-HS</v>
      </c>
      <c r="F717" s="8" t="str">
        <f>[1]Data!F717</f>
        <v>Diamond Bar</v>
      </c>
      <c r="G717" s="8">
        <f>[1]Data!G717</f>
        <v>0</v>
      </c>
      <c r="H717" s="8">
        <f>[1]Data!H717</f>
        <v>0</v>
      </c>
      <c r="I717" s="8">
        <f>[1]Data!I717</f>
        <v>0</v>
      </c>
      <c r="J717" s="8">
        <f>[1]Data!J717</f>
        <v>0</v>
      </c>
      <c r="K717" s="8">
        <f>[1]Data!K717</f>
        <v>0</v>
      </c>
      <c r="L717" s="8">
        <f>[1]Data!L717</f>
        <v>0</v>
      </c>
      <c r="M717" s="8">
        <f>[1]Data!M717</f>
        <v>0</v>
      </c>
      <c r="N717" s="8">
        <f>[1]Data!N717</f>
        <v>3.09278350515464E-2</v>
      </c>
      <c r="O717" s="8">
        <f>[1]Data!O717</f>
        <v>0</v>
      </c>
      <c r="P717" s="8">
        <f>[1]Data!P717</f>
        <v>1</v>
      </c>
      <c r="Q717" s="8">
        <f>[1]Data!Q717</f>
        <v>0</v>
      </c>
      <c r="R717" s="8">
        <f>[1]Data!R717</f>
        <v>0</v>
      </c>
      <c r="S717" s="8">
        <f>[1]Data!S717</f>
        <v>0</v>
      </c>
      <c r="T717">
        <f t="shared" si="55"/>
        <v>3.09278350515464E-2</v>
      </c>
      <c r="U717">
        <f t="shared" si="56"/>
        <v>0</v>
      </c>
      <c r="V717" s="4" t="str">
        <f t="shared" si="57"/>
        <v>0</v>
      </c>
      <c r="W717" s="4" t="str">
        <f t="shared" si="58"/>
        <v>3</v>
      </c>
      <c r="X717" s="4" t="str">
        <f t="shared" si="59"/>
        <v>0NON-HS3</v>
      </c>
      <c r="Y717">
        <f>VLOOKUP(X717,Sheet1!$J$5:$K$121,2,FALSE)</f>
        <v>0</v>
      </c>
    </row>
    <row r="718" spans="1:25" x14ac:dyDescent="0.25">
      <c r="A718" s="8">
        <f>[1]Data!A718</f>
        <v>403403</v>
      </c>
      <c r="B718" s="8">
        <f>[1]Data!B718</f>
        <v>3</v>
      </c>
      <c r="C718" s="8">
        <f>[1]Data!C718</f>
        <v>0</v>
      </c>
      <c r="D718" s="8">
        <f>[1]Data!D718</f>
        <v>1</v>
      </c>
      <c r="E718" s="8" t="str">
        <f>[1]Data!E718</f>
        <v>NON-HS</v>
      </c>
      <c r="F718" s="8" t="str">
        <f>[1]Data!F718</f>
        <v>Walnut</v>
      </c>
      <c r="G718" s="8">
        <f>[1]Data!G718</f>
        <v>0</v>
      </c>
      <c r="H718" s="8">
        <f>[1]Data!H718</f>
        <v>0</v>
      </c>
      <c r="I718" s="8">
        <f>[1]Data!I718</f>
        <v>0</v>
      </c>
      <c r="J718" s="8">
        <f>[1]Data!J718</f>
        <v>0</v>
      </c>
      <c r="K718" s="8">
        <f>[1]Data!K718</f>
        <v>0</v>
      </c>
      <c r="L718" s="8">
        <f>[1]Data!L718</f>
        <v>0</v>
      </c>
      <c r="M718" s="8">
        <f>[1]Data!M718</f>
        <v>0</v>
      </c>
      <c r="N718" s="8">
        <f>[1]Data!N718</f>
        <v>3.09278350515464E-2</v>
      </c>
      <c r="O718" s="8">
        <f>[1]Data!O718</f>
        <v>0</v>
      </c>
      <c r="P718" s="8">
        <f>[1]Data!P718</f>
        <v>1</v>
      </c>
      <c r="Q718" s="8">
        <f>[1]Data!Q718</f>
        <v>0</v>
      </c>
      <c r="R718" s="8">
        <f>[1]Data!R718</f>
        <v>0</v>
      </c>
      <c r="S718" s="8">
        <f>[1]Data!S718</f>
        <v>0</v>
      </c>
      <c r="T718">
        <f t="shared" si="55"/>
        <v>3.09278350515464E-2</v>
      </c>
      <c r="U718">
        <f t="shared" si="56"/>
        <v>0</v>
      </c>
      <c r="V718" s="4" t="str">
        <f t="shared" si="57"/>
        <v>0</v>
      </c>
      <c r="W718" s="4" t="str">
        <f t="shared" si="58"/>
        <v>3</v>
      </c>
      <c r="X718" s="4" t="str">
        <f t="shared" si="59"/>
        <v>0NON-HS3</v>
      </c>
      <c r="Y718">
        <f>VLOOKUP(X718,Sheet1!$J$5:$K$121,2,FALSE)</f>
        <v>0</v>
      </c>
    </row>
    <row r="719" spans="1:25" x14ac:dyDescent="0.25">
      <c r="A719" s="8">
        <f>[1]Data!A719</f>
        <v>405400</v>
      </c>
      <c r="B719" s="8">
        <f>[1]Data!B719</f>
        <v>3</v>
      </c>
      <c r="C719" s="8">
        <f>[1]Data!C719</f>
        <v>0</v>
      </c>
      <c r="D719" s="8">
        <f>[1]Data!D719</f>
        <v>1</v>
      </c>
      <c r="E719" s="8" t="str">
        <f>[1]Data!E719</f>
        <v>NON-HS</v>
      </c>
      <c r="F719" s="8" t="str">
        <f>[1]Data!F719</f>
        <v>Vincent</v>
      </c>
      <c r="G719" s="8">
        <f>[1]Data!G719</f>
        <v>0</v>
      </c>
      <c r="H719" s="8">
        <f>[1]Data!H719</f>
        <v>0</v>
      </c>
      <c r="I719" s="8">
        <f>[1]Data!I719</f>
        <v>4.0949999999999998</v>
      </c>
      <c r="J719" s="8">
        <f>[1]Data!J719</f>
        <v>1.9836996600000001</v>
      </c>
      <c r="K719" s="8">
        <f>[1]Data!K719</f>
        <v>3.9836996600000001</v>
      </c>
      <c r="L719" s="8">
        <f>[1]Data!L719</f>
        <v>0.11117260138240601</v>
      </c>
      <c r="M719" s="8">
        <f>[1]Data!M719</f>
        <v>4.0948722613824096</v>
      </c>
      <c r="N719" s="8">
        <f>[1]Data!N719</f>
        <v>3.09278350515464E-2</v>
      </c>
      <c r="O719" s="8">
        <f>[1]Data!O719</f>
        <v>0</v>
      </c>
      <c r="P719" s="8">
        <f>[1]Data!P719</f>
        <v>1</v>
      </c>
      <c r="Q719" s="8">
        <f>[1]Data!Q719</f>
        <v>0</v>
      </c>
      <c r="R719" s="8">
        <f>[1]Data!R719</f>
        <v>0</v>
      </c>
      <c r="S719" s="8">
        <f>[1]Data!S719</f>
        <v>0</v>
      </c>
      <c r="T719">
        <f t="shared" si="55"/>
        <v>3.09278350515464E-2</v>
      </c>
      <c r="U719">
        <f t="shared" si="56"/>
        <v>0</v>
      </c>
      <c r="V719" s="4" t="str">
        <f t="shared" si="57"/>
        <v>0</v>
      </c>
      <c r="W719" s="4" t="str">
        <f t="shared" si="58"/>
        <v>3</v>
      </c>
      <c r="X719" s="4" t="str">
        <f t="shared" si="59"/>
        <v>0NON-HS3</v>
      </c>
      <c r="Y719">
        <f>VLOOKUP(X719,Sheet1!$J$5:$K$121,2,FALSE)</f>
        <v>0</v>
      </c>
    </row>
    <row r="720" spans="1:25" x14ac:dyDescent="0.25">
      <c r="A720" s="8">
        <f>[1]Data!A720</f>
        <v>482101</v>
      </c>
      <c r="B720" s="8">
        <f>[1]Data!B720</f>
        <v>3</v>
      </c>
      <c r="C720" s="8">
        <f>[1]Data!C720</f>
        <v>0</v>
      </c>
      <c r="D720" s="8">
        <f>[1]Data!D720</f>
        <v>1</v>
      </c>
      <c r="E720" s="8" t="str">
        <f>[1]Data!E720</f>
        <v>NON-HS</v>
      </c>
      <c r="F720" s="8" t="str">
        <f>[1]Data!F720</f>
        <v>Monterey Park</v>
      </c>
      <c r="G720" s="8">
        <f>[1]Data!G720</f>
        <v>0</v>
      </c>
      <c r="H720" s="8">
        <f>[1]Data!H720</f>
        <v>0</v>
      </c>
      <c r="I720" s="8">
        <f>[1]Data!I720</f>
        <v>0</v>
      </c>
      <c r="J720" s="8">
        <f>[1]Data!J720</f>
        <v>0</v>
      </c>
      <c r="K720" s="8">
        <f>[1]Data!K720</f>
        <v>0</v>
      </c>
      <c r="L720" s="8">
        <f>[1]Data!L720</f>
        <v>0</v>
      </c>
      <c r="M720" s="8">
        <f>[1]Data!M720</f>
        <v>0</v>
      </c>
      <c r="N720" s="8">
        <f>[1]Data!N720</f>
        <v>3.09278350515464E-2</v>
      </c>
      <c r="O720" s="8">
        <f>[1]Data!O720</f>
        <v>0</v>
      </c>
      <c r="P720" s="8">
        <f>[1]Data!P720</f>
        <v>1</v>
      </c>
      <c r="Q720" s="8">
        <f>[1]Data!Q720</f>
        <v>0</v>
      </c>
      <c r="R720" s="8">
        <f>[1]Data!R720</f>
        <v>0</v>
      </c>
      <c r="S720" s="8">
        <f>[1]Data!S720</f>
        <v>0</v>
      </c>
      <c r="T720">
        <f t="shared" si="55"/>
        <v>3.09278350515464E-2</v>
      </c>
      <c r="U720">
        <f t="shared" si="56"/>
        <v>0</v>
      </c>
      <c r="V720" s="4" t="str">
        <f t="shared" si="57"/>
        <v>0</v>
      </c>
      <c r="W720" s="4" t="str">
        <f t="shared" si="58"/>
        <v>3</v>
      </c>
      <c r="X720" s="4" t="str">
        <f t="shared" si="59"/>
        <v>0NON-HS3</v>
      </c>
      <c r="Y720">
        <f>VLOOKUP(X720,Sheet1!$J$5:$K$121,2,FALSE)</f>
        <v>0</v>
      </c>
    </row>
    <row r="721" spans="1:25" x14ac:dyDescent="0.25">
      <c r="A721" s="8">
        <f>[1]Data!A721</f>
        <v>480101</v>
      </c>
      <c r="B721" s="8">
        <f>[1]Data!B721</f>
        <v>3</v>
      </c>
      <c r="C721" s="8">
        <f>[1]Data!C721</f>
        <v>0</v>
      </c>
      <c r="D721" s="8">
        <f>[1]Data!D721</f>
        <v>5</v>
      </c>
      <c r="E721" s="8" t="str">
        <f>[1]Data!E721</f>
        <v>NON-HS</v>
      </c>
      <c r="F721" s="8" t="str">
        <f>[1]Data!F721</f>
        <v>Temple City</v>
      </c>
      <c r="G721" s="8">
        <f>[1]Data!G721</f>
        <v>0</v>
      </c>
      <c r="H721" s="8">
        <f>[1]Data!H721</f>
        <v>0</v>
      </c>
      <c r="I721" s="8">
        <f>[1]Data!I721</f>
        <v>0</v>
      </c>
      <c r="J721" s="8">
        <f>[1]Data!J721</f>
        <v>0</v>
      </c>
      <c r="K721" s="8">
        <f>[1]Data!K721</f>
        <v>0</v>
      </c>
      <c r="L721" s="8">
        <f>[1]Data!L721</f>
        <v>0</v>
      </c>
      <c r="M721" s="8">
        <f>[1]Data!M721</f>
        <v>0</v>
      </c>
      <c r="N721" s="8">
        <f>[1]Data!N721</f>
        <v>3.09278350515464E-2</v>
      </c>
      <c r="O721" s="8">
        <f>[1]Data!O721</f>
        <v>0</v>
      </c>
      <c r="P721" s="8">
        <f>[1]Data!P721</f>
        <v>1</v>
      </c>
      <c r="Q721" s="8">
        <f>[1]Data!Q721</f>
        <v>0</v>
      </c>
      <c r="R721" s="8">
        <f>[1]Data!R721</f>
        <v>0</v>
      </c>
      <c r="S721" s="8">
        <f>[1]Data!S721</f>
        <v>0</v>
      </c>
      <c r="T721">
        <f t="shared" si="55"/>
        <v>3.09278350515464E-2</v>
      </c>
      <c r="U721">
        <f t="shared" si="56"/>
        <v>0</v>
      </c>
      <c r="V721" s="4" t="str">
        <f t="shared" si="57"/>
        <v>0</v>
      </c>
      <c r="W721" s="4" t="str">
        <f t="shared" si="58"/>
        <v>3</v>
      </c>
      <c r="X721" s="4" t="str">
        <f t="shared" si="59"/>
        <v>0NON-HS3</v>
      </c>
      <c r="Y721">
        <f>VLOOKUP(X721,Sheet1!$J$5:$K$121,2,FALSE)</f>
        <v>0</v>
      </c>
    </row>
    <row r="722" spans="1:25" x14ac:dyDescent="0.25">
      <c r="A722" s="8">
        <f>[1]Data!A722</f>
        <v>482102</v>
      </c>
      <c r="B722" s="8">
        <f>[1]Data!B722</f>
        <v>3</v>
      </c>
      <c r="C722" s="8">
        <f>[1]Data!C722</f>
        <v>0</v>
      </c>
      <c r="D722" s="8">
        <f>[1]Data!D722</f>
        <v>1</v>
      </c>
      <c r="E722" s="8" t="str">
        <f>[1]Data!E722</f>
        <v>NON-HS</v>
      </c>
      <c r="F722" s="8" t="str">
        <f>[1]Data!F722</f>
        <v>Monterey Park</v>
      </c>
      <c r="G722" s="8">
        <f>[1]Data!G722</f>
        <v>0</v>
      </c>
      <c r="H722" s="8">
        <f>[1]Data!H722</f>
        <v>0</v>
      </c>
      <c r="I722" s="8">
        <f>[1]Data!I722</f>
        <v>3.8079999999999998</v>
      </c>
      <c r="J722" s="8">
        <f>[1]Data!J722</f>
        <v>1.73313217</v>
      </c>
      <c r="K722" s="8">
        <f>[1]Data!K722</f>
        <v>3.7331321700000002</v>
      </c>
      <c r="L722" s="8">
        <f>[1]Data!L722</f>
        <v>7.4985510287253102E-2</v>
      </c>
      <c r="M722" s="8">
        <f>[1]Data!M722</f>
        <v>3.8081176802872498</v>
      </c>
      <c r="N722" s="8">
        <f>[1]Data!N722</f>
        <v>3.09278350515464E-2</v>
      </c>
      <c r="O722" s="8">
        <f>[1]Data!O722</f>
        <v>0</v>
      </c>
      <c r="P722" s="8">
        <f>[1]Data!P722</f>
        <v>1</v>
      </c>
      <c r="Q722" s="8">
        <f>[1]Data!Q722</f>
        <v>0</v>
      </c>
      <c r="R722" s="8">
        <f>[1]Data!R722</f>
        <v>0</v>
      </c>
      <c r="S722" s="8">
        <f>[1]Data!S722</f>
        <v>0</v>
      </c>
      <c r="T722">
        <f t="shared" si="55"/>
        <v>3.09278350515464E-2</v>
      </c>
      <c r="U722">
        <f t="shared" si="56"/>
        <v>0</v>
      </c>
      <c r="V722" s="4" t="str">
        <f t="shared" si="57"/>
        <v>0</v>
      </c>
      <c r="W722" s="4" t="str">
        <f t="shared" si="58"/>
        <v>3</v>
      </c>
      <c r="X722" s="4" t="str">
        <f t="shared" si="59"/>
        <v>0NON-HS3</v>
      </c>
      <c r="Y722">
        <f>VLOOKUP(X722,Sheet1!$J$5:$K$121,2,FALSE)</f>
        <v>0</v>
      </c>
    </row>
    <row r="723" spans="1:25" x14ac:dyDescent="0.25">
      <c r="A723" s="8">
        <f>[1]Data!A723</f>
        <v>480702</v>
      </c>
      <c r="B723" s="8">
        <f>[1]Data!B723</f>
        <v>3</v>
      </c>
      <c r="C723" s="8">
        <f>[1]Data!C723</f>
        <v>0</v>
      </c>
      <c r="D723" s="8">
        <f>[1]Data!D723</f>
        <v>5</v>
      </c>
      <c r="E723" s="8" t="str">
        <f>[1]Data!E723</f>
        <v>NON-HS</v>
      </c>
      <c r="F723" s="8" t="str">
        <f>[1]Data!F723</f>
        <v>South Pasadena</v>
      </c>
      <c r="G723" s="8">
        <f>[1]Data!G723</f>
        <v>0</v>
      </c>
      <c r="H723" s="8">
        <f>[1]Data!H723</f>
        <v>0</v>
      </c>
      <c r="I723" s="8">
        <f>[1]Data!I723</f>
        <v>0</v>
      </c>
      <c r="J723" s="8">
        <f>[1]Data!J723</f>
        <v>0</v>
      </c>
      <c r="K723" s="8">
        <f>[1]Data!K723</f>
        <v>0</v>
      </c>
      <c r="L723" s="8">
        <f>[1]Data!L723</f>
        <v>0</v>
      </c>
      <c r="M723" s="8">
        <f>[1]Data!M723</f>
        <v>0</v>
      </c>
      <c r="N723" s="8">
        <f>[1]Data!N723</f>
        <v>3.09278350515464E-2</v>
      </c>
      <c r="O723" s="8">
        <f>[1]Data!O723</f>
        <v>0</v>
      </c>
      <c r="P723" s="8">
        <f>[1]Data!P723</f>
        <v>1</v>
      </c>
      <c r="Q723" s="8">
        <f>[1]Data!Q723</f>
        <v>0</v>
      </c>
      <c r="R723" s="8">
        <f>[1]Data!R723</f>
        <v>0</v>
      </c>
      <c r="S723" s="8">
        <f>[1]Data!S723</f>
        <v>0</v>
      </c>
      <c r="T723">
        <f t="shared" si="55"/>
        <v>3.09278350515464E-2</v>
      </c>
      <c r="U723">
        <f t="shared" si="56"/>
        <v>0</v>
      </c>
      <c r="V723" s="4" t="str">
        <f t="shared" si="57"/>
        <v>0</v>
      </c>
      <c r="W723" s="4" t="str">
        <f t="shared" si="58"/>
        <v>3</v>
      </c>
      <c r="X723" s="4" t="str">
        <f t="shared" si="59"/>
        <v>0NON-HS3</v>
      </c>
      <c r="Y723">
        <f>VLOOKUP(X723,Sheet1!$J$5:$K$121,2,FALSE)</f>
        <v>0</v>
      </c>
    </row>
    <row r="724" spans="1:25" x14ac:dyDescent="0.25">
      <c r="A724" s="8">
        <f>[1]Data!A724</f>
        <v>403500</v>
      </c>
      <c r="B724" s="8">
        <f>[1]Data!B724</f>
        <v>3</v>
      </c>
      <c r="C724" s="8">
        <f>[1]Data!C724</f>
        <v>0</v>
      </c>
      <c r="D724" s="8">
        <f>[1]Data!D724</f>
        <v>5</v>
      </c>
      <c r="E724" s="8" t="str">
        <f>[1]Data!E724</f>
        <v>NON-HS</v>
      </c>
      <c r="F724" s="8" t="str">
        <f>[1]Data!F724</f>
        <v>Covina</v>
      </c>
      <c r="G724" s="8">
        <f>[1]Data!G724</f>
        <v>0</v>
      </c>
      <c r="H724" s="8">
        <f>[1]Data!H724</f>
        <v>0</v>
      </c>
      <c r="I724" s="8">
        <f>[1]Data!I724</f>
        <v>0</v>
      </c>
      <c r="J724" s="8">
        <f>[1]Data!J724</f>
        <v>0</v>
      </c>
      <c r="K724" s="8">
        <f>[1]Data!K724</f>
        <v>0</v>
      </c>
      <c r="L724" s="8">
        <f>[1]Data!L724</f>
        <v>0</v>
      </c>
      <c r="M724" s="8">
        <f>[1]Data!M724</f>
        <v>0</v>
      </c>
      <c r="N724" s="8">
        <f>[1]Data!N724</f>
        <v>3.09278350515464E-2</v>
      </c>
      <c r="O724" s="8">
        <f>[1]Data!O724</f>
        <v>0</v>
      </c>
      <c r="P724" s="8">
        <f>[1]Data!P724</f>
        <v>1</v>
      </c>
      <c r="Q724" s="8">
        <f>[1]Data!Q724</f>
        <v>0</v>
      </c>
      <c r="R724" s="8">
        <f>[1]Data!R724</f>
        <v>0</v>
      </c>
      <c r="S724" s="8">
        <f>[1]Data!S724</f>
        <v>0</v>
      </c>
      <c r="T724">
        <f t="shared" si="55"/>
        <v>3.09278350515464E-2</v>
      </c>
      <c r="U724">
        <f t="shared" si="56"/>
        <v>0</v>
      </c>
      <c r="V724" s="4" t="str">
        <f t="shared" si="57"/>
        <v>0</v>
      </c>
      <c r="W724" s="4" t="str">
        <f t="shared" si="58"/>
        <v>3</v>
      </c>
      <c r="X724" s="4" t="str">
        <f t="shared" si="59"/>
        <v>0NON-HS3</v>
      </c>
      <c r="Y724">
        <f>VLOOKUP(X724,Sheet1!$J$5:$K$121,2,FALSE)</f>
        <v>0</v>
      </c>
    </row>
    <row r="725" spans="1:25" x14ac:dyDescent="0.25">
      <c r="A725" s="8">
        <f>[1]Data!A725</f>
        <v>408503</v>
      </c>
      <c r="B725" s="8">
        <f>[1]Data!B725</f>
        <v>3</v>
      </c>
      <c r="C725" s="8">
        <f>[1]Data!C725</f>
        <v>0</v>
      </c>
      <c r="D725" s="8">
        <f>[1]Data!D725</f>
        <v>4</v>
      </c>
      <c r="E725" s="8" t="str">
        <f>[1]Data!E725</f>
        <v>NON-HS</v>
      </c>
      <c r="F725" s="8" t="str">
        <f>[1]Data!F725</f>
        <v>Hacienda Heights</v>
      </c>
      <c r="G725" s="8">
        <f>[1]Data!G725</f>
        <v>0</v>
      </c>
      <c r="H725" s="8">
        <f>[1]Data!H725</f>
        <v>0</v>
      </c>
      <c r="I725" s="8">
        <f>[1]Data!I725</f>
        <v>0</v>
      </c>
      <c r="J725" s="8">
        <f>[1]Data!J725</f>
        <v>0</v>
      </c>
      <c r="K725" s="8">
        <f>[1]Data!K725</f>
        <v>0</v>
      </c>
      <c r="L725" s="8">
        <f>[1]Data!L725</f>
        <v>0</v>
      </c>
      <c r="M725" s="8">
        <f>[1]Data!M725</f>
        <v>0</v>
      </c>
      <c r="N725" s="8">
        <f>[1]Data!N725</f>
        <v>3.09278350515464E-2</v>
      </c>
      <c r="O725" s="8">
        <f>[1]Data!O725</f>
        <v>0</v>
      </c>
      <c r="P725" s="8">
        <f>[1]Data!P725</f>
        <v>1</v>
      </c>
      <c r="Q725" s="8">
        <f>[1]Data!Q725</f>
        <v>0</v>
      </c>
      <c r="R725" s="8">
        <f>[1]Data!R725</f>
        <v>0</v>
      </c>
      <c r="S725" s="8">
        <f>[1]Data!S725</f>
        <v>0</v>
      </c>
      <c r="T725">
        <f t="shared" si="55"/>
        <v>3.09278350515464E-2</v>
      </c>
      <c r="U725">
        <f t="shared" si="56"/>
        <v>0</v>
      </c>
      <c r="V725" s="4" t="str">
        <f t="shared" si="57"/>
        <v>0</v>
      </c>
      <c r="W725" s="4" t="str">
        <f t="shared" si="58"/>
        <v>3</v>
      </c>
      <c r="X725" s="4" t="str">
        <f t="shared" si="59"/>
        <v>0NON-HS3</v>
      </c>
      <c r="Y725">
        <f>VLOOKUP(X725,Sheet1!$J$5:$K$121,2,FALSE)</f>
        <v>0</v>
      </c>
    </row>
    <row r="726" spans="1:25" x14ac:dyDescent="0.25">
      <c r="A726" s="8">
        <f>[1]Data!A726</f>
        <v>407702</v>
      </c>
      <c r="B726" s="8">
        <f>[1]Data!B726</f>
        <v>3</v>
      </c>
      <c r="C726" s="8">
        <f>[1]Data!C726</f>
        <v>0</v>
      </c>
      <c r="D726" s="8">
        <f>[1]Data!D726</f>
        <v>1</v>
      </c>
      <c r="E726" s="8" t="str">
        <f>[1]Data!E726</f>
        <v>NON-HS</v>
      </c>
      <c r="F726" s="8" t="str">
        <f>[1]Data!F726</f>
        <v>La Puente</v>
      </c>
      <c r="G726" s="8">
        <f>[1]Data!G726</f>
        <v>1</v>
      </c>
      <c r="H726" s="8">
        <f>[1]Data!H726</f>
        <v>1</v>
      </c>
      <c r="I726" s="8">
        <f>[1]Data!I726</f>
        <v>1</v>
      </c>
      <c r="J726" s="8">
        <f>[1]Data!J726</f>
        <v>0</v>
      </c>
      <c r="K726" s="8">
        <f>[1]Data!K726</f>
        <v>1</v>
      </c>
      <c r="L726" s="8">
        <f>[1]Data!L726</f>
        <v>0</v>
      </c>
      <c r="M726" s="8">
        <f>[1]Data!M726</f>
        <v>1</v>
      </c>
      <c r="N726" s="8">
        <f>[1]Data!N726</f>
        <v>3.09278350515464E-2</v>
      </c>
      <c r="O726" s="8">
        <f>[1]Data!O726</f>
        <v>32.3333333333333</v>
      </c>
      <c r="P726" s="8">
        <f>[1]Data!P726</f>
        <v>1</v>
      </c>
      <c r="Q726" s="8">
        <f>[1]Data!Q726</f>
        <v>0</v>
      </c>
      <c r="R726" s="8">
        <f>[1]Data!R726</f>
        <v>0</v>
      </c>
      <c r="S726" s="8">
        <f>[1]Data!S726</f>
        <v>0</v>
      </c>
      <c r="T726">
        <f t="shared" si="55"/>
        <v>3.09278350515464E-2</v>
      </c>
      <c r="U726">
        <f t="shared" si="56"/>
        <v>32.333333333333321</v>
      </c>
      <c r="V726" s="4" t="str">
        <f t="shared" si="57"/>
        <v>0</v>
      </c>
      <c r="W726" s="4" t="str">
        <f t="shared" si="58"/>
        <v>3</v>
      </c>
      <c r="X726" s="4" t="str">
        <f t="shared" si="59"/>
        <v>0NON-HS3</v>
      </c>
      <c r="Y726">
        <f>VLOOKUP(X726,Sheet1!$J$5:$K$121,2,FALSE)</f>
        <v>0</v>
      </c>
    </row>
    <row r="727" spans="1:25" x14ac:dyDescent="0.25">
      <c r="A727" s="8">
        <f>[1]Data!A727</f>
        <v>408706</v>
      </c>
      <c r="B727" s="8">
        <f>[1]Data!B727</f>
        <v>3</v>
      </c>
      <c r="C727" s="8">
        <f>[1]Data!C727</f>
        <v>0</v>
      </c>
      <c r="D727" s="8">
        <f>[1]Data!D727</f>
        <v>4</v>
      </c>
      <c r="E727" s="8" t="str">
        <f>[1]Data!E727</f>
        <v>NON-HS</v>
      </c>
      <c r="F727" s="8" t="str">
        <f>[1]Data!F727</f>
        <v>Rowland Heights</v>
      </c>
      <c r="G727" s="8">
        <f>[1]Data!G727</f>
        <v>0</v>
      </c>
      <c r="H727" s="8">
        <f>[1]Data!H727</f>
        <v>0</v>
      </c>
      <c r="I727" s="8">
        <f>[1]Data!I727</f>
        <v>0</v>
      </c>
      <c r="J727" s="8">
        <f>[1]Data!J727</f>
        <v>0</v>
      </c>
      <c r="K727" s="8">
        <f>[1]Data!K727</f>
        <v>0</v>
      </c>
      <c r="L727" s="8">
        <f>[1]Data!L727</f>
        <v>0</v>
      </c>
      <c r="M727" s="8">
        <f>[1]Data!M727</f>
        <v>0</v>
      </c>
      <c r="N727" s="8">
        <f>[1]Data!N727</f>
        <v>3.09278350515464E-2</v>
      </c>
      <c r="O727" s="8">
        <f>[1]Data!O727</f>
        <v>0</v>
      </c>
      <c r="P727" s="8">
        <f>[1]Data!P727</f>
        <v>1</v>
      </c>
      <c r="Q727" s="8">
        <f>[1]Data!Q727</f>
        <v>0</v>
      </c>
      <c r="R727" s="8">
        <f>[1]Data!R727</f>
        <v>0</v>
      </c>
      <c r="S727" s="8">
        <f>[1]Data!S727</f>
        <v>0</v>
      </c>
      <c r="T727">
        <f t="shared" si="55"/>
        <v>3.09278350515464E-2</v>
      </c>
      <c r="U727">
        <f t="shared" si="56"/>
        <v>0</v>
      </c>
      <c r="V727" s="4" t="str">
        <f t="shared" si="57"/>
        <v>0</v>
      </c>
      <c r="W727" s="4" t="str">
        <f t="shared" si="58"/>
        <v>3</v>
      </c>
      <c r="X727" s="4" t="str">
        <f t="shared" si="59"/>
        <v>0NON-HS3</v>
      </c>
      <c r="Y727">
        <f>VLOOKUP(X727,Sheet1!$J$5:$K$121,2,FALSE)</f>
        <v>0</v>
      </c>
    </row>
    <row r="728" spans="1:25" x14ac:dyDescent="0.25">
      <c r="A728" s="8">
        <f>[1]Data!A728</f>
        <v>430501</v>
      </c>
      <c r="B728" s="8">
        <f>[1]Data!B728</f>
        <v>3</v>
      </c>
      <c r="C728" s="8">
        <f>[1]Data!C728</f>
        <v>0</v>
      </c>
      <c r="D728" s="8">
        <f>[1]Data!D728</f>
        <v>5</v>
      </c>
      <c r="E728" s="8" t="str">
        <f>[1]Data!E728</f>
        <v>NON-HS</v>
      </c>
      <c r="F728" s="8" t="str">
        <f>[1]Data!F728</f>
        <v>Sierra Madre</v>
      </c>
      <c r="G728" s="8">
        <f>[1]Data!G728</f>
        <v>0</v>
      </c>
      <c r="H728" s="8">
        <f>[1]Data!H728</f>
        <v>0</v>
      </c>
      <c r="I728" s="8">
        <f>[1]Data!I728</f>
        <v>0</v>
      </c>
      <c r="J728" s="8">
        <f>[1]Data!J728</f>
        <v>0</v>
      </c>
      <c r="K728" s="8">
        <f>[1]Data!K728</f>
        <v>0</v>
      </c>
      <c r="L728" s="8">
        <f>[1]Data!L728</f>
        <v>0</v>
      </c>
      <c r="M728" s="8">
        <f>[1]Data!M728</f>
        <v>0</v>
      </c>
      <c r="N728" s="8">
        <f>[1]Data!N728</f>
        <v>3.09278350515464E-2</v>
      </c>
      <c r="O728" s="8">
        <f>[1]Data!O728</f>
        <v>0</v>
      </c>
      <c r="P728" s="8">
        <f>[1]Data!P728</f>
        <v>1</v>
      </c>
      <c r="Q728" s="8">
        <f>[1]Data!Q728</f>
        <v>0</v>
      </c>
      <c r="R728" s="8">
        <f>[1]Data!R728</f>
        <v>0</v>
      </c>
      <c r="S728" s="8">
        <f>[1]Data!S728</f>
        <v>0</v>
      </c>
      <c r="T728">
        <f t="shared" si="55"/>
        <v>3.09278350515464E-2</v>
      </c>
      <c r="U728">
        <f t="shared" si="56"/>
        <v>0</v>
      </c>
      <c r="V728" s="4" t="str">
        <f t="shared" si="57"/>
        <v>0</v>
      </c>
      <c r="W728" s="4" t="str">
        <f t="shared" si="58"/>
        <v>3</v>
      </c>
      <c r="X728" s="4" t="str">
        <f t="shared" si="59"/>
        <v>0NON-HS3</v>
      </c>
      <c r="Y728">
        <f>VLOOKUP(X728,Sheet1!$J$5:$K$121,2,FALSE)</f>
        <v>0</v>
      </c>
    </row>
    <row r="729" spans="1:25" x14ac:dyDescent="0.25">
      <c r="A729" s="8">
        <f>[1]Data!A729</f>
        <v>430302</v>
      </c>
      <c r="B729" s="8">
        <f>[1]Data!B729</f>
        <v>3</v>
      </c>
      <c r="C729" s="8">
        <f>[1]Data!C729</f>
        <v>0</v>
      </c>
      <c r="D729" s="8">
        <f>[1]Data!D729</f>
        <v>5</v>
      </c>
      <c r="E729" s="8" t="str">
        <f>[1]Data!E729</f>
        <v>NON-HS</v>
      </c>
      <c r="F729" s="8" t="str">
        <f>[1]Data!F729</f>
        <v>Monrovia</v>
      </c>
      <c r="G729" s="8">
        <f>[1]Data!G729</f>
        <v>0</v>
      </c>
      <c r="H729" s="8">
        <f>[1]Data!H729</f>
        <v>0</v>
      </c>
      <c r="I729" s="8">
        <f>[1]Data!I729</f>
        <v>1</v>
      </c>
      <c r="J729" s="8">
        <f>[1]Data!J729</f>
        <v>0</v>
      </c>
      <c r="K729" s="8">
        <f>[1]Data!K729</f>
        <v>1</v>
      </c>
      <c r="L729" s="8">
        <f>[1]Data!L729</f>
        <v>0</v>
      </c>
      <c r="M729" s="8">
        <f>[1]Data!M729</f>
        <v>1</v>
      </c>
      <c r="N729" s="8">
        <f>[1]Data!N729</f>
        <v>3.09278350515464E-2</v>
      </c>
      <c r="O729" s="8">
        <f>[1]Data!O729</f>
        <v>0</v>
      </c>
      <c r="P729" s="8">
        <f>[1]Data!P729</f>
        <v>1</v>
      </c>
      <c r="Q729" s="8">
        <f>[1]Data!Q729</f>
        <v>0</v>
      </c>
      <c r="R729" s="8">
        <f>[1]Data!R729</f>
        <v>0</v>
      </c>
      <c r="S729" s="8">
        <f>[1]Data!S729</f>
        <v>0</v>
      </c>
      <c r="T729">
        <f t="shared" si="55"/>
        <v>3.09278350515464E-2</v>
      </c>
      <c r="U729">
        <f t="shared" si="56"/>
        <v>0</v>
      </c>
      <c r="V729" s="4" t="str">
        <f t="shared" si="57"/>
        <v>0</v>
      </c>
      <c r="W729" s="4" t="str">
        <f t="shared" si="58"/>
        <v>3</v>
      </c>
      <c r="X729" s="4" t="str">
        <f t="shared" si="59"/>
        <v>0NON-HS3</v>
      </c>
      <c r="Y729">
        <f>VLOOKUP(X729,Sheet1!$J$5:$K$121,2,FALSE)</f>
        <v>0</v>
      </c>
    </row>
    <row r="730" spans="1:25" x14ac:dyDescent="0.25">
      <c r="A730" s="8">
        <f>[1]Data!A730</f>
        <v>431002</v>
      </c>
      <c r="B730" s="8">
        <f>[1]Data!B730</f>
        <v>3</v>
      </c>
      <c r="C730" s="8">
        <f>[1]Data!C730</f>
        <v>0</v>
      </c>
      <c r="D730" s="8">
        <f>[1]Data!D730</f>
        <v>5</v>
      </c>
      <c r="E730" s="8" t="str">
        <f>[1]Data!E730</f>
        <v>NON-HS</v>
      </c>
      <c r="F730" s="8" t="str">
        <f>[1]Data!F730</f>
        <v>Monrovia</v>
      </c>
      <c r="G730" s="8">
        <f>[1]Data!G730</f>
        <v>0</v>
      </c>
      <c r="H730" s="8">
        <f>[1]Data!H730</f>
        <v>0</v>
      </c>
      <c r="I730" s="8">
        <f>[1]Data!I730</f>
        <v>3.5910000000000002</v>
      </c>
      <c r="J730" s="8">
        <f>[1]Data!J730</f>
        <v>1.43919657</v>
      </c>
      <c r="K730" s="8">
        <f>[1]Data!K730</f>
        <v>3.43919657</v>
      </c>
      <c r="L730" s="8">
        <f>[1]Data!L730</f>
        <v>0.15145200614003601</v>
      </c>
      <c r="M730" s="8">
        <f>[1]Data!M730</f>
        <v>3.59064857614004</v>
      </c>
      <c r="N730" s="8">
        <f>[1]Data!N730</f>
        <v>3.09278350515464E-2</v>
      </c>
      <c r="O730" s="8">
        <f>[1]Data!O730</f>
        <v>0</v>
      </c>
      <c r="P730" s="8">
        <f>[1]Data!P730</f>
        <v>1</v>
      </c>
      <c r="Q730" s="8">
        <f>[1]Data!Q730</f>
        <v>0</v>
      </c>
      <c r="R730" s="8">
        <f>[1]Data!R730</f>
        <v>0</v>
      </c>
      <c r="S730" s="8">
        <f>[1]Data!S730</f>
        <v>0</v>
      </c>
      <c r="T730">
        <f t="shared" si="55"/>
        <v>3.09278350515464E-2</v>
      </c>
      <c r="U730">
        <f t="shared" si="56"/>
        <v>0</v>
      </c>
      <c r="V730" s="4" t="str">
        <f t="shared" si="57"/>
        <v>0</v>
      </c>
      <c r="W730" s="4" t="str">
        <f t="shared" si="58"/>
        <v>3</v>
      </c>
      <c r="X730" s="4" t="str">
        <f t="shared" si="59"/>
        <v>0NON-HS3</v>
      </c>
      <c r="Y730">
        <f>VLOOKUP(X730,Sheet1!$J$5:$K$121,2,FALSE)</f>
        <v>0</v>
      </c>
    </row>
    <row r="731" spans="1:25" x14ac:dyDescent="0.25">
      <c r="A731" s="8">
        <f>[1]Data!A731</f>
        <v>408133</v>
      </c>
      <c r="B731" s="8">
        <f>[1]Data!B731</f>
        <v>3</v>
      </c>
      <c r="C731" s="8">
        <f>[1]Data!C731</f>
        <v>0</v>
      </c>
      <c r="D731" s="8">
        <f>[1]Data!D731</f>
        <v>1</v>
      </c>
      <c r="E731" s="8" t="str">
        <f>[1]Data!E731</f>
        <v>NON-HS</v>
      </c>
      <c r="F731" s="8" t="str">
        <f>[1]Data!F731</f>
        <v>West Covina</v>
      </c>
      <c r="G731" s="8">
        <f>[1]Data!G731</f>
        <v>0</v>
      </c>
      <c r="H731" s="8">
        <f>[1]Data!H731</f>
        <v>0</v>
      </c>
      <c r="I731" s="8">
        <f>[1]Data!I731</f>
        <v>0</v>
      </c>
      <c r="J731" s="8">
        <f>[1]Data!J731</f>
        <v>0</v>
      </c>
      <c r="K731" s="8">
        <f>[1]Data!K731</f>
        <v>0</v>
      </c>
      <c r="L731" s="8">
        <f>[1]Data!L731</f>
        <v>0</v>
      </c>
      <c r="M731" s="8">
        <f>[1]Data!M731</f>
        <v>0</v>
      </c>
      <c r="N731" s="8">
        <f>[1]Data!N731</f>
        <v>3.09278350515464E-2</v>
      </c>
      <c r="O731" s="8">
        <f>[1]Data!O731</f>
        <v>0</v>
      </c>
      <c r="P731" s="8">
        <f>[1]Data!P731</f>
        <v>1</v>
      </c>
      <c r="Q731" s="8">
        <f>[1]Data!Q731</f>
        <v>0</v>
      </c>
      <c r="R731" s="8">
        <f>[1]Data!R731</f>
        <v>0</v>
      </c>
      <c r="S731" s="8">
        <f>[1]Data!S731</f>
        <v>0</v>
      </c>
      <c r="T731">
        <f t="shared" si="55"/>
        <v>3.09278350515464E-2</v>
      </c>
      <c r="U731">
        <f t="shared" si="56"/>
        <v>0</v>
      </c>
      <c r="V731" s="4" t="str">
        <f t="shared" si="57"/>
        <v>0</v>
      </c>
      <c r="W731" s="4" t="str">
        <f t="shared" si="58"/>
        <v>3</v>
      </c>
      <c r="X731" s="4" t="str">
        <f t="shared" si="59"/>
        <v>0NON-HS3</v>
      </c>
      <c r="Y731">
        <f>VLOOKUP(X731,Sheet1!$J$5:$K$121,2,FALSE)</f>
        <v>0</v>
      </c>
    </row>
    <row r="732" spans="1:25" x14ac:dyDescent="0.25">
      <c r="A732" s="8">
        <f>[1]Data!A732</f>
        <v>430724</v>
      </c>
      <c r="B732" s="8">
        <f>[1]Data!B732</f>
        <v>3</v>
      </c>
      <c r="C732" s="8">
        <f>[1]Data!C732</f>
        <v>0</v>
      </c>
      <c r="D732" s="8">
        <f>[1]Data!D732</f>
        <v>5</v>
      </c>
      <c r="E732" s="8" t="str">
        <f>[1]Data!E732</f>
        <v>NON-HS</v>
      </c>
      <c r="F732" s="8" t="str">
        <f>[1]Data!F732</f>
        <v>Arcadia</v>
      </c>
      <c r="G732" s="8">
        <f>[1]Data!G732</f>
        <v>0</v>
      </c>
      <c r="H732" s="8">
        <f>[1]Data!H732</f>
        <v>0</v>
      </c>
      <c r="I732" s="8">
        <f>[1]Data!I732</f>
        <v>0</v>
      </c>
      <c r="J732" s="8">
        <f>[1]Data!J732</f>
        <v>0</v>
      </c>
      <c r="K732" s="8">
        <f>[1]Data!K732</f>
        <v>0</v>
      </c>
      <c r="L732" s="8">
        <f>[1]Data!L732</f>
        <v>0</v>
      </c>
      <c r="M732" s="8">
        <f>[1]Data!M732</f>
        <v>0</v>
      </c>
      <c r="N732" s="8">
        <f>[1]Data!N732</f>
        <v>3.09278350515464E-2</v>
      </c>
      <c r="O732" s="8">
        <f>[1]Data!O732</f>
        <v>0</v>
      </c>
      <c r="P732" s="8">
        <f>[1]Data!P732</f>
        <v>1</v>
      </c>
      <c r="Q732" s="8">
        <f>[1]Data!Q732</f>
        <v>0</v>
      </c>
      <c r="R732" s="8">
        <f>[1]Data!R732</f>
        <v>0</v>
      </c>
      <c r="S732" s="8">
        <f>[1]Data!S732</f>
        <v>0</v>
      </c>
      <c r="T732">
        <f t="shared" si="55"/>
        <v>3.09278350515464E-2</v>
      </c>
      <c r="U732">
        <f t="shared" si="56"/>
        <v>0</v>
      </c>
      <c r="V732" s="4" t="str">
        <f t="shared" si="57"/>
        <v>0</v>
      </c>
      <c r="W732" s="4" t="str">
        <f t="shared" si="58"/>
        <v>3</v>
      </c>
      <c r="X732" s="4" t="str">
        <f t="shared" si="59"/>
        <v>0NON-HS3</v>
      </c>
      <c r="Y732">
        <f>VLOOKUP(X732,Sheet1!$J$5:$K$121,2,FALSE)</f>
        <v>0</v>
      </c>
    </row>
    <row r="733" spans="1:25" x14ac:dyDescent="0.25">
      <c r="A733" s="8">
        <f>[1]Data!A733</f>
        <v>431300</v>
      </c>
      <c r="B733" s="8">
        <f>[1]Data!B733</f>
        <v>3</v>
      </c>
      <c r="C733" s="8">
        <f>[1]Data!C733</f>
        <v>0</v>
      </c>
      <c r="D733" s="8">
        <f>[1]Data!D733</f>
        <v>5</v>
      </c>
      <c r="E733" s="8" t="str">
        <f>[1]Data!E733</f>
        <v>NON-HS</v>
      </c>
      <c r="F733" s="8" t="str">
        <f>[1]Data!F733</f>
        <v>Mayflower Village</v>
      </c>
      <c r="G733" s="8">
        <f>[1]Data!G733</f>
        <v>0</v>
      </c>
      <c r="H733" s="8">
        <f>[1]Data!H733</f>
        <v>0</v>
      </c>
      <c r="I733" s="8">
        <f>[1]Data!I733</f>
        <v>1.591</v>
      </c>
      <c r="J733" s="8">
        <f>[1]Data!J733</f>
        <v>1.43919657</v>
      </c>
      <c r="K733" s="8">
        <f>[1]Data!K733</f>
        <v>1.43919657</v>
      </c>
      <c r="L733" s="8">
        <f>[1]Data!L733</f>
        <v>0.15145200614003601</v>
      </c>
      <c r="M733" s="8">
        <f>[1]Data!M733</f>
        <v>1.59064857614004</v>
      </c>
      <c r="N733" s="8">
        <f>[1]Data!N733</f>
        <v>3.09278350515464E-2</v>
      </c>
      <c r="O733" s="8">
        <f>[1]Data!O733</f>
        <v>0</v>
      </c>
      <c r="P733" s="8">
        <f>[1]Data!P733</f>
        <v>1</v>
      </c>
      <c r="Q733" s="8">
        <f>[1]Data!Q733</f>
        <v>0</v>
      </c>
      <c r="R733" s="8">
        <f>[1]Data!R733</f>
        <v>0</v>
      </c>
      <c r="S733" s="8">
        <f>[1]Data!S733</f>
        <v>0</v>
      </c>
      <c r="T733">
        <f t="shared" si="55"/>
        <v>3.09278350515464E-2</v>
      </c>
      <c r="U733">
        <f t="shared" si="56"/>
        <v>0</v>
      </c>
      <c r="V733" s="4" t="str">
        <f t="shared" si="57"/>
        <v>0</v>
      </c>
      <c r="W733" s="4" t="str">
        <f t="shared" si="58"/>
        <v>3</v>
      </c>
      <c r="X733" s="4" t="str">
        <f t="shared" si="59"/>
        <v>0NON-HS3</v>
      </c>
      <c r="Y733">
        <f>VLOOKUP(X733,Sheet1!$J$5:$K$121,2,FALSE)</f>
        <v>0</v>
      </c>
    </row>
    <row r="734" spans="1:25" x14ac:dyDescent="0.25">
      <c r="A734" s="8">
        <f>[1]Data!A734</f>
        <v>431600</v>
      </c>
      <c r="B734" s="8">
        <f>[1]Data!B734</f>
        <v>3</v>
      </c>
      <c r="C734" s="8">
        <f>[1]Data!C734</f>
        <v>0</v>
      </c>
      <c r="D734" s="8">
        <f>[1]Data!D734</f>
        <v>5</v>
      </c>
      <c r="E734" s="8" t="str">
        <f>[1]Data!E734</f>
        <v>NON-HS</v>
      </c>
      <c r="F734" s="8" t="str">
        <f>[1]Data!F734</f>
        <v>Arcadia</v>
      </c>
      <c r="G734" s="8">
        <f>[1]Data!G734</f>
        <v>0</v>
      </c>
      <c r="H734" s="8">
        <f>[1]Data!H734</f>
        <v>0</v>
      </c>
      <c r="I734" s="8">
        <f>[1]Data!I734</f>
        <v>0</v>
      </c>
      <c r="J734" s="8">
        <f>[1]Data!J734</f>
        <v>0</v>
      </c>
      <c r="K734" s="8">
        <f>[1]Data!K734</f>
        <v>0</v>
      </c>
      <c r="L734" s="8">
        <f>[1]Data!L734</f>
        <v>0</v>
      </c>
      <c r="M734" s="8">
        <f>[1]Data!M734</f>
        <v>0</v>
      </c>
      <c r="N734" s="8">
        <f>[1]Data!N734</f>
        <v>3.09278350515464E-2</v>
      </c>
      <c r="O734" s="8">
        <f>[1]Data!O734</f>
        <v>0</v>
      </c>
      <c r="P734" s="8">
        <f>[1]Data!P734</f>
        <v>1</v>
      </c>
      <c r="Q734" s="8">
        <f>[1]Data!Q734</f>
        <v>0</v>
      </c>
      <c r="R734" s="8">
        <f>[1]Data!R734</f>
        <v>0</v>
      </c>
      <c r="S734" s="8">
        <f>[1]Data!S734</f>
        <v>0</v>
      </c>
      <c r="T734">
        <f t="shared" si="55"/>
        <v>3.09278350515464E-2</v>
      </c>
      <c r="U734">
        <f t="shared" si="56"/>
        <v>0</v>
      </c>
      <c r="V734" s="4" t="str">
        <f t="shared" si="57"/>
        <v>0</v>
      </c>
      <c r="W734" s="4" t="str">
        <f t="shared" si="58"/>
        <v>3</v>
      </c>
      <c r="X734" s="4" t="str">
        <f t="shared" si="59"/>
        <v>0NON-HS3</v>
      </c>
      <c r="Y734">
        <f>VLOOKUP(X734,Sheet1!$J$5:$K$121,2,FALSE)</f>
        <v>0</v>
      </c>
    </row>
    <row r="735" spans="1:25" x14ac:dyDescent="0.25">
      <c r="A735" s="8">
        <f>[1]Data!A735</f>
        <v>431501</v>
      </c>
      <c r="B735" s="8">
        <f>[1]Data!B735</f>
        <v>3</v>
      </c>
      <c r="C735" s="8">
        <f>[1]Data!C735</f>
        <v>0</v>
      </c>
      <c r="D735" s="8">
        <f>[1]Data!D735</f>
        <v>5</v>
      </c>
      <c r="E735" s="8" t="str">
        <f>[1]Data!E735</f>
        <v>NON-HS</v>
      </c>
      <c r="F735" s="8" t="str">
        <f>[1]Data!F735</f>
        <v>North El Monte</v>
      </c>
      <c r="G735" s="8">
        <f>[1]Data!G735</f>
        <v>0</v>
      </c>
      <c r="H735" s="8">
        <f>[1]Data!H735</f>
        <v>0</v>
      </c>
      <c r="I735" s="8">
        <f>[1]Data!I735</f>
        <v>0</v>
      </c>
      <c r="J735" s="8">
        <f>[1]Data!J735</f>
        <v>0</v>
      </c>
      <c r="K735" s="8">
        <f>[1]Data!K735</f>
        <v>0</v>
      </c>
      <c r="L735" s="8">
        <f>[1]Data!L735</f>
        <v>0</v>
      </c>
      <c r="M735" s="8">
        <f>[1]Data!M735</f>
        <v>0</v>
      </c>
      <c r="N735" s="8">
        <f>[1]Data!N735</f>
        <v>3.09278350515464E-2</v>
      </c>
      <c r="O735" s="8">
        <f>[1]Data!O735</f>
        <v>0</v>
      </c>
      <c r="P735" s="8">
        <f>[1]Data!P735</f>
        <v>1</v>
      </c>
      <c r="Q735" s="8">
        <f>[1]Data!Q735</f>
        <v>0</v>
      </c>
      <c r="R735" s="8">
        <f>[1]Data!R735</f>
        <v>0</v>
      </c>
      <c r="S735" s="8">
        <f>[1]Data!S735</f>
        <v>0</v>
      </c>
      <c r="T735">
        <f t="shared" si="55"/>
        <v>3.09278350515464E-2</v>
      </c>
      <c r="U735">
        <f t="shared" si="56"/>
        <v>0</v>
      </c>
      <c r="V735" s="4" t="str">
        <f t="shared" si="57"/>
        <v>0</v>
      </c>
      <c r="W735" s="4" t="str">
        <f t="shared" si="58"/>
        <v>3</v>
      </c>
      <c r="X735" s="4" t="str">
        <f t="shared" si="59"/>
        <v>0NON-HS3</v>
      </c>
      <c r="Y735">
        <f>VLOOKUP(X735,Sheet1!$J$5:$K$121,2,FALSE)</f>
        <v>0</v>
      </c>
    </row>
    <row r="736" spans="1:25" x14ac:dyDescent="0.25">
      <c r="A736" s="8">
        <f>[1]Data!A736</f>
        <v>430600</v>
      </c>
      <c r="B736" s="8">
        <f>[1]Data!B736</f>
        <v>3</v>
      </c>
      <c r="C736" s="8">
        <f>[1]Data!C736</f>
        <v>0</v>
      </c>
      <c r="D736" s="8">
        <f>[1]Data!D736</f>
        <v>5</v>
      </c>
      <c r="E736" s="8" t="str">
        <f>[1]Data!E736</f>
        <v>NON-HS</v>
      </c>
      <c r="F736" s="8" t="str">
        <f>[1]Data!F736</f>
        <v>Arcadia</v>
      </c>
      <c r="G736" s="8">
        <f>[1]Data!G736</f>
        <v>0</v>
      </c>
      <c r="H736" s="8">
        <f>[1]Data!H736</f>
        <v>0</v>
      </c>
      <c r="I736" s="8">
        <f>[1]Data!I736</f>
        <v>1.9259999999999999</v>
      </c>
      <c r="J736" s="8">
        <f>[1]Data!J736</f>
        <v>1.90487994</v>
      </c>
      <c r="K736" s="8">
        <f>[1]Data!K736</f>
        <v>1.90487994</v>
      </c>
      <c r="L736" s="8">
        <f>[1]Data!L736</f>
        <v>2.0625322082585301E-2</v>
      </c>
      <c r="M736" s="8">
        <f>[1]Data!M736</f>
        <v>1.9255052620825901</v>
      </c>
      <c r="N736" s="8">
        <f>[1]Data!N736</f>
        <v>3.09278350515464E-2</v>
      </c>
      <c r="O736" s="8">
        <f>[1]Data!O736</f>
        <v>0</v>
      </c>
      <c r="P736" s="8">
        <f>[1]Data!P736</f>
        <v>1</v>
      </c>
      <c r="Q736" s="8">
        <f>[1]Data!Q736</f>
        <v>0</v>
      </c>
      <c r="R736" s="8">
        <f>[1]Data!R736</f>
        <v>0</v>
      </c>
      <c r="S736" s="8">
        <f>[1]Data!S736</f>
        <v>0</v>
      </c>
      <c r="T736">
        <f t="shared" si="55"/>
        <v>3.09278350515464E-2</v>
      </c>
      <c r="U736">
        <f t="shared" si="56"/>
        <v>0</v>
      </c>
      <c r="V736" s="4" t="str">
        <f t="shared" si="57"/>
        <v>0</v>
      </c>
      <c r="W736" s="4" t="str">
        <f t="shared" si="58"/>
        <v>3</v>
      </c>
      <c r="X736" s="4" t="str">
        <f t="shared" si="59"/>
        <v>0NON-HS3</v>
      </c>
      <c r="Y736">
        <f>VLOOKUP(X736,Sheet1!$J$5:$K$121,2,FALSE)</f>
        <v>0</v>
      </c>
    </row>
    <row r="737" spans="1:25" x14ac:dyDescent="0.25">
      <c r="A737" s="8">
        <f>[1]Data!A737</f>
        <v>432202</v>
      </c>
      <c r="B737" s="8">
        <f>[1]Data!B737</f>
        <v>3</v>
      </c>
      <c r="C737" s="8">
        <f>[1]Data!C737</f>
        <v>0</v>
      </c>
      <c r="D737" s="8">
        <f>[1]Data!D737</f>
        <v>1</v>
      </c>
      <c r="E737" s="8" t="str">
        <f>[1]Data!E737</f>
        <v>NON-HS</v>
      </c>
      <c r="F737" s="8" t="str">
        <f>[1]Data!F737</f>
        <v>Rosemead</v>
      </c>
      <c r="G737" s="8">
        <f>[1]Data!G737</f>
        <v>0</v>
      </c>
      <c r="H737" s="8">
        <f>[1]Data!H737</f>
        <v>0</v>
      </c>
      <c r="I737" s="8">
        <f>[1]Data!I737</f>
        <v>0</v>
      </c>
      <c r="J737" s="8">
        <f>[1]Data!J737</f>
        <v>0</v>
      </c>
      <c r="K737" s="8">
        <f>[1]Data!K737</f>
        <v>0</v>
      </c>
      <c r="L737" s="8">
        <f>[1]Data!L737</f>
        <v>0</v>
      </c>
      <c r="M737" s="8">
        <f>[1]Data!M737</f>
        <v>0</v>
      </c>
      <c r="N737" s="8">
        <f>[1]Data!N737</f>
        <v>3.09278350515464E-2</v>
      </c>
      <c r="O737" s="8">
        <f>[1]Data!O737</f>
        <v>0</v>
      </c>
      <c r="P737" s="8">
        <f>[1]Data!P737</f>
        <v>1</v>
      </c>
      <c r="Q737" s="8">
        <f>[1]Data!Q737</f>
        <v>0</v>
      </c>
      <c r="R737" s="8">
        <f>[1]Data!R737</f>
        <v>0</v>
      </c>
      <c r="S737" s="8">
        <f>[1]Data!S737</f>
        <v>0</v>
      </c>
      <c r="T737">
        <f t="shared" si="55"/>
        <v>3.09278350515464E-2</v>
      </c>
      <c r="U737">
        <f t="shared" si="56"/>
        <v>0</v>
      </c>
      <c r="V737" s="4" t="str">
        <f t="shared" si="57"/>
        <v>0</v>
      </c>
      <c r="W737" s="4" t="str">
        <f t="shared" si="58"/>
        <v>3</v>
      </c>
      <c r="X737" s="4" t="str">
        <f t="shared" si="59"/>
        <v>0NON-HS3</v>
      </c>
      <c r="Y737">
        <f>VLOOKUP(X737,Sheet1!$J$5:$K$121,2,FALSE)</f>
        <v>0</v>
      </c>
    </row>
    <row r="738" spans="1:25" x14ac:dyDescent="0.25">
      <c r="A738" s="8">
        <f>[1]Data!A738</f>
        <v>430902</v>
      </c>
      <c r="B738" s="8">
        <f>[1]Data!B738</f>
        <v>3</v>
      </c>
      <c r="C738" s="8">
        <f>[1]Data!C738</f>
        <v>0</v>
      </c>
      <c r="D738" s="8">
        <f>[1]Data!D738</f>
        <v>5</v>
      </c>
      <c r="E738" s="8" t="str">
        <f>[1]Data!E738</f>
        <v>NON-HS</v>
      </c>
      <c r="F738" s="8" t="str">
        <f>[1]Data!F738</f>
        <v>Monrovia</v>
      </c>
      <c r="G738" s="8">
        <f>[1]Data!G738</f>
        <v>0</v>
      </c>
      <c r="H738" s="8">
        <f>[1]Data!H738</f>
        <v>0</v>
      </c>
      <c r="I738" s="8">
        <f>[1]Data!I738</f>
        <v>2</v>
      </c>
      <c r="J738" s="8">
        <f>[1]Data!J738</f>
        <v>0</v>
      </c>
      <c r="K738" s="8">
        <f>[1]Data!K738</f>
        <v>2</v>
      </c>
      <c r="L738" s="8">
        <f>[1]Data!L738</f>
        <v>0</v>
      </c>
      <c r="M738" s="8">
        <f>[1]Data!M738</f>
        <v>2</v>
      </c>
      <c r="N738" s="8">
        <f>[1]Data!N738</f>
        <v>3.09278350515464E-2</v>
      </c>
      <c r="O738" s="8">
        <f>[1]Data!O738</f>
        <v>0</v>
      </c>
      <c r="P738" s="8">
        <f>[1]Data!P738</f>
        <v>1</v>
      </c>
      <c r="Q738" s="8">
        <f>[1]Data!Q738</f>
        <v>0</v>
      </c>
      <c r="R738" s="8">
        <f>[1]Data!R738</f>
        <v>0</v>
      </c>
      <c r="S738" s="8">
        <f>[1]Data!S738</f>
        <v>0</v>
      </c>
      <c r="T738">
        <f t="shared" si="55"/>
        <v>3.09278350515464E-2</v>
      </c>
      <c r="U738">
        <f t="shared" si="56"/>
        <v>0</v>
      </c>
      <c r="V738" s="4" t="str">
        <f t="shared" si="57"/>
        <v>0</v>
      </c>
      <c r="W738" s="4" t="str">
        <f t="shared" si="58"/>
        <v>3</v>
      </c>
      <c r="X738" s="4" t="str">
        <f t="shared" si="59"/>
        <v>0NON-HS3</v>
      </c>
      <c r="Y738">
        <f>VLOOKUP(X738,Sheet1!$J$5:$K$121,2,FALSE)</f>
        <v>0</v>
      </c>
    </row>
    <row r="739" spans="1:25" x14ac:dyDescent="0.25">
      <c r="A739" s="8">
        <f>[1]Data!A739</f>
        <v>431800</v>
      </c>
      <c r="B739" s="8">
        <f>[1]Data!B739</f>
        <v>3</v>
      </c>
      <c r="C739" s="8">
        <f>[1]Data!C739</f>
        <v>0</v>
      </c>
      <c r="D739" s="8">
        <f>[1]Data!D739</f>
        <v>5</v>
      </c>
      <c r="E739" s="8" t="str">
        <f>[1]Data!E739</f>
        <v>NON-HS</v>
      </c>
      <c r="F739" s="8" t="str">
        <f>[1]Data!F739</f>
        <v>Temple City</v>
      </c>
      <c r="G739" s="8">
        <f>[1]Data!G739</f>
        <v>0</v>
      </c>
      <c r="H739" s="8">
        <f>[1]Data!H739</f>
        <v>0</v>
      </c>
      <c r="I739" s="8">
        <f>[1]Data!I739</f>
        <v>0</v>
      </c>
      <c r="J739" s="8">
        <f>[1]Data!J739</f>
        <v>0</v>
      </c>
      <c r="K739" s="8">
        <f>[1]Data!K739</f>
        <v>0</v>
      </c>
      <c r="L739" s="8">
        <f>[1]Data!L739</f>
        <v>0</v>
      </c>
      <c r="M739" s="8">
        <f>[1]Data!M739</f>
        <v>0</v>
      </c>
      <c r="N739" s="8">
        <f>[1]Data!N739</f>
        <v>3.09278350515464E-2</v>
      </c>
      <c r="O739" s="8">
        <f>[1]Data!O739</f>
        <v>0</v>
      </c>
      <c r="P739" s="8">
        <f>[1]Data!P739</f>
        <v>1</v>
      </c>
      <c r="Q739" s="8">
        <f>[1]Data!Q739</f>
        <v>0</v>
      </c>
      <c r="R739" s="8">
        <f>[1]Data!R739</f>
        <v>0</v>
      </c>
      <c r="S739" s="8">
        <f>[1]Data!S739</f>
        <v>0</v>
      </c>
      <c r="T739">
        <f t="shared" si="55"/>
        <v>3.09278350515464E-2</v>
      </c>
      <c r="U739">
        <f t="shared" si="56"/>
        <v>0</v>
      </c>
      <c r="V739" s="4" t="str">
        <f t="shared" si="57"/>
        <v>0</v>
      </c>
      <c r="W739" s="4" t="str">
        <f t="shared" si="58"/>
        <v>3</v>
      </c>
      <c r="X739" s="4" t="str">
        <f t="shared" si="59"/>
        <v>0NON-HS3</v>
      </c>
      <c r="Y739">
        <f>VLOOKUP(X739,Sheet1!$J$5:$K$121,2,FALSE)</f>
        <v>0</v>
      </c>
    </row>
    <row r="740" spans="1:25" x14ac:dyDescent="0.25">
      <c r="A740" s="8">
        <f>[1]Data!A740</f>
        <v>463102</v>
      </c>
      <c r="B740" s="8">
        <f>[1]Data!B740</f>
        <v>3</v>
      </c>
      <c r="C740" s="8">
        <f>[1]Data!C740</f>
        <v>0</v>
      </c>
      <c r="D740" s="8">
        <f>[1]Data!D740</f>
        <v>5</v>
      </c>
      <c r="E740" s="8" t="str">
        <f>[1]Data!E740</f>
        <v>NON-HS</v>
      </c>
      <c r="F740" s="8" t="str">
        <f>[1]Data!F740</f>
        <v>East Pasadena</v>
      </c>
      <c r="G740" s="8">
        <f>[1]Data!G740</f>
        <v>0</v>
      </c>
      <c r="H740" s="8">
        <f>[1]Data!H740</f>
        <v>0</v>
      </c>
      <c r="I740" s="8">
        <f>[1]Data!I740</f>
        <v>0</v>
      </c>
      <c r="J740" s="8">
        <f>[1]Data!J740</f>
        <v>0</v>
      </c>
      <c r="K740" s="8">
        <f>[1]Data!K740</f>
        <v>0</v>
      </c>
      <c r="L740" s="8">
        <f>[1]Data!L740</f>
        <v>0</v>
      </c>
      <c r="M740" s="8">
        <f>[1]Data!M740</f>
        <v>0</v>
      </c>
      <c r="N740" s="8">
        <f>[1]Data!N740</f>
        <v>3.09278350515464E-2</v>
      </c>
      <c r="O740" s="8">
        <f>[1]Data!O740</f>
        <v>0</v>
      </c>
      <c r="P740" s="8">
        <f>[1]Data!P740</f>
        <v>1</v>
      </c>
      <c r="Q740" s="8">
        <f>[1]Data!Q740</f>
        <v>0</v>
      </c>
      <c r="R740" s="8">
        <f>[1]Data!R740</f>
        <v>0</v>
      </c>
      <c r="S740" s="8">
        <f>[1]Data!S740</f>
        <v>0</v>
      </c>
      <c r="T740">
        <f t="shared" si="55"/>
        <v>3.09278350515464E-2</v>
      </c>
      <c r="U740">
        <f t="shared" si="56"/>
        <v>0</v>
      </c>
      <c r="V740" s="4" t="str">
        <f t="shared" si="57"/>
        <v>0</v>
      </c>
      <c r="W740" s="4" t="str">
        <f t="shared" si="58"/>
        <v>3</v>
      </c>
      <c r="X740" s="4" t="str">
        <f t="shared" si="59"/>
        <v>0NON-HS3</v>
      </c>
      <c r="Y740">
        <f>VLOOKUP(X740,Sheet1!$J$5:$K$121,2,FALSE)</f>
        <v>0</v>
      </c>
    </row>
    <row r="741" spans="1:25" x14ac:dyDescent="0.25">
      <c r="A741" s="8">
        <f>[1]Data!A741</f>
        <v>481500</v>
      </c>
      <c r="B741" s="8">
        <f>[1]Data!B741</f>
        <v>3</v>
      </c>
      <c r="C741" s="8">
        <f>[1]Data!C741</f>
        <v>0</v>
      </c>
      <c r="D741" s="8">
        <f>[1]Data!D741</f>
        <v>5</v>
      </c>
      <c r="E741" s="8" t="str">
        <f>[1]Data!E741</f>
        <v>NON-HS</v>
      </c>
      <c r="F741" s="8" t="str">
        <f>[1]Data!F741</f>
        <v>Alhambra</v>
      </c>
      <c r="G741" s="8">
        <f>[1]Data!G741</f>
        <v>0</v>
      </c>
      <c r="H741" s="8">
        <f>[1]Data!H741</f>
        <v>0</v>
      </c>
      <c r="I741" s="8">
        <f>[1]Data!I741</f>
        <v>2</v>
      </c>
      <c r="J741" s="8">
        <f>[1]Data!J741</f>
        <v>0</v>
      </c>
      <c r="K741" s="8">
        <f>[1]Data!K741</f>
        <v>2</v>
      </c>
      <c r="L741" s="8">
        <f>[1]Data!L741</f>
        <v>0</v>
      </c>
      <c r="M741" s="8">
        <f>[1]Data!M741</f>
        <v>2</v>
      </c>
      <c r="N741" s="8">
        <f>[1]Data!N741</f>
        <v>3.09278350515464E-2</v>
      </c>
      <c r="O741" s="8">
        <f>[1]Data!O741</f>
        <v>0</v>
      </c>
      <c r="P741" s="8">
        <f>[1]Data!P741</f>
        <v>1</v>
      </c>
      <c r="Q741" s="8">
        <f>[1]Data!Q741</f>
        <v>0</v>
      </c>
      <c r="R741" s="8">
        <f>[1]Data!R741</f>
        <v>0</v>
      </c>
      <c r="S741" s="8">
        <f>[1]Data!S741</f>
        <v>0</v>
      </c>
      <c r="T741">
        <f t="shared" si="55"/>
        <v>3.09278350515464E-2</v>
      </c>
      <c r="U741">
        <f t="shared" si="56"/>
        <v>0</v>
      </c>
      <c r="V741" s="4" t="str">
        <f t="shared" si="57"/>
        <v>0</v>
      </c>
      <c r="W741" s="4" t="str">
        <f t="shared" si="58"/>
        <v>3</v>
      </c>
      <c r="X741" s="4" t="str">
        <f t="shared" si="59"/>
        <v>0NON-HS3</v>
      </c>
      <c r="Y741">
        <f>VLOOKUP(X741,Sheet1!$J$5:$K$121,2,FALSE)</f>
        <v>0</v>
      </c>
    </row>
    <row r="742" spans="1:25" x14ac:dyDescent="0.25">
      <c r="A742" s="8">
        <f>[1]Data!A742</f>
        <v>431200</v>
      </c>
      <c r="B742" s="8">
        <f>[1]Data!B742</f>
        <v>3</v>
      </c>
      <c r="C742" s="8">
        <f>[1]Data!C742</f>
        <v>0</v>
      </c>
      <c r="D742" s="8">
        <f>[1]Data!D742</f>
        <v>5</v>
      </c>
      <c r="E742" s="8" t="str">
        <f>[1]Data!E742</f>
        <v>NON-HS</v>
      </c>
      <c r="F742" s="8" t="str">
        <f>[1]Data!F742</f>
        <v>Monrovia</v>
      </c>
      <c r="G742" s="8">
        <f>[1]Data!G742</f>
        <v>0</v>
      </c>
      <c r="H742" s="8">
        <f>[1]Data!H742</f>
        <v>0</v>
      </c>
      <c r="I742" s="8">
        <f>[1]Data!I742</f>
        <v>0</v>
      </c>
      <c r="J742" s="8">
        <f>[1]Data!J742</f>
        <v>0</v>
      </c>
      <c r="K742" s="8">
        <f>[1]Data!K742</f>
        <v>0</v>
      </c>
      <c r="L742" s="8">
        <f>[1]Data!L742</f>
        <v>0</v>
      </c>
      <c r="M742" s="8">
        <f>[1]Data!M742</f>
        <v>0</v>
      </c>
      <c r="N742" s="8">
        <f>[1]Data!N742</f>
        <v>3.09278350515464E-2</v>
      </c>
      <c r="O742" s="8">
        <f>[1]Data!O742</f>
        <v>0</v>
      </c>
      <c r="P742" s="8">
        <f>[1]Data!P742</f>
        <v>1</v>
      </c>
      <c r="Q742" s="8">
        <f>[1]Data!Q742</f>
        <v>0</v>
      </c>
      <c r="R742" s="8">
        <f>[1]Data!R742</f>
        <v>0</v>
      </c>
      <c r="S742" s="8">
        <f>[1]Data!S742</f>
        <v>0</v>
      </c>
      <c r="T742">
        <f t="shared" si="55"/>
        <v>3.09278350515464E-2</v>
      </c>
      <c r="U742">
        <f t="shared" si="56"/>
        <v>0</v>
      </c>
      <c r="V742" s="4" t="str">
        <f t="shared" si="57"/>
        <v>0</v>
      </c>
      <c r="W742" s="4" t="str">
        <f t="shared" si="58"/>
        <v>3</v>
      </c>
      <c r="X742" s="4" t="str">
        <f t="shared" si="59"/>
        <v>0NON-HS3</v>
      </c>
      <c r="Y742">
        <f>VLOOKUP(X742,Sheet1!$J$5:$K$121,2,FALSE)</f>
        <v>0</v>
      </c>
    </row>
    <row r="743" spans="1:25" x14ac:dyDescent="0.25">
      <c r="A743" s="8">
        <f>[1]Data!A743</f>
        <v>433902</v>
      </c>
      <c r="B743" s="8">
        <f>[1]Data!B743</f>
        <v>3</v>
      </c>
      <c r="C743" s="8">
        <f>[1]Data!C743</f>
        <v>0</v>
      </c>
      <c r="D743" s="8">
        <f>[1]Data!D743</f>
        <v>1</v>
      </c>
      <c r="E743" s="8" t="str">
        <f>[1]Data!E743</f>
        <v>NON-HS</v>
      </c>
      <c r="F743" s="8" t="str">
        <f>[1]Data!F743</f>
        <v>El Monte</v>
      </c>
      <c r="G743" s="8">
        <f>[1]Data!G743</f>
        <v>0</v>
      </c>
      <c r="H743" s="8">
        <f>[1]Data!H743</f>
        <v>0</v>
      </c>
      <c r="I743" s="8">
        <f>[1]Data!I743</f>
        <v>0</v>
      </c>
      <c r="J743" s="8">
        <f>[1]Data!J743</f>
        <v>0</v>
      </c>
      <c r="K743" s="8">
        <f>[1]Data!K743</f>
        <v>0</v>
      </c>
      <c r="L743" s="8">
        <f>[1]Data!L743</f>
        <v>0</v>
      </c>
      <c r="M743" s="8">
        <f>[1]Data!M743</f>
        <v>0</v>
      </c>
      <c r="N743" s="8">
        <f>[1]Data!N743</f>
        <v>3.09278350515464E-2</v>
      </c>
      <c r="O743" s="8">
        <f>[1]Data!O743</f>
        <v>0</v>
      </c>
      <c r="P743" s="8">
        <f>[1]Data!P743</f>
        <v>1</v>
      </c>
      <c r="Q743" s="8">
        <f>[1]Data!Q743</f>
        <v>0</v>
      </c>
      <c r="R743" s="8">
        <f>[1]Data!R743</f>
        <v>0</v>
      </c>
      <c r="S743" s="8">
        <f>[1]Data!S743</f>
        <v>0</v>
      </c>
      <c r="T743">
        <f t="shared" si="55"/>
        <v>3.09278350515464E-2</v>
      </c>
      <c r="U743">
        <f t="shared" si="56"/>
        <v>0</v>
      </c>
      <c r="V743" s="4" t="str">
        <f t="shared" si="57"/>
        <v>0</v>
      </c>
      <c r="W743" s="4" t="str">
        <f t="shared" si="58"/>
        <v>3</v>
      </c>
      <c r="X743" s="4" t="str">
        <f t="shared" si="59"/>
        <v>0NON-HS3</v>
      </c>
      <c r="Y743">
        <f>VLOOKUP(X743,Sheet1!$J$5:$K$121,2,FALSE)</f>
        <v>0</v>
      </c>
    </row>
    <row r="744" spans="1:25" x14ac:dyDescent="0.25">
      <c r="A744" s="8">
        <f>[1]Data!A744</f>
        <v>433801</v>
      </c>
      <c r="B744" s="8">
        <f>[1]Data!B744</f>
        <v>3</v>
      </c>
      <c r="C744" s="8">
        <f>[1]Data!C744</f>
        <v>0</v>
      </c>
      <c r="D744" s="8">
        <f>[1]Data!D744</f>
        <v>1</v>
      </c>
      <c r="E744" s="8" t="str">
        <f>[1]Data!E744</f>
        <v>NON-HS</v>
      </c>
      <c r="F744" s="8" t="str">
        <f>[1]Data!F744</f>
        <v>South El Monte</v>
      </c>
      <c r="G744" s="8">
        <f>[1]Data!G744</f>
        <v>0</v>
      </c>
      <c r="H744" s="8">
        <f>[1]Data!H744</f>
        <v>0</v>
      </c>
      <c r="I744" s="8">
        <f>[1]Data!I744</f>
        <v>2</v>
      </c>
      <c r="J744" s="8">
        <f>[1]Data!J744</f>
        <v>0</v>
      </c>
      <c r="K744" s="8">
        <f>[1]Data!K744</f>
        <v>2</v>
      </c>
      <c r="L744" s="8">
        <f>[1]Data!L744</f>
        <v>0</v>
      </c>
      <c r="M744" s="8">
        <f>[1]Data!M744</f>
        <v>2</v>
      </c>
      <c r="N744" s="8">
        <f>[1]Data!N744</f>
        <v>3.09278350515464E-2</v>
      </c>
      <c r="O744" s="8">
        <f>[1]Data!O744</f>
        <v>0</v>
      </c>
      <c r="P744" s="8">
        <f>[1]Data!P744</f>
        <v>1</v>
      </c>
      <c r="Q744" s="8">
        <f>[1]Data!Q744</f>
        <v>0</v>
      </c>
      <c r="R744" s="8">
        <f>[1]Data!R744</f>
        <v>0</v>
      </c>
      <c r="S744" s="8">
        <f>[1]Data!S744</f>
        <v>0</v>
      </c>
      <c r="T744">
        <f t="shared" si="55"/>
        <v>3.09278350515464E-2</v>
      </c>
      <c r="U744">
        <f t="shared" si="56"/>
        <v>0</v>
      </c>
      <c r="V744" s="4" t="str">
        <f t="shared" si="57"/>
        <v>0</v>
      </c>
      <c r="W744" s="4" t="str">
        <f t="shared" si="58"/>
        <v>3</v>
      </c>
      <c r="X744" s="4" t="str">
        <f t="shared" si="59"/>
        <v>0NON-HS3</v>
      </c>
      <c r="Y744">
        <f>VLOOKUP(X744,Sheet1!$J$5:$K$121,2,FALSE)</f>
        <v>0</v>
      </c>
    </row>
    <row r="745" spans="1:25" x14ac:dyDescent="0.25">
      <c r="A745" s="8">
        <f>[1]Data!A745</f>
        <v>430723</v>
      </c>
      <c r="B745" s="8">
        <f>[1]Data!B745</f>
        <v>3</v>
      </c>
      <c r="C745" s="8">
        <f>[1]Data!C745</f>
        <v>0</v>
      </c>
      <c r="D745" s="8">
        <f>[1]Data!D745</f>
        <v>5</v>
      </c>
      <c r="E745" s="8" t="str">
        <f>[1]Data!E745</f>
        <v>NON-HS</v>
      </c>
      <c r="F745" s="8" t="str">
        <f>[1]Data!F745</f>
        <v>Arcadia</v>
      </c>
      <c r="G745" s="8">
        <f>[1]Data!G745</f>
        <v>0</v>
      </c>
      <c r="H745" s="8">
        <f>[1]Data!H745</f>
        <v>0</v>
      </c>
      <c r="I745" s="8">
        <f>[1]Data!I745</f>
        <v>0</v>
      </c>
      <c r="J745" s="8">
        <f>[1]Data!J745</f>
        <v>0</v>
      </c>
      <c r="K745" s="8">
        <f>[1]Data!K745</f>
        <v>0</v>
      </c>
      <c r="L745" s="8">
        <f>[1]Data!L745</f>
        <v>0</v>
      </c>
      <c r="M745" s="8">
        <f>[1]Data!M745</f>
        <v>0</v>
      </c>
      <c r="N745" s="8">
        <f>[1]Data!N745</f>
        <v>3.09278350515464E-2</v>
      </c>
      <c r="O745" s="8">
        <f>[1]Data!O745</f>
        <v>0</v>
      </c>
      <c r="P745" s="8">
        <f>[1]Data!P745</f>
        <v>1</v>
      </c>
      <c r="Q745" s="8">
        <f>[1]Data!Q745</f>
        <v>0</v>
      </c>
      <c r="R745" s="8">
        <f>[1]Data!R745</f>
        <v>0</v>
      </c>
      <c r="S745" s="8">
        <f>[1]Data!S745</f>
        <v>0</v>
      </c>
      <c r="T745">
        <f t="shared" si="55"/>
        <v>3.09278350515464E-2</v>
      </c>
      <c r="U745">
        <f t="shared" si="56"/>
        <v>0</v>
      </c>
      <c r="V745" s="4" t="str">
        <f t="shared" si="57"/>
        <v>0</v>
      </c>
      <c r="W745" s="4" t="str">
        <f t="shared" si="58"/>
        <v>3</v>
      </c>
      <c r="X745" s="4" t="str">
        <f t="shared" si="59"/>
        <v>0NON-HS3</v>
      </c>
      <c r="Y745">
        <f>VLOOKUP(X745,Sheet1!$J$5:$K$121,2,FALSE)</f>
        <v>0</v>
      </c>
    </row>
    <row r="746" spans="1:25" x14ac:dyDescent="0.25">
      <c r="A746" s="8">
        <f>[1]Data!A746</f>
        <v>432402</v>
      </c>
      <c r="B746" s="8">
        <f>[1]Data!B746</f>
        <v>3</v>
      </c>
      <c r="C746" s="8">
        <f>[1]Data!C746</f>
        <v>0</v>
      </c>
      <c r="D746" s="8">
        <f>[1]Data!D746</f>
        <v>1</v>
      </c>
      <c r="E746" s="8" t="str">
        <f>[1]Data!E746</f>
        <v>NON-HS</v>
      </c>
      <c r="F746" s="8" t="str">
        <f>[1]Data!F746</f>
        <v>El Monte</v>
      </c>
      <c r="G746" s="8">
        <f>[1]Data!G746</f>
        <v>0</v>
      </c>
      <c r="H746" s="8">
        <f>[1]Data!H746</f>
        <v>0</v>
      </c>
      <c r="I746" s="8">
        <f>[1]Data!I746</f>
        <v>2</v>
      </c>
      <c r="J746" s="8">
        <f>[1]Data!J746</f>
        <v>0</v>
      </c>
      <c r="K746" s="8">
        <f>[1]Data!K746</f>
        <v>2</v>
      </c>
      <c r="L746" s="8">
        <f>[1]Data!L746</f>
        <v>0</v>
      </c>
      <c r="M746" s="8">
        <f>[1]Data!M746</f>
        <v>2</v>
      </c>
      <c r="N746" s="8">
        <f>[1]Data!N746</f>
        <v>3.09278350515464E-2</v>
      </c>
      <c r="O746" s="8">
        <f>[1]Data!O746</f>
        <v>0</v>
      </c>
      <c r="P746" s="8">
        <f>[1]Data!P746</f>
        <v>1</v>
      </c>
      <c r="Q746" s="8">
        <f>[1]Data!Q746</f>
        <v>0</v>
      </c>
      <c r="R746" s="8">
        <f>[1]Data!R746</f>
        <v>0</v>
      </c>
      <c r="S746" s="8">
        <f>[1]Data!S746</f>
        <v>0</v>
      </c>
      <c r="T746">
        <f t="shared" si="55"/>
        <v>3.09278350515464E-2</v>
      </c>
      <c r="U746">
        <f t="shared" si="56"/>
        <v>0</v>
      </c>
      <c r="V746" s="4" t="str">
        <f t="shared" si="57"/>
        <v>0</v>
      </c>
      <c r="W746" s="4" t="str">
        <f t="shared" si="58"/>
        <v>3</v>
      </c>
      <c r="X746" s="4" t="str">
        <f t="shared" si="59"/>
        <v>0NON-HS3</v>
      </c>
      <c r="Y746">
        <f>VLOOKUP(X746,Sheet1!$J$5:$K$121,2,FALSE)</f>
        <v>0</v>
      </c>
    </row>
    <row r="747" spans="1:25" x14ac:dyDescent="0.25">
      <c r="A747" s="8">
        <f>[1]Data!A747</f>
        <v>430200</v>
      </c>
      <c r="B747" s="8">
        <f>[1]Data!B747</f>
        <v>3</v>
      </c>
      <c r="C747" s="8">
        <f>[1]Data!C747</f>
        <v>0</v>
      </c>
      <c r="D747" s="8">
        <f>[1]Data!D747</f>
        <v>5</v>
      </c>
      <c r="E747" s="8" t="str">
        <f>[1]Data!E747</f>
        <v>NON-HS</v>
      </c>
      <c r="F747" s="8" t="str">
        <f>[1]Data!F747</f>
        <v>Bradbury</v>
      </c>
      <c r="G747" s="8">
        <f>[1]Data!G747</f>
        <v>0</v>
      </c>
      <c r="H747" s="8">
        <f>[1]Data!H747</f>
        <v>0</v>
      </c>
      <c r="I747" s="8">
        <f>[1]Data!I747</f>
        <v>0</v>
      </c>
      <c r="J747" s="8">
        <f>[1]Data!J747</f>
        <v>0</v>
      </c>
      <c r="K747" s="8">
        <f>[1]Data!K747</f>
        <v>0</v>
      </c>
      <c r="L747" s="8">
        <f>[1]Data!L747</f>
        <v>0</v>
      </c>
      <c r="M747" s="8">
        <f>[1]Data!M747</f>
        <v>0</v>
      </c>
      <c r="N747" s="8">
        <f>[1]Data!N747</f>
        <v>3.09278350515464E-2</v>
      </c>
      <c r="O747" s="8">
        <f>[1]Data!O747</f>
        <v>0</v>
      </c>
      <c r="P747" s="8">
        <f>[1]Data!P747</f>
        <v>1</v>
      </c>
      <c r="Q747" s="8">
        <f>[1]Data!Q747</f>
        <v>0</v>
      </c>
      <c r="R747" s="8">
        <f>[1]Data!R747</f>
        <v>0</v>
      </c>
      <c r="S747" s="8">
        <f>[1]Data!S747</f>
        <v>0</v>
      </c>
      <c r="T747">
        <f t="shared" si="55"/>
        <v>3.09278350515464E-2</v>
      </c>
      <c r="U747">
        <f t="shared" si="56"/>
        <v>0</v>
      </c>
      <c r="V747" s="4" t="str">
        <f t="shared" si="57"/>
        <v>0</v>
      </c>
      <c r="W747" s="4" t="str">
        <f t="shared" si="58"/>
        <v>3</v>
      </c>
      <c r="X747" s="4" t="str">
        <f t="shared" si="59"/>
        <v>0NON-HS3</v>
      </c>
      <c r="Y747">
        <f>VLOOKUP(X747,Sheet1!$J$5:$K$121,2,FALSE)</f>
        <v>0</v>
      </c>
    </row>
    <row r="748" spans="1:25" x14ac:dyDescent="0.25">
      <c r="A748" s="8">
        <f>[1]Data!A748</f>
        <v>433305</v>
      </c>
      <c r="B748" s="8">
        <f>[1]Data!B748</f>
        <v>3</v>
      </c>
      <c r="C748" s="8">
        <f>[1]Data!C748</f>
        <v>0</v>
      </c>
      <c r="D748" s="8">
        <f>[1]Data!D748</f>
        <v>1</v>
      </c>
      <c r="E748" s="8" t="str">
        <f>[1]Data!E748</f>
        <v>NON-HS</v>
      </c>
      <c r="F748" s="8" t="str">
        <f>[1]Data!F748</f>
        <v>El Monte</v>
      </c>
      <c r="G748" s="8">
        <f>[1]Data!G748</f>
        <v>0</v>
      </c>
      <c r="H748" s="8">
        <f>[1]Data!H748</f>
        <v>0</v>
      </c>
      <c r="I748" s="8">
        <f>[1]Data!I748</f>
        <v>5.399</v>
      </c>
      <c r="J748" s="8">
        <f>[1]Data!J748</f>
        <v>3.1723287400000002</v>
      </c>
      <c r="K748" s="8">
        <f>[1]Data!K748</f>
        <v>5.1723287400000002</v>
      </c>
      <c r="L748" s="8">
        <f>[1]Data!L748</f>
        <v>0.22643751642728899</v>
      </c>
      <c r="M748" s="8">
        <f>[1]Data!M748</f>
        <v>5.3987662564272902</v>
      </c>
      <c r="N748" s="8">
        <f>[1]Data!N748</f>
        <v>3.09278350515464E-2</v>
      </c>
      <c r="O748" s="8">
        <f>[1]Data!O748</f>
        <v>0</v>
      </c>
      <c r="P748" s="8">
        <f>[1]Data!P748</f>
        <v>1</v>
      </c>
      <c r="Q748" s="8">
        <f>[1]Data!Q748</f>
        <v>0</v>
      </c>
      <c r="R748" s="8">
        <f>[1]Data!R748</f>
        <v>0</v>
      </c>
      <c r="S748" s="8">
        <f>[1]Data!S748</f>
        <v>0</v>
      </c>
      <c r="T748">
        <f t="shared" si="55"/>
        <v>3.09278350515464E-2</v>
      </c>
      <c r="U748">
        <f t="shared" si="56"/>
        <v>0</v>
      </c>
      <c r="V748" s="4" t="str">
        <f t="shared" si="57"/>
        <v>0</v>
      </c>
      <c r="W748" s="4" t="str">
        <f t="shared" si="58"/>
        <v>3</v>
      </c>
      <c r="X748" s="4" t="str">
        <f t="shared" si="59"/>
        <v>0NON-HS3</v>
      </c>
      <c r="Y748">
        <f>VLOOKUP(X748,Sheet1!$J$5:$K$121,2,FALSE)</f>
        <v>0</v>
      </c>
    </row>
    <row r="749" spans="1:25" x14ac:dyDescent="0.25">
      <c r="A749" s="8">
        <f>[1]Data!A749</f>
        <v>432902</v>
      </c>
      <c r="B749" s="8">
        <f>[1]Data!B749</f>
        <v>3</v>
      </c>
      <c r="C749" s="8">
        <f>[1]Data!C749</f>
        <v>0</v>
      </c>
      <c r="D749" s="8">
        <f>[1]Data!D749</f>
        <v>1</v>
      </c>
      <c r="E749" s="8" t="str">
        <f>[1]Data!E749</f>
        <v>NON-HS</v>
      </c>
      <c r="F749" s="8" t="str">
        <f>[1]Data!F749</f>
        <v>Rosemead</v>
      </c>
      <c r="G749" s="8">
        <f>[1]Data!G749</f>
        <v>0</v>
      </c>
      <c r="H749" s="8">
        <f>[1]Data!H749</f>
        <v>0</v>
      </c>
      <c r="I749" s="8">
        <f>[1]Data!I749</f>
        <v>0</v>
      </c>
      <c r="J749" s="8">
        <f>[1]Data!J749</f>
        <v>0</v>
      </c>
      <c r="K749" s="8">
        <f>[1]Data!K749</f>
        <v>0</v>
      </c>
      <c r="L749" s="8">
        <f>[1]Data!L749</f>
        <v>0</v>
      </c>
      <c r="M749" s="8">
        <f>[1]Data!M749</f>
        <v>0</v>
      </c>
      <c r="N749" s="8">
        <f>[1]Data!N749</f>
        <v>3.09278350515464E-2</v>
      </c>
      <c r="O749" s="8">
        <f>[1]Data!O749</f>
        <v>0</v>
      </c>
      <c r="P749" s="8">
        <f>[1]Data!P749</f>
        <v>1</v>
      </c>
      <c r="Q749" s="8">
        <f>[1]Data!Q749</f>
        <v>0</v>
      </c>
      <c r="R749" s="8">
        <f>[1]Data!R749</f>
        <v>0</v>
      </c>
      <c r="S749" s="8">
        <f>[1]Data!S749</f>
        <v>0</v>
      </c>
      <c r="T749">
        <f t="shared" si="55"/>
        <v>3.09278350515464E-2</v>
      </c>
      <c r="U749">
        <f t="shared" si="56"/>
        <v>0</v>
      </c>
      <c r="V749" s="4" t="str">
        <f t="shared" si="57"/>
        <v>0</v>
      </c>
      <c r="W749" s="4" t="str">
        <f t="shared" si="58"/>
        <v>3</v>
      </c>
      <c r="X749" s="4" t="str">
        <f t="shared" si="59"/>
        <v>0NON-HS3</v>
      </c>
      <c r="Y749">
        <f>VLOOKUP(X749,Sheet1!$J$5:$K$121,2,FALSE)</f>
        <v>0</v>
      </c>
    </row>
    <row r="750" spans="1:25" x14ac:dyDescent="0.25">
      <c r="A750" s="8">
        <f>[1]Data!A750</f>
        <v>430701</v>
      </c>
      <c r="B750" s="8">
        <f>[1]Data!B750</f>
        <v>3</v>
      </c>
      <c r="C750" s="8">
        <f>[1]Data!C750</f>
        <v>0</v>
      </c>
      <c r="D750" s="8">
        <f>[1]Data!D750</f>
        <v>5</v>
      </c>
      <c r="E750" s="8" t="str">
        <f>[1]Data!E750</f>
        <v>NON-HS</v>
      </c>
      <c r="F750" s="8" t="str">
        <f>[1]Data!F750</f>
        <v>Arcadia</v>
      </c>
      <c r="G750" s="8">
        <f>[1]Data!G750</f>
        <v>0</v>
      </c>
      <c r="H750" s="8">
        <f>[1]Data!H750</f>
        <v>0</v>
      </c>
      <c r="I750" s="8">
        <f>[1]Data!I750</f>
        <v>3.5169999999999999</v>
      </c>
      <c r="J750" s="8">
        <f>[1]Data!J750</f>
        <v>3.3440765099999998</v>
      </c>
      <c r="K750" s="8">
        <f>[1]Data!K750</f>
        <v>3.3440765099999998</v>
      </c>
      <c r="L750" s="8">
        <f>[1]Data!L750</f>
        <v>0.17207732822262101</v>
      </c>
      <c r="M750" s="8">
        <f>[1]Data!M750</f>
        <v>3.5161538382226198</v>
      </c>
      <c r="N750" s="8">
        <f>[1]Data!N750</f>
        <v>3.09278350515464E-2</v>
      </c>
      <c r="O750" s="8">
        <f>[1]Data!O750</f>
        <v>0</v>
      </c>
      <c r="P750" s="8">
        <f>[1]Data!P750</f>
        <v>1</v>
      </c>
      <c r="Q750" s="8">
        <f>[1]Data!Q750</f>
        <v>0</v>
      </c>
      <c r="R750" s="8">
        <f>[1]Data!R750</f>
        <v>0</v>
      </c>
      <c r="S750" s="8">
        <f>[1]Data!S750</f>
        <v>0</v>
      </c>
      <c r="T750">
        <f t="shared" si="55"/>
        <v>3.09278350515464E-2</v>
      </c>
      <c r="U750">
        <f t="shared" si="56"/>
        <v>0</v>
      </c>
      <c r="V750" s="4" t="str">
        <f t="shared" si="57"/>
        <v>0</v>
      </c>
      <c r="W750" s="4" t="str">
        <f t="shared" si="58"/>
        <v>3</v>
      </c>
      <c r="X750" s="4" t="str">
        <f t="shared" si="59"/>
        <v>0NON-HS3</v>
      </c>
      <c r="Y750">
        <f>VLOOKUP(X750,Sheet1!$J$5:$K$121,2,FALSE)</f>
        <v>0</v>
      </c>
    </row>
    <row r="751" spans="1:25" x14ac:dyDescent="0.25">
      <c r="A751" s="8">
        <f>[1]Data!A751</f>
        <v>407001</v>
      </c>
      <c r="B751" s="8">
        <f>[1]Data!B751</f>
        <v>3</v>
      </c>
      <c r="C751" s="8">
        <f>[1]Data!C751</f>
        <v>0</v>
      </c>
      <c r="D751" s="8">
        <f>[1]Data!D751</f>
        <v>1</v>
      </c>
      <c r="E751" s="8" t="str">
        <f>[1]Data!E751</f>
        <v>NON-HS</v>
      </c>
      <c r="F751" s="8" t="str">
        <f>[1]Data!F751</f>
        <v>West Puente Valley</v>
      </c>
      <c r="G751" s="8">
        <f>[1]Data!G751</f>
        <v>0</v>
      </c>
      <c r="H751" s="8">
        <f>[1]Data!H751</f>
        <v>0</v>
      </c>
      <c r="I751" s="8">
        <f>[1]Data!I751</f>
        <v>2.0950000000000002</v>
      </c>
      <c r="J751" s="8">
        <f>[1]Data!J751</f>
        <v>1.9836996600000001</v>
      </c>
      <c r="K751" s="8">
        <f>[1]Data!K751</f>
        <v>1.9836996600000001</v>
      </c>
      <c r="L751" s="8">
        <f>[1]Data!L751</f>
        <v>0.11117260138240601</v>
      </c>
      <c r="M751" s="8">
        <f>[1]Data!M751</f>
        <v>2.09487226138241</v>
      </c>
      <c r="N751" s="8">
        <f>[1]Data!N751</f>
        <v>3.09278350515464E-2</v>
      </c>
      <c r="O751" s="8">
        <f>[1]Data!O751</f>
        <v>0</v>
      </c>
      <c r="P751" s="8">
        <f>[1]Data!P751</f>
        <v>1</v>
      </c>
      <c r="Q751" s="8">
        <f>[1]Data!Q751</f>
        <v>0</v>
      </c>
      <c r="R751" s="8">
        <f>[1]Data!R751</f>
        <v>0</v>
      </c>
      <c r="S751" s="8">
        <f>[1]Data!S751</f>
        <v>0</v>
      </c>
      <c r="T751">
        <f t="shared" si="55"/>
        <v>3.09278350515464E-2</v>
      </c>
      <c r="U751">
        <f t="shared" si="56"/>
        <v>0</v>
      </c>
      <c r="V751" s="4" t="str">
        <f t="shared" si="57"/>
        <v>0</v>
      </c>
      <c r="W751" s="4" t="str">
        <f t="shared" si="58"/>
        <v>3</v>
      </c>
      <c r="X751" s="4" t="str">
        <f t="shared" si="59"/>
        <v>0NON-HS3</v>
      </c>
      <c r="Y751">
        <f>VLOOKUP(X751,Sheet1!$J$5:$K$121,2,FALSE)</f>
        <v>0</v>
      </c>
    </row>
    <row r="752" spans="1:25" x14ac:dyDescent="0.25">
      <c r="A752" s="8">
        <f>[1]Data!A752</f>
        <v>430102</v>
      </c>
      <c r="B752" s="8">
        <f>[1]Data!B752</f>
        <v>3</v>
      </c>
      <c r="C752" s="8">
        <f>[1]Data!C752</f>
        <v>0</v>
      </c>
      <c r="D752" s="8">
        <f>[1]Data!D752</f>
        <v>5</v>
      </c>
      <c r="E752" s="8" t="str">
        <f>[1]Data!E752</f>
        <v>NON-HS</v>
      </c>
      <c r="F752" s="8" t="str">
        <f>[1]Data!F752</f>
        <v>Duarte</v>
      </c>
      <c r="G752" s="8">
        <f>[1]Data!G752</f>
        <v>0</v>
      </c>
      <c r="H752" s="8">
        <f>[1]Data!H752</f>
        <v>0</v>
      </c>
      <c r="I752" s="8">
        <f>[1]Data!I752</f>
        <v>1</v>
      </c>
      <c r="J752" s="8">
        <f>[1]Data!J752</f>
        <v>0</v>
      </c>
      <c r="K752" s="8">
        <f>[1]Data!K752</f>
        <v>1</v>
      </c>
      <c r="L752" s="8">
        <f>[1]Data!L752</f>
        <v>0</v>
      </c>
      <c r="M752" s="8">
        <f>[1]Data!M752</f>
        <v>1</v>
      </c>
      <c r="N752" s="8">
        <f>[1]Data!N752</f>
        <v>3.09278350515464E-2</v>
      </c>
      <c r="O752" s="8">
        <f>[1]Data!O752</f>
        <v>0</v>
      </c>
      <c r="P752" s="8">
        <f>[1]Data!P752</f>
        <v>1</v>
      </c>
      <c r="Q752" s="8">
        <f>[1]Data!Q752</f>
        <v>0</v>
      </c>
      <c r="R752" s="8">
        <f>[1]Data!R752</f>
        <v>0</v>
      </c>
      <c r="S752" s="8">
        <f>[1]Data!S752</f>
        <v>0</v>
      </c>
      <c r="T752">
        <f t="shared" si="55"/>
        <v>3.09278350515464E-2</v>
      </c>
      <c r="U752">
        <f t="shared" si="56"/>
        <v>0</v>
      </c>
      <c r="V752" s="4" t="str">
        <f t="shared" si="57"/>
        <v>0</v>
      </c>
      <c r="W752" s="4" t="str">
        <f t="shared" si="58"/>
        <v>3</v>
      </c>
      <c r="X752" s="4" t="str">
        <f t="shared" si="59"/>
        <v>0NON-HS3</v>
      </c>
      <c r="Y752">
        <f>VLOOKUP(X752,Sheet1!$J$5:$K$121,2,FALSE)</f>
        <v>0</v>
      </c>
    </row>
    <row r="753" spans="1:25" x14ac:dyDescent="0.25">
      <c r="A753" s="8">
        <f>[1]Data!A753</f>
        <v>432500</v>
      </c>
      <c r="B753" s="8">
        <f>[1]Data!B753</f>
        <v>3</v>
      </c>
      <c r="C753" s="8">
        <f>[1]Data!C753</f>
        <v>0</v>
      </c>
      <c r="D753" s="8">
        <f>[1]Data!D753</f>
        <v>1</v>
      </c>
      <c r="E753" s="8" t="str">
        <f>[1]Data!E753</f>
        <v>NON-HS</v>
      </c>
      <c r="F753" s="8" t="str">
        <f>[1]Data!F753</f>
        <v>El Monte</v>
      </c>
      <c r="G753" s="8">
        <f>[1]Data!G753</f>
        <v>0</v>
      </c>
      <c r="H753" s="8">
        <f>[1]Data!H753</f>
        <v>0</v>
      </c>
      <c r="I753" s="8">
        <f>[1]Data!I753</f>
        <v>5.6859999999999999</v>
      </c>
      <c r="J753" s="8">
        <f>[1]Data!J753</f>
        <v>3.4228962300000001</v>
      </c>
      <c r="K753" s="8">
        <f>[1]Data!K753</f>
        <v>5.4228962300000001</v>
      </c>
      <c r="L753" s="8">
        <f>[1]Data!L753</f>
        <v>0.26262460752244199</v>
      </c>
      <c r="M753" s="8">
        <f>[1]Data!M753</f>
        <v>5.6855208375224402</v>
      </c>
      <c r="N753" s="8">
        <f>[1]Data!N753</f>
        <v>3.09278350515464E-2</v>
      </c>
      <c r="O753" s="8">
        <f>[1]Data!O753</f>
        <v>0</v>
      </c>
      <c r="P753" s="8">
        <f>[1]Data!P753</f>
        <v>1</v>
      </c>
      <c r="Q753" s="8">
        <f>[1]Data!Q753</f>
        <v>0</v>
      </c>
      <c r="R753" s="8">
        <f>[1]Data!R753</f>
        <v>0</v>
      </c>
      <c r="S753" s="8">
        <f>[1]Data!S753</f>
        <v>0</v>
      </c>
      <c r="T753">
        <f t="shared" si="55"/>
        <v>3.09278350515464E-2</v>
      </c>
      <c r="U753">
        <f t="shared" si="56"/>
        <v>0</v>
      </c>
      <c r="V753" s="4" t="str">
        <f t="shared" si="57"/>
        <v>0</v>
      </c>
      <c r="W753" s="4" t="str">
        <f t="shared" si="58"/>
        <v>3</v>
      </c>
      <c r="X753" s="4" t="str">
        <f t="shared" si="59"/>
        <v>0NON-HS3</v>
      </c>
      <c r="Y753">
        <f>VLOOKUP(X753,Sheet1!$J$5:$K$121,2,FALSE)</f>
        <v>0</v>
      </c>
    </row>
    <row r="754" spans="1:25" x14ac:dyDescent="0.25">
      <c r="A754" s="8">
        <f>[1]Data!A754</f>
        <v>433503</v>
      </c>
      <c r="B754" s="8">
        <f>[1]Data!B754</f>
        <v>3</v>
      </c>
      <c r="C754" s="8">
        <f>[1]Data!C754</f>
        <v>0</v>
      </c>
      <c r="D754" s="8">
        <f>[1]Data!D754</f>
        <v>1</v>
      </c>
      <c r="E754" s="8" t="str">
        <f>[1]Data!E754</f>
        <v>NON-HS</v>
      </c>
      <c r="F754" s="8" t="str">
        <f>[1]Data!F754</f>
        <v>South El Monte</v>
      </c>
      <c r="G754" s="8">
        <f>[1]Data!G754</f>
        <v>0</v>
      </c>
      <c r="H754" s="8">
        <f>[1]Data!H754</f>
        <v>0</v>
      </c>
      <c r="I754" s="8">
        <f>[1]Data!I754</f>
        <v>0</v>
      </c>
      <c r="J754" s="8">
        <f>[1]Data!J754</f>
        <v>0</v>
      </c>
      <c r="K754" s="8">
        <f>[1]Data!K754</f>
        <v>0</v>
      </c>
      <c r="L754" s="8">
        <f>[1]Data!L754</f>
        <v>0</v>
      </c>
      <c r="M754" s="8">
        <f>[1]Data!M754</f>
        <v>0</v>
      </c>
      <c r="N754" s="8">
        <f>[1]Data!N754</f>
        <v>3.09278350515464E-2</v>
      </c>
      <c r="O754" s="8">
        <f>[1]Data!O754</f>
        <v>0</v>
      </c>
      <c r="P754" s="8">
        <f>[1]Data!P754</f>
        <v>1</v>
      </c>
      <c r="Q754" s="8">
        <f>[1]Data!Q754</f>
        <v>0</v>
      </c>
      <c r="R754" s="8">
        <f>[1]Data!R754</f>
        <v>0</v>
      </c>
      <c r="S754" s="8">
        <f>[1]Data!S754</f>
        <v>0</v>
      </c>
      <c r="T754">
        <f t="shared" si="55"/>
        <v>3.09278350515464E-2</v>
      </c>
      <c r="U754">
        <f t="shared" si="56"/>
        <v>0</v>
      </c>
      <c r="V754" s="4" t="str">
        <f t="shared" si="57"/>
        <v>0</v>
      </c>
      <c r="W754" s="4" t="str">
        <f t="shared" si="58"/>
        <v>3</v>
      </c>
      <c r="X754" s="4" t="str">
        <f t="shared" si="59"/>
        <v>0NON-HS3</v>
      </c>
      <c r="Y754">
        <f>VLOOKUP(X754,Sheet1!$J$5:$K$121,2,FALSE)</f>
        <v>0</v>
      </c>
    </row>
    <row r="755" spans="1:25" x14ac:dyDescent="0.25">
      <c r="A755" s="8">
        <f>[1]Data!A755</f>
        <v>430003</v>
      </c>
      <c r="B755" s="8">
        <f>[1]Data!B755</f>
        <v>3</v>
      </c>
      <c r="C755" s="8">
        <f>[1]Data!C755</f>
        <v>0</v>
      </c>
      <c r="D755" s="8">
        <f>[1]Data!D755</f>
        <v>5</v>
      </c>
      <c r="E755" s="8" t="str">
        <f>[1]Data!E755</f>
        <v>NON-HS</v>
      </c>
      <c r="F755" s="8" t="str">
        <f>[1]Data!F755</f>
        <v>Duarte</v>
      </c>
      <c r="G755" s="8">
        <f>[1]Data!G755</f>
        <v>0</v>
      </c>
      <c r="H755" s="8">
        <f>[1]Data!H755</f>
        <v>0</v>
      </c>
      <c r="I755" s="8">
        <f>[1]Data!I755</f>
        <v>0</v>
      </c>
      <c r="J755" s="8">
        <f>[1]Data!J755</f>
        <v>0</v>
      </c>
      <c r="K755" s="8">
        <f>[1]Data!K755</f>
        <v>0</v>
      </c>
      <c r="L755" s="8">
        <f>[1]Data!L755</f>
        <v>0</v>
      </c>
      <c r="M755" s="8">
        <f>[1]Data!M755</f>
        <v>0</v>
      </c>
      <c r="N755" s="8">
        <f>[1]Data!N755</f>
        <v>3.09278350515464E-2</v>
      </c>
      <c r="O755" s="8">
        <f>[1]Data!O755</f>
        <v>0</v>
      </c>
      <c r="P755" s="8">
        <f>[1]Data!P755</f>
        <v>1</v>
      </c>
      <c r="Q755" s="8">
        <f>[1]Data!Q755</f>
        <v>0</v>
      </c>
      <c r="R755" s="8">
        <f>[1]Data!R755</f>
        <v>0</v>
      </c>
      <c r="S755" s="8">
        <f>[1]Data!S755</f>
        <v>0</v>
      </c>
      <c r="T755">
        <f t="shared" si="55"/>
        <v>3.09278350515464E-2</v>
      </c>
      <c r="U755">
        <f t="shared" si="56"/>
        <v>0</v>
      </c>
      <c r="V755" s="4" t="str">
        <f t="shared" si="57"/>
        <v>0</v>
      </c>
      <c r="W755" s="4" t="str">
        <f t="shared" si="58"/>
        <v>3</v>
      </c>
      <c r="X755" s="4" t="str">
        <f t="shared" si="59"/>
        <v>0NON-HS3</v>
      </c>
      <c r="Y755">
        <f>VLOOKUP(X755,Sheet1!$J$5:$K$121,2,FALSE)</f>
        <v>0</v>
      </c>
    </row>
    <row r="756" spans="1:25" x14ac:dyDescent="0.25">
      <c r="A756" s="8">
        <f>[1]Data!A756</f>
        <v>408505</v>
      </c>
      <c r="B756" s="8">
        <f>[1]Data!B756</f>
        <v>3</v>
      </c>
      <c r="C756" s="8">
        <f>[1]Data!C756</f>
        <v>0</v>
      </c>
      <c r="D756" s="8">
        <f>[1]Data!D756</f>
        <v>4</v>
      </c>
      <c r="E756" s="8" t="str">
        <f>[1]Data!E756</f>
        <v>NON-HS</v>
      </c>
      <c r="F756" s="8" t="str">
        <f>[1]Data!F756</f>
        <v>Hacienda Heights</v>
      </c>
      <c r="G756" s="8">
        <f>[1]Data!G756</f>
        <v>0</v>
      </c>
      <c r="H756" s="8">
        <f>[1]Data!H756</f>
        <v>0</v>
      </c>
      <c r="I756" s="8">
        <f>[1]Data!I756</f>
        <v>0</v>
      </c>
      <c r="J756" s="8">
        <f>[1]Data!J756</f>
        <v>0</v>
      </c>
      <c r="K756" s="8">
        <f>[1]Data!K756</f>
        <v>0</v>
      </c>
      <c r="L756" s="8">
        <f>[1]Data!L756</f>
        <v>0</v>
      </c>
      <c r="M756" s="8">
        <f>[1]Data!M756</f>
        <v>0</v>
      </c>
      <c r="N756" s="8">
        <f>[1]Data!N756</f>
        <v>3.09278350515464E-2</v>
      </c>
      <c r="O756" s="8">
        <f>[1]Data!O756</f>
        <v>0</v>
      </c>
      <c r="P756" s="8">
        <f>[1]Data!P756</f>
        <v>1</v>
      </c>
      <c r="Q756" s="8">
        <f>[1]Data!Q756</f>
        <v>0</v>
      </c>
      <c r="R756" s="8">
        <f>[1]Data!R756</f>
        <v>0</v>
      </c>
      <c r="S756" s="8">
        <f>[1]Data!S756</f>
        <v>0</v>
      </c>
      <c r="T756">
        <f t="shared" si="55"/>
        <v>3.09278350515464E-2</v>
      </c>
      <c r="U756">
        <f t="shared" si="56"/>
        <v>0</v>
      </c>
      <c r="V756" s="4" t="str">
        <f t="shared" si="57"/>
        <v>0</v>
      </c>
      <c r="W756" s="4" t="str">
        <f t="shared" si="58"/>
        <v>3</v>
      </c>
      <c r="X756" s="4" t="str">
        <f t="shared" si="59"/>
        <v>0NON-HS3</v>
      </c>
      <c r="Y756">
        <f>VLOOKUP(X756,Sheet1!$J$5:$K$121,2,FALSE)</f>
        <v>0</v>
      </c>
    </row>
    <row r="757" spans="1:25" x14ac:dyDescent="0.25">
      <c r="A757" s="8">
        <f>[1]Data!A757</f>
        <v>433304</v>
      </c>
      <c r="B757" s="8">
        <f>[1]Data!B757</f>
        <v>3</v>
      </c>
      <c r="C757" s="8">
        <f>[1]Data!C757</f>
        <v>0</v>
      </c>
      <c r="D757" s="8">
        <f>[1]Data!D757</f>
        <v>1</v>
      </c>
      <c r="E757" s="8" t="str">
        <f>[1]Data!E757</f>
        <v>NON-HS</v>
      </c>
      <c r="F757" s="8" t="str">
        <f>[1]Data!F757</f>
        <v>El Monte</v>
      </c>
      <c r="G757" s="8">
        <f>[1]Data!G757</f>
        <v>0</v>
      </c>
      <c r="H757" s="8">
        <f>[1]Data!H757</f>
        <v>0</v>
      </c>
      <c r="I757" s="8">
        <f>[1]Data!I757</f>
        <v>0</v>
      </c>
      <c r="J757" s="8">
        <f>[1]Data!J757</f>
        <v>0</v>
      </c>
      <c r="K757" s="8">
        <f>[1]Data!K757</f>
        <v>0</v>
      </c>
      <c r="L757" s="8">
        <f>[1]Data!L757</f>
        <v>0</v>
      </c>
      <c r="M757" s="8">
        <f>[1]Data!M757</f>
        <v>0</v>
      </c>
      <c r="N757" s="8">
        <f>[1]Data!N757</f>
        <v>3.09278350515464E-2</v>
      </c>
      <c r="O757" s="8">
        <f>[1]Data!O757</f>
        <v>0</v>
      </c>
      <c r="P757" s="8">
        <f>[1]Data!P757</f>
        <v>1</v>
      </c>
      <c r="Q757" s="8">
        <f>[1]Data!Q757</f>
        <v>0</v>
      </c>
      <c r="R757" s="8">
        <f>[1]Data!R757</f>
        <v>0</v>
      </c>
      <c r="S757" s="8">
        <f>[1]Data!S757</f>
        <v>0</v>
      </c>
      <c r="T757">
        <f t="shared" si="55"/>
        <v>3.09278350515464E-2</v>
      </c>
      <c r="U757">
        <f t="shared" si="56"/>
        <v>0</v>
      </c>
      <c r="V757" s="4" t="str">
        <f t="shared" si="57"/>
        <v>0</v>
      </c>
      <c r="W757" s="4" t="str">
        <f t="shared" si="58"/>
        <v>3</v>
      </c>
      <c r="X757" s="4" t="str">
        <f t="shared" si="59"/>
        <v>0NON-HS3</v>
      </c>
      <c r="Y757">
        <f>VLOOKUP(X757,Sheet1!$J$5:$K$121,2,FALSE)</f>
        <v>0</v>
      </c>
    </row>
    <row r="758" spans="1:25" x14ac:dyDescent="0.25">
      <c r="A758" s="8">
        <f>[1]Data!A758</f>
        <v>407601</v>
      </c>
      <c r="B758" s="8">
        <f>[1]Data!B758</f>
        <v>3</v>
      </c>
      <c r="C758" s="8">
        <f>[1]Data!C758</f>
        <v>0</v>
      </c>
      <c r="D758" s="8">
        <f>[1]Data!D758</f>
        <v>1</v>
      </c>
      <c r="E758" s="8" t="str">
        <f>[1]Data!E758</f>
        <v>NON-HS</v>
      </c>
      <c r="F758" s="8" t="str">
        <f>[1]Data!F758</f>
        <v>La Puente</v>
      </c>
      <c r="G758" s="8">
        <f>[1]Data!G758</f>
        <v>0</v>
      </c>
      <c r="H758" s="8">
        <f>[1]Data!H758</f>
        <v>0</v>
      </c>
      <c r="I758" s="8">
        <f>[1]Data!I758</f>
        <v>1</v>
      </c>
      <c r="J758" s="8">
        <f>[1]Data!J758</f>
        <v>0</v>
      </c>
      <c r="K758" s="8">
        <f>[1]Data!K758</f>
        <v>1</v>
      </c>
      <c r="L758" s="8">
        <f>[1]Data!L758</f>
        <v>0</v>
      </c>
      <c r="M758" s="8">
        <f>[1]Data!M758</f>
        <v>1</v>
      </c>
      <c r="N758" s="8">
        <f>[1]Data!N758</f>
        <v>3.09278350515464E-2</v>
      </c>
      <c r="O758" s="8">
        <f>[1]Data!O758</f>
        <v>0</v>
      </c>
      <c r="P758" s="8">
        <f>[1]Data!P758</f>
        <v>1</v>
      </c>
      <c r="Q758" s="8">
        <f>[1]Data!Q758</f>
        <v>0</v>
      </c>
      <c r="R758" s="8">
        <f>[1]Data!R758</f>
        <v>0</v>
      </c>
      <c r="S758" s="8">
        <f>[1]Data!S758</f>
        <v>0</v>
      </c>
      <c r="T758">
        <f t="shared" si="55"/>
        <v>3.09278350515464E-2</v>
      </c>
      <c r="U758">
        <f t="shared" si="56"/>
        <v>0</v>
      </c>
      <c r="V758" s="4" t="str">
        <f t="shared" si="57"/>
        <v>0</v>
      </c>
      <c r="W758" s="4" t="str">
        <f t="shared" si="58"/>
        <v>3</v>
      </c>
      <c r="X758" s="4" t="str">
        <f t="shared" si="59"/>
        <v>0NON-HS3</v>
      </c>
      <c r="Y758">
        <f>VLOOKUP(X758,Sheet1!$J$5:$K$121,2,FALSE)</f>
        <v>0</v>
      </c>
    </row>
    <row r="759" spans="1:25" x14ac:dyDescent="0.25">
      <c r="A759" s="8">
        <f>[1]Data!A759</f>
        <v>408722</v>
      </c>
      <c r="B759" s="8">
        <f>[1]Data!B759</f>
        <v>3</v>
      </c>
      <c r="C759" s="8">
        <f>[1]Data!C759</f>
        <v>0</v>
      </c>
      <c r="D759" s="8">
        <f>[1]Data!D759</f>
        <v>4</v>
      </c>
      <c r="E759" s="8" t="str">
        <f>[1]Data!E759</f>
        <v>NON-HS</v>
      </c>
      <c r="F759" s="8" t="str">
        <f>[1]Data!F759</f>
        <v>Rowland Heights</v>
      </c>
      <c r="G759" s="8">
        <f>[1]Data!G759</f>
        <v>0</v>
      </c>
      <c r="H759" s="8">
        <f>[1]Data!H759</f>
        <v>0</v>
      </c>
      <c r="I759" s="8">
        <f>[1]Data!I759</f>
        <v>2.0950000000000002</v>
      </c>
      <c r="J759" s="8">
        <f>[1]Data!J759</f>
        <v>1.9836996600000001</v>
      </c>
      <c r="K759" s="8">
        <f>[1]Data!K759</f>
        <v>1.9836996600000001</v>
      </c>
      <c r="L759" s="8">
        <f>[1]Data!L759</f>
        <v>0.11117260138240601</v>
      </c>
      <c r="M759" s="8">
        <f>[1]Data!M759</f>
        <v>2.09487226138241</v>
      </c>
      <c r="N759" s="8">
        <f>[1]Data!N759</f>
        <v>3.09278350515464E-2</v>
      </c>
      <c r="O759" s="8">
        <f>[1]Data!O759</f>
        <v>0</v>
      </c>
      <c r="P759" s="8">
        <f>[1]Data!P759</f>
        <v>1</v>
      </c>
      <c r="Q759" s="8">
        <f>[1]Data!Q759</f>
        <v>0</v>
      </c>
      <c r="R759" s="8">
        <f>[1]Data!R759</f>
        <v>0</v>
      </c>
      <c r="S759" s="8">
        <f>[1]Data!S759</f>
        <v>0</v>
      </c>
      <c r="T759">
        <f t="shared" si="55"/>
        <v>3.09278350515464E-2</v>
      </c>
      <c r="U759">
        <f t="shared" si="56"/>
        <v>0</v>
      </c>
      <c r="V759" s="4" t="str">
        <f t="shared" si="57"/>
        <v>0</v>
      </c>
      <c r="W759" s="4" t="str">
        <f t="shared" si="58"/>
        <v>3</v>
      </c>
      <c r="X759" s="4" t="str">
        <f t="shared" si="59"/>
        <v>0NON-HS3</v>
      </c>
      <c r="Y759">
        <f>VLOOKUP(X759,Sheet1!$J$5:$K$121,2,FALSE)</f>
        <v>0</v>
      </c>
    </row>
    <row r="760" spans="1:25" x14ac:dyDescent="0.25">
      <c r="A760" s="8">
        <f>[1]Data!A760</f>
        <v>433306</v>
      </c>
      <c r="B760" s="8">
        <f>[1]Data!B760</f>
        <v>3</v>
      </c>
      <c r="C760" s="8">
        <f>[1]Data!C760</f>
        <v>0</v>
      </c>
      <c r="D760" s="8">
        <f>[1]Data!D760</f>
        <v>1</v>
      </c>
      <c r="E760" s="8" t="str">
        <f>[1]Data!E760</f>
        <v>NON-HS</v>
      </c>
      <c r="F760" s="8" t="str">
        <f>[1]Data!F760</f>
        <v>El Monte</v>
      </c>
      <c r="G760" s="8">
        <f>[1]Data!G760</f>
        <v>0</v>
      </c>
      <c r="H760" s="8">
        <f>[1]Data!H760</f>
        <v>0</v>
      </c>
      <c r="I760" s="8">
        <f>[1]Data!I760</f>
        <v>2</v>
      </c>
      <c r="J760" s="8">
        <f>[1]Data!J760</f>
        <v>0</v>
      </c>
      <c r="K760" s="8">
        <f>[1]Data!K760</f>
        <v>2</v>
      </c>
      <c r="L760" s="8">
        <f>[1]Data!L760</f>
        <v>0</v>
      </c>
      <c r="M760" s="8">
        <f>[1]Data!M760</f>
        <v>2</v>
      </c>
      <c r="N760" s="8">
        <f>[1]Data!N760</f>
        <v>3.09278350515464E-2</v>
      </c>
      <c r="O760" s="8">
        <f>[1]Data!O760</f>
        <v>0</v>
      </c>
      <c r="P760" s="8">
        <f>[1]Data!P760</f>
        <v>1</v>
      </c>
      <c r="Q760" s="8">
        <f>[1]Data!Q760</f>
        <v>0</v>
      </c>
      <c r="R760" s="8">
        <f>[1]Data!R760</f>
        <v>0</v>
      </c>
      <c r="S760" s="8">
        <f>[1]Data!S760</f>
        <v>0</v>
      </c>
      <c r="T760">
        <f t="shared" si="55"/>
        <v>3.09278350515464E-2</v>
      </c>
      <c r="U760">
        <f t="shared" si="56"/>
        <v>0</v>
      </c>
      <c r="V760" s="4" t="str">
        <f t="shared" si="57"/>
        <v>0</v>
      </c>
      <c r="W760" s="4" t="str">
        <f t="shared" si="58"/>
        <v>3</v>
      </c>
      <c r="X760" s="4" t="str">
        <f t="shared" si="59"/>
        <v>0NON-HS3</v>
      </c>
      <c r="Y760">
        <f>VLOOKUP(X760,Sheet1!$J$5:$K$121,2,FALSE)</f>
        <v>0</v>
      </c>
    </row>
    <row r="761" spans="1:25" x14ac:dyDescent="0.25">
      <c r="A761" s="8">
        <f>[1]Data!A761</f>
        <v>433402</v>
      </c>
      <c r="B761" s="8">
        <f>[1]Data!B761</f>
        <v>3</v>
      </c>
      <c r="C761" s="8">
        <f>[1]Data!C761</f>
        <v>0</v>
      </c>
      <c r="D761" s="8">
        <f>[1]Data!D761</f>
        <v>1</v>
      </c>
      <c r="E761" s="8" t="str">
        <f>[1]Data!E761</f>
        <v>NON-HS</v>
      </c>
      <c r="F761" s="8" t="str">
        <f>[1]Data!F761</f>
        <v>El Monte</v>
      </c>
      <c r="G761" s="8">
        <f>[1]Data!G761</f>
        <v>0</v>
      </c>
      <c r="H761" s="8">
        <f>[1]Data!H761</f>
        <v>0</v>
      </c>
      <c r="I761" s="8">
        <f>[1]Data!I761</f>
        <v>2.0950000000000002</v>
      </c>
      <c r="J761" s="8">
        <f>[1]Data!J761</f>
        <v>1.9836996600000001</v>
      </c>
      <c r="K761" s="8">
        <f>[1]Data!K761</f>
        <v>1.9836996600000001</v>
      </c>
      <c r="L761" s="8">
        <f>[1]Data!L761</f>
        <v>0.11117260138240601</v>
      </c>
      <c r="M761" s="8">
        <f>[1]Data!M761</f>
        <v>2.09487226138241</v>
      </c>
      <c r="N761" s="8">
        <f>[1]Data!N761</f>
        <v>3.09278350515464E-2</v>
      </c>
      <c r="O761" s="8">
        <f>[1]Data!O761</f>
        <v>0</v>
      </c>
      <c r="P761" s="8">
        <f>[1]Data!P761</f>
        <v>1</v>
      </c>
      <c r="Q761" s="8">
        <f>[1]Data!Q761</f>
        <v>0</v>
      </c>
      <c r="R761" s="8">
        <f>[1]Data!R761</f>
        <v>0</v>
      </c>
      <c r="S761" s="8">
        <f>[1]Data!S761</f>
        <v>0</v>
      </c>
      <c r="T761">
        <f t="shared" si="55"/>
        <v>3.09278350515464E-2</v>
      </c>
      <c r="U761">
        <f t="shared" si="56"/>
        <v>0</v>
      </c>
      <c r="V761" s="4" t="str">
        <f t="shared" si="57"/>
        <v>0</v>
      </c>
      <c r="W761" s="4" t="str">
        <f t="shared" si="58"/>
        <v>3</v>
      </c>
      <c r="X761" s="4" t="str">
        <f t="shared" si="59"/>
        <v>0NON-HS3</v>
      </c>
      <c r="Y761">
        <f>VLOOKUP(X761,Sheet1!$J$5:$K$121,2,FALSE)</f>
        <v>0</v>
      </c>
    </row>
    <row r="762" spans="1:25" x14ac:dyDescent="0.25">
      <c r="A762" s="8">
        <f>[1]Data!A762</f>
        <v>408628</v>
      </c>
      <c r="B762" s="8">
        <f>[1]Data!B762</f>
        <v>3</v>
      </c>
      <c r="C762" s="8">
        <f>[1]Data!C762</f>
        <v>0</v>
      </c>
      <c r="D762" s="8">
        <f>[1]Data!D762</f>
        <v>4</v>
      </c>
      <c r="E762" s="8" t="str">
        <f>[1]Data!E762</f>
        <v>NON-HS</v>
      </c>
      <c r="F762" s="8" t="str">
        <f>[1]Data!F762</f>
        <v>Hacienda Heights</v>
      </c>
      <c r="G762" s="8">
        <f>[1]Data!G762</f>
        <v>0</v>
      </c>
      <c r="H762" s="8">
        <f>[1]Data!H762</f>
        <v>0</v>
      </c>
      <c r="I762" s="8">
        <f>[1]Data!I762</f>
        <v>0</v>
      </c>
      <c r="J762" s="8">
        <f>[1]Data!J762</f>
        <v>0</v>
      </c>
      <c r="K762" s="8">
        <f>[1]Data!K762</f>
        <v>0</v>
      </c>
      <c r="L762" s="8">
        <f>[1]Data!L762</f>
        <v>0</v>
      </c>
      <c r="M762" s="8">
        <f>[1]Data!M762</f>
        <v>0</v>
      </c>
      <c r="N762" s="8">
        <f>[1]Data!N762</f>
        <v>3.09278350515464E-2</v>
      </c>
      <c r="O762" s="8">
        <f>[1]Data!O762</f>
        <v>0</v>
      </c>
      <c r="P762" s="8">
        <f>[1]Data!P762</f>
        <v>1</v>
      </c>
      <c r="Q762" s="8">
        <f>[1]Data!Q762</f>
        <v>0</v>
      </c>
      <c r="R762" s="8">
        <f>[1]Data!R762</f>
        <v>0</v>
      </c>
      <c r="S762" s="8">
        <f>[1]Data!S762</f>
        <v>0</v>
      </c>
      <c r="T762">
        <f t="shared" si="55"/>
        <v>3.09278350515464E-2</v>
      </c>
      <c r="U762">
        <f t="shared" si="56"/>
        <v>0</v>
      </c>
      <c r="V762" s="4" t="str">
        <f t="shared" si="57"/>
        <v>0</v>
      </c>
      <c r="W762" s="4" t="str">
        <f t="shared" si="58"/>
        <v>3</v>
      </c>
      <c r="X762" s="4" t="str">
        <f t="shared" si="59"/>
        <v>0NON-HS3</v>
      </c>
      <c r="Y762">
        <f>VLOOKUP(X762,Sheet1!$J$5:$K$121,2,FALSE)</f>
        <v>0</v>
      </c>
    </row>
    <row r="763" spans="1:25" x14ac:dyDescent="0.25">
      <c r="A763" s="8">
        <f>[1]Data!A763</f>
        <v>481902</v>
      </c>
      <c r="B763" s="8">
        <f>[1]Data!B763</f>
        <v>3</v>
      </c>
      <c r="C763" s="8">
        <f>[1]Data!C763</f>
        <v>0</v>
      </c>
      <c r="D763" s="8">
        <f>[1]Data!D763</f>
        <v>5</v>
      </c>
      <c r="E763" s="8" t="str">
        <f>[1]Data!E763</f>
        <v>NON-HS</v>
      </c>
      <c r="F763" s="8" t="str">
        <f>[1]Data!F763</f>
        <v>Alhambra</v>
      </c>
      <c r="G763" s="8">
        <f>[1]Data!G763</f>
        <v>0</v>
      </c>
      <c r="H763" s="8">
        <f>[1]Data!H763</f>
        <v>0</v>
      </c>
      <c r="I763" s="8">
        <f>[1]Data!I763</f>
        <v>0</v>
      </c>
      <c r="J763" s="8">
        <f>[1]Data!J763</f>
        <v>0</v>
      </c>
      <c r="K763" s="8">
        <f>[1]Data!K763</f>
        <v>0</v>
      </c>
      <c r="L763" s="8">
        <f>[1]Data!L763</f>
        <v>0</v>
      </c>
      <c r="M763" s="8">
        <f>[1]Data!M763</f>
        <v>0</v>
      </c>
      <c r="N763" s="8">
        <f>[1]Data!N763</f>
        <v>3.09278350515464E-2</v>
      </c>
      <c r="O763" s="8">
        <f>[1]Data!O763</f>
        <v>0</v>
      </c>
      <c r="P763" s="8">
        <f>[1]Data!P763</f>
        <v>1</v>
      </c>
      <c r="Q763" s="8">
        <f>[1]Data!Q763</f>
        <v>0</v>
      </c>
      <c r="R763" s="8">
        <f>[1]Data!R763</f>
        <v>0</v>
      </c>
      <c r="S763" s="8">
        <f>[1]Data!S763</f>
        <v>0</v>
      </c>
      <c r="T763">
        <f t="shared" si="55"/>
        <v>3.09278350515464E-2</v>
      </c>
      <c r="U763">
        <f t="shared" si="56"/>
        <v>0</v>
      </c>
      <c r="V763" s="4" t="str">
        <f t="shared" si="57"/>
        <v>0</v>
      </c>
      <c r="W763" s="4" t="str">
        <f t="shared" si="58"/>
        <v>3</v>
      </c>
      <c r="X763" s="4" t="str">
        <f t="shared" si="59"/>
        <v>0NON-HS3</v>
      </c>
      <c r="Y763">
        <f>VLOOKUP(X763,Sheet1!$J$5:$K$121,2,FALSE)</f>
        <v>0</v>
      </c>
    </row>
    <row r="764" spans="1:25" x14ac:dyDescent="0.25">
      <c r="A764" s="8">
        <f>[1]Data!A764</f>
        <v>433504</v>
      </c>
      <c r="B764" s="8">
        <f>[1]Data!B764</f>
        <v>3</v>
      </c>
      <c r="C764" s="8">
        <f>[1]Data!C764</f>
        <v>0</v>
      </c>
      <c r="D764" s="8">
        <f>[1]Data!D764</f>
        <v>1</v>
      </c>
      <c r="E764" s="8" t="str">
        <f>[1]Data!E764</f>
        <v>NON-HS</v>
      </c>
      <c r="F764" s="8" t="str">
        <f>[1]Data!F764</f>
        <v>South El Monte</v>
      </c>
      <c r="G764" s="8">
        <f>[1]Data!G764</f>
        <v>0</v>
      </c>
      <c r="H764" s="8">
        <f>[1]Data!H764</f>
        <v>0</v>
      </c>
      <c r="I764" s="8">
        <f>[1]Data!I764</f>
        <v>4.9029999999999996</v>
      </c>
      <c r="J764" s="8">
        <f>[1]Data!J764</f>
        <v>3.7168318299999998</v>
      </c>
      <c r="K764" s="8">
        <f>[1]Data!K764</f>
        <v>4.7168318300000003</v>
      </c>
      <c r="L764" s="8">
        <f>[1]Data!L764</f>
        <v>0.18615811166965901</v>
      </c>
      <c r="M764" s="8">
        <f>[1]Data!M764</f>
        <v>4.9029899416696603</v>
      </c>
      <c r="N764" s="8">
        <f>[1]Data!N764</f>
        <v>3.09278350515464E-2</v>
      </c>
      <c r="O764" s="8">
        <f>[1]Data!O764</f>
        <v>0</v>
      </c>
      <c r="P764" s="8">
        <f>[1]Data!P764</f>
        <v>1</v>
      </c>
      <c r="Q764" s="8">
        <f>[1]Data!Q764</f>
        <v>0</v>
      </c>
      <c r="R764" s="8">
        <f>[1]Data!R764</f>
        <v>0</v>
      </c>
      <c r="S764" s="8">
        <f>[1]Data!S764</f>
        <v>0</v>
      </c>
      <c r="T764">
        <f t="shared" si="55"/>
        <v>3.09278350515464E-2</v>
      </c>
      <c r="U764">
        <f t="shared" si="56"/>
        <v>0</v>
      </c>
      <c r="V764" s="4" t="str">
        <f t="shared" si="57"/>
        <v>0</v>
      </c>
      <c r="W764" s="4" t="str">
        <f t="shared" si="58"/>
        <v>3</v>
      </c>
      <c r="X764" s="4" t="str">
        <f t="shared" si="59"/>
        <v>0NON-HS3</v>
      </c>
      <c r="Y764">
        <f>VLOOKUP(X764,Sheet1!$J$5:$K$121,2,FALSE)</f>
        <v>0</v>
      </c>
    </row>
    <row r="765" spans="1:25" x14ac:dyDescent="0.25">
      <c r="A765" s="8">
        <f>[1]Data!A765</f>
        <v>406411</v>
      </c>
      <c r="B765" s="8">
        <f>[1]Data!B765</f>
        <v>3</v>
      </c>
      <c r="C765" s="8">
        <f>[1]Data!C765</f>
        <v>0</v>
      </c>
      <c r="D765" s="8">
        <f>[1]Data!D765</f>
        <v>1</v>
      </c>
      <c r="E765" s="8" t="str">
        <f>[1]Data!E765</f>
        <v>NON-HS</v>
      </c>
      <c r="F765" s="8" t="str">
        <f>[1]Data!F765</f>
        <v>West Covina</v>
      </c>
      <c r="G765" s="8">
        <f>[1]Data!G765</f>
        <v>0</v>
      </c>
      <c r="H765" s="8">
        <f>[1]Data!H765</f>
        <v>0</v>
      </c>
      <c r="I765" s="8">
        <f>[1]Data!I765</f>
        <v>0</v>
      </c>
      <c r="J765" s="8">
        <f>[1]Data!J765</f>
        <v>0</v>
      </c>
      <c r="K765" s="8">
        <f>[1]Data!K765</f>
        <v>0</v>
      </c>
      <c r="L765" s="8">
        <f>[1]Data!L765</f>
        <v>0</v>
      </c>
      <c r="M765" s="8">
        <f>[1]Data!M765</f>
        <v>0</v>
      </c>
      <c r="N765" s="8">
        <f>[1]Data!N765</f>
        <v>3.09278350515464E-2</v>
      </c>
      <c r="O765" s="8">
        <f>[1]Data!O765</f>
        <v>0</v>
      </c>
      <c r="P765" s="8">
        <f>[1]Data!P765</f>
        <v>1</v>
      </c>
      <c r="Q765" s="8">
        <f>[1]Data!Q765</f>
        <v>0</v>
      </c>
      <c r="R765" s="8">
        <f>[1]Data!R765</f>
        <v>0</v>
      </c>
      <c r="S765" s="8">
        <f>[1]Data!S765</f>
        <v>0</v>
      </c>
      <c r="T765">
        <f t="shared" si="55"/>
        <v>3.09278350515464E-2</v>
      </c>
      <c r="U765">
        <f t="shared" si="56"/>
        <v>0</v>
      </c>
      <c r="V765" s="4" t="str">
        <f t="shared" si="57"/>
        <v>0</v>
      </c>
      <c r="W765" s="4" t="str">
        <f t="shared" si="58"/>
        <v>3</v>
      </c>
      <c r="X765" s="4" t="str">
        <f t="shared" si="59"/>
        <v>0NON-HS3</v>
      </c>
      <c r="Y765">
        <f>VLOOKUP(X765,Sheet1!$J$5:$K$121,2,FALSE)</f>
        <v>0</v>
      </c>
    </row>
    <row r="766" spans="1:25" x14ac:dyDescent="0.25">
      <c r="A766" s="8">
        <f>[1]Data!A766</f>
        <v>403317</v>
      </c>
      <c r="B766" s="8">
        <f>[1]Data!B766</f>
        <v>3</v>
      </c>
      <c r="C766" s="8">
        <f>[1]Data!C766</f>
        <v>0</v>
      </c>
      <c r="D766" s="8">
        <f>[1]Data!D766</f>
        <v>1</v>
      </c>
      <c r="E766" s="8" t="str">
        <f>[1]Data!E766</f>
        <v>NON-HS</v>
      </c>
      <c r="F766" s="8" t="str">
        <f>[1]Data!F766</f>
        <v>Pomona</v>
      </c>
      <c r="G766" s="8">
        <f>[1]Data!G766</f>
        <v>0</v>
      </c>
      <c r="H766" s="8">
        <f>[1]Data!H766</f>
        <v>0</v>
      </c>
      <c r="I766" s="8">
        <f>[1]Data!I766</f>
        <v>4.5110000000000001</v>
      </c>
      <c r="J766" s="8">
        <f>[1]Data!J766</f>
        <v>3.4144237899999998</v>
      </c>
      <c r="K766" s="8">
        <f>[1]Data!K766</f>
        <v>4.4144237899999998</v>
      </c>
      <c r="L766" s="8">
        <f>[1]Data!L766</f>
        <v>9.6477442046678602E-2</v>
      </c>
      <c r="M766" s="8">
        <f>[1]Data!M766</f>
        <v>4.5109012320466801</v>
      </c>
      <c r="N766" s="8">
        <f>[1]Data!N766</f>
        <v>3.09278350515464E-2</v>
      </c>
      <c r="O766" s="8">
        <f>[1]Data!O766</f>
        <v>0</v>
      </c>
      <c r="P766" s="8">
        <f>[1]Data!P766</f>
        <v>1</v>
      </c>
      <c r="Q766" s="8">
        <f>[1]Data!Q766</f>
        <v>0</v>
      </c>
      <c r="R766" s="8">
        <f>[1]Data!R766</f>
        <v>0</v>
      </c>
      <c r="S766" s="8">
        <f>[1]Data!S766</f>
        <v>0</v>
      </c>
      <c r="T766">
        <f t="shared" si="55"/>
        <v>3.09278350515464E-2</v>
      </c>
      <c r="U766">
        <f t="shared" si="56"/>
        <v>0</v>
      </c>
      <c r="V766" s="4" t="str">
        <f t="shared" si="57"/>
        <v>0</v>
      </c>
      <c r="W766" s="4" t="str">
        <f t="shared" si="58"/>
        <v>3</v>
      </c>
      <c r="X766" s="4" t="str">
        <f t="shared" si="59"/>
        <v>0NON-HS3</v>
      </c>
      <c r="Y766">
        <f>VLOOKUP(X766,Sheet1!$J$5:$K$121,2,FALSE)</f>
        <v>0</v>
      </c>
    </row>
    <row r="767" spans="1:25" x14ac:dyDescent="0.25">
      <c r="A767" s="8">
        <f>[1]Data!A767</f>
        <v>433901</v>
      </c>
      <c r="B767" s="8">
        <f>[1]Data!B767</f>
        <v>3</v>
      </c>
      <c r="C767" s="8">
        <f>[1]Data!C767</f>
        <v>0</v>
      </c>
      <c r="D767" s="8">
        <f>[1]Data!D767</f>
        <v>1</v>
      </c>
      <c r="E767" s="8" t="str">
        <f>[1]Data!E767</f>
        <v>NON-HS</v>
      </c>
      <c r="F767" s="8" t="str">
        <f>[1]Data!F767</f>
        <v>El Monte</v>
      </c>
      <c r="G767" s="8">
        <f>[1]Data!G767</f>
        <v>0</v>
      </c>
      <c r="H767" s="8">
        <f>[1]Data!H767</f>
        <v>0</v>
      </c>
      <c r="I767" s="8">
        <f>[1]Data!I767</f>
        <v>0</v>
      </c>
      <c r="J767" s="8">
        <f>[1]Data!J767</f>
        <v>0</v>
      </c>
      <c r="K767" s="8">
        <f>[1]Data!K767</f>
        <v>0</v>
      </c>
      <c r="L767" s="8">
        <f>[1]Data!L767</f>
        <v>0</v>
      </c>
      <c r="M767" s="8">
        <f>[1]Data!M767</f>
        <v>0</v>
      </c>
      <c r="N767" s="8">
        <f>[1]Data!N767</f>
        <v>3.09278350515464E-2</v>
      </c>
      <c r="O767" s="8">
        <f>[1]Data!O767</f>
        <v>0</v>
      </c>
      <c r="P767" s="8">
        <f>[1]Data!P767</f>
        <v>1</v>
      </c>
      <c r="Q767" s="8">
        <f>[1]Data!Q767</f>
        <v>0</v>
      </c>
      <c r="R767" s="8">
        <f>[1]Data!R767</f>
        <v>0</v>
      </c>
      <c r="S767" s="8">
        <f>[1]Data!S767</f>
        <v>0</v>
      </c>
      <c r="T767">
        <f t="shared" si="55"/>
        <v>3.09278350515464E-2</v>
      </c>
      <c r="U767">
        <f t="shared" si="56"/>
        <v>0</v>
      </c>
      <c r="V767" s="4" t="str">
        <f t="shared" si="57"/>
        <v>0</v>
      </c>
      <c r="W767" s="4" t="str">
        <f t="shared" si="58"/>
        <v>3</v>
      </c>
      <c r="X767" s="4" t="str">
        <f t="shared" si="59"/>
        <v>0NON-HS3</v>
      </c>
      <c r="Y767">
        <f>VLOOKUP(X767,Sheet1!$J$5:$K$121,2,FALSE)</f>
        <v>0</v>
      </c>
    </row>
    <row r="768" spans="1:25" x14ac:dyDescent="0.25">
      <c r="A768" s="8">
        <f>[1]Data!A768</f>
        <v>408137</v>
      </c>
      <c r="B768" s="8">
        <f>[1]Data!B768</f>
        <v>3</v>
      </c>
      <c r="C768" s="8">
        <f>[1]Data!C768</f>
        <v>0</v>
      </c>
      <c r="D768" s="8">
        <f>[1]Data!D768</f>
        <v>1</v>
      </c>
      <c r="E768" s="8" t="str">
        <f>[1]Data!E768</f>
        <v>NON-HS</v>
      </c>
      <c r="F768" s="8" t="str">
        <f>[1]Data!F768</f>
        <v>West Covina</v>
      </c>
      <c r="G768" s="8">
        <f>[1]Data!G768</f>
        <v>0</v>
      </c>
      <c r="H768" s="8">
        <f>[1]Data!H768</f>
        <v>0</v>
      </c>
      <c r="I768" s="8">
        <f>[1]Data!I768</f>
        <v>0</v>
      </c>
      <c r="J768" s="8">
        <f>[1]Data!J768</f>
        <v>0</v>
      </c>
      <c r="K768" s="8">
        <f>[1]Data!K768</f>
        <v>0</v>
      </c>
      <c r="L768" s="8">
        <f>[1]Data!L768</f>
        <v>0</v>
      </c>
      <c r="M768" s="8">
        <f>[1]Data!M768</f>
        <v>0</v>
      </c>
      <c r="N768" s="8">
        <f>[1]Data!N768</f>
        <v>3.09278350515464E-2</v>
      </c>
      <c r="O768" s="8">
        <f>[1]Data!O768</f>
        <v>0</v>
      </c>
      <c r="P768" s="8">
        <f>[1]Data!P768</f>
        <v>1</v>
      </c>
      <c r="Q768" s="8">
        <f>[1]Data!Q768</f>
        <v>0</v>
      </c>
      <c r="R768" s="8">
        <f>[1]Data!R768</f>
        <v>0</v>
      </c>
      <c r="S768" s="8">
        <f>[1]Data!S768</f>
        <v>0</v>
      </c>
      <c r="T768">
        <f t="shared" si="55"/>
        <v>3.09278350515464E-2</v>
      </c>
      <c r="U768">
        <f t="shared" si="56"/>
        <v>0</v>
      </c>
      <c r="V768" s="4" t="str">
        <f t="shared" si="57"/>
        <v>0</v>
      </c>
      <c r="W768" s="4" t="str">
        <f t="shared" si="58"/>
        <v>3</v>
      </c>
      <c r="X768" s="4" t="str">
        <f t="shared" si="59"/>
        <v>0NON-HS3</v>
      </c>
      <c r="Y768">
        <f>VLOOKUP(X768,Sheet1!$J$5:$K$121,2,FALSE)</f>
        <v>0</v>
      </c>
    </row>
    <row r="769" spans="1:25" x14ac:dyDescent="0.25">
      <c r="A769" s="8">
        <f>[1]Data!A769</f>
        <v>463300</v>
      </c>
      <c r="B769" s="8">
        <f>[1]Data!B769</f>
        <v>3</v>
      </c>
      <c r="C769" s="8">
        <f>[1]Data!C769</f>
        <v>0</v>
      </c>
      <c r="D769" s="8">
        <f>[1]Data!D769</f>
        <v>5</v>
      </c>
      <c r="E769" s="8" t="str">
        <f>[1]Data!E769</f>
        <v>NON-HS</v>
      </c>
      <c r="F769" s="8" t="str">
        <f>[1]Data!F769</f>
        <v>San Pasqual</v>
      </c>
      <c r="G769" s="8">
        <f>[1]Data!G769</f>
        <v>0</v>
      </c>
      <c r="H769" s="8">
        <f>[1]Data!H769</f>
        <v>0</v>
      </c>
      <c r="I769" s="8">
        <f>[1]Data!I769</f>
        <v>0</v>
      </c>
      <c r="J769" s="8">
        <f>[1]Data!J769</f>
        <v>0</v>
      </c>
      <c r="K769" s="8">
        <f>[1]Data!K769</f>
        <v>0</v>
      </c>
      <c r="L769" s="8">
        <f>[1]Data!L769</f>
        <v>0</v>
      </c>
      <c r="M769" s="8">
        <f>[1]Data!M769</f>
        <v>0</v>
      </c>
      <c r="N769" s="8">
        <f>[1]Data!N769</f>
        <v>3.09278350515464E-2</v>
      </c>
      <c r="O769" s="8">
        <f>[1]Data!O769</f>
        <v>0</v>
      </c>
      <c r="P769" s="8">
        <f>[1]Data!P769</f>
        <v>1</v>
      </c>
      <c r="Q769" s="8">
        <f>[1]Data!Q769</f>
        <v>0</v>
      </c>
      <c r="R769" s="8">
        <f>[1]Data!R769</f>
        <v>0</v>
      </c>
      <c r="S769" s="8">
        <f>[1]Data!S769</f>
        <v>0</v>
      </c>
      <c r="T769">
        <f t="shared" si="55"/>
        <v>3.09278350515464E-2</v>
      </c>
      <c r="U769">
        <f t="shared" si="56"/>
        <v>0</v>
      </c>
      <c r="V769" s="4" t="str">
        <f t="shared" si="57"/>
        <v>0</v>
      </c>
      <c r="W769" s="4" t="str">
        <f t="shared" si="58"/>
        <v>3</v>
      </c>
      <c r="X769" s="4" t="str">
        <f t="shared" si="59"/>
        <v>0NON-HS3</v>
      </c>
      <c r="Y769">
        <f>VLOOKUP(X769,Sheet1!$J$5:$K$121,2,FALSE)</f>
        <v>0</v>
      </c>
    </row>
    <row r="770" spans="1:25" x14ac:dyDescent="0.25">
      <c r="A770" s="8">
        <f>[1]Data!A770</f>
        <v>403703</v>
      </c>
      <c r="B770" s="8">
        <f>[1]Data!B770</f>
        <v>3</v>
      </c>
      <c r="C770" s="8">
        <f>[1]Data!C770</f>
        <v>0</v>
      </c>
      <c r="D770" s="8">
        <f>[1]Data!D770</f>
        <v>5</v>
      </c>
      <c r="E770" s="8" t="str">
        <f>[1]Data!E770</f>
        <v>NON-HS</v>
      </c>
      <c r="F770" s="8" t="str">
        <f>[1]Data!F770</f>
        <v>San Dimas</v>
      </c>
      <c r="G770" s="8">
        <f>[1]Data!G770</f>
        <v>0</v>
      </c>
      <c r="H770" s="8">
        <f>[1]Data!H770</f>
        <v>0</v>
      </c>
      <c r="I770" s="8">
        <f>[1]Data!I770</f>
        <v>0</v>
      </c>
      <c r="J770" s="8">
        <f>[1]Data!J770</f>
        <v>0</v>
      </c>
      <c r="K770" s="8">
        <f>[1]Data!K770</f>
        <v>0</v>
      </c>
      <c r="L770" s="8">
        <f>[1]Data!L770</f>
        <v>0</v>
      </c>
      <c r="M770" s="8">
        <f>[1]Data!M770</f>
        <v>0</v>
      </c>
      <c r="N770" s="8">
        <f>[1]Data!N770</f>
        <v>3.09278350515464E-2</v>
      </c>
      <c r="O770" s="8">
        <f>[1]Data!O770</f>
        <v>0</v>
      </c>
      <c r="P770" s="8">
        <f>[1]Data!P770</f>
        <v>1</v>
      </c>
      <c r="Q770" s="8">
        <f>[1]Data!Q770</f>
        <v>0</v>
      </c>
      <c r="R770" s="8">
        <f>[1]Data!R770</f>
        <v>0</v>
      </c>
      <c r="S770" s="8">
        <f>[1]Data!S770</f>
        <v>0</v>
      </c>
      <c r="T770">
        <f t="shared" si="55"/>
        <v>3.09278350515464E-2</v>
      </c>
      <c r="U770">
        <f t="shared" si="56"/>
        <v>0</v>
      </c>
      <c r="V770" s="4" t="str">
        <f t="shared" si="57"/>
        <v>0</v>
      </c>
      <c r="W770" s="4" t="str">
        <f t="shared" si="58"/>
        <v>3</v>
      </c>
      <c r="X770" s="4" t="str">
        <f t="shared" si="59"/>
        <v>0NON-HS3</v>
      </c>
      <c r="Y770">
        <f>VLOOKUP(X770,Sheet1!$J$5:$K$121,2,FALSE)</f>
        <v>0</v>
      </c>
    </row>
    <row r="771" spans="1:25" x14ac:dyDescent="0.25">
      <c r="A771" s="8">
        <f>[1]Data!A771</f>
        <v>407701</v>
      </c>
      <c r="B771" s="8">
        <f>[1]Data!B771</f>
        <v>3</v>
      </c>
      <c r="C771" s="8">
        <f>[1]Data!C771</f>
        <v>0</v>
      </c>
      <c r="D771" s="8">
        <f>[1]Data!D771</f>
        <v>1</v>
      </c>
      <c r="E771" s="8" t="str">
        <f>[1]Data!E771</f>
        <v>NON-HS</v>
      </c>
      <c r="F771" s="8" t="str">
        <f>[1]Data!F771</f>
        <v>La Puente</v>
      </c>
      <c r="G771" s="8">
        <f>[1]Data!G771</f>
        <v>0</v>
      </c>
      <c r="H771" s="8">
        <f>[1]Data!H771</f>
        <v>0</v>
      </c>
      <c r="I771" s="8">
        <f>[1]Data!I771</f>
        <v>0</v>
      </c>
      <c r="J771" s="8">
        <f>[1]Data!J771</f>
        <v>0</v>
      </c>
      <c r="K771" s="8">
        <f>[1]Data!K771</f>
        <v>0</v>
      </c>
      <c r="L771" s="8">
        <f>[1]Data!L771</f>
        <v>0</v>
      </c>
      <c r="M771" s="8">
        <f>[1]Data!M771</f>
        <v>0</v>
      </c>
      <c r="N771" s="8">
        <f>[1]Data!N771</f>
        <v>3.09278350515464E-2</v>
      </c>
      <c r="O771" s="8">
        <f>[1]Data!O771</f>
        <v>0</v>
      </c>
      <c r="P771" s="8">
        <f>[1]Data!P771</f>
        <v>1</v>
      </c>
      <c r="Q771" s="8">
        <f>[1]Data!Q771</f>
        <v>0</v>
      </c>
      <c r="R771" s="8">
        <f>[1]Data!R771</f>
        <v>0</v>
      </c>
      <c r="S771" s="8">
        <f>[1]Data!S771</f>
        <v>0</v>
      </c>
      <c r="T771">
        <f t="shared" ref="T771:T834" si="60">N771+Y771*(1-N771)</f>
        <v>3.09278350515464E-2</v>
      </c>
      <c r="U771">
        <f t="shared" ref="U771:U834" si="61">IF(T771="",0,1/T771*H771)</f>
        <v>0</v>
      </c>
      <c r="V771" s="4" t="str">
        <f t="shared" ref="V771:V834" si="62">TEXT(C771,"0")</f>
        <v>0</v>
      </c>
      <c r="W771" s="4" t="str">
        <f t="shared" ref="W771:W834" si="63">TEXT(B771,"0")</f>
        <v>3</v>
      </c>
      <c r="X771" s="4" t="str">
        <f t="shared" ref="X771:X834" si="64">CONCATENATE(V771,E771,W771)</f>
        <v>0NON-HS3</v>
      </c>
      <c r="Y771">
        <f>VLOOKUP(X771,Sheet1!$J$5:$K$121,2,FALSE)</f>
        <v>0</v>
      </c>
    </row>
    <row r="772" spans="1:25" x14ac:dyDescent="0.25">
      <c r="A772" s="8">
        <f>[1]Data!A772</f>
        <v>480500</v>
      </c>
      <c r="B772" s="8">
        <f>[1]Data!B772</f>
        <v>3</v>
      </c>
      <c r="C772" s="8">
        <f>[1]Data!C772</f>
        <v>0</v>
      </c>
      <c r="D772" s="8">
        <f>[1]Data!D772</f>
        <v>5</v>
      </c>
      <c r="E772" s="8" t="str">
        <f>[1]Data!E772</f>
        <v>NON-HS</v>
      </c>
      <c r="F772" s="8" t="str">
        <f>[1]Data!F772</f>
        <v>South Pasadena</v>
      </c>
      <c r="G772" s="8">
        <f>[1]Data!G772</f>
        <v>0</v>
      </c>
      <c r="H772" s="8">
        <f>[1]Data!H772</f>
        <v>0</v>
      </c>
      <c r="I772" s="8">
        <f>[1]Data!I772</f>
        <v>0</v>
      </c>
      <c r="J772" s="8">
        <f>[1]Data!J772</f>
        <v>0</v>
      </c>
      <c r="K772" s="8">
        <f>[1]Data!K772</f>
        <v>0</v>
      </c>
      <c r="L772" s="8">
        <f>[1]Data!L772</f>
        <v>0</v>
      </c>
      <c r="M772" s="8">
        <f>[1]Data!M772</f>
        <v>0</v>
      </c>
      <c r="N772" s="8">
        <f>[1]Data!N772</f>
        <v>3.09278350515464E-2</v>
      </c>
      <c r="O772" s="8">
        <f>[1]Data!O772</f>
        <v>0</v>
      </c>
      <c r="P772" s="8">
        <f>[1]Data!P772</f>
        <v>1</v>
      </c>
      <c r="Q772" s="8">
        <f>[1]Data!Q772</f>
        <v>0</v>
      </c>
      <c r="R772" s="8">
        <f>[1]Data!R772</f>
        <v>0</v>
      </c>
      <c r="S772" s="8">
        <f>[1]Data!S772</f>
        <v>0</v>
      </c>
      <c r="T772">
        <f t="shared" si="60"/>
        <v>3.09278350515464E-2</v>
      </c>
      <c r="U772">
        <f t="shared" si="61"/>
        <v>0</v>
      </c>
      <c r="V772" s="4" t="str">
        <f t="shared" si="62"/>
        <v>0</v>
      </c>
      <c r="W772" s="4" t="str">
        <f t="shared" si="63"/>
        <v>3</v>
      </c>
      <c r="X772" s="4" t="str">
        <f t="shared" si="64"/>
        <v>0NON-HS3</v>
      </c>
      <c r="Y772">
        <f>VLOOKUP(X772,Sheet1!$J$5:$K$121,2,FALSE)</f>
        <v>0</v>
      </c>
    </row>
    <row r="773" spans="1:25" x14ac:dyDescent="0.25">
      <c r="A773" s="8">
        <f>[1]Data!A773</f>
        <v>400206</v>
      </c>
      <c r="B773" s="8">
        <f>[1]Data!B773</f>
        <v>3</v>
      </c>
      <c r="C773" s="8">
        <f>[1]Data!C773</f>
        <v>0</v>
      </c>
      <c r="D773" s="8">
        <f>[1]Data!D773</f>
        <v>1</v>
      </c>
      <c r="E773" s="8" t="str">
        <f>[1]Data!E773</f>
        <v>NON-HS</v>
      </c>
      <c r="F773" s="8" t="str">
        <f>[1]Data!F773</f>
        <v>Claremont</v>
      </c>
      <c r="G773" s="8">
        <f>[1]Data!G773</f>
        <v>0</v>
      </c>
      <c r="H773" s="8">
        <f>[1]Data!H773</f>
        <v>0</v>
      </c>
      <c r="I773" s="8">
        <f>[1]Data!I773</f>
        <v>0</v>
      </c>
      <c r="J773" s="8">
        <f>[1]Data!J773</f>
        <v>0</v>
      </c>
      <c r="K773" s="8">
        <f>[1]Data!K773</f>
        <v>0</v>
      </c>
      <c r="L773" s="8">
        <f>[1]Data!L773</f>
        <v>0</v>
      </c>
      <c r="M773" s="8">
        <f>[1]Data!M773</f>
        <v>0</v>
      </c>
      <c r="N773" s="8">
        <f>[1]Data!N773</f>
        <v>3.09278350515464E-2</v>
      </c>
      <c r="O773" s="8">
        <f>[1]Data!O773</f>
        <v>0</v>
      </c>
      <c r="P773" s="8">
        <f>[1]Data!P773</f>
        <v>1</v>
      </c>
      <c r="Q773" s="8">
        <f>[1]Data!Q773</f>
        <v>0</v>
      </c>
      <c r="R773" s="8">
        <f>[1]Data!R773</f>
        <v>0</v>
      </c>
      <c r="S773" s="8">
        <f>[1]Data!S773</f>
        <v>0</v>
      </c>
      <c r="T773">
        <f t="shared" si="60"/>
        <v>3.09278350515464E-2</v>
      </c>
      <c r="U773">
        <f t="shared" si="61"/>
        <v>0</v>
      </c>
      <c r="V773" s="4" t="str">
        <f t="shared" si="62"/>
        <v>0</v>
      </c>
      <c r="W773" s="4" t="str">
        <f t="shared" si="63"/>
        <v>3</v>
      </c>
      <c r="X773" s="4" t="str">
        <f t="shared" si="64"/>
        <v>0NON-HS3</v>
      </c>
      <c r="Y773">
        <f>VLOOKUP(X773,Sheet1!$J$5:$K$121,2,FALSE)</f>
        <v>0</v>
      </c>
    </row>
    <row r="774" spans="1:25" x14ac:dyDescent="0.25">
      <c r="A774" s="8">
        <f>[1]Data!A774</f>
        <v>480704</v>
      </c>
      <c r="B774" s="8">
        <f>[1]Data!B774</f>
        <v>3</v>
      </c>
      <c r="C774" s="8">
        <f>[1]Data!C774</f>
        <v>0</v>
      </c>
      <c r="D774" s="8">
        <f>[1]Data!D774</f>
        <v>5</v>
      </c>
      <c r="E774" s="8" t="str">
        <f>[1]Data!E774</f>
        <v>NON-HS</v>
      </c>
      <c r="F774" s="8" t="str">
        <f>[1]Data!F774</f>
        <v>South Pasadena</v>
      </c>
      <c r="G774" s="8">
        <f>[1]Data!G774</f>
        <v>0</v>
      </c>
      <c r="H774" s="8">
        <f>[1]Data!H774</f>
        <v>0</v>
      </c>
      <c r="I774" s="8">
        <f>[1]Data!I774</f>
        <v>1</v>
      </c>
      <c r="J774" s="8">
        <f>[1]Data!J774</f>
        <v>0</v>
      </c>
      <c r="K774" s="8">
        <f>[1]Data!K774</f>
        <v>1</v>
      </c>
      <c r="L774" s="8">
        <f>[1]Data!L774</f>
        <v>0</v>
      </c>
      <c r="M774" s="8">
        <f>[1]Data!M774</f>
        <v>1</v>
      </c>
      <c r="N774" s="8">
        <f>[1]Data!N774</f>
        <v>3.09278350515464E-2</v>
      </c>
      <c r="O774" s="8">
        <f>[1]Data!O774</f>
        <v>0</v>
      </c>
      <c r="P774" s="8">
        <f>[1]Data!P774</f>
        <v>1</v>
      </c>
      <c r="Q774" s="8">
        <f>[1]Data!Q774</f>
        <v>0</v>
      </c>
      <c r="R774" s="8">
        <f>[1]Data!R774</f>
        <v>0</v>
      </c>
      <c r="S774" s="8">
        <f>[1]Data!S774</f>
        <v>0</v>
      </c>
      <c r="T774">
        <f t="shared" si="60"/>
        <v>3.09278350515464E-2</v>
      </c>
      <c r="U774">
        <f t="shared" si="61"/>
        <v>0</v>
      </c>
      <c r="V774" s="4" t="str">
        <f t="shared" si="62"/>
        <v>0</v>
      </c>
      <c r="W774" s="4" t="str">
        <f t="shared" si="63"/>
        <v>3</v>
      </c>
      <c r="X774" s="4" t="str">
        <f t="shared" si="64"/>
        <v>0NON-HS3</v>
      </c>
      <c r="Y774">
        <f>VLOOKUP(X774,Sheet1!$J$5:$K$121,2,FALSE)</f>
        <v>0</v>
      </c>
    </row>
    <row r="775" spans="1:25" x14ac:dyDescent="0.25">
      <c r="A775" s="8">
        <f>[1]Data!A775</f>
        <v>402904</v>
      </c>
      <c r="B775" s="8">
        <f>[1]Data!B775</f>
        <v>3</v>
      </c>
      <c r="C775" s="8">
        <f>[1]Data!C775</f>
        <v>0</v>
      </c>
      <c r="D775" s="8">
        <f>[1]Data!D775</f>
        <v>1</v>
      </c>
      <c r="E775" s="8" t="str">
        <f>[1]Data!E775</f>
        <v>NON-HS</v>
      </c>
      <c r="F775" s="8" t="str">
        <f>[1]Data!F775</f>
        <v>Pomona</v>
      </c>
      <c r="G775" s="8">
        <f>[1]Data!G775</f>
        <v>0</v>
      </c>
      <c r="H775" s="8">
        <f>[1]Data!H775</f>
        <v>0</v>
      </c>
      <c r="I775" s="8">
        <f>[1]Data!I775</f>
        <v>1.9259999999999999</v>
      </c>
      <c r="J775" s="8">
        <f>[1]Data!J775</f>
        <v>1.90487994</v>
      </c>
      <c r="K775" s="8">
        <f>[1]Data!K775</f>
        <v>1.90487994</v>
      </c>
      <c r="L775" s="8">
        <f>[1]Data!L775</f>
        <v>2.0625322082585301E-2</v>
      </c>
      <c r="M775" s="8">
        <f>[1]Data!M775</f>
        <v>1.9255052620825901</v>
      </c>
      <c r="N775" s="8">
        <f>[1]Data!N775</f>
        <v>3.09278350515464E-2</v>
      </c>
      <c r="O775" s="8">
        <f>[1]Data!O775</f>
        <v>0</v>
      </c>
      <c r="P775" s="8">
        <f>[1]Data!P775</f>
        <v>1</v>
      </c>
      <c r="Q775" s="8">
        <f>[1]Data!Q775</f>
        <v>0</v>
      </c>
      <c r="R775" s="8">
        <f>[1]Data!R775</f>
        <v>0</v>
      </c>
      <c r="S775" s="8">
        <f>[1]Data!S775</f>
        <v>0</v>
      </c>
      <c r="T775">
        <f t="shared" si="60"/>
        <v>3.09278350515464E-2</v>
      </c>
      <c r="U775">
        <f t="shared" si="61"/>
        <v>0</v>
      </c>
      <c r="V775" s="4" t="str">
        <f t="shared" si="62"/>
        <v>0</v>
      </c>
      <c r="W775" s="4" t="str">
        <f t="shared" si="63"/>
        <v>3</v>
      </c>
      <c r="X775" s="4" t="str">
        <f t="shared" si="64"/>
        <v>0NON-HS3</v>
      </c>
      <c r="Y775">
        <f>VLOOKUP(X775,Sheet1!$J$5:$K$121,2,FALSE)</f>
        <v>0</v>
      </c>
    </row>
    <row r="776" spans="1:25" x14ac:dyDescent="0.25">
      <c r="A776" s="8">
        <f>[1]Data!A776</f>
        <v>403407</v>
      </c>
      <c r="B776" s="8">
        <f>[1]Data!B776</f>
        <v>3</v>
      </c>
      <c r="C776" s="8">
        <f>[1]Data!C776</f>
        <v>0</v>
      </c>
      <c r="D776" s="8">
        <f>[1]Data!D776</f>
        <v>1</v>
      </c>
      <c r="E776" s="8" t="str">
        <f>[1]Data!E776</f>
        <v>NON-HS</v>
      </c>
      <c r="F776" s="8" t="str">
        <f>[1]Data!F776</f>
        <v>Walnut</v>
      </c>
      <c r="G776" s="8">
        <f>[1]Data!G776</f>
        <v>0</v>
      </c>
      <c r="H776" s="8">
        <f>[1]Data!H776</f>
        <v>0</v>
      </c>
      <c r="I776" s="8">
        <f>[1]Data!I776</f>
        <v>0</v>
      </c>
      <c r="J776" s="8">
        <f>[1]Data!J776</f>
        <v>0</v>
      </c>
      <c r="K776" s="8">
        <f>[1]Data!K776</f>
        <v>0</v>
      </c>
      <c r="L776" s="8">
        <f>[1]Data!L776</f>
        <v>0</v>
      </c>
      <c r="M776" s="8">
        <f>[1]Data!M776</f>
        <v>0</v>
      </c>
      <c r="N776" s="8">
        <f>[1]Data!N776</f>
        <v>3.09278350515464E-2</v>
      </c>
      <c r="O776" s="8">
        <f>[1]Data!O776</f>
        <v>0</v>
      </c>
      <c r="P776" s="8">
        <f>[1]Data!P776</f>
        <v>1</v>
      </c>
      <c r="Q776" s="8">
        <f>[1]Data!Q776</f>
        <v>0</v>
      </c>
      <c r="R776" s="8">
        <f>[1]Data!R776</f>
        <v>0</v>
      </c>
      <c r="S776" s="8">
        <f>[1]Data!S776</f>
        <v>0</v>
      </c>
      <c r="T776">
        <f t="shared" si="60"/>
        <v>3.09278350515464E-2</v>
      </c>
      <c r="U776">
        <f t="shared" si="61"/>
        <v>0</v>
      </c>
      <c r="V776" s="4" t="str">
        <f t="shared" si="62"/>
        <v>0</v>
      </c>
      <c r="W776" s="4" t="str">
        <f t="shared" si="63"/>
        <v>3</v>
      </c>
      <c r="X776" s="4" t="str">
        <f t="shared" si="64"/>
        <v>0NON-HS3</v>
      </c>
      <c r="Y776">
        <f>VLOOKUP(X776,Sheet1!$J$5:$K$121,2,FALSE)</f>
        <v>0</v>
      </c>
    </row>
    <row r="777" spans="1:25" x14ac:dyDescent="0.25">
      <c r="A777" s="8">
        <f>[1]Data!A777</f>
        <v>407502</v>
      </c>
      <c r="B777" s="8">
        <f>[1]Data!B777</f>
        <v>3</v>
      </c>
      <c r="C777" s="8">
        <f>[1]Data!C777</f>
        <v>0</v>
      </c>
      <c r="D777" s="8">
        <f>[1]Data!D777</f>
        <v>1</v>
      </c>
      <c r="E777" s="8" t="str">
        <f>[1]Data!E777</f>
        <v>NON-HS</v>
      </c>
      <c r="F777" s="8" t="str">
        <f>[1]Data!F777</f>
        <v>Valinda</v>
      </c>
      <c r="G777" s="8">
        <f>[1]Data!G777</f>
        <v>0</v>
      </c>
      <c r="H777" s="8">
        <f>[1]Data!H777</f>
        <v>0</v>
      </c>
      <c r="I777" s="8">
        <f>[1]Data!I777</f>
        <v>0</v>
      </c>
      <c r="J777" s="8">
        <f>[1]Data!J777</f>
        <v>0</v>
      </c>
      <c r="K777" s="8">
        <f>[1]Data!K777</f>
        <v>0</v>
      </c>
      <c r="L777" s="8">
        <f>[1]Data!L777</f>
        <v>0</v>
      </c>
      <c r="M777" s="8">
        <f>[1]Data!M777</f>
        <v>0</v>
      </c>
      <c r="N777" s="8">
        <f>[1]Data!N777</f>
        <v>3.09278350515464E-2</v>
      </c>
      <c r="O777" s="8">
        <f>[1]Data!O777</f>
        <v>0</v>
      </c>
      <c r="P777" s="8">
        <f>[1]Data!P777</f>
        <v>1</v>
      </c>
      <c r="Q777" s="8">
        <f>[1]Data!Q777</f>
        <v>0</v>
      </c>
      <c r="R777" s="8">
        <f>[1]Data!R777</f>
        <v>0</v>
      </c>
      <c r="S777" s="8">
        <f>[1]Data!S777</f>
        <v>0</v>
      </c>
      <c r="T777">
        <f t="shared" si="60"/>
        <v>3.09278350515464E-2</v>
      </c>
      <c r="U777">
        <f t="shared" si="61"/>
        <v>0</v>
      </c>
      <c r="V777" s="4" t="str">
        <f t="shared" si="62"/>
        <v>0</v>
      </c>
      <c r="W777" s="4" t="str">
        <f t="shared" si="63"/>
        <v>3</v>
      </c>
      <c r="X777" s="4" t="str">
        <f t="shared" si="64"/>
        <v>0NON-HS3</v>
      </c>
      <c r="Y777">
        <f>VLOOKUP(X777,Sheet1!$J$5:$K$121,2,FALSE)</f>
        <v>0</v>
      </c>
    </row>
    <row r="778" spans="1:25" x14ac:dyDescent="0.25">
      <c r="A778" s="8">
        <f>[1]Data!A778</f>
        <v>403722</v>
      </c>
      <c r="B778" s="8">
        <f>[1]Data!B778</f>
        <v>3</v>
      </c>
      <c r="C778" s="8">
        <f>[1]Data!C778</f>
        <v>0</v>
      </c>
      <c r="D778" s="8">
        <f>[1]Data!D778</f>
        <v>5</v>
      </c>
      <c r="E778" s="8" t="str">
        <f>[1]Data!E778</f>
        <v>NON-HS</v>
      </c>
      <c r="F778" s="8" t="str">
        <f>[1]Data!F778</f>
        <v>Covina</v>
      </c>
      <c r="G778" s="8">
        <f>[1]Data!G778</f>
        <v>0</v>
      </c>
      <c r="H778" s="8">
        <f>[1]Data!H778</f>
        <v>0</v>
      </c>
      <c r="I778" s="8">
        <f>[1]Data!I778</f>
        <v>1.9259999999999999</v>
      </c>
      <c r="J778" s="8">
        <f>[1]Data!J778</f>
        <v>1.90487994</v>
      </c>
      <c r="K778" s="8">
        <f>[1]Data!K778</f>
        <v>1.90487994</v>
      </c>
      <c r="L778" s="8">
        <f>[1]Data!L778</f>
        <v>2.0625322082585301E-2</v>
      </c>
      <c r="M778" s="8">
        <f>[1]Data!M778</f>
        <v>1.9255052620825901</v>
      </c>
      <c r="N778" s="8">
        <f>[1]Data!N778</f>
        <v>3.09278350515464E-2</v>
      </c>
      <c r="O778" s="8">
        <f>[1]Data!O778</f>
        <v>0</v>
      </c>
      <c r="P778" s="8">
        <f>[1]Data!P778</f>
        <v>1</v>
      </c>
      <c r="Q778" s="8">
        <f>[1]Data!Q778</f>
        <v>0</v>
      </c>
      <c r="R778" s="8">
        <f>[1]Data!R778</f>
        <v>0</v>
      </c>
      <c r="S778" s="8">
        <f>[1]Data!S778</f>
        <v>0</v>
      </c>
      <c r="T778">
        <f t="shared" si="60"/>
        <v>3.09278350515464E-2</v>
      </c>
      <c r="U778">
        <f t="shared" si="61"/>
        <v>0</v>
      </c>
      <c r="V778" s="4" t="str">
        <f t="shared" si="62"/>
        <v>0</v>
      </c>
      <c r="W778" s="4" t="str">
        <f t="shared" si="63"/>
        <v>3</v>
      </c>
      <c r="X778" s="4" t="str">
        <f t="shared" si="64"/>
        <v>0NON-HS3</v>
      </c>
      <c r="Y778">
        <f>VLOOKUP(X778,Sheet1!$J$5:$K$121,2,FALSE)</f>
        <v>0</v>
      </c>
    </row>
    <row r="779" spans="1:25" x14ac:dyDescent="0.25">
      <c r="A779" s="8">
        <f>[1]Data!A779</f>
        <v>464200</v>
      </c>
      <c r="B779" s="8">
        <f>[1]Data!B779</f>
        <v>3</v>
      </c>
      <c r="C779" s="8">
        <f>[1]Data!C779</f>
        <v>0</v>
      </c>
      <c r="D779" s="8">
        <f>[1]Data!D779</f>
        <v>5</v>
      </c>
      <c r="E779" s="8" t="str">
        <f>[1]Data!E779</f>
        <v>NON-HS</v>
      </c>
      <c r="F779" s="8" t="str">
        <f>[1]Data!F779</f>
        <v>San Marino</v>
      </c>
      <c r="G779" s="8">
        <f>[1]Data!G779</f>
        <v>0</v>
      </c>
      <c r="H779" s="8">
        <f>[1]Data!H779</f>
        <v>0</v>
      </c>
      <c r="I779" s="8">
        <f>[1]Data!I779</f>
        <v>0</v>
      </c>
      <c r="J779" s="8">
        <f>[1]Data!J779</f>
        <v>0</v>
      </c>
      <c r="K779" s="8">
        <f>[1]Data!K779</f>
        <v>0</v>
      </c>
      <c r="L779" s="8">
        <f>[1]Data!L779</f>
        <v>0</v>
      </c>
      <c r="M779" s="8">
        <f>[1]Data!M779</f>
        <v>0</v>
      </c>
      <c r="N779" s="8">
        <f>[1]Data!N779</f>
        <v>3.09278350515464E-2</v>
      </c>
      <c r="O779" s="8">
        <f>[1]Data!O779</f>
        <v>0</v>
      </c>
      <c r="P779" s="8">
        <f>[1]Data!P779</f>
        <v>1</v>
      </c>
      <c r="Q779" s="8">
        <f>[1]Data!Q779</f>
        <v>0</v>
      </c>
      <c r="R779" s="8">
        <f>[1]Data!R779</f>
        <v>0</v>
      </c>
      <c r="S779" s="8">
        <f>[1]Data!S779</f>
        <v>0</v>
      </c>
      <c r="T779">
        <f t="shared" si="60"/>
        <v>3.09278350515464E-2</v>
      </c>
      <c r="U779">
        <f t="shared" si="61"/>
        <v>0</v>
      </c>
      <c r="V779" s="4" t="str">
        <f t="shared" si="62"/>
        <v>0</v>
      </c>
      <c r="W779" s="4" t="str">
        <f t="shared" si="63"/>
        <v>3</v>
      </c>
      <c r="X779" s="4" t="str">
        <f t="shared" si="64"/>
        <v>0NON-HS3</v>
      </c>
      <c r="Y779">
        <f>VLOOKUP(X779,Sheet1!$J$5:$K$121,2,FALSE)</f>
        <v>0</v>
      </c>
    </row>
    <row r="780" spans="1:25" x14ac:dyDescent="0.25">
      <c r="A780" s="8">
        <f>[1]Data!A780</f>
        <v>406800</v>
      </c>
      <c r="B780" s="8">
        <f>[1]Data!B780</f>
        <v>3</v>
      </c>
      <c r="C780" s="8">
        <f>[1]Data!C780</f>
        <v>0</v>
      </c>
      <c r="D780" s="8">
        <f>[1]Data!D780</f>
        <v>1</v>
      </c>
      <c r="E780" s="8" t="str">
        <f>[1]Data!E780</f>
        <v>NON-HS</v>
      </c>
      <c r="F780" s="8" t="str">
        <f>[1]Data!F780</f>
        <v>West Covina</v>
      </c>
      <c r="G780" s="8">
        <f>[1]Data!G780</f>
        <v>1</v>
      </c>
      <c r="H780" s="8">
        <f>[1]Data!H780</f>
        <v>1</v>
      </c>
      <c r="I780" s="8">
        <f>[1]Data!I780</f>
        <v>2.0950000000000002</v>
      </c>
      <c r="J780" s="8">
        <f>[1]Data!J780</f>
        <v>1.9836996600000001</v>
      </c>
      <c r="K780" s="8">
        <f>[1]Data!K780</f>
        <v>1.9836996600000001</v>
      </c>
      <c r="L780" s="8">
        <f>[1]Data!L780</f>
        <v>0.11117260138240601</v>
      </c>
      <c r="M780" s="8">
        <f>[1]Data!M780</f>
        <v>2.09487226138241</v>
      </c>
      <c r="N780" s="8">
        <f>[1]Data!N780</f>
        <v>3.09278350515464E-2</v>
      </c>
      <c r="O780" s="8">
        <f>[1]Data!O780</f>
        <v>32.3333333333333</v>
      </c>
      <c r="P780" s="8">
        <f>[1]Data!P780</f>
        <v>1</v>
      </c>
      <c r="Q780" s="8">
        <f>[1]Data!Q780</f>
        <v>0</v>
      </c>
      <c r="R780" s="8">
        <f>[1]Data!R780</f>
        <v>0</v>
      </c>
      <c r="S780" s="8">
        <f>[1]Data!S780</f>
        <v>0</v>
      </c>
      <c r="T780">
        <f t="shared" si="60"/>
        <v>3.09278350515464E-2</v>
      </c>
      <c r="U780">
        <f t="shared" si="61"/>
        <v>32.333333333333321</v>
      </c>
      <c r="V780" s="4" t="str">
        <f t="shared" si="62"/>
        <v>0</v>
      </c>
      <c r="W780" s="4" t="str">
        <f t="shared" si="63"/>
        <v>3</v>
      </c>
      <c r="X780" s="4" t="str">
        <f t="shared" si="64"/>
        <v>0NON-HS3</v>
      </c>
      <c r="Y780">
        <f>VLOOKUP(X780,Sheet1!$J$5:$K$121,2,FALSE)</f>
        <v>0</v>
      </c>
    </row>
    <row r="781" spans="1:25" x14ac:dyDescent="0.25">
      <c r="A781" s="8">
        <f>[1]Data!A781</f>
        <v>403902</v>
      </c>
      <c r="B781" s="8">
        <f>[1]Data!B781</f>
        <v>3</v>
      </c>
      <c r="C781" s="8">
        <f>[1]Data!C781</f>
        <v>0</v>
      </c>
      <c r="D781" s="8">
        <f>[1]Data!D781</f>
        <v>5</v>
      </c>
      <c r="E781" s="8" t="str">
        <f>[1]Data!E781</f>
        <v>NON-HS</v>
      </c>
      <c r="F781" s="8" t="str">
        <f>[1]Data!F781</f>
        <v>Glendora</v>
      </c>
      <c r="G781" s="8">
        <f>[1]Data!G781</f>
        <v>0</v>
      </c>
      <c r="H781" s="8">
        <f>[1]Data!H781</f>
        <v>0</v>
      </c>
      <c r="I781" s="8">
        <f>[1]Data!I781</f>
        <v>0</v>
      </c>
      <c r="J781" s="8">
        <f>[1]Data!J781</f>
        <v>0</v>
      </c>
      <c r="K781" s="8">
        <f>[1]Data!K781</f>
        <v>0</v>
      </c>
      <c r="L781" s="8">
        <f>[1]Data!L781</f>
        <v>0</v>
      </c>
      <c r="M781" s="8">
        <f>[1]Data!M781</f>
        <v>0</v>
      </c>
      <c r="N781" s="8">
        <f>[1]Data!N781</f>
        <v>3.09278350515464E-2</v>
      </c>
      <c r="O781" s="8">
        <f>[1]Data!O781</f>
        <v>0</v>
      </c>
      <c r="P781" s="8">
        <f>[1]Data!P781</f>
        <v>1</v>
      </c>
      <c r="Q781" s="8">
        <f>[1]Data!Q781</f>
        <v>0</v>
      </c>
      <c r="R781" s="8">
        <f>[1]Data!R781</f>
        <v>0</v>
      </c>
      <c r="S781" s="8">
        <f>[1]Data!S781</f>
        <v>0</v>
      </c>
      <c r="T781">
        <f t="shared" si="60"/>
        <v>3.09278350515464E-2</v>
      </c>
      <c r="U781">
        <f t="shared" si="61"/>
        <v>0</v>
      </c>
      <c r="V781" s="4" t="str">
        <f t="shared" si="62"/>
        <v>0</v>
      </c>
      <c r="W781" s="4" t="str">
        <f t="shared" si="63"/>
        <v>3</v>
      </c>
      <c r="X781" s="4" t="str">
        <f t="shared" si="64"/>
        <v>0NON-HS3</v>
      </c>
      <c r="Y781">
        <f>VLOOKUP(X781,Sheet1!$J$5:$K$121,2,FALSE)</f>
        <v>0</v>
      </c>
    </row>
    <row r="782" spans="1:25" x14ac:dyDescent="0.25">
      <c r="A782" s="8">
        <f>[1]Data!A782</f>
        <v>402403</v>
      </c>
      <c r="B782" s="8">
        <f>[1]Data!B782</f>
        <v>3</v>
      </c>
      <c r="C782" s="8">
        <f>[1]Data!C782</f>
        <v>0</v>
      </c>
      <c r="D782" s="8">
        <f>[1]Data!D782</f>
        <v>1</v>
      </c>
      <c r="E782" s="8" t="str">
        <f>[1]Data!E782</f>
        <v>NON-HS</v>
      </c>
      <c r="F782" s="8" t="str">
        <f>[1]Data!F782</f>
        <v>Pomona</v>
      </c>
      <c r="G782" s="8">
        <f>[1]Data!G782</f>
        <v>0</v>
      </c>
      <c r="H782" s="8">
        <f>[1]Data!H782</f>
        <v>0</v>
      </c>
      <c r="I782" s="8">
        <f>[1]Data!I782</f>
        <v>1.8080000000000001</v>
      </c>
      <c r="J782" s="8">
        <f>[1]Data!J782</f>
        <v>1.73313217</v>
      </c>
      <c r="K782" s="8">
        <f>[1]Data!K782</f>
        <v>1.73313217</v>
      </c>
      <c r="L782" s="8">
        <f>[1]Data!L782</f>
        <v>7.4985510287253102E-2</v>
      </c>
      <c r="M782" s="8">
        <f>[1]Data!M782</f>
        <v>1.8081176802872501</v>
      </c>
      <c r="N782" s="8">
        <f>[1]Data!N782</f>
        <v>3.09278350515464E-2</v>
      </c>
      <c r="O782" s="8">
        <f>[1]Data!O782</f>
        <v>0</v>
      </c>
      <c r="P782" s="8">
        <f>[1]Data!P782</f>
        <v>1</v>
      </c>
      <c r="Q782" s="8">
        <f>[1]Data!Q782</f>
        <v>0</v>
      </c>
      <c r="R782" s="8">
        <f>[1]Data!R782</f>
        <v>0</v>
      </c>
      <c r="S782" s="8">
        <f>[1]Data!S782</f>
        <v>0</v>
      </c>
      <c r="T782">
        <f t="shared" si="60"/>
        <v>3.09278350515464E-2</v>
      </c>
      <c r="U782">
        <f t="shared" si="61"/>
        <v>0</v>
      </c>
      <c r="V782" s="4" t="str">
        <f t="shared" si="62"/>
        <v>0</v>
      </c>
      <c r="W782" s="4" t="str">
        <f t="shared" si="63"/>
        <v>3</v>
      </c>
      <c r="X782" s="4" t="str">
        <f t="shared" si="64"/>
        <v>0NON-HS3</v>
      </c>
      <c r="Y782">
        <f>VLOOKUP(X782,Sheet1!$J$5:$K$121,2,FALSE)</f>
        <v>0</v>
      </c>
    </row>
    <row r="783" spans="1:25" x14ac:dyDescent="0.25">
      <c r="A783" s="8">
        <f>[1]Data!A783</f>
        <v>480703</v>
      </c>
      <c r="B783" s="8">
        <f>[1]Data!B783</f>
        <v>3</v>
      </c>
      <c r="C783" s="8">
        <f>[1]Data!C783</f>
        <v>0</v>
      </c>
      <c r="D783" s="8">
        <f>[1]Data!D783</f>
        <v>5</v>
      </c>
      <c r="E783" s="8" t="str">
        <f>[1]Data!E783</f>
        <v>NON-HS</v>
      </c>
      <c r="F783" s="8" t="str">
        <f>[1]Data!F783</f>
        <v>South Pasadena</v>
      </c>
      <c r="G783" s="8">
        <f>[1]Data!G783</f>
        <v>0</v>
      </c>
      <c r="H783" s="8">
        <f>[1]Data!H783</f>
        <v>0</v>
      </c>
      <c r="I783" s="8">
        <f>[1]Data!I783</f>
        <v>1</v>
      </c>
      <c r="J783" s="8">
        <f>[1]Data!J783</f>
        <v>0</v>
      </c>
      <c r="K783" s="8">
        <f>[1]Data!K783</f>
        <v>1</v>
      </c>
      <c r="L783" s="8">
        <f>[1]Data!L783</f>
        <v>0</v>
      </c>
      <c r="M783" s="8">
        <f>[1]Data!M783</f>
        <v>1</v>
      </c>
      <c r="N783" s="8">
        <f>[1]Data!N783</f>
        <v>3.09278350515464E-2</v>
      </c>
      <c r="O783" s="8">
        <f>[1]Data!O783</f>
        <v>0</v>
      </c>
      <c r="P783" s="8">
        <f>[1]Data!P783</f>
        <v>1</v>
      </c>
      <c r="Q783" s="8">
        <f>[1]Data!Q783</f>
        <v>0</v>
      </c>
      <c r="R783" s="8">
        <f>[1]Data!R783</f>
        <v>0</v>
      </c>
      <c r="S783" s="8">
        <f>[1]Data!S783</f>
        <v>0</v>
      </c>
      <c r="T783">
        <f t="shared" si="60"/>
        <v>3.09278350515464E-2</v>
      </c>
      <c r="U783">
        <f t="shared" si="61"/>
        <v>0</v>
      </c>
      <c r="V783" s="4" t="str">
        <f t="shared" si="62"/>
        <v>0</v>
      </c>
      <c r="W783" s="4" t="str">
        <f t="shared" si="63"/>
        <v>3</v>
      </c>
      <c r="X783" s="4" t="str">
        <f t="shared" si="64"/>
        <v>0NON-HS3</v>
      </c>
      <c r="Y783">
        <f>VLOOKUP(X783,Sheet1!$J$5:$K$121,2,FALSE)</f>
        <v>0</v>
      </c>
    </row>
    <row r="784" spans="1:25" x14ac:dyDescent="0.25">
      <c r="A784" s="8">
        <f>[1]Data!A784</f>
        <v>480012</v>
      </c>
      <c r="B784" s="8">
        <f>[1]Data!B784</f>
        <v>3</v>
      </c>
      <c r="C784" s="8">
        <f>[1]Data!C784</f>
        <v>0</v>
      </c>
      <c r="D784" s="8">
        <f>[1]Data!D784</f>
        <v>5</v>
      </c>
      <c r="E784" s="8" t="str">
        <f>[1]Data!E784</f>
        <v>NON-HS</v>
      </c>
      <c r="F784" s="8" t="str">
        <f>[1]Data!F784</f>
        <v>East San Gabriel</v>
      </c>
      <c r="G784" s="8">
        <f>[1]Data!G784</f>
        <v>0</v>
      </c>
      <c r="H784" s="8">
        <f>[1]Data!H784</f>
        <v>0</v>
      </c>
      <c r="I784" s="8">
        <f>[1]Data!I784</f>
        <v>0</v>
      </c>
      <c r="J784" s="8">
        <f>[1]Data!J784</f>
        <v>0</v>
      </c>
      <c r="K784" s="8">
        <f>[1]Data!K784</f>
        <v>0</v>
      </c>
      <c r="L784" s="8">
        <f>[1]Data!L784</f>
        <v>0</v>
      </c>
      <c r="M784" s="8">
        <f>[1]Data!M784</f>
        <v>0</v>
      </c>
      <c r="N784" s="8">
        <f>[1]Data!N784</f>
        <v>3.09278350515464E-2</v>
      </c>
      <c r="O784" s="8">
        <f>[1]Data!O784</f>
        <v>0</v>
      </c>
      <c r="P784" s="8">
        <f>[1]Data!P784</f>
        <v>1</v>
      </c>
      <c r="Q784" s="8">
        <f>[1]Data!Q784</f>
        <v>0</v>
      </c>
      <c r="R784" s="8">
        <f>[1]Data!R784</f>
        <v>0</v>
      </c>
      <c r="S784" s="8">
        <f>[1]Data!S784</f>
        <v>0</v>
      </c>
      <c r="T784">
        <f t="shared" si="60"/>
        <v>3.09278350515464E-2</v>
      </c>
      <c r="U784">
        <f t="shared" si="61"/>
        <v>0</v>
      </c>
      <c r="V784" s="4" t="str">
        <f t="shared" si="62"/>
        <v>0</v>
      </c>
      <c r="W784" s="4" t="str">
        <f t="shared" si="63"/>
        <v>3</v>
      </c>
      <c r="X784" s="4" t="str">
        <f t="shared" si="64"/>
        <v>0NON-HS3</v>
      </c>
      <c r="Y784">
        <f>VLOOKUP(X784,Sheet1!$J$5:$K$121,2,FALSE)</f>
        <v>0</v>
      </c>
    </row>
    <row r="785" spans="1:25" x14ac:dyDescent="0.25">
      <c r="A785" s="8">
        <f>[1]Data!A785</f>
        <v>480102</v>
      </c>
      <c r="B785" s="8">
        <f>[1]Data!B785</f>
        <v>3</v>
      </c>
      <c r="C785" s="8">
        <f>[1]Data!C785</f>
        <v>0</v>
      </c>
      <c r="D785" s="8">
        <f>[1]Data!D785</f>
        <v>5</v>
      </c>
      <c r="E785" s="8" t="str">
        <f>[1]Data!E785</f>
        <v>NON-HS</v>
      </c>
      <c r="F785" s="8" t="str">
        <f>[1]Data!F785</f>
        <v>East San Gabriel</v>
      </c>
      <c r="G785" s="8">
        <f>[1]Data!G785</f>
        <v>0</v>
      </c>
      <c r="H785" s="8">
        <f>[1]Data!H785</f>
        <v>0</v>
      </c>
      <c r="I785" s="8">
        <f>[1]Data!I785</f>
        <v>1</v>
      </c>
      <c r="J785" s="8">
        <f>[1]Data!J785</f>
        <v>0</v>
      </c>
      <c r="K785" s="8">
        <f>[1]Data!K785</f>
        <v>1</v>
      </c>
      <c r="L785" s="8">
        <f>[1]Data!L785</f>
        <v>0</v>
      </c>
      <c r="M785" s="8">
        <f>[1]Data!M785</f>
        <v>1</v>
      </c>
      <c r="N785" s="8">
        <f>[1]Data!N785</f>
        <v>3.09278350515464E-2</v>
      </c>
      <c r="O785" s="8">
        <f>[1]Data!O785</f>
        <v>0</v>
      </c>
      <c r="P785" s="8">
        <f>[1]Data!P785</f>
        <v>1</v>
      </c>
      <c r="Q785" s="8">
        <f>[1]Data!Q785</f>
        <v>0</v>
      </c>
      <c r="R785" s="8">
        <f>[1]Data!R785</f>
        <v>0</v>
      </c>
      <c r="S785" s="8">
        <f>[1]Data!S785</f>
        <v>0</v>
      </c>
      <c r="T785">
        <f t="shared" si="60"/>
        <v>3.09278350515464E-2</v>
      </c>
      <c r="U785">
        <f t="shared" si="61"/>
        <v>0</v>
      </c>
      <c r="V785" s="4" t="str">
        <f t="shared" si="62"/>
        <v>0</v>
      </c>
      <c r="W785" s="4" t="str">
        <f t="shared" si="63"/>
        <v>3</v>
      </c>
      <c r="X785" s="4" t="str">
        <f t="shared" si="64"/>
        <v>0NON-HS3</v>
      </c>
      <c r="Y785">
        <f>VLOOKUP(X785,Sheet1!$J$5:$K$121,2,FALSE)</f>
        <v>0</v>
      </c>
    </row>
    <row r="786" spans="1:25" x14ac:dyDescent="0.25">
      <c r="A786" s="8">
        <f>[1]Data!A786</f>
        <v>430802</v>
      </c>
      <c r="B786" s="8">
        <f>[1]Data!B786</f>
        <v>3</v>
      </c>
      <c r="C786" s="8">
        <f>[1]Data!C786</f>
        <v>0</v>
      </c>
      <c r="D786" s="8">
        <f>[1]Data!D786</f>
        <v>5</v>
      </c>
      <c r="E786" s="8" t="str">
        <f>[1]Data!E786</f>
        <v>NON-HS</v>
      </c>
      <c r="F786" s="8" t="str">
        <f>[1]Data!F786</f>
        <v>Arcadia</v>
      </c>
      <c r="G786" s="8">
        <f>[1]Data!G786</f>
        <v>0</v>
      </c>
      <c r="H786" s="8">
        <f>[1]Data!H786</f>
        <v>0</v>
      </c>
      <c r="I786" s="8">
        <f>[1]Data!I786</f>
        <v>0</v>
      </c>
      <c r="J786" s="8">
        <f>[1]Data!J786</f>
        <v>0</v>
      </c>
      <c r="K786" s="8">
        <f>[1]Data!K786</f>
        <v>0</v>
      </c>
      <c r="L786" s="8">
        <f>[1]Data!L786</f>
        <v>0</v>
      </c>
      <c r="M786" s="8">
        <f>[1]Data!M786</f>
        <v>0</v>
      </c>
      <c r="N786" s="8">
        <f>[1]Data!N786</f>
        <v>3.09278350515464E-2</v>
      </c>
      <c r="O786" s="8">
        <f>[1]Data!O786</f>
        <v>0</v>
      </c>
      <c r="P786" s="8">
        <f>[1]Data!P786</f>
        <v>1</v>
      </c>
      <c r="Q786" s="8">
        <f>[1]Data!Q786</f>
        <v>0</v>
      </c>
      <c r="R786" s="8">
        <f>[1]Data!R786</f>
        <v>0</v>
      </c>
      <c r="S786" s="8">
        <f>[1]Data!S786</f>
        <v>0</v>
      </c>
      <c r="T786">
        <f t="shared" si="60"/>
        <v>3.09278350515464E-2</v>
      </c>
      <c r="U786">
        <f t="shared" si="61"/>
        <v>0</v>
      </c>
      <c r="V786" s="4" t="str">
        <f t="shared" si="62"/>
        <v>0</v>
      </c>
      <c r="W786" s="4" t="str">
        <f t="shared" si="63"/>
        <v>3</v>
      </c>
      <c r="X786" s="4" t="str">
        <f t="shared" si="64"/>
        <v>0NON-HS3</v>
      </c>
      <c r="Y786">
        <f>VLOOKUP(X786,Sheet1!$J$5:$K$121,2,FALSE)</f>
        <v>0</v>
      </c>
    </row>
    <row r="787" spans="1:25" x14ac:dyDescent="0.25">
      <c r="A787" s="8">
        <f>[1]Data!A787</f>
        <v>480400</v>
      </c>
      <c r="B787" s="8">
        <f>[1]Data!B787</f>
        <v>3</v>
      </c>
      <c r="C787" s="8">
        <f>[1]Data!C787</f>
        <v>0</v>
      </c>
      <c r="D787" s="8">
        <f>[1]Data!D787</f>
        <v>5</v>
      </c>
      <c r="E787" s="8" t="str">
        <f>[1]Data!E787</f>
        <v>NON-HS</v>
      </c>
      <c r="F787" s="8" t="str">
        <f>[1]Data!F787</f>
        <v>Alhambra</v>
      </c>
      <c r="G787" s="8">
        <f>[1]Data!G787</f>
        <v>0</v>
      </c>
      <c r="H787" s="8">
        <f>[1]Data!H787</f>
        <v>0</v>
      </c>
      <c r="I787" s="8">
        <f>[1]Data!I787</f>
        <v>0</v>
      </c>
      <c r="J787" s="8">
        <f>[1]Data!J787</f>
        <v>0</v>
      </c>
      <c r="K787" s="8">
        <f>[1]Data!K787</f>
        <v>0</v>
      </c>
      <c r="L787" s="8">
        <f>[1]Data!L787</f>
        <v>0</v>
      </c>
      <c r="M787" s="8">
        <f>[1]Data!M787</f>
        <v>0</v>
      </c>
      <c r="N787" s="8">
        <f>[1]Data!N787</f>
        <v>3.09278350515464E-2</v>
      </c>
      <c r="O787" s="8">
        <f>[1]Data!O787</f>
        <v>0</v>
      </c>
      <c r="P787" s="8">
        <f>[1]Data!P787</f>
        <v>1</v>
      </c>
      <c r="Q787" s="8">
        <f>[1]Data!Q787</f>
        <v>0</v>
      </c>
      <c r="R787" s="8">
        <f>[1]Data!R787</f>
        <v>0</v>
      </c>
      <c r="S787" s="8">
        <f>[1]Data!S787</f>
        <v>0</v>
      </c>
      <c r="T787">
        <f t="shared" si="60"/>
        <v>3.09278350515464E-2</v>
      </c>
      <c r="U787">
        <f t="shared" si="61"/>
        <v>0</v>
      </c>
      <c r="V787" s="4" t="str">
        <f t="shared" si="62"/>
        <v>0</v>
      </c>
      <c r="W787" s="4" t="str">
        <f t="shared" si="63"/>
        <v>3</v>
      </c>
      <c r="X787" s="4" t="str">
        <f t="shared" si="64"/>
        <v>0NON-HS3</v>
      </c>
      <c r="Y787">
        <f>VLOOKUP(X787,Sheet1!$J$5:$K$121,2,FALSE)</f>
        <v>0</v>
      </c>
    </row>
    <row r="788" spans="1:25" x14ac:dyDescent="0.25">
      <c r="A788" s="8">
        <f>[1]Data!A788</f>
        <v>406412</v>
      </c>
      <c r="B788" s="8">
        <f>[1]Data!B788</f>
        <v>3</v>
      </c>
      <c r="C788" s="8">
        <f>[1]Data!C788</f>
        <v>0</v>
      </c>
      <c r="D788" s="8">
        <f>[1]Data!D788</f>
        <v>1</v>
      </c>
      <c r="E788" s="8" t="str">
        <f>[1]Data!E788</f>
        <v>NON-HS</v>
      </c>
      <c r="F788" s="8" t="str">
        <f>[1]Data!F788</f>
        <v>West Covina</v>
      </c>
      <c r="G788" s="8">
        <f>[1]Data!G788</f>
        <v>0</v>
      </c>
      <c r="H788" s="8">
        <f>[1]Data!H788</f>
        <v>0</v>
      </c>
      <c r="I788" s="8">
        <f>[1]Data!I788</f>
        <v>0</v>
      </c>
      <c r="J788" s="8">
        <f>[1]Data!J788</f>
        <v>0</v>
      </c>
      <c r="K788" s="8">
        <f>[1]Data!K788</f>
        <v>0</v>
      </c>
      <c r="L788" s="8">
        <f>[1]Data!L788</f>
        <v>0</v>
      </c>
      <c r="M788" s="8">
        <f>[1]Data!M788</f>
        <v>0</v>
      </c>
      <c r="N788" s="8">
        <f>[1]Data!N788</f>
        <v>3.09278350515464E-2</v>
      </c>
      <c r="O788" s="8">
        <f>[1]Data!O788</f>
        <v>0</v>
      </c>
      <c r="P788" s="8">
        <f>[1]Data!P788</f>
        <v>1</v>
      </c>
      <c r="Q788" s="8">
        <f>[1]Data!Q788</f>
        <v>0</v>
      </c>
      <c r="R788" s="8">
        <f>[1]Data!R788</f>
        <v>0</v>
      </c>
      <c r="S788" s="8">
        <f>[1]Data!S788</f>
        <v>0</v>
      </c>
      <c r="T788">
        <f t="shared" si="60"/>
        <v>3.09278350515464E-2</v>
      </c>
      <c r="U788">
        <f t="shared" si="61"/>
        <v>0</v>
      </c>
      <c r="V788" s="4" t="str">
        <f t="shared" si="62"/>
        <v>0</v>
      </c>
      <c r="W788" s="4" t="str">
        <f t="shared" si="63"/>
        <v>3</v>
      </c>
      <c r="X788" s="4" t="str">
        <f t="shared" si="64"/>
        <v>0NON-HS3</v>
      </c>
      <c r="Y788">
        <f>VLOOKUP(X788,Sheet1!$J$5:$K$121,2,FALSE)</f>
        <v>0</v>
      </c>
    </row>
    <row r="789" spans="1:25" x14ac:dyDescent="0.25">
      <c r="A789" s="8">
        <f>[1]Data!A789</f>
        <v>408625</v>
      </c>
      <c r="B789" s="8">
        <f>[1]Data!B789</f>
        <v>3</v>
      </c>
      <c r="C789" s="8">
        <f>[1]Data!C789</f>
        <v>0</v>
      </c>
      <c r="D789" s="8">
        <f>[1]Data!D789</f>
        <v>4</v>
      </c>
      <c r="E789" s="8" t="str">
        <f>[1]Data!E789</f>
        <v>NON-HS</v>
      </c>
      <c r="F789" s="8" t="str">
        <f>[1]Data!F789</f>
        <v>Hacienda Heights</v>
      </c>
      <c r="G789" s="8">
        <f>[1]Data!G789</f>
        <v>0</v>
      </c>
      <c r="H789" s="8">
        <f>[1]Data!H789</f>
        <v>0</v>
      </c>
      <c r="I789" s="8">
        <f>[1]Data!I789</f>
        <v>1</v>
      </c>
      <c r="J789" s="8">
        <f>[1]Data!J789</f>
        <v>0</v>
      </c>
      <c r="K789" s="8">
        <f>[1]Data!K789</f>
        <v>1</v>
      </c>
      <c r="L789" s="8">
        <f>[1]Data!L789</f>
        <v>0</v>
      </c>
      <c r="M789" s="8">
        <f>[1]Data!M789</f>
        <v>1</v>
      </c>
      <c r="N789" s="8">
        <f>[1]Data!N789</f>
        <v>3.09278350515464E-2</v>
      </c>
      <c r="O789" s="8">
        <f>[1]Data!O789</f>
        <v>0</v>
      </c>
      <c r="P789" s="8">
        <f>[1]Data!P789</f>
        <v>1</v>
      </c>
      <c r="Q789" s="8">
        <f>[1]Data!Q789</f>
        <v>0</v>
      </c>
      <c r="R789" s="8">
        <f>[1]Data!R789</f>
        <v>0</v>
      </c>
      <c r="S789" s="8">
        <f>[1]Data!S789</f>
        <v>0</v>
      </c>
      <c r="T789">
        <f t="shared" si="60"/>
        <v>3.09278350515464E-2</v>
      </c>
      <c r="U789">
        <f t="shared" si="61"/>
        <v>0</v>
      </c>
      <c r="V789" s="4" t="str">
        <f t="shared" si="62"/>
        <v>0</v>
      </c>
      <c r="W789" s="4" t="str">
        <f t="shared" si="63"/>
        <v>3</v>
      </c>
      <c r="X789" s="4" t="str">
        <f t="shared" si="64"/>
        <v>0NON-HS3</v>
      </c>
      <c r="Y789">
        <f>VLOOKUP(X789,Sheet1!$J$5:$K$121,2,FALSE)</f>
        <v>0</v>
      </c>
    </row>
    <row r="790" spans="1:25" x14ac:dyDescent="0.25">
      <c r="A790" s="8">
        <f>[1]Data!A790</f>
        <v>464100</v>
      </c>
      <c r="B790" s="8">
        <f>[1]Data!B790</f>
        <v>3</v>
      </c>
      <c r="C790" s="8">
        <f>[1]Data!C790</f>
        <v>0</v>
      </c>
      <c r="D790" s="8">
        <f>[1]Data!D790</f>
        <v>5</v>
      </c>
      <c r="E790" s="8" t="str">
        <f>[1]Data!E790</f>
        <v>NON-HS</v>
      </c>
      <c r="F790" s="8" t="str">
        <f>[1]Data!F790</f>
        <v>San Marino</v>
      </c>
      <c r="G790" s="8">
        <f>[1]Data!G790</f>
        <v>0</v>
      </c>
      <c r="H790" s="8">
        <f>[1]Data!H790</f>
        <v>0</v>
      </c>
      <c r="I790" s="8">
        <f>[1]Data!I790</f>
        <v>0</v>
      </c>
      <c r="J790" s="8">
        <f>[1]Data!J790</f>
        <v>0</v>
      </c>
      <c r="K790" s="8">
        <f>[1]Data!K790</f>
        <v>0</v>
      </c>
      <c r="L790" s="8">
        <f>[1]Data!L790</f>
        <v>0</v>
      </c>
      <c r="M790" s="8">
        <f>[1]Data!M790</f>
        <v>0</v>
      </c>
      <c r="N790" s="8">
        <f>[1]Data!N790</f>
        <v>3.09278350515464E-2</v>
      </c>
      <c r="O790" s="8">
        <f>[1]Data!O790</f>
        <v>0</v>
      </c>
      <c r="P790" s="8">
        <f>[1]Data!P790</f>
        <v>1</v>
      </c>
      <c r="Q790" s="8">
        <f>[1]Data!Q790</f>
        <v>0</v>
      </c>
      <c r="R790" s="8">
        <f>[1]Data!R790</f>
        <v>0</v>
      </c>
      <c r="S790" s="8">
        <f>[1]Data!S790</f>
        <v>0</v>
      </c>
      <c r="T790">
        <f t="shared" si="60"/>
        <v>3.09278350515464E-2</v>
      </c>
      <c r="U790">
        <f t="shared" si="61"/>
        <v>0</v>
      </c>
      <c r="V790" s="4" t="str">
        <f t="shared" si="62"/>
        <v>0</v>
      </c>
      <c r="W790" s="4" t="str">
        <f t="shared" si="63"/>
        <v>3</v>
      </c>
      <c r="X790" s="4" t="str">
        <f t="shared" si="64"/>
        <v>0NON-HS3</v>
      </c>
      <c r="Y790">
        <f>VLOOKUP(X790,Sheet1!$J$5:$K$121,2,FALSE)</f>
        <v>0</v>
      </c>
    </row>
    <row r="791" spans="1:25" x14ac:dyDescent="0.25">
      <c r="A791" s="8">
        <f>[1]Data!A791</f>
        <v>481713</v>
      </c>
      <c r="B791" s="8">
        <f>[1]Data!B791</f>
        <v>3</v>
      </c>
      <c r="C791" s="8">
        <f>[1]Data!C791</f>
        <v>0</v>
      </c>
      <c r="D791" s="8">
        <f>[1]Data!D791</f>
        <v>1</v>
      </c>
      <c r="E791" s="8" t="str">
        <f>[1]Data!E791</f>
        <v>NON-HS</v>
      </c>
      <c r="F791" s="8" t="str">
        <f>[1]Data!F791</f>
        <v>Monterey Park</v>
      </c>
      <c r="G791" s="8">
        <f>[1]Data!G791</f>
        <v>0</v>
      </c>
      <c r="H791" s="8">
        <f>[1]Data!H791</f>
        <v>0</v>
      </c>
      <c r="I791" s="8">
        <f>[1]Data!I791</f>
        <v>2.0950000000000002</v>
      </c>
      <c r="J791" s="8">
        <f>[1]Data!J791</f>
        <v>1.9836996600000001</v>
      </c>
      <c r="K791" s="8">
        <f>[1]Data!K791</f>
        <v>1.9836996600000001</v>
      </c>
      <c r="L791" s="8">
        <f>[1]Data!L791</f>
        <v>0.11117260138240601</v>
      </c>
      <c r="M791" s="8">
        <f>[1]Data!M791</f>
        <v>2.09487226138241</v>
      </c>
      <c r="N791" s="8">
        <f>[1]Data!N791</f>
        <v>3.09278350515464E-2</v>
      </c>
      <c r="O791" s="8">
        <f>[1]Data!O791</f>
        <v>0</v>
      </c>
      <c r="P791" s="8">
        <f>[1]Data!P791</f>
        <v>1</v>
      </c>
      <c r="Q791" s="8">
        <f>[1]Data!Q791</f>
        <v>0</v>
      </c>
      <c r="R791" s="8">
        <f>[1]Data!R791</f>
        <v>0</v>
      </c>
      <c r="S791" s="8">
        <f>[1]Data!S791</f>
        <v>0</v>
      </c>
      <c r="T791">
        <f t="shared" si="60"/>
        <v>3.09278350515464E-2</v>
      </c>
      <c r="U791">
        <f t="shared" si="61"/>
        <v>0</v>
      </c>
      <c r="V791" s="4" t="str">
        <f t="shared" si="62"/>
        <v>0</v>
      </c>
      <c r="W791" s="4" t="str">
        <f t="shared" si="63"/>
        <v>3</v>
      </c>
      <c r="X791" s="4" t="str">
        <f t="shared" si="64"/>
        <v>0NON-HS3</v>
      </c>
      <c r="Y791">
        <f>VLOOKUP(X791,Sheet1!$J$5:$K$121,2,FALSE)</f>
        <v>0</v>
      </c>
    </row>
    <row r="792" spans="1:25" x14ac:dyDescent="0.25">
      <c r="A792" s="8">
        <f>[1]Data!A792</f>
        <v>480902</v>
      </c>
      <c r="B792" s="8">
        <f>[1]Data!B792</f>
        <v>3</v>
      </c>
      <c r="C792" s="8">
        <f>[1]Data!C792</f>
        <v>0</v>
      </c>
      <c r="D792" s="8">
        <f>[1]Data!D792</f>
        <v>5</v>
      </c>
      <c r="E792" s="8" t="str">
        <f>[1]Data!E792</f>
        <v>NON-HS</v>
      </c>
      <c r="F792" s="8" t="str">
        <f>[1]Data!F792</f>
        <v>Alhambra</v>
      </c>
      <c r="G792" s="8">
        <f>[1]Data!G792</f>
        <v>0</v>
      </c>
      <c r="H792" s="8">
        <f>[1]Data!H792</f>
        <v>0</v>
      </c>
      <c r="I792" s="8">
        <f>[1]Data!I792</f>
        <v>0</v>
      </c>
      <c r="J792" s="8">
        <f>[1]Data!J792</f>
        <v>0</v>
      </c>
      <c r="K792" s="8">
        <f>[1]Data!K792</f>
        <v>0</v>
      </c>
      <c r="L792" s="8">
        <f>[1]Data!L792</f>
        <v>0</v>
      </c>
      <c r="M792" s="8">
        <f>[1]Data!M792</f>
        <v>0</v>
      </c>
      <c r="N792" s="8">
        <f>[1]Data!N792</f>
        <v>3.09278350515464E-2</v>
      </c>
      <c r="O792" s="8">
        <f>[1]Data!O792</f>
        <v>0</v>
      </c>
      <c r="P792" s="8">
        <f>[1]Data!P792</f>
        <v>1</v>
      </c>
      <c r="Q792" s="8">
        <f>[1]Data!Q792</f>
        <v>0</v>
      </c>
      <c r="R792" s="8">
        <f>[1]Data!R792</f>
        <v>0</v>
      </c>
      <c r="S792" s="8">
        <f>[1]Data!S792</f>
        <v>0</v>
      </c>
      <c r="T792">
        <f t="shared" si="60"/>
        <v>3.09278350515464E-2</v>
      </c>
      <c r="U792">
        <f t="shared" si="61"/>
        <v>0</v>
      </c>
      <c r="V792" s="4" t="str">
        <f t="shared" si="62"/>
        <v>0</v>
      </c>
      <c r="W792" s="4" t="str">
        <f t="shared" si="63"/>
        <v>3</v>
      </c>
      <c r="X792" s="4" t="str">
        <f t="shared" si="64"/>
        <v>0NON-HS3</v>
      </c>
      <c r="Y792">
        <f>VLOOKUP(X792,Sheet1!$J$5:$K$121,2,FALSE)</f>
        <v>0</v>
      </c>
    </row>
    <row r="793" spans="1:25" x14ac:dyDescent="0.25">
      <c r="A793" s="8">
        <f>[1]Data!A793</f>
        <v>481604</v>
      </c>
      <c r="B793" s="8">
        <f>[1]Data!B793</f>
        <v>3</v>
      </c>
      <c r="C793" s="8">
        <f>[1]Data!C793</f>
        <v>0</v>
      </c>
      <c r="D793" s="8">
        <f>[1]Data!D793</f>
        <v>5</v>
      </c>
      <c r="E793" s="8" t="str">
        <f>[1]Data!E793</f>
        <v>NON-HS</v>
      </c>
      <c r="F793" s="8" t="str">
        <f>[1]Data!F793</f>
        <v>Alhambra</v>
      </c>
      <c r="G793" s="8">
        <f>[1]Data!G793</f>
        <v>0</v>
      </c>
      <c r="H793" s="8">
        <f>[1]Data!H793</f>
        <v>0</v>
      </c>
      <c r="I793" s="8">
        <f>[1]Data!I793</f>
        <v>0</v>
      </c>
      <c r="J793" s="8">
        <f>[1]Data!J793</f>
        <v>0</v>
      </c>
      <c r="K793" s="8">
        <f>[1]Data!K793</f>
        <v>0</v>
      </c>
      <c r="L793" s="8">
        <f>[1]Data!L793</f>
        <v>0</v>
      </c>
      <c r="M793" s="8">
        <f>[1]Data!M793</f>
        <v>0</v>
      </c>
      <c r="N793" s="8">
        <f>[1]Data!N793</f>
        <v>3.09278350515464E-2</v>
      </c>
      <c r="O793" s="8">
        <f>[1]Data!O793</f>
        <v>0</v>
      </c>
      <c r="P793" s="8">
        <f>[1]Data!P793</f>
        <v>1</v>
      </c>
      <c r="Q793" s="8">
        <f>[1]Data!Q793</f>
        <v>0</v>
      </c>
      <c r="R793" s="8">
        <f>[1]Data!R793</f>
        <v>0</v>
      </c>
      <c r="S793" s="8">
        <f>[1]Data!S793</f>
        <v>0</v>
      </c>
      <c r="T793">
        <f t="shared" si="60"/>
        <v>3.09278350515464E-2</v>
      </c>
      <c r="U793">
        <f t="shared" si="61"/>
        <v>0</v>
      </c>
      <c r="V793" s="4" t="str">
        <f t="shared" si="62"/>
        <v>0</v>
      </c>
      <c r="W793" s="4" t="str">
        <f t="shared" si="63"/>
        <v>3</v>
      </c>
      <c r="X793" s="4" t="str">
        <f t="shared" si="64"/>
        <v>0NON-HS3</v>
      </c>
      <c r="Y793">
        <f>VLOOKUP(X793,Sheet1!$J$5:$K$121,2,FALSE)</f>
        <v>0</v>
      </c>
    </row>
    <row r="794" spans="1:25" x14ac:dyDescent="0.25">
      <c r="A794" s="8">
        <f>[1]Data!A794</f>
        <v>482301</v>
      </c>
      <c r="B794" s="8">
        <f>[1]Data!B794</f>
        <v>3</v>
      </c>
      <c r="C794" s="8">
        <f>[1]Data!C794</f>
        <v>0</v>
      </c>
      <c r="D794" s="8">
        <f>[1]Data!D794</f>
        <v>5</v>
      </c>
      <c r="E794" s="8" t="str">
        <f>[1]Data!E794</f>
        <v>NON-HS</v>
      </c>
      <c r="F794" s="8" t="str">
        <f>[1]Data!F794</f>
        <v>San Gabriel</v>
      </c>
      <c r="G794" s="8">
        <f>[1]Data!G794</f>
        <v>0</v>
      </c>
      <c r="H794" s="8">
        <f>[1]Data!H794</f>
        <v>0</v>
      </c>
      <c r="I794" s="8">
        <f>[1]Data!I794</f>
        <v>0</v>
      </c>
      <c r="J794" s="8">
        <f>[1]Data!J794</f>
        <v>0</v>
      </c>
      <c r="K794" s="8">
        <f>[1]Data!K794</f>
        <v>0</v>
      </c>
      <c r="L794" s="8">
        <f>[1]Data!L794</f>
        <v>0</v>
      </c>
      <c r="M794" s="8">
        <f>[1]Data!M794</f>
        <v>0</v>
      </c>
      <c r="N794" s="8">
        <f>[1]Data!N794</f>
        <v>3.09278350515464E-2</v>
      </c>
      <c r="O794" s="8">
        <f>[1]Data!O794</f>
        <v>0</v>
      </c>
      <c r="P794" s="8">
        <f>[1]Data!P794</f>
        <v>1</v>
      </c>
      <c r="Q794" s="8">
        <f>[1]Data!Q794</f>
        <v>0</v>
      </c>
      <c r="R794" s="8">
        <f>[1]Data!R794</f>
        <v>0</v>
      </c>
      <c r="S794" s="8">
        <f>[1]Data!S794</f>
        <v>0</v>
      </c>
      <c r="T794">
        <f t="shared" si="60"/>
        <v>3.09278350515464E-2</v>
      </c>
      <c r="U794">
        <f t="shared" si="61"/>
        <v>0</v>
      </c>
      <c r="V794" s="4" t="str">
        <f t="shared" si="62"/>
        <v>0</v>
      </c>
      <c r="W794" s="4" t="str">
        <f t="shared" si="63"/>
        <v>3</v>
      </c>
      <c r="X794" s="4" t="str">
        <f t="shared" si="64"/>
        <v>0NON-HS3</v>
      </c>
      <c r="Y794">
        <f>VLOOKUP(X794,Sheet1!$J$5:$K$121,2,FALSE)</f>
        <v>0</v>
      </c>
    </row>
    <row r="795" spans="1:25" x14ac:dyDescent="0.25">
      <c r="A795" s="8">
        <f>[1]Data!A795</f>
        <v>482800</v>
      </c>
      <c r="B795" s="8">
        <f>[1]Data!B795</f>
        <v>3</v>
      </c>
      <c r="C795" s="8">
        <f>[1]Data!C795</f>
        <v>0</v>
      </c>
      <c r="D795" s="8">
        <f>[1]Data!D795</f>
        <v>1</v>
      </c>
      <c r="E795" s="8" t="str">
        <f>[1]Data!E795</f>
        <v>NON-HS</v>
      </c>
      <c r="F795" s="8" t="str">
        <f>[1]Data!F795</f>
        <v>Monterey Park</v>
      </c>
      <c r="G795" s="8">
        <f>[1]Data!G795</f>
        <v>0</v>
      </c>
      <c r="H795" s="8">
        <f>[1]Data!H795</f>
        <v>0</v>
      </c>
      <c r="I795" s="8">
        <f>[1]Data!I795</f>
        <v>0</v>
      </c>
      <c r="J795" s="8">
        <f>[1]Data!J795</f>
        <v>0</v>
      </c>
      <c r="K795" s="8">
        <f>[1]Data!K795</f>
        <v>0</v>
      </c>
      <c r="L795" s="8">
        <f>[1]Data!L795</f>
        <v>0</v>
      </c>
      <c r="M795" s="8">
        <f>[1]Data!M795</f>
        <v>0</v>
      </c>
      <c r="N795" s="8">
        <f>[1]Data!N795</f>
        <v>3.09278350515464E-2</v>
      </c>
      <c r="O795" s="8">
        <f>[1]Data!O795</f>
        <v>0</v>
      </c>
      <c r="P795" s="8">
        <f>[1]Data!P795</f>
        <v>1</v>
      </c>
      <c r="Q795" s="8">
        <f>[1]Data!Q795</f>
        <v>0</v>
      </c>
      <c r="R795" s="8">
        <f>[1]Data!R795</f>
        <v>0</v>
      </c>
      <c r="S795" s="8">
        <f>[1]Data!S795</f>
        <v>0</v>
      </c>
      <c r="T795">
        <f t="shared" si="60"/>
        <v>3.09278350515464E-2</v>
      </c>
      <c r="U795">
        <f t="shared" si="61"/>
        <v>0</v>
      </c>
      <c r="V795" s="4" t="str">
        <f t="shared" si="62"/>
        <v>0</v>
      </c>
      <c r="W795" s="4" t="str">
        <f t="shared" si="63"/>
        <v>3</v>
      </c>
      <c r="X795" s="4" t="str">
        <f t="shared" si="64"/>
        <v>0NON-HS3</v>
      </c>
      <c r="Y795">
        <f>VLOOKUP(X795,Sheet1!$J$5:$K$121,2,FALSE)</f>
        <v>0</v>
      </c>
    </row>
    <row r="796" spans="1:25" x14ac:dyDescent="0.25">
      <c r="A796" s="8">
        <f>[1]Data!A796</f>
        <v>403324</v>
      </c>
      <c r="B796" s="8">
        <f>[1]Data!B796</f>
        <v>3</v>
      </c>
      <c r="C796" s="8">
        <f>[1]Data!C796</f>
        <v>0</v>
      </c>
      <c r="D796" s="8">
        <f>[1]Data!D796</f>
        <v>4</v>
      </c>
      <c r="E796" s="8" t="str">
        <f>[1]Data!E796</f>
        <v>NON-HS</v>
      </c>
      <c r="F796" s="8" t="str">
        <f>[1]Data!F796</f>
        <v>Diamond Bar</v>
      </c>
      <c r="G796" s="8">
        <f>[1]Data!G796</f>
        <v>0</v>
      </c>
      <c r="H796" s="8">
        <f>[1]Data!H796</f>
        <v>0</v>
      </c>
      <c r="I796" s="8">
        <f>[1]Data!I796</f>
        <v>0</v>
      </c>
      <c r="J796" s="8">
        <f>[1]Data!J796</f>
        <v>0</v>
      </c>
      <c r="K796" s="8">
        <f>[1]Data!K796</f>
        <v>0</v>
      </c>
      <c r="L796" s="8">
        <f>[1]Data!L796</f>
        <v>0</v>
      </c>
      <c r="M796" s="8">
        <f>[1]Data!M796</f>
        <v>0</v>
      </c>
      <c r="N796" s="8">
        <f>[1]Data!N796</f>
        <v>3.09278350515464E-2</v>
      </c>
      <c r="O796" s="8">
        <f>[1]Data!O796</f>
        <v>0</v>
      </c>
      <c r="P796" s="8">
        <f>[1]Data!P796</f>
        <v>1</v>
      </c>
      <c r="Q796" s="8">
        <f>[1]Data!Q796</f>
        <v>0</v>
      </c>
      <c r="R796" s="8">
        <f>[1]Data!R796</f>
        <v>0</v>
      </c>
      <c r="S796" s="8">
        <f>[1]Data!S796</f>
        <v>0</v>
      </c>
      <c r="T796">
        <f t="shared" si="60"/>
        <v>3.09278350515464E-2</v>
      </c>
      <c r="U796">
        <f t="shared" si="61"/>
        <v>0</v>
      </c>
      <c r="V796" s="4" t="str">
        <f t="shared" si="62"/>
        <v>0</v>
      </c>
      <c r="W796" s="4" t="str">
        <f t="shared" si="63"/>
        <v>3</v>
      </c>
      <c r="X796" s="4" t="str">
        <f t="shared" si="64"/>
        <v>0NON-HS3</v>
      </c>
      <c r="Y796">
        <f>VLOOKUP(X796,Sheet1!$J$5:$K$121,2,FALSE)</f>
        <v>0</v>
      </c>
    </row>
    <row r="797" spans="1:25" x14ac:dyDescent="0.25">
      <c r="A797" s="8">
        <f>[1]Data!A797</f>
        <v>481605</v>
      </c>
      <c r="B797" s="8">
        <f>[1]Data!B797</f>
        <v>3</v>
      </c>
      <c r="C797" s="8">
        <f>[1]Data!C797</f>
        <v>0</v>
      </c>
      <c r="D797" s="8">
        <f>[1]Data!D797</f>
        <v>5</v>
      </c>
      <c r="E797" s="8" t="str">
        <f>[1]Data!E797</f>
        <v>NON-HS</v>
      </c>
      <c r="F797" s="8" t="str">
        <f>[1]Data!F797</f>
        <v>Alhambra</v>
      </c>
      <c r="G797" s="8">
        <f>[1]Data!G797</f>
        <v>0</v>
      </c>
      <c r="H797" s="8">
        <f>[1]Data!H797</f>
        <v>0</v>
      </c>
      <c r="I797" s="8">
        <f>[1]Data!I797</f>
        <v>0</v>
      </c>
      <c r="J797" s="8">
        <f>[1]Data!J797</f>
        <v>0</v>
      </c>
      <c r="K797" s="8">
        <f>[1]Data!K797</f>
        <v>0</v>
      </c>
      <c r="L797" s="8">
        <f>[1]Data!L797</f>
        <v>0</v>
      </c>
      <c r="M797" s="8">
        <f>[1]Data!M797</f>
        <v>0</v>
      </c>
      <c r="N797" s="8">
        <f>[1]Data!N797</f>
        <v>3.09278350515464E-2</v>
      </c>
      <c r="O797" s="8">
        <f>[1]Data!O797</f>
        <v>0</v>
      </c>
      <c r="P797" s="8">
        <f>[1]Data!P797</f>
        <v>1</v>
      </c>
      <c r="Q797" s="8">
        <f>[1]Data!Q797</f>
        <v>0</v>
      </c>
      <c r="R797" s="8">
        <f>[1]Data!R797</f>
        <v>0</v>
      </c>
      <c r="S797" s="8">
        <f>[1]Data!S797</f>
        <v>0</v>
      </c>
      <c r="T797">
        <f t="shared" si="60"/>
        <v>3.09278350515464E-2</v>
      </c>
      <c r="U797">
        <f t="shared" si="61"/>
        <v>0</v>
      </c>
      <c r="V797" s="4" t="str">
        <f t="shared" si="62"/>
        <v>0</v>
      </c>
      <c r="W797" s="4" t="str">
        <f t="shared" si="63"/>
        <v>3</v>
      </c>
      <c r="X797" s="4" t="str">
        <f t="shared" si="64"/>
        <v>0NON-HS3</v>
      </c>
      <c r="Y797">
        <f>VLOOKUP(X797,Sheet1!$J$5:$K$121,2,FALSE)</f>
        <v>0</v>
      </c>
    </row>
    <row r="798" spans="1:25" x14ac:dyDescent="0.25">
      <c r="A798" s="8">
        <f>[1]Data!A798</f>
        <v>402703</v>
      </c>
      <c r="B798" s="8">
        <f>[1]Data!B798</f>
        <v>3</v>
      </c>
      <c r="C798" s="8">
        <f>[1]Data!C798</f>
        <v>0</v>
      </c>
      <c r="D798" s="8">
        <f>[1]Data!D798</f>
        <v>1</v>
      </c>
      <c r="E798" s="8" t="str">
        <f>[1]Data!E798</f>
        <v>NON-HS</v>
      </c>
      <c r="F798" s="8" t="str">
        <f>[1]Data!F798</f>
        <v>Pomona</v>
      </c>
      <c r="G798" s="8">
        <f>[1]Data!G798</f>
        <v>0</v>
      </c>
      <c r="H798" s="8">
        <f>[1]Data!H798</f>
        <v>0</v>
      </c>
      <c r="I798" s="8">
        <f>[1]Data!I798</f>
        <v>0</v>
      </c>
      <c r="J798" s="8">
        <f>[1]Data!J798</f>
        <v>0</v>
      </c>
      <c r="K798" s="8">
        <f>[1]Data!K798</f>
        <v>0</v>
      </c>
      <c r="L798" s="8">
        <f>[1]Data!L798</f>
        <v>0</v>
      </c>
      <c r="M798" s="8">
        <f>[1]Data!M798</f>
        <v>0</v>
      </c>
      <c r="N798" s="8">
        <f>[1]Data!N798</f>
        <v>3.09278350515464E-2</v>
      </c>
      <c r="O798" s="8">
        <f>[1]Data!O798</f>
        <v>0</v>
      </c>
      <c r="P798" s="8">
        <f>[1]Data!P798</f>
        <v>1</v>
      </c>
      <c r="Q798" s="8">
        <f>[1]Data!Q798</f>
        <v>0</v>
      </c>
      <c r="R798" s="8">
        <f>[1]Data!R798</f>
        <v>0</v>
      </c>
      <c r="S798" s="8">
        <f>[1]Data!S798</f>
        <v>0</v>
      </c>
      <c r="T798">
        <f t="shared" si="60"/>
        <v>3.09278350515464E-2</v>
      </c>
      <c r="U798">
        <f t="shared" si="61"/>
        <v>0</v>
      </c>
      <c r="V798" s="4" t="str">
        <f t="shared" si="62"/>
        <v>0</v>
      </c>
      <c r="W798" s="4" t="str">
        <f t="shared" si="63"/>
        <v>3</v>
      </c>
      <c r="X798" s="4" t="str">
        <f t="shared" si="64"/>
        <v>0NON-HS3</v>
      </c>
      <c r="Y798">
        <f>VLOOKUP(X798,Sheet1!$J$5:$K$121,2,FALSE)</f>
        <v>0</v>
      </c>
    </row>
    <row r="799" spans="1:25" x14ac:dyDescent="0.25">
      <c r="A799" s="8">
        <f>[1]Data!A799</f>
        <v>481603</v>
      </c>
      <c r="B799" s="8">
        <f>[1]Data!B799</f>
        <v>3</v>
      </c>
      <c r="C799" s="8">
        <f>[1]Data!C799</f>
        <v>0</v>
      </c>
      <c r="D799" s="8">
        <f>[1]Data!D799</f>
        <v>5</v>
      </c>
      <c r="E799" s="8" t="str">
        <f>[1]Data!E799</f>
        <v>NON-HS</v>
      </c>
      <c r="F799" s="8" t="str">
        <f>[1]Data!F799</f>
        <v>Alhambra</v>
      </c>
      <c r="G799" s="8">
        <f>[1]Data!G799</f>
        <v>0</v>
      </c>
      <c r="H799" s="8">
        <f>[1]Data!H799</f>
        <v>0</v>
      </c>
      <c r="I799" s="8">
        <f>[1]Data!I799</f>
        <v>0</v>
      </c>
      <c r="J799" s="8">
        <f>[1]Data!J799</f>
        <v>0</v>
      </c>
      <c r="K799" s="8">
        <f>[1]Data!K799</f>
        <v>0</v>
      </c>
      <c r="L799" s="8">
        <f>[1]Data!L799</f>
        <v>0</v>
      </c>
      <c r="M799" s="8">
        <f>[1]Data!M799</f>
        <v>0</v>
      </c>
      <c r="N799" s="8">
        <f>[1]Data!N799</f>
        <v>3.09278350515464E-2</v>
      </c>
      <c r="O799" s="8">
        <f>[1]Data!O799</f>
        <v>0</v>
      </c>
      <c r="P799" s="8">
        <f>[1]Data!P799</f>
        <v>1</v>
      </c>
      <c r="Q799" s="8">
        <f>[1]Data!Q799</f>
        <v>0</v>
      </c>
      <c r="R799" s="8">
        <f>[1]Data!R799</f>
        <v>0</v>
      </c>
      <c r="S799" s="8">
        <f>[1]Data!S799</f>
        <v>0</v>
      </c>
      <c r="T799">
        <f t="shared" si="60"/>
        <v>3.09278350515464E-2</v>
      </c>
      <c r="U799">
        <f t="shared" si="61"/>
        <v>0</v>
      </c>
      <c r="V799" s="4" t="str">
        <f t="shared" si="62"/>
        <v>0</v>
      </c>
      <c r="W799" s="4" t="str">
        <f t="shared" si="63"/>
        <v>3</v>
      </c>
      <c r="X799" s="4" t="str">
        <f t="shared" si="64"/>
        <v>0NON-HS3</v>
      </c>
      <c r="Y799">
        <f>VLOOKUP(X799,Sheet1!$J$5:$K$121,2,FALSE)</f>
        <v>0</v>
      </c>
    </row>
    <row r="800" spans="1:25" x14ac:dyDescent="0.25">
      <c r="A800" s="8">
        <f>[1]Data!A800</f>
        <v>400207</v>
      </c>
      <c r="B800" s="8">
        <f>[1]Data!B800</f>
        <v>3</v>
      </c>
      <c r="C800" s="8">
        <f>[1]Data!C800</f>
        <v>0</v>
      </c>
      <c r="D800" s="8">
        <f>[1]Data!D800</f>
        <v>5</v>
      </c>
      <c r="E800" s="8" t="str">
        <f>[1]Data!E800</f>
        <v>NON-HS</v>
      </c>
      <c r="F800" s="8" t="str">
        <f>[1]Data!F800</f>
        <v>La Verne</v>
      </c>
      <c r="G800" s="8">
        <f>[1]Data!G800</f>
        <v>0</v>
      </c>
      <c r="H800" s="8">
        <f>[1]Data!H800</f>
        <v>0</v>
      </c>
      <c r="I800" s="8">
        <f>[1]Data!I800</f>
        <v>1</v>
      </c>
      <c r="J800" s="8">
        <f>[1]Data!J800</f>
        <v>0</v>
      </c>
      <c r="K800" s="8">
        <f>[1]Data!K800</f>
        <v>1</v>
      </c>
      <c r="L800" s="8">
        <f>[1]Data!L800</f>
        <v>0</v>
      </c>
      <c r="M800" s="8">
        <f>[1]Data!M800</f>
        <v>1</v>
      </c>
      <c r="N800" s="8">
        <f>[1]Data!N800</f>
        <v>3.09278350515464E-2</v>
      </c>
      <c r="O800" s="8">
        <f>[1]Data!O800</f>
        <v>0</v>
      </c>
      <c r="P800" s="8">
        <f>[1]Data!P800</f>
        <v>1</v>
      </c>
      <c r="Q800" s="8">
        <f>[1]Data!Q800</f>
        <v>0</v>
      </c>
      <c r="R800" s="8">
        <f>[1]Data!R800</f>
        <v>0</v>
      </c>
      <c r="S800" s="8">
        <f>[1]Data!S800</f>
        <v>0</v>
      </c>
      <c r="T800">
        <f t="shared" si="60"/>
        <v>3.09278350515464E-2</v>
      </c>
      <c r="U800">
        <f t="shared" si="61"/>
        <v>0</v>
      </c>
      <c r="V800" s="4" t="str">
        <f t="shared" si="62"/>
        <v>0</v>
      </c>
      <c r="W800" s="4" t="str">
        <f t="shared" si="63"/>
        <v>3</v>
      </c>
      <c r="X800" s="4" t="str">
        <f t="shared" si="64"/>
        <v>0NON-HS3</v>
      </c>
      <c r="Y800">
        <f>VLOOKUP(X800,Sheet1!$J$5:$K$121,2,FALSE)</f>
        <v>0</v>
      </c>
    </row>
    <row r="801" spans="1:25" x14ac:dyDescent="0.25">
      <c r="A801" s="8">
        <f>[1]Data!A801</f>
        <v>403408</v>
      </c>
      <c r="B801" s="8">
        <f>[1]Data!B801</f>
        <v>3</v>
      </c>
      <c r="C801" s="8">
        <f>[1]Data!C801</f>
        <v>0</v>
      </c>
      <c r="D801" s="8">
        <f>[1]Data!D801</f>
        <v>1</v>
      </c>
      <c r="E801" s="8" t="str">
        <f>[1]Data!E801</f>
        <v>NON-HS</v>
      </c>
      <c r="F801" s="8" t="str">
        <f>[1]Data!F801</f>
        <v>Walnut</v>
      </c>
      <c r="G801" s="8">
        <f>[1]Data!G801</f>
        <v>0</v>
      </c>
      <c r="H801" s="8">
        <f>[1]Data!H801</f>
        <v>0</v>
      </c>
      <c r="I801" s="8">
        <f>[1]Data!I801</f>
        <v>1</v>
      </c>
      <c r="J801" s="8">
        <f>[1]Data!J801</f>
        <v>0</v>
      </c>
      <c r="K801" s="8">
        <f>[1]Data!K801</f>
        <v>1</v>
      </c>
      <c r="L801" s="8">
        <f>[1]Data!L801</f>
        <v>0</v>
      </c>
      <c r="M801" s="8">
        <f>[1]Data!M801</f>
        <v>1</v>
      </c>
      <c r="N801" s="8">
        <f>[1]Data!N801</f>
        <v>3.09278350515464E-2</v>
      </c>
      <c r="O801" s="8">
        <f>[1]Data!O801</f>
        <v>0</v>
      </c>
      <c r="P801" s="8">
        <f>[1]Data!P801</f>
        <v>1</v>
      </c>
      <c r="Q801" s="8">
        <f>[1]Data!Q801</f>
        <v>0</v>
      </c>
      <c r="R801" s="8">
        <f>[1]Data!R801</f>
        <v>0</v>
      </c>
      <c r="S801" s="8">
        <f>[1]Data!S801</f>
        <v>0</v>
      </c>
      <c r="T801">
        <f t="shared" si="60"/>
        <v>3.09278350515464E-2</v>
      </c>
      <c r="U801">
        <f t="shared" si="61"/>
        <v>0</v>
      </c>
      <c r="V801" s="4" t="str">
        <f t="shared" si="62"/>
        <v>0</v>
      </c>
      <c r="W801" s="4" t="str">
        <f t="shared" si="63"/>
        <v>3</v>
      </c>
      <c r="X801" s="4" t="str">
        <f t="shared" si="64"/>
        <v>0NON-HS3</v>
      </c>
      <c r="Y801">
        <f>VLOOKUP(X801,Sheet1!$J$5:$K$121,2,FALSE)</f>
        <v>0</v>
      </c>
    </row>
    <row r="802" spans="1:25" x14ac:dyDescent="0.25">
      <c r="A802" s="8">
        <f>[1]Data!A802</f>
        <v>403304</v>
      </c>
      <c r="B802" s="8">
        <f>[1]Data!B802</f>
        <v>3</v>
      </c>
      <c r="C802" s="8">
        <f>[1]Data!C802</f>
        <v>0</v>
      </c>
      <c r="D802" s="8">
        <f>[1]Data!D802</f>
        <v>4</v>
      </c>
      <c r="E802" s="8" t="str">
        <f>[1]Data!E802</f>
        <v>NON-HS</v>
      </c>
      <c r="F802" s="8" t="str">
        <f>[1]Data!F802</f>
        <v>Diamond Bar</v>
      </c>
      <c r="G802" s="8">
        <f>[1]Data!G802</f>
        <v>0</v>
      </c>
      <c r="H802" s="8">
        <f>[1]Data!H802</f>
        <v>0</v>
      </c>
      <c r="I802" s="8">
        <f>[1]Data!I802</f>
        <v>0</v>
      </c>
      <c r="J802" s="8">
        <f>[1]Data!J802</f>
        <v>0</v>
      </c>
      <c r="K802" s="8">
        <f>[1]Data!K802</f>
        <v>0</v>
      </c>
      <c r="L802" s="8">
        <f>[1]Data!L802</f>
        <v>0</v>
      </c>
      <c r="M802" s="8">
        <f>[1]Data!M802</f>
        <v>0</v>
      </c>
      <c r="N802" s="8">
        <f>[1]Data!N802</f>
        <v>3.09278350515464E-2</v>
      </c>
      <c r="O802" s="8">
        <f>[1]Data!O802</f>
        <v>0</v>
      </c>
      <c r="P802" s="8">
        <f>[1]Data!P802</f>
        <v>1</v>
      </c>
      <c r="Q802" s="8">
        <f>[1]Data!Q802</f>
        <v>0</v>
      </c>
      <c r="R802" s="8">
        <f>[1]Data!R802</f>
        <v>0</v>
      </c>
      <c r="S802" s="8">
        <f>[1]Data!S802</f>
        <v>0</v>
      </c>
      <c r="T802">
        <f t="shared" si="60"/>
        <v>3.09278350515464E-2</v>
      </c>
      <c r="U802">
        <f t="shared" si="61"/>
        <v>0</v>
      </c>
      <c r="V802" s="4" t="str">
        <f t="shared" si="62"/>
        <v>0</v>
      </c>
      <c r="W802" s="4" t="str">
        <f t="shared" si="63"/>
        <v>3</v>
      </c>
      <c r="X802" s="4" t="str">
        <f t="shared" si="64"/>
        <v>0NON-HS3</v>
      </c>
      <c r="Y802">
        <f>VLOOKUP(X802,Sheet1!$J$5:$K$121,2,FALSE)</f>
        <v>0</v>
      </c>
    </row>
    <row r="803" spans="1:25" x14ac:dyDescent="0.25">
      <c r="A803" s="8">
        <f>[1]Data!A803</f>
        <v>430803</v>
      </c>
      <c r="B803" s="8">
        <f>[1]Data!B803</f>
        <v>3</v>
      </c>
      <c r="C803" s="8">
        <f>[1]Data!C803</f>
        <v>0</v>
      </c>
      <c r="D803" s="8">
        <f>[1]Data!D803</f>
        <v>5</v>
      </c>
      <c r="E803" s="8" t="str">
        <f>[1]Data!E803</f>
        <v>NON-HS</v>
      </c>
      <c r="F803" s="8" t="str">
        <f>[1]Data!F803</f>
        <v>Arcadia</v>
      </c>
      <c r="G803" s="8">
        <f>[1]Data!G803</f>
        <v>0</v>
      </c>
      <c r="H803" s="8">
        <f>[1]Data!H803</f>
        <v>0</v>
      </c>
      <c r="I803" s="8">
        <f>[1]Data!I803</f>
        <v>0</v>
      </c>
      <c r="J803" s="8">
        <f>[1]Data!J803</f>
        <v>0</v>
      </c>
      <c r="K803" s="8">
        <f>[1]Data!K803</f>
        <v>0</v>
      </c>
      <c r="L803" s="8">
        <f>[1]Data!L803</f>
        <v>0</v>
      </c>
      <c r="M803" s="8">
        <f>[1]Data!M803</f>
        <v>0</v>
      </c>
      <c r="N803" s="8">
        <f>[1]Data!N803</f>
        <v>3.09278350515464E-2</v>
      </c>
      <c r="O803" s="8">
        <f>[1]Data!O803</f>
        <v>0</v>
      </c>
      <c r="P803" s="8">
        <f>[1]Data!P803</f>
        <v>1</v>
      </c>
      <c r="Q803" s="8">
        <f>[1]Data!Q803</f>
        <v>0</v>
      </c>
      <c r="R803" s="8">
        <f>[1]Data!R803</f>
        <v>0</v>
      </c>
      <c r="S803" s="8">
        <f>[1]Data!S803</f>
        <v>0</v>
      </c>
      <c r="T803">
        <f t="shared" si="60"/>
        <v>3.09278350515464E-2</v>
      </c>
      <c r="U803">
        <f t="shared" si="61"/>
        <v>0</v>
      </c>
      <c r="V803" s="4" t="str">
        <f t="shared" si="62"/>
        <v>0</v>
      </c>
      <c r="W803" s="4" t="str">
        <f t="shared" si="63"/>
        <v>3</v>
      </c>
      <c r="X803" s="4" t="str">
        <f t="shared" si="64"/>
        <v>0NON-HS3</v>
      </c>
      <c r="Y803">
        <f>VLOOKUP(X803,Sheet1!$J$5:$K$121,2,FALSE)</f>
        <v>0</v>
      </c>
    </row>
    <row r="804" spans="1:25" x14ac:dyDescent="0.25">
      <c r="A804" s="8">
        <f>[1]Data!A804</f>
        <v>432602</v>
      </c>
      <c r="B804" s="8">
        <f>[1]Data!B804</f>
        <v>3</v>
      </c>
      <c r="C804" s="8">
        <f>[1]Data!C804</f>
        <v>0</v>
      </c>
      <c r="D804" s="8">
        <f>[1]Data!D804</f>
        <v>1</v>
      </c>
      <c r="E804" s="8" t="str">
        <f>[1]Data!E804</f>
        <v>NON-HS</v>
      </c>
      <c r="F804" s="8" t="str">
        <f>[1]Data!F804</f>
        <v>El Monte</v>
      </c>
      <c r="G804" s="8">
        <f>[1]Data!G804</f>
        <v>0</v>
      </c>
      <c r="H804" s="8">
        <f>[1]Data!H804</f>
        <v>0</v>
      </c>
      <c r="I804" s="8">
        <f>[1]Data!I804</f>
        <v>0</v>
      </c>
      <c r="J804" s="8">
        <f>[1]Data!J804</f>
        <v>0</v>
      </c>
      <c r="K804" s="8">
        <f>[1]Data!K804</f>
        <v>0</v>
      </c>
      <c r="L804" s="8">
        <f>[1]Data!L804</f>
        <v>0</v>
      </c>
      <c r="M804" s="8">
        <f>[1]Data!M804</f>
        <v>0</v>
      </c>
      <c r="N804" s="8">
        <f>[1]Data!N804</f>
        <v>3.09278350515464E-2</v>
      </c>
      <c r="O804" s="8">
        <f>[1]Data!O804</f>
        <v>0</v>
      </c>
      <c r="P804" s="8">
        <f>[1]Data!P804</f>
        <v>1</v>
      </c>
      <c r="Q804" s="8">
        <f>[1]Data!Q804</f>
        <v>0</v>
      </c>
      <c r="R804" s="8">
        <f>[1]Data!R804</f>
        <v>0</v>
      </c>
      <c r="S804" s="8">
        <f>[1]Data!S804</f>
        <v>0</v>
      </c>
      <c r="T804">
        <f t="shared" si="60"/>
        <v>3.09278350515464E-2</v>
      </c>
      <c r="U804">
        <f t="shared" si="61"/>
        <v>0</v>
      </c>
      <c r="V804" s="4" t="str">
        <f t="shared" si="62"/>
        <v>0</v>
      </c>
      <c r="W804" s="4" t="str">
        <f t="shared" si="63"/>
        <v>3</v>
      </c>
      <c r="X804" s="4" t="str">
        <f t="shared" si="64"/>
        <v>0NON-HS3</v>
      </c>
      <c r="Y804">
        <f>VLOOKUP(X804,Sheet1!$J$5:$K$121,2,FALSE)</f>
        <v>0</v>
      </c>
    </row>
    <row r="805" spans="1:25" x14ac:dyDescent="0.25">
      <c r="A805" s="8">
        <f>[1]Data!A805</f>
        <v>400302</v>
      </c>
      <c r="B805" s="8">
        <f>[1]Data!B805</f>
        <v>3</v>
      </c>
      <c r="C805" s="8">
        <f>[1]Data!C805</f>
        <v>0</v>
      </c>
      <c r="D805" s="8">
        <f>[1]Data!D805</f>
        <v>5</v>
      </c>
      <c r="E805" s="8" t="str">
        <f>[1]Data!E805</f>
        <v>NON-HS</v>
      </c>
      <c r="F805" s="8" t="str">
        <f>[1]Data!F805</f>
        <v>La Verne</v>
      </c>
      <c r="G805" s="8">
        <f>[1]Data!G805</f>
        <v>0</v>
      </c>
      <c r="H805" s="8">
        <f>[1]Data!H805</f>
        <v>0</v>
      </c>
      <c r="I805" s="8">
        <f>[1]Data!I805</f>
        <v>0</v>
      </c>
      <c r="J805" s="8">
        <f>[1]Data!J805</f>
        <v>0</v>
      </c>
      <c r="K805" s="8">
        <f>[1]Data!K805</f>
        <v>0</v>
      </c>
      <c r="L805" s="8">
        <f>[1]Data!L805</f>
        <v>0</v>
      </c>
      <c r="M805" s="8">
        <f>[1]Data!M805</f>
        <v>0</v>
      </c>
      <c r="N805" s="8">
        <f>[1]Data!N805</f>
        <v>3.09278350515464E-2</v>
      </c>
      <c r="O805" s="8">
        <f>[1]Data!O805</f>
        <v>0</v>
      </c>
      <c r="P805" s="8">
        <f>[1]Data!P805</f>
        <v>1</v>
      </c>
      <c r="Q805" s="8">
        <f>[1]Data!Q805</f>
        <v>0</v>
      </c>
      <c r="R805" s="8">
        <f>[1]Data!R805</f>
        <v>0</v>
      </c>
      <c r="S805" s="8">
        <f>[1]Data!S805</f>
        <v>0</v>
      </c>
      <c r="T805">
        <f t="shared" si="60"/>
        <v>3.09278350515464E-2</v>
      </c>
      <c r="U805">
        <f t="shared" si="61"/>
        <v>0</v>
      </c>
      <c r="V805" s="4" t="str">
        <f t="shared" si="62"/>
        <v>0</v>
      </c>
      <c r="W805" s="4" t="str">
        <f t="shared" si="63"/>
        <v>3</v>
      </c>
      <c r="X805" s="4" t="str">
        <f t="shared" si="64"/>
        <v>0NON-HS3</v>
      </c>
      <c r="Y805">
        <f>VLOOKUP(X805,Sheet1!$J$5:$K$121,2,FALSE)</f>
        <v>0</v>
      </c>
    </row>
    <row r="806" spans="1:25" x14ac:dyDescent="0.25">
      <c r="A806" s="8">
        <f>[1]Data!A806</f>
        <v>402804</v>
      </c>
      <c r="B806" s="8">
        <f>[1]Data!B806</f>
        <v>3</v>
      </c>
      <c r="C806" s="8">
        <f>[1]Data!C806</f>
        <v>0</v>
      </c>
      <c r="D806" s="8">
        <f>[1]Data!D806</f>
        <v>1</v>
      </c>
      <c r="E806" s="8" t="str">
        <f>[1]Data!E806</f>
        <v>NON-HS</v>
      </c>
      <c r="F806" s="8" t="str">
        <f>[1]Data!F806</f>
        <v>Pomona</v>
      </c>
      <c r="G806" s="8">
        <f>[1]Data!G806</f>
        <v>0</v>
      </c>
      <c r="H806" s="8">
        <f>[1]Data!H806</f>
        <v>0</v>
      </c>
      <c r="I806" s="8">
        <f>[1]Data!I806</f>
        <v>0</v>
      </c>
      <c r="J806" s="8">
        <f>[1]Data!J806</f>
        <v>0</v>
      </c>
      <c r="K806" s="8">
        <f>[1]Data!K806</f>
        <v>0</v>
      </c>
      <c r="L806" s="8">
        <f>[1]Data!L806</f>
        <v>0</v>
      </c>
      <c r="M806" s="8">
        <f>[1]Data!M806</f>
        <v>0</v>
      </c>
      <c r="N806" s="8">
        <f>[1]Data!N806</f>
        <v>3.09278350515464E-2</v>
      </c>
      <c r="O806" s="8">
        <f>[1]Data!O806</f>
        <v>0</v>
      </c>
      <c r="P806" s="8">
        <f>[1]Data!P806</f>
        <v>1</v>
      </c>
      <c r="Q806" s="8">
        <f>[1]Data!Q806</f>
        <v>0</v>
      </c>
      <c r="R806" s="8">
        <f>[1]Data!R806</f>
        <v>0</v>
      </c>
      <c r="S806" s="8">
        <f>[1]Data!S806</f>
        <v>0</v>
      </c>
      <c r="T806">
        <f t="shared" si="60"/>
        <v>3.09278350515464E-2</v>
      </c>
      <c r="U806">
        <f t="shared" si="61"/>
        <v>0</v>
      </c>
      <c r="V806" s="4" t="str">
        <f t="shared" si="62"/>
        <v>0</v>
      </c>
      <c r="W806" s="4" t="str">
        <f t="shared" si="63"/>
        <v>3</v>
      </c>
      <c r="X806" s="4" t="str">
        <f t="shared" si="64"/>
        <v>0NON-HS3</v>
      </c>
      <c r="Y806">
        <f>VLOOKUP(X806,Sheet1!$J$5:$K$121,2,FALSE)</f>
        <v>0</v>
      </c>
    </row>
    <row r="807" spans="1:25" x14ac:dyDescent="0.25">
      <c r="A807" s="8">
        <f>[1]Data!A807</f>
        <v>480002</v>
      </c>
      <c r="B807" s="8">
        <f>[1]Data!B807</f>
        <v>3</v>
      </c>
      <c r="C807" s="8">
        <f>[1]Data!C807</f>
        <v>0</v>
      </c>
      <c r="D807" s="8">
        <f>[1]Data!D807</f>
        <v>5</v>
      </c>
      <c r="E807" s="8" t="str">
        <f>[1]Data!E807</f>
        <v>NON-HS</v>
      </c>
      <c r="F807" s="8" t="str">
        <f>[1]Data!F807</f>
        <v>East San Gabriel</v>
      </c>
      <c r="G807" s="8">
        <f>[1]Data!G807</f>
        <v>0</v>
      </c>
      <c r="H807" s="8">
        <f>[1]Data!H807</f>
        <v>0</v>
      </c>
      <c r="I807" s="8">
        <f>[1]Data!I807</f>
        <v>0</v>
      </c>
      <c r="J807" s="8">
        <f>[1]Data!J807</f>
        <v>0</v>
      </c>
      <c r="K807" s="8">
        <f>[1]Data!K807</f>
        <v>0</v>
      </c>
      <c r="L807" s="8">
        <f>[1]Data!L807</f>
        <v>0</v>
      </c>
      <c r="M807" s="8">
        <f>[1]Data!M807</f>
        <v>0</v>
      </c>
      <c r="N807" s="8">
        <f>[1]Data!N807</f>
        <v>3.09278350515464E-2</v>
      </c>
      <c r="O807" s="8">
        <f>[1]Data!O807</f>
        <v>0</v>
      </c>
      <c r="P807" s="8">
        <f>[1]Data!P807</f>
        <v>1</v>
      </c>
      <c r="Q807" s="8">
        <f>[1]Data!Q807</f>
        <v>0</v>
      </c>
      <c r="R807" s="8">
        <f>[1]Data!R807</f>
        <v>0</v>
      </c>
      <c r="S807" s="8">
        <f>[1]Data!S807</f>
        <v>0</v>
      </c>
      <c r="T807">
        <f t="shared" si="60"/>
        <v>3.09278350515464E-2</v>
      </c>
      <c r="U807">
        <f t="shared" si="61"/>
        <v>0</v>
      </c>
      <c r="V807" s="4" t="str">
        <f t="shared" si="62"/>
        <v>0</v>
      </c>
      <c r="W807" s="4" t="str">
        <f t="shared" si="63"/>
        <v>3</v>
      </c>
      <c r="X807" s="4" t="str">
        <f t="shared" si="64"/>
        <v>0NON-HS3</v>
      </c>
      <c r="Y807">
        <f>VLOOKUP(X807,Sheet1!$J$5:$K$121,2,FALSE)</f>
        <v>0</v>
      </c>
    </row>
    <row r="808" spans="1:25" x14ac:dyDescent="0.25">
      <c r="A808" s="8">
        <f>[1]Data!A808</f>
        <v>431700</v>
      </c>
      <c r="B808" s="8">
        <f>[1]Data!B808</f>
        <v>3</v>
      </c>
      <c r="C808" s="8">
        <f>[1]Data!C808</f>
        <v>0</v>
      </c>
      <c r="D808" s="8">
        <f>[1]Data!D808</f>
        <v>5</v>
      </c>
      <c r="E808" s="8" t="str">
        <f>[1]Data!E808</f>
        <v>NON-HS</v>
      </c>
      <c r="F808" s="8" t="str">
        <f>[1]Data!F808</f>
        <v>Arcadia</v>
      </c>
      <c r="G808" s="8">
        <f>[1]Data!G808</f>
        <v>0</v>
      </c>
      <c r="H808" s="8">
        <f>[1]Data!H808</f>
        <v>0</v>
      </c>
      <c r="I808" s="8">
        <f>[1]Data!I808</f>
        <v>0</v>
      </c>
      <c r="J808" s="8">
        <f>[1]Data!J808</f>
        <v>0</v>
      </c>
      <c r="K808" s="8">
        <f>[1]Data!K808</f>
        <v>0</v>
      </c>
      <c r="L808" s="8">
        <f>[1]Data!L808</f>
        <v>0</v>
      </c>
      <c r="M808" s="8">
        <f>[1]Data!M808</f>
        <v>0</v>
      </c>
      <c r="N808" s="8">
        <f>[1]Data!N808</f>
        <v>3.09278350515464E-2</v>
      </c>
      <c r="O808" s="8">
        <f>[1]Data!O808</f>
        <v>0</v>
      </c>
      <c r="P808" s="8">
        <f>[1]Data!P808</f>
        <v>1</v>
      </c>
      <c r="Q808" s="8">
        <f>[1]Data!Q808</f>
        <v>0</v>
      </c>
      <c r="R808" s="8">
        <f>[1]Data!R808</f>
        <v>0</v>
      </c>
      <c r="S808" s="8">
        <f>[1]Data!S808</f>
        <v>0</v>
      </c>
      <c r="T808">
        <f t="shared" si="60"/>
        <v>3.09278350515464E-2</v>
      </c>
      <c r="U808">
        <f t="shared" si="61"/>
        <v>0</v>
      </c>
      <c r="V808" s="4" t="str">
        <f t="shared" si="62"/>
        <v>0</v>
      </c>
      <c r="W808" s="4" t="str">
        <f t="shared" si="63"/>
        <v>3</v>
      </c>
      <c r="X808" s="4" t="str">
        <f t="shared" si="64"/>
        <v>0NON-HS3</v>
      </c>
      <c r="Y808">
        <f>VLOOKUP(X808,Sheet1!$J$5:$K$121,2,FALSE)</f>
        <v>0</v>
      </c>
    </row>
    <row r="809" spans="1:25" x14ac:dyDescent="0.25">
      <c r="A809" s="8">
        <f>[1]Data!A809</f>
        <v>481103</v>
      </c>
      <c r="B809" s="8">
        <f>[1]Data!B809</f>
        <v>3</v>
      </c>
      <c r="C809" s="8">
        <f>[1]Data!C809</f>
        <v>0</v>
      </c>
      <c r="D809" s="8">
        <f>[1]Data!D809</f>
        <v>5</v>
      </c>
      <c r="E809" s="8" t="str">
        <f>[1]Data!E809</f>
        <v>NON-HS</v>
      </c>
      <c r="F809" s="8" t="str">
        <f>[1]Data!F809</f>
        <v>San Gabriel</v>
      </c>
      <c r="G809" s="8">
        <f>[1]Data!G809</f>
        <v>0</v>
      </c>
      <c r="H809" s="8">
        <f>[1]Data!H809</f>
        <v>0</v>
      </c>
      <c r="I809" s="8">
        <f>[1]Data!I809</f>
        <v>1</v>
      </c>
      <c r="J809" s="8">
        <f>[1]Data!J809</f>
        <v>0</v>
      </c>
      <c r="K809" s="8">
        <f>[1]Data!K809</f>
        <v>1</v>
      </c>
      <c r="L809" s="8">
        <f>[1]Data!L809</f>
        <v>0</v>
      </c>
      <c r="M809" s="8">
        <f>[1]Data!M809</f>
        <v>1</v>
      </c>
      <c r="N809" s="8">
        <f>[1]Data!N809</f>
        <v>3.09278350515464E-2</v>
      </c>
      <c r="O809" s="8">
        <f>[1]Data!O809</f>
        <v>0</v>
      </c>
      <c r="P809" s="8">
        <f>[1]Data!P809</f>
        <v>1</v>
      </c>
      <c r="Q809" s="8">
        <f>[1]Data!Q809</f>
        <v>0</v>
      </c>
      <c r="R809" s="8">
        <f>[1]Data!R809</f>
        <v>0</v>
      </c>
      <c r="S809" s="8">
        <f>[1]Data!S809</f>
        <v>0</v>
      </c>
      <c r="T809">
        <f t="shared" si="60"/>
        <v>3.09278350515464E-2</v>
      </c>
      <c r="U809">
        <f t="shared" si="61"/>
        <v>0</v>
      </c>
      <c r="V809" s="4" t="str">
        <f t="shared" si="62"/>
        <v>0</v>
      </c>
      <c r="W809" s="4" t="str">
        <f t="shared" si="63"/>
        <v>3</v>
      </c>
      <c r="X809" s="4" t="str">
        <f t="shared" si="64"/>
        <v>0NON-HS3</v>
      </c>
      <c r="Y809">
        <f>VLOOKUP(X809,Sheet1!$J$5:$K$121,2,FALSE)</f>
        <v>0</v>
      </c>
    </row>
    <row r="810" spans="1:25" x14ac:dyDescent="0.25">
      <c r="A810" s="8">
        <f>[1]Data!A810</f>
        <v>408627</v>
      </c>
      <c r="B810" s="8">
        <f>[1]Data!B810</f>
        <v>3</v>
      </c>
      <c r="C810" s="8">
        <f>[1]Data!C810</f>
        <v>0</v>
      </c>
      <c r="D810" s="8">
        <f>[1]Data!D810</f>
        <v>4</v>
      </c>
      <c r="E810" s="8" t="str">
        <f>[1]Data!E810</f>
        <v>NON-HS</v>
      </c>
      <c r="F810" s="8" t="str">
        <f>[1]Data!F810</f>
        <v>Rowland Heights</v>
      </c>
      <c r="G810" s="8">
        <f>[1]Data!G810</f>
        <v>0</v>
      </c>
      <c r="H810" s="8">
        <f>[1]Data!H810</f>
        <v>0</v>
      </c>
      <c r="I810" s="8">
        <f>[1]Data!I810</f>
        <v>1.7030000000000001</v>
      </c>
      <c r="J810" s="8">
        <f>[1]Data!J810</f>
        <v>1.6812916200000001</v>
      </c>
      <c r="K810" s="8">
        <f>[1]Data!K810</f>
        <v>1.6812916200000001</v>
      </c>
      <c r="L810" s="8">
        <f>[1]Data!L810</f>
        <v>2.14919317594255E-2</v>
      </c>
      <c r="M810" s="8">
        <f>[1]Data!M810</f>
        <v>1.7027835517594301</v>
      </c>
      <c r="N810" s="8">
        <f>[1]Data!N810</f>
        <v>3.09278350515464E-2</v>
      </c>
      <c r="O810" s="8">
        <f>[1]Data!O810</f>
        <v>0</v>
      </c>
      <c r="P810" s="8">
        <f>[1]Data!P810</f>
        <v>1</v>
      </c>
      <c r="Q810" s="8">
        <f>[1]Data!Q810</f>
        <v>0</v>
      </c>
      <c r="R810" s="8">
        <f>[1]Data!R810</f>
        <v>0</v>
      </c>
      <c r="S810" s="8">
        <f>[1]Data!S810</f>
        <v>0</v>
      </c>
      <c r="T810">
        <f t="shared" si="60"/>
        <v>3.09278350515464E-2</v>
      </c>
      <c r="U810">
        <f t="shared" si="61"/>
        <v>0</v>
      </c>
      <c r="V810" s="4" t="str">
        <f t="shared" si="62"/>
        <v>0</v>
      </c>
      <c r="W810" s="4" t="str">
        <f t="shared" si="63"/>
        <v>3</v>
      </c>
      <c r="X810" s="4" t="str">
        <f t="shared" si="64"/>
        <v>0NON-HS3</v>
      </c>
      <c r="Y810">
        <f>VLOOKUP(X810,Sheet1!$J$5:$K$121,2,FALSE)</f>
        <v>0</v>
      </c>
    </row>
    <row r="811" spans="1:25" x14ac:dyDescent="0.25">
      <c r="A811" s="8">
        <f>[1]Data!A811</f>
        <v>408631</v>
      </c>
      <c r="B811" s="8">
        <f>[1]Data!B811</f>
        <v>3</v>
      </c>
      <c r="C811" s="8">
        <f>[1]Data!C811</f>
        <v>0</v>
      </c>
      <c r="D811" s="8">
        <f>[1]Data!D811</f>
        <v>4</v>
      </c>
      <c r="E811" s="8" t="str">
        <f>[1]Data!E811</f>
        <v>NON-HS</v>
      </c>
      <c r="F811" s="8" t="str">
        <f>[1]Data!F811</f>
        <v>Hacienda Heights</v>
      </c>
      <c r="G811" s="8">
        <f>[1]Data!G811</f>
        <v>0</v>
      </c>
      <c r="H811" s="8">
        <f>[1]Data!H811</f>
        <v>0</v>
      </c>
      <c r="I811" s="8">
        <f>[1]Data!I811</f>
        <v>5.0209999999999999</v>
      </c>
      <c r="J811" s="8">
        <f>[1]Data!J811</f>
        <v>3.8885795999999999</v>
      </c>
      <c r="K811" s="8">
        <f>[1]Data!K811</f>
        <v>4.8885795999999999</v>
      </c>
      <c r="L811" s="8">
        <f>[1]Data!L811</f>
        <v>0.131797923464991</v>
      </c>
      <c r="M811" s="8">
        <f>[1]Data!M811</f>
        <v>5.0203775234649903</v>
      </c>
      <c r="N811" s="8">
        <f>[1]Data!N811</f>
        <v>3.09278350515464E-2</v>
      </c>
      <c r="O811" s="8">
        <f>[1]Data!O811</f>
        <v>0</v>
      </c>
      <c r="P811" s="8">
        <f>[1]Data!P811</f>
        <v>1</v>
      </c>
      <c r="Q811" s="8">
        <f>[1]Data!Q811</f>
        <v>0</v>
      </c>
      <c r="R811" s="8">
        <f>[1]Data!R811</f>
        <v>0</v>
      </c>
      <c r="S811" s="8">
        <f>[1]Data!S811</f>
        <v>0</v>
      </c>
      <c r="T811">
        <f t="shared" si="60"/>
        <v>3.09278350515464E-2</v>
      </c>
      <c r="U811">
        <f t="shared" si="61"/>
        <v>0</v>
      </c>
      <c r="V811" s="4" t="str">
        <f t="shared" si="62"/>
        <v>0</v>
      </c>
      <c r="W811" s="4" t="str">
        <f t="shared" si="63"/>
        <v>3</v>
      </c>
      <c r="X811" s="4" t="str">
        <f t="shared" si="64"/>
        <v>0NON-HS3</v>
      </c>
      <c r="Y811">
        <f>VLOOKUP(X811,Sheet1!$J$5:$K$121,2,FALSE)</f>
        <v>0</v>
      </c>
    </row>
    <row r="812" spans="1:25" x14ac:dyDescent="0.25">
      <c r="A812" s="8">
        <f>[1]Data!A812</f>
        <v>406701</v>
      </c>
      <c r="B812" s="8">
        <f>[1]Data!B812</f>
        <v>3</v>
      </c>
      <c r="C812" s="8">
        <f>[1]Data!C812</f>
        <v>0</v>
      </c>
      <c r="D812" s="8">
        <f>[1]Data!D812</f>
        <v>1</v>
      </c>
      <c r="E812" s="8" t="str">
        <f>[1]Data!E812</f>
        <v>NON-HS</v>
      </c>
      <c r="F812" s="8" t="str">
        <f>[1]Data!F812</f>
        <v>West Covina</v>
      </c>
      <c r="G812" s="8">
        <f>[1]Data!G812</f>
        <v>0</v>
      </c>
      <c r="H812" s="8">
        <f>[1]Data!H812</f>
        <v>0</v>
      </c>
      <c r="I812" s="8">
        <f>[1]Data!I812</f>
        <v>1.9259999999999999</v>
      </c>
      <c r="J812" s="8">
        <f>[1]Data!J812</f>
        <v>1.90487994</v>
      </c>
      <c r="K812" s="8">
        <f>[1]Data!K812</f>
        <v>1.90487994</v>
      </c>
      <c r="L812" s="8">
        <f>[1]Data!L812</f>
        <v>2.0625322082585301E-2</v>
      </c>
      <c r="M812" s="8">
        <f>[1]Data!M812</f>
        <v>1.9255052620825901</v>
      </c>
      <c r="N812" s="8">
        <f>[1]Data!N812</f>
        <v>3.09278350515464E-2</v>
      </c>
      <c r="O812" s="8">
        <f>[1]Data!O812</f>
        <v>0</v>
      </c>
      <c r="P812" s="8">
        <f>[1]Data!P812</f>
        <v>1</v>
      </c>
      <c r="Q812" s="8">
        <f>[1]Data!Q812</f>
        <v>0</v>
      </c>
      <c r="R812" s="8">
        <f>[1]Data!R812</f>
        <v>0</v>
      </c>
      <c r="S812" s="8">
        <f>[1]Data!S812</f>
        <v>0</v>
      </c>
      <c r="T812">
        <f t="shared" si="60"/>
        <v>3.09278350515464E-2</v>
      </c>
      <c r="U812">
        <f t="shared" si="61"/>
        <v>0</v>
      </c>
      <c r="V812" s="4" t="str">
        <f t="shared" si="62"/>
        <v>0</v>
      </c>
      <c r="W812" s="4" t="str">
        <f t="shared" si="63"/>
        <v>3</v>
      </c>
      <c r="X812" s="4" t="str">
        <f t="shared" si="64"/>
        <v>0NON-HS3</v>
      </c>
      <c r="Y812">
        <f>VLOOKUP(X812,Sheet1!$J$5:$K$121,2,FALSE)</f>
        <v>0</v>
      </c>
    </row>
    <row r="813" spans="1:25" x14ac:dyDescent="0.25">
      <c r="A813" s="8">
        <f>[1]Data!A813</f>
        <v>408211</v>
      </c>
      <c r="B813" s="8">
        <f>[1]Data!B813</f>
        <v>3</v>
      </c>
      <c r="C813" s="8">
        <f>[1]Data!C813</f>
        <v>0</v>
      </c>
      <c r="D813" s="8">
        <f>[1]Data!D813</f>
        <v>1</v>
      </c>
      <c r="E813" s="8" t="str">
        <f>[1]Data!E813</f>
        <v>NON-HS</v>
      </c>
      <c r="F813" s="8" t="str">
        <f>[1]Data!F813</f>
        <v>Industry</v>
      </c>
      <c r="G813" s="8">
        <f>[1]Data!G813</f>
        <v>0</v>
      </c>
      <c r="H813" s="8">
        <f>[1]Data!H813</f>
        <v>0</v>
      </c>
      <c r="I813" s="8">
        <f>[1]Data!I813</f>
        <v>3.9260000000000002</v>
      </c>
      <c r="J813" s="8">
        <f>[1]Data!J813</f>
        <v>1.90487994</v>
      </c>
      <c r="K813" s="8">
        <f>[1]Data!K813</f>
        <v>3.9048799399999998</v>
      </c>
      <c r="L813" s="8">
        <f>[1]Data!L813</f>
        <v>2.0625322082585301E-2</v>
      </c>
      <c r="M813" s="8">
        <f>[1]Data!M813</f>
        <v>3.9255052620825901</v>
      </c>
      <c r="N813" s="8">
        <f>[1]Data!N813</f>
        <v>3.09278350515464E-2</v>
      </c>
      <c r="O813" s="8">
        <f>[1]Data!O813</f>
        <v>0</v>
      </c>
      <c r="P813" s="8">
        <f>[1]Data!P813</f>
        <v>1</v>
      </c>
      <c r="Q813" s="8">
        <f>[1]Data!Q813</f>
        <v>0</v>
      </c>
      <c r="R813" s="8">
        <f>[1]Data!R813</f>
        <v>0</v>
      </c>
      <c r="S813" s="8">
        <f>[1]Data!S813</f>
        <v>0</v>
      </c>
      <c r="T813">
        <f t="shared" si="60"/>
        <v>3.09278350515464E-2</v>
      </c>
      <c r="U813">
        <f t="shared" si="61"/>
        <v>0</v>
      </c>
      <c r="V813" s="4" t="str">
        <f t="shared" si="62"/>
        <v>0</v>
      </c>
      <c r="W813" s="4" t="str">
        <f t="shared" si="63"/>
        <v>3</v>
      </c>
      <c r="X813" s="4" t="str">
        <f t="shared" si="64"/>
        <v>0NON-HS3</v>
      </c>
      <c r="Y813">
        <f>VLOOKUP(X813,Sheet1!$J$5:$K$121,2,FALSE)</f>
        <v>0</v>
      </c>
    </row>
    <row r="814" spans="1:25" x14ac:dyDescent="0.25">
      <c r="A814" s="8">
        <f>[1]Data!A814</f>
        <v>401602</v>
      </c>
      <c r="B814" s="8">
        <f>[1]Data!B814</f>
        <v>3</v>
      </c>
      <c r="C814" s="8">
        <f>[1]Data!C814</f>
        <v>0</v>
      </c>
      <c r="D814" s="8">
        <f>[1]Data!D814</f>
        <v>5</v>
      </c>
      <c r="E814" s="8" t="str">
        <f>[1]Data!E814</f>
        <v>NON-HS</v>
      </c>
      <c r="F814" s="8" t="str">
        <f>[1]Data!F814</f>
        <v>La Verne</v>
      </c>
      <c r="G814" s="8">
        <f>[1]Data!G814</f>
        <v>0</v>
      </c>
      <c r="H814" s="8">
        <f>[1]Data!H814</f>
        <v>0</v>
      </c>
      <c r="I814" s="8">
        <f>[1]Data!I814</f>
        <v>1.591</v>
      </c>
      <c r="J814" s="8">
        <f>[1]Data!J814</f>
        <v>1.43919657</v>
      </c>
      <c r="K814" s="8">
        <f>[1]Data!K814</f>
        <v>1.43919657</v>
      </c>
      <c r="L814" s="8">
        <f>[1]Data!L814</f>
        <v>0.15145200614003601</v>
      </c>
      <c r="M814" s="8">
        <f>[1]Data!M814</f>
        <v>1.59064857614004</v>
      </c>
      <c r="N814" s="8">
        <f>[1]Data!N814</f>
        <v>3.09278350515464E-2</v>
      </c>
      <c r="O814" s="8">
        <f>[1]Data!O814</f>
        <v>0</v>
      </c>
      <c r="P814" s="8">
        <f>[1]Data!P814</f>
        <v>1</v>
      </c>
      <c r="Q814" s="8">
        <f>[1]Data!Q814</f>
        <v>0</v>
      </c>
      <c r="R814" s="8">
        <f>[1]Data!R814</f>
        <v>0</v>
      </c>
      <c r="S814" s="8">
        <f>[1]Data!S814</f>
        <v>0</v>
      </c>
      <c r="T814">
        <f t="shared" si="60"/>
        <v>3.09278350515464E-2</v>
      </c>
      <c r="U814">
        <f t="shared" si="61"/>
        <v>0</v>
      </c>
      <c r="V814" s="4" t="str">
        <f t="shared" si="62"/>
        <v>0</v>
      </c>
      <c r="W814" s="4" t="str">
        <f t="shared" si="63"/>
        <v>3</v>
      </c>
      <c r="X814" s="4" t="str">
        <f t="shared" si="64"/>
        <v>0NON-HS3</v>
      </c>
      <c r="Y814">
        <f>VLOOKUP(X814,Sheet1!$J$5:$K$121,2,FALSE)</f>
        <v>0</v>
      </c>
    </row>
    <row r="815" spans="1:25" x14ac:dyDescent="0.25">
      <c r="A815" s="8">
        <f>[1]Data!A815</f>
        <v>482201</v>
      </c>
      <c r="B815" s="8">
        <f>[1]Data!B815</f>
        <v>3</v>
      </c>
      <c r="C815" s="8">
        <f>[1]Data!C815</f>
        <v>0</v>
      </c>
      <c r="D815" s="8">
        <f>[1]Data!D815</f>
        <v>1</v>
      </c>
      <c r="E815" s="8" t="str">
        <f>[1]Data!E815</f>
        <v>NON-HS</v>
      </c>
      <c r="F815" s="8" t="str">
        <f>[1]Data!F815</f>
        <v>Monterey Park</v>
      </c>
      <c r="G815" s="8">
        <f>[1]Data!G815</f>
        <v>0</v>
      </c>
      <c r="H815" s="8">
        <f>[1]Data!H815</f>
        <v>0</v>
      </c>
      <c r="I815" s="8">
        <f>[1]Data!I815</f>
        <v>1.591</v>
      </c>
      <c r="J815" s="8">
        <f>[1]Data!J815</f>
        <v>1.43919657</v>
      </c>
      <c r="K815" s="8">
        <f>[1]Data!K815</f>
        <v>1.43919657</v>
      </c>
      <c r="L815" s="8">
        <f>[1]Data!L815</f>
        <v>0.15145200614003601</v>
      </c>
      <c r="M815" s="8">
        <f>[1]Data!M815</f>
        <v>1.59064857614004</v>
      </c>
      <c r="N815" s="8">
        <f>[1]Data!N815</f>
        <v>3.09278350515464E-2</v>
      </c>
      <c r="O815" s="8">
        <f>[1]Data!O815</f>
        <v>0</v>
      </c>
      <c r="P815" s="8">
        <f>[1]Data!P815</f>
        <v>1</v>
      </c>
      <c r="Q815" s="8">
        <f>[1]Data!Q815</f>
        <v>0</v>
      </c>
      <c r="R815" s="8">
        <f>[1]Data!R815</f>
        <v>0</v>
      </c>
      <c r="S815" s="8">
        <f>[1]Data!S815</f>
        <v>0</v>
      </c>
      <c r="T815">
        <f t="shared" si="60"/>
        <v>3.09278350515464E-2</v>
      </c>
      <c r="U815">
        <f t="shared" si="61"/>
        <v>0</v>
      </c>
      <c r="V815" s="4" t="str">
        <f t="shared" si="62"/>
        <v>0</v>
      </c>
      <c r="W815" s="4" t="str">
        <f t="shared" si="63"/>
        <v>3</v>
      </c>
      <c r="X815" s="4" t="str">
        <f t="shared" si="64"/>
        <v>0NON-HS3</v>
      </c>
      <c r="Y815">
        <f>VLOOKUP(X815,Sheet1!$J$5:$K$121,2,FALSE)</f>
        <v>0</v>
      </c>
    </row>
    <row r="816" spans="1:25" x14ac:dyDescent="0.25">
      <c r="A816" s="8">
        <f>[1]Data!A816</f>
        <v>400900</v>
      </c>
      <c r="B816" s="8">
        <f>[1]Data!B816</f>
        <v>3</v>
      </c>
      <c r="C816" s="8">
        <f>[1]Data!C816</f>
        <v>0</v>
      </c>
      <c r="D816" s="8">
        <f>[1]Data!D816</f>
        <v>5</v>
      </c>
      <c r="E816" s="8" t="str">
        <f>[1]Data!E816</f>
        <v>NON-HS</v>
      </c>
      <c r="F816" s="8" t="str">
        <f>[1]Data!F816</f>
        <v>Glendora</v>
      </c>
      <c r="G816" s="8">
        <f>[1]Data!G816</f>
        <v>0</v>
      </c>
      <c r="H816" s="8">
        <f>[1]Data!H816</f>
        <v>0</v>
      </c>
      <c r="I816" s="8">
        <f>[1]Data!I816</f>
        <v>1</v>
      </c>
      <c r="J816" s="8">
        <f>[1]Data!J816</f>
        <v>0</v>
      </c>
      <c r="K816" s="8">
        <f>[1]Data!K816</f>
        <v>1</v>
      </c>
      <c r="L816" s="8">
        <f>[1]Data!L816</f>
        <v>0</v>
      </c>
      <c r="M816" s="8">
        <f>[1]Data!M816</f>
        <v>1</v>
      </c>
      <c r="N816" s="8">
        <f>[1]Data!N816</f>
        <v>3.09278350515464E-2</v>
      </c>
      <c r="O816" s="8">
        <f>[1]Data!O816</f>
        <v>0</v>
      </c>
      <c r="P816" s="8">
        <f>[1]Data!P816</f>
        <v>1</v>
      </c>
      <c r="Q816" s="8">
        <f>[1]Data!Q816</f>
        <v>0</v>
      </c>
      <c r="R816" s="8">
        <f>[1]Data!R816</f>
        <v>0</v>
      </c>
      <c r="S816" s="8">
        <f>[1]Data!S816</f>
        <v>0</v>
      </c>
      <c r="T816">
        <f t="shared" si="60"/>
        <v>3.09278350515464E-2</v>
      </c>
      <c r="U816">
        <f t="shared" si="61"/>
        <v>0</v>
      </c>
      <c r="V816" s="4" t="str">
        <f t="shared" si="62"/>
        <v>0</v>
      </c>
      <c r="W816" s="4" t="str">
        <f t="shared" si="63"/>
        <v>3</v>
      </c>
      <c r="X816" s="4" t="str">
        <f t="shared" si="64"/>
        <v>0NON-HS3</v>
      </c>
      <c r="Y816">
        <f>VLOOKUP(X816,Sheet1!$J$5:$K$121,2,FALSE)</f>
        <v>0</v>
      </c>
    </row>
    <row r="817" spans="1:25" x14ac:dyDescent="0.25">
      <c r="A817" s="8">
        <f>[1]Data!A817</f>
        <v>403312</v>
      </c>
      <c r="B817" s="8">
        <f>[1]Data!B817</f>
        <v>3</v>
      </c>
      <c r="C817" s="8">
        <f>[1]Data!C817</f>
        <v>0</v>
      </c>
      <c r="D817" s="8">
        <f>[1]Data!D817</f>
        <v>1</v>
      </c>
      <c r="E817" s="8" t="str">
        <f>[1]Data!E817</f>
        <v>NON-HS</v>
      </c>
      <c r="F817" s="8" t="str">
        <f>[1]Data!F817</f>
        <v>Industry</v>
      </c>
      <c r="G817" s="8">
        <f>[1]Data!G817</f>
        <v>0</v>
      </c>
      <c r="H817" s="8">
        <f>[1]Data!H817</f>
        <v>0</v>
      </c>
      <c r="I817" s="8">
        <f>[1]Data!I817</f>
        <v>0</v>
      </c>
      <c r="J817" s="8">
        <f>[1]Data!J817</f>
        <v>0</v>
      </c>
      <c r="K817" s="8">
        <f>[1]Data!K817</f>
        <v>0</v>
      </c>
      <c r="L817" s="8">
        <f>[1]Data!L817</f>
        <v>0</v>
      </c>
      <c r="M817" s="8">
        <f>[1]Data!M817</f>
        <v>0</v>
      </c>
      <c r="N817" s="8">
        <f>[1]Data!N817</f>
        <v>3.09278350515464E-2</v>
      </c>
      <c r="O817" s="8">
        <f>[1]Data!O817</f>
        <v>0</v>
      </c>
      <c r="P817" s="8">
        <f>[1]Data!P817</f>
        <v>1</v>
      </c>
      <c r="Q817" s="8">
        <f>[1]Data!Q817</f>
        <v>0</v>
      </c>
      <c r="R817" s="8">
        <f>[1]Data!R817</f>
        <v>0</v>
      </c>
      <c r="S817" s="8">
        <f>[1]Data!S817</f>
        <v>0</v>
      </c>
      <c r="T817">
        <f t="shared" si="60"/>
        <v>3.09278350515464E-2</v>
      </c>
      <c r="U817">
        <f t="shared" si="61"/>
        <v>0</v>
      </c>
      <c r="V817" s="4" t="str">
        <f t="shared" si="62"/>
        <v>0</v>
      </c>
      <c r="W817" s="4" t="str">
        <f t="shared" si="63"/>
        <v>3</v>
      </c>
      <c r="X817" s="4" t="str">
        <f t="shared" si="64"/>
        <v>0NON-HS3</v>
      </c>
      <c r="Y817">
        <f>VLOOKUP(X817,Sheet1!$J$5:$K$121,2,FALSE)</f>
        <v>0</v>
      </c>
    </row>
    <row r="818" spans="1:25" x14ac:dyDescent="0.25">
      <c r="A818" s="8">
        <f>[1]Data!A818</f>
        <v>403401</v>
      </c>
      <c r="B818" s="8">
        <f>[1]Data!B818</f>
        <v>3</v>
      </c>
      <c r="C818" s="8">
        <f>[1]Data!C818</f>
        <v>0</v>
      </c>
      <c r="D818" s="8">
        <f>[1]Data!D818</f>
        <v>1</v>
      </c>
      <c r="E818" s="8" t="str">
        <f>[1]Data!E818</f>
        <v>NON-HS</v>
      </c>
      <c r="F818" s="8" t="str">
        <f>[1]Data!F818</f>
        <v>Walnut</v>
      </c>
      <c r="G818" s="8">
        <f>[1]Data!G818</f>
        <v>0</v>
      </c>
      <c r="H818" s="8">
        <f>[1]Data!H818</f>
        <v>0</v>
      </c>
      <c r="I818" s="8">
        <f>[1]Data!I818</f>
        <v>2.0950000000000002</v>
      </c>
      <c r="J818" s="8">
        <f>[1]Data!J818</f>
        <v>1.9836996600000001</v>
      </c>
      <c r="K818" s="8">
        <f>[1]Data!K818</f>
        <v>1.9836996600000001</v>
      </c>
      <c r="L818" s="8">
        <f>[1]Data!L818</f>
        <v>0.11117260138240601</v>
      </c>
      <c r="M818" s="8">
        <f>[1]Data!M818</f>
        <v>2.09487226138241</v>
      </c>
      <c r="N818" s="8">
        <f>[1]Data!N818</f>
        <v>3.09278350515464E-2</v>
      </c>
      <c r="O818" s="8">
        <f>[1]Data!O818</f>
        <v>0</v>
      </c>
      <c r="P818" s="8">
        <f>[1]Data!P818</f>
        <v>1</v>
      </c>
      <c r="Q818" s="8">
        <f>[1]Data!Q818</f>
        <v>0</v>
      </c>
      <c r="R818" s="8">
        <f>[1]Data!R818</f>
        <v>0</v>
      </c>
      <c r="S818" s="8">
        <f>[1]Data!S818</f>
        <v>0</v>
      </c>
      <c r="T818">
        <f t="shared" si="60"/>
        <v>3.09278350515464E-2</v>
      </c>
      <c r="U818">
        <f t="shared" si="61"/>
        <v>0</v>
      </c>
      <c r="V818" s="4" t="str">
        <f t="shared" si="62"/>
        <v>0</v>
      </c>
      <c r="W818" s="4" t="str">
        <f t="shared" si="63"/>
        <v>3</v>
      </c>
      <c r="X818" s="4" t="str">
        <f t="shared" si="64"/>
        <v>0NON-HS3</v>
      </c>
      <c r="Y818">
        <f>VLOOKUP(X818,Sheet1!$J$5:$K$121,2,FALSE)</f>
        <v>0</v>
      </c>
    </row>
    <row r="819" spans="1:25" x14ac:dyDescent="0.25">
      <c r="A819" s="8">
        <f>[1]Data!A819</f>
        <v>405301</v>
      </c>
      <c r="B819" s="8">
        <f>[1]Data!B819</f>
        <v>3</v>
      </c>
      <c r="C819" s="8">
        <f>[1]Data!C819</f>
        <v>0</v>
      </c>
      <c r="D819" s="8">
        <f>[1]Data!D819</f>
        <v>1</v>
      </c>
      <c r="E819" s="8" t="str">
        <f>[1]Data!E819</f>
        <v>NON-HS</v>
      </c>
      <c r="F819" s="8" t="str">
        <f>[1]Data!F819</f>
        <v>West Covina</v>
      </c>
      <c r="G819" s="8">
        <f>[1]Data!G819</f>
        <v>0</v>
      </c>
      <c r="H819" s="8">
        <f>[1]Data!H819</f>
        <v>0</v>
      </c>
      <c r="I819" s="8">
        <f>[1]Data!I819</f>
        <v>0</v>
      </c>
      <c r="J819" s="8">
        <f>[1]Data!J819</f>
        <v>0</v>
      </c>
      <c r="K819" s="8">
        <f>[1]Data!K819</f>
        <v>0</v>
      </c>
      <c r="L819" s="8">
        <f>[1]Data!L819</f>
        <v>0</v>
      </c>
      <c r="M819" s="8">
        <f>[1]Data!M819</f>
        <v>0</v>
      </c>
      <c r="N819" s="8">
        <f>[1]Data!N819</f>
        <v>3.09278350515464E-2</v>
      </c>
      <c r="O819" s="8">
        <f>[1]Data!O819</f>
        <v>0</v>
      </c>
      <c r="P819" s="8">
        <f>[1]Data!P819</f>
        <v>1</v>
      </c>
      <c r="Q819" s="8">
        <f>[1]Data!Q819</f>
        <v>0</v>
      </c>
      <c r="R819" s="8">
        <f>[1]Data!R819</f>
        <v>0</v>
      </c>
      <c r="S819" s="8">
        <f>[1]Data!S819</f>
        <v>0</v>
      </c>
      <c r="T819">
        <f t="shared" si="60"/>
        <v>3.09278350515464E-2</v>
      </c>
      <c r="U819">
        <f t="shared" si="61"/>
        <v>0</v>
      </c>
      <c r="V819" s="4" t="str">
        <f t="shared" si="62"/>
        <v>0</v>
      </c>
      <c r="W819" s="4" t="str">
        <f t="shared" si="63"/>
        <v>3</v>
      </c>
      <c r="X819" s="4" t="str">
        <f t="shared" si="64"/>
        <v>0NON-HS3</v>
      </c>
      <c r="Y819">
        <f>VLOOKUP(X819,Sheet1!$J$5:$K$121,2,FALSE)</f>
        <v>0</v>
      </c>
    </row>
    <row r="820" spans="1:25" x14ac:dyDescent="0.25">
      <c r="A820" s="8">
        <f>[1]Data!A820</f>
        <v>403316</v>
      </c>
      <c r="B820" s="8">
        <f>[1]Data!B820</f>
        <v>3</v>
      </c>
      <c r="C820" s="8">
        <f>[1]Data!C820</f>
        <v>0</v>
      </c>
      <c r="D820" s="8">
        <f>[1]Data!D820</f>
        <v>4</v>
      </c>
      <c r="E820" s="8" t="str">
        <f>[1]Data!E820</f>
        <v>NON-HS</v>
      </c>
      <c r="F820" s="8" t="str">
        <f>[1]Data!F820</f>
        <v>Diamond Bar</v>
      </c>
      <c r="G820" s="8">
        <f>[1]Data!G820</f>
        <v>0</v>
      </c>
      <c r="H820" s="8">
        <f>[1]Data!H820</f>
        <v>0</v>
      </c>
      <c r="I820" s="8">
        <f>[1]Data!I820</f>
        <v>2.0950000000000002</v>
      </c>
      <c r="J820" s="8">
        <f>[1]Data!J820</f>
        <v>1.9836996600000001</v>
      </c>
      <c r="K820" s="8">
        <f>[1]Data!K820</f>
        <v>1.9836996600000001</v>
      </c>
      <c r="L820" s="8">
        <f>[1]Data!L820</f>
        <v>0.11117260138240601</v>
      </c>
      <c r="M820" s="8">
        <f>[1]Data!M820</f>
        <v>2.09487226138241</v>
      </c>
      <c r="N820" s="8">
        <f>[1]Data!N820</f>
        <v>3.09278350515464E-2</v>
      </c>
      <c r="O820" s="8">
        <f>[1]Data!O820</f>
        <v>0</v>
      </c>
      <c r="P820" s="8">
        <f>[1]Data!P820</f>
        <v>1</v>
      </c>
      <c r="Q820" s="8">
        <f>[1]Data!Q820</f>
        <v>0</v>
      </c>
      <c r="R820" s="8">
        <f>[1]Data!R820</f>
        <v>0</v>
      </c>
      <c r="S820" s="8">
        <f>[1]Data!S820</f>
        <v>0</v>
      </c>
      <c r="T820">
        <f t="shared" si="60"/>
        <v>3.09278350515464E-2</v>
      </c>
      <c r="U820">
        <f t="shared" si="61"/>
        <v>0</v>
      </c>
      <c r="V820" s="4" t="str">
        <f t="shared" si="62"/>
        <v>0</v>
      </c>
      <c r="W820" s="4" t="str">
        <f t="shared" si="63"/>
        <v>3</v>
      </c>
      <c r="X820" s="4" t="str">
        <f t="shared" si="64"/>
        <v>0NON-HS3</v>
      </c>
      <c r="Y820">
        <f>VLOOKUP(X820,Sheet1!$J$5:$K$121,2,FALSE)</f>
        <v>0</v>
      </c>
    </row>
    <row r="821" spans="1:25" x14ac:dyDescent="0.25">
      <c r="A821" s="8">
        <f>[1]Data!A821</f>
        <v>430400</v>
      </c>
      <c r="B821" s="8">
        <f>[1]Data!B821</f>
        <v>3</v>
      </c>
      <c r="C821" s="8">
        <f>[1]Data!C821</f>
        <v>0</v>
      </c>
      <c r="D821" s="8">
        <f>[1]Data!D821</f>
        <v>5</v>
      </c>
      <c r="E821" s="8" t="str">
        <f>[1]Data!E821</f>
        <v>NON-HS</v>
      </c>
      <c r="F821" s="8" t="str">
        <f>[1]Data!F821</f>
        <v>Arcadia</v>
      </c>
      <c r="G821" s="8">
        <f>[1]Data!G821</f>
        <v>0</v>
      </c>
      <c r="H821" s="8">
        <f>[1]Data!H821</f>
        <v>0</v>
      </c>
      <c r="I821" s="8">
        <f>[1]Data!I821</f>
        <v>1</v>
      </c>
      <c r="J821" s="8">
        <f>[1]Data!J821</f>
        <v>0</v>
      </c>
      <c r="K821" s="8">
        <f>[1]Data!K821</f>
        <v>1</v>
      </c>
      <c r="L821" s="8">
        <f>[1]Data!L821</f>
        <v>0</v>
      </c>
      <c r="M821" s="8">
        <f>[1]Data!M821</f>
        <v>1</v>
      </c>
      <c r="N821" s="8">
        <f>[1]Data!N821</f>
        <v>3.09278350515464E-2</v>
      </c>
      <c r="O821" s="8">
        <f>[1]Data!O821</f>
        <v>0</v>
      </c>
      <c r="P821" s="8">
        <f>[1]Data!P821</f>
        <v>1</v>
      </c>
      <c r="Q821" s="8">
        <f>[1]Data!Q821</f>
        <v>0</v>
      </c>
      <c r="R821" s="8">
        <f>[1]Data!R821</f>
        <v>0</v>
      </c>
      <c r="S821" s="8">
        <f>[1]Data!S821</f>
        <v>0</v>
      </c>
      <c r="T821">
        <f t="shared" si="60"/>
        <v>3.09278350515464E-2</v>
      </c>
      <c r="U821">
        <f t="shared" si="61"/>
        <v>0</v>
      </c>
      <c r="V821" s="4" t="str">
        <f t="shared" si="62"/>
        <v>0</v>
      </c>
      <c r="W821" s="4" t="str">
        <f t="shared" si="63"/>
        <v>3</v>
      </c>
      <c r="X821" s="4" t="str">
        <f t="shared" si="64"/>
        <v>0NON-HS3</v>
      </c>
      <c r="Y821">
        <f>VLOOKUP(X821,Sheet1!$J$5:$K$121,2,FALSE)</f>
        <v>0</v>
      </c>
    </row>
    <row r="822" spans="1:25" x14ac:dyDescent="0.25">
      <c r="A822" s="8">
        <f>[1]Data!A822</f>
        <v>402404</v>
      </c>
      <c r="B822" s="8">
        <f>[1]Data!B822</f>
        <v>3</v>
      </c>
      <c r="C822" s="8">
        <f>[1]Data!C822</f>
        <v>0</v>
      </c>
      <c r="D822" s="8">
        <f>[1]Data!D822</f>
        <v>5</v>
      </c>
      <c r="E822" s="8" t="str">
        <f>[1]Data!E822</f>
        <v>NON-HS</v>
      </c>
      <c r="F822" s="8" t="str">
        <f>[1]Data!F822</f>
        <v>Pomona</v>
      </c>
      <c r="G822" s="8">
        <f>[1]Data!G822</f>
        <v>0</v>
      </c>
      <c r="H822" s="8">
        <f>[1]Data!H822</f>
        <v>0</v>
      </c>
      <c r="I822" s="8">
        <f>[1]Data!I822</f>
        <v>4.181</v>
      </c>
      <c r="J822" s="8">
        <f>[1]Data!J822</f>
        <v>2.87839314</v>
      </c>
      <c r="K822" s="8">
        <f>[1]Data!K822</f>
        <v>3.87839314</v>
      </c>
      <c r="L822" s="8">
        <f>[1]Data!L822</f>
        <v>0.30290401228007202</v>
      </c>
      <c r="M822" s="8">
        <f>[1]Data!M822</f>
        <v>4.1812971522800702</v>
      </c>
      <c r="N822" s="8">
        <f>[1]Data!N822</f>
        <v>3.09278350515464E-2</v>
      </c>
      <c r="O822" s="8">
        <f>[1]Data!O822</f>
        <v>0</v>
      </c>
      <c r="P822" s="8">
        <f>[1]Data!P822</f>
        <v>1</v>
      </c>
      <c r="Q822" s="8">
        <f>[1]Data!Q822</f>
        <v>0</v>
      </c>
      <c r="R822" s="8">
        <f>[1]Data!R822</f>
        <v>0</v>
      </c>
      <c r="S822" s="8">
        <f>[1]Data!S822</f>
        <v>0</v>
      </c>
      <c r="T822">
        <f t="shared" si="60"/>
        <v>3.09278350515464E-2</v>
      </c>
      <c r="U822">
        <f t="shared" si="61"/>
        <v>0</v>
      </c>
      <c r="V822" s="4" t="str">
        <f t="shared" si="62"/>
        <v>0</v>
      </c>
      <c r="W822" s="4" t="str">
        <f t="shared" si="63"/>
        <v>3</v>
      </c>
      <c r="X822" s="4" t="str">
        <f t="shared" si="64"/>
        <v>0NON-HS3</v>
      </c>
      <c r="Y822">
        <f>VLOOKUP(X822,Sheet1!$J$5:$K$121,2,FALSE)</f>
        <v>0</v>
      </c>
    </row>
    <row r="823" spans="1:25" x14ac:dyDescent="0.25">
      <c r="A823" s="8">
        <f>[1]Data!A823</f>
        <v>400404</v>
      </c>
      <c r="B823" s="8">
        <f>[1]Data!B823</f>
        <v>3</v>
      </c>
      <c r="C823" s="8">
        <f>[1]Data!C823</f>
        <v>0</v>
      </c>
      <c r="D823" s="8">
        <f>[1]Data!D823</f>
        <v>5</v>
      </c>
      <c r="E823" s="8" t="str">
        <f>[1]Data!E823</f>
        <v>NON-HS</v>
      </c>
      <c r="F823" s="8" t="str">
        <f>[1]Data!F823</f>
        <v>Glendora</v>
      </c>
      <c r="G823" s="8">
        <f>[1]Data!G823</f>
        <v>0</v>
      </c>
      <c r="H823" s="8">
        <f>[1]Data!H823</f>
        <v>0</v>
      </c>
      <c r="I823" s="8">
        <f>[1]Data!I823</f>
        <v>0</v>
      </c>
      <c r="J823" s="8">
        <f>[1]Data!J823</f>
        <v>0</v>
      </c>
      <c r="K823" s="8">
        <f>[1]Data!K823</f>
        <v>0</v>
      </c>
      <c r="L823" s="8">
        <f>[1]Data!L823</f>
        <v>0</v>
      </c>
      <c r="M823" s="8">
        <f>[1]Data!M823</f>
        <v>0</v>
      </c>
      <c r="N823" s="8">
        <f>[1]Data!N823</f>
        <v>3.09278350515464E-2</v>
      </c>
      <c r="O823" s="8">
        <f>[1]Data!O823</f>
        <v>0</v>
      </c>
      <c r="P823" s="8">
        <f>[1]Data!P823</f>
        <v>1</v>
      </c>
      <c r="Q823" s="8">
        <f>[1]Data!Q823</f>
        <v>0</v>
      </c>
      <c r="R823" s="8">
        <f>[1]Data!R823</f>
        <v>0</v>
      </c>
      <c r="S823" s="8">
        <f>[1]Data!S823</f>
        <v>0</v>
      </c>
      <c r="T823">
        <f t="shared" si="60"/>
        <v>3.09278350515464E-2</v>
      </c>
      <c r="U823">
        <f t="shared" si="61"/>
        <v>0</v>
      </c>
      <c r="V823" s="4" t="str">
        <f t="shared" si="62"/>
        <v>0</v>
      </c>
      <c r="W823" s="4" t="str">
        <f t="shared" si="63"/>
        <v>3</v>
      </c>
      <c r="X823" s="4" t="str">
        <f t="shared" si="64"/>
        <v>0NON-HS3</v>
      </c>
      <c r="Y823">
        <f>VLOOKUP(X823,Sheet1!$J$5:$K$121,2,FALSE)</f>
        <v>0</v>
      </c>
    </row>
    <row r="824" spans="1:25" x14ac:dyDescent="0.25">
      <c r="A824" s="8">
        <f>[1]Data!A824</f>
        <v>481401</v>
      </c>
      <c r="B824" s="8">
        <f>[1]Data!B824</f>
        <v>3</v>
      </c>
      <c r="C824" s="8">
        <f>[1]Data!C824</f>
        <v>0</v>
      </c>
      <c r="D824" s="8">
        <f>[1]Data!D824</f>
        <v>5</v>
      </c>
      <c r="E824" s="8" t="str">
        <f>[1]Data!E824</f>
        <v>NON-HS</v>
      </c>
      <c r="F824" s="8" t="str">
        <f>[1]Data!F824</f>
        <v>San Gabriel</v>
      </c>
      <c r="G824" s="8">
        <f>[1]Data!G824</f>
        <v>0</v>
      </c>
      <c r="H824" s="8">
        <f>[1]Data!H824</f>
        <v>0</v>
      </c>
      <c r="I824" s="8">
        <f>[1]Data!I824</f>
        <v>0</v>
      </c>
      <c r="J824" s="8">
        <f>[1]Data!J824</f>
        <v>0</v>
      </c>
      <c r="K824" s="8">
        <f>[1]Data!K824</f>
        <v>0</v>
      </c>
      <c r="L824" s="8">
        <f>[1]Data!L824</f>
        <v>0</v>
      </c>
      <c r="M824" s="8">
        <f>[1]Data!M824</f>
        <v>0</v>
      </c>
      <c r="N824" s="8">
        <f>[1]Data!N824</f>
        <v>3.09278350515464E-2</v>
      </c>
      <c r="O824" s="8">
        <f>[1]Data!O824</f>
        <v>0</v>
      </c>
      <c r="P824" s="8">
        <f>[1]Data!P824</f>
        <v>1</v>
      </c>
      <c r="Q824" s="8">
        <f>[1]Data!Q824</f>
        <v>0</v>
      </c>
      <c r="R824" s="8">
        <f>[1]Data!R824</f>
        <v>0</v>
      </c>
      <c r="S824" s="8">
        <f>[1]Data!S824</f>
        <v>0</v>
      </c>
      <c r="T824">
        <f t="shared" si="60"/>
        <v>3.09278350515464E-2</v>
      </c>
      <c r="U824">
        <f t="shared" si="61"/>
        <v>0</v>
      </c>
      <c r="V824" s="4" t="str">
        <f t="shared" si="62"/>
        <v>0</v>
      </c>
      <c r="W824" s="4" t="str">
        <f t="shared" si="63"/>
        <v>3</v>
      </c>
      <c r="X824" s="4" t="str">
        <f t="shared" si="64"/>
        <v>0NON-HS3</v>
      </c>
      <c r="Y824">
        <f>VLOOKUP(X824,Sheet1!$J$5:$K$121,2,FALSE)</f>
        <v>0</v>
      </c>
    </row>
    <row r="825" spans="1:25" x14ac:dyDescent="0.25">
      <c r="A825" s="8">
        <f>[1]Data!A825</f>
        <v>402301</v>
      </c>
      <c r="B825" s="8">
        <f>[1]Data!B825</f>
        <v>3</v>
      </c>
      <c r="C825" s="8">
        <f>[1]Data!C825</f>
        <v>0</v>
      </c>
      <c r="D825" s="8">
        <f>[1]Data!D825</f>
        <v>1</v>
      </c>
      <c r="E825" s="8" t="str">
        <f>[1]Data!E825</f>
        <v>NON-HS</v>
      </c>
      <c r="F825" s="8" t="str">
        <f>[1]Data!F825</f>
        <v>Pomona</v>
      </c>
      <c r="G825" s="8">
        <f>[1]Data!G825</f>
        <v>0</v>
      </c>
      <c r="H825" s="8">
        <f>[1]Data!H825</f>
        <v>0</v>
      </c>
      <c r="I825" s="8">
        <f>[1]Data!I825</f>
        <v>0</v>
      </c>
      <c r="J825" s="8">
        <f>[1]Data!J825</f>
        <v>0</v>
      </c>
      <c r="K825" s="8">
        <f>[1]Data!K825</f>
        <v>0</v>
      </c>
      <c r="L825" s="8">
        <f>[1]Data!L825</f>
        <v>0</v>
      </c>
      <c r="M825" s="8">
        <f>[1]Data!M825</f>
        <v>0</v>
      </c>
      <c r="N825" s="8">
        <f>[1]Data!N825</f>
        <v>3.09278350515464E-2</v>
      </c>
      <c r="O825" s="8">
        <f>[1]Data!O825</f>
        <v>0</v>
      </c>
      <c r="P825" s="8">
        <f>[1]Data!P825</f>
        <v>1</v>
      </c>
      <c r="Q825" s="8">
        <f>[1]Data!Q825</f>
        <v>0</v>
      </c>
      <c r="R825" s="8">
        <f>[1]Data!R825</f>
        <v>0</v>
      </c>
      <c r="S825" s="8">
        <f>[1]Data!S825</f>
        <v>0</v>
      </c>
      <c r="T825">
        <f t="shared" si="60"/>
        <v>3.09278350515464E-2</v>
      </c>
      <c r="U825">
        <f t="shared" si="61"/>
        <v>0</v>
      </c>
      <c r="V825" s="4" t="str">
        <f t="shared" si="62"/>
        <v>0</v>
      </c>
      <c r="W825" s="4" t="str">
        <f t="shared" si="63"/>
        <v>3</v>
      </c>
      <c r="X825" s="4" t="str">
        <f t="shared" si="64"/>
        <v>0NON-HS3</v>
      </c>
      <c r="Y825">
        <f>VLOOKUP(X825,Sheet1!$J$5:$K$121,2,FALSE)</f>
        <v>0</v>
      </c>
    </row>
    <row r="826" spans="1:25" x14ac:dyDescent="0.25">
      <c r="A826" s="8">
        <f>[1]Data!A826</f>
        <v>403406</v>
      </c>
      <c r="B826" s="8">
        <f>[1]Data!B826</f>
        <v>3</v>
      </c>
      <c r="C826" s="8">
        <f>[1]Data!C826</f>
        <v>0</v>
      </c>
      <c r="D826" s="8">
        <f>[1]Data!D826</f>
        <v>1</v>
      </c>
      <c r="E826" s="8" t="str">
        <f>[1]Data!E826</f>
        <v>NON-HS</v>
      </c>
      <c r="F826" s="8" t="str">
        <f>[1]Data!F826</f>
        <v>Walnut</v>
      </c>
      <c r="G826" s="8">
        <f>[1]Data!G826</f>
        <v>1</v>
      </c>
      <c r="H826" s="8">
        <f>[1]Data!H826</f>
        <v>1</v>
      </c>
      <c r="I826" s="8">
        <f>[1]Data!I826</f>
        <v>0</v>
      </c>
      <c r="J826" s="8">
        <f>[1]Data!J826</f>
        <v>0</v>
      </c>
      <c r="K826" s="8">
        <f>[1]Data!K826</f>
        <v>0</v>
      </c>
      <c r="L826" s="8">
        <f>[1]Data!L826</f>
        <v>0</v>
      </c>
      <c r="M826" s="8">
        <f>[1]Data!M826</f>
        <v>0</v>
      </c>
      <c r="N826" s="8">
        <f>[1]Data!N826</f>
        <v>3.09278350515464E-2</v>
      </c>
      <c r="O826" s="8">
        <f>[1]Data!O826</f>
        <v>32.3333333333333</v>
      </c>
      <c r="P826" s="8">
        <f>[1]Data!P826</f>
        <v>1</v>
      </c>
      <c r="Q826" s="8">
        <f>[1]Data!Q826</f>
        <v>0</v>
      </c>
      <c r="R826" s="8">
        <f>[1]Data!R826</f>
        <v>0</v>
      </c>
      <c r="S826" s="8">
        <f>[1]Data!S826</f>
        <v>0</v>
      </c>
      <c r="T826">
        <f t="shared" si="60"/>
        <v>3.09278350515464E-2</v>
      </c>
      <c r="U826">
        <f t="shared" si="61"/>
        <v>32.333333333333321</v>
      </c>
      <c r="V826" s="4" t="str">
        <f t="shared" si="62"/>
        <v>0</v>
      </c>
      <c r="W826" s="4" t="str">
        <f t="shared" si="63"/>
        <v>3</v>
      </c>
      <c r="X826" s="4" t="str">
        <f t="shared" si="64"/>
        <v>0NON-HS3</v>
      </c>
      <c r="Y826">
        <f>VLOOKUP(X826,Sheet1!$J$5:$K$121,2,FALSE)</f>
        <v>0</v>
      </c>
    </row>
    <row r="827" spans="1:25" x14ac:dyDescent="0.25">
      <c r="A827" s="8">
        <f>[1]Data!A827</f>
        <v>402001</v>
      </c>
      <c r="B827" s="8">
        <f>[1]Data!B827</f>
        <v>3</v>
      </c>
      <c r="C827" s="8">
        <f>[1]Data!C827</f>
        <v>0</v>
      </c>
      <c r="D827" s="8">
        <f>[1]Data!D827</f>
        <v>1</v>
      </c>
      <c r="E827" s="8" t="str">
        <f>[1]Data!E827</f>
        <v>NON-HS</v>
      </c>
      <c r="F827" s="8" t="str">
        <f>[1]Data!F827</f>
        <v>Claremont</v>
      </c>
      <c r="G827" s="8">
        <f>[1]Data!G827</f>
        <v>0</v>
      </c>
      <c r="H827" s="8">
        <f>[1]Data!H827</f>
        <v>0</v>
      </c>
      <c r="I827" s="8">
        <f>[1]Data!I827</f>
        <v>1.9259999999999999</v>
      </c>
      <c r="J827" s="8">
        <f>[1]Data!J827</f>
        <v>1.90487994</v>
      </c>
      <c r="K827" s="8">
        <f>[1]Data!K827</f>
        <v>1.90487994</v>
      </c>
      <c r="L827" s="8">
        <f>[1]Data!L827</f>
        <v>2.0625322082585301E-2</v>
      </c>
      <c r="M827" s="8">
        <f>[1]Data!M827</f>
        <v>1.9255052620825901</v>
      </c>
      <c r="N827" s="8">
        <f>[1]Data!N827</f>
        <v>3.09278350515464E-2</v>
      </c>
      <c r="O827" s="8">
        <f>[1]Data!O827</f>
        <v>0</v>
      </c>
      <c r="P827" s="8">
        <f>[1]Data!P827</f>
        <v>1</v>
      </c>
      <c r="Q827" s="8">
        <f>[1]Data!Q827</f>
        <v>0</v>
      </c>
      <c r="R827" s="8">
        <f>[1]Data!R827</f>
        <v>0</v>
      </c>
      <c r="S827" s="8">
        <f>[1]Data!S827</f>
        <v>0</v>
      </c>
      <c r="T827">
        <f t="shared" si="60"/>
        <v>3.09278350515464E-2</v>
      </c>
      <c r="U827">
        <f t="shared" si="61"/>
        <v>0</v>
      </c>
      <c r="V827" s="4" t="str">
        <f t="shared" si="62"/>
        <v>0</v>
      </c>
      <c r="W827" s="4" t="str">
        <f t="shared" si="63"/>
        <v>3</v>
      </c>
      <c r="X827" s="4" t="str">
        <f t="shared" si="64"/>
        <v>0NON-HS3</v>
      </c>
      <c r="Y827">
        <f>VLOOKUP(X827,Sheet1!$J$5:$K$121,2,FALSE)</f>
        <v>0</v>
      </c>
    </row>
    <row r="828" spans="1:25" x14ac:dyDescent="0.25">
      <c r="A828" s="8">
        <f>[1]Data!A828</f>
        <v>405101</v>
      </c>
      <c r="B828" s="8">
        <f>[1]Data!B828</f>
        <v>3</v>
      </c>
      <c r="C828" s="8">
        <f>[1]Data!C828</f>
        <v>0</v>
      </c>
      <c r="D828" s="8">
        <f>[1]Data!D828</f>
        <v>1</v>
      </c>
      <c r="E828" s="8" t="str">
        <f>[1]Data!E828</f>
        <v>NON-HS</v>
      </c>
      <c r="F828" s="8" t="str">
        <f>[1]Data!F828</f>
        <v>Baldwin Park</v>
      </c>
      <c r="G828" s="8">
        <f>[1]Data!G828</f>
        <v>0</v>
      </c>
      <c r="H828" s="8">
        <f>[1]Data!H828</f>
        <v>0</v>
      </c>
      <c r="I828" s="8">
        <f>[1]Data!I828</f>
        <v>0</v>
      </c>
      <c r="J828" s="8">
        <f>[1]Data!J828</f>
        <v>0</v>
      </c>
      <c r="K828" s="8">
        <f>[1]Data!K828</f>
        <v>0</v>
      </c>
      <c r="L828" s="8">
        <f>[1]Data!L828</f>
        <v>0</v>
      </c>
      <c r="M828" s="8">
        <f>[1]Data!M828</f>
        <v>0</v>
      </c>
      <c r="N828" s="8">
        <f>[1]Data!N828</f>
        <v>3.09278350515464E-2</v>
      </c>
      <c r="O828" s="8">
        <f>[1]Data!O828</f>
        <v>0</v>
      </c>
      <c r="P828" s="8">
        <f>[1]Data!P828</f>
        <v>1</v>
      </c>
      <c r="Q828" s="8">
        <f>[1]Data!Q828</f>
        <v>0</v>
      </c>
      <c r="R828" s="8">
        <f>[1]Data!R828</f>
        <v>0</v>
      </c>
      <c r="S828" s="8">
        <f>[1]Data!S828</f>
        <v>0</v>
      </c>
      <c r="T828">
        <f t="shared" si="60"/>
        <v>3.09278350515464E-2</v>
      </c>
      <c r="U828">
        <f t="shared" si="61"/>
        <v>0</v>
      </c>
      <c r="V828" s="4" t="str">
        <f t="shared" si="62"/>
        <v>0</v>
      </c>
      <c r="W828" s="4" t="str">
        <f t="shared" si="63"/>
        <v>3</v>
      </c>
      <c r="X828" s="4" t="str">
        <f t="shared" si="64"/>
        <v>0NON-HS3</v>
      </c>
      <c r="Y828">
        <f>VLOOKUP(X828,Sheet1!$J$5:$K$121,2,FALSE)</f>
        <v>0</v>
      </c>
    </row>
    <row r="829" spans="1:25" x14ac:dyDescent="0.25">
      <c r="A829" s="8">
        <f>[1]Data!A829</f>
        <v>430301</v>
      </c>
      <c r="B829" s="8">
        <f>[1]Data!B829</f>
        <v>3</v>
      </c>
      <c r="C829" s="8">
        <f>[1]Data!C829</f>
        <v>0</v>
      </c>
      <c r="D829" s="8">
        <f>[1]Data!D829</f>
        <v>5</v>
      </c>
      <c r="E829" s="8" t="str">
        <f>[1]Data!E829</f>
        <v>NON-HS</v>
      </c>
      <c r="F829" s="8" t="str">
        <f>[1]Data!F829</f>
        <v>Monrovia</v>
      </c>
      <c r="G829" s="8">
        <f>[1]Data!G829</f>
        <v>0</v>
      </c>
      <c r="H829" s="8">
        <f>[1]Data!H829</f>
        <v>0</v>
      </c>
      <c r="I829" s="8">
        <f>[1]Data!I829</f>
        <v>4.0949999999999998</v>
      </c>
      <c r="J829" s="8">
        <f>[1]Data!J829</f>
        <v>1.9836996600000001</v>
      </c>
      <c r="K829" s="8">
        <f>[1]Data!K829</f>
        <v>3.9836996600000001</v>
      </c>
      <c r="L829" s="8">
        <f>[1]Data!L829</f>
        <v>0.11117260138240601</v>
      </c>
      <c r="M829" s="8">
        <f>[1]Data!M829</f>
        <v>4.0948722613824096</v>
      </c>
      <c r="N829" s="8">
        <f>[1]Data!N829</f>
        <v>3.09278350515464E-2</v>
      </c>
      <c r="O829" s="8">
        <f>[1]Data!O829</f>
        <v>0</v>
      </c>
      <c r="P829" s="8">
        <f>[1]Data!P829</f>
        <v>1</v>
      </c>
      <c r="Q829" s="8">
        <f>[1]Data!Q829</f>
        <v>0</v>
      </c>
      <c r="R829" s="8">
        <f>[1]Data!R829</f>
        <v>0</v>
      </c>
      <c r="S829" s="8">
        <f>[1]Data!S829</f>
        <v>0</v>
      </c>
      <c r="T829">
        <f t="shared" si="60"/>
        <v>3.09278350515464E-2</v>
      </c>
      <c r="U829">
        <f t="shared" si="61"/>
        <v>0</v>
      </c>
      <c r="V829" s="4" t="str">
        <f t="shared" si="62"/>
        <v>0</v>
      </c>
      <c r="W829" s="4" t="str">
        <f t="shared" si="63"/>
        <v>3</v>
      </c>
      <c r="X829" s="4" t="str">
        <f t="shared" si="64"/>
        <v>0NON-HS3</v>
      </c>
      <c r="Y829">
        <f>VLOOKUP(X829,Sheet1!$J$5:$K$121,2,FALSE)</f>
        <v>0</v>
      </c>
    </row>
    <row r="830" spans="1:25" x14ac:dyDescent="0.25">
      <c r="A830" s="8">
        <f>[1]Data!A830</f>
        <v>408724</v>
      </c>
      <c r="B830" s="8">
        <f>[1]Data!B830</f>
        <v>3</v>
      </c>
      <c r="C830" s="8">
        <f>[1]Data!C830</f>
        <v>0</v>
      </c>
      <c r="D830" s="8">
        <f>[1]Data!D830</f>
        <v>4</v>
      </c>
      <c r="E830" s="8" t="str">
        <f>[1]Data!E830</f>
        <v>NON-HS</v>
      </c>
      <c r="F830" s="8" t="str">
        <f>[1]Data!F830</f>
        <v>Rowland Heights</v>
      </c>
      <c r="G830" s="8">
        <f>[1]Data!G830</f>
        <v>0</v>
      </c>
      <c r="H830" s="8">
        <f>[1]Data!H830</f>
        <v>0</v>
      </c>
      <c r="I830" s="8">
        <f>[1]Data!I830</f>
        <v>3.399</v>
      </c>
      <c r="J830" s="8">
        <f>[1]Data!J830</f>
        <v>3.1723287400000002</v>
      </c>
      <c r="K830" s="8">
        <f>[1]Data!K830</f>
        <v>3.1723287400000002</v>
      </c>
      <c r="L830" s="8">
        <f>[1]Data!L830</f>
        <v>0.22643751642728899</v>
      </c>
      <c r="M830" s="8">
        <f>[1]Data!M830</f>
        <v>3.3987662564272898</v>
      </c>
      <c r="N830" s="8">
        <f>[1]Data!N830</f>
        <v>3.09278350515464E-2</v>
      </c>
      <c r="O830" s="8">
        <f>[1]Data!O830</f>
        <v>0</v>
      </c>
      <c r="P830" s="8">
        <f>[1]Data!P830</f>
        <v>1</v>
      </c>
      <c r="Q830" s="8">
        <f>[1]Data!Q830</f>
        <v>0</v>
      </c>
      <c r="R830" s="8">
        <f>[1]Data!R830</f>
        <v>0</v>
      </c>
      <c r="S830" s="8">
        <f>[1]Data!S830</f>
        <v>0</v>
      </c>
      <c r="T830">
        <f t="shared" si="60"/>
        <v>3.09278350515464E-2</v>
      </c>
      <c r="U830">
        <f t="shared" si="61"/>
        <v>0</v>
      </c>
      <c r="V830" s="4" t="str">
        <f t="shared" si="62"/>
        <v>0</v>
      </c>
      <c r="W830" s="4" t="str">
        <f t="shared" si="63"/>
        <v>3</v>
      </c>
      <c r="X830" s="4" t="str">
        <f t="shared" si="64"/>
        <v>0NON-HS3</v>
      </c>
      <c r="Y830">
        <f>VLOOKUP(X830,Sheet1!$J$5:$K$121,2,FALSE)</f>
        <v>0</v>
      </c>
    </row>
    <row r="831" spans="1:25" x14ac:dyDescent="0.25">
      <c r="A831" s="8">
        <f>[1]Data!A831</f>
        <v>408630</v>
      </c>
      <c r="B831" s="8">
        <f>[1]Data!B831</f>
        <v>3</v>
      </c>
      <c r="C831" s="8">
        <f>[1]Data!C831</f>
        <v>0</v>
      </c>
      <c r="D831" s="8">
        <f>[1]Data!D831</f>
        <v>4</v>
      </c>
      <c r="E831" s="8" t="str">
        <f>[1]Data!E831</f>
        <v>NON-HS</v>
      </c>
      <c r="F831" s="8" t="str">
        <f>[1]Data!F831</f>
        <v>Hacienda Heights</v>
      </c>
      <c r="G831" s="8">
        <f>[1]Data!G831</f>
        <v>0</v>
      </c>
      <c r="H831" s="8">
        <f>[1]Data!H831</f>
        <v>0</v>
      </c>
      <c r="I831" s="8">
        <f>[1]Data!I831</f>
        <v>2</v>
      </c>
      <c r="J831" s="8">
        <f>[1]Data!J831</f>
        <v>0</v>
      </c>
      <c r="K831" s="8">
        <f>[1]Data!K831</f>
        <v>2</v>
      </c>
      <c r="L831" s="8">
        <f>[1]Data!L831</f>
        <v>0</v>
      </c>
      <c r="M831" s="8">
        <f>[1]Data!M831</f>
        <v>2</v>
      </c>
      <c r="N831" s="8">
        <f>[1]Data!N831</f>
        <v>3.09278350515464E-2</v>
      </c>
      <c r="O831" s="8">
        <f>[1]Data!O831</f>
        <v>0</v>
      </c>
      <c r="P831" s="8">
        <f>[1]Data!P831</f>
        <v>1</v>
      </c>
      <c r="Q831" s="8">
        <f>[1]Data!Q831</f>
        <v>0</v>
      </c>
      <c r="R831" s="8">
        <f>[1]Data!R831</f>
        <v>0</v>
      </c>
      <c r="S831" s="8">
        <f>[1]Data!S831</f>
        <v>0</v>
      </c>
      <c r="T831">
        <f t="shared" si="60"/>
        <v>3.09278350515464E-2</v>
      </c>
      <c r="U831">
        <f t="shared" si="61"/>
        <v>0</v>
      </c>
      <c r="V831" s="4" t="str">
        <f t="shared" si="62"/>
        <v>0</v>
      </c>
      <c r="W831" s="4" t="str">
        <f t="shared" si="63"/>
        <v>3</v>
      </c>
      <c r="X831" s="4" t="str">
        <f t="shared" si="64"/>
        <v>0NON-HS3</v>
      </c>
      <c r="Y831">
        <f>VLOOKUP(X831,Sheet1!$J$5:$K$121,2,FALSE)</f>
        <v>0</v>
      </c>
    </row>
    <row r="832" spans="1:25" x14ac:dyDescent="0.25">
      <c r="A832" s="8">
        <f>[1]Data!A832</f>
        <v>480901</v>
      </c>
      <c r="B832" s="8">
        <f>[1]Data!B832</f>
        <v>3</v>
      </c>
      <c r="C832" s="8">
        <f>[1]Data!C832</f>
        <v>0</v>
      </c>
      <c r="D832" s="8">
        <f>[1]Data!D832</f>
        <v>5</v>
      </c>
      <c r="E832" s="8" t="str">
        <f>[1]Data!E832</f>
        <v>NON-HS</v>
      </c>
      <c r="F832" s="8" t="str">
        <f>[1]Data!F832</f>
        <v>Alhambra</v>
      </c>
      <c r="G832" s="8">
        <f>[1]Data!G832</f>
        <v>0</v>
      </c>
      <c r="H832" s="8">
        <f>[1]Data!H832</f>
        <v>0</v>
      </c>
      <c r="I832" s="8">
        <f>[1]Data!I832</f>
        <v>3.399</v>
      </c>
      <c r="J832" s="8">
        <f>[1]Data!J832</f>
        <v>3.1723287400000002</v>
      </c>
      <c r="K832" s="8">
        <f>[1]Data!K832</f>
        <v>3.1723287400000002</v>
      </c>
      <c r="L832" s="8">
        <f>[1]Data!L832</f>
        <v>0.22643751642728899</v>
      </c>
      <c r="M832" s="8">
        <f>[1]Data!M832</f>
        <v>3.3987662564272898</v>
      </c>
      <c r="N832" s="8">
        <f>[1]Data!N832</f>
        <v>3.09278350515464E-2</v>
      </c>
      <c r="O832" s="8">
        <f>[1]Data!O832</f>
        <v>0</v>
      </c>
      <c r="P832" s="8">
        <f>[1]Data!P832</f>
        <v>1</v>
      </c>
      <c r="Q832" s="8">
        <f>[1]Data!Q832</f>
        <v>0</v>
      </c>
      <c r="R832" s="8">
        <f>[1]Data!R832</f>
        <v>0</v>
      </c>
      <c r="S832" s="8">
        <f>[1]Data!S832</f>
        <v>0</v>
      </c>
      <c r="T832">
        <f t="shared" si="60"/>
        <v>3.09278350515464E-2</v>
      </c>
      <c r="U832">
        <f t="shared" si="61"/>
        <v>0</v>
      </c>
      <c r="V832" s="4" t="str">
        <f t="shared" si="62"/>
        <v>0</v>
      </c>
      <c r="W832" s="4" t="str">
        <f t="shared" si="63"/>
        <v>3</v>
      </c>
      <c r="X832" s="4" t="str">
        <f t="shared" si="64"/>
        <v>0NON-HS3</v>
      </c>
      <c r="Y832">
        <f>VLOOKUP(X832,Sheet1!$J$5:$K$121,2,FALSE)</f>
        <v>0</v>
      </c>
    </row>
    <row r="833" spans="1:25" x14ac:dyDescent="0.25">
      <c r="A833" s="8">
        <f>[1]Data!A833</f>
        <v>432101</v>
      </c>
      <c r="B833" s="8">
        <f>[1]Data!B833</f>
        <v>3</v>
      </c>
      <c r="C833" s="8">
        <f>[1]Data!C833</f>
        <v>0</v>
      </c>
      <c r="D833" s="8">
        <f>[1]Data!D833</f>
        <v>5</v>
      </c>
      <c r="E833" s="8" t="str">
        <f>[1]Data!E833</f>
        <v>NON-HS</v>
      </c>
      <c r="F833" s="8" t="str">
        <f>[1]Data!F833</f>
        <v>Temple City</v>
      </c>
      <c r="G833" s="8">
        <f>[1]Data!G833</f>
        <v>0</v>
      </c>
      <c r="H833" s="8">
        <f>[1]Data!H833</f>
        <v>0</v>
      </c>
      <c r="I833" s="8">
        <f>[1]Data!I833</f>
        <v>0</v>
      </c>
      <c r="J833" s="8">
        <f>[1]Data!J833</f>
        <v>0</v>
      </c>
      <c r="K833" s="8">
        <f>[1]Data!K833</f>
        <v>0</v>
      </c>
      <c r="L833" s="8">
        <f>[1]Data!L833</f>
        <v>0</v>
      </c>
      <c r="M833" s="8">
        <f>[1]Data!M833</f>
        <v>0</v>
      </c>
      <c r="N833" s="8">
        <f>[1]Data!N833</f>
        <v>3.09278350515464E-2</v>
      </c>
      <c r="O833" s="8">
        <f>[1]Data!O833</f>
        <v>0</v>
      </c>
      <c r="P833" s="8">
        <f>[1]Data!P833</f>
        <v>1</v>
      </c>
      <c r="Q833" s="8">
        <f>[1]Data!Q833</f>
        <v>0</v>
      </c>
      <c r="R833" s="8">
        <f>[1]Data!R833</f>
        <v>0</v>
      </c>
      <c r="S833" s="8">
        <f>[1]Data!S833</f>
        <v>0</v>
      </c>
      <c r="T833">
        <f t="shared" si="60"/>
        <v>3.09278350515464E-2</v>
      </c>
      <c r="U833">
        <f t="shared" si="61"/>
        <v>0</v>
      </c>
      <c r="V833" s="4" t="str">
        <f t="shared" si="62"/>
        <v>0</v>
      </c>
      <c r="W833" s="4" t="str">
        <f t="shared" si="63"/>
        <v>3</v>
      </c>
      <c r="X833" s="4" t="str">
        <f t="shared" si="64"/>
        <v>0NON-HS3</v>
      </c>
      <c r="Y833">
        <f>VLOOKUP(X833,Sheet1!$J$5:$K$121,2,FALSE)</f>
        <v>0</v>
      </c>
    </row>
    <row r="834" spans="1:25" x14ac:dyDescent="0.25">
      <c r="A834" s="8">
        <f>[1]Data!A834</f>
        <v>403405</v>
      </c>
      <c r="B834" s="8">
        <f>[1]Data!B834</f>
        <v>3</v>
      </c>
      <c r="C834" s="8">
        <f>[1]Data!C834</f>
        <v>0</v>
      </c>
      <c r="D834" s="8">
        <f>[1]Data!D834</f>
        <v>1</v>
      </c>
      <c r="E834" s="8" t="str">
        <f>[1]Data!E834</f>
        <v>NON-HS</v>
      </c>
      <c r="F834" s="8" t="str">
        <f>[1]Data!F834</f>
        <v>Walnut</v>
      </c>
      <c r="G834" s="8">
        <f>[1]Data!G834</f>
        <v>0</v>
      </c>
      <c r="H834" s="8">
        <f>[1]Data!H834</f>
        <v>0</v>
      </c>
      <c r="I834" s="8">
        <f>[1]Data!I834</f>
        <v>2.0950000000000002</v>
      </c>
      <c r="J834" s="8">
        <f>[1]Data!J834</f>
        <v>1.9836996600000001</v>
      </c>
      <c r="K834" s="8">
        <f>[1]Data!K834</f>
        <v>1.9836996600000001</v>
      </c>
      <c r="L834" s="8">
        <f>[1]Data!L834</f>
        <v>0.11117260138240601</v>
      </c>
      <c r="M834" s="8">
        <f>[1]Data!M834</f>
        <v>2.09487226138241</v>
      </c>
      <c r="N834" s="8">
        <f>[1]Data!N834</f>
        <v>3.09278350515464E-2</v>
      </c>
      <c r="O834" s="8">
        <f>[1]Data!O834</f>
        <v>0</v>
      </c>
      <c r="P834" s="8">
        <f>[1]Data!P834</f>
        <v>1</v>
      </c>
      <c r="Q834" s="8">
        <f>[1]Data!Q834</f>
        <v>0</v>
      </c>
      <c r="R834" s="8">
        <f>[1]Data!R834</f>
        <v>0</v>
      </c>
      <c r="S834" s="8">
        <f>[1]Data!S834</f>
        <v>0</v>
      </c>
      <c r="T834">
        <f t="shared" si="60"/>
        <v>3.09278350515464E-2</v>
      </c>
      <c r="U834">
        <f t="shared" si="61"/>
        <v>0</v>
      </c>
      <c r="V834" s="4" t="str">
        <f t="shared" si="62"/>
        <v>0</v>
      </c>
      <c r="W834" s="4" t="str">
        <f t="shared" si="63"/>
        <v>3</v>
      </c>
      <c r="X834" s="4" t="str">
        <f t="shared" si="64"/>
        <v>0NON-HS3</v>
      </c>
      <c r="Y834">
        <f>VLOOKUP(X834,Sheet1!$J$5:$K$121,2,FALSE)</f>
        <v>0</v>
      </c>
    </row>
    <row r="835" spans="1:25" x14ac:dyDescent="0.25">
      <c r="A835" s="8">
        <f>[1]Data!A835</f>
        <v>400204</v>
      </c>
      <c r="B835" s="8">
        <f>[1]Data!B835</f>
        <v>3</v>
      </c>
      <c r="C835" s="8">
        <f>[1]Data!C835</f>
        <v>0</v>
      </c>
      <c r="D835" s="8">
        <f>[1]Data!D835</f>
        <v>5</v>
      </c>
      <c r="E835" s="8" t="str">
        <f>[1]Data!E835</f>
        <v>NON-HS</v>
      </c>
      <c r="F835" s="8" t="str">
        <f>[1]Data!F835</f>
        <v>La Verne</v>
      </c>
      <c r="G835" s="8">
        <f>[1]Data!G835</f>
        <v>0</v>
      </c>
      <c r="H835" s="8">
        <f>[1]Data!H835</f>
        <v>0</v>
      </c>
      <c r="I835" s="8">
        <f>[1]Data!I835</f>
        <v>0</v>
      </c>
      <c r="J835" s="8">
        <f>[1]Data!J835</f>
        <v>0</v>
      </c>
      <c r="K835" s="8">
        <f>[1]Data!K835</f>
        <v>0</v>
      </c>
      <c r="L835" s="8">
        <f>[1]Data!L835</f>
        <v>0</v>
      </c>
      <c r="M835" s="8">
        <f>[1]Data!M835</f>
        <v>0</v>
      </c>
      <c r="N835" s="8">
        <f>[1]Data!N835</f>
        <v>3.09278350515464E-2</v>
      </c>
      <c r="O835" s="8">
        <f>[1]Data!O835</f>
        <v>0</v>
      </c>
      <c r="P835" s="8">
        <f>[1]Data!P835</f>
        <v>1</v>
      </c>
      <c r="Q835" s="8">
        <f>[1]Data!Q835</f>
        <v>0</v>
      </c>
      <c r="R835" s="8">
        <f>[1]Data!R835</f>
        <v>0</v>
      </c>
      <c r="S835" s="8">
        <f>[1]Data!S835</f>
        <v>0</v>
      </c>
      <c r="T835">
        <f t="shared" ref="T835:T898" si="65">N835+Y835*(1-N835)</f>
        <v>3.09278350515464E-2</v>
      </c>
      <c r="U835">
        <f t="shared" ref="U835:U898" si="66">IF(T835="",0,1/T835*H835)</f>
        <v>0</v>
      </c>
      <c r="V835" s="4" t="str">
        <f t="shared" ref="V835:V898" si="67">TEXT(C835,"0")</f>
        <v>0</v>
      </c>
      <c r="W835" s="4" t="str">
        <f t="shared" ref="W835:W898" si="68">TEXT(B835,"0")</f>
        <v>3</v>
      </c>
      <c r="X835" s="4" t="str">
        <f t="shared" ref="X835:X898" si="69">CONCATENATE(V835,E835,W835)</f>
        <v>0NON-HS3</v>
      </c>
      <c r="Y835">
        <f>VLOOKUP(X835,Sheet1!$J$5:$K$121,2,FALSE)</f>
        <v>0</v>
      </c>
    </row>
    <row r="836" spans="1:25" x14ac:dyDescent="0.25">
      <c r="A836" s="8">
        <f>[1]Data!A836</f>
        <v>482001</v>
      </c>
      <c r="B836" s="8">
        <f>[1]Data!B836</f>
        <v>3</v>
      </c>
      <c r="C836" s="8">
        <f>[1]Data!C836</f>
        <v>0</v>
      </c>
      <c r="D836" s="8">
        <f>[1]Data!D836</f>
        <v>1</v>
      </c>
      <c r="E836" s="8" t="str">
        <f>[1]Data!E836</f>
        <v>NON-HS</v>
      </c>
      <c r="F836" s="8" t="str">
        <f>[1]Data!F836</f>
        <v>Monterey Park</v>
      </c>
      <c r="G836" s="8">
        <f>[1]Data!G836</f>
        <v>1</v>
      </c>
      <c r="H836" s="8">
        <f>[1]Data!H836</f>
        <v>1</v>
      </c>
      <c r="I836" s="8">
        <f>[1]Data!I836</f>
        <v>0</v>
      </c>
      <c r="J836" s="8">
        <f>[1]Data!J836</f>
        <v>0</v>
      </c>
      <c r="K836" s="8">
        <f>[1]Data!K836</f>
        <v>0</v>
      </c>
      <c r="L836" s="8">
        <f>[1]Data!L836</f>
        <v>0</v>
      </c>
      <c r="M836" s="8">
        <f>[1]Data!M836</f>
        <v>0</v>
      </c>
      <c r="N836" s="8">
        <f>[1]Data!N836</f>
        <v>3.09278350515464E-2</v>
      </c>
      <c r="O836" s="8">
        <f>[1]Data!O836</f>
        <v>32.3333333333333</v>
      </c>
      <c r="P836" s="8">
        <f>[1]Data!P836</f>
        <v>1</v>
      </c>
      <c r="Q836" s="8">
        <f>[1]Data!Q836</f>
        <v>0</v>
      </c>
      <c r="R836" s="8">
        <f>[1]Data!R836</f>
        <v>0</v>
      </c>
      <c r="S836" s="8">
        <f>[1]Data!S836</f>
        <v>0</v>
      </c>
      <c r="T836">
        <f t="shared" si="65"/>
        <v>3.09278350515464E-2</v>
      </c>
      <c r="U836">
        <f t="shared" si="66"/>
        <v>32.333333333333321</v>
      </c>
      <c r="V836" s="4" t="str">
        <f t="shared" si="67"/>
        <v>0</v>
      </c>
      <c r="W836" s="4" t="str">
        <f t="shared" si="68"/>
        <v>3</v>
      </c>
      <c r="X836" s="4" t="str">
        <f t="shared" si="69"/>
        <v>0NON-HS3</v>
      </c>
      <c r="Y836">
        <f>VLOOKUP(X836,Sheet1!$J$5:$K$121,2,FALSE)</f>
        <v>0</v>
      </c>
    </row>
    <row r="837" spans="1:25" x14ac:dyDescent="0.25">
      <c r="A837" s="8">
        <f>[1]Data!A837</f>
        <v>482702</v>
      </c>
      <c r="B837" s="8">
        <f>[1]Data!B837</f>
        <v>3</v>
      </c>
      <c r="C837" s="8">
        <f>[1]Data!C837</f>
        <v>0</v>
      </c>
      <c r="D837" s="8">
        <f>[1]Data!D837</f>
        <v>1</v>
      </c>
      <c r="E837" s="8" t="str">
        <f>[1]Data!E837</f>
        <v>NON-HS</v>
      </c>
      <c r="F837" s="8" t="str">
        <f>[1]Data!F837</f>
        <v>Monterey Park</v>
      </c>
      <c r="G837" s="8">
        <f>[1]Data!G837</f>
        <v>0</v>
      </c>
      <c r="H837" s="8">
        <f>[1]Data!H837</f>
        <v>0</v>
      </c>
      <c r="I837" s="8">
        <f>[1]Data!I837</f>
        <v>1</v>
      </c>
      <c r="J837" s="8">
        <f>[1]Data!J837</f>
        <v>0</v>
      </c>
      <c r="K837" s="8">
        <f>[1]Data!K837</f>
        <v>1</v>
      </c>
      <c r="L837" s="8">
        <f>[1]Data!L837</f>
        <v>0</v>
      </c>
      <c r="M837" s="8">
        <f>[1]Data!M837</f>
        <v>1</v>
      </c>
      <c r="N837" s="8">
        <f>[1]Data!N837</f>
        <v>3.09278350515464E-2</v>
      </c>
      <c r="O837" s="8">
        <f>[1]Data!O837</f>
        <v>0</v>
      </c>
      <c r="P837" s="8">
        <f>[1]Data!P837</f>
        <v>1</v>
      </c>
      <c r="Q837" s="8">
        <f>[1]Data!Q837</f>
        <v>0</v>
      </c>
      <c r="R837" s="8">
        <f>[1]Data!R837</f>
        <v>0</v>
      </c>
      <c r="S837" s="8">
        <f>[1]Data!S837</f>
        <v>0</v>
      </c>
      <c r="T837">
        <f t="shared" si="65"/>
        <v>3.09278350515464E-2</v>
      </c>
      <c r="U837">
        <f t="shared" si="66"/>
        <v>0</v>
      </c>
      <c r="V837" s="4" t="str">
        <f t="shared" si="67"/>
        <v>0</v>
      </c>
      <c r="W837" s="4" t="str">
        <f t="shared" si="68"/>
        <v>3</v>
      </c>
      <c r="X837" s="4" t="str">
        <f t="shared" si="69"/>
        <v>0NON-HS3</v>
      </c>
      <c r="Y837">
        <f>VLOOKUP(X837,Sheet1!$J$5:$K$121,2,FALSE)</f>
        <v>0</v>
      </c>
    </row>
    <row r="838" spans="1:25" x14ac:dyDescent="0.25">
      <c r="A838" s="8">
        <f>[1]Data!A838</f>
        <v>408705</v>
      </c>
      <c r="B838" s="8">
        <f>[1]Data!B838</f>
        <v>3</v>
      </c>
      <c r="C838" s="8">
        <f>[1]Data!C838</f>
        <v>0</v>
      </c>
      <c r="D838" s="8">
        <f>[1]Data!D838</f>
        <v>4</v>
      </c>
      <c r="E838" s="8" t="str">
        <f>[1]Data!E838</f>
        <v>NON-HS</v>
      </c>
      <c r="F838" s="8" t="str">
        <f>[1]Data!F838</f>
        <v>Rowland Heights</v>
      </c>
      <c r="G838" s="8">
        <f>[1]Data!G838</f>
        <v>0</v>
      </c>
      <c r="H838" s="8">
        <f>[1]Data!H838</f>
        <v>0</v>
      </c>
      <c r="I838" s="8">
        <f>[1]Data!I838</f>
        <v>3.9260000000000002</v>
      </c>
      <c r="J838" s="8">
        <f>[1]Data!J838</f>
        <v>1.90487994</v>
      </c>
      <c r="K838" s="8">
        <f>[1]Data!K838</f>
        <v>3.9048799399999998</v>
      </c>
      <c r="L838" s="8">
        <f>[1]Data!L838</f>
        <v>2.0625322082585301E-2</v>
      </c>
      <c r="M838" s="8">
        <f>[1]Data!M838</f>
        <v>3.9255052620825901</v>
      </c>
      <c r="N838" s="8">
        <f>[1]Data!N838</f>
        <v>3.09278350515464E-2</v>
      </c>
      <c r="O838" s="8">
        <f>[1]Data!O838</f>
        <v>0</v>
      </c>
      <c r="P838" s="8">
        <f>[1]Data!P838</f>
        <v>1</v>
      </c>
      <c r="Q838" s="8">
        <f>[1]Data!Q838</f>
        <v>0</v>
      </c>
      <c r="R838" s="8">
        <f>[1]Data!R838</f>
        <v>0</v>
      </c>
      <c r="S838" s="8">
        <f>[1]Data!S838</f>
        <v>0</v>
      </c>
      <c r="T838">
        <f t="shared" si="65"/>
        <v>3.09278350515464E-2</v>
      </c>
      <c r="U838">
        <f t="shared" si="66"/>
        <v>0</v>
      </c>
      <c r="V838" s="4" t="str">
        <f t="shared" si="67"/>
        <v>0</v>
      </c>
      <c r="W838" s="4" t="str">
        <f t="shared" si="68"/>
        <v>3</v>
      </c>
      <c r="X838" s="4" t="str">
        <f t="shared" si="69"/>
        <v>0NON-HS3</v>
      </c>
      <c r="Y838">
        <f>VLOOKUP(X838,Sheet1!$J$5:$K$121,2,FALSE)</f>
        <v>0</v>
      </c>
    </row>
    <row r="839" spans="1:25" x14ac:dyDescent="0.25">
      <c r="A839" s="8">
        <f>[1]Data!A839</f>
        <v>404503</v>
      </c>
      <c r="B839" s="8">
        <f>[1]Data!B839</f>
        <v>3</v>
      </c>
      <c r="C839" s="8">
        <f>[1]Data!C839</f>
        <v>0</v>
      </c>
      <c r="D839" s="8">
        <f>[1]Data!D839</f>
        <v>1</v>
      </c>
      <c r="E839" s="8" t="str">
        <f>[1]Data!E839</f>
        <v>NON-HS</v>
      </c>
      <c r="F839" s="8" t="str">
        <f>[1]Data!F839</f>
        <v>Azusa</v>
      </c>
      <c r="G839" s="8">
        <f>[1]Data!G839</f>
        <v>0</v>
      </c>
      <c r="H839" s="8">
        <f>[1]Data!H839</f>
        <v>0</v>
      </c>
      <c r="I839" s="8">
        <f>[1]Data!I839</f>
        <v>2.9260000000000002</v>
      </c>
      <c r="J839" s="8">
        <f>[1]Data!J839</f>
        <v>1.90487994</v>
      </c>
      <c r="K839" s="8">
        <f>[1]Data!K839</f>
        <v>2.9048799399999998</v>
      </c>
      <c r="L839" s="8">
        <f>[1]Data!L839</f>
        <v>2.0625322082585301E-2</v>
      </c>
      <c r="M839" s="8">
        <f>[1]Data!M839</f>
        <v>2.9255052620825901</v>
      </c>
      <c r="N839" s="8">
        <f>[1]Data!N839</f>
        <v>3.09278350515464E-2</v>
      </c>
      <c r="O839" s="8">
        <f>[1]Data!O839</f>
        <v>0</v>
      </c>
      <c r="P839" s="8">
        <f>[1]Data!P839</f>
        <v>1</v>
      </c>
      <c r="Q839" s="8">
        <f>[1]Data!Q839</f>
        <v>0</v>
      </c>
      <c r="R839" s="8">
        <f>[1]Data!R839</f>
        <v>0</v>
      </c>
      <c r="S839" s="8">
        <f>[1]Data!S839</f>
        <v>0</v>
      </c>
      <c r="T839">
        <f t="shared" si="65"/>
        <v>3.09278350515464E-2</v>
      </c>
      <c r="U839">
        <f t="shared" si="66"/>
        <v>0</v>
      </c>
      <c r="V839" s="4" t="str">
        <f t="shared" si="67"/>
        <v>0</v>
      </c>
      <c r="W839" s="4" t="str">
        <f t="shared" si="68"/>
        <v>3</v>
      </c>
      <c r="X839" s="4" t="str">
        <f t="shared" si="69"/>
        <v>0NON-HS3</v>
      </c>
      <c r="Y839">
        <f>VLOOKUP(X839,Sheet1!$J$5:$K$121,2,FALSE)</f>
        <v>0</v>
      </c>
    </row>
    <row r="840" spans="1:25" x14ac:dyDescent="0.25">
      <c r="A840" s="8">
        <f>[1]Data!A840</f>
        <v>408623</v>
      </c>
      <c r="B840" s="8">
        <f>[1]Data!B840</f>
        <v>3</v>
      </c>
      <c r="C840" s="8">
        <f>[1]Data!C840</f>
        <v>0</v>
      </c>
      <c r="D840" s="8">
        <f>[1]Data!D840</f>
        <v>4</v>
      </c>
      <c r="E840" s="8" t="str">
        <f>[1]Data!E840</f>
        <v>NON-HS</v>
      </c>
      <c r="F840" s="8" t="str">
        <f>[1]Data!F840</f>
        <v>Hacienda Heights</v>
      </c>
      <c r="G840" s="8">
        <f>[1]Data!G840</f>
        <v>0</v>
      </c>
      <c r="H840" s="8">
        <f>[1]Data!H840</f>
        <v>0</v>
      </c>
      <c r="I840" s="8">
        <f>[1]Data!I840</f>
        <v>1</v>
      </c>
      <c r="J840" s="8">
        <f>[1]Data!J840</f>
        <v>0</v>
      </c>
      <c r="K840" s="8">
        <f>[1]Data!K840</f>
        <v>1</v>
      </c>
      <c r="L840" s="8">
        <f>[1]Data!L840</f>
        <v>0</v>
      </c>
      <c r="M840" s="8">
        <f>[1]Data!M840</f>
        <v>1</v>
      </c>
      <c r="N840" s="8">
        <f>[1]Data!N840</f>
        <v>3.09278350515464E-2</v>
      </c>
      <c r="O840" s="8">
        <f>[1]Data!O840</f>
        <v>0</v>
      </c>
      <c r="P840" s="8">
        <f>[1]Data!P840</f>
        <v>1</v>
      </c>
      <c r="Q840" s="8">
        <f>[1]Data!Q840</f>
        <v>0</v>
      </c>
      <c r="R840" s="8">
        <f>[1]Data!R840</f>
        <v>0</v>
      </c>
      <c r="S840" s="8">
        <f>[1]Data!S840</f>
        <v>0</v>
      </c>
      <c r="T840">
        <f t="shared" si="65"/>
        <v>3.09278350515464E-2</v>
      </c>
      <c r="U840">
        <f t="shared" si="66"/>
        <v>0</v>
      </c>
      <c r="V840" s="4" t="str">
        <f t="shared" si="67"/>
        <v>0</v>
      </c>
      <c r="W840" s="4" t="str">
        <f t="shared" si="68"/>
        <v>3</v>
      </c>
      <c r="X840" s="4" t="str">
        <f t="shared" si="69"/>
        <v>0NON-HS3</v>
      </c>
      <c r="Y840">
        <f>VLOOKUP(X840,Sheet1!$J$5:$K$121,2,FALSE)</f>
        <v>0</v>
      </c>
    </row>
    <row r="841" spans="1:25" x14ac:dyDescent="0.25">
      <c r="A841" s="8">
        <f>[1]Data!A841</f>
        <v>481606</v>
      </c>
      <c r="B841" s="8">
        <f>[1]Data!B841</f>
        <v>3</v>
      </c>
      <c r="C841" s="8">
        <f>[1]Data!C841</f>
        <v>0</v>
      </c>
      <c r="D841" s="8">
        <f>[1]Data!D841</f>
        <v>5</v>
      </c>
      <c r="E841" s="8" t="str">
        <f>[1]Data!E841</f>
        <v>NON-HS</v>
      </c>
      <c r="F841" s="8" t="str">
        <f>[1]Data!F841</f>
        <v>Alhambra</v>
      </c>
      <c r="G841" s="8">
        <f>[1]Data!G841</f>
        <v>0</v>
      </c>
      <c r="H841" s="8">
        <f>[1]Data!H841</f>
        <v>0</v>
      </c>
      <c r="I841" s="8">
        <f>[1]Data!I841</f>
        <v>3.181</v>
      </c>
      <c r="J841" s="8">
        <f>[1]Data!J841</f>
        <v>2.87839314</v>
      </c>
      <c r="K841" s="8">
        <f>[1]Data!K841</f>
        <v>2.87839314</v>
      </c>
      <c r="L841" s="8">
        <f>[1]Data!L841</f>
        <v>0.30290401228007202</v>
      </c>
      <c r="M841" s="8">
        <f>[1]Data!M841</f>
        <v>3.1812971522800702</v>
      </c>
      <c r="N841" s="8">
        <f>[1]Data!N841</f>
        <v>3.09278350515464E-2</v>
      </c>
      <c r="O841" s="8">
        <f>[1]Data!O841</f>
        <v>0</v>
      </c>
      <c r="P841" s="8">
        <f>[1]Data!P841</f>
        <v>1</v>
      </c>
      <c r="Q841" s="8">
        <f>[1]Data!Q841</f>
        <v>0</v>
      </c>
      <c r="R841" s="8">
        <f>[1]Data!R841</f>
        <v>0</v>
      </c>
      <c r="S841" s="8">
        <f>[1]Data!S841</f>
        <v>0</v>
      </c>
      <c r="T841">
        <f t="shared" si="65"/>
        <v>3.09278350515464E-2</v>
      </c>
      <c r="U841">
        <f t="shared" si="66"/>
        <v>0</v>
      </c>
      <c r="V841" s="4" t="str">
        <f t="shared" si="67"/>
        <v>0</v>
      </c>
      <c r="W841" s="4" t="str">
        <f t="shared" si="68"/>
        <v>3</v>
      </c>
      <c r="X841" s="4" t="str">
        <f t="shared" si="69"/>
        <v>0NON-HS3</v>
      </c>
      <c r="Y841">
        <f>VLOOKUP(X841,Sheet1!$J$5:$K$121,2,FALSE)</f>
        <v>0</v>
      </c>
    </row>
    <row r="842" spans="1:25" x14ac:dyDescent="0.25">
      <c r="A842" s="8">
        <f>[1]Data!A842</f>
        <v>481714</v>
      </c>
      <c r="B842" s="8">
        <f>[1]Data!B842</f>
        <v>3</v>
      </c>
      <c r="C842" s="8">
        <f>[1]Data!C842</f>
        <v>0</v>
      </c>
      <c r="D842" s="8">
        <f>[1]Data!D842</f>
        <v>1</v>
      </c>
      <c r="E842" s="8" t="str">
        <f>[1]Data!E842</f>
        <v>NON-HS</v>
      </c>
      <c r="F842" s="8" t="str">
        <f>[1]Data!F842</f>
        <v>Monterey Park</v>
      </c>
      <c r="G842" s="8">
        <f>[1]Data!G842</f>
        <v>0</v>
      </c>
      <c r="H842" s="8">
        <f>[1]Data!H842</f>
        <v>0</v>
      </c>
      <c r="I842" s="8">
        <f>[1]Data!I842</f>
        <v>0</v>
      </c>
      <c r="J842" s="8">
        <f>[1]Data!J842</f>
        <v>0</v>
      </c>
      <c r="K842" s="8">
        <f>[1]Data!K842</f>
        <v>0</v>
      </c>
      <c r="L842" s="8">
        <f>[1]Data!L842</f>
        <v>0</v>
      </c>
      <c r="M842" s="8">
        <f>[1]Data!M842</f>
        <v>0</v>
      </c>
      <c r="N842" s="8">
        <f>[1]Data!N842</f>
        <v>3.09278350515464E-2</v>
      </c>
      <c r="O842" s="8">
        <f>[1]Data!O842</f>
        <v>0</v>
      </c>
      <c r="P842" s="8">
        <f>[1]Data!P842</f>
        <v>1</v>
      </c>
      <c r="Q842" s="8">
        <f>[1]Data!Q842</f>
        <v>0</v>
      </c>
      <c r="R842" s="8">
        <f>[1]Data!R842</f>
        <v>0</v>
      </c>
      <c r="S842" s="8">
        <f>[1]Data!S842</f>
        <v>0</v>
      </c>
      <c r="T842">
        <f t="shared" si="65"/>
        <v>3.09278350515464E-2</v>
      </c>
      <c r="U842">
        <f t="shared" si="66"/>
        <v>0</v>
      </c>
      <c r="V842" s="4" t="str">
        <f t="shared" si="67"/>
        <v>0</v>
      </c>
      <c r="W842" s="4" t="str">
        <f t="shared" si="68"/>
        <v>3</v>
      </c>
      <c r="X842" s="4" t="str">
        <f t="shared" si="69"/>
        <v>0NON-HS3</v>
      </c>
      <c r="Y842">
        <f>VLOOKUP(X842,Sheet1!$J$5:$K$121,2,FALSE)</f>
        <v>0</v>
      </c>
    </row>
    <row r="843" spans="1:25" x14ac:dyDescent="0.25">
      <c r="A843" s="8">
        <f>[1]Data!A843</f>
        <v>480303</v>
      </c>
      <c r="B843" s="8">
        <f>[1]Data!B843</f>
        <v>3</v>
      </c>
      <c r="C843" s="8">
        <f>[1]Data!C843</f>
        <v>0</v>
      </c>
      <c r="D843" s="8">
        <f>[1]Data!D843</f>
        <v>5</v>
      </c>
      <c r="E843" s="8" t="str">
        <f>[1]Data!E843</f>
        <v>NON-HS</v>
      </c>
      <c r="F843" s="8" t="str">
        <f>[1]Data!F843</f>
        <v>Alhambra</v>
      </c>
      <c r="G843" s="8">
        <f>[1]Data!G843</f>
        <v>0</v>
      </c>
      <c r="H843" s="8">
        <f>[1]Data!H843</f>
        <v>0</v>
      </c>
      <c r="I843" s="8">
        <f>[1]Data!I843</f>
        <v>0</v>
      </c>
      <c r="J843" s="8">
        <f>[1]Data!J843</f>
        <v>0</v>
      </c>
      <c r="K843" s="8">
        <f>[1]Data!K843</f>
        <v>0</v>
      </c>
      <c r="L843" s="8">
        <f>[1]Data!L843</f>
        <v>0</v>
      </c>
      <c r="M843" s="8">
        <f>[1]Data!M843</f>
        <v>0</v>
      </c>
      <c r="N843" s="8">
        <f>[1]Data!N843</f>
        <v>3.09278350515464E-2</v>
      </c>
      <c r="O843" s="8">
        <f>[1]Data!O843</f>
        <v>0</v>
      </c>
      <c r="P843" s="8">
        <f>[1]Data!P843</f>
        <v>1</v>
      </c>
      <c r="Q843" s="8">
        <f>[1]Data!Q843</f>
        <v>0</v>
      </c>
      <c r="R843" s="8">
        <f>[1]Data!R843</f>
        <v>0</v>
      </c>
      <c r="S843" s="8">
        <f>[1]Data!S843</f>
        <v>0</v>
      </c>
      <c r="T843">
        <f t="shared" si="65"/>
        <v>3.09278350515464E-2</v>
      </c>
      <c r="U843">
        <f t="shared" si="66"/>
        <v>0</v>
      </c>
      <c r="V843" s="4" t="str">
        <f t="shared" si="67"/>
        <v>0</v>
      </c>
      <c r="W843" s="4" t="str">
        <f t="shared" si="68"/>
        <v>3</v>
      </c>
      <c r="X843" s="4" t="str">
        <f t="shared" si="69"/>
        <v>0NON-HS3</v>
      </c>
      <c r="Y843">
        <f>VLOOKUP(X843,Sheet1!$J$5:$K$121,2,FALSE)</f>
        <v>0</v>
      </c>
    </row>
    <row r="844" spans="1:25" x14ac:dyDescent="0.25">
      <c r="A844" s="8">
        <f>[1]Data!A844</f>
        <v>481002</v>
      </c>
      <c r="B844" s="8">
        <f>[1]Data!B844</f>
        <v>3</v>
      </c>
      <c r="C844" s="8">
        <f>[1]Data!C844</f>
        <v>0</v>
      </c>
      <c r="D844" s="8">
        <f>[1]Data!D844</f>
        <v>5</v>
      </c>
      <c r="E844" s="8" t="str">
        <f>[1]Data!E844</f>
        <v>NON-HS</v>
      </c>
      <c r="F844" s="8" t="str">
        <f>[1]Data!F844</f>
        <v>Alhambra</v>
      </c>
      <c r="G844" s="8">
        <f>[1]Data!G844</f>
        <v>0</v>
      </c>
      <c r="H844" s="8">
        <f>[1]Data!H844</f>
        <v>0</v>
      </c>
      <c r="I844" s="8">
        <f>[1]Data!I844</f>
        <v>0</v>
      </c>
      <c r="J844" s="8">
        <f>[1]Data!J844</f>
        <v>0</v>
      </c>
      <c r="K844" s="8">
        <f>[1]Data!K844</f>
        <v>0</v>
      </c>
      <c r="L844" s="8">
        <f>[1]Data!L844</f>
        <v>0</v>
      </c>
      <c r="M844" s="8">
        <f>[1]Data!M844</f>
        <v>0</v>
      </c>
      <c r="N844" s="8">
        <f>[1]Data!N844</f>
        <v>3.09278350515464E-2</v>
      </c>
      <c r="O844" s="8">
        <f>[1]Data!O844</f>
        <v>0</v>
      </c>
      <c r="P844" s="8">
        <f>[1]Data!P844</f>
        <v>1</v>
      </c>
      <c r="Q844" s="8">
        <f>[1]Data!Q844</f>
        <v>0</v>
      </c>
      <c r="R844" s="8">
        <f>[1]Data!R844</f>
        <v>0</v>
      </c>
      <c r="S844" s="8">
        <f>[1]Data!S844</f>
        <v>0</v>
      </c>
      <c r="T844">
        <f t="shared" si="65"/>
        <v>3.09278350515464E-2</v>
      </c>
      <c r="U844">
        <f t="shared" si="66"/>
        <v>0</v>
      </c>
      <c r="V844" s="4" t="str">
        <f t="shared" si="67"/>
        <v>0</v>
      </c>
      <c r="W844" s="4" t="str">
        <f t="shared" si="68"/>
        <v>3</v>
      </c>
      <c r="X844" s="4" t="str">
        <f t="shared" si="69"/>
        <v>0NON-HS3</v>
      </c>
      <c r="Y844">
        <f>VLOOKUP(X844,Sheet1!$J$5:$K$121,2,FALSE)</f>
        <v>0</v>
      </c>
    </row>
    <row r="845" spans="1:25" x14ac:dyDescent="0.25">
      <c r="A845" s="8">
        <f>[1]Data!A845</f>
        <v>430502</v>
      </c>
      <c r="B845" s="8">
        <f>[1]Data!B845</f>
        <v>3</v>
      </c>
      <c r="C845" s="8">
        <f>[1]Data!C845</f>
        <v>0</v>
      </c>
      <c r="D845" s="8">
        <f>[1]Data!D845</f>
        <v>5</v>
      </c>
      <c r="E845" s="8" t="str">
        <f>[1]Data!E845</f>
        <v>NON-HS</v>
      </c>
      <c r="F845" s="8" t="str">
        <f>[1]Data!F845</f>
        <v>Sierra Madre</v>
      </c>
      <c r="G845" s="8">
        <f>[1]Data!G845</f>
        <v>0</v>
      </c>
      <c r="H845" s="8">
        <f>[1]Data!H845</f>
        <v>0</v>
      </c>
      <c r="I845" s="8">
        <f>[1]Data!I845</f>
        <v>1</v>
      </c>
      <c r="J845" s="8">
        <f>[1]Data!J845</f>
        <v>0</v>
      </c>
      <c r="K845" s="8">
        <f>[1]Data!K845</f>
        <v>1</v>
      </c>
      <c r="L845" s="8">
        <f>[1]Data!L845</f>
        <v>0</v>
      </c>
      <c r="M845" s="8">
        <f>[1]Data!M845</f>
        <v>1</v>
      </c>
      <c r="N845" s="8">
        <f>[1]Data!N845</f>
        <v>3.09278350515464E-2</v>
      </c>
      <c r="O845" s="8">
        <f>[1]Data!O845</f>
        <v>0</v>
      </c>
      <c r="P845" s="8">
        <f>[1]Data!P845</f>
        <v>1</v>
      </c>
      <c r="Q845" s="8">
        <f>[1]Data!Q845</f>
        <v>0</v>
      </c>
      <c r="R845" s="8">
        <f>[1]Data!R845</f>
        <v>0</v>
      </c>
      <c r="S845" s="8">
        <f>[1]Data!S845</f>
        <v>0</v>
      </c>
      <c r="T845">
        <f t="shared" si="65"/>
        <v>3.09278350515464E-2</v>
      </c>
      <c r="U845">
        <f t="shared" si="66"/>
        <v>0</v>
      </c>
      <c r="V845" s="4" t="str">
        <f t="shared" si="67"/>
        <v>0</v>
      </c>
      <c r="W845" s="4" t="str">
        <f t="shared" si="68"/>
        <v>3</v>
      </c>
      <c r="X845" s="4" t="str">
        <f t="shared" si="69"/>
        <v>0NON-HS3</v>
      </c>
      <c r="Y845">
        <f>VLOOKUP(X845,Sheet1!$J$5:$K$121,2,FALSE)</f>
        <v>0</v>
      </c>
    </row>
    <row r="846" spans="1:25" x14ac:dyDescent="0.25">
      <c r="A846" s="8">
        <f>[1]Data!A846</f>
        <v>403323</v>
      </c>
      <c r="B846" s="8">
        <f>[1]Data!B846</f>
        <v>3</v>
      </c>
      <c r="C846" s="8">
        <f>[1]Data!C846</f>
        <v>0</v>
      </c>
      <c r="D846" s="8">
        <f>[1]Data!D846</f>
        <v>4</v>
      </c>
      <c r="E846" s="8" t="str">
        <f>[1]Data!E846</f>
        <v>NON-HS</v>
      </c>
      <c r="F846" s="8" t="str">
        <f>[1]Data!F846</f>
        <v>Diamond Bar</v>
      </c>
      <c r="G846" s="8">
        <f>[1]Data!G846</f>
        <v>0</v>
      </c>
      <c r="H846" s="8">
        <f>[1]Data!H846</f>
        <v>0</v>
      </c>
      <c r="I846" s="8">
        <f>[1]Data!I846</f>
        <v>0</v>
      </c>
      <c r="J846" s="8">
        <f>[1]Data!J846</f>
        <v>0</v>
      </c>
      <c r="K846" s="8">
        <f>[1]Data!K846</f>
        <v>0</v>
      </c>
      <c r="L846" s="8">
        <f>[1]Data!L846</f>
        <v>0</v>
      </c>
      <c r="M846" s="8">
        <f>[1]Data!M846</f>
        <v>0</v>
      </c>
      <c r="N846" s="8">
        <f>[1]Data!N846</f>
        <v>3.09278350515464E-2</v>
      </c>
      <c r="O846" s="8">
        <f>[1]Data!O846</f>
        <v>0</v>
      </c>
      <c r="P846" s="8">
        <f>[1]Data!P846</f>
        <v>1</v>
      </c>
      <c r="Q846" s="8">
        <f>[1]Data!Q846</f>
        <v>0</v>
      </c>
      <c r="R846" s="8">
        <f>[1]Data!R846</f>
        <v>0</v>
      </c>
      <c r="S846" s="8">
        <f>[1]Data!S846</f>
        <v>0</v>
      </c>
      <c r="T846">
        <f t="shared" si="65"/>
        <v>3.09278350515464E-2</v>
      </c>
      <c r="U846">
        <f t="shared" si="66"/>
        <v>0</v>
      </c>
      <c r="V846" s="4" t="str">
        <f t="shared" si="67"/>
        <v>0</v>
      </c>
      <c r="W846" s="4" t="str">
        <f t="shared" si="68"/>
        <v>3</v>
      </c>
      <c r="X846" s="4" t="str">
        <f t="shared" si="69"/>
        <v>0NON-HS3</v>
      </c>
      <c r="Y846">
        <f>VLOOKUP(X846,Sheet1!$J$5:$K$121,2,FALSE)</f>
        <v>0</v>
      </c>
    </row>
    <row r="847" spans="1:25" x14ac:dyDescent="0.25">
      <c r="A847" s="8">
        <f>[1]Data!A847</f>
        <v>404000</v>
      </c>
      <c r="B847" s="8">
        <f>[1]Data!B847</f>
        <v>3</v>
      </c>
      <c r="C847" s="8">
        <f>[1]Data!C847</f>
        <v>0</v>
      </c>
      <c r="D847" s="8">
        <f>[1]Data!D847</f>
        <v>1</v>
      </c>
      <c r="E847" s="8" t="str">
        <f>[1]Data!E847</f>
        <v>NON-HS</v>
      </c>
      <c r="F847" s="8" t="str">
        <f>[1]Data!F847</f>
        <v>Citrus</v>
      </c>
      <c r="G847" s="8">
        <f>[1]Data!G847</f>
        <v>0</v>
      </c>
      <c r="H847" s="8">
        <f>[1]Data!H847</f>
        <v>0</v>
      </c>
      <c r="I847" s="8">
        <f>[1]Data!I847</f>
        <v>0</v>
      </c>
      <c r="J847" s="8">
        <f>[1]Data!J847</f>
        <v>0</v>
      </c>
      <c r="K847" s="8">
        <f>[1]Data!K847</f>
        <v>0</v>
      </c>
      <c r="L847" s="8">
        <f>[1]Data!L847</f>
        <v>0</v>
      </c>
      <c r="M847" s="8">
        <f>[1]Data!M847</f>
        <v>0</v>
      </c>
      <c r="N847" s="8">
        <f>[1]Data!N847</f>
        <v>3.09278350515464E-2</v>
      </c>
      <c r="O847" s="8">
        <f>[1]Data!O847</f>
        <v>0</v>
      </c>
      <c r="P847" s="8">
        <f>[1]Data!P847</f>
        <v>1</v>
      </c>
      <c r="Q847" s="8">
        <f>[1]Data!Q847</f>
        <v>0</v>
      </c>
      <c r="R847" s="8">
        <f>[1]Data!R847</f>
        <v>0</v>
      </c>
      <c r="S847" s="8">
        <f>[1]Data!S847</f>
        <v>0</v>
      </c>
      <c r="T847">
        <f t="shared" si="65"/>
        <v>3.09278350515464E-2</v>
      </c>
      <c r="U847">
        <f t="shared" si="66"/>
        <v>0</v>
      </c>
      <c r="V847" s="4" t="str">
        <f t="shared" si="67"/>
        <v>0</v>
      </c>
      <c r="W847" s="4" t="str">
        <f t="shared" si="68"/>
        <v>3</v>
      </c>
      <c r="X847" s="4" t="str">
        <f t="shared" si="69"/>
        <v>0NON-HS3</v>
      </c>
      <c r="Y847">
        <f>VLOOKUP(X847,Sheet1!$J$5:$K$121,2,FALSE)</f>
        <v>0</v>
      </c>
    </row>
    <row r="848" spans="1:25" x14ac:dyDescent="0.25">
      <c r="A848" s="8">
        <f>[1]Data!A848</f>
        <v>460000</v>
      </c>
      <c r="B848" s="8">
        <f>[1]Data!B848</f>
        <v>3</v>
      </c>
      <c r="C848" s="8">
        <f>[1]Data!C848</f>
        <v>0</v>
      </c>
      <c r="D848" s="8">
        <f>[1]Data!D848</f>
        <v>5</v>
      </c>
      <c r="E848" s="8" t="str">
        <f>[1]Data!E848</f>
        <v>NON-HS</v>
      </c>
      <c r="F848" s="8" t="str">
        <f>[1]Data!F848</f>
        <v>Kinneloa Mesa</v>
      </c>
      <c r="G848" s="8">
        <f>[1]Data!G848</f>
        <v>0</v>
      </c>
      <c r="H848" s="8">
        <f>[1]Data!H848</f>
        <v>0</v>
      </c>
      <c r="I848" s="8">
        <f>[1]Data!I848</f>
        <v>1</v>
      </c>
      <c r="J848" s="8">
        <f>[1]Data!J848</f>
        <v>0</v>
      </c>
      <c r="K848" s="8">
        <f>[1]Data!K848</f>
        <v>1</v>
      </c>
      <c r="L848" s="8">
        <f>[1]Data!L848</f>
        <v>0</v>
      </c>
      <c r="M848" s="8">
        <f>[1]Data!M848</f>
        <v>1</v>
      </c>
      <c r="N848" s="8">
        <f>[1]Data!N848</f>
        <v>3.09278350515464E-2</v>
      </c>
      <c r="O848" s="8">
        <f>[1]Data!O848</f>
        <v>0</v>
      </c>
      <c r="P848" s="8">
        <f>[1]Data!P848</f>
        <v>1</v>
      </c>
      <c r="Q848" s="8">
        <f>[1]Data!Q848</f>
        <v>0</v>
      </c>
      <c r="R848" s="8">
        <f>[1]Data!R848</f>
        <v>0</v>
      </c>
      <c r="S848" s="8">
        <f>[1]Data!S848</f>
        <v>0</v>
      </c>
      <c r="T848">
        <f t="shared" si="65"/>
        <v>3.09278350515464E-2</v>
      </c>
      <c r="U848">
        <f t="shared" si="66"/>
        <v>0</v>
      </c>
      <c r="V848" s="4" t="str">
        <f t="shared" si="67"/>
        <v>0</v>
      </c>
      <c r="W848" s="4" t="str">
        <f t="shared" si="68"/>
        <v>3</v>
      </c>
      <c r="X848" s="4" t="str">
        <f t="shared" si="69"/>
        <v>0NON-HS3</v>
      </c>
      <c r="Y848">
        <f>VLOOKUP(X848,Sheet1!$J$5:$K$121,2,FALSE)</f>
        <v>0</v>
      </c>
    </row>
    <row r="849" spans="1:25" x14ac:dyDescent="0.25">
      <c r="A849" s="8">
        <f>[1]Data!A849</f>
        <v>481800</v>
      </c>
      <c r="B849" s="8">
        <f>[1]Data!B849</f>
        <v>3</v>
      </c>
      <c r="C849" s="8">
        <f>[1]Data!C849</f>
        <v>0</v>
      </c>
      <c r="D849" s="8">
        <f>[1]Data!D849</f>
        <v>5</v>
      </c>
      <c r="E849" s="8" t="str">
        <f>[1]Data!E849</f>
        <v>NON-HS</v>
      </c>
      <c r="F849" s="8" t="str">
        <f>[1]Data!F849</f>
        <v>Alhambra</v>
      </c>
      <c r="G849" s="8">
        <f>[1]Data!G849</f>
        <v>0</v>
      </c>
      <c r="H849" s="8">
        <f>[1]Data!H849</f>
        <v>0</v>
      </c>
      <c r="I849" s="8">
        <f>[1]Data!I849</f>
        <v>0</v>
      </c>
      <c r="J849" s="8">
        <f>[1]Data!J849</f>
        <v>0</v>
      </c>
      <c r="K849" s="8">
        <f>[1]Data!K849</f>
        <v>0</v>
      </c>
      <c r="L849" s="8">
        <f>[1]Data!L849</f>
        <v>0</v>
      </c>
      <c r="M849" s="8">
        <f>[1]Data!M849</f>
        <v>0</v>
      </c>
      <c r="N849" s="8">
        <f>[1]Data!N849</f>
        <v>3.09278350515464E-2</v>
      </c>
      <c r="O849" s="8">
        <f>[1]Data!O849</f>
        <v>0</v>
      </c>
      <c r="P849" s="8">
        <f>[1]Data!P849</f>
        <v>1</v>
      </c>
      <c r="Q849" s="8">
        <f>[1]Data!Q849</f>
        <v>0</v>
      </c>
      <c r="R849" s="8">
        <f>[1]Data!R849</f>
        <v>0</v>
      </c>
      <c r="S849" s="8">
        <f>[1]Data!S849</f>
        <v>0</v>
      </c>
      <c r="T849">
        <f t="shared" si="65"/>
        <v>3.09278350515464E-2</v>
      </c>
      <c r="U849">
        <f t="shared" si="66"/>
        <v>0</v>
      </c>
      <c r="V849" s="4" t="str">
        <f t="shared" si="67"/>
        <v>0</v>
      </c>
      <c r="W849" s="4" t="str">
        <f t="shared" si="68"/>
        <v>3</v>
      </c>
      <c r="X849" s="4" t="str">
        <f t="shared" si="69"/>
        <v>0NON-HS3</v>
      </c>
      <c r="Y849">
        <f>VLOOKUP(X849,Sheet1!$J$5:$K$121,2,FALSE)</f>
        <v>0</v>
      </c>
    </row>
    <row r="850" spans="1:25" x14ac:dyDescent="0.25">
      <c r="A850" s="8">
        <f>[1]Data!A850</f>
        <v>400205</v>
      </c>
      <c r="B850" s="8">
        <f>[1]Data!B850</f>
        <v>3</v>
      </c>
      <c r="C850" s="8">
        <f>[1]Data!C850</f>
        <v>0</v>
      </c>
      <c r="D850" s="8">
        <f>[1]Data!D850</f>
        <v>1</v>
      </c>
      <c r="E850" s="8" t="str">
        <f>[1]Data!E850</f>
        <v>NON-HS</v>
      </c>
      <c r="F850" s="8" t="str">
        <f>[1]Data!F850</f>
        <v>Claremont</v>
      </c>
      <c r="G850" s="8">
        <f>[1]Data!G850</f>
        <v>0</v>
      </c>
      <c r="H850" s="8">
        <f>[1]Data!H850</f>
        <v>0</v>
      </c>
      <c r="I850" s="8">
        <f>[1]Data!I850</f>
        <v>0</v>
      </c>
      <c r="J850" s="8">
        <f>[1]Data!J850</f>
        <v>0</v>
      </c>
      <c r="K850" s="8">
        <f>[1]Data!K850</f>
        <v>0</v>
      </c>
      <c r="L850" s="8">
        <f>[1]Data!L850</f>
        <v>0</v>
      </c>
      <c r="M850" s="8">
        <f>[1]Data!M850</f>
        <v>0</v>
      </c>
      <c r="N850" s="8">
        <f>[1]Data!N850</f>
        <v>3.09278350515464E-2</v>
      </c>
      <c r="O850" s="8">
        <f>[1]Data!O850</f>
        <v>0</v>
      </c>
      <c r="P850" s="8">
        <f>[1]Data!P850</f>
        <v>1</v>
      </c>
      <c r="Q850" s="8">
        <f>[1]Data!Q850</f>
        <v>0</v>
      </c>
      <c r="R850" s="8">
        <f>[1]Data!R850</f>
        <v>0</v>
      </c>
      <c r="S850" s="8">
        <f>[1]Data!S850</f>
        <v>0</v>
      </c>
      <c r="T850">
        <f t="shared" si="65"/>
        <v>3.09278350515464E-2</v>
      </c>
      <c r="U850">
        <f t="shared" si="66"/>
        <v>0</v>
      </c>
      <c r="V850" s="4" t="str">
        <f t="shared" si="67"/>
        <v>0</v>
      </c>
      <c r="W850" s="4" t="str">
        <f t="shared" si="68"/>
        <v>3</v>
      </c>
      <c r="X850" s="4" t="str">
        <f t="shared" si="69"/>
        <v>0NON-HS3</v>
      </c>
      <c r="Y850">
        <f>VLOOKUP(X850,Sheet1!$J$5:$K$121,2,FALSE)</f>
        <v>0</v>
      </c>
    </row>
    <row r="851" spans="1:25" x14ac:dyDescent="0.25">
      <c r="A851" s="8">
        <f>[1]Data!A851</f>
        <v>480202</v>
      </c>
      <c r="B851" s="8">
        <f>[1]Data!B851</f>
        <v>3</v>
      </c>
      <c r="C851" s="8">
        <f>[1]Data!C851</f>
        <v>0</v>
      </c>
      <c r="D851" s="8">
        <f>[1]Data!D851</f>
        <v>5</v>
      </c>
      <c r="E851" s="8" t="str">
        <f>[1]Data!E851</f>
        <v>NON-HS</v>
      </c>
      <c r="F851" s="8" t="str">
        <f>[1]Data!F851</f>
        <v>San Gabriel</v>
      </c>
      <c r="G851" s="8">
        <f>[1]Data!G851</f>
        <v>0</v>
      </c>
      <c r="H851" s="8">
        <f>[1]Data!H851</f>
        <v>0</v>
      </c>
      <c r="I851" s="8">
        <f>[1]Data!I851</f>
        <v>0</v>
      </c>
      <c r="J851" s="8">
        <f>[1]Data!J851</f>
        <v>0</v>
      </c>
      <c r="K851" s="8">
        <f>[1]Data!K851</f>
        <v>0</v>
      </c>
      <c r="L851" s="8">
        <f>[1]Data!L851</f>
        <v>0</v>
      </c>
      <c r="M851" s="8">
        <f>[1]Data!M851</f>
        <v>0</v>
      </c>
      <c r="N851" s="8">
        <f>[1]Data!N851</f>
        <v>3.09278350515464E-2</v>
      </c>
      <c r="O851" s="8">
        <f>[1]Data!O851</f>
        <v>0</v>
      </c>
      <c r="P851" s="8">
        <f>[1]Data!P851</f>
        <v>1</v>
      </c>
      <c r="Q851" s="8">
        <f>[1]Data!Q851</f>
        <v>0</v>
      </c>
      <c r="R851" s="8">
        <f>[1]Data!R851</f>
        <v>0</v>
      </c>
      <c r="S851" s="8">
        <f>[1]Data!S851</f>
        <v>0</v>
      </c>
      <c r="T851">
        <f t="shared" si="65"/>
        <v>3.09278350515464E-2</v>
      </c>
      <c r="U851">
        <f t="shared" si="66"/>
        <v>0</v>
      </c>
      <c r="V851" s="4" t="str">
        <f t="shared" si="67"/>
        <v>0</v>
      </c>
      <c r="W851" s="4" t="str">
        <f t="shared" si="68"/>
        <v>3</v>
      </c>
      <c r="X851" s="4" t="str">
        <f t="shared" si="69"/>
        <v>0NON-HS3</v>
      </c>
      <c r="Y851">
        <f>VLOOKUP(X851,Sheet1!$J$5:$K$121,2,FALSE)</f>
        <v>0</v>
      </c>
    </row>
    <row r="852" spans="1:25" x14ac:dyDescent="0.25">
      <c r="A852" s="8">
        <f>[1]Data!A852</f>
        <v>408136</v>
      </c>
      <c r="B852" s="8">
        <f>[1]Data!B852</f>
        <v>3</v>
      </c>
      <c r="C852" s="8">
        <f>[1]Data!C852</f>
        <v>0</v>
      </c>
      <c r="D852" s="8">
        <f>[1]Data!D852</f>
        <v>1</v>
      </c>
      <c r="E852" s="8" t="str">
        <f>[1]Data!E852</f>
        <v>NON-HS</v>
      </c>
      <c r="F852" s="8" t="str">
        <f>[1]Data!F852</f>
        <v>West Covina</v>
      </c>
      <c r="G852" s="8">
        <f>[1]Data!G852</f>
        <v>0</v>
      </c>
      <c r="H852" s="8">
        <f>[1]Data!H852</f>
        <v>0</v>
      </c>
      <c r="I852" s="8">
        <f>[1]Data!I852</f>
        <v>0</v>
      </c>
      <c r="J852" s="8">
        <f>[1]Data!J852</f>
        <v>0</v>
      </c>
      <c r="K852" s="8">
        <f>[1]Data!K852</f>
        <v>0</v>
      </c>
      <c r="L852" s="8">
        <f>[1]Data!L852</f>
        <v>0</v>
      </c>
      <c r="M852" s="8">
        <f>[1]Data!M852</f>
        <v>0</v>
      </c>
      <c r="N852" s="8">
        <f>[1]Data!N852</f>
        <v>3.09278350515464E-2</v>
      </c>
      <c r="O852" s="8">
        <f>[1]Data!O852</f>
        <v>0</v>
      </c>
      <c r="P852" s="8">
        <f>[1]Data!P852</f>
        <v>1</v>
      </c>
      <c r="Q852" s="8">
        <f>[1]Data!Q852</f>
        <v>0</v>
      </c>
      <c r="R852" s="8">
        <f>[1]Data!R852</f>
        <v>0</v>
      </c>
      <c r="S852" s="8">
        <f>[1]Data!S852</f>
        <v>0</v>
      </c>
      <c r="T852">
        <f t="shared" si="65"/>
        <v>3.09278350515464E-2</v>
      </c>
      <c r="U852">
        <f t="shared" si="66"/>
        <v>0</v>
      </c>
      <c r="V852" s="4" t="str">
        <f t="shared" si="67"/>
        <v>0</v>
      </c>
      <c r="W852" s="4" t="str">
        <f t="shared" si="68"/>
        <v>3</v>
      </c>
      <c r="X852" s="4" t="str">
        <f t="shared" si="69"/>
        <v>0NON-HS3</v>
      </c>
      <c r="Y852">
        <f>VLOOKUP(X852,Sheet1!$J$5:$K$121,2,FALSE)</f>
        <v>0</v>
      </c>
    </row>
    <row r="853" spans="1:25" x14ac:dyDescent="0.25">
      <c r="A853" s="8">
        <f>[1]Data!A853</f>
        <v>480903</v>
      </c>
      <c r="B853" s="8">
        <f>[1]Data!B853</f>
        <v>3</v>
      </c>
      <c r="C853" s="8">
        <f>[1]Data!C853</f>
        <v>0</v>
      </c>
      <c r="D853" s="8">
        <f>[1]Data!D853</f>
        <v>5</v>
      </c>
      <c r="E853" s="8" t="str">
        <f>[1]Data!E853</f>
        <v>NON-HS</v>
      </c>
      <c r="F853" s="8" t="str">
        <f>[1]Data!F853</f>
        <v>Alhambra</v>
      </c>
      <c r="G853" s="8">
        <f>[1]Data!G853</f>
        <v>0</v>
      </c>
      <c r="H853" s="8">
        <f>[1]Data!H853</f>
        <v>0</v>
      </c>
      <c r="I853" s="8">
        <f>[1]Data!I853</f>
        <v>0</v>
      </c>
      <c r="J853" s="8">
        <f>[1]Data!J853</f>
        <v>0</v>
      </c>
      <c r="K853" s="8">
        <f>[1]Data!K853</f>
        <v>0</v>
      </c>
      <c r="L853" s="8">
        <f>[1]Data!L853</f>
        <v>0</v>
      </c>
      <c r="M853" s="8">
        <f>[1]Data!M853</f>
        <v>0</v>
      </c>
      <c r="N853" s="8">
        <f>[1]Data!N853</f>
        <v>3.09278350515464E-2</v>
      </c>
      <c r="O853" s="8">
        <f>[1]Data!O853</f>
        <v>0</v>
      </c>
      <c r="P853" s="8">
        <f>[1]Data!P853</f>
        <v>1</v>
      </c>
      <c r="Q853" s="8">
        <f>[1]Data!Q853</f>
        <v>0</v>
      </c>
      <c r="R853" s="8">
        <f>[1]Data!R853</f>
        <v>0</v>
      </c>
      <c r="S853" s="8">
        <f>[1]Data!S853</f>
        <v>0</v>
      </c>
      <c r="T853">
        <f t="shared" si="65"/>
        <v>3.09278350515464E-2</v>
      </c>
      <c r="U853">
        <f t="shared" si="66"/>
        <v>0</v>
      </c>
      <c r="V853" s="4" t="str">
        <f t="shared" si="67"/>
        <v>0</v>
      </c>
      <c r="W853" s="4" t="str">
        <f t="shared" si="68"/>
        <v>3</v>
      </c>
      <c r="X853" s="4" t="str">
        <f t="shared" si="69"/>
        <v>0NON-HS3</v>
      </c>
      <c r="Y853">
        <f>VLOOKUP(X853,Sheet1!$J$5:$K$121,2,FALSE)</f>
        <v>0</v>
      </c>
    </row>
    <row r="854" spans="1:25" x14ac:dyDescent="0.25">
      <c r="A854" s="8">
        <f>[1]Data!A854</f>
        <v>480804</v>
      </c>
      <c r="B854" s="8">
        <f>[1]Data!B854</f>
        <v>3</v>
      </c>
      <c r="C854" s="8">
        <f>[1]Data!C854</f>
        <v>0</v>
      </c>
      <c r="D854" s="8">
        <f>[1]Data!D854</f>
        <v>5</v>
      </c>
      <c r="E854" s="8" t="str">
        <f>[1]Data!E854</f>
        <v>NON-HS</v>
      </c>
      <c r="F854" s="8" t="str">
        <f>[1]Data!F854</f>
        <v>Alhambra</v>
      </c>
      <c r="G854" s="8">
        <f>[1]Data!G854</f>
        <v>0</v>
      </c>
      <c r="H854" s="8">
        <f>[1]Data!H854</f>
        <v>0</v>
      </c>
      <c r="I854" s="8">
        <f>[1]Data!I854</f>
        <v>3.181</v>
      </c>
      <c r="J854" s="8">
        <f>[1]Data!J854</f>
        <v>2.87839314</v>
      </c>
      <c r="K854" s="8">
        <f>[1]Data!K854</f>
        <v>2.87839314</v>
      </c>
      <c r="L854" s="8">
        <f>[1]Data!L854</f>
        <v>0.30290401228007202</v>
      </c>
      <c r="M854" s="8">
        <f>[1]Data!M854</f>
        <v>3.1812971522800702</v>
      </c>
      <c r="N854" s="8">
        <f>[1]Data!N854</f>
        <v>3.09278350515464E-2</v>
      </c>
      <c r="O854" s="8">
        <f>[1]Data!O854</f>
        <v>0</v>
      </c>
      <c r="P854" s="8">
        <f>[1]Data!P854</f>
        <v>1</v>
      </c>
      <c r="Q854" s="8">
        <f>[1]Data!Q854</f>
        <v>0</v>
      </c>
      <c r="R854" s="8">
        <f>[1]Data!R854</f>
        <v>0</v>
      </c>
      <c r="S854" s="8">
        <f>[1]Data!S854</f>
        <v>0</v>
      </c>
      <c r="T854">
        <f t="shared" si="65"/>
        <v>3.09278350515464E-2</v>
      </c>
      <c r="U854">
        <f t="shared" si="66"/>
        <v>0</v>
      </c>
      <c r="V854" s="4" t="str">
        <f t="shared" si="67"/>
        <v>0</v>
      </c>
      <c r="W854" s="4" t="str">
        <f t="shared" si="68"/>
        <v>3</v>
      </c>
      <c r="X854" s="4" t="str">
        <f t="shared" si="69"/>
        <v>0NON-HS3</v>
      </c>
      <c r="Y854">
        <f>VLOOKUP(X854,Sheet1!$J$5:$K$121,2,FALSE)</f>
        <v>0</v>
      </c>
    </row>
    <row r="855" spans="1:25" x14ac:dyDescent="0.25">
      <c r="A855" s="8">
        <f>[1]Data!A855</f>
        <v>530700</v>
      </c>
      <c r="B855" s="8">
        <f>[1]Data!B855</f>
        <v>4</v>
      </c>
      <c r="C855" s="8">
        <f>[1]Data!C855</f>
        <v>0</v>
      </c>
      <c r="D855" s="8">
        <f>[1]Data!D855</f>
        <v>1</v>
      </c>
      <c r="E855" s="8" t="str">
        <f>[1]Data!E855</f>
        <v>NON-HS</v>
      </c>
      <c r="F855" s="8" t="str">
        <f>[1]Data!F855</f>
        <v>East Los Angeles</v>
      </c>
      <c r="G855" s="8">
        <f>[1]Data!G855</f>
        <v>1</v>
      </c>
      <c r="H855" s="8">
        <f>[1]Data!H855</f>
        <v>1</v>
      </c>
      <c r="I855" s="8">
        <f>[1]Data!I855</f>
        <v>16.681000000000001</v>
      </c>
      <c r="J855" s="8">
        <f>[1]Data!J855</f>
        <v>14.82395921</v>
      </c>
      <c r="K855" s="8">
        <f>[1]Data!K855</f>
        <v>15.82395921</v>
      </c>
      <c r="L855" s="8">
        <f>[1]Data!L855</f>
        <v>0.85728603362657096</v>
      </c>
      <c r="M855" s="8">
        <f>[1]Data!M855</f>
        <v>16.681245243626599</v>
      </c>
      <c r="N855" s="8">
        <f>[1]Data!N855</f>
        <v>2.6315789473684199E-2</v>
      </c>
      <c r="O855" s="8">
        <f>[1]Data!O855</f>
        <v>38</v>
      </c>
      <c r="P855" s="8">
        <f>[1]Data!P855</f>
        <v>6.5789473684210497E-3</v>
      </c>
      <c r="Q855" s="8">
        <f>[1]Data!Q855</f>
        <v>0</v>
      </c>
      <c r="R855" s="8">
        <f>[1]Data!R855</f>
        <v>0</v>
      </c>
      <c r="S855" s="8">
        <f>[1]Data!S855</f>
        <v>0</v>
      </c>
      <c r="T855">
        <f t="shared" si="65"/>
        <v>2.6315789473684199E-2</v>
      </c>
      <c r="U855">
        <f t="shared" si="66"/>
        <v>38.000000000000014</v>
      </c>
      <c r="V855" s="4" t="str">
        <f t="shared" si="67"/>
        <v>0</v>
      </c>
      <c r="W855" s="4" t="str">
        <f t="shared" si="68"/>
        <v>4</v>
      </c>
      <c r="X855" s="4" t="str">
        <f t="shared" si="69"/>
        <v>0NON-HS4</v>
      </c>
      <c r="Y855">
        <f>VLOOKUP(X855,Sheet1!$J$5:$K$121,2,FALSE)</f>
        <v>0</v>
      </c>
    </row>
    <row r="856" spans="1:25" x14ac:dyDescent="0.25">
      <c r="A856" s="8">
        <f>[1]Data!A856</f>
        <v>702700</v>
      </c>
      <c r="B856" s="8">
        <f>[1]Data!B856</f>
        <v>5</v>
      </c>
      <c r="C856" s="8">
        <f>[1]Data!C856</f>
        <v>0</v>
      </c>
      <c r="D856" s="8">
        <f>[1]Data!D856</f>
        <v>2</v>
      </c>
      <c r="E856" s="8" t="str">
        <f>[1]Data!E856</f>
        <v>NON-HS</v>
      </c>
      <c r="F856" s="8" t="str">
        <f>[1]Data!F856</f>
        <v>Culver City</v>
      </c>
      <c r="G856" s="8">
        <f>[1]Data!G856</f>
        <v>0</v>
      </c>
      <c r="H856" s="8">
        <f>[1]Data!H856</f>
        <v>0</v>
      </c>
      <c r="I856" s="8">
        <f>[1]Data!I856</f>
        <v>5.181</v>
      </c>
      <c r="J856" s="8">
        <f>[1]Data!J856</f>
        <v>2.87839314</v>
      </c>
      <c r="K856" s="8">
        <f>[1]Data!K856</f>
        <v>4.87839314</v>
      </c>
      <c r="L856" s="8">
        <f>[1]Data!L856</f>
        <v>0.30290401228007202</v>
      </c>
      <c r="M856" s="8">
        <f>[1]Data!M856</f>
        <v>5.1812971522800702</v>
      </c>
      <c r="N856" s="8">
        <f>[1]Data!N856</f>
        <v>3.2258064516128997E-2</v>
      </c>
      <c r="O856" s="8">
        <f>[1]Data!O856</f>
        <v>0</v>
      </c>
      <c r="P856" s="8">
        <f>[1]Data!P856</f>
        <v>0.247311827956989</v>
      </c>
      <c r="Q856" s="8">
        <f>[1]Data!Q856</f>
        <v>0</v>
      </c>
      <c r="R856" s="8">
        <f>[1]Data!R856</f>
        <v>0</v>
      </c>
      <c r="S856" s="8">
        <f>[1]Data!S856</f>
        <v>0</v>
      </c>
      <c r="T856">
        <f t="shared" si="65"/>
        <v>3.2258064516128997E-2</v>
      </c>
      <c r="U856">
        <f t="shared" si="66"/>
        <v>0</v>
      </c>
      <c r="V856" s="4" t="str">
        <f t="shared" si="67"/>
        <v>0</v>
      </c>
      <c r="W856" s="4" t="str">
        <f t="shared" si="68"/>
        <v>5</v>
      </c>
      <c r="X856" s="4" t="str">
        <f t="shared" si="69"/>
        <v>0NON-HS5</v>
      </c>
      <c r="Y856">
        <f>VLOOKUP(X856,Sheet1!$J$5:$K$121,2,FALSE)</f>
        <v>0</v>
      </c>
    </row>
    <row r="857" spans="1:25" x14ac:dyDescent="0.25">
      <c r="A857" s="8">
        <f>[1]Data!A857</f>
        <v>701302</v>
      </c>
      <c r="B857" s="8">
        <f>[1]Data!B857</f>
        <v>5</v>
      </c>
      <c r="C857" s="8">
        <f>[1]Data!C857</f>
        <v>0</v>
      </c>
      <c r="D857" s="8">
        <f>[1]Data!D857</f>
        <v>3</v>
      </c>
      <c r="E857" s="8" t="str">
        <f>[1]Data!E857</f>
        <v>NON-HS</v>
      </c>
      <c r="F857" s="8" t="str">
        <f>[1]Data!F857</f>
        <v>Santa Monica</v>
      </c>
      <c r="G857" s="8">
        <f>[1]Data!G857</f>
        <v>0</v>
      </c>
      <c r="H857" s="8">
        <f>[1]Data!H857</f>
        <v>0</v>
      </c>
      <c r="I857" s="8">
        <f>[1]Data!I857</f>
        <v>3</v>
      </c>
      <c r="J857" s="8">
        <f>[1]Data!J857</f>
        <v>0</v>
      </c>
      <c r="K857" s="8">
        <f>[1]Data!K857</f>
        <v>3</v>
      </c>
      <c r="L857" s="8">
        <f>[1]Data!L857</f>
        <v>0</v>
      </c>
      <c r="M857" s="8">
        <f>[1]Data!M857</f>
        <v>3</v>
      </c>
      <c r="N857" s="8">
        <f>[1]Data!N857</f>
        <v>3.2258064516128997E-2</v>
      </c>
      <c r="O857" s="8">
        <f>[1]Data!O857</f>
        <v>0</v>
      </c>
      <c r="P857" s="8">
        <f>[1]Data!P857</f>
        <v>0.247311827956989</v>
      </c>
      <c r="Q857" s="8">
        <f>[1]Data!Q857</f>
        <v>0</v>
      </c>
      <c r="R857" s="8">
        <f>[1]Data!R857</f>
        <v>0</v>
      </c>
      <c r="S857" s="8">
        <f>[1]Data!S857</f>
        <v>0</v>
      </c>
      <c r="T857">
        <f t="shared" si="65"/>
        <v>3.2258064516128997E-2</v>
      </c>
      <c r="U857">
        <f t="shared" si="66"/>
        <v>0</v>
      </c>
      <c r="V857" s="4" t="str">
        <f t="shared" si="67"/>
        <v>0</v>
      </c>
      <c r="W857" s="4" t="str">
        <f t="shared" si="68"/>
        <v>5</v>
      </c>
      <c r="X857" s="4" t="str">
        <f t="shared" si="69"/>
        <v>0NON-HS5</v>
      </c>
      <c r="Y857">
        <f>VLOOKUP(X857,Sheet1!$J$5:$K$121,2,FALSE)</f>
        <v>0</v>
      </c>
    </row>
    <row r="858" spans="1:25" x14ac:dyDescent="0.25">
      <c r="A858" s="8">
        <f>[1]Data!A858</f>
        <v>700902</v>
      </c>
      <c r="B858" s="8">
        <f>[1]Data!B858</f>
        <v>5</v>
      </c>
      <c r="C858" s="8">
        <f>[1]Data!C858</f>
        <v>0</v>
      </c>
      <c r="D858" s="8">
        <f>[1]Data!D858</f>
        <v>3</v>
      </c>
      <c r="E858" s="8" t="str">
        <f>[1]Data!E858</f>
        <v>NON-HS</v>
      </c>
      <c r="F858" s="8" t="str">
        <f>[1]Data!F858</f>
        <v>Beverly Hills</v>
      </c>
      <c r="G858" s="8">
        <f>[1]Data!G858</f>
        <v>0</v>
      </c>
      <c r="H858" s="8">
        <f>[1]Data!H858</f>
        <v>0</v>
      </c>
      <c r="I858" s="8">
        <f>[1]Data!I858</f>
        <v>2</v>
      </c>
      <c r="J858" s="8">
        <f>[1]Data!J858</f>
        <v>0</v>
      </c>
      <c r="K858" s="8">
        <f>[1]Data!K858</f>
        <v>2</v>
      </c>
      <c r="L858" s="8">
        <f>[1]Data!L858</f>
        <v>0</v>
      </c>
      <c r="M858" s="8">
        <f>[1]Data!M858</f>
        <v>2</v>
      </c>
      <c r="N858" s="8">
        <f>[1]Data!N858</f>
        <v>3.2258064516128997E-2</v>
      </c>
      <c r="O858" s="8">
        <f>[1]Data!O858</f>
        <v>0</v>
      </c>
      <c r="P858" s="8">
        <f>[1]Data!P858</f>
        <v>0.247311827956989</v>
      </c>
      <c r="Q858" s="8">
        <f>[1]Data!Q858</f>
        <v>0</v>
      </c>
      <c r="R858" s="8">
        <f>[1]Data!R858</f>
        <v>0</v>
      </c>
      <c r="S858" s="8">
        <f>[1]Data!S858</f>
        <v>0</v>
      </c>
      <c r="T858">
        <f t="shared" si="65"/>
        <v>3.2258064516128997E-2</v>
      </c>
      <c r="U858">
        <f t="shared" si="66"/>
        <v>0</v>
      </c>
      <c r="V858" s="4" t="str">
        <f t="shared" si="67"/>
        <v>0</v>
      </c>
      <c r="W858" s="4" t="str">
        <f t="shared" si="68"/>
        <v>5</v>
      </c>
      <c r="X858" s="4" t="str">
        <f t="shared" si="69"/>
        <v>0NON-HS5</v>
      </c>
      <c r="Y858">
        <f>VLOOKUP(X858,Sheet1!$J$5:$K$121,2,FALSE)</f>
        <v>0</v>
      </c>
    </row>
    <row r="859" spans="1:25" x14ac:dyDescent="0.25">
      <c r="A859" s="8">
        <f>[1]Data!A859</f>
        <v>700802</v>
      </c>
      <c r="B859" s="8">
        <f>[1]Data!B859</f>
        <v>5</v>
      </c>
      <c r="C859" s="8">
        <f>[1]Data!C859</f>
        <v>0</v>
      </c>
      <c r="D859" s="8">
        <f>[1]Data!D859</f>
        <v>3</v>
      </c>
      <c r="E859" s="8" t="str">
        <f>[1]Data!E859</f>
        <v>NON-HS</v>
      </c>
      <c r="F859" s="8" t="str">
        <f>[1]Data!F859</f>
        <v>Beverly Hills</v>
      </c>
      <c r="G859" s="8">
        <f>[1]Data!G859</f>
        <v>0</v>
      </c>
      <c r="H859" s="8">
        <f>[1]Data!H859</f>
        <v>0</v>
      </c>
      <c r="I859" s="8">
        <f>[1]Data!I859</f>
        <v>0</v>
      </c>
      <c r="J859" s="8">
        <f>[1]Data!J859</f>
        <v>0</v>
      </c>
      <c r="K859" s="8">
        <f>[1]Data!K859</f>
        <v>0</v>
      </c>
      <c r="L859" s="8">
        <f>[1]Data!L859</f>
        <v>0</v>
      </c>
      <c r="M859" s="8">
        <f>[1]Data!M859</f>
        <v>0</v>
      </c>
      <c r="N859" s="8">
        <f>[1]Data!N859</f>
        <v>3.2258064516128997E-2</v>
      </c>
      <c r="O859" s="8">
        <f>[1]Data!O859</f>
        <v>0</v>
      </c>
      <c r="P859" s="8">
        <f>[1]Data!P859</f>
        <v>0.247311827956989</v>
      </c>
      <c r="Q859" s="8">
        <f>[1]Data!Q859</f>
        <v>0</v>
      </c>
      <c r="R859" s="8">
        <f>[1]Data!R859</f>
        <v>0</v>
      </c>
      <c r="S859" s="8">
        <f>[1]Data!S859</f>
        <v>0</v>
      </c>
      <c r="T859">
        <f t="shared" si="65"/>
        <v>3.2258064516128997E-2</v>
      </c>
      <c r="U859">
        <f t="shared" si="66"/>
        <v>0</v>
      </c>
      <c r="V859" s="4" t="str">
        <f t="shared" si="67"/>
        <v>0</v>
      </c>
      <c r="W859" s="4" t="str">
        <f t="shared" si="68"/>
        <v>5</v>
      </c>
      <c r="X859" s="4" t="str">
        <f t="shared" si="69"/>
        <v>0NON-HS5</v>
      </c>
      <c r="Y859">
        <f>VLOOKUP(X859,Sheet1!$J$5:$K$121,2,FALSE)</f>
        <v>0</v>
      </c>
    </row>
    <row r="860" spans="1:25" x14ac:dyDescent="0.25">
      <c r="A860" s="8">
        <f>[1]Data!A860</f>
        <v>701202</v>
      </c>
      <c r="B860" s="8">
        <f>[1]Data!B860</f>
        <v>5</v>
      </c>
      <c r="C860" s="8">
        <f>[1]Data!C860</f>
        <v>0</v>
      </c>
      <c r="D860" s="8">
        <f>[1]Data!D860</f>
        <v>3</v>
      </c>
      <c r="E860" s="8" t="str">
        <f>[1]Data!E860</f>
        <v>NON-HS</v>
      </c>
      <c r="F860" s="8" t="str">
        <f>[1]Data!F860</f>
        <v>Santa Monica</v>
      </c>
      <c r="G860" s="8">
        <f>[1]Data!G860</f>
        <v>0</v>
      </c>
      <c r="H860" s="8">
        <f>[1]Data!H860</f>
        <v>0</v>
      </c>
      <c r="I860" s="8">
        <f>[1]Data!I860</f>
        <v>3.6160000000000001</v>
      </c>
      <c r="J860" s="8">
        <f>[1]Data!J860</f>
        <v>3.4662643399999999</v>
      </c>
      <c r="K860" s="8">
        <f>[1]Data!K860</f>
        <v>3.4662643399999999</v>
      </c>
      <c r="L860" s="8">
        <f>[1]Data!L860</f>
        <v>0.14997102057450601</v>
      </c>
      <c r="M860" s="8">
        <f>[1]Data!M860</f>
        <v>3.6162353605745099</v>
      </c>
      <c r="N860" s="8">
        <f>[1]Data!N860</f>
        <v>3.2258064516128997E-2</v>
      </c>
      <c r="O860" s="8">
        <f>[1]Data!O860</f>
        <v>0</v>
      </c>
      <c r="P860" s="8">
        <f>[1]Data!P860</f>
        <v>0.247311827956989</v>
      </c>
      <c r="Q860" s="8">
        <f>[1]Data!Q860</f>
        <v>0</v>
      </c>
      <c r="R860" s="8">
        <f>[1]Data!R860</f>
        <v>0</v>
      </c>
      <c r="S860" s="8">
        <f>[1]Data!S860</f>
        <v>0</v>
      </c>
      <c r="T860">
        <f t="shared" si="65"/>
        <v>3.2258064516128997E-2</v>
      </c>
      <c r="U860">
        <f t="shared" si="66"/>
        <v>0</v>
      </c>
      <c r="V860" s="4" t="str">
        <f t="shared" si="67"/>
        <v>0</v>
      </c>
      <c r="W860" s="4" t="str">
        <f t="shared" si="68"/>
        <v>5</v>
      </c>
      <c r="X860" s="4" t="str">
        <f t="shared" si="69"/>
        <v>0NON-HS5</v>
      </c>
      <c r="Y860">
        <f>VLOOKUP(X860,Sheet1!$J$5:$K$121,2,FALSE)</f>
        <v>0</v>
      </c>
    </row>
    <row r="861" spans="1:25" x14ac:dyDescent="0.25">
      <c r="A861" s="8">
        <f>[1]Data!A861</f>
        <v>700600</v>
      </c>
      <c r="B861" s="8">
        <f>[1]Data!B861</f>
        <v>5</v>
      </c>
      <c r="C861" s="8">
        <f>[1]Data!C861</f>
        <v>0</v>
      </c>
      <c r="D861" s="8">
        <f>[1]Data!D861</f>
        <v>3</v>
      </c>
      <c r="E861" s="8" t="str">
        <f>[1]Data!E861</f>
        <v>NON-HS</v>
      </c>
      <c r="F861" s="8" t="str">
        <f>[1]Data!F861</f>
        <v>Beverly Hills</v>
      </c>
      <c r="G861" s="8">
        <f>[1]Data!G861</f>
        <v>0</v>
      </c>
      <c r="H861" s="8">
        <f>[1]Data!H861</f>
        <v>0</v>
      </c>
      <c r="I861" s="8">
        <f>[1]Data!I861</f>
        <v>11.368</v>
      </c>
      <c r="J861" s="8">
        <f>[1]Data!J861</f>
        <v>7.1538363900000004</v>
      </c>
      <c r="K861" s="8">
        <f>[1]Data!K861</f>
        <v>11.15383639</v>
      </c>
      <c r="L861" s="8">
        <f>[1]Data!L861</f>
        <v>0.213327972387792</v>
      </c>
      <c r="M861" s="8">
        <f>[1]Data!M861</f>
        <v>11.3671643623878</v>
      </c>
      <c r="N861" s="8">
        <f>[1]Data!N861</f>
        <v>3.2258064516128997E-2</v>
      </c>
      <c r="O861" s="8">
        <f>[1]Data!O861</f>
        <v>0</v>
      </c>
      <c r="P861" s="8">
        <f>[1]Data!P861</f>
        <v>0.247311827956989</v>
      </c>
      <c r="Q861" s="8">
        <f>[1]Data!Q861</f>
        <v>0</v>
      </c>
      <c r="R861" s="8">
        <f>[1]Data!R861</f>
        <v>0</v>
      </c>
      <c r="S861" s="8">
        <f>[1]Data!S861</f>
        <v>0</v>
      </c>
      <c r="T861">
        <f t="shared" si="65"/>
        <v>3.2258064516128997E-2</v>
      </c>
      <c r="U861">
        <f t="shared" si="66"/>
        <v>0</v>
      </c>
      <c r="V861" s="4" t="str">
        <f t="shared" si="67"/>
        <v>0</v>
      </c>
      <c r="W861" s="4" t="str">
        <f t="shared" si="68"/>
        <v>5</v>
      </c>
      <c r="X861" s="4" t="str">
        <f t="shared" si="69"/>
        <v>0NON-HS5</v>
      </c>
      <c r="Y861">
        <f>VLOOKUP(X861,Sheet1!$J$5:$K$121,2,FALSE)</f>
        <v>0</v>
      </c>
    </row>
    <row r="862" spans="1:25" x14ac:dyDescent="0.25">
      <c r="A862" s="8">
        <f>[1]Data!A862</f>
        <v>700801</v>
      </c>
      <c r="B862" s="8">
        <f>[1]Data!B862</f>
        <v>5</v>
      </c>
      <c r="C862" s="8">
        <f>[1]Data!C862</f>
        <v>0</v>
      </c>
      <c r="D862" s="8">
        <f>[1]Data!D862</f>
        <v>3</v>
      </c>
      <c r="E862" s="8" t="str">
        <f>[1]Data!E862</f>
        <v>NON-HS</v>
      </c>
      <c r="F862" s="8" t="str">
        <f>[1]Data!F862</f>
        <v>Beverly Hills</v>
      </c>
      <c r="G862" s="8">
        <f>[1]Data!G862</f>
        <v>0</v>
      </c>
      <c r="H862" s="8">
        <f>[1]Data!H862</f>
        <v>0</v>
      </c>
      <c r="I862" s="8">
        <f>[1]Data!I862</f>
        <v>6</v>
      </c>
      <c r="J862" s="8">
        <f>[1]Data!J862</f>
        <v>0</v>
      </c>
      <c r="K862" s="8">
        <f>[1]Data!K862</f>
        <v>6</v>
      </c>
      <c r="L862" s="8">
        <f>[1]Data!L862</f>
        <v>0</v>
      </c>
      <c r="M862" s="8">
        <f>[1]Data!M862</f>
        <v>6</v>
      </c>
      <c r="N862" s="8">
        <f>[1]Data!N862</f>
        <v>3.2258064516128997E-2</v>
      </c>
      <c r="O862" s="8">
        <f>[1]Data!O862</f>
        <v>0</v>
      </c>
      <c r="P862" s="8">
        <f>[1]Data!P862</f>
        <v>0.247311827956989</v>
      </c>
      <c r="Q862" s="8">
        <f>[1]Data!Q862</f>
        <v>0</v>
      </c>
      <c r="R862" s="8">
        <f>[1]Data!R862</f>
        <v>0</v>
      </c>
      <c r="S862" s="8">
        <f>[1]Data!S862</f>
        <v>0</v>
      </c>
      <c r="T862">
        <f t="shared" si="65"/>
        <v>3.2258064516128997E-2</v>
      </c>
      <c r="U862">
        <f t="shared" si="66"/>
        <v>0</v>
      </c>
      <c r="V862" s="4" t="str">
        <f t="shared" si="67"/>
        <v>0</v>
      </c>
      <c r="W862" s="4" t="str">
        <f t="shared" si="68"/>
        <v>5</v>
      </c>
      <c r="X862" s="4" t="str">
        <f t="shared" si="69"/>
        <v>0NON-HS5</v>
      </c>
      <c r="Y862">
        <f>VLOOKUP(X862,Sheet1!$J$5:$K$121,2,FALSE)</f>
        <v>0</v>
      </c>
    </row>
    <row r="863" spans="1:25" x14ac:dyDescent="0.25">
      <c r="A863" s="8">
        <f>[1]Data!A863</f>
        <v>701000</v>
      </c>
      <c r="B863" s="8">
        <f>[1]Data!B863</f>
        <v>5</v>
      </c>
      <c r="C863" s="8">
        <f>[1]Data!C863</f>
        <v>0</v>
      </c>
      <c r="D863" s="8">
        <f>[1]Data!D863</f>
        <v>3</v>
      </c>
      <c r="E863" s="8" t="str">
        <f>[1]Data!E863</f>
        <v>NON-HS</v>
      </c>
      <c r="F863" s="8" t="str">
        <f>[1]Data!F863</f>
        <v>Beverly Hills</v>
      </c>
      <c r="G863" s="8">
        <f>[1]Data!G863</f>
        <v>0</v>
      </c>
      <c r="H863" s="8">
        <f>[1]Data!H863</f>
        <v>0</v>
      </c>
      <c r="I863" s="8">
        <f>[1]Data!I863</f>
        <v>5.0949999999999998</v>
      </c>
      <c r="J863" s="8">
        <f>[1]Data!J863</f>
        <v>1.9836996600000001</v>
      </c>
      <c r="K863" s="8">
        <f>[1]Data!K863</f>
        <v>4.9836996600000001</v>
      </c>
      <c r="L863" s="8">
        <f>[1]Data!L863</f>
        <v>0.11117260138240601</v>
      </c>
      <c r="M863" s="8">
        <f>[1]Data!M863</f>
        <v>5.0948722613824096</v>
      </c>
      <c r="N863" s="8">
        <f>[1]Data!N863</f>
        <v>3.2258064516128997E-2</v>
      </c>
      <c r="O863" s="8">
        <f>[1]Data!O863</f>
        <v>0</v>
      </c>
      <c r="P863" s="8">
        <f>[1]Data!P863</f>
        <v>0.247311827956989</v>
      </c>
      <c r="Q863" s="8">
        <f>[1]Data!Q863</f>
        <v>0</v>
      </c>
      <c r="R863" s="8">
        <f>[1]Data!R863</f>
        <v>0</v>
      </c>
      <c r="S863" s="8">
        <f>[1]Data!S863</f>
        <v>0</v>
      </c>
      <c r="T863">
        <f t="shared" si="65"/>
        <v>3.2258064516128997E-2</v>
      </c>
      <c r="U863">
        <f t="shared" si="66"/>
        <v>0</v>
      </c>
      <c r="V863" s="4" t="str">
        <f t="shared" si="67"/>
        <v>0</v>
      </c>
      <c r="W863" s="4" t="str">
        <f t="shared" si="68"/>
        <v>5</v>
      </c>
      <c r="X863" s="4" t="str">
        <f t="shared" si="69"/>
        <v>0NON-HS5</v>
      </c>
      <c r="Y863">
        <f>VLOOKUP(X863,Sheet1!$J$5:$K$121,2,FALSE)</f>
        <v>0</v>
      </c>
    </row>
    <row r="864" spans="1:25" x14ac:dyDescent="0.25">
      <c r="A864" s="8">
        <f>[1]Data!A864</f>
        <v>700700</v>
      </c>
      <c r="B864" s="8">
        <f>[1]Data!B864</f>
        <v>5</v>
      </c>
      <c r="C864" s="8">
        <f>[1]Data!C864</f>
        <v>0</v>
      </c>
      <c r="D864" s="8">
        <f>[1]Data!D864</f>
        <v>3</v>
      </c>
      <c r="E864" s="8" t="str">
        <f>[1]Data!E864</f>
        <v>NON-HS</v>
      </c>
      <c r="F864" s="8" t="str">
        <f>[1]Data!F864</f>
        <v>Beverly Hills</v>
      </c>
      <c r="G864" s="8">
        <f>[1]Data!G864</f>
        <v>0</v>
      </c>
      <c r="H864" s="8">
        <f>[1]Data!H864</f>
        <v>0</v>
      </c>
      <c r="I864" s="8">
        <f>[1]Data!I864</f>
        <v>6</v>
      </c>
      <c r="J864" s="8">
        <f>[1]Data!J864</f>
        <v>0</v>
      </c>
      <c r="K864" s="8">
        <f>[1]Data!K864</f>
        <v>6</v>
      </c>
      <c r="L864" s="8">
        <f>[1]Data!L864</f>
        <v>0</v>
      </c>
      <c r="M864" s="8">
        <f>[1]Data!M864</f>
        <v>6</v>
      </c>
      <c r="N864" s="8">
        <f>[1]Data!N864</f>
        <v>3.2258064516128997E-2</v>
      </c>
      <c r="O864" s="8">
        <f>[1]Data!O864</f>
        <v>0</v>
      </c>
      <c r="P864" s="8">
        <f>[1]Data!P864</f>
        <v>0.247311827956989</v>
      </c>
      <c r="Q864" s="8">
        <f>[1]Data!Q864</f>
        <v>0</v>
      </c>
      <c r="R864" s="8">
        <f>[1]Data!R864</f>
        <v>0</v>
      </c>
      <c r="S864" s="8">
        <f>[1]Data!S864</f>
        <v>0</v>
      </c>
      <c r="T864">
        <f t="shared" si="65"/>
        <v>3.2258064516128997E-2</v>
      </c>
      <c r="U864">
        <f t="shared" si="66"/>
        <v>0</v>
      </c>
      <c r="V864" s="4" t="str">
        <f t="shared" si="67"/>
        <v>0</v>
      </c>
      <c r="W864" s="4" t="str">
        <f t="shared" si="68"/>
        <v>5</v>
      </c>
      <c r="X864" s="4" t="str">
        <f t="shared" si="69"/>
        <v>0NON-HS5</v>
      </c>
      <c r="Y864">
        <f>VLOOKUP(X864,Sheet1!$J$5:$K$121,2,FALSE)</f>
        <v>0</v>
      </c>
    </row>
    <row r="865" spans="1:25" x14ac:dyDescent="0.25">
      <c r="A865" s="8">
        <f>[1]Data!A865</f>
        <v>701201</v>
      </c>
      <c r="B865" s="8">
        <f>[1]Data!B865</f>
        <v>5</v>
      </c>
      <c r="C865" s="8">
        <f>[1]Data!C865</f>
        <v>0</v>
      </c>
      <c r="D865" s="8">
        <f>[1]Data!D865</f>
        <v>3</v>
      </c>
      <c r="E865" s="8" t="str">
        <f>[1]Data!E865</f>
        <v>NON-HS</v>
      </c>
      <c r="F865" s="8" t="str">
        <f>[1]Data!F865</f>
        <v>Santa Monica</v>
      </c>
      <c r="G865" s="8">
        <f>[1]Data!G865</f>
        <v>1</v>
      </c>
      <c r="H865" s="8">
        <f>[1]Data!H865</f>
        <v>1</v>
      </c>
      <c r="I865" s="8">
        <f>[1]Data!I865</f>
        <v>0</v>
      </c>
      <c r="J865" s="8">
        <f>[1]Data!J865</f>
        <v>0</v>
      </c>
      <c r="K865" s="8">
        <f>[1]Data!K865</f>
        <v>0</v>
      </c>
      <c r="L865" s="8">
        <f>[1]Data!L865</f>
        <v>0</v>
      </c>
      <c r="M865" s="8">
        <f>[1]Data!M865</f>
        <v>0</v>
      </c>
      <c r="N865" s="8">
        <f>[1]Data!N865</f>
        <v>3.2258064516128997E-2</v>
      </c>
      <c r="O865" s="8">
        <f>[1]Data!O865</f>
        <v>31</v>
      </c>
      <c r="P865" s="8">
        <f>[1]Data!P865</f>
        <v>0.247311827956989</v>
      </c>
      <c r="Q865" s="8">
        <f>[1]Data!Q865</f>
        <v>0</v>
      </c>
      <c r="R865" s="8">
        <f>[1]Data!R865</f>
        <v>0</v>
      </c>
      <c r="S865" s="8">
        <f>[1]Data!S865</f>
        <v>0</v>
      </c>
      <c r="T865">
        <f t="shared" si="65"/>
        <v>3.2258064516128997E-2</v>
      </c>
      <c r="U865">
        <f t="shared" si="66"/>
        <v>31.000000000000036</v>
      </c>
      <c r="V865" s="4" t="str">
        <f t="shared" si="67"/>
        <v>0</v>
      </c>
      <c r="W865" s="4" t="str">
        <f t="shared" si="68"/>
        <v>5</v>
      </c>
      <c r="X865" s="4" t="str">
        <f t="shared" si="69"/>
        <v>0NON-HS5</v>
      </c>
      <c r="Y865">
        <f>VLOOKUP(X865,Sheet1!$J$5:$K$121,2,FALSE)</f>
        <v>0</v>
      </c>
    </row>
    <row r="866" spans="1:25" x14ac:dyDescent="0.25">
      <c r="A866" s="8">
        <f>[1]Data!A866</f>
        <v>701701</v>
      </c>
      <c r="B866" s="8">
        <f>[1]Data!B866</f>
        <v>5</v>
      </c>
      <c r="C866" s="8">
        <f>[1]Data!C866</f>
        <v>0</v>
      </c>
      <c r="D866" s="8">
        <f>[1]Data!D866</f>
        <v>3</v>
      </c>
      <c r="E866" s="8" t="str">
        <f>[1]Data!E866</f>
        <v>NON-HS</v>
      </c>
      <c r="F866" s="8" t="str">
        <f>[1]Data!F866</f>
        <v>Santa Monica</v>
      </c>
      <c r="G866" s="8">
        <f>[1]Data!G866</f>
        <v>0</v>
      </c>
      <c r="H866" s="8">
        <f>[1]Data!H866</f>
        <v>0</v>
      </c>
      <c r="I866" s="8">
        <f>[1]Data!I866</f>
        <v>8.5909999999999993</v>
      </c>
      <c r="J866" s="8">
        <f>[1]Data!J866</f>
        <v>1.43919657</v>
      </c>
      <c r="K866" s="8">
        <f>[1]Data!K866</f>
        <v>8.43919657</v>
      </c>
      <c r="L866" s="8">
        <f>[1]Data!L866</f>
        <v>0.15145200614003601</v>
      </c>
      <c r="M866" s="8">
        <f>[1]Data!M866</f>
        <v>8.5906485761400404</v>
      </c>
      <c r="N866" s="8">
        <f>[1]Data!N866</f>
        <v>3.2258064516128997E-2</v>
      </c>
      <c r="O866" s="8">
        <f>[1]Data!O866</f>
        <v>0</v>
      </c>
      <c r="P866" s="8">
        <f>[1]Data!P866</f>
        <v>0.247311827956989</v>
      </c>
      <c r="Q866" s="8">
        <f>[1]Data!Q866</f>
        <v>0</v>
      </c>
      <c r="R866" s="8">
        <f>[1]Data!R866</f>
        <v>0</v>
      </c>
      <c r="S866" s="8">
        <f>[1]Data!S866</f>
        <v>0</v>
      </c>
      <c r="T866">
        <f t="shared" si="65"/>
        <v>3.2258064516128997E-2</v>
      </c>
      <c r="U866">
        <f t="shared" si="66"/>
        <v>0</v>
      </c>
      <c r="V866" s="4" t="str">
        <f t="shared" si="67"/>
        <v>0</v>
      </c>
      <c r="W866" s="4" t="str">
        <f t="shared" si="68"/>
        <v>5</v>
      </c>
      <c r="X866" s="4" t="str">
        <f t="shared" si="69"/>
        <v>0NON-HS5</v>
      </c>
      <c r="Y866">
        <f>VLOOKUP(X866,Sheet1!$J$5:$K$121,2,FALSE)</f>
        <v>0</v>
      </c>
    </row>
    <row r="867" spans="1:25" x14ac:dyDescent="0.25">
      <c r="A867" s="8">
        <f>[1]Data!A867</f>
        <v>702201</v>
      </c>
      <c r="B867" s="8">
        <f>[1]Data!B867</f>
        <v>5</v>
      </c>
      <c r="C867" s="8">
        <f>[1]Data!C867</f>
        <v>0</v>
      </c>
      <c r="D867" s="8">
        <f>[1]Data!D867</f>
        <v>3</v>
      </c>
      <c r="E867" s="8" t="str">
        <f>[1]Data!E867</f>
        <v>NON-HS</v>
      </c>
      <c r="F867" s="8" t="str">
        <f>[1]Data!F867</f>
        <v>Santa Monica</v>
      </c>
      <c r="G867" s="8">
        <f>[1]Data!G867</f>
        <v>0</v>
      </c>
      <c r="H867" s="8">
        <f>[1]Data!H867</f>
        <v>0</v>
      </c>
      <c r="I867" s="8">
        <f>[1]Data!I867</f>
        <v>8.8079999999999998</v>
      </c>
      <c r="J867" s="8">
        <f>[1]Data!J867</f>
        <v>1.73313217</v>
      </c>
      <c r="K867" s="8">
        <f>[1]Data!K867</f>
        <v>8.7331321699999993</v>
      </c>
      <c r="L867" s="8">
        <f>[1]Data!L867</f>
        <v>7.4985510287253102E-2</v>
      </c>
      <c r="M867" s="8">
        <f>[1]Data!M867</f>
        <v>8.8081176802872498</v>
      </c>
      <c r="N867" s="8">
        <f>[1]Data!N867</f>
        <v>3.2258064516128997E-2</v>
      </c>
      <c r="O867" s="8">
        <f>[1]Data!O867</f>
        <v>0</v>
      </c>
      <c r="P867" s="8">
        <f>[1]Data!P867</f>
        <v>0.247311827956989</v>
      </c>
      <c r="Q867" s="8">
        <f>[1]Data!Q867</f>
        <v>0</v>
      </c>
      <c r="R867" s="8">
        <f>[1]Data!R867</f>
        <v>0</v>
      </c>
      <c r="S867" s="8">
        <f>[1]Data!S867</f>
        <v>0</v>
      </c>
      <c r="T867">
        <f t="shared" si="65"/>
        <v>3.2258064516128997E-2</v>
      </c>
      <c r="U867">
        <f t="shared" si="66"/>
        <v>0</v>
      </c>
      <c r="V867" s="4" t="str">
        <f t="shared" si="67"/>
        <v>0</v>
      </c>
      <c r="W867" s="4" t="str">
        <f t="shared" si="68"/>
        <v>5</v>
      </c>
      <c r="X867" s="4" t="str">
        <f t="shared" si="69"/>
        <v>0NON-HS5</v>
      </c>
      <c r="Y867">
        <f>VLOOKUP(X867,Sheet1!$J$5:$K$121,2,FALSE)</f>
        <v>0</v>
      </c>
    </row>
    <row r="868" spans="1:25" x14ac:dyDescent="0.25">
      <c r="A868" s="8">
        <f>[1]Data!A868</f>
        <v>702202</v>
      </c>
      <c r="B868" s="8">
        <f>[1]Data!B868</f>
        <v>5</v>
      </c>
      <c r="C868" s="8">
        <f>[1]Data!C868</f>
        <v>0</v>
      </c>
      <c r="D868" s="8">
        <f>[1]Data!D868</f>
        <v>3</v>
      </c>
      <c r="E868" s="8" t="str">
        <f>[1]Data!E868</f>
        <v>NON-HS</v>
      </c>
      <c r="F868" s="8" t="str">
        <f>[1]Data!F868</f>
        <v>Santa Monica</v>
      </c>
      <c r="G868" s="8">
        <f>[1]Data!G868</f>
        <v>0</v>
      </c>
      <c r="H868" s="8">
        <f>[1]Data!H868</f>
        <v>0</v>
      </c>
      <c r="I868" s="8">
        <f>[1]Data!I868</f>
        <v>8.1809999999999992</v>
      </c>
      <c r="J868" s="8">
        <f>[1]Data!J868</f>
        <v>2.87839314</v>
      </c>
      <c r="K868" s="8">
        <f>[1]Data!K868</f>
        <v>7.87839314</v>
      </c>
      <c r="L868" s="8">
        <f>[1]Data!L868</f>
        <v>0.30290401228007202</v>
      </c>
      <c r="M868" s="8">
        <f>[1]Data!M868</f>
        <v>8.1812971522800702</v>
      </c>
      <c r="N868" s="8">
        <f>[1]Data!N868</f>
        <v>3.2258064516128997E-2</v>
      </c>
      <c r="O868" s="8">
        <f>[1]Data!O868</f>
        <v>0</v>
      </c>
      <c r="P868" s="8">
        <f>[1]Data!P868</f>
        <v>0.247311827956989</v>
      </c>
      <c r="Q868" s="8">
        <f>[1]Data!Q868</f>
        <v>0</v>
      </c>
      <c r="R868" s="8">
        <f>[1]Data!R868</f>
        <v>0</v>
      </c>
      <c r="S868" s="8">
        <f>[1]Data!S868</f>
        <v>0</v>
      </c>
      <c r="T868">
        <f t="shared" si="65"/>
        <v>3.2258064516128997E-2</v>
      </c>
      <c r="U868">
        <f t="shared" si="66"/>
        <v>0</v>
      </c>
      <c r="V868" s="4" t="str">
        <f t="shared" si="67"/>
        <v>0</v>
      </c>
      <c r="W868" s="4" t="str">
        <f t="shared" si="68"/>
        <v>5</v>
      </c>
      <c r="X868" s="4" t="str">
        <f t="shared" si="69"/>
        <v>0NON-HS5</v>
      </c>
      <c r="Y868">
        <f>VLOOKUP(X868,Sheet1!$J$5:$K$121,2,FALSE)</f>
        <v>0</v>
      </c>
    </row>
    <row r="869" spans="1:25" x14ac:dyDescent="0.25">
      <c r="A869" s="8">
        <f>[1]Data!A869</f>
        <v>702400</v>
      </c>
      <c r="B869" s="8">
        <f>[1]Data!B869</f>
        <v>5</v>
      </c>
      <c r="C869" s="8">
        <f>[1]Data!C869</f>
        <v>0</v>
      </c>
      <c r="D869" s="8">
        <f>[1]Data!D869</f>
        <v>2</v>
      </c>
      <c r="E869" s="8" t="str">
        <f>[1]Data!E869</f>
        <v>NON-HS</v>
      </c>
      <c r="F869" s="8" t="str">
        <f>[1]Data!F869</f>
        <v>Culver City</v>
      </c>
      <c r="G869" s="8">
        <f>[1]Data!G869</f>
        <v>0</v>
      </c>
      <c r="H869" s="8">
        <f>[1]Data!H869</f>
        <v>0</v>
      </c>
      <c r="I869" s="8">
        <f>[1]Data!I869</f>
        <v>17.89</v>
      </c>
      <c r="J869" s="8">
        <f>[1]Data!J869</f>
        <v>11.349222429999999</v>
      </c>
      <c r="K869" s="8">
        <f>[1]Data!K869</f>
        <v>17.349222430000001</v>
      </c>
      <c r="L869" s="8">
        <f>[1]Data!L869</f>
        <v>0.54116784757630199</v>
      </c>
      <c r="M869" s="8">
        <f>[1]Data!M869</f>
        <v>17.890390277576302</v>
      </c>
      <c r="N869" s="8">
        <f>[1]Data!N869</f>
        <v>3.2258064516128997E-2</v>
      </c>
      <c r="O869" s="8">
        <f>[1]Data!O869</f>
        <v>0</v>
      </c>
      <c r="P869" s="8">
        <f>[1]Data!P869</f>
        <v>0.247311827956989</v>
      </c>
      <c r="Q869" s="8">
        <f>[1]Data!Q869</f>
        <v>0</v>
      </c>
      <c r="R869" s="8">
        <f>[1]Data!R869</f>
        <v>0</v>
      </c>
      <c r="S869" s="8">
        <f>[1]Data!S869</f>
        <v>0</v>
      </c>
      <c r="T869">
        <f t="shared" si="65"/>
        <v>3.2258064516128997E-2</v>
      </c>
      <c r="U869">
        <f t="shared" si="66"/>
        <v>0</v>
      </c>
      <c r="V869" s="4" t="str">
        <f t="shared" si="67"/>
        <v>0</v>
      </c>
      <c r="W869" s="4" t="str">
        <f t="shared" si="68"/>
        <v>5</v>
      </c>
      <c r="X869" s="4" t="str">
        <f t="shared" si="69"/>
        <v>0NON-HS5</v>
      </c>
      <c r="Y869">
        <f>VLOOKUP(X869,Sheet1!$J$5:$K$121,2,FALSE)</f>
        <v>0</v>
      </c>
    </row>
    <row r="870" spans="1:25" x14ac:dyDescent="0.25">
      <c r="A870" s="8">
        <f>[1]Data!A870</f>
        <v>702501</v>
      </c>
      <c r="B870" s="8">
        <f>[1]Data!B870</f>
        <v>5</v>
      </c>
      <c r="C870" s="8">
        <f>[1]Data!C870</f>
        <v>0</v>
      </c>
      <c r="D870" s="8">
        <f>[1]Data!D870</f>
        <v>2</v>
      </c>
      <c r="E870" s="8" t="str">
        <f>[1]Data!E870</f>
        <v>NON-HS</v>
      </c>
      <c r="F870" s="8" t="str">
        <f>[1]Data!F870</f>
        <v>Culver City</v>
      </c>
      <c r="G870" s="8">
        <f>[1]Data!G870</f>
        <v>0</v>
      </c>
      <c r="H870" s="8">
        <f>[1]Data!H870</f>
        <v>0</v>
      </c>
      <c r="I870" s="8">
        <f>[1]Data!I870</f>
        <v>4</v>
      </c>
      <c r="J870" s="8">
        <f>[1]Data!J870</f>
        <v>0</v>
      </c>
      <c r="K870" s="8">
        <f>[1]Data!K870</f>
        <v>4</v>
      </c>
      <c r="L870" s="8">
        <f>[1]Data!L870</f>
        <v>0</v>
      </c>
      <c r="M870" s="8">
        <f>[1]Data!M870</f>
        <v>4</v>
      </c>
      <c r="N870" s="8">
        <f>[1]Data!N870</f>
        <v>3.2258064516128997E-2</v>
      </c>
      <c r="O870" s="8">
        <f>[1]Data!O870</f>
        <v>0</v>
      </c>
      <c r="P870" s="8">
        <f>[1]Data!P870</f>
        <v>0.247311827956989</v>
      </c>
      <c r="Q870" s="8">
        <f>[1]Data!Q870</f>
        <v>0</v>
      </c>
      <c r="R870" s="8">
        <f>[1]Data!R870</f>
        <v>0</v>
      </c>
      <c r="S870" s="8">
        <f>[1]Data!S870</f>
        <v>0</v>
      </c>
      <c r="T870">
        <f t="shared" si="65"/>
        <v>3.2258064516128997E-2</v>
      </c>
      <c r="U870">
        <f t="shared" si="66"/>
        <v>0</v>
      </c>
      <c r="V870" s="4" t="str">
        <f t="shared" si="67"/>
        <v>0</v>
      </c>
      <c r="W870" s="4" t="str">
        <f t="shared" si="68"/>
        <v>5</v>
      </c>
      <c r="X870" s="4" t="str">
        <f t="shared" si="69"/>
        <v>0NON-HS5</v>
      </c>
      <c r="Y870">
        <f>VLOOKUP(X870,Sheet1!$J$5:$K$121,2,FALSE)</f>
        <v>0</v>
      </c>
    </row>
    <row r="871" spans="1:25" x14ac:dyDescent="0.25">
      <c r="A871" s="8">
        <f>[1]Data!A871</f>
        <v>702502</v>
      </c>
      <c r="B871" s="8">
        <f>[1]Data!B871</f>
        <v>5</v>
      </c>
      <c r="C871" s="8">
        <f>[1]Data!C871</f>
        <v>0</v>
      </c>
      <c r="D871" s="8">
        <f>[1]Data!D871</f>
        <v>2</v>
      </c>
      <c r="E871" s="8" t="str">
        <f>[1]Data!E871</f>
        <v>NON-HS</v>
      </c>
      <c r="F871" s="8" t="str">
        <f>[1]Data!F871</f>
        <v>Culver City</v>
      </c>
      <c r="G871" s="8">
        <f>[1]Data!G871</f>
        <v>0</v>
      </c>
      <c r="H871" s="8">
        <f>[1]Data!H871</f>
        <v>0</v>
      </c>
      <c r="I871" s="8">
        <f>[1]Data!I871</f>
        <v>3.181</v>
      </c>
      <c r="J871" s="8">
        <f>[1]Data!J871</f>
        <v>2.87839314</v>
      </c>
      <c r="K871" s="8">
        <f>[1]Data!K871</f>
        <v>2.87839314</v>
      </c>
      <c r="L871" s="8">
        <f>[1]Data!L871</f>
        <v>0.30290401228007202</v>
      </c>
      <c r="M871" s="8">
        <f>[1]Data!M871</f>
        <v>3.1812971522800702</v>
      </c>
      <c r="N871" s="8">
        <f>[1]Data!N871</f>
        <v>3.2258064516128997E-2</v>
      </c>
      <c r="O871" s="8">
        <f>[1]Data!O871</f>
        <v>0</v>
      </c>
      <c r="P871" s="8">
        <f>[1]Data!P871</f>
        <v>0.247311827956989</v>
      </c>
      <c r="Q871" s="8">
        <f>[1]Data!Q871</f>
        <v>0</v>
      </c>
      <c r="R871" s="8">
        <f>[1]Data!R871</f>
        <v>0</v>
      </c>
      <c r="S871" s="8">
        <f>[1]Data!S871</f>
        <v>0</v>
      </c>
      <c r="T871">
        <f t="shared" si="65"/>
        <v>3.2258064516128997E-2</v>
      </c>
      <c r="U871">
        <f t="shared" si="66"/>
        <v>0</v>
      </c>
      <c r="V871" s="4" t="str">
        <f t="shared" si="67"/>
        <v>0</v>
      </c>
      <c r="W871" s="4" t="str">
        <f t="shared" si="68"/>
        <v>5</v>
      </c>
      <c r="X871" s="4" t="str">
        <f t="shared" si="69"/>
        <v>0NON-HS5</v>
      </c>
      <c r="Y871">
        <f>VLOOKUP(X871,Sheet1!$J$5:$K$121,2,FALSE)</f>
        <v>0</v>
      </c>
    </row>
    <row r="872" spans="1:25" x14ac:dyDescent="0.25">
      <c r="A872" s="8">
        <f>[1]Data!A872</f>
        <v>702802</v>
      </c>
      <c r="B872" s="8">
        <f>[1]Data!B872</f>
        <v>5</v>
      </c>
      <c r="C872" s="8">
        <f>[1]Data!C872</f>
        <v>0</v>
      </c>
      <c r="D872" s="8">
        <f>[1]Data!D872</f>
        <v>2</v>
      </c>
      <c r="E872" s="8" t="str">
        <f>[1]Data!E872</f>
        <v>NON-HS</v>
      </c>
      <c r="F872" s="8" t="str">
        <f>[1]Data!F872</f>
        <v>Culver City</v>
      </c>
      <c r="G872" s="8">
        <f>[1]Data!G872</f>
        <v>0</v>
      </c>
      <c r="H872" s="8">
        <f>[1]Data!H872</f>
        <v>0</v>
      </c>
      <c r="I872" s="8">
        <f>[1]Data!I872</f>
        <v>11.19</v>
      </c>
      <c r="J872" s="8">
        <f>[1]Data!J872</f>
        <v>3.9673993200000002</v>
      </c>
      <c r="K872" s="8">
        <f>[1]Data!K872</f>
        <v>10.96739932</v>
      </c>
      <c r="L872" s="8">
        <f>[1]Data!L872</f>
        <v>0.22234520276481101</v>
      </c>
      <c r="M872" s="8">
        <f>[1]Data!M872</f>
        <v>11.1897445227648</v>
      </c>
      <c r="N872" s="8">
        <f>[1]Data!N872</f>
        <v>3.2258064516128997E-2</v>
      </c>
      <c r="O872" s="8">
        <f>[1]Data!O872</f>
        <v>0</v>
      </c>
      <c r="P872" s="8">
        <f>[1]Data!P872</f>
        <v>0.247311827956989</v>
      </c>
      <c r="Q872" s="8">
        <f>[1]Data!Q872</f>
        <v>0</v>
      </c>
      <c r="R872" s="8">
        <f>[1]Data!R872</f>
        <v>0</v>
      </c>
      <c r="S872" s="8">
        <f>[1]Data!S872</f>
        <v>0</v>
      </c>
      <c r="T872">
        <f t="shared" si="65"/>
        <v>3.2258064516128997E-2</v>
      </c>
      <c r="U872">
        <f t="shared" si="66"/>
        <v>0</v>
      </c>
      <c r="V872" s="4" t="str">
        <f t="shared" si="67"/>
        <v>0</v>
      </c>
      <c r="W872" s="4" t="str">
        <f t="shared" si="68"/>
        <v>5</v>
      </c>
      <c r="X872" s="4" t="str">
        <f t="shared" si="69"/>
        <v>0NON-HS5</v>
      </c>
      <c r="Y872">
        <f>VLOOKUP(X872,Sheet1!$J$5:$K$121,2,FALSE)</f>
        <v>0</v>
      </c>
    </row>
    <row r="873" spans="1:25" x14ac:dyDescent="0.25">
      <c r="A873" s="8">
        <f>[1]Data!A873</f>
        <v>703002</v>
      </c>
      <c r="B873" s="8">
        <f>[1]Data!B873</f>
        <v>5</v>
      </c>
      <c r="C873" s="8">
        <f>[1]Data!C873</f>
        <v>0</v>
      </c>
      <c r="D873" s="8">
        <f>[1]Data!D873</f>
        <v>2</v>
      </c>
      <c r="E873" s="8" t="str">
        <f>[1]Data!E873</f>
        <v>NON-HS</v>
      </c>
      <c r="F873" s="8" t="str">
        <f>[1]Data!F873</f>
        <v>Ladera Heights</v>
      </c>
      <c r="G873" s="8">
        <f>[1]Data!G873</f>
        <v>0</v>
      </c>
      <c r="H873" s="8">
        <f>[1]Data!H873</f>
        <v>0</v>
      </c>
      <c r="I873" s="8">
        <f>[1]Data!I873</f>
        <v>17.994</v>
      </c>
      <c r="J873" s="8">
        <f>[1]Data!J873</f>
        <v>15.8616437</v>
      </c>
      <c r="K873" s="8">
        <f>[1]Data!K873</f>
        <v>16.861643699999998</v>
      </c>
      <c r="L873" s="8">
        <f>[1]Data!L873</f>
        <v>1.13218758213645</v>
      </c>
      <c r="M873" s="8">
        <f>[1]Data!M873</f>
        <v>17.993831282136401</v>
      </c>
      <c r="N873" s="8">
        <f>[1]Data!N873</f>
        <v>3.2258064516128997E-2</v>
      </c>
      <c r="O873" s="8">
        <f>[1]Data!O873</f>
        <v>0</v>
      </c>
      <c r="P873" s="8">
        <f>[1]Data!P873</f>
        <v>0.247311827956989</v>
      </c>
      <c r="Q873" s="8">
        <f>[1]Data!Q873</f>
        <v>0</v>
      </c>
      <c r="R873" s="8">
        <f>[1]Data!R873</f>
        <v>0</v>
      </c>
      <c r="S873" s="8">
        <f>[1]Data!S873</f>
        <v>0</v>
      </c>
      <c r="T873">
        <f t="shared" si="65"/>
        <v>3.2258064516128997E-2</v>
      </c>
      <c r="U873">
        <f t="shared" si="66"/>
        <v>0</v>
      </c>
      <c r="V873" s="4" t="str">
        <f t="shared" si="67"/>
        <v>0</v>
      </c>
      <c r="W873" s="4" t="str">
        <f t="shared" si="68"/>
        <v>5</v>
      </c>
      <c r="X873" s="4" t="str">
        <f t="shared" si="69"/>
        <v>0NON-HS5</v>
      </c>
      <c r="Y873">
        <f>VLOOKUP(X873,Sheet1!$J$5:$K$121,2,FALSE)</f>
        <v>0</v>
      </c>
    </row>
    <row r="874" spans="1:25" x14ac:dyDescent="0.25">
      <c r="A874" s="8">
        <f>[1]Data!A874</f>
        <v>800504</v>
      </c>
      <c r="B874" s="8">
        <f>[1]Data!B874</f>
        <v>5</v>
      </c>
      <c r="C874" s="8">
        <f>[1]Data!C874</f>
        <v>0</v>
      </c>
      <c r="D874" s="8">
        <f>[1]Data!D874</f>
        <v>3</v>
      </c>
      <c r="E874" s="8" t="str">
        <f>[1]Data!E874</f>
        <v>NON-HS</v>
      </c>
      <c r="F874" s="8" t="str">
        <f>[1]Data!F874</f>
        <v>Malibu</v>
      </c>
      <c r="G874" s="8">
        <f>[1]Data!G874</f>
        <v>0</v>
      </c>
      <c r="H874" s="8">
        <f>[1]Data!H874</f>
        <v>0</v>
      </c>
      <c r="I874" s="8">
        <f>[1]Data!I874</f>
        <v>5.734</v>
      </c>
      <c r="J874" s="8">
        <f>[1]Data!J874</f>
        <v>3.63801211</v>
      </c>
      <c r="K874" s="8">
        <f>[1]Data!K874</f>
        <v>5.63801211</v>
      </c>
      <c r="L874" s="8">
        <f>[1]Data!L874</f>
        <v>9.5610832369838403E-2</v>
      </c>
      <c r="M874" s="8">
        <f>[1]Data!M874</f>
        <v>5.7336229423698404</v>
      </c>
      <c r="N874" s="8">
        <f>[1]Data!N874</f>
        <v>3.2258064516128997E-2</v>
      </c>
      <c r="O874" s="8">
        <f>[1]Data!O874</f>
        <v>0</v>
      </c>
      <c r="P874" s="8">
        <f>[1]Data!P874</f>
        <v>0.247311827956989</v>
      </c>
      <c r="Q874" s="8">
        <f>[1]Data!Q874</f>
        <v>0</v>
      </c>
      <c r="R874" s="8">
        <f>[1]Data!R874</f>
        <v>0</v>
      </c>
      <c r="S874" s="8">
        <f>[1]Data!S874</f>
        <v>0</v>
      </c>
      <c r="T874">
        <f t="shared" si="65"/>
        <v>3.2258064516128997E-2</v>
      </c>
      <c r="U874">
        <f t="shared" si="66"/>
        <v>0</v>
      </c>
      <c r="V874" s="4" t="str">
        <f t="shared" si="67"/>
        <v>0</v>
      </c>
      <c r="W874" s="4" t="str">
        <f t="shared" si="68"/>
        <v>5</v>
      </c>
      <c r="X874" s="4" t="str">
        <f t="shared" si="69"/>
        <v>0NON-HS5</v>
      </c>
      <c r="Y874">
        <f>VLOOKUP(X874,Sheet1!$J$5:$K$121,2,FALSE)</f>
        <v>0</v>
      </c>
    </row>
    <row r="875" spans="1:25" x14ac:dyDescent="0.25">
      <c r="A875" s="8">
        <f>[1]Data!A875</f>
        <v>800406</v>
      </c>
      <c r="B875" s="8">
        <f>[1]Data!B875</f>
        <v>5</v>
      </c>
      <c r="C875" s="8">
        <f>[1]Data!C875</f>
        <v>0</v>
      </c>
      <c r="D875" s="8">
        <f>[1]Data!D875</f>
        <v>3</v>
      </c>
      <c r="E875" s="8" t="str">
        <f>[1]Data!E875</f>
        <v>NON-HS</v>
      </c>
      <c r="F875" s="8" t="str">
        <f>[1]Data!F875</f>
        <v>Malibu</v>
      </c>
      <c r="G875" s="8">
        <f>[1]Data!G875</f>
        <v>0</v>
      </c>
      <c r="H875" s="8">
        <f>[1]Data!H875</f>
        <v>0</v>
      </c>
      <c r="I875" s="8">
        <f>[1]Data!I875</f>
        <v>9.4749999999999996</v>
      </c>
      <c r="J875" s="8">
        <f>[1]Data!J875</f>
        <v>5.9988813299999997</v>
      </c>
      <c r="K875" s="8">
        <f>[1]Data!K875</f>
        <v>8.9988813299999997</v>
      </c>
      <c r="L875" s="8">
        <f>[1]Data!L875</f>
        <v>0.47584795017953302</v>
      </c>
      <c r="M875" s="8">
        <f>[1]Data!M875</f>
        <v>9.4747292801795293</v>
      </c>
      <c r="N875" s="8">
        <f>[1]Data!N875</f>
        <v>3.2258064516128997E-2</v>
      </c>
      <c r="O875" s="8">
        <f>[1]Data!O875</f>
        <v>0</v>
      </c>
      <c r="P875" s="8">
        <f>[1]Data!P875</f>
        <v>0.247311827956989</v>
      </c>
      <c r="Q875" s="8">
        <f>[1]Data!Q875</f>
        <v>0</v>
      </c>
      <c r="R875" s="8">
        <f>[1]Data!R875</f>
        <v>0</v>
      </c>
      <c r="S875" s="8">
        <f>[1]Data!S875</f>
        <v>0</v>
      </c>
      <c r="T875">
        <f t="shared" si="65"/>
        <v>3.2258064516128997E-2</v>
      </c>
      <c r="U875">
        <f t="shared" si="66"/>
        <v>0</v>
      </c>
      <c r="V875" s="4" t="str">
        <f t="shared" si="67"/>
        <v>0</v>
      </c>
      <c r="W875" s="4" t="str">
        <f t="shared" si="68"/>
        <v>5</v>
      </c>
      <c r="X875" s="4" t="str">
        <f t="shared" si="69"/>
        <v>0NON-HS5</v>
      </c>
      <c r="Y875">
        <f>VLOOKUP(X875,Sheet1!$J$5:$K$121,2,FALSE)</f>
        <v>0</v>
      </c>
    </row>
    <row r="876" spans="1:25" x14ac:dyDescent="0.25">
      <c r="A876" s="8">
        <f>[1]Data!A876</f>
        <v>702801</v>
      </c>
      <c r="B876" s="8">
        <f>[1]Data!B876</f>
        <v>5</v>
      </c>
      <c r="C876" s="8">
        <f>[1]Data!C876</f>
        <v>0</v>
      </c>
      <c r="D876" s="8">
        <f>[1]Data!D876</f>
        <v>2</v>
      </c>
      <c r="E876" s="8" t="str">
        <f>[1]Data!E876</f>
        <v>NON-HS</v>
      </c>
      <c r="F876" s="8" t="str">
        <f>[1]Data!F876</f>
        <v>Culver City</v>
      </c>
      <c r="G876" s="8">
        <f>[1]Data!G876</f>
        <v>0</v>
      </c>
      <c r="H876" s="8">
        <f>[1]Data!H876</f>
        <v>0</v>
      </c>
      <c r="I876" s="8">
        <f>[1]Data!I876</f>
        <v>11.867000000000001</v>
      </c>
      <c r="J876" s="8">
        <f>[1]Data!J876</f>
        <v>6.3012893700000001</v>
      </c>
      <c r="K876" s="8">
        <f>[1]Data!K876</f>
        <v>11.301289369999999</v>
      </c>
      <c r="L876" s="8">
        <f>[1]Data!L876</f>
        <v>0.56552861980251301</v>
      </c>
      <c r="M876" s="8">
        <f>[1]Data!M876</f>
        <v>11.866817989802501</v>
      </c>
      <c r="N876" s="8">
        <f>[1]Data!N876</f>
        <v>3.2258064516128997E-2</v>
      </c>
      <c r="O876" s="8">
        <f>[1]Data!O876</f>
        <v>0</v>
      </c>
      <c r="P876" s="8">
        <f>[1]Data!P876</f>
        <v>0.247311827956989</v>
      </c>
      <c r="Q876" s="8">
        <f>[1]Data!Q876</f>
        <v>0</v>
      </c>
      <c r="R876" s="8">
        <f>[1]Data!R876</f>
        <v>0</v>
      </c>
      <c r="S876" s="8">
        <f>[1]Data!S876</f>
        <v>0</v>
      </c>
      <c r="T876">
        <f t="shared" si="65"/>
        <v>3.2258064516128997E-2</v>
      </c>
      <c r="U876">
        <f t="shared" si="66"/>
        <v>0</v>
      </c>
      <c r="V876" s="4" t="str">
        <f t="shared" si="67"/>
        <v>0</v>
      </c>
      <c r="W876" s="4" t="str">
        <f t="shared" si="68"/>
        <v>5</v>
      </c>
      <c r="X876" s="4" t="str">
        <f t="shared" si="69"/>
        <v>0NON-HS5</v>
      </c>
      <c r="Y876">
        <f>VLOOKUP(X876,Sheet1!$J$5:$K$121,2,FALSE)</f>
        <v>0</v>
      </c>
    </row>
    <row r="877" spans="1:25" x14ac:dyDescent="0.25">
      <c r="A877" s="8">
        <f>[1]Data!A877</f>
        <v>701601</v>
      </c>
      <c r="B877" s="8">
        <f>[1]Data!B877</f>
        <v>5</v>
      </c>
      <c r="C877" s="8">
        <f>[1]Data!C877</f>
        <v>0</v>
      </c>
      <c r="D877" s="8">
        <f>[1]Data!D877</f>
        <v>3</v>
      </c>
      <c r="E877" s="8" t="str">
        <f>[1]Data!E877</f>
        <v>NON-HS</v>
      </c>
      <c r="F877" s="8" t="str">
        <f>[1]Data!F877</f>
        <v>Santa Monica</v>
      </c>
      <c r="G877" s="8">
        <f>[1]Data!G877</f>
        <v>0</v>
      </c>
      <c r="H877" s="8">
        <f>[1]Data!H877</f>
        <v>0</v>
      </c>
      <c r="I877" s="8">
        <f>[1]Data!I877</f>
        <v>7</v>
      </c>
      <c r="J877" s="8">
        <f>[1]Data!J877</f>
        <v>0</v>
      </c>
      <c r="K877" s="8">
        <f>[1]Data!K877</f>
        <v>7</v>
      </c>
      <c r="L877" s="8">
        <f>[1]Data!L877</f>
        <v>0</v>
      </c>
      <c r="M877" s="8">
        <f>[1]Data!M877</f>
        <v>7</v>
      </c>
      <c r="N877" s="8">
        <f>[1]Data!N877</f>
        <v>3.2258064516128997E-2</v>
      </c>
      <c r="O877" s="8">
        <f>[1]Data!O877</f>
        <v>0</v>
      </c>
      <c r="P877" s="8">
        <f>[1]Data!P877</f>
        <v>0.247311827956989</v>
      </c>
      <c r="Q877" s="8">
        <f>[1]Data!Q877</f>
        <v>0</v>
      </c>
      <c r="R877" s="8">
        <f>[1]Data!R877</f>
        <v>0</v>
      </c>
      <c r="S877" s="8">
        <f>[1]Data!S877</f>
        <v>0</v>
      </c>
      <c r="T877">
        <f t="shared" si="65"/>
        <v>3.2258064516128997E-2</v>
      </c>
      <c r="U877">
        <f t="shared" si="66"/>
        <v>0</v>
      </c>
      <c r="V877" s="4" t="str">
        <f t="shared" si="67"/>
        <v>0</v>
      </c>
      <c r="W877" s="4" t="str">
        <f t="shared" si="68"/>
        <v>5</v>
      </c>
      <c r="X877" s="4" t="str">
        <f t="shared" si="69"/>
        <v>0NON-HS5</v>
      </c>
      <c r="Y877">
        <f>VLOOKUP(X877,Sheet1!$J$5:$K$121,2,FALSE)</f>
        <v>0</v>
      </c>
    </row>
    <row r="878" spans="1:25" x14ac:dyDescent="0.25">
      <c r="A878" s="8">
        <f>[1]Data!A878</f>
        <v>700901</v>
      </c>
      <c r="B878" s="8">
        <f>[1]Data!B878</f>
        <v>5</v>
      </c>
      <c r="C878" s="8">
        <f>[1]Data!C878</f>
        <v>0</v>
      </c>
      <c r="D878" s="8">
        <f>[1]Data!D878</f>
        <v>3</v>
      </c>
      <c r="E878" s="8" t="str">
        <f>[1]Data!E878</f>
        <v>NON-HS</v>
      </c>
      <c r="F878" s="8" t="str">
        <f>[1]Data!F878</f>
        <v>Beverly Hills</v>
      </c>
      <c r="G878" s="8">
        <f>[1]Data!G878</f>
        <v>0</v>
      </c>
      <c r="H878" s="8">
        <f>[1]Data!H878</f>
        <v>0</v>
      </c>
      <c r="I878" s="8">
        <f>[1]Data!I878</f>
        <v>1</v>
      </c>
      <c r="J878" s="8">
        <f>[1]Data!J878</f>
        <v>0</v>
      </c>
      <c r="K878" s="8">
        <f>[1]Data!K878</f>
        <v>1</v>
      </c>
      <c r="L878" s="8">
        <f>[1]Data!L878</f>
        <v>0</v>
      </c>
      <c r="M878" s="8">
        <f>[1]Data!M878</f>
        <v>1</v>
      </c>
      <c r="N878" s="8">
        <f>[1]Data!N878</f>
        <v>3.2258064516128997E-2</v>
      </c>
      <c r="O878" s="8">
        <f>[1]Data!O878</f>
        <v>0</v>
      </c>
      <c r="P878" s="8">
        <f>[1]Data!P878</f>
        <v>0.247311827956989</v>
      </c>
      <c r="Q878" s="8">
        <f>[1]Data!Q878</f>
        <v>0</v>
      </c>
      <c r="R878" s="8">
        <f>[1]Data!R878</f>
        <v>0</v>
      </c>
      <c r="S878" s="8">
        <f>[1]Data!S878</f>
        <v>0</v>
      </c>
      <c r="T878">
        <f t="shared" si="65"/>
        <v>3.2258064516128997E-2</v>
      </c>
      <c r="U878">
        <f t="shared" si="66"/>
        <v>0</v>
      </c>
      <c r="V878" s="4" t="str">
        <f t="shared" si="67"/>
        <v>0</v>
      </c>
      <c r="W878" s="4" t="str">
        <f t="shared" si="68"/>
        <v>5</v>
      </c>
      <c r="X878" s="4" t="str">
        <f t="shared" si="69"/>
        <v>0NON-HS5</v>
      </c>
      <c r="Y878">
        <f>VLOOKUP(X878,Sheet1!$J$5:$K$121,2,FALSE)</f>
        <v>0</v>
      </c>
    </row>
    <row r="879" spans="1:25" x14ac:dyDescent="0.25">
      <c r="A879" s="8">
        <f>[1]Data!A879</f>
        <v>553901</v>
      </c>
      <c r="B879" s="8">
        <f>[1]Data!B879</f>
        <v>6</v>
      </c>
      <c r="C879" s="8">
        <f>[1]Data!C879</f>
        <v>0</v>
      </c>
      <c r="D879" s="8">
        <f>[1]Data!D879</f>
        <v>4</v>
      </c>
      <c r="E879" s="8" t="str">
        <f>[1]Data!E879</f>
        <v>NON-HS</v>
      </c>
      <c r="F879" s="8" t="str">
        <f>[1]Data!F879</f>
        <v>Paramount</v>
      </c>
      <c r="G879" s="8">
        <f>[1]Data!G879</f>
        <v>0</v>
      </c>
      <c r="H879" s="8">
        <f>[1]Data!H879</f>
        <v>0</v>
      </c>
      <c r="I879" s="8">
        <f>[1]Data!I879</f>
        <v>1</v>
      </c>
      <c r="J879" s="8">
        <f>[1]Data!J879</f>
        <v>0</v>
      </c>
      <c r="K879" s="8">
        <f>[1]Data!K879</f>
        <v>1</v>
      </c>
      <c r="L879" s="8">
        <f>[1]Data!L879</f>
        <v>0</v>
      </c>
      <c r="M879" s="8">
        <f>[1]Data!M879</f>
        <v>1</v>
      </c>
      <c r="N879" s="8">
        <f>[1]Data!N879</f>
        <v>2.34375E-2</v>
      </c>
      <c r="O879" s="8">
        <f>[1]Data!O879</f>
        <v>0</v>
      </c>
      <c r="P879" s="8">
        <f>[1]Data!P879</f>
        <v>0.375</v>
      </c>
      <c r="Q879" s="8">
        <f>[1]Data!Q879</f>
        <v>0</v>
      </c>
      <c r="R879" s="8">
        <f>[1]Data!R879</f>
        <v>0</v>
      </c>
      <c r="S879" s="8">
        <f>[1]Data!S879</f>
        <v>0</v>
      </c>
      <c r="T879">
        <f t="shared" si="65"/>
        <v>2.34375E-2</v>
      </c>
      <c r="U879">
        <f t="shared" si="66"/>
        <v>0</v>
      </c>
      <c r="V879" s="4" t="str">
        <f t="shared" si="67"/>
        <v>0</v>
      </c>
      <c r="W879" s="4" t="str">
        <f t="shared" si="68"/>
        <v>6</v>
      </c>
      <c r="X879" s="4" t="str">
        <f t="shared" si="69"/>
        <v>0NON-HS6</v>
      </c>
      <c r="Y879">
        <f>VLOOKUP(X879,Sheet1!$J$5:$K$121,2,FALSE)</f>
        <v>0</v>
      </c>
    </row>
    <row r="880" spans="1:25" x14ac:dyDescent="0.25">
      <c r="A880" s="8">
        <f>[1]Data!A880</f>
        <v>542800</v>
      </c>
      <c r="B880" s="8">
        <f>[1]Data!B880</f>
        <v>6</v>
      </c>
      <c r="C880" s="8">
        <f>[1]Data!C880</f>
        <v>0</v>
      </c>
      <c r="D880" s="8">
        <f>[1]Data!D880</f>
        <v>2</v>
      </c>
      <c r="E880" s="8" t="str">
        <f>[1]Data!E880</f>
        <v>NON-HS</v>
      </c>
      <c r="F880" s="8" t="str">
        <f>[1]Data!F880</f>
        <v>Compton</v>
      </c>
      <c r="G880" s="8">
        <f>[1]Data!G880</f>
        <v>0</v>
      </c>
      <c r="H880" s="8">
        <f>[1]Data!H880</f>
        <v>0</v>
      </c>
      <c r="I880" s="8">
        <f>[1]Data!I880</f>
        <v>1.8080000000000001</v>
      </c>
      <c r="J880" s="8">
        <f>[1]Data!J880</f>
        <v>1.73313217</v>
      </c>
      <c r="K880" s="8">
        <f>[1]Data!K880</f>
        <v>1.73313217</v>
      </c>
      <c r="L880" s="8">
        <f>[1]Data!L880</f>
        <v>7.4985510287253102E-2</v>
      </c>
      <c r="M880" s="8">
        <f>[1]Data!M880</f>
        <v>1.8081176802872501</v>
      </c>
      <c r="N880" s="8">
        <f>[1]Data!N880</f>
        <v>2.34375E-2</v>
      </c>
      <c r="O880" s="8">
        <f>[1]Data!O880</f>
        <v>0</v>
      </c>
      <c r="P880" s="8">
        <f>[1]Data!P880</f>
        <v>0.375</v>
      </c>
      <c r="Q880" s="8">
        <f>[1]Data!Q880</f>
        <v>0</v>
      </c>
      <c r="R880" s="8">
        <f>[1]Data!R880</f>
        <v>0</v>
      </c>
      <c r="S880" s="8">
        <f>[1]Data!S880</f>
        <v>0</v>
      </c>
      <c r="T880">
        <f t="shared" si="65"/>
        <v>2.34375E-2</v>
      </c>
      <c r="U880">
        <f t="shared" si="66"/>
        <v>0</v>
      </c>
      <c r="V880" s="4" t="str">
        <f t="shared" si="67"/>
        <v>0</v>
      </c>
      <c r="W880" s="4" t="str">
        <f t="shared" si="68"/>
        <v>6</v>
      </c>
      <c r="X880" s="4" t="str">
        <f t="shared" si="69"/>
        <v>0NON-HS6</v>
      </c>
      <c r="Y880">
        <f>VLOOKUP(X880,Sheet1!$J$5:$K$121,2,FALSE)</f>
        <v>0</v>
      </c>
    </row>
    <row r="881" spans="1:25" x14ac:dyDescent="0.25">
      <c r="A881" s="8">
        <f>[1]Data!A881</f>
        <v>532900</v>
      </c>
      <c r="B881" s="8">
        <f>[1]Data!B881</f>
        <v>6</v>
      </c>
      <c r="C881" s="8">
        <f>[1]Data!C881</f>
        <v>0</v>
      </c>
      <c r="D881" s="8">
        <f>[1]Data!D881</f>
        <v>2</v>
      </c>
      <c r="E881" s="8" t="str">
        <f>[1]Data!E881</f>
        <v>NON-HS</v>
      </c>
      <c r="F881" s="8" t="str">
        <f>[1]Data!F881</f>
        <v>Florence-Graham</v>
      </c>
      <c r="G881" s="8">
        <f>[1]Data!G881</f>
        <v>0</v>
      </c>
      <c r="H881" s="8">
        <f>[1]Data!H881</f>
        <v>0</v>
      </c>
      <c r="I881" s="8">
        <f>[1]Data!I881</f>
        <v>3.399</v>
      </c>
      <c r="J881" s="8">
        <f>[1]Data!J881</f>
        <v>3.1723287400000002</v>
      </c>
      <c r="K881" s="8">
        <f>[1]Data!K881</f>
        <v>3.1723287400000002</v>
      </c>
      <c r="L881" s="8">
        <f>[1]Data!L881</f>
        <v>0.22643751642728899</v>
      </c>
      <c r="M881" s="8">
        <f>[1]Data!M881</f>
        <v>3.3987662564272898</v>
      </c>
      <c r="N881" s="8">
        <f>[1]Data!N881</f>
        <v>2.34375E-2</v>
      </c>
      <c r="O881" s="8">
        <f>[1]Data!O881</f>
        <v>0</v>
      </c>
      <c r="P881" s="8">
        <f>[1]Data!P881</f>
        <v>0.375</v>
      </c>
      <c r="Q881" s="8">
        <f>[1]Data!Q881</f>
        <v>0</v>
      </c>
      <c r="R881" s="8">
        <f>[1]Data!R881</f>
        <v>0</v>
      </c>
      <c r="S881" s="8">
        <f>[1]Data!S881</f>
        <v>0</v>
      </c>
      <c r="T881">
        <f t="shared" si="65"/>
        <v>2.34375E-2</v>
      </c>
      <c r="U881">
        <f t="shared" si="66"/>
        <v>0</v>
      </c>
      <c r="V881" s="4" t="str">
        <f t="shared" si="67"/>
        <v>0</v>
      </c>
      <c r="W881" s="4" t="str">
        <f t="shared" si="68"/>
        <v>6</v>
      </c>
      <c r="X881" s="4" t="str">
        <f t="shared" si="69"/>
        <v>0NON-HS6</v>
      </c>
      <c r="Y881">
        <f>VLOOKUP(X881,Sheet1!$J$5:$K$121,2,FALSE)</f>
        <v>0</v>
      </c>
    </row>
    <row r="882" spans="1:25" x14ac:dyDescent="0.25">
      <c r="A882" s="8">
        <f>[1]Data!A882</f>
        <v>553802</v>
      </c>
      <c r="B882" s="8">
        <f>[1]Data!B882</f>
        <v>6</v>
      </c>
      <c r="C882" s="8">
        <f>[1]Data!C882</f>
        <v>0</v>
      </c>
      <c r="D882" s="8">
        <f>[1]Data!D882</f>
        <v>4</v>
      </c>
      <c r="E882" s="8" t="str">
        <f>[1]Data!E882</f>
        <v>NON-HS</v>
      </c>
      <c r="F882" s="8" t="str">
        <f>[1]Data!F882</f>
        <v>Paramount</v>
      </c>
      <c r="G882" s="8">
        <f>[1]Data!G882</f>
        <v>0</v>
      </c>
      <c r="H882" s="8">
        <f>[1]Data!H882</f>
        <v>0</v>
      </c>
      <c r="I882" s="8">
        <f>[1]Data!I882</f>
        <v>24.785</v>
      </c>
      <c r="J882" s="8">
        <f>[1]Data!J882</f>
        <v>16.656714279999999</v>
      </c>
      <c r="K882" s="8">
        <f>[1]Data!K882</f>
        <v>23.656714279999999</v>
      </c>
      <c r="L882" s="8">
        <f>[1]Data!L882</f>
        <v>1.12809526847397</v>
      </c>
      <c r="M882" s="8">
        <f>[1]Data!M882</f>
        <v>24.784809548474001</v>
      </c>
      <c r="N882" s="8">
        <f>[1]Data!N882</f>
        <v>2.34375E-2</v>
      </c>
      <c r="O882" s="8">
        <f>[1]Data!O882</f>
        <v>0</v>
      </c>
      <c r="P882" s="8">
        <f>[1]Data!P882</f>
        <v>0.375</v>
      </c>
      <c r="Q882" s="8">
        <f>[1]Data!Q882</f>
        <v>0</v>
      </c>
      <c r="R882" s="8">
        <f>[1]Data!R882</f>
        <v>0</v>
      </c>
      <c r="S882" s="8">
        <f>[1]Data!S882</f>
        <v>0</v>
      </c>
      <c r="T882">
        <f t="shared" si="65"/>
        <v>2.34375E-2</v>
      </c>
      <c r="U882">
        <f t="shared" si="66"/>
        <v>0</v>
      </c>
      <c r="V882" s="4" t="str">
        <f t="shared" si="67"/>
        <v>0</v>
      </c>
      <c r="W882" s="4" t="str">
        <f t="shared" si="68"/>
        <v>6</v>
      </c>
      <c r="X882" s="4" t="str">
        <f t="shared" si="69"/>
        <v>0NON-HS6</v>
      </c>
      <c r="Y882">
        <f>VLOOKUP(X882,Sheet1!$J$5:$K$121,2,FALSE)</f>
        <v>0</v>
      </c>
    </row>
    <row r="883" spans="1:25" x14ac:dyDescent="0.25">
      <c r="A883" s="8">
        <f>[1]Data!A883</f>
        <v>535002</v>
      </c>
      <c r="B883" s="8">
        <f>[1]Data!B883</f>
        <v>6</v>
      </c>
      <c r="C883" s="8">
        <f>[1]Data!C883</f>
        <v>0</v>
      </c>
      <c r="D883" s="8">
        <f>[1]Data!D883</f>
        <v>2</v>
      </c>
      <c r="E883" s="8" t="str">
        <f>[1]Data!E883</f>
        <v>NON-HS</v>
      </c>
      <c r="F883" s="8" t="str">
        <f>[1]Data!F883</f>
        <v>Florence-Graham</v>
      </c>
      <c r="G883" s="8">
        <f>[1]Data!G883</f>
        <v>0</v>
      </c>
      <c r="H883" s="8">
        <f>[1]Data!H883</f>
        <v>0</v>
      </c>
      <c r="I883" s="8">
        <f>[1]Data!I883</f>
        <v>19.242999999999999</v>
      </c>
      <c r="J883" s="8">
        <f>[1]Data!J883</f>
        <v>15.43263359</v>
      </c>
      <c r="K883" s="8">
        <f>[1]Data!K883</f>
        <v>18.432633589999998</v>
      </c>
      <c r="L883" s="8">
        <f>[1]Data!L883</f>
        <v>0.80962948718132899</v>
      </c>
      <c r="M883" s="8">
        <f>[1]Data!M883</f>
        <v>19.242263077181299</v>
      </c>
      <c r="N883" s="8">
        <f>[1]Data!N883</f>
        <v>2.34375E-2</v>
      </c>
      <c r="O883" s="8">
        <f>[1]Data!O883</f>
        <v>0</v>
      </c>
      <c r="P883" s="8">
        <f>[1]Data!P883</f>
        <v>0.375</v>
      </c>
      <c r="Q883" s="8">
        <f>[1]Data!Q883</f>
        <v>0</v>
      </c>
      <c r="R883" s="8">
        <f>[1]Data!R883</f>
        <v>0</v>
      </c>
      <c r="S883" s="8">
        <f>[1]Data!S883</f>
        <v>0</v>
      </c>
      <c r="T883">
        <f t="shared" si="65"/>
        <v>2.34375E-2</v>
      </c>
      <c r="U883">
        <f t="shared" si="66"/>
        <v>0</v>
      </c>
      <c r="V883" s="4" t="str">
        <f t="shared" si="67"/>
        <v>0</v>
      </c>
      <c r="W883" s="4" t="str">
        <f t="shared" si="68"/>
        <v>6</v>
      </c>
      <c r="X883" s="4" t="str">
        <f t="shared" si="69"/>
        <v>0NON-HS6</v>
      </c>
      <c r="Y883">
        <f>VLOOKUP(X883,Sheet1!$J$5:$K$121,2,FALSE)</f>
        <v>0</v>
      </c>
    </row>
    <row r="884" spans="1:25" x14ac:dyDescent="0.25">
      <c r="A884" s="8">
        <f>[1]Data!A884</f>
        <v>535102</v>
      </c>
      <c r="B884" s="8">
        <f>[1]Data!B884</f>
        <v>6</v>
      </c>
      <c r="C884" s="8">
        <f>[1]Data!C884</f>
        <v>0</v>
      </c>
      <c r="D884" s="8">
        <f>[1]Data!D884</f>
        <v>2</v>
      </c>
      <c r="E884" s="8" t="str">
        <f>[1]Data!E884</f>
        <v>NON-HS</v>
      </c>
      <c r="F884" s="8" t="str">
        <f>[1]Data!F884</f>
        <v>Florence-Graham</v>
      </c>
      <c r="G884" s="8">
        <f>[1]Data!G884</f>
        <v>0</v>
      </c>
      <c r="H884" s="8">
        <f>[1]Data!H884</f>
        <v>0</v>
      </c>
      <c r="I884" s="8">
        <f>[1]Data!I884</f>
        <v>9.2759999999999998</v>
      </c>
      <c r="J884" s="8">
        <f>[1]Data!J884</f>
        <v>4.8620928000000001</v>
      </c>
      <c r="K884" s="8">
        <f>[1]Data!K884</f>
        <v>8.8620927999999992</v>
      </c>
      <c r="L884" s="8">
        <f>[1]Data!L884</f>
        <v>0.414076613662478</v>
      </c>
      <c r="M884" s="8">
        <f>[1]Data!M884</f>
        <v>9.2761694136624797</v>
      </c>
      <c r="N884" s="8">
        <f>[1]Data!N884</f>
        <v>2.34375E-2</v>
      </c>
      <c r="O884" s="8">
        <f>[1]Data!O884</f>
        <v>0</v>
      </c>
      <c r="P884" s="8">
        <f>[1]Data!P884</f>
        <v>0.375</v>
      </c>
      <c r="Q884" s="8">
        <f>[1]Data!Q884</f>
        <v>0</v>
      </c>
      <c r="R884" s="8">
        <f>[1]Data!R884</f>
        <v>0</v>
      </c>
      <c r="S884" s="8">
        <f>[1]Data!S884</f>
        <v>0</v>
      </c>
      <c r="T884">
        <f t="shared" si="65"/>
        <v>2.34375E-2</v>
      </c>
      <c r="U884">
        <f t="shared" si="66"/>
        <v>0</v>
      </c>
      <c r="V884" s="4" t="str">
        <f t="shared" si="67"/>
        <v>0</v>
      </c>
      <c r="W884" s="4" t="str">
        <f t="shared" si="68"/>
        <v>6</v>
      </c>
      <c r="X884" s="4" t="str">
        <f t="shared" si="69"/>
        <v>0NON-HS6</v>
      </c>
      <c r="Y884">
        <f>VLOOKUP(X884,Sheet1!$J$5:$K$121,2,FALSE)</f>
        <v>0</v>
      </c>
    </row>
    <row r="885" spans="1:25" x14ac:dyDescent="0.25">
      <c r="A885" s="8">
        <f>[1]Data!A885</f>
        <v>542502</v>
      </c>
      <c r="B885" s="8">
        <f>[1]Data!B885</f>
        <v>6</v>
      </c>
      <c r="C885" s="8">
        <f>[1]Data!C885</f>
        <v>0</v>
      </c>
      <c r="D885" s="8">
        <f>[1]Data!D885</f>
        <v>2</v>
      </c>
      <c r="E885" s="8" t="str">
        <f>[1]Data!E885</f>
        <v>NON-HS</v>
      </c>
      <c r="F885" s="8" t="str">
        <f>[1]Data!F885</f>
        <v>Compton</v>
      </c>
      <c r="G885" s="8">
        <f>[1]Data!G885</f>
        <v>0</v>
      </c>
      <c r="H885" s="8">
        <f>[1]Data!H885</f>
        <v>0</v>
      </c>
      <c r="I885" s="8">
        <f>[1]Data!I885</f>
        <v>15.135999999999999</v>
      </c>
      <c r="J885" s="8">
        <f>[1]Data!J885</f>
        <v>10.649360509999999</v>
      </c>
      <c r="K885" s="8">
        <f>[1]Data!K885</f>
        <v>14.649360509999999</v>
      </c>
      <c r="L885" s="8">
        <f>[1]Data!L885</f>
        <v>0.48610015281867203</v>
      </c>
      <c r="M885" s="8">
        <f>[1]Data!M885</f>
        <v>15.1354606628187</v>
      </c>
      <c r="N885" s="8">
        <f>[1]Data!N885</f>
        <v>2.34375E-2</v>
      </c>
      <c r="O885" s="8">
        <f>[1]Data!O885</f>
        <v>0</v>
      </c>
      <c r="P885" s="8">
        <f>[1]Data!P885</f>
        <v>0.375</v>
      </c>
      <c r="Q885" s="8">
        <f>[1]Data!Q885</f>
        <v>0</v>
      </c>
      <c r="R885" s="8">
        <f>[1]Data!R885</f>
        <v>0</v>
      </c>
      <c r="S885" s="8">
        <f>[1]Data!S885</f>
        <v>0</v>
      </c>
      <c r="T885">
        <f t="shared" si="65"/>
        <v>2.34375E-2</v>
      </c>
      <c r="U885">
        <f t="shared" si="66"/>
        <v>0</v>
      </c>
      <c r="V885" s="4" t="str">
        <f t="shared" si="67"/>
        <v>0</v>
      </c>
      <c r="W885" s="4" t="str">
        <f t="shared" si="68"/>
        <v>6</v>
      </c>
      <c r="X885" s="4" t="str">
        <f t="shared" si="69"/>
        <v>0NON-HS6</v>
      </c>
      <c r="Y885">
        <f>VLOOKUP(X885,Sheet1!$J$5:$K$121,2,FALSE)</f>
        <v>0</v>
      </c>
    </row>
    <row r="886" spans="1:25" x14ac:dyDescent="0.25">
      <c r="A886" s="8">
        <f>[1]Data!A886</f>
        <v>540000</v>
      </c>
      <c r="B886" s="8">
        <f>[1]Data!B886</f>
        <v>6</v>
      </c>
      <c r="C886" s="8">
        <f>[1]Data!C886</f>
        <v>0</v>
      </c>
      <c r="D886" s="8">
        <f>[1]Data!D886</f>
        <v>2</v>
      </c>
      <c r="E886" s="8" t="str">
        <f>[1]Data!E886</f>
        <v>NON-HS</v>
      </c>
      <c r="F886" s="8" t="str">
        <f>[1]Data!F886</f>
        <v>Lynwood</v>
      </c>
      <c r="G886" s="8">
        <f>[1]Data!G886</f>
        <v>0</v>
      </c>
      <c r="H886" s="8">
        <f>[1]Data!H886</f>
        <v>0</v>
      </c>
      <c r="I886" s="8">
        <f>[1]Data!I886</f>
        <v>19.577999999999999</v>
      </c>
      <c r="J886" s="8">
        <f>[1]Data!J886</f>
        <v>17.31193339</v>
      </c>
      <c r="K886" s="8">
        <f>[1]Data!K886</f>
        <v>19.31193339</v>
      </c>
      <c r="L886" s="8">
        <f>[1]Data!L886</f>
        <v>0.26667967676840199</v>
      </c>
      <c r="M886" s="8">
        <f>[1]Data!M886</f>
        <v>19.578613066768401</v>
      </c>
      <c r="N886" s="8">
        <f>[1]Data!N886</f>
        <v>2.34375E-2</v>
      </c>
      <c r="O886" s="8">
        <f>[1]Data!O886</f>
        <v>0</v>
      </c>
      <c r="P886" s="8">
        <f>[1]Data!P886</f>
        <v>0.375</v>
      </c>
      <c r="Q886" s="8">
        <f>[1]Data!Q886</f>
        <v>0</v>
      </c>
      <c r="R886" s="8">
        <f>[1]Data!R886</f>
        <v>0</v>
      </c>
      <c r="S886" s="8">
        <f>[1]Data!S886</f>
        <v>0</v>
      </c>
      <c r="T886">
        <f t="shared" si="65"/>
        <v>2.34375E-2</v>
      </c>
      <c r="U886">
        <f t="shared" si="66"/>
        <v>0</v>
      </c>
      <c r="V886" s="4" t="str">
        <f t="shared" si="67"/>
        <v>0</v>
      </c>
      <c r="W886" s="4" t="str">
        <f t="shared" si="68"/>
        <v>6</v>
      </c>
      <c r="X886" s="4" t="str">
        <f t="shared" si="69"/>
        <v>0NON-HS6</v>
      </c>
      <c r="Y886">
        <f>VLOOKUP(X886,Sheet1!$J$5:$K$121,2,FALSE)</f>
        <v>0</v>
      </c>
    </row>
    <row r="887" spans="1:25" x14ac:dyDescent="0.25">
      <c r="A887" s="8">
        <f>[1]Data!A887</f>
        <v>540201</v>
      </c>
      <c r="B887" s="8">
        <f>[1]Data!B887</f>
        <v>6</v>
      </c>
      <c r="C887" s="8">
        <f>[1]Data!C887</f>
        <v>0</v>
      </c>
      <c r="D887" s="8">
        <f>[1]Data!D887</f>
        <v>2</v>
      </c>
      <c r="E887" s="8" t="str">
        <f>[1]Data!E887</f>
        <v>NON-HS</v>
      </c>
      <c r="F887" s="8" t="str">
        <f>[1]Data!F887</f>
        <v>Lynwood</v>
      </c>
      <c r="G887" s="8">
        <f>[1]Data!G887</f>
        <v>0</v>
      </c>
      <c r="H887" s="8">
        <f>[1]Data!H887</f>
        <v>0</v>
      </c>
      <c r="I887" s="8">
        <f>[1]Data!I887</f>
        <v>1</v>
      </c>
      <c r="J887" s="8">
        <f>[1]Data!J887</f>
        <v>0</v>
      </c>
      <c r="K887" s="8">
        <f>[1]Data!K887</f>
        <v>1</v>
      </c>
      <c r="L887" s="8">
        <f>[1]Data!L887</f>
        <v>0</v>
      </c>
      <c r="M887" s="8">
        <f>[1]Data!M887</f>
        <v>1</v>
      </c>
      <c r="N887" s="8">
        <f>[1]Data!N887</f>
        <v>2.34375E-2</v>
      </c>
      <c r="O887" s="8">
        <f>[1]Data!O887</f>
        <v>0</v>
      </c>
      <c r="P887" s="8">
        <f>[1]Data!P887</f>
        <v>0.375</v>
      </c>
      <c r="Q887" s="8">
        <f>[1]Data!Q887</f>
        <v>0</v>
      </c>
      <c r="R887" s="8">
        <f>[1]Data!R887</f>
        <v>0</v>
      </c>
      <c r="S887" s="8">
        <f>[1]Data!S887</f>
        <v>0</v>
      </c>
      <c r="T887">
        <f t="shared" si="65"/>
        <v>2.34375E-2</v>
      </c>
      <c r="U887">
        <f t="shared" si="66"/>
        <v>0</v>
      </c>
      <c r="V887" s="4" t="str">
        <f t="shared" si="67"/>
        <v>0</v>
      </c>
      <c r="W887" s="4" t="str">
        <f t="shared" si="68"/>
        <v>6</v>
      </c>
      <c r="X887" s="4" t="str">
        <f t="shared" si="69"/>
        <v>0NON-HS6</v>
      </c>
      <c r="Y887">
        <f>VLOOKUP(X887,Sheet1!$J$5:$K$121,2,FALSE)</f>
        <v>0</v>
      </c>
    </row>
    <row r="888" spans="1:25" x14ac:dyDescent="0.25">
      <c r="A888" s="8">
        <f>[1]Data!A888</f>
        <v>540203</v>
      </c>
      <c r="B888" s="8">
        <f>[1]Data!B888</f>
        <v>6</v>
      </c>
      <c r="C888" s="8">
        <f>[1]Data!C888</f>
        <v>0</v>
      </c>
      <c r="D888" s="8">
        <f>[1]Data!D888</f>
        <v>2</v>
      </c>
      <c r="E888" s="8" t="str">
        <f>[1]Data!E888</f>
        <v>NON-HS</v>
      </c>
      <c r="F888" s="8" t="str">
        <f>[1]Data!F888</f>
        <v>Lynwood</v>
      </c>
      <c r="G888" s="8">
        <f>[1]Data!G888</f>
        <v>0</v>
      </c>
      <c r="H888" s="8">
        <f>[1]Data!H888</f>
        <v>0</v>
      </c>
      <c r="I888" s="8">
        <f>[1]Data!I888</f>
        <v>10.368</v>
      </c>
      <c r="J888" s="8">
        <f>[1]Data!J888</f>
        <v>7.1538363900000004</v>
      </c>
      <c r="K888" s="8">
        <f>[1]Data!K888</f>
        <v>10.15383639</v>
      </c>
      <c r="L888" s="8">
        <f>[1]Data!L888</f>
        <v>0.213327972387792</v>
      </c>
      <c r="M888" s="8">
        <f>[1]Data!M888</f>
        <v>10.3671643623878</v>
      </c>
      <c r="N888" s="8">
        <f>[1]Data!N888</f>
        <v>2.34375E-2</v>
      </c>
      <c r="O888" s="8">
        <f>[1]Data!O888</f>
        <v>0</v>
      </c>
      <c r="P888" s="8">
        <f>[1]Data!P888</f>
        <v>0.375</v>
      </c>
      <c r="Q888" s="8">
        <f>[1]Data!Q888</f>
        <v>0</v>
      </c>
      <c r="R888" s="8">
        <f>[1]Data!R888</f>
        <v>0</v>
      </c>
      <c r="S888" s="8">
        <f>[1]Data!S888</f>
        <v>0</v>
      </c>
      <c r="T888">
        <f t="shared" si="65"/>
        <v>2.34375E-2</v>
      </c>
      <c r="U888">
        <f t="shared" si="66"/>
        <v>0</v>
      </c>
      <c r="V888" s="4" t="str">
        <f t="shared" si="67"/>
        <v>0</v>
      </c>
      <c r="W888" s="4" t="str">
        <f t="shared" si="68"/>
        <v>6</v>
      </c>
      <c r="X888" s="4" t="str">
        <f t="shared" si="69"/>
        <v>0NON-HS6</v>
      </c>
      <c r="Y888">
        <f>VLOOKUP(X888,Sheet1!$J$5:$K$121,2,FALSE)</f>
        <v>0</v>
      </c>
    </row>
    <row r="889" spans="1:25" x14ac:dyDescent="0.25">
      <c r="A889" s="8">
        <f>[1]Data!A889</f>
        <v>540502</v>
      </c>
      <c r="B889" s="8">
        <f>[1]Data!B889</f>
        <v>6</v>
      </c>
      <c r="C889" s="8">
        <f>[1]Data!C889</f>
        <v>0</v>
      </c>
      <c r="D889" s="8">
        <f>[1]Data!D889</f>
        <v>2</v>
      </c>
      <c r="E889" s="8" t="str">
        <f>[1]Data!E889</f>
        <v>NON-HS</v>
      </c>
      <c r="F889" s="8" t="str">
        <f>[1]Data!F889</f>
        <v>Lynwood</v>
      </c>
      <c r="G889" s="8">
        <f>[1]Data!G889</f>
        <v>0</v>
      </c>
      <c r="H889" s="8">
        <f>[1]Data!H889</f>
        <v>0</v>
      </c>
      <c r="I889" s="8">
        <f>[1]Data!I889</f>
        <v>5.7110000000000003</v>
      </c>
      <c r="J889" s="8">
        <f>[1]Data!J889</f>
        <v>5.4499639999999996</v>
      </c>
      <c r="K889" s="8">
        <f>[1]Data!K889</f>
        <v>5.4499639999999996</v>
      </c>
      <c r="L889" s="8">
        <f>[1]Data!L889</f>
        <v>0.26114362195691199</v>
      </c>
      <c r="M889" s="8">
        <f>[1]Data!M889</f>
        <v>5.7111076219569101</v>
      </c>
      <c r="N889" s="8">
        <f>[1]Data!N889</f>
        <v>2.34375E-2</v>
      </c>
      <c r="O889" s="8">
        <f>[1]Data!O889</f>
        <v>0</v>
      </c>
      <c r="P889" s="8">
        <f>[1]Data!P889</f>
        <v>0.375</v>
      </c>
      <c r="Q889" s="8">
        <f>[1]Data!Q889</f>
        <v>0</v>
      </c>
      <c r="R889" s="8">
        <f>[1]Data!R889</f>
        <v>0</v>
      </c>
      <c r="S889" s="8">
        <f>[1]Data!S889</f>
        <v>0</v>
      </c>
      <c r="T889">
        <f t="shared" si="65"/>
        <v>2.34375E-2</v>
      </c>
      <c r="U889">
        <f t="shared" si="66"/>
        <v>0</v>
      </c>
      <c r="V889" s="4" t="str">
        <f t="shared" si="67"/>
        <v>0</v>
      </c>
      <c r="W889" s="4" t="str">
        <f t="shared" si="68"/>
        <v>6</v>
      </c>
      <c r="X889" s="4" t="str">
        <f t="shared" si="69"/>
        <v>0NON-HS6</v>
      </c>
      <c r="Y889">
        <f>VLOOKUP(X889,Sheet1!$J$5:$K$121,2,FALSE)</f>
        <v>0</v>
      </c>
    </row>
    <row r="890" spans="1:25" x14ac:dyDescent="0.25">
      <c r="A890" s="8">
        <f>[1]Data!A890</f>
        <v>540901</v>
      </c>
      <c r="B890" s="8">
        <f>[1]Data!B890</f>
        <v>6</v>
      </c>
      <c r="C890" s="8">
        <f>[1]Data!C890</f>
        <v>0</v>
      </c>
      <c r="D890" s="8">
        <f>[1]Data!D890</f>
        <v>2</v>
      </c>
      <c r="E890" s="8" t="str">
        <f>[1]Data!E890</f>
        <v>NON-HS</v>
      </c>
      <c r="F890" s="8" t="str">
        <f>[1]Data!F890</f>
        <v>Willowbrook</v>
      </c>
      <c r="G890" s="8">
        <f>[1]Data!G890</f>
        <v>0</v>
      </c>
      <c r="H890" s="8">
        <f>[1]Data!H890</f>
        <v>0</v>
      </c>
      <c r="I890" s="8">
        <f>[1]Data!I890</f>
        <v>19.706</v>
      </c>
      <c r="J890" s="8">
        <f>[1]Data!J890</f>
        <v>16.85102698</v>
      </c>
      <c r="K890" s="8">
        <f>[1]Data!K890</f>
        <v>18.85102698</v>
      </c>
      <c r="L890" s="8">
        <f>[1]Data!L890</f>
        <v>0.85580504806104096</v>
      </c>
      <c r="M890" s="8">
        <f>[1]Data!M890</f>
        <v>19.706832028061001</v>
      </c>
      <c r="N890" s="8">
        <f>[1]Data!N890</f>
        <v>2.34375E-2</v>
      </c>
      <c r="O890" s="8">
        <f>[1]Data!O890</f>
        <v>0</v>
      </c>
      <c r="P890" s="8">
        <f>[1]Data!P890</f>
        <v>0.375</v>
      </c>
      <c r="Q890" s="8">
        <f>[1]Data!Q890</f>
        <v>0</v>
      </c>
      <c r="R890" s="8">
        <f>[1]Data!R890</f>
        <v>0</v>
      </c>
      <c r="S890" s="8">
        <f>[1]Data!S890</f>
        <v>0</v>
      </c>
      <c r="T890">
        <f t="shared" si="65"/>
        <v>2.34375E-2</v>
      </c>
      <c r="U890">
        <f t="shared" si="66"/>
        <v>0</v>
      </c>
      <c r="V890" s="4" t="str">
        <f t="shared" si="67"/>
        <v>0</v>
      </c>
      <c r="W890" s="4" t="str">
        <f t="shared" si="68"/>
        <v>6</v>
      </c>
      <c r="X890" s="4" t="str">
        <f t="shared" si="69"/>
        <v>0NON-HS6</v>
      </c>
      <c r="Y890">
        <f>VLOOKUP(X890,Sheet1!$J$5:$K$121,2,FALSE)</f>
        <v>0</v>
      </c>
    </row>
    <row r="891" spans="1:25" x14ac:dyDescent="0.25">
      <c r="A891" s="8">
        <f>[1]Data!A891</f>
        <v>541400</v>
      </c>
      <c r="B891" s="8">
        <f>[1]Data!B891</f>
        <v>6</v>
      </c>
      <c r="C891" s="8">
        <f>[1]Data!C891</f>
        <v>0</v>
      </c>
      <c r="D891" s="8">
        <f>[1]Data!D891</f>
        <v>2</v>
      </c>
      <c r="E891" s="8" t="str">
        <f>[1]Data!E891</f>
        <v>NON-HS</v>
      </c>
      <c r="F891" s="8" t="str">
        <f>[1]Data!F891</f>
        <v>Willowbrook</v>
      </c>
      <c r="G891" s="8">
        <f>[1]Data!G891</f>
        <v>0</v>
      </c>
      <c r="H891" s="8">
        <f>[1]Data!H891</f>
        <v>0</v>
      </c>
      <c r="I891" s="8">
        <f>[1]Data!I891</f>
        <v>2</v>
      </c>
      <c r="J891" s="8">
        <f>[1]Data!J891</f>
        <v>0</v>
      </c>
      <c r="K891" s="8">
        <f>[1]Data!K891</f>
        <v>2</v>
      </c>
      <c r="L891" s="8">
        <f>[1]Data!L891</f>
        <v>0</v>
      </c>
      <c r="M891" s="8">
        <f>[1]Data!M891</f>
        <v>2</v>
      </c>
      <c r="N891" s="8">
        <f>[1]Data!N891</f>
        <v>2.34375E-2</v>
      </c>
      <c r="O891" s="8">
        <f>[1]Data!O891</f>
        <v>0</v>
      </c>
      <c r="P891" s="8">
        <f>[1]Data!P891</f>
        <v>0.375</v>
      </c>
      <c r="Q891" s="8">
        <f>[1]Data!Q891</f>
        <v>0</v>
      </c>
      <c r="R891" s="8">
        <f>[1]Data!R891</f>
        <v>0</v>
      </c>
      <c r="S891" s="8">
        <f>[1]Data!S891</f>
        <v>0</v>
      </c>
      <c r="T891">
        <f t="shared" si="65"/>
        <v>2.34375E-2</v>
      </c>
      <c r="U891">
        <f t="shared" si="66"/>
        <v>0</v>
      </c>
      <c r="V891" s="4" t="str">
        <f t="shared" si="67"/>
        <v>0</v>
      </c>
      <c r="W891" s="4" t="str">
        <f t="shared" si="68"/>
        <v>6</v>
      </c>
      <c r="X891" s="4" t="str">
        <f t="shared" si="69"/>
        <v>0NON-HS6</v>
      </c>
      <c r="Y891">
        <f>VLOOKUP(X891,Sheet1!$J$5:$K$121,2,FALSE)</f>
        <v>0</v>
      </c>
    </row>
    <row r="892" spans="1:25" x14ac:dyDescent="0.25">
      <c r="A892" s="8">
        <f>[1]Data!A892</f>
        <v>541603</v>
      </c>
      <c r="B892" s="8">
        <f>[1]Data!B892</f>
        <v>6</v>
      </c>
      <c r="C892" s="8">
        <f>[1]Data!C892</f>
        <v>0</v>
      </c>
      <c r="D892" s="8">
        <f>[1]Data!D892</f>
        <v>2</v>
      </c>
      <c r="E892" s="8" t="str">
        <f>[1]Data!E892</f>
        <v>NON-HS</v>
      </c>
      <c r="F892" s="8" t="str">
        <f>[1]Data!F892</f>
        <v>Compton</v>
      </c>
      <c r="G892" s="8">
        <f>[1]Data!G892</f>
        <v>0</v>
      </c>
      <c r="H892" s="8">
        <f>[1]Data!H892</f>
        <v>0</v>
      </c>
      <c r="I892" s="8">
        <f>[1]Data!I892</f>
        <v>8.7769999999999992</v>
      </c>
      <c r="J892" s="8">
        <f>[1]Data!J892</f>
        <v>5.7146398200000004</v>
      </c>
      <c r="K892" s="8">
        <f>[1]Data!K892</f>
        <v>8.7146398200000004</v>
      </c>
      <c r="L892" s="8">
        <f>[1]Data!L892</f>
        <v>6.18759662477558E-2</v>
      </c>
      <c r="M892" s="8">
        <f>[1]Data!M892</f>
        <v>8.7765157862477494</v>
      </c>
      <c r="N892" s="8">
        <f>[1]Data!N892</f>
        <v>2.34375E-2</v>
      </c>
      <c r="O892" s="8">
        <f>[1]Data!O892</f>
        <v>0</v>
      </c>
      <c r="P892" s="8">
        <f>[1]Data!P892</f>
        <v>0.375</v>
      </c>
      <c r="Q892" s="8">
        <f>[1]Data!Q892</f>
        <v>0</v>
      </c>
      <c r="R892" s="8">
        <f>[1]Data!R892</f>
        <v>0</v>
      </c>
      <c r="S892" s="8">
        <f>[1]Data!S892</f>
        <v>0</v>
      </c>
      <c r="T892">
        <f t="shared" si="65"/>
        <v>2.34375E-2</v>
      </c>
      <c r="U892">
        <f t="shared" si="66"/>
        <v>0</v>
      </c>
      <c r="V892" s="4" t="str">
        <f t="shared" si="67"/>
        <v>0</v>
      </c>
      <c r="W892" s="4" t="str">
        <f t="shared" si="68"/>
        <v>6</v>
      </c>
      <c r="X892" s="4" t="str">
        <f t="shared" si="69"/>
        <v>0NON-HS6</v>
      </c>
      <c r="Y892">
        <f>VLOOKUP(X892,Sheet1!$J$5:$K$121,2,FALSE)</f>
        <v>0</v>
      </c>
    </row>
    <row r="893" spans="1:25" x14ac:dyDescent="0.25">
      <c r="A893" s="8">
        <f>[1]Data!A893</f>
        <v>541604</v>
      </c>
      <c r="B893" s="8">
        <f>[1]Data!B893</f>
        <v>6</v>
      </c>
      <c r="C893" s="8">
        <f>[1]Data!C893</f>
        <v>0</v>
      </c>
      <c r="D893" s="8">
        <f>[1]Data!D893</f>
        <v>2</v>
      </c>
      <c r="E893" s="8" t="str">
        <f>[1]Data!E893</f>
        <v>NON-HS</v>
      </c>
      <c r="F893" s="8" t="str">
        <f>[1]Data!F893</f>
        <v>Compton</v>
      </c>
      <c r="G893" s="8">
        <f>[1]Data!G893</f>
        <v>0</v>
      </c>
      <c r="H893" s="8">
        <f>[1]Data!H893</f>
        <v>0</v>
      </c>
      <c r="I893" s="8">
        <f>[1]Data!I893</f>
        <v>11.48</v>
      </c>
      <c r="J893" s="8">
        <f>[1]Data!J893</f>
        <v>7.39593144</v>
      </c>
      <c r="K893" s="8">
        <f>[1]Data!K893</f>
        <v>11.39593144</v>
      </c>
      <c r="L893" s="8">
        <f>[1]Data!L893</f>
        <v>8.3367898007181293E-2</v>
      </c>
      <c r="M893" s="8">
        <f>[1]Data!M893</f>
        <v>11.4792993380072</v>
      </c>
      <c r="N893" s="8">
        <f>[1]Data!N893</f>
        <v>2.34375E-2</v>
      </c>
      <c r="O893" s="8">
        <f>[1]Data!O893</f>
        <v>0</v>
      </c>
      <c r="P893" s="8">
        <f>[1]Data!P893</f>
        <v>0.375</v>
      </c>
      <c r="Q893" s="8">
        <f>[1]Data!Q893</f>
        <v>0</v>
      </c>
      <c r="R893" s="8">
        <f>[1]Data!R893</f>
        <v>0</v>
      </c>
      <c r="S893" s="8">
        <f>[1]Data!S893</f>
        <v>0</v>
      </c>
      <c r="T893">
        <f t="shared" si="65"/>
        <v>2.34375E-2</v>
      </c>
      <c r="U893">
        <f t="shared" si="66"/>
        <v>0</v>
      </c>
      <c r="V893" s="4" t="str">
        <f t="shared" si="67"/>
        <v>0</v>
      </c>
      <c r="W893" s="4" t="str">
        <f t="shared" si="68"/>
        <v>6</v>
      </c>
      <c r="X893" s="4" t="str">
        <f t="shared" si="69"/>
        <v>0NON-HS6</v>
      </c>
      <c r="Y893">
        <f>VLOOKUP(X893,Sheet1!$J$5:$K$121,2,FALSE)</f>
        <v>0</v>
      </c>
    </row>
    <row r="894" spans="1:25" x14ac:dyDescent="0.25">
      <c r="A894" s="8">
        <f>[1]Data!A894</f>
        <v>541606</v>
      </c>
      <c r="B894" s="8">
        <f>[1]Data!B894</f>
        <v>6</v>
      </c>
      <c r="C894" s="8">
        <f>[1]Data!C894</f>
        <v>0</v>
      </c>
      <c r="D894" s="8">
        <f>[1]Data!D894</f>
        <v>2</v>
      </c>
      <c r="E894" s="8" t="str">
        <f>[1]Data!E894</f>
        <v>NON-HS</v>
      </c>
      <c r="F894" s="8" t="str">
        <f>[1]Data!F894</f>
        <v>Compton</v>
      </c>
      <c r="G894" s="8">
        <f>[1]Data!G894</f>
        <v>1</v>
      </c>
      <c r="H894" s="8">
        <f>[1]Data!H894</f>
        <v>1</v>
      </c>
      <c r="I894" s="8">
        <f>[1]Data!I894</f>
        <v>13.958</v>
      </c>
      <c r="J894" s="8">
        <f>[1]Data!J894</f>
        <v>8.5930329600000004</v>
      </c>
      <c r="K894" s="8">
        <f>[1]Data!K894</f>
        <v>13.59303296</v>
      </c>
      <c r="L894" s="8">
        <f>[1]Data!L894</f>
        <v>0.36477997852782801</v>
      </c>
      <c r="M894" s="8">
        <f>[1]Data!M894</f>
        <v>13.9578129385278</v>
      </c>
      <c r="N894" s="8">
        <f>[1]Data!N894</f>
        <v>2.34375E-2</v>
      </c>
      <c r="O894" s="8">
        <f>[1]Data!O894</f>
        <v>42.6666666666667</v>
      </c>
      <c r="P894" s="8">
        <f>[1]Data!P894</f>
        <v>0.375</v>
      </c>
      <c r="Q894" s="8">
        <f>[1]Data!Q894</f>
        <v>0</v>
      </c>
      <c r="R894" s="8">
        <f>[1]Data!R894</f>
        <v>0</v>
      </c>
      <c r="S894" s="8">
        <f>[1]Data!S894</f>
        <v>0</v>
      </c>
      <c r="T894">
        <f t="shared" si="65"/>
        <v>2.34375E-2</v>
      </c>
      <c r="U894">
        <f t="shared" si="66"/>
        <v>42.666666666666664</v>
      </c>
      <c r="V894" s="4" t="str">
        <f t="shared" si="67"/>
        <v>0</v>
      </c>
      <c r="W894" s="4" t="str">
        <f t="shared" si="68"/>
        <v>6</v>
      </c>
      <c r="X894" s="4" t="str">
        <f t="shared" si="69"/>
        <v>0NON-HS6</v>
      </c>
      <c r="Y894">
        <f>VLOOKUP(X894,Sheet1!$J$5:$K$121,2,FALSE)</f>
        <v>0</v>
      </c>
    </row>
    <row r="895" spans="1:25" x14ac:dyDescent="0.25">
      <c r="A895" s="8">
        <f>[1]Data!A895</f>
        <v>542000</v>
      </c>
      <c r="B895" s="8">
        <f>[1]Data!B895</f>
        <v>6</v>
      </c>
      <c r="C895" s="8">
        <f>[1]Data!C895</f>
        <v>0</v>
      </c>
      <c r="D895" s="8">
        <f>[1]Data!D895</f>
        <v>2</v>
      </c>
      <c r="E895" s="8" t="str">
        <f>[1]Data!E895</f>
        <v>NON-HS</v>
      </c>
      <c r="F895" s="8" t="str">
        <f>[1]Data!F895</f>
        <v>Compton</v>
      </c>
      <c r="G895" s="8">
        <f>[1]Data!G895</f>
        <v>0</v>
      </c>
      <c r="H895" s="8">
        <f>[1]Data!H895</f>
        <v>0</v>
      </c>
      <c r="I895" s="8">
        <f>[1]Data!I895</f>
        <v>16.891999999999999</v>
      </c>
      <c r="J895" s="8">
        <f>[1]Data!J895</f>
        <v>8.3283571399999996</v>
      </c>
      <c r="K895" s="8">
        <f>[1]Data!K895</f>
        <v>16.328357140000001</v>
      </c>
      <c r="L895" s="8">
        <f>[1]Data!L895</f>
        <v>0.56404763423698401</v>
      </c>
      <c r="M895" s="8">
        <f>[1]Data!M895</f>
        <v>16.892404774237001</v>
      </c>
      <c r="N895" s="8">
        <f>[1]Data!N895</f>
        <v>2.34375E-2</v>
      </c>
      <c r="O895" s="8">
        <f>[1]Data!O895</f>
        <v>0</v>
      </c>
      <c r="P895" s="8">
        <f>[1]Data!P895</f>
        <v>0.375</v>
      </c>
      <c r="Q895" s="8">
        <f>[1]Data!Q895</f>
        <v>0</v>
      </c>
      <c r="R895" s="8">
        <f>[1]Data!R895</f>
        <v>0</v>
      </c>
      <c r="S895" s="8">
        <f>[1]Data!S895</f>
        <v>0</v>
      </c>
      <c r="T895">
        <f t="shared" si="65"/>
        <v>2.34375E-2</v>
      </c>
      <c r="U895">
        <f t="shared" si="66"/>
        <v>0</v>
      </c>
      <c r="V895" s="4" t="str">
        <f t="shared" si="67"/>
        <v>0</v>
      </c>
      <c r="W895" s="4" t="str">
        <f t="shared" si="68"/>
        <v>6</v>
      </c>
      <c r="X895" s="4" t="str">
        <f t="shared" si="69"/>
        <v>0NON-HS6</v>
      </c>
      <c r="Y895">
        <f>VLOOKUP(X895,Sheet1!$J$5:$K$121,2,FALSE)</f>
        <v>0</v>
      </c>
    </row>
    <row r="896" spans="1:25" x14ac:dyDescent="0.25">
      <c r="A896" s="8">
        <f>[1]Data!A896</f>
        <v>542104</v>
      </c>
      <c r="B896" s="8">
        <f>[1]Data!B896</f>
        <v>6</v>
      </c>
      <c r="C896" s="8">
        <f>[1]Data!C896</f>
        <v>0</v>
      </c>
      <c r="D896" s="8">
        <f>[1]Data!D896</f>
        <v>2</v>
      </c>
      <c r="E896" s="8" t="str">
        <f>[1]Data!E896</f>
        <v>NON-HS</v>
      </c>
      <c r="F896" s="8" t="str">
        <f>[1]Data!F896</f>
        <v>Unincorporated Compton</v>
      </c>
      <c r="G896" s="8">
        <f>[1]Data!G896</f>
        <v>0</v>
      </c>
      <c r="H896" s="8">
        <f>[1]Data!H896</f>
        <v>0</v>
      </c>
      <c r="I896" s="8">
        <f>[1]Data!I896</f>
        <v>2.0950000000000002</v>
      </c>
      <c r="J896" s="8">
        <f>[1]Data!J896</f>
        <v>1.9836996600000001</v>
      </c>
      <c r="K896" s="8">
        <f>[1]Data!K896</f>
        <v>1.9836996600000001</v>
      </c>
      <c r="L896" s="8">
        <f>[1]Data!L896</f>
        <v>0.11117260138240601</v>
      </c>
      <c r="M896" s="8">
        <f>[1]Data!M896</f>
        <v>2.09487226138241</v>
      </c>
      <c r="N896" s="8">
        <f>[1]Data!N896</f>
        <v>2.34375E-2</v>
      </c>
      <c r="O896" s="8">
        <f>[1]Data!O896</f>
        <v>0</v>
      </c>
      <c r="P896" s="8">
        <f>[1]Data!P896</f>
        <v>0.375</v>
      </c>
      <c r="Q896" s="8">
        <f>[1]Data!Q896</f>
        <v>0</v>
      </c>
      <c r="R896" s="8">
        <f>[1]Data!R896</f>
        <v>0</v>
      </c>
      <c r="S896" s="8">
        <f>[1]Data!S896</f>
        <v>0</v>
      </c>
      <c r="T896">
        <f t="shared" si="65"/>
        <v>2.34375E-2</v>
      </c>
      <c r="U896">
        <f t="shared" si="66"/>
        <v>0</v>
      </c>
      <c r="V896" s="4" t="str">
        <f t="shared" si="67"/>
        <v>0</v>
      </c>
      <c r="W896" s="4" t="str">
        <f t="shared" si="68"/>
        <v>6</v>
      </c>
      <c r="X896" s="4" t="str">
        <f t="shared" si="69"/>
        <v>0NON-HS6</v>
      </c>
      <c r="Y896">
        <f>VLOOKUP(X896,Sheet1!$J$5:$K$121,2,FALSE)</f>
        <v>0</v>
      </c>
    </row>
    <row r="897" spans="1:25" x14ac:dyDescent="0.25">
      <c r="A897" s="8">
        <f>[1]Data!A897</f>
        <v>542105</v>
      </c>
      <c r="B897" s="8">
        <f>[1]Data!B897</f>
        <v>6</v>
      </c>
      <c r="C897" s="8">
        <f>[1]Data!C897</f>
        <v>0</v>
      </c>
      <c r="D897" s="8">
        <f>[1]Data!D897</f>
        <v>2</v>
      </c>
      <c r="E897" s="8" t="str">
        <f>[1]Data!E897</f>
        <v>NON-HS</v>
      </c>
      <c r="F897" s="8" t="str">
        <f>[1]Data!F897</f>
        <v>Compton</v>
      </c>
      <c r="G897" s="8">
        <f>[1]Data!G897</f>
        <v>0</v>
      </c>
      <c r="H897" s="8">
        <f>[1]Data!H897</f>
        <v>0</v>
      </c>
      <c r="I897" s="8">
        <f>[1]Data!I897</f>
        <v>1.8080000000000001</v>
      </c>
      <c r="J897" s="8">
        <f>[1]Data!J897</f>
        <v>1.73313217</v>
      </c>
      <c r="K897" s="8">
        <f>[1]Data!K897</f>
        <v>1.73313217</v>
      </c>
      <c r="L897" s="8">
        <f>[1]Data!L897</f>
        <v>7.4985510287253102E-2</v>
      </c>
      <c r="M897" s="8">
        <f>[1]Data!M897</f>
        <v>1.8081176802872501</v>
      </c>
      <c r="N897" s="8">
        <f>[1]Data!N897</f>
        <v>2.34375E-2</v>
      </c>
      <c r="O897" s="8">
        <f>[1]Data!O897</f>
        <v>0</v>
      </c>
      <c r="P897" s="8">
        <f>[1]Data!P897</f>
        <v>0.375</v>
      </c>
      <c r="Q897" s="8">
        <f>[1]Data!Q897</f>
        <v>0</v>
      </c>
      <c r="R897" s="8">
        <f>[1]Data!R897</f>
        <v>0</v>
      </c>
      <c r="S897" s="8">
        <f>[1]Data!S897</f>
        <v>0</v>
      </c>
      <c r="T897">
        <f t="shared" si="65"/>
        <v>2.34375E-2</v>
      </c>
      <c r="U897">
        <f t="shared" si="66"/>
        <v>0</v>
      </c>
      <c r="V897" s="4" t="str">
        <f t="shared" si="67"/>
        <v>0</v>
      </c>
      <c r="W897" s="4" t="str">
        <f t="shared" si="68"/>
        <v>6</v>
      </c>
      <c r="X897" s="4" t="str">
        <f t="shared" si="69"/>
        <v>0NON-HS6</v>
      </c>
      <c r="Y897">
        <f>VLOOKUP(X897,Sheet1!$J$5:$K$121,2,FALSE)</f>
        <v>0</v>
      </c>
    </row>
    <row r="898" spans="1:25" x14ac:dyDescent="0.25">
      <c r="A898" s="8">
        <f>[1]Data!A898</f>
        <v>542401</v>
      </c>
      <c r="B898" s="8">
        <f>[1]Data!B898</f>
        <v>6</v>
      </c>
      <c r="C898" s="8">
        <f>[1]Data!C898</f>
        <v>0</v>
      </c>
      <c r="D898" s="8">
        <f>[1]Data!D898</f>
        <v>2</v>
      </c>
      <c r="E898" s="8" t="str">
        <f>[1]Data!E898</f>
        <v>NON-HS</v>
      </c>
      <c r="F898" s="8" t="str">
        <f>[1]Data!F898</f>
        <v>Compton</v>
      </c>
      <c r="G898" s="8">
        <f>[1]Data!G898</f>
        <v>0</v>
      </c>
      <c r="H898" s="8">
        <f>[1]Data!H898</f>
        <v>0</v>
      </c>
      <c r="I898" s="8">
        <f>[1]Data!I898</f>
        <v>10.474</v>
      </c>
      <c r="J898" s="8">
        <f>[1]Data!J898</f>
        <v>9.9184982999999995</v>
      </c>
      <c r="K898" s="8">
        <f>[1]Data!K898</f>
        <v>9.9184982999999995</v>
      </c>
      <c r="L898" s="8">
        <f>[1]Data!L898</f>
        <v>0.55586300691202895</v>
      </c>
      <c r="M898" s="8">
        <f>[1]Data!M898</f>
        <v>10.474361306912</v>
      </c>
      <c r="N898" s="8">
        <f>[1]Data!N898</f>
        <v>2.34375E-2</v>
      </c>
      <c r="O898" s="8">
        <f>[1]Data!O898</f>
        <v>0</v>
      </c>
      <c r="P898" s="8">
        <f>[1]Data!P898</f>
        <v>0.375</v>
      </c>
      <c r="Q898" s="8">
        <f>[1]Data!Q898</f>
        <v>0</v>
      </c>
      <c r="R898" s="8">
        <f>[1]Data!R898</f>
        <v>0</v>
      </c>
      <c r="S898" s="8">
        <f>[1]Data!S898</f>
        <v>0</v>
      </c>
      <c r="T898">
        <f t="shared" si="65"/>
        <v>2.34375E-2</v>
      </c>
      <c r="U898">
        <f t="shared" si="66"/>
        <v>0</v>
      </c>
      <c r="V898" s="4" t="str">
        <f t="shared" si="67"/>
        <v>0</v>
      </c>
      <c r="W898" s="4" t="str">
        <f t="shared" si="68"/>
        <v>6</v>
      </c>
      <c r="X898" s="4" t="str">
        <f t="shared" si="69"/>
        <v>0NON-HS6</v>
      </c>
      <c r="Y898">
        <f>VLOOKUP(X898,Sheet1!$J$5:$K$121,2,FALSE)</f>
        <v>0</v>
      </c>
    </row>
    <row r="899" spans="1:25" x14ac:dyDescent="0.25">
      <c r="A899" s="8">
        <f>[1]Data!A899</f>
        <v>542402</v>
      </c>
      <c r="B899" s="8">
        <f>[1]Data!B899</f>
        <v>6</v>
      </c>
      <c r="C899" s="8">
        <f>[1]Data!C899</f>
        <v>0</v>
      </c>
      <c r="D899" s="8">
        <f>[1]Data!D899</f>
        <v>2</v>
      </c>
      <c r="E899" s="8" t="str">
        <f>[1]Data!E899</f>
        <v>NON-HS</v>
      </c>
      <c r="F899" s="8" t="str">
        <f>[1]Data!F899</f>
        <v>Compton</v>
      </c>
      <c r="G899" s="8">
        <f>[1]Data!G899</f>
        <v>0</v>
      </c>
      <c r="H899" s="8">
        <f>[1]Data!H899</f>
        <v>0</v>
      </c>
      <c r="I899" s="8">
        <f>[1]Data!I899</f>
        <v>16.481000000000002</v>
      </c>
      <c r="J899" s="8">
        <f>[1]Data!J899</f>
        <v>15.468085200000001</v>
      </c>
      <c r="K899" s="8">
        <f>[1]Data!K899</f>
        <v>15.468085200000001</v>
      </c>
      <c r="L899" s="8">
        <f>[1]Data!L899</f>
        <v>1.0128303534290799</v>
      </c>
      <c r="M899" s="8">
        <f>[1]Data!M899</f>
        <v>16.480915553429099</v>
      </c>
      <c r="N899" s="8">
        <f>[1]Data!N899</f>
        <v>2.34375E-2</v>
      </c>
      <c r="O899" s="8">
        <f>[1]Data!O899</f>
        <v>0</v>
      </c>
      <c r="P899" s="8">
        <f>[1]Data!P899</f>
        <v>0.375</v>
      </c>
      <c r="Q899" s="8">
        <f>[1]Data!Q899</f>
        <v>0</v>
      </c>
      <c r="R899" s="8">
        <f>[1]Data!R899</f>
        <v>0</v>
      </c>
      <c r="S899" s="8">
        <f>[1]Data!S899</f>
        <v>0</v>
      </c>
      <c r="T899">
        <f t="shared" ref="T899:T962" si="70">N899+Y899*(1-N899)</f>
        <v>2.34375E-2</v>
      </c>
      <c r="U899">
        <f t="shared" ref="U899:U962" si="71">IF(T899="",0,1/T899*H899)</f>
        <v>0</v>
      </c>
      <c r="V899" s="4" t="str">
        <f t="shared" ref="V899:V962" si="72">TEXT(C899,"0")</f>
        <v>0</v>
      </c>
      <c r="W899" s="4" t="str">
        <f t="shared" ref="W899:W962" si="73">TEXT(B899,"0")</f>
        <v>6</v>
      </c>
      <c r="X899" s="4" t="str">
        <f t="shared" ref="X899:X962" si="74">CONCATENATE(V899,E899,W899)</f>
        <v>0NON-HS6</v>
      </c>
      <c r="Y899">
        <f>VLOOKUP(X899,Sheet1!$J$5:$K$121,2,FALSE)</f>
        <v>0</v>
      </c>
    </row>
    <row r="900" spans="1:25" x14ac:dyDescent="0.25">
      <c r="A900" s="8">
        <f>[1]Data!A900</f>
        <v>542501</v>
      </c>
      <c r="B900" s="8">
        <f>[1]Data!B900</f>
        <v>6</v>
      </c>
      <c r="C900" s="8">
        <f>[1]Data!C900</f>
        <v>0</v>
      </c>
      <c r="D900" s="8">
        <f>[1]Data!D900</f>
        <v>2</v>
      </c>
      <c r="E900" s="8" t="str">
        <f>[1]Data!E900</f>
        <v>NON-HS</v>
      </c>
      <c r="F900" s="8" t="str">
        <f>[1]Data!F900</f>
        <v>Compton</v>
      </c>
      <c r="G900" s="8">
        <f>[1]Data!G900</f>
        <v>0</v>
      </c>
      <c r="H900" s="8">
        <f>[1]Data!H900</f>
        <v>0</v>
      </c>
      <c r="I900" s="8">
        <f>[1]Data!I900</f>
        <v>1.591</v>
      </c>
      <c r="J900" s="8">
        <f>[1]Data!J900</f>
        <v>1.43919657</v>
      </c>
      <c r="K900" s="8">
        <f>[1]Data!K900</f>
        <v>1.43919657</v>
      </c>
      <c r="L900" s="8">
        <f>[1]Data!L900</f>
        <v>0.15145200614003601</v>
      </c>
      <c r="M900" s="8">
        <f>[1]Data!M900</f>
        <v>1.59064857614004</v>
      </c>
      <c r="N900" s="8">
        <f>[1]Data!N900</f>
        <v>2.34375E-2</v>
      </c>
      <c r="O900" s="8">
        <f>[1]Data!O900</f>
        <v>0</v>
      </c>
      <c r="P900" s="8">
        <f>[1]Data!P900</f>
        <v>0.375</v>
      </c>
      <c r="Q900" s="8">
        <f>[1]Data!Q900</f>
        <v>0</v>
      </c>
      <c r="R900" s="8">
        <f>[1]Data!R900</f>
        <v>0</v>
      </c>
      <c r="S900" s="8">
        <f>[1]Data!S900</f>
        <v>0</v>
      </c>
      <c r="T900">
        <f t="shared" si="70"/>
        <v>2.34375E-2</v>
      </c>
      <c r="U900">
        <f t="shared" si="71"/>
        <v>0</v>
      </c>
      <c r="V900" s="4" t="str">
        <f t="shared" si="72"/>
        <v>0</v>
      </c>
      <c r="W900" s="4" t="str">
        <f t="shared" si="73"/>
        <v>6</v>
      </c>
      <c r="X900" s="4" t="str">
        <f t="shared" si="74"/>
        <v>0NON-HS6</v>
      </c>
      <c r="Y900">
        <f>VLOOKUP(X900,Sheet1!$J$5:$K$121,2,FALSE)</f>
        <v>0</v>
      </c>
    </row>
    <row r="901" spans="1:25" x14ac:dyDescent="0.25">
      <c r="A901" s="8">
        <f>[1]Data!A901</f>
        <v>542700</v>
      </c>
      <c r="B901" s="8">
        <f>[1]Data!B901</f>
        <v>6</v>
      </c>
      <c r="C901" s="8">
        <f>[1]Data!C901</f>
        <v>0</v>
      </c>
      <c r="D901" s="8">
        <f>[1]Data!D901</f>
        <v>2</v>
      </c>
      <c r="E901" s="8" t="str">
        <f>[1]Data!E901</f>
        <v>NON-HS</v>
      </c>
      <c r="F901" s="8" t="str">
        <f>[1]Data!F901</f>
        <v>Compton</v>
      </c>
      <c r="G901" s="8">
        <f>[1]Data!G901</f>
        <v>0</v>
      </c>
      <c r="H901" s="8">
        <f>[1]Data!H901</f>
        <v>0</v>
      </c>
      <c r="I901" s="8">
        <f>[1]Data!I901</f>
        <v>4.734</v>
      </c>
      <c r="J901" s="8">
        <f>[1]Data!J901</f>
        <v>3.63801211</v>
      </c>
      <c r="K901" s="8">
        <f>[1]Data!K901</f>
        <v>4.63801211</v>
      </c>
      <c r="L901" s="8">
        <f>[1]Data!L901</f>
        <v>9.5610832369838403E-2</v>
      </c>
      <c r="M901" s="8">
        <f>[1]Data!M901</f>
        <v>4.7336229423698404</v>
      </c>
      <c r="N901" s="8">
        <f>[1]Data!N901</f>
        <v>2.34375E-2</v>
      </c>
      <c r="O901" s="8">
        <f>[1]Data!O901</f>
        <v>0</v>
      </c>
      <c r="P901" s="8">
        <f>[1]Data!P901</f>
        <v>0.375</v>
      </c>
      <c r="Q901" s="8">
        <f>[1]Data!Q901</f>
        <v>0</v>
      </c>
      <c r="R901" s="8">
        <f>[1]Data!R901</f>
        <v>0</v>
      </c>
      <c r="S901" s="8">
        <f>[1]Data!S901</f>
        <v>0</v>
      </c>
      <c r="T901">
        <f t="shared" si="70"/>
        <v>2.34375E-2</v>
      </c>
      <c r="U901">
        <f t="shared" si="71"/>
        <v>0</v>
      </c>
      <c r="V901" s="4" t="str">
        <f t="shared" si="72"/>
        <v>0</v>
      </c>
      <c r="W901" s="4" t="str">
        <f t="shared" si="73"/>
        <v>6</v>
      </c>
      <c r="X901" s="4" t="str">
        <f t="shared" si="74"/>
        <v>0NON-HS6</v>
      </c>
      <c r="Y901">
        <f>VLOOKUP(X901,Sheet1!$J$5:$K$121,2,FALSE)</f>
        <v>0</v>
      </c>
    </row>
    <row r="902" spans="1:25" x14ac:dyDescent="0.25">
      <c r="A902" s="8">
        <f>[1]Data!A902</f>
        <v>542900</v>
      </c>
      <c r="B902" s="8">
        <f>[1]Data!B902</f>
        <v>6</v>
      </c>
      <c r="C902" s="8">
        <f>[1]Data!C902</f>
        <v>0</v>
      </c>
      <c r="D902" s="8">
        <f>[1]Data!D902</f>
        <v>2</v>
      </c>
      <c r="E902" s="8" t="str">
        <f>[1]Data!E902</f>
        <v>NON-HS</v>
      </c>
      <c r="F902" s="8" t="str">
        <f>[1]Data!F902</f>
        <v>Compton</v>
      </c>
      <c r="G902" s="8">
        <f>[1]Data!G902</f>
        <v>0</v>
      </c>
      <c r="H902" s="8">
        <f>[1]Data!H902</f>
        <v>0</v>
      </c>
      <c r="I902" s="8">
        <f>[1]Data!I902</f>
        <v>0</v>
      </c>
      <c r="J902" s="8">
        <f>[1]Data!J902</f>
        <v>0</v>
      </c>
      <c r="K902" s="8">
        <f>[1]Data!K902</f>
        <v>0</v>
      </c>
      <c r="L902" s="8">
        <f>[1]Data!L902</f>
        <v>0</v>
      </c>
      <c r="M902" s="8">
        <f>[1]Data!M902</f>
        <v>0</v>
      </c>
      <c r="N902" s="8">
        <f>[1]Data!N902</f>
        <v>2.34375E-2</v>
      </c>
      <c r="O902" s="8">
        <f>[1]Data!O902</f>
        <v>0</v>
      </c>
      <c r="P902" s="8">
        <f>[1]Data!P902</f>
        <v>0.375</v>
      </c>
      <c r="Q902" s="8">
        <f>[1]Data!Q902</f>
        <v>0</v>
      </c>
      <c r="R902" s="8">
        <f>[1]Data!R902</f>
        <v>0</v>
      </c>
      <c r="S902" s="8">
        <f>[1]Data!S902</f>
        <v>0</v>
      </c>
      <c r="T902">
        <f t="shared" si="70"/>
        <v>2.34375E-2</v>
      </c>
      <c r="U902">
        <f t="shared" si="71"/>
        <v>0</v>
      </c>
      <c r="V902" s="4" t="str">
        <f t="shared" si="72"/>
        <v>0</v>
      </c>
      <c r="W902" s="4" t="str">
        <f t="shared" si="73"/>
        <v>6</v>
      </c>
      <c r="X902" s="4" t="str">
        <f t="shared" si="74"/>
        <v>0NON-HS6</v>
      </c>
      <c r="Y902">
        <f>VLOOKUP(X902,Sheet1!$J$5:$K$121,2,FALSE)</f>
        <v>0</v>
      </c>
    </row>
    <row r="903" spans="1:25" x14ac:dyDescent="0.25">
      <c r="A903" s="8">
        <f>[1]Data!A903</f>
        <v>543000</v>
      </c>
      <c r="B903" s="8">
        <f>[1]Data!B903</f>
        <v>6</v>
      </c>
      <c r="C903" s="8">
        <f>[1]Data!C903</f>
        <v>0</v>
      </c>
      <c r="D903" s="8">
        <f>[1]Data!D903</f>
        <v>2</v>
      </c>
      <c r="E903" s="8" t="str">
        <f>[1]Data!E903</f>
        <v>NON-HS</v>
      </c>
      <c r="F903" s="8" t="str">
        <f>[1]Data!F903</f>
        <v>Compton</v>
      </c>
      <c r="G903" s="8">
        <f>[1]Data!G903</f>
        <v>0</v>
      </c>
      <c r="H903" s="8">
        <f>[1]Data!H903</f>
        <v>0</v>
      </c>
      <c r="I903" s="8">
        <f>[1]Data!I903</f>
        <v>21.664000000000001</v>
      </c>
      <c r="J903" s="8">
        <f>[1]Data!J903</f>
        <v>13.88589762</v>
      </c>
      <c r="K903" s="8">
        <f>[1]Data!K903</f>
        <v>20.885897620000001</v>
      </c>
      <c r="L903" s="8">
        <f>[1]Data!L903</f>
        <v>0.77820820967684001</v>
      </c>
      <c r="M903" s="8">
        <f>[1]Data!M903</f>
        <v>21.664105829676799</v>
      </c>
      <c r="N903" s="8">
        <f>[1]Data!N903</f>
        <v>2.34375E-2</v>
      </c>
      <c r="O903" s="8">
        <f>[1]Data!O903</f>
        <v>0</v>
      </c>
      <c r="P903" s="8">
        <f>[1]Data!P903</f>
        <v>0.375</v>
      </c>
      <c r="Q903" s="8">
        <f>[1]Data!Q903</f>
        <v>0</v>
      </c>
      <c r="R903" s="8">
        <f>[1]Data!R903</f>
        <v>0</v>
      </c>
      <c r="S903" s="8">
        <f>[1]Data!S903</f>
        <v>0</v>
      </c>
      <c r="T903">
        <f t="shared" si="70"/>
        <v>2.34375E-2</v>
      </c>
      <c r="U903">
        <f t="shared" si="71"/>
        <v>0</v>
      </c>
      <c r="V903" s="4" t="str">
        <f t="shared" si="72"/>
        <v>0</v>
      </c>
      <c r="W903" s="4" t="str">
        <f t="shared" si="73"/>
        <v>6</v>
      </c>
      <c r="X903" s="4" t="str">
        <f t="shared" si="74"/>
        <v>0NON-HS6</v>
      </c>
      <c r="Y903">
        <f>VLOOKUP(X903,Sheet1!$J$5:$K$121,2,FALSE)</f>
        <v>0</v>
      </c>
    </row>
    <row r="904" spans="1:25" x14ac:dyDescent="0.25">
      <c r="A904" s="8">
        <f>[1]Data!A904</f>
        <v>543202</v>
      </c>
      <c r="B904" s="8">
        <f>[1]Data!B904</f>
        <v>6</v>
      </c>
      <c r="C904" s="8">
        <f>[1]Data!C904</f>
        <v>0</v>
      </c>
      <c r="D904" s="8">
        <f>[1]Data!D904</f>
        <v>2</v>
      </c>
      <c r="E904" s="8" t="str">
        <f>[1]Data!E904</f>
        <v>NON-HS</v>
      </c>
      <c r="F904" s="8" t="str">
        <f>[1]Data!F904</f>
        <v>Compton</v>
      </c>
      <c r="G904" s="8">
        <f>[1]Data!G904</f>
        <v>0</v>
      </c>
      <c r="H904" s="8">
        <f>[1]Data!H904</f>
        <v>0</v>
      </c>
      <c r="I904" s="8">
        <f>[1]Data!I904</f>
        <v>14.151</v>
      </c>
      <c r="J904" s="8">
        <f>[1]Data!J904</f>
        <v>12.25238835</v>
      </c>
      <c r="K904" s="8">
        <f>[1]Data!K904</f>
        <v>13.25238835</v>
      </c>
      <c r="L904" s="8">
        <f>[1]Data!L904</f>
        <v>0.899046423949731</v>
      </c>
      <c r="M904" s="8">
        <f>[1]Data!M904</f>
        <v>14.151434773949701</v>
      </c>
      <c r="N904" s="8">
        <f>[1]Data!N904</f>
        <v>2.34375E-2</v>
      </c>
      <c r="O904" s="8">
        <f>[1]Data!O904</f>
        <v>0</v>
      </c>
      <c r="P904" s="8">
        <f>[1]Data!P904</f>
        <v>0.375</v>
      </c>
      <c r="Q904" s="8">
        <f>[1]Data!Q904</f>
        <v>0</v>
      </c>
      <c r="R904" s="8">
        <f>[1]Data!R904</f>
        <v>0</v>
      </c>
      <c r="S904" s="8">
        <f>[1]Data!S904</f>
        <v>0</v>
      </c>
      <c r="T904">
        <f t="shared" si="70"/>
        <v>2.34375E-2</v>
      </c>
      <c r="U904">
        <f t="shared" si="71"/>
        <v>0</v>
      </c>
      <c r="V904" s="4" t="str">
        <f t="shared" si="72"/>
        <v>0</v>
      </c>
      <c r="W904" s="4" t="str">
        <f t="shared" si="73"/>
        <v>6</v>
      </c>
      <c r="X904" s="4" t="str">
        <f t="shared" si="74"/>
        <v>0NON-HS6</v>
      </c>
      <c r="Y904">
        <f>VLOOKUP(X904,Sheet1!$J$5:$K$121,2,FALSE)</f>
        <v>0</v>
      </c>
    </row>
    <row r="905" spans="1:25" x14ac:dyDescent="0.25">
      <c r="A905" s="8">
        <f>[1]Data!A905</f>
        <v>542103</v>
      </c>
      <c r="B905" s="8">
        <f>[1]Data!B905</f>
        <v>6</v>
      </c>
      <c r="C905" s="8">
        <f>[1]Data!C905</f>
        <v>0</v>
      </c>
      <c r="D905" s="8">
        <f>[1]Data!D905</f>
        <v>2</v>
      </c>
      <c r="E905" s="8" t="str">
        <f>[1]Data!E905</f>
        <v>NON-HS</v>
      </c>
      <c r="F905" s="8" t="str">
        <f>[1]Data!F905</f>
        <v>Unincorporated Compton</v>
      </c>
      <c r="G905" s="8">
        <f>[1]Data!G905</f>
        <v>0</v>
      </c>
      <c r="H905" s="8">
        <f>[1]Data!H905</f>
        <v>0</v>
      </c>
      <c r="I905" s="8">
        <f>[1]Data!I905</f>
        <v>2</v>
      </c>
      <c r="J905" s="8">
        <f>[1]Data!J905</f>
        <v>0</v>
      </c>
      <c r="K905" s="8">
        <f>[1]Data!K905</f>
        <v>2</v>
      </c>
      <c r="L905" s="8">
        <f>[1]Data!L905</f>
        <v>0</v>
      </c>
      <c r="M905" s="8">
        <f>[1]Data!M905</f>
        <v>2</v>
      </c>
      <c r="N905" s="8">
        <f>[1]Data!N905</f>
        <v>2.34375E-2</v>
      </c>
      <c r="O905" s="8">
        <f>[1]Data!O905</f>
        <v>0</v>
      </c>
      <c r="P905" s="8">
        <f>[1]Data!P905</f>
        <v>0.375</v>
      </c>
      <c r="Q905" s="8">
        <f>[1]Data!Q905</f>
        <v>0</v>
      </c>
      <c r="R905" s="8">
        <f>[1]Data!R905</f>
        <v>0</v>
      </c>
      <c r="S905" s="8">
        <f>[1]Data!S905</f>
        <v>0</v>
      </c>
      <c r="T905">
        <f t="shared" si="70"/>
        <v>2.34375E-2</v>
      </c>
      <c r="U905">
        <f t="shared" si="71"/>
        <v>0</v>
      </c>
      <c r="V905" s="4" t="str">
        <f t="shared" si="72"/>
        <v>0</v>
      </c>
      <c r="W905" s="4" t="str">
        <f t="shared" si="73"/>
        <v>6</v>
      </c>
      <c r="X905" s="4" t="str">
        <f t="shared" si="74"/>
        <v>0NON-HS6</v>
      </c>
      <c r="Y905">
        <f>VLOOKUP(X905,Sheet1!$J$5:$K$121,2,FALSE)</f>
        <v>0</v>
      </c>
    </row>
    <row r="906" spans="1:25" x14ac:dyDescent="0.25">
      <c r="A906" s="8">
        <f>[1]Data!A906</f>
        <v>553602</v>
      </c>
      <c r="B906" s="8">
        <f>[1]Data!B906</f>
        <v>6</v>
      </c>
      <c r="C906" s="8">
        <f>[1]Data!C906</f>
        <v>0</v>
      </c>
      <c r="D906" s="8">
        <f>[1]Data!D906</f>
        <v>4</v>
      </c>
      <c r="E906" s="8" t="str">
        <f>[1]Data!E906</f>
        <v>NON-HS</v>
      </c>
      <c r="F906" s="8" t="str">
        <f>[1]Data!F906</f>
        <v>Paramount</v>
      </c>
      <c r="G906" s="8">
        <f>[1]Data!G906</f>
        <v>0</v>
      </c>
      <c r="H906" s="8">
        <f>[1]Data!H906</f>
        <v>0</v>
      </c>
      <c r="I906" s="8">
        <f>[1]Data!I906</f>
        <v>9.5850000000000009</v>
      </c>
      <c r="J906" s="8">
        <f>[1]Data!J906</f>
        <v>7.4477719899999997</v>
      </c>
      <c r="K906" s="8">
        <f>[1]Data!K906</f>
        <v>9.4477719899999997</v>
      </c>
      <c r="L906" s="8">
        <f>[1]Data!L906</f>
        <v>0.13686147653500899</v>
      </c>
      <c r="M906" s="8">
        <f>[1]Data!M906</f>
        <v>9.5846334665350099</v>
      </c>
      <c r="N906" s="8">
        <f>[1]Data!N906</f>
        <v>2.34375E-2</v>
      </c>
      <c r="O906" s="8">
        <f>[1]Data!O906</f>
        <v>0</v>
      </c>
      <c r="P906" s="8">
        <f>[1]Data!P906</f>
        <v>0.375</v>
      </c>
      <c r="Q906" s="8">
        <f>[1]Data!Q906</f>
        <v>0</v>
      </c>
      <c r="R906" s="8">
        <f>[1]Data!R906</f>
        <v>0</v>
      </c>
      <c r="S906" s="8">
        <f>[1]Data!S906</f>
        <v>0</v>
      </c>
      <c r="T906">
        <f t="shared" si="70"/>
        <v>2.34375E-2</v>
      </c>
      <c r="U906">
        <f t="shared" si="71"/>
        <v>0</v>
      </c>
      <c r="V906" s="4" t="str">
        <f t="shared" si="72"/>
        <v>0</v>
      </c>
      <c r="W906" s="4" t="str">
        <f t="shared" si="73"/>
        <v>6</v>
      </c>
      <c r="X906" s="4" t="str">
        <f t="shared" si="74"/>
        <v>0NON-HS6</v>
      </c>
      <c r="Y906">
        <f>VLOOKUP(X906,Sheet1!$J$5:$K$121,2,FALSE)</f>
        <v>0</v>
      </c>
    </row>
    <row r="907" spans="1:25" x14ac:dyDescent="0.25">
      <c r="A907" s="8">
        <f>[1]Data!A907</f>
        <v>541801</v>
      </c>
      <c r="B907" s="8">
        <f>[1]Data!B907</f>
        <v>6</v>
      </c>
      <c r="C907" s="8">
        <f>[1]Data!C907</f>
        <v>0</v>
      </c>
      <c r="D907" s="8">
        <f>[1]Data!D907</f>
        <v>2</v>
      </c>
      <c r="E907" s="8" t="str">
        <f>[1]Data!E907</f>
        <v>NON-HS</v>
      </c>
      <c r="F907" s="8" t="str">
        <f>[1]Data!F907</f>
        <v>Lynwood</v>
      </c>
      <c r="G907" s="8">
        <f>[1]Data!G907</f>
        <v>0</v>
      </c>
      <c r="H907" s="8">
        <f>[1]Data!H907</f>
        <v>0</v>
      </c>
      <c r="I907" s="8">
        <f>[1]Data!I907</f>
        <v>3.6859999999999999</v>
      </c>
      <c r="J907" s="8">
        <f>[1]Data!J907</f>
        <v>3.4228962300000001</v>
      </c>
      <c r="K907" s="8">
        <f>[1]Data!K907</f>
        <v>3.4228962300000001</v>
      </c>
      <c r="L907" s="8">
        <f>[1]Data!L907</f>
        <v>0.26262460752244199</v>
      </c>
      <c r="M907" s="8">
        <f>[1]Data!M907</f>
        <v>3.6855208375224402</v>
      </c>
      <c r="N907" s="8">
        <f>[1]Data!N907</f>
        <v>2.34375E-2</v>
      </c>
      <c r="O907" s="8">
        <f>[1]Data!O907</f>
        <v>0</v>
      </c>
      <c r="P907" s="8">
        <f>[1]Data!P907</f>
        <v>0.375</v>
      </c>
      <c r="Q907" s="8">
        <f>[1]Data!Q907</f>
        <v>0</v>
      </c>
      <c r="R907" s="8">
        <f>[1]Data!R907</f>
        <v>0</v>
      </c>
      <c r="S907" s="8">
        <f>[1]Data!S907</f>
        <v>0</v>
      </c>
      <c r="T907">
        <f t="shared" si="70"/>
        <v>2.34375E-2</v>
      </c>
      <c r="U907">
        <f t="shared" si="71"/>
        <v>0</v>
      </c>
      <c r="V907" s="4" t="str">
        <f t="shared" si="72"/>
        <v>0</v>
      </c>
      <c r="W907" s="4" t="str">
        <f t="shared" si="73"/>
        <v>6</v>
      </c>
      <c r="X907" s="4" t="str">
        <f t="shared" si="74"/>
        <v>0NON-HS6</v>
      </c>
      <c r="Y907">
        <f>VLOOKUP(X907,Sheet1!$J$5:$K$121,2,FALSE)</f>
        <v>0</v>
      </c>
    </row>
    <row r="908" spans="1:25" x14ac:dyDescent="0.25">
      <c r="A908" s="8">
        <f>[1]Data!A908</f>
        <v>553502</v>
      </c>
      <c r="B908" s="8">
        <f>[1]Data!B908</f>
        <v>6</v>
      </c>
      <c r="C908" s="8">
        <f>[1]Data!C908</f>
        <v>0</v>
      </c>
      <c r="D908" s="8">
        <f>[1]Data!D908</f>
        <v>4</v>
      </c>
      <c r="E908" s="8" t="str">
        <f>[1]Data!E908</f>
        <v>NON-HS</v>
      </c>
      <c r="F908" s="8" t="str">
        <f>[1]Data!F908</f>
        <v>Paramount</v>
      </c>
      <c r="G908" s="8">
        <f>[1]Data!G908</f>
        <v>0</v>
      </c>
      <c r="H908" s="8">
        <f>[1]Data!H908</f>
        <v>0</v>
      </c>
      <c r="I908" s="8">
        <f>[1]Data!I908</f>
        <v>1</v>
      </c>
      <c r="J908" s="8">
        <f>[1]Data!J908</f>
        <v>0</v>
      </c>
      <c r="K908" s="8">
        <f>[1]Data!K908</f>
        <v>1</v>
      </c>
      <c r="L908" s="8">
        <f>[1]Data!L908</f>
        <v>0</v>
      </c>
      <c r="M908" s="8">
        <f>[1]Data!M908</f>
        <v>1</v>
      </c>
      <c r="N908" s="8">
        <f>[1]Data!N908</f>
        <v>2.34375E-2</v>
      </c>
      <c r="O908" s="8">
        <f>[1]Data!O908</f>
        <v>0</v>
      </c>
      <c r="P908" s="8">
        <f>[1]Data!P908</f>
        <v>0.375</v>
      </c>
      <c r="Q908" s="8">
        <f>[1]Data!Q908</f>
        <v>0</v>
      </c>
      <c r="R908" s="8">
        <f>[1]Data!R908</f>
        <v>0</v>
      </c>
      <c r="S908" s="8">
        <f>[1]Data!S908</f>
        <v>0</v>
      </c>
      <c r="T908">
        <f t="shared" si="70"/>
        <v>2.34375E-2</v>
      </c>
      <c r="U908">
        <f t="shared" si="71"/>
        <v>0</v>
      </c>
      <c r="V908" s="4" t="str">
        <f t="shared" si="72"/>
        <v>0</v>
      </c>
      <c r="W908" s="4" t="str">
        <f t="shared" si="73"/>
        <v>6</v>
      </c>
      <c r="X908" s="4" t="str">
        <f t="shared" si="74"/>
        <v>0NON-HS6</v>
      </c>
      <c r="Y908">
        <f>VLOOKUP(X908,Sheet1!$J$5:$K$121,2,FALSE)</f>
        <v>0</v>
      </c>
    </row>
    <row r="909" spans="1:25" x14ac:dyDescent="0.25">
      <c r="A909" s="8">
        <f>[1]Data!A909</f>
        <v>553503</v>
      </c>
      <c r="B909" s="8">
        <f>[1]Data!B909</f>
        <v>6</v>
      </c>
      <c r="C909" s="8">
        <f>[1]Data!C909</f>
        <v>0</v>
      </c>
      <c r="D909" s="8">
        <f>[1]Data!D909</f>
        <v>4</v>
      </c>
      <c r="E909" s="8" t="str">
        <f>[1]Data!E909</f>
        <v>NON-HS</v>
      </c>
      <c r="F909" s="8" t="str">
        <f>[1]Data!F909</f>
        <v>Paramount</v>
      </c>
      <c r="G909" s="8">
        <f>[1]Data!G909</f>
        <v>0</v>
      </c>
      <c r="H909" s="8">
        <f>[1]Data!H909</f>
        <v>0</v>
      </c>
      <c r="I909" s="8">
        <f>[1]Data!I909</f>
        <v>0</v>
      </c>
      <c r="J909" s="8">
        <f>[1]Data!J909</f>
        <v>0</v>
      </c>
      <c r="K909" s="8">
        <f>[1]Data!K909</f>
        <v>0</v>
      </c>
      <c r="L909" s="8">
        <f>[1]Data!L909</f>
        <v>0</v>
      </c>
      <c r="M909" s="8">
        <f>[1]Data!M909</f>
        <v>0</v>
      </c>
      <c r="N909" s="8">
        <f>[1]Data!N909</f>
        <v>2.34375E-2</v>
      </c>
      <c r="O909" s="8">
        <f>[1]Data!O909</f>
        <v>0</v>
      </c>
      <c r="P909" s="8">
        <f>[1]Data!P909</f>
        <v>0.375</v>
      </c>
      <c r="Q909" s="8">
        <f>[1]Data!Q909</f>
        <v>0</v>
      </c>
      <c r="R909" s="8">
        <f>[1]Data!R909</f>
        <v>0</v>
      </c>
      <c r="S909" s="8">
        <f>[1]Data!S909</f>
        <v>0</v>
      </c>
      <c r="T909">
        <f t="shared" si="70"/>
        <v>2.34375E-2</v>
      </c>
      <c r="U909">
        <f t="shared" si="71"/>
        <v>0</v>
      </c>
      <c r="V909" s="4" t="str">
        <f t="shared" si="72"/>
        <v>0</v>
      </c>
      <c r="W909" s="4" t="str">
        <f t="shared" si="73"/>
        <v>6</v>
      </c>
      <c r="X909" s="4" t="str">
        <f t="shared" si="74"/>
        <v>0NON-HS6</v>
      </c>
      <c r="Y909">
        <f>VLOOKUP(X909,Sheet1!$J$5:$K$121,2,FALSE)</f>
        <v>0</v>
      </c>
    </row>
    <row r="910" spans="1:25" x14ac:dyDescent="0.25">
      <c r="A910" s="8">
        <f>[1]Data!A910</f>
        <v>553504</v>
      </c>
      <c r="B910" s="8">
        <f>[1]Data!B910</f>
        <v>6</v>
      </c>
      <c r="C910" s="8">
        <f>[1]Data!C910</f>
        <v>0</v>
      </c>
      <c r="D910" s="8">
        <f>[1]Data!D910</f>
        <v>4</v>
      </c>
      <c r="E910" s="8" t="str">
        <f>[1]Data!E910</f>
        <v>NON-HS</v>
      </c>
      <c r="F910" s="8" t="str">
        <f>[1]Data!F910</f>
        <v>Paramount</v>
      </c>
      <c r="G910" s="8">
        <f>[1]Data!G910</f>
        <v>0</v>
      </c>
      <c r="H910" s="8">
        <f>[1]Data!H910</f>
        <v>0</v>
      </c>
      <c r="I910" s="8">
        <f>[1]Data!I910</f>
        <v>2.0950000000000002</v>
      </c>
      <c r="J910" s="8">
        <f>[1]Data!J910</f>
        <v>1.9836996600000001</v>
      </c>
      <c r="K910" s="8">
        <f>[1]Data!K910</f>
        <v>1.9836996600000001</v>
      </c>
      <c r="L910" s="8">
        <f>[1]Data!L910</f>
        <v>0.11117260138240601</v>
      </c>
      <c r="M910" s="8">
        <f>[1]Data!M910</f>
        <v>2.09487226138241</v>
      </c>
      <c r="N910" s="8">
        <f>[1]Data!N910</f>
        <v>2.34375E-2</v>
      </c>
      <c r="O910" s="8">
        <f>[1]Data!O910</f>
        <v>0</v>
      </c>
      <c r="P910" s="8">
        <f>[1]Data!P910</f>
        <v>0.375</v>
      </c>
      <c r="Q910" s="8">
        <f>[1]Data!Q910</f>
        <v>0</v>
      </c>
      <c r="R910" s="8">
        <f>[1]Data!R910</f>
        <v>0</v>
      </c>
      <c r="S910" s="8">
        <f>[1]Data!S910</f>
        <v>0</v>
      </c>
      <c r="T910">
        <f t="shared" si="70"/>
        <v>2.34375E-2</v>
      </c>
      <c r="U910">
        <f t="shared" si="71"/>
        <v>0</v>
      </c>
      <c r="V910" s="4" t="str">
        <f t="shared" si="72"/>
        <v>0</v>
      </c>
      <c r="W910" s="4" t="str">
        <f t="shared" si="73"/>
        <v>6</v>
      </c>
      <c r="X910" s="4" t="str">
        <f t="shared" si="74"/>
        <v>0NON-HS6</v>
      </c>
      <c r="Y910">
        <f>VLOOKUP(X910,Sheet1!$J$5:$K$121,2,FALSE)</f>
        <v>0</v>
      </c>
    </row>
    <row r="911" spans="1:25" x14ac:dyDescent="0.25">
      <c r="A911" s="8">
        <f>[1]Data!A911</f>
        <v>553701</v>
      </c>
      <c r="B911" s="8">
        <f>[1]Data!B911</f>
        <v>6</v>
      </c>
      <c r="C911" s="8">
        <f>[1]Data!C911</f>
        <v>0</v>
      </c>
      <c r="D911" s="8">
        <f>[1]Data!D911</f>
        <v>4</v>
      </c>
      <c r="E911" s="8" t="str">
        <f>[1]Data!E911</f>
        <v>NON-HS</v>
      </c>
      <c r="F911" s="8" t="str">
        <f>[1]Data!F911</f>
        <v>Paramount</v>
      </c>
      <c r="G911" s="8">
        <f>[1]Data!G911</f>
        <v>0</v>
      </c>
      <c r="H911" s="8">
        <f>[1]Data!H911</f>
        <v>0</v>
      </c>
      <c r="I911" s="8">
        <f>[1]Data!I911</f>
        <v>16.178999999999998</v>
      </c>
      <c r="J911" s="8">
        <f>[1]Data!J911</f>
        <v>13.879002870000001</v>
      </c>
      <c r="K911" s="8">
        <f>[1]Data!K911</f>
        <v>15.879002870000001</v>
      </c>
      <c r="L911" s="8">
        <f>[1]Data!L911</f>
        <v>0.299295699425494</v>
      </c>
      <c r="M911" s="8">
        <f>[1]Data!M911</f>
        <v>16.1782985694255</v>
      </c>
      <c r="N911" s="8">
        <f>[1]Data!N911</f>
        <v>2.34375E-2</v>
      </c>
      <c r="O911" s="8">
        <f>[1]Data!O911</f>
        <v>0</v>
      </c>
      <c r="P911" s="8">
        <f>[1]Data!P911</f>
        <v>0.375</v>
      </c>
      <c r="Q911" s="8">
        <f>[1]Data!Q911</f>
        <v>0</v>
      </c>
      <c r="R911" s="8">
        <f>[1]Data!R911</f>
        <v>0</v>
      </c>
      <c r="S911" s="8">
        <f>[1]Data!S911</f>
        <v>0</v>
      </c>
      <c r="T911">
        <f t="shared" si="70"/>
        <v>2.34375E-2</v>
      </c>
      <c r="U911">
        <f t="shared" si="71"/>
        <v>0</v>
      </c>
      <c r="V911" s="4" t="str">
        <f t="shared" si="72"/>
        <v>0</v>
      </c>
      <c r="W911" s="4" t="str">
        <f t="shared" si="73"/>
        <v>6</v>
      </c>
      <c r="X911" s="4" t="str">
        <f t="shared" si="74"/>
        <v>0NON-HS6</v>
      </c>
      <c r="Y911">
        <f>VLOOKUP(X911,Sheet1!$J$5:$K$121,2,FALSE)</f>
        <v>0</v>
      </c>
    </row>
    <row r="912" spans="1:25" x14ac:dyDescent="0.25">
      <c r="A912" s="8">
        <f>[1]Data!A912</f>
        <v>553702</v>
      </c>
      <c r="B912" s="8">
        <f>[1]Data!B912</f>
        <v>6</v>
      </c>
      <c r="C912" s="8">
        <f>[1]Data!C912</f>
        <v>0</v>
      </c>
      <c r="D912" s="8">
        <f>[1]Data!D912</f>
        <v>4</v>
      </c>
      <c r="E912" s="8" t="str">
        <f>[1]Data!E912</f>
        <v>NON-HS</v>
      </c>
      <c r="F912" s="8" t="str">
        <f>[1]Data!F912</f>
        <v>Paramount</v>
      </c>
      <c r="G912" s="8">
        <f>[1]Data!G912</f>
        <v>0</v>
      </c>
      <c r="H912" s="8">
        <f>[1]Data!H912</f>
        <v>0</v>
      </c>
      <c r="I912" s="8">
        <f>[1]Data!I912</f>
        <v>15.34</v>
      </c>
      <c r="J912" s="8">
        <f>[1]Data!J912</f>
        <v>11.97640354</v>
      </c>
      <c r="K912" s="8">
        <f>[1]Data!K912</f>
        <v>14.97640354</v>
      </c>
      <c r="L912" s="8">
        <f>[1]Data!L912</f>
        <v>0.36441783642728898</v>
      </c>
      <c r="M912" s="8">
        <f>[1]Data!M912</f>
        <v>15.3408213764273</v>
      </c>
      <c r="N912" s="8">
        <f>[1]Data!N912</f>
        <v>2.34375E-2</v>
      </c>
      <c r="O912" s="8">
        <f>[1]Data!O912</f>
        <v>0</v>
      </c>
      <c r="P912" s="8">
        <f>[1]Data!P912</f>
        <v>0.375</v>
      </c>
      <c r="Q912" s="8">
        <f>[1]Data!Q912</f>
        <v>0</v>
      </c>
      <c r="R912" s="8">
        <f>[1]Data!R912</f>
        <v>0</v>
      </c>
      <c r="S912" s="8">
        <f>[1]Data!S912</f>
        <v>0</v>
      </c>
      <c r="T912">
        <f t="shared" si="70"/>
        <v>2.34375E-2</v>
      </c>
      <c r="U912">
        <f t="shared" si="71"/>
        <v>0</v>
      </c>
      <c r="V912" s="4" t="str">
        <f t="shared" si="72"/>
        <v>0</v>
      </c>
      <c r="W912" s="4" t="str">
        <f t="shared" si="73"/>
        <v>6</v>
      </c>
      <c r="X912" s="4" t="str">
        <f t="shared" si="74"/>
        <v>0NON-HS6</v>
      </c>
      <c r="Y912">
        <f>VLOOKUP(X912,Sheet1!$J$5:$K$121,2,FALSE)</f>
        <v>0</v>
      </c>
    </row>
    <row r="913" spans="1:25" x14ac:dyDescent="0.25">
      <c r="A913" s="8">
        <f>[1]Data!A913</f>
        <v>553801</v>
      </c>
      <c r="B913" s="8">
        <f>[1]Data!B913</f>
        <v>6</v>
      </c>
      <c r="C913" s="8">
        <f>[1]Data!C913</f>
        <v>0</v>
      </c>
      <c r="D913" s="8">
        <f>[1]Data!D913</f>
        <v>4</v>
      </c>
      <c r="E913" s="8" t="str">
        <f>[1]Data!E913</f>
        <v>NON-HS</v>
      </c>
      <c r="F913" s="8" t="str">
        <f>[1]Data!F913</f>
        <v>Paramount</v>
      </c>
      <c r="G913" s="8">
        <f>[1]Data!G913</f>
        <v>0</v>
      </c>
      <c r="H913" s="8">
        <f>[1]Data!H913</f>
        <v>0</v>
      </c>
      <c r="I913" s="8">
        <f>[1]Data!I913</f>
        <v>18.690000000000001</v>
      </c>
      <c r="J913" s="8">
        <f>[1]Data!J913</f>
        <v>14.67301462</v>
      </c>
      <c r="K913" s="8">
        <f>[1]Data!K913</f>
        <v>17.67301462</v>
      </c>
      <c r="L913" s="8">
        <f>[1]Data!L913</f>
        <v>1.0169226670915601</v>
      </c>
      <c r="M913" s="8">
        <f>[1]Data!M913</f>
        <v>18.689937287091599</v>
      </c>
      <c r="N913" s="8">
        <f>[1]Data!N913</f>
        <v>2.34375E-2</v>
      </c>
      <c r="O913" s="8">
        <f>[1]Data!O913</f>
        <v>0</v>
      </c>
      <c r="P913" s="8">
        <f>[1]Data!P913</f>
        <v>0.375</v>
      </c>
      <c r="Q913" s="8">
        <f>[1]Data!Q913</f>
        <v>0</v>
      </c>
      <c r="R913" s="8">
        <f>[1]Data!R913</f>
        <v>0</v>
      </c>
      <c r="S913" s="8">
        <f>[1]Data!S913</f>
        <v>0</v>
      </c>
      <c r="T913">
        <f t="shared" si="70"/>
        <v>2.34375E-2</v>
      </c>
      <c r="U913">
        <f t="shared" si="71"/>
        <v>0</v>
      </c>
      <c r="V913" s="4" t="str">
        <f t="shared" si="72"/>
        <v>0</v>
      </c>
      <c r="W913" s="4" t="str">
        <f t="shared" si="73"/>
        <v>6</v>
      </c>
      <c r="X913" s="4" t="str">
        <f t="shared" si="74"/>
        <v>0NON-HS6</v>
      </c>
      <c r="Y913">
        <f>VLOOKUP(X913,Sheet1!$J$5:$K$121,2,FALSE)</f>
        <v>0</v>
      </c>
    </row>
    <row r="914" spans="1:25" x14ac:dyDescent="0.25">
      <c r="A914" s="8">
        <f>[1]Data!A914</f>
        <v>553902</v>
      </c>
      <c r="B914" s="8">
        <f>[1]Data!B914</f>
        <v>6</v>
      </c>
      <c r="C914" s="8">
        <f>[1]Data!C914</f>
        <v>0</v>
      </c>
      <c r="D914" s="8">
        <f>[1]Data!D914</f>
        <v>4</v>
      </c>
      <c r="E914" s="8" t="str">
        <f>[1]Data!E914</f>
        <v>NON-HS</v>
      </c>
      <c r="F914" s="8" t="str">
        <f>[1]Data!F914</f>
        <v>Paramount</v>
      </c>
      <c r="G914" s="8">
        <f>[1]Data!G914</f>
        <v>0</v>
      </c>
      <c r="H914" s="8">
        <f>[1]Data!H914</f>
        <v>0</v>
      </c>
      <c r="I914" s="8">
        <f>[1]Data!I914</f>
        <v>7.9260000000000002</v>
      </c>
      <c r="J914" s="8">
        <f>[1]Data!J914</f>
        <v>1.90487994</v>
      </c>
      <c r="K914" s="8">
        <f>[1]Data!K914</f>
        <v>7.9048799399999998</v>
      </c>
      <c r="L914" s="8">
        <f>[1]Data!L914</f>
        <v>2.0625322082585301E-2</v>
      </c>
      <c r="M914" s="8">
        <f>[1]Data!M914</f>
        <v>7.9255052620825897</v>
      </c>
      <c r="N914" s="8">
        <f>[1]Data!N914</f>
        <v>2.34375E-2</v>
      </c>
      <c r="O914" s="8">
        <f>[1]Data!O914</f>
        <v>0</v>
      </c>
      <c r="P914" s="8">
        <f>[1]Data!P914</f>
        <v>0.375</v>
      </c>
      <c r="Q914" s="8">
        <f>[1]Data!Q914</f>
        <v>0</v>
      </c>
      <c r="R914" s="8">
        <f>[1]Data!R914</f>
        <v>0</v>
      </c>
      <c r="S914" s="8">
        <f>[1]Data!S914</f>
        <v>0</v>
      </c>
      <c r="T914">
        <f t="shared" si="70"/>
        <v>2.34375E-2</v>
      </c>
      <c r="U914">
        <f t="shared" si="71"/>
        <v>0</v>
      </c>
      <c r="V914" s="4" t="str">
        <f t="shared" si="72"/>
        <v>0</v>
      </c>
      <c r="W914" s="4" t="str">
        <f t="shared" si="73"/>
        <v>6</v>
      </c>
      <c r="X914" s="4" t="str">
        <f t="shared" si="74"/>
        <v>0NON-HS6</v>
      </c>
      <c r="Y914">
        <f>VLOOKUP(X914,Sheet1!$J$5:$K$121,2,FALSE)</f>
        <v>0</v>
      </c>
    </row>
    <row r="915" spans="1:25" x14ac:dyDescent="0.25">
      <c r="A915" s="8">
        <f>[1]Data!A915</f>
        <v>540102</v>
      </c>
      <c r="B915" s="8">
        <f>[1]Data!B915</f>
        <v>6</v>
      </c>
      <c r="C915" s="8">
        <f>[1]Data!C915</f>
        <v>0</v>
      </c>
      <c r="D915" s="8">
        <f>[1]Data!D915</f>
        <v>2</v>
      </c>
      <c r="E915" s="8" t="str">
        <f>[1]Data!E915</f>
        <v>NON-HS</v>
      </c>
      <c r="F915" s="8" t="str">
        <f>[1]Data!F915</f>
        <v>Lynwood</v>
      </c>
      <c r="G915" s="8">
        <f>[1]Data!G915</f>
        <v>0</v>
      </c>
      <c r="H915" s="8">
        <f>[1]Data!H915</f>
        <v>0</v>
      </c>
      <c r="I915" s="8">
        <f>[1]Data!I915</f>
        <v>7.851</v>
      </c>
      <c r="J915" s="8">
        <f>[1]Data!J915</f>
        <v>3.8097598800000001</v>
      </c>
      <c r="K915" s="8">
        <f>[1]Data!K915</f>
        <v>7.8097598799999997</v>
      </c>
      <c r="L915" s="8">
        <f>[1]Data!L915</f>
        <v>4.1250644165170602E-2</v>
      </c>
      <c r="M915" s="8">
        <f>[1]Data!M915</f>
        <v>7.8510105241651704</v>
      </c>
      <c r="N915" s="8">
        <f>[1]Data!N915</f>
        <v>2.34375E-2</v>
      </c>
      <c r="O915" s="8">
        <f>[1]Data!O915</f>
        <v>0</v>
      </c>
      <c r="P915" s="8">
        <f>[1]Data!P915</f>
        <v>0.375</v>
      </c>
      <c r="Q915" s="8">
        <f>[1]Data!Q915</f>
        <v>0</v>
      </c>
      <c r="R915" s="8">
        <f>[1]Data!R915</f>
        <v>0</v>
      </c>
      <c r="S915" s="8">
        <f>[1]Data!S915</f>
        <v>0</v>
      </c>
      <c r="T915">
        <f t="shared" si="70"/>
        <v>2.34375E-2</v>
      </c>
      <c r="U915">
        <f t="shared" si="71"/>
        <v>0</v>
      </c>
      <c r="V915" s="4" t="str">
        <f t="shared" si="72"/>
        <v>0</v>
      </c>
      <c r="W915" s="4" t="str">
        <f t="shared" si="73"/>
        <v>6</v>
      </c>
      <c r="X915" s="4" t="str">
        <f t="shared" si="74"/>
        <v>0NON-HS6</v>
      </c>
      <c r="Y915">
        <f>VLOOKUP(X915,Sheet1!$J$5:$K$121,2,FALSE)</f>
        <v>0</v>
      </c>
    </row>
    <row r="916" spans="1:25" x14ac:dyDescent="0.25">
      <c r="A916" s="8">
        <f>[1]Data!A916</f>
        <v>703200</v>
      </c>
      <c r="B916" s="8">
        <f>[1]Data!B916</f>
        <v>6</v>
      </c>
      <c r="C916" s="8">
        <f>[1]Data!C916</f>
        <v>0</v>
      </c>
      <c r="D916" s="8">
        <f>[1]Data!D916</f>
        <v>2</v>
      </c>
      <c r="E916" s="8" t="str">
        <f>[1]Data!E916</f>
        <v>NON-HS</v>
      </c>
      <c r="F916" s="8" t="str">
        <f>[1]Data!F916</f>
        <v>View Park-Windsor Hills</v>
      </c>
      <c r="G916" s="8">
        <f>[1]Data!G916</f>
        <v>0</v>
      </c>
      <c r="H916" s="8">
        <f>[1]Data!H916</f>
        <v>0</v>
      </c>
      <c r="I916" s="8">
        <f>[1]Data!I916</f>
        <v>8.3249999999999993</v>
      </c>
      <c r="J916" s="8">
        <f>[1]Data!J916</f>
        <v>5.07720868</v>
      </c>
      <c r="K916" s="8">
        <f>[1]Data!K916</f>
        <v>8.07720868</v>
      </c>
      <c r="L916" s="8">
        <f>[1]Data!L916</f>
        <v>0.24706283850987401</v>
      </c>
      <c r="M916" s="8">
        <f>[1]Data!M916</f>
        <v>8.3242715185098692</v>
      </c>
      <c r="N916" s="8">
        <f>[1]Data!N916</f>
        <v>2.34375E-2</v>
      </c>
      <c r="O916" s="8">
        <f>[1]Data!O916</f>
        <v>0</v>
      </c>
      <c r="P916" s="8">
        <f>[1]Data!P916</f>
        <v>0.375</v>
      </c>
      <c r="Q916" s="8">
        <f>[1]Data!Q916</f>
        <v>0</v>
      </c>
      <c r="R916" s="8">
        <f>[1]Data!R916</f>
        <v>0</v>
      </c>
      <c r="S916" s="8">
        <f>[1]Data!S916</f>
        <v>0</v>
      </c>
      <c r="T916">
        <f t="shared" si="70"/>
        <v>2.34375E-2</v>
      </c>
      <c r="U916">
        <f t="shared" si="71"/>
        <v>0</v>
      </c>
      <c r="V916" s="4" t="str">
        <f t="shared" si="72"/>
        <v>0</v>
      </c>
      <c r="W916" s="4" t="str">
        <f t="shared" si="73"/>
        <v>6</v>
      </c>
      <c r="X916" s="4" t="str">
        <f t="shared" si="74"/>
        <v>0NON-HS6</v>
      </c>
      <c r="Y916">
        <f>VLOOKUP(X916,Sheet1!$J$5:$K$121,2,FALSE)</f>
        <v>0</v>
      </c>
    </row>
    <row r="917" spans="1:25" x14ac:dyDescent="0.25">
      <c r="A917" s="8">
        <f>[1]Data!A917</f>
        <v>532800</v>
      </c>
      <c r="B917" s="8">
        <f>[1]Data!B917</f>
        <v>6</v>
      </c>
      <c r="C917" s="8">
        <f>[1]Data!C917</f>
        <v>0</v>
      </c>
      <c r="D917" s="8">
        <f>[1]Data!D917</f>
        <v>2</v>
      </c>
      <c r="E917" s="8" t="str">
        <f>[1]Data!E917</f>
        <v>NON-HS</v>
      </c>
      <c r="F917" s="8" t="str">
        <f>[1]Data!F917</f>
        <v>Florence-Graham</v>
      </c>
      <c r="G917" s="8">
        <f>[1]Data!G917</f>
        <v>0</v>
      </c>
      <c r="H917" s="8">
        <f>[1]Data!H917</f>
        <v>0</v>
      </c>
      <c r="I917" s="8">
        <f>[1]Data!I917</f>
        <v>37.503</v>
      </c>
      <c r="J917" s="8">
        <f>[1]Data!J917</f>
        <v>27.656265179999998</v>
      </c>
      <c r="K917" s="8">
        <f>[1]Data!K917</f>
        <v>35.656265179999998</v>
      </c>
      <c r="L917" s="8">
        <f>[1]Data!L917</f>
        <v>1.8462062369479399</v>
      </c>
      <c r="M917" s="8">
        <f>[1]Data!M917</f>
        <v>37.502471416947898</v>
      </c>
      <c r="N917" s="8">
        <f>[1]Data!N917</f>
        <v>2.34375E-2</v>
      </c>
      <c r="O917" s="8">
        <f>[1]Data!O917</f>
        <v>0</v>
      </c>
      <c r="P917" s="8">
        <f>[1]Data!P917</f>
        <v>0.375</v>
      </c>
      <c r="Q917" s="8">
        <f>[1]Data!Q917</f>
        <v>0</v>
      </c>
      <c r="R917" s="8">
        <f>[1]Data!R917</f>
        <v>0</v>
      </c>
      <c r="S917" s="8">
        <f>[1]Data!S917</f>
        <v>0</v>
      </c>
      <c r="T917">
        <f t="shared" si="70"/>
        <v>2.34375E-2</v>
      </c>
      <c r="U917">
        <f t="shared" si="71"/>
        <v>0</v>
      </c>
      <c r="V917" s="4" t="str">
        <f t="shared" si="72"/>
        <v>0</v>
      </c>
      <c r="W917" s="4" t="str">
        <f t="shared" si="73"/>
        <v>6</v>
      </c>
      <c r="X917" s="4" t="str">
        <f t="shared" si="74"/>
        <v>0NON-HS6</v>
      </c>
      <c r="Y917">
        <f>VLOOKUP(X917,Sheet1!$J$5:$K$121,2,FALSE)</f>
        <v>0</v>
      </c>
    </row>
    <row r="918" spans="1:25" x14ac:dyDescent="0.25">
      <c r="A918" s="8">
        <f>[1]Data!A918</f>
        <v>553601</v>
      </c>
      <c r="B918" s="8">
        <f>[1]Data!B918</f>
        <v>6</v>
      </c>
      <c r="C918" s="8">
        <f>[1]Data!C918</f>
        <v>0</v>
      </c>
      <c r="D918" s="8">
        <f>[1]Data!D918</f>
        <v>4</v>
      </c>
      <c r="E918" s="8" t="str">
        <f>[1]Data!E918</f>
        <v>NON-HS</v>
      </c>
      <c r="F918" s="8" t="str">
        <f>[1]Data!F918</f>
        <v>Paramount</v>
      </c>
      <c r="G918" s="8">
        <f>[1]Data!G918</f>
        <v>0</v>
      </c>
      <c r="H918" s="8">
        <f>[1]Data!H918</f>
        <v>0</v>
      </c>
      <c r="I918" s="8">
        <f>[1]Data!I918</f>
        <v>13.952999999999999</v>
      </c>
      <c r="J918" s="8">
        <f>[1]Data!J918</f>
        <v>8.6633802400000004</v>
      </c>
      <c r="K918" s="8">
        <f>[1]Data!K918</f>
        <v>13.66338024</v>
      </c>
      <c r="L918" s="8">
        <f>[1]Data!L918</f>
        <v>0.28918009235188502</v>
      </c>
      <c r="M918" s="8">
        <f>[1]Data!M918</f>
        <v>13.952560332351901</v>
      </c>
      <c r="N918" s="8">
        <f>[1]Data!N918</f>
        <v>2.34375E-2</v>
      </c>
      <c r="O918" s="8">
        <f>[1]Data!O918</f>
        <v>0</v>
      </c>
      <c r="P918" s="8">
        <f>[1]Data!P918</f>
        <v>0.375</v>
      </c>
      <c r="Q918" s="8">
        <f>[1]Data!Q918</f>
        <v>0</v>
      </c>
      <c r="R918" s="8">
        <f>[1]Data!R918</f>
        <v>0</v>
      </c>
      <c r="S918" s="8">
        <f>[1]Data!S918</f>
        <v>0</v>
      </c>
      <c r="T918">
        <f t="shared" si="70"/>
        <v>2.34375E-2</v>
      </c>
      <c r="U918">
        <f t="shared" si="71"/>
        <v>0</v>
      </c>
      <c r="V918" s="4" t="str">
        <f t="shared" si="72"/>
        <v>0</v>
      </c>
      <c r="W918" s="4" t="str">
        <f t="shared" si="73"/>
        <v>6</v>
      </c>
      <c r="X918" s="4" t="str">
        <f t="shared" si="74"/>
        <v>0NON-HS6</v>
      </c>
      <c r="Y918">
        <f>VLOOKUP(X918,Sheet1!$J$5:$K$121,2,FALSE)</f>
        <v>0</v>
      </c>
    </row>
    <row r="919" spans="1:25" x14ac:dyDescent="0.25">
      <c r="A919" s="8">
        <f>[1]Data!A919</f>
        <v>542106</v>
      </c>
      <c r="B919" s="8">
        <f>[1]Data!B919</f>
        <v>6</v>
      </c>
      <c r="C919" s="8">
        <f>[1]Data!C919</f>
        <v>0</v>
      </c>
      <c r="D919" s="8">
        <f>[1]Data!D919</f>
        <v>2</v>
      </c>
      <c r="E919" s="8" t="str">
        <f>[1]Data!E919</f>
        <v>NON-HS</v>
      </c>
      <c r="F919" s="8" t="str">
        <f>[1]Data!F919</f>
        <v>Compton</v>
      </c>
      <c r="G919" s="8">
        <f>[1]Data!G919</f>
        <v>0</v>
      </c>
      <c r="H919" s="8">
        <f>[1]Data!H919</f>
        <v>0</v>
      </c>
      <c r="I919" s="8">
        <f>[1]Data!I919</f>
        <v>10.97</v>
      </c>
      <c r="J919" s="8">
        <f>[1]Data!J919</f>
        <v>9.3739952100000004</v>
      </c>
      <c r="K919" s="8">
        <f>[1]Data!K919</f>
        <v>10.37399521</v>
      </c>
      <c r="L919" s="8">
        <f>[1]Data!L919</f>
        <v>0.59614241166965898</v>
      </c>
      <c r="M919" s="8">
        <f>[1]Data!M919</f>
        <v>10.9701376216697</v>
      </c>
      <c r="N919" s="8">
        <f>[1]Data!N919</f>
        <v>2.34375E-2</v>
      </c>
      <c r="O919" s="8">
        <f>[1]Data!O919</f>
        <v>0</v>
      </c>
      <c r="P919" s="8">
        <f>[1]Data!P919</f>
        <v>0.375</v>
      </c>
      <c r="Q919" s="8">
        <f>[1]Data!Q919</f>
        <v>0</v>
      </c>
      <c r="R919" s="8">
        <f>[1]Data!R919</f>
        <v>0</v>
      </c>
      <c r="S919" s="8">
        <f>[1]Data!S919</f>
        <v>0</v>
      </c>
      <c r="T919">
        <f t="shared" si="70"/>
        <v>2.34375E-2</v>
      </c>
      <c r="U919">
        <f t="shared" si="71"/>
        <v>0</v>
      </c>
      <c r="V919" s="4" t="str">
        <f t="shared" si="72"/>
        <v>0</v>
      </c>
      <c r="W919" s="4" t="str">
        <f t="shared" si="73"/>
        <v>6</v>
      </c>
      <c r="X919" s="4" t="str">
        <f t="shared" si="74"/>
        <v>0NON-HS6</v>
      </c>
      <c r="Y919">
        <f>VLOOKUP(X919,Sheet1!$J$5:$K$121,2,FALSE)</f>
        <v>0</v>
      </c>
    </row>
    <row r="920" spans="1:25" x14ac:dyDescent="0.25">
      <c r="A920" s="8">
        <f>[1]Data!A920</f>
        <v>540101</v>
      </c>
      <c r="B920" s="8">
        <f>[1]Data!B920</f>
        <v>6</v>
      </c>
      <c r="C920" s="8">
        <f>[1]Data!C920</f>
        <v>0</v>
      </c>
      <c r="D920" s="8">
        <f>[1]Data!D920</f>
        <v>2</v>
      </c>
      <c r="E920" s="8" t="str">
        <f>[1]Data!E920</f>
        <v>NON-HS</v>
      </c>
      <c r="F920" s="8" t="str">
        <f>[1]Data!F920</f>
        <v>Lynwood</v>
      </c>
      <c r="G920" s="8">
        <f>[1]Data!G920</f>
        <v>0</v>
      </c>
      <c r="H920" s="8">
        <f>[1]Data!H920</f>
        <v>0</v>
      </c>
      <c r="I920" s="8">
        <f>[1]Data!I920</f>
        <v>11.637</v>
      </c>
      <c r="J920" s="8">
        <f>[1]Data!J920</f>
        <v>7.3548439400000003</v>
      </c>
      <c r="K920" s="8">
        <f>[1]Data!K920</f>
        <v>11.35484394</v>
      </c>
      <c r="L920" s="8">
        <f>[1]Data!L920</f>
        <v>0.28176894403949698</v>
      </c>
      <c r="M920" s="8">
        <f>[1]Data!M920</f>
        <v>11.636612884039501</v>
      </c>
      <c r="N920" s="8">
        <f>[1]Data!N920</f>
        <v>2.34375E-2</v>
      </c>
      <c r="O920" s="8">
        <f>[1]Data!O920</f>
        <v>0</v>
      </c>
      <c r="P920" s="8">
        <f>[1]Data!P920</f>
        <v>0.375</v>
      </c>
      <c r="Q920" s="8">
        <f>[1]Data!Q920</f>
        <v>0</v>
      </c>
      <c r="R920" s="8">
        <f>[1]Data!R920</f>
        <v>0</v>
      </c>
      <c r="S920" s="8">
        <f>[1]Data!S920</f>
        <v>0</v>
      </c>
      <c r="T920">
        <f t="shared" si="70"/>
        <v>2.34375E-2</v>
      </c>
      <c r="U920">
        <f t="shared" si="71"/>
        <v>0</v>
      </c>
      <c r="V920" s="4" t="str">
        <f t="shared" si="72"/>
        <v>0</v>
      </c>
      <c r="W920" s="4" t="str">
        <f t="shared" si="73"/>
        <v>6</v>
      </c>
      <c r="X920" s="4" t="str">
        <f t="shared" si="74"/>
        <v>0NON-HS6</v>
      </c>
      <c r="Y920">
        <f>VLOOKUP(X920,Sheet1!$J$5:$K$121,2,FALSE)</f>
        <v>0</v>
      </c>
    </row>
    <row r="921" spans="1:25" x14ac:dyDescent="0.25">
      <c r="A921" s="8">
        <f>[1]Data!A921</f>
        <v>541802</v>
      </c>
      <c r="B921" s="8">
        <f>[1]Data!B921</f>
        <v>6</v>
      </c>
      <c r="C921" s="8">
        <f>[1]Data!C921</f>
        <v>0</v>
      </c>
      <c r="D921" s="8">
        <f>[1]Data!D921</f>
        <v>2</v>
      </c>
      <c r="E921" s="8" t="str">
        <f>[1]Data!E921</f>
        <v>NON-HS</v>
      </c>
      <c r="F921" s="8" t="str">
        <f>[1]Data!F921</f>
        <v>Lynwood</v>
      </c>
      <c r="G921" s="8">
        <f>[1]Data!G921</f>
        <v>0</v>
      </c>
      <c r="H921" s="8">
        <f>[1]Data!H921</f>
        <v>0</v>
      </c>
      <c r="I921" s="8">
        <f>[1]Data!I921</f>
        <v>2.0950000000000002</v>
      </c>
      <c r="J921" s="8">
        <f>[1]Data!J921</f>
        <v>1.9836996600000001</v>
      </c>
      <c r="K921" s="8">
        <f>[1]Data!K921</f>
        <v>1.9836996600000001</v>
      </c>
      <c r="L921" s="8">
        <f>[1]Data!L921</f>
        <v>0.11117260138240601</v>
      </c>
      <c r="M921" s="8">
        <f>[1]Data!M921</f>
        <v>2.09487226138241</v>
      </c>
      <c r="N921" s="8">
        <f>[1]Data!N921</f>
        <v>2.34375E-2</v>
      </c>
      <c r="O921" s="8">
        <f>[1]Data!O921</f>
        <v>0</v>
      </c>
      <c r="P921" s="8">
        <f>[1]Data!P921</f>
        <v>0.375</v>
      </c>
      <c r="Q921" s="8">
        <f>[1]Data!Q921</f>
        <v>0</v>
      </c>
      <c r="R921" s="8">
        <f>[1]Data!R921</f>
        <v>0</v>
      </c>
      <c r="S921" s="8">
        <f>[1]Data!S921</f>
        <v>0</v>
      </c>
      <c r="T921">
        <f t="shared" si="70"/>
        <v>2.34375E-2</v>
      </c>
      <c r="U921">
        <f t="shared" si="71"/>
        <v>0</v>
      </c>
      <c r="V921" s="4" t="str">
        <f t="shared" si="72"/>
        <v>0</v>
      </c>
      <c r="W921" s="4" t="str">
        <f t="shared" si="73"/>
        <v>6</v>
      </c>
      <c r="X921" s="4" t="str">
        <f t="shared" si="74"/>
        <v>0NON-HS6</v>
      </c>
      <c r="Y921">
        <f>VLOOKUP(X921,Sheet1!$J$5:$K$121,2,FALSE)</f>
        <v>0</v>
      </c>
    </row>
    <row r="922" spans="1:25" x14ac:dyDescent="0.25">
      <c r="A922" s="8">
        <f>[1]Data!A922</f>
        <v>703100</v>
      </c>
      <c r="B922" s="8">
        <f>[1]Data!B922</f>
        <v>6</v>
      </c>
      <c r="C922" s="8">
        <f>[1]Data!C922</f>
        <v>0</v>
      </c>
      <c r="D922" s="8">
        <f>[1]Data!D922</f>
        <v>2</v>
      </c>
      <c r="E922" s="8" t="str">
        <f>[1]Data!E922</f>
        <v>NON-HS</v>
      </c>
      <c r="F922" s="8" t="str">
        <f>[1]Data!F922</f>
        <v>View Park-Windsor Hills</v>
      </c>
      <c r="G922" s="8">
        <f>[1]Data!G922</f>
        <v>0</v>
      </c>
      <c r="H922" s="8">
        <f>[1]Data!H922</f>
        <v>0</v>
      </c>
      <c r="I922" s="8">
        <f>[1]Data!I922</f>
        <v>9.5440000000000005</v>
      </c>
      <c r="J922" s="8">
        <f>[1]Data!J922</f>
        <v>8.6351794200000001</v>
      </c>
      <c r="K922" s="8">
        <f>[1]Data!K922</f>
        <v>8.6351794200000001</v>
      </c>
      <c r="L922" s="8">
        <f>[1]Data!L922</f>
        <v>0.90871203684021595</v>
      </c>
      <c r="M922" s="8">
        <f>[1]Data!M922</f>
        <v>9.5438914568402193</v>
      </c>
      <c r="N922" s="8">
        <f>[1]Data!N922</f>
        <v>2.34375E-2</v>
      </c>
      <c r="O922" s="8">
        <f>[1]Data!O922</f>
        <v>0</v>
      </c>
      <c r="P922" s="8">
        <f>[1]Data!P922</f>
        <v>0.375</v>
      </c>
      <c r="Q922" s="8">
        <f>[1]Data!Q922</f>
        <v>0</v>
      </c>
      <c r="R922" s="8">
        <f>[1]Data!R922</f>
        <v>0</v>
      </c>
      <c r="S922" s="8">
        <f>[1]Data!S922</f>
        <v>0</v>
      </c>
      <c r="T922">
        <f t="shared" si="70"/>
        <v>2.34375E-2</v>
      </c>
      <c r="U922">
        <f t="shared" si="71"/>
        <v>0</v>
      </c>
      <c r="V922" s="4" t="str">
        <f t="shared" si="72"/>
        <v>0</v>
      </c>
      <c r="W922" s="4" t="str">
        <f t="shared" si="73"/>
        <v>6</v>
      </c>
      <c r="X922" s="4" t="str">
        <f t="shared" si="74"/>
        <v>0NON-HS6</v>
      </c>
      <c r="Y922">
        <f>VLOOKUP(X922,Sheet1!$J$5:$K$121,2,FALSE)</f>
        <v>0</v>
      </c>
    </row>
    <row r="923" spans="1:25" x14ac:dyDescent="0.25">
      <c r="A923" s="8">
        <f>[1]Data!A923</f>
        <v>543100</v>
      </c>
      <c r="B923" s="8">
        <f>[1]Data!B923</f>
        <v>6</v>
      </c>
      <c r="C923" s="8">
        <f>[1]Data!C923</f>
        <v>0</v>
      </c>
      <c r="D923" s="8">
        <f>[1]Data!D923</f>
        <v>2</v>
      </c>
      <c r="E923" s="8" t="str">
        <f>[1]Data!E923</f>
        <v>NON-HS</v>
      </c>
      <c r="F923" s="8" t="str">
        <f>[1]Data!F923</f>
        <v>Compton</v>
      </c>
      <c r="G923" s="8">
        <f>[1]Data!G923</f>
        <v>0</v>
      </c>
      <c r="H923" s="8">
        <f>[1]Data!H923</f>
        <v>0</v>
      </c>
      <c r="I923" s="8">
        <f>[1]Data!I923</f>
        <v>3</v>
      </c>
      <c r="J923" s="8">
        <f>[1]Data!J923</f>
        <v>0</v>
      </c>
      <c r="K923" s="8">
        <f>[1]Data!K923</f>
        <v>3</v>
      </c>
      <c r="L923" s="8">
        <f>[1]Data!L923</f>
        <v>0</v>
      </c>
      <c r="M923" s="8">
        <f>[1]Data!M923</f>
        <v>3</v>
      </c>
      <c r="N923" s="8">
        <f>[1]Data!N923</f>
        <v>2.34375E-2</v>
      </c>
      <c r="O923" s="8">
        <f>[1]Data!O923</f>
        <v>0</v>
      </c>
      <c r="P923" s="8">
        <f>[1]Data!P923</f>
        <v>0.375</v>
      </c>
      <c r="Q923" s="8">
        <f>[1]Data!Q923</f>
        <v>0</v>
      </c>
      <c r="R923" s="8">
        <f>[1]Data!R923</f>
        <v>0</v>
      </c>
      <c r="S923" s="8">
        <f>[1]Data!S923</f>
        <v>0</v>
      </c>
      <c r="T923">
        <f t="shared" si="70"/>
        <v>2.34375E-2</v>
      </c>
      <c r="U923">
        <f t="shared" si="71"/>
        <v>0</v>
      </c>
      <c r="V923" s="4" t="str">
        <f t="shared" si="72"/>
        <v>0</v>
      </c>
      <c r="W923" s="4" t="str">
        <f t="shared" si="73"/>
        <v>6</v>
      </c>
      <c r="X923" s="4" t="str">
        <f t="shared" si="74"/>
        <v>0NON-HS6</v>
      </c>
      <c r="Y923">
        <f>VLOOKUP(X923,Sheet1!$J$5:$K$121,2,FALSE)</f>
        <v>0</v>
      </c>
    </row>
    <row r="924" spans="1:25" x14ac:dyDescent="0.25">
      <c r="A924" s="8">
        <f>[1]Data!A924</f>
        <v>541500</v>
      </c>
      <c r="B924" s="8">
        <f>[1]Data!B924</f>
        <v>6</v>
      </c>
      <c r="C924" s="8">
        <f>[1]Data!C924</f>
        <v>0</v>
      </c>
      <c r="D924" s="8">
        <f>[1]Data!D924</f>
        <v>2</v>
      </c>
      <c r="E924" s="8" t="str">
        <f>[1]Data!E924</f>
        <v>NON-HS</v>
      </c>
      <c r="F924" s="8" t="str">
        <f>[1]Data!F924</f>
        <v>Willowbrook</v>
      </c>
      <c r="G924" s="8">
        <f>[1]Data!G924</f>
        <v>0</v>
      </c>
      <c r="H924" s="8">
        <f>[1]Data!H924</f>
        <v>0</v>
      </c>
      <c r="I924" s="8">
        <f>[1]Data!I924</f>
        <v>15.038</v>
      </c>
      <c r="J924" s="8">
        <f>[1]Data!J924</f>
        <v>13.79120782</v>
      </c>
      <c r="K924" s="8">
        <f>[1]Data!K924</f>
        <v>13.79120782</v>
      </c>
      <c r="L924" s="8">
        <f>[1]Data!L924</f>
        <v>1.2463221546499099</v>
      </c>
      <c r="M924" s="8">
        <f>[1]Data!M924</f>
        <v>15.0375299746499</v>
      </c>
      <c r="N924" s="8">
        <f>[1]Data!N924</f>
        <v>2.34375E-2</v>
      </c>
      <c r="O924" s="8">
        <f>[1]Data!O924</f>
        <v>0</v>
      </c>
      <c r="P924" s="8">
        <f>[1]Data!P924</f>
        <v>0.375</v>
      </c>
      <c r="Q924" s="8">
        <f>[1]Data!Q924</f>
        <v>0</v>
      </c>
      <c r="R924" s="8">
        <f>[1]Data!R924</f>
        <v>0</v>
      </c>
      <c r="S924" s="8">
        <f>[1]Data!S924</f>
        <v>0</v>
      </c>
      <c r="T924">
        <f t="shared" si="70"/>
        <v>2.34375E-2</v>
      </c>
      <c r="U924">
        <f t="shared" si="71"/>
        <v>0</v>
      </c>
      <c r="V924" s="4" t="str">
        <f t="shared" si="72"/>
        <v>0</v>
      </c>
      <c r="W924" s="4" t="str">
        <f t="shared" si="73"/>
        <v>6</v>
      </c>
      <c r="X924" s="4" t="str">
        <f t="shared" si="74"/>
        <v>0NON-HS6</v>
      </c>
      <c r="Y924">
        <f>VLOOKUP(X924,Sheet1!$J$5:$K$121,2,FALSE)</f>
        <v>0</v>
      </c>
    </row>
    <row r="925" spans="1:25" x14ac:dyDescent="0.25">
      <c r="A925" s="8">
        <f>[1]Data!A925</f>
        <v>540501</v>
      </c>
      <c r="B925" s="8">
        <f>[1]Data!B925</f>
        <v>6</v>
      </c>
      <c r="C925" s="8">
        <f>[1]Data!C925</f>
        <v>0</v>
      </c>
      <c r="D925" s="8">
        <f>[1]Data!D925</f>
        <v>2</v>
      </c>
      <c r="E925" s="8" t="str">
        <f>[1]Data!E925</f>
        <v>NON-HS</v>
      </c>
      <c r="F925" s="8" t="str">
        <f>[1]Data!F925</f>
        <v>Lynwood</v>
      </c>
      <c r="G925" s="8">
        <f>[1]Data!G925</f>
        <v>0</v>
      </c>
      <c r="H925" s="8">
        <f>[1]Data!H925</f>
        <v>0</v>
      </c>
      <c r="I925" s="8">
        <f>[1]Data!I925</f>
        <v>12.702</v>
      </c>
      <c r="J925" s="8">
        <f>[1]Data!J925</f>
        <v>7.6195197600000002</v>
      </c>
      <c r="K925" s="8">
        <f>[1]Data!K925</f>
        <v>12.619519759999999</v>
      </c>
      <c r="L925" s="8">
        <f>[1]Data!L925</f>
        <v>8.2501288330341094E-2</v>
      </c>
      <c r="M925" s="8">
        <f>[1]Data!M925</f>
        <v>12.7020210483303</v>
      </c>
      <c r="N925" s="8">
        <f>[1]Data!N925</f>
        <v>2.34375E-2</v>
      </c>
      <c r="O925" s="8">
        <f>[1]Data!O925</f>
        <v>0</v>
      </c>
      <c r="P925" s="8">
        <f>[1]Data!P925</f>
        <v>0.375</v>
      </c>
      <c r="Q925" s="8">
        <f>[1]Data!Q925</f>
        <v>0</v>
      </c>
      <c r="R925" s="8">
        <f>[1]Data!R925</f>
        <v>0</v>
      </c>
      <c r="S925" s="8">
        <f>[1]Data!S925</f>
        <v>0</v>
      </c>
      <c r="T925">
        <f t="shared" si="70"/>
        <v>2.34375E-2</v>
      </c>
      <c r="U925">
        <f t="shared" si="71"/>
        <v>0</v>
      </c>
      <c r="V925" s="4" t="str">
        <f t="shared" si="72"/>
        <v>0</v>
      </c>
      <c r="W925" s="4" t="str">
        <f t="shared" si="73"/>
        <v>6</v>
      </c>
      <c r="X925" s="4" t="str">
        <f t="shared" si="74"/>
        <v>0NON-HS6</v>
      </c>
      <c r="Y925">
        <f>VLOOKUP(X925,Sheet1!$J$5:$K$121,2,FALSE)</f>
        <v>0</v>
      </c>
    </row>
    <row r="926" spans="1:25" x14ac:dyDescent="0.25">
      <c r="A926" s="8">
        <f>[1]Data!A926</f>
        <v>543201</v>
      </c>
      <c r="B926" s="8">
        <f>[1]Data!B926</f>
        <v>6</v>
      </c>
      <c r="C926" s="8">
        <f>[1]Data!C926</f>
        <v>0</v>
      </c>
      <c r="D926" s="8">
        <f>[1]Data!D926</f>
        <v>2</v>
      </c>
      <c r="E926" s="8" t="str">
        <f>[1]Data!E926</f>
        <v>NON-HS</v>
      </c>
      <c r="F926" s="8" t="str">
        <f>[1]Data!F926</f>
        <v>Compton</v>
      </c>
      <c r="G926" s="8">
        <f>[1]Data!G926</f>
        <v>0</v>
      </c>
      <c r="H926" s="8">
        <f>[1]Data!H926</f>
        <v>0</v>
      </c>
      <c r="I926" s="8">
        <f>[1]Data!I926</f>
        <v>18.815999999999999</v>
      </c>
      <c r="J926" s="8">
        <f>[1]Data!J926</f>
        <v>13.25410237</v>
      </c>
      <c r="K926" s="8">
        <f>[1]Data!K926</f>
        <v>18.254102369999998</v>
      </c>
      <c r="L926" s="8">
        <f>[1]Data!L926</f>
        <v>0.56179316965888704</v>
      </c>
      <c r="M926" s="8">
        <f>[1]Data!M926</f>
        <v>18.8158955396589</v>
      </c>
      <c r="N926" s="8">
        <f>[1]Data!N926</f>
        <v>2.34375E-2</v>
      </c>
      <c r="O926" s="8">
        <f>[1]Data!O926</f>
        <v>0</v>
      </c>
      <c r="P926" s="8">
        <f>[1]Data!P926</f>
        <v>0.375</v>
      </c>
      <c r="Q926" s="8">
        <f>[1]Data!Q926</f>
        <v>0</v>
      </c>
      <c r="R926" s="8">
        <f>[1]Data!R926</f>
        <v>0</v>
      </c>
      <c r="S926" s="8">
        <f>[1]Data!S926</f>
        <v>0</v>
      </c>
      <c r="T926">
        <f t="shared" si="70"/>
        <v>2.34375E-2</v>
      </c>
      <c r="U926">
        <f t="shared" si="71"/>
        <v>0</v>
      </c>
      <c r="V926" s="4" t="str">
        <f t="shared" si="72"/>
        <v>0</v>
      </c>
      <c r="W926" s="4" t="str">
        <f t="shared" si="73"/>
        <v>6</v>
      </c>
      <c r="X926" s="4" t="str">
        <f t="shared" si="74"/>
        <v>0NON-HS6</v>
      </c>
      <c r="Y926">
        <f>VLOOKUP(X926,Sheet1!$J$5:$K$121,2,FALSE)</f>
        <v>0</v>
      </c>
    </row>
    <row r="927" spans="1:25" x14ac:dyDescent="0.25">
      <c r="A927" s="8">
        <f>[1]Data!A927</f>
        <v>482522</v>
      </c>
      <c r="B927" s="8">
        <f>[1]Data!B927</f>
        <v>7</v>
      </c>
      <c r="C927" s="8">
        <f>[1]Data!C927</f>
        <v>0</v>
      </c>
      <c r="D927" s="8">
        <f>[1]Data!D927</f>
        <v>1</v>
      </c>
      <c r="E927" s="8" t="str">
        <f>[1]Data!E927</f>
        <v>NON-HS</v>
      </c>
      <c r="F927" s="8" t="str">
        <f>[1]Data!F927</f>
        <v>Montebello</v>
      </c>
      <c r="G927" s="8">
        <f>[1]Data!G927</f>
        <v>1</v>
      </c>
      <c r="H927" s="8">
        <f>[1]Data!H927</f>
        <v>1</v>
      </c>
      <c r="I927" s="8">
        <f>[1]Data!I927</f>
        <v>9.6140000000000008</v>
      </c>
      <c r="J927" s="8">
        <f>[1]Data!J927</f>
        <v>9.1667958299999999</v>
      </c>
      <c r="K927" s="8">
        <f>[1]Data!K927</f>
        <v>9.1667958299999999</v>
      </c>
      <c r="L927" s="8">
        <f>[1]Data!L927</f>
        <v>0.447301733626571</v>
      </c>
      <c r="M927" s="8">
        <f>[1]Data!M927</f>
        <v>9.6140975636265704</v>
      </c>
      <c r="N927" s="8">
        <f>[1]Data!N927</f>
        <v>4.5454545454545497E-2</v>
      </c>
      <c r="O927" s="8">
        <f>[1]Data!O927</f>
        <v>22</v>
      </c>
      <c r="P927" s="8">
        <f>[1]Data!P927</f>
        <v>1</v>
      </c>
      <c r="Q927" s="8">
        <f>[1]Data!Q927</f>
        <v>0</v>
      </c>
      <c r="R927" s="8">
        <f>[1]Data!R927</f>
        <v>0</v>
      </c>
      <c r="S927" s="8">
        <f>[1]Data!S927</f>
        <v>0</v>
      </c>
      <c r="T927">
        <f t="shared" si="70"/>
        <v>4.5454545454545497E-2</v>
      </c>
      <c r="U927">
        <f t="shared" si="71"/>
        <v>21.999999999999979</v>
      </c>
      <c r="V927" s="4" t="str">
        <f t="shared" si="72"/>
        <v>0</v>
      </c>
      <c r="W927" s="4" t="str">
        <f t="shared" si="73"/>
        <v>7</v>
      </c>
      <c r="X927" s="4" t="str">
        <f t="shared" si="74"/>
        <v>0NON-HS7</v>
      </c>
      <c r="Y927">
        <f>VLOOKUP(X927,Sheet1!$J$5:$K$121,2,FALSE)</f>
        <v>0</v>
      </c>
    </row>
    <row r="928" spans="1:25" x14ac:dyDescent="0.25">
      <c r="A928" s="8">
        <f>[1]Data!A928</f>
        <v>500100</v>
      </c>
      <c r="B928" s="8">
        <f>[1]Data!B928</f>
        <v>7</v>
      </c>
      <c r="C928" s="8">
        <f>[1]Data!C928</f>
        <v>0</v>
      </c>
      <c r="D928" s="8">
        <f>[1]Data!D928</f>
        <v>4</v>
      </c>
      <c r="E928" s="8" t="str">
        <f>[1]Data!E928</f>
        <v>NON-HS</v>
      </c>
      <c r="F928" s="8" t="str">
        <f>[1]Data!F928</f>
        <v>La Habra Heights</v>
      </c>
      <c r="G928" s="8">
        <f>[1]Data!G928</f>
        <v>0</v>
      </c>
      <c r="H928" s="8">
        <f>[1]Data!H928</f>
        <v>0</v>
      </c>
      <c r="I928" s="8">
        <f>[1]Data!I928</f>
        <v>0</v>
      </c>
      <c r="J928" s="8">
        <f>[1]Data!J928</f>
        <v>0</v>
      </c>
      <c r="K928" s="8">
        <f>[1]Data!K928</f>
        <v>0</v>
      </c>
      <c r="L928" s="8">
        <f>[1]Data!L928</f>
        <v>0</v>
      </c>
      <c r="M928" s="8">
        <f>[1]Data!M928</f>
        <v>0</v>
      </c>
      <c r="N928" s="8">
        <f>[1]Data!N928</f>
        <v>4.5454545454545497E-2</v>
      </c>
      <c r="O928" s="8">
        <f>[1]Data!O928</f>
        <v>0</v>
      </c>
      <c r="P928" s="8">
        <f>[1]Data!P928</f>
        <v>1</v>
      </c>
      <c r="Q928" s="8">
        <f>[1]Data!Q928</f>
        <v>0</v>
      </c>
      <c r="R928" s="8">
        <f>[1]Data!R928</f>
        <v>0</v>
      </c>
      <c r="S928" s="8">
        <f>[1]Data!S928</f>
        <v>0</v>
      </c>
      <c r="T928">
        <f t="shared" si="70"/>
        <v>4.5454545454545497E-2</v>
      </c>
      <c r="U928">
        <f t="shared" si="71"/>
        <v>0</v>
      </c>
      <c r="V928" s="4" t="str">
        <f t="shared" si="72"/>
        <v>0</v>
      </c>
      <c r="W928" s="4" t="str">
        <f t="shared" si="73"/>
        <v>7</v>
      </c>
      <c r="X928" s="4" t="str">
        <f t="shared" si="74"/>
        <v>0NON-HS7</v>
      </c>
      <c r="Y928">
        <f>VLOOKUP(X928,Sheet1!$J$5:$K$121,2,FALSE)</f>
        <v>0</v>
      </c>
    </row>
    <row r="929" spans="1:25" x14ac:dyDescent="0.25">
      <c r="A929" s="8">
        <f>[1]Data!A929</f>
        <v>500201</v>
      </c>
      <c r="B929" s="8">
        <f>[1]Data!B929</f>
        <v>7</v>
      </c>
      <c r="C929" s="8">
        <f>[1]Data!C929</f>
        <v>0</v>
      </c>
      <c r="D929" s="8">
        <f>[1]Data!D929</f>
        <v>4</v>
      </c>
      <c r="E929" s="8" t="str">
        <f>[1]Data!E929</f>
        <v>NON-HS</v>
      </c>
      <c r="F929" s="8" t="str">
        <f>[1]Data!F929</f>
        <v>La Habra Heights</v>
      </c>
      <c r="G929" s="8">
        <f>[1]Data!G929</f>
        <v>0</v>
      </c>
      <c r="H929" s="8">
        <f>[1]Data!H929</f>
        <v>0</v>
      </c>
      <c r="I929" s="8">
        <f>[1]Data!I929</f>
        <v>2</v>
      </c>
      <c r="J929" s="8">
        <f>[1]Data!J929</f>
        <v>0</v>
      </c>
      <c r="K929" s="8">
        <f>[1]Data!K929</f>
        <v>2</v>
      </c>
      <c r="L929" s="8">
        <f>[1]Data!L929</f>
        <v>0</v>
      </c>
      <c r="M929" s="8">
        <f>[1]Data!M929</f>
        <v>2</v>
      </c>
      <c r="N929" s="8">
        <f>[1]Data!N929</f>
        <v>4.5454545454545497E-2</v>
      </c>
      <c r="O929" s="8">
        <f>[1]Data!O929</f>
        <v>0</v>
      </c>
      <c r="P929" s="8">
        <f>[1]Data!P929</f>
        <v>1</v>
      </c>
      <c r="Q929" s="8">
        <f>[1]Data!Q929</f>
        <v>0</v>
      </c>
      <c r="R929" s="8">
        <f>[1]Data!R929</f>
        <v>0</v>
      </c>
      <c r="S929" s="8">
        <f>[1]Data!S929</f>
        <v>0</v>
      </c>
      <c r="T929">
        <f t="shared" si="70"/>
        <v>4.5454545454545497E-2</v>
      </c>
      <c r="U929">
        <f t="shared" si="71"/>
        <v>0</v>
      </c>
      <c r="V929" s="4" t="str">
        <f t="shared" si="72"/>
        <v>0</v>
      </c>
      <c r="W929" s="4" t="str">
        <f t="shared" si="73"/>
        <v>7</v>
      </c>
      <c r="X929" s="4" t="str">
        <f t="shared" si="74"/>
        <v>0NON-HS7</v>
      </c>
      <c r="Y929">
        <f>VLOOKUP(X929,Sheet1!$J$5:$K$121,2,FALSE)</f>
        <v>0</v>
      </c>
    </row>
    <row r="930" spans="1:25" x14ac:dyDescent="0.25">
      <c r="A930" s="8">
        <f>[1]Data!A930</f>
        <v>500800</v>
      </c>
      <c r="B930" s="8">
        <f>[1]Data!B930</f>
        <v>7</v>
      </c>
      <c r="C930" s="8">
        <f>[1]Data!C930</f>
        <v>0</v>
      </c>
      <c r="D930" s="8">
        <f>[1]Data!D930</f>
        <v>1</v>
      </c>
      <c r="E930" s="8" t="str">
        <f>[1]Data!E930</f>
        <v>NON-HS</v>
      </c>
      <c r="F930" s="8" t="str">
        <f>[1]Data!F930</f>
        <v>Pico Rivera</v>
      </c>
      <c r="G930" s="8">
        <f>[1]Data!G930</f>
        <v>0</v>
      </c>
      <c r="H930" s="8">
        <f>[1]Data!H930</f>
        <v>0</v>
      </c>
      <c r="I930" s="8">
        <f>[1]Data!I930</f>
        <v>3.5910000000000002</v>
      </c>
      <c r="J930" s="8">
        <f>[1]Data!J930</f>
        <v>1.43919657</v>
      </c>
      <c r="K930" s="8">
        <f>[1]Data!K930</f>
        <v>3.43919657</v>
      </c>
      <c r="L930" s="8">
        <f>[1]Data!L930</f>
        <v>0.15145200614003601</v>
      </c>
      <c r="M930" s="8">
        <f>[1]Data!M930</f>
        <v>3.59064857614004</v>
      </c>
      <c r="N930" s="8">
        <f>[1]Data!N930</f>
        <v>4.5454545454545497E-2</v>
      </c>
      <c r="O930" s="8">
        <f>[1]Data!O930</f>
        <v>0</v>
      </c>
      <c r="P930" s="8">
        <f>[1]Data!P930</f>
        <v>1</v>
      </c>
      <c r="Q930" s="8">
        <f>[1]Data!Q930</f>
        <v>0</v>
      </c>
      <c r="R930" s="8">
        <f>[1]Data!R930</f>
        <v>0</v>
      </c>
      <c r="S930" s="8">
        <f>[1]Data!S930</f>
        <v>0</v>
      </c>
      <c r="T930">
        <f t="shared" si="70"/>
        <v>4.5454545454545497E-2</v>
      </c>
      <c r="U930">
        <f t="shared" si="71"/>
        <v>0</v>
      </c>
      <c r="V930" s="4" t="str">
        <f t="shared" si="72"/>
        <v>0</v>
      </c>
      <c r="W930" s="4" t="str">
        <f t="shared" si="73"/>
        <v>7</v>
      </c>
      <c r="X930" s="4" t="str">
        <f t="shared" si="74"/>
        <v>0NON-HS7</v>
      </c>
      <c r="Y930">
        <f>VLOOKUP(X930,Sheet1!$J$5:$K$121,2,FALSE)</f>
        <v>0</v>
      </c>
    </row>
    <row r="931" spans="1:25" x14ac:dyDescent="0.25">
      <c r="A931" s="8">
        <f>[1]Data!A931</f>
        <v>501001</v>
      </c>
      <c r="B931" s="8">
        <f>[1]Data!B931</f>
        <v>7</v>
      </c>
      <c r="C931" s="8">
        <f>[1]Data!C931</f>
        <v>0</v>
      </c>
      <c r="D931" s="8">
        <f>[1]Data!D931</f>
        <v>4</v>
      </c>
      <c r="E931" s="8" t="str">
        <f>[1]Data!E931</f>
        <v>NON-HS</v>
      </c>
      <c r="F931" s="8" t="str">
        <f>[1]Data!F931</f>
        <v>West Whittier</v>
      </c>
      <c r="G931" s="8">
        <f>[1]Data!G931</f>
        <v>1</v>
      </c>
      <c r="H931" s="8">
        <f>[1]Data!H931</f>
        <v>1</v>
      </c>
      <c r="I931" s="8">
        <f>[1]Data!I931</f>
        <v>2.9260000000000002</v>
      </c>
      <c r="J931" s="8">
        <f>[1]Data!J931</f>
        <v>1.90487994</v>
      </c>
      <c r="K931" s="8">
        <f>[1]Data!K931</f>
        <v>2.9048799399999998</v>
      </c>
      <c r="L931" s="8">
        <f>[1]Data!L931</f>
        <v>2.0625322082585301E-2</v>
      </c>
      <c r="M931" s="8">
        <f>[1]Data!M931</f>
        <v>2.9255052620825901</v>
      </c>
      <c r="N931" s="8">
        <f>[1]Data!N931</f>
        <v>4.5454545454545497E-2</v>
      </c>
      <c r="O931" s="8">
        <f>[1]Data!O931</f>
        <v>22</v>
      </c>
      <c r="P931" s="8">
        <f>[1]Data!P931</f>
        <v>1</v>
      </c>
      <c r="Q931" s="8">
        <f>[1]Data!Q931</f>
        <v>0</v>
      </c>
      <c r="R931" s="8">
        <f>[1]Data!R931</f>
        <v>0</v>
      </c>
      <c r="S931" s="8">
        <f>[1]Data!S931</f>
        <v>0</v>
      </c>
      <c r="T931">
        <f t="shared" si="70"/>
        <v>4.5454545454545497E-2</v>
      </c>
      <c r="U931">
        <f t="shared" si="71"/>
        <v>21.999999999999979</v>
      </c>
      <c r="V931" s="4" t="str">
        <f t="shared" si="72"/>
        <v>0</v>
      </c>
      <c r="W931" s="4" t="str">
        <f t="shared" si="73"/>
        <v>7</v>
      </c>
      <c r="X931" s="4" t="str">
        <f t="shared" si="74"/>
        <v>0NON-HS7</v>
      </c>
      <c r="Y931">
        <f>VLOOKUP(X931,Sheet1!$J$5:$K$121,2,FALSE)</f>
        <v>0</v>
      </c>
    </row>
    <row r="932" spans="1:25" x14ac:dyDescent="0.25">
      <c r="A932" s="8">
        <f>[1]Data!A932</f>
        <v>501200</v>
      </c>
      <c r="B932" s="8">
        <f>[1]Data!B932</f>
        <v>7</v>
      </c>
      <c r="C932" s="8">
        <f>[1]Data!C932</f>
        <v>0</v>
      </c>
      <c r="D932" s="8">
        <f>[1]Data!D932</f>
        <v>4</v>
      </c>
      <c r="E932" s="8" t="str">
        <f>[1]Data!E932</f>
        <v>NON-HS</v>
      </c>
      <c r="F932" s="8" t="str">
        <f>[1]Data!F932</f>
        <v>Whittier</v>
      </c>
      <c r="G932" s="8">
        <f>[1]Data!G932</f>
        <v>0</v>
      </c>
      <c r="H932" s="8">
        <f>[1]Data!H932</f>
        <v>0</v>
      </c>
      <c r="I932" s="8">
        <f>[1]Data!I932</f>
        <v>2</v>
      </c>
      <c r="J932" s="8">
        <f>[1]Data!J932</f>
        <v>0</v>
      </c>
      <c r="K932" s="8">
        <f>[1]Data!K932</f>
        <v>2</v>
      </c>
      <c r="L932" s="8">
        <f>[1]Data!L932</f>
        <v>0</v>
      </c>
      <c r="M932" s="8">
        <f>[1]Data!M932</f>
        <v>2</v>
      </c>
      <c r="N932" s="8">
        <f>[1]Data!N932</f>
        <v>4.5454545454545497E-2</v>
      </c>
      <c r="O932" s="8">
        <f>[1]Data!O932</f>
        <v>0</v>
      </c>
      <c r="P932" s="8">
        <f>[1]Data!P932</f>
        <v>1</v>
      </c>
      <c r="Q932" s="8">
        <f>[1]Data!Q932</f>
        <v>0</v>
      </c>
      <c r="R932" s="8">
        <f>[1]Data!R932</f>
        <v>0</v>
      </c>
      <c r="S932" s="8">
        <f>[1]Data!S932</f>
        <v>0</v>
      </c>
      <c r="T932">
        <f t="shared" si="70"/>
        <v>4.5454545454545497E-2</v>
      </c>
      <c r="U932">
        <f t="shared" si="71"/>
        <v>0</v>
      </c>
      <c r="V932" s="4" t="str">
        <f t="shared" si="72"/>
        <v>0</v>
      </c>
      <c r="W932" s="4" t="str">
        <f t="shared" si="73"/>
        <v>7</v>
      </c>
      <c r="X932" s="4" t="str">
        <f t="shared" si="74"/>
        <v>0NON-HS7</v>
      </c>
      <c r="Y932">
        <f>VLOOKUP(X932,Sheet1!$J$5:$K$121,2,FALSE)</f>
        <v>0</v>
      </c>
    </row>
    <row r="933" spans="1:25" x14ac:dyDescent="0.25">
      <c r="A933" s="8">
        <f>[1]Data!A933</f>
        <v>501501</v>
      </c>
      <c r="B933" s="8">
        <f>[1]Data!B933</f>
        <v>7</v>
      </c>
      <c r="C933" s="8">
        <f>[1]Data!C933</f>
        <v>0</v>
      </c>
      <c r="D933" s="8">
        <f>[1]Data!D933</f>
        <v>4</v>
      </c>
      <c r="E933" s="8" t="str">
        <f>[1]Data!E933</f>
        <v>NON-HS</v>
      </c>
      <c r="F933" s="8" t="str">
        <f>[1]Data!F933</f>
        <v>Unincorporated Whittier</v>
      </c>
      <c r="G933" s="8">
        <f>[1]Data!G933</f>
        <v>0</v>
      </c>
      <c r="H933" s="8">
        <f>[1]Data!H933</f>
        <v>0</v>
      </c>
      <c r="I933" s="8">
        <f>[1]Data!I933</f>
        <v>1</v>
      </c>
      <c r="J933" s="8">
        <f>[1]Data!J933</f>
        <v>0</v>
      </c>
      <c r="K933" s="8">
        <f>[1]Data!K933</f>
        <v>1</v>
      </c>
      <c r="L933" s="8">
        <f>[1]Data!L933</f>
        <v>0</v>
      </c>
      <c r="M933" s="8">
        <f>[1]Data!M933</f>
        <v>1</v>
      </c>
      <c r="N933" s="8">
        <f>[1]Data!N933</f>
        <v>4.5454545454545497E-2</v>
      </c>
      <c r="O933" s="8">
        <f>[1]Data!O933</f>
        <v>0</v>
      </c>
      <c r="P933" s="8">
        <f>[1]Data!P933</f>
        <v>1</v>
      </c>
      <c r="Q933" s="8">
        <f>[1]Data!Q933</f>
        <v>0</v>
      </c>
      <c r="R933" s="8">
        <f>[1]Data!R933</f>
        <v>0</v>
      </c>
      <c r="S933" s="8">
        <f>[1]Data!S933</f>
        <v>0</v>
      </c>
      <c r="T933">
        <f t="shared" si="70"/>
        <v>4.5454545454545497E-2</v>
      </c>
      <c r="U933">
        <f t="shared" si="71"/>
        <v>0</v>
      </c>
      <c r="V933" s="4" t="str">
        <f t="shared" si="72"/>
        <v>0</v>
      </c>
      <c r="W933" s="4" t="str">
        <f t="shared" si="73"/>
        <v>7</v>
      </c>
      <c r="X933" s="4" t="str">
        <f t="shared" si="74"/>
        <v>0NON-HS7</v>
      </c>
      <c r="Y933">
        <f>VLOOKUP(X933,Sheet1!$J$5:$K$121,2,FALSE)</f>
        <v>0</v>
      </c>
    </row>
    <row r="934" spans="1:25" x14ac:dyDescent="0.25">
      <c r="A934" s="8">
        <f>[1]Data!A934</f>
        <v>501503</v>
      </c>
      <c r="B934" s="8">
        <f>[1]Data!B934</f>
        <v>7</v>
      </c>
      <c r="C934" s="8">
        <f>[1]Data!C934</f>
        <v>0</v>
      </c>
      <c r="D934" s="8">
        <f>[1]Data!D934</f>
        <v>4</v>
      </c>
      <c r="E934" s="8" t="str">
        <f>[1]Data!E934</f>
        <v>NON-HS</v>
      </c>
      <c r="F934" s="8" t="str">
        <f>[1]Data!F934</f>
        <v>Whittier</v>
      </c>
      <c r="G934" s="8">
        <f>[1]Data!G934</f>
        <v>0</v>
      </c>
      <c r="H934" s="8">
        <f>[1]Data!H934</f>
        <v>0</v>
      </c>
      <c r="I934" s="8">
        <f>[1]Data!I934</f>
        <v>6.19</v>
      </c>
      <c r="J934" s="8">
        <f>[1]Data!J934</f>
        <v>3.9673993200000002</v>
      </c>
      <c r="K934" s="8">
        <f>[1]Data!K934</f>
        <v>5.9673993200000002</v>
      </c>
      <c r="L934" s="8">
        <f>[1]Data!L934</f>
        <v>0.22234520276481101</v>
      </c>
      <c r="M934" s="8">
        <f>[1]Data!M934</f>
        <v>6.1897445227648102</v>
      </c>
      <c r="N934" s="8">
        <f>[1]Data!N934</f>
        <v>4.5454545454545497E-2</v>
      </c>
      <c r="O934" s="8">
        <f>[1]Data!O934</f>
        <v>0</v>
      </c>
      <c r="P934" s="8">
        <f>[1]Data!P934</f>
        <v>1</v>
      </c>
      <c r="Q934" s="8">
        <f>[1]Data!Q934</f>
        <v>0</v>
      </c>
      <c r="R934" s="8">
        <f>[1]Data!R934</f>
        <v>0</v>
      </c>
      <c r="S934" s="8">
        <f>[1]Data!S934</f>
        <v>0</v>
      </c>
      <c r="T934">
        <f t="shared" si="70"/>
        <v>4.5454545454545497E-2</v>
      </c>
      <c r="U934">
        <f t="shared" si="71"/>
        <v>0</v>
      </c>
      <c r="V934" s="4" t="str">
        <f t="shared" si="72"/>
        <v>0</v>
      </c>
      <c r="W934" s="4" t="str">
        <f t="shared" si="73"/>
        <v>7</v>
      </c>
      <c r="X934" s="4" t="str">
        <f t="shared" si="74"/>
        <v>0NON-HS7</v>
      </c>
      <c r="Y934">
        <f>VLOOKUP(X934,Sheet1!$J$5:$K$121,2,FALSE)</f>
        <v>0</v>
      </c>
    </row>
    <row r="935" spans="1:25" x14ac:dyDescent="0.25">
      <c r="A935" s="8">
        <f>[1]Data!A935</f>
        <v>501600</v>
      </c>
      <c r="B935" s="8">
        <f>[1]Data!B935</f>
        <v>7</v>
      </c>
      <c r="C935" s="8">
        <f>[1]Data!C935</f>
        <v>0</v>
      </c>
      <c r="D935" s="8">
        <f>[1]Data!D935</f>
        <v>4</v>
      </c>
      <c r="E935" s="8" t="str">
        <f>[1]Data!E935</f>
        <v>NON-HS</v>
      </c>
      <c r="F935" s="8" t="str">
        <f>[1]Data!F935</f>
        <v>Whittier</v>
      </c>
      <c r="G935" s="8">
        <f>[1]Data!G935</f>
        <v>0</v>
      </c>
      <c r="H935" s="8">
        <f>[1]Data!H935</f>
        <v>0</v>
      </c>
      <c r="I935" s="8">
        <f>[1]Data!I935</f>
        <v>0</v>
      </c>
      <c r="J935" s="8">
        <f>[1]Data!J935</f>
        <v>0</v>
      </c>
      <c r="K935" s="8">
        <f>[1]Data!K935</f>
        <v>0</v>
      </c>
      <c r="L935" s="8">
        <f>[1]Data!L935</f>
        <v>0</v>
      </c>
      <c r="M935" s="8">
        <f>[1]Data!M935</f>
        <v>0</v>
      </c>
      <c r="N935" s="8">
        <f>[1]Data!N935</f>
        <v>4.5454545454545497E-2</v>
      </c>
      <c r="O935" s="8">
        <f>[1]Data!O935</f>
        <v>0</v>
      </c>
      <c r="P935" s="8">
        <f>[1]Data!P935</f>
        <v>1</v>
      </c>
      <c r="Q935" s="8">
        <f>[1]Data!Q935</f>
        <v>0</v>
      </c>
      <c r="R935" s="8">
        <f>[1]Data!R935</f>
        <v>0</v>
      </c>
      <c r="S935" s="8">
        <f>[1]Data!S935</f>
        <v>0</v>
      </c>
      <c r="T935">
        <f t="shared" si="70"/>
        <v>4.5454545454545497E-2</v>
      </c>
      <c r="U935">
        <f t="shared" si="71"/>
        <v>0</v>
      </c>
      <c r="V935" s="4" t="str">
        <f t="shared" si="72"/>
        <v>0</v>
      </c>
      <c r="W935" s="4" t="str">
        <f t="shared" si="73"/>
        <v>7</v>
      </c>
      <c r="X935" s="4" t="str">
        <f t="shared" si="74"/>
        <v>0NON-HS7</v>
      </c>
      <c r="Y935">
        <f>VLOOKUP(X935,Sheet1!$J$5:$K$121,2,FALSE)</f>
        <v>0</v>
      </c>
    </row>
    <row r="936" spans="1:25" x14ac:dyDescent="0.25">
      <c r="A936" s="8">
        <f>[1]Data!A936</f>
        <v>501802</v>
      </c>
      <c r="B936" s="8">
        <f>[1]Data!B936</f>
        <v>7</v>
      </c>
      <c r="C936" s="8">
        <f>[1]Data!C936</f>
        <v>0</v>
      </c>
      <c r="D936" s="8">
        <f>[1]Data!D936</f>
        <v>4</v>
      </c>
      <c r="E936" s="8" t="str">
        <f>[1]Data!E936</f>
        <v>NON-HS</v>
      </c>
      <c r="F936" s="8" t="str">
        <f>[1]Data!F936</f>
        <v>Whittier</v>
      </c>
      <c r="G936" s="8">
        <f>[1]Data!G936</f>
        <v>0</v>
      </c>
      <c r="H936" s="8">
        <f>[1]Data!H936</f>
        <v>0</v>
      </c>
      <c r="I936" s="8">
        <f>[1]Data!I936</f>
        <v>1.8080000000000001</v>
      </c>
      <c r="J936" s="8">
        <f>[1]Data!J936</f>
        <v>1.73313217</v>
      </c>
      <c r="K936" s="8">
        <f>[1]Data!K936</f>
        <v>1.73313217</v>
      </c>
      <c r="L936" s="8">
        <f>[1]Data!L936</f>
        <v>7.4985510287253102E-2</v>
      </c>
      <c r="M936" s="8">
        <f>[1]Data!M936</f>
        <v>1.8081176802872501</v>
      </c>
      <c r="N936" s="8">
        <f>[1]Data!N936</f>
        <v>4.5454545454545497E-2</v>
      </c>
      <c r="O936" s="8">
        <f>[1]Data!O936</f>
        <v>0</v>
      </c>
      <c r="P936" s="8">
        <f>[1]Data!P936</f>
        <v>1</v>
      </c>
      <c r="Q936" s="8">
        <f>[1]Data!Q936</f>
        <v>0</v>
      </c>
      <c r="R936" s="8">
        <f>[1]Data!R936</f>
        <v>0</v>
      </c>
      <c r="S936" s="8">
        <f>[1]Data!S936</f>
        <v>0</v>
      </c>
      <c r="T936">
        <f t="shared" si="70"/>
        <v>4.5454545454545497E-2</v>
      </c>
      <c r="U936">
        <f t="shared" si="71"/>
        <v>0</v>
      </c>
      <c r="V936" s="4" t="str">
        <f t="shared" si="72"/>
        <v>0</v>
      </c>
      <c r="W936" s="4" t="str">
        <f t="shared" si="73"/>
        <v>7</v>
      </c>
      <c r="X936" s="4" t="str">
        <f t="shared" si="74"/>
        <v>0NON-HS7</v>
      </c>
      <c r="Y936">
        <f>VLOOKUP(X936,Sheet1!$J$5:$K$121,2,FALSE)</f>
        <v>0</v>
      </c>
    </row>
    <row r="937" spans="1:25" x14ac:dyDescent="0.25">
      <c r="A937" s="8">
        <f>[1]Data!A937</f>
        <v>502005</v>
      </c>
      <c r="B937" s="8">
        <f>[1]Data!B937</f>
        <v>7</v>
      </c>
      <c r="C937" s="8">
        <f>[1]Data!C937</f>
        <v>0</v>
      </c>
      <c r="D937" s="8">
        <f>[1]Data!D937</f>
        <v>4</v>
      </c>
      <c r="E937" s="8" t="str">
        <f>[1]Data!E937</f>
        <v>NON-HS</v>
      </c>
      <c r="F937" s="8" t="str">
        <f>[1]Data!F937</f>
        <v>South Whittier</v>
      </c>
      <c r="G937" s="8">
        <f>[1]Data!G937</f>
        <v>0</v>
      </c>
      <c r="H937" s="8">
        <f>[1]Data!H937</f>
        <v>0</v>
      </c>
      <c r="I937" s="8">
        <f>[1]Data!I937</f>
        <v>5.9459999999999997</v>
      </c>
      <c r="J937" s="8">
        <f>[1]Data!J937</f>
        <v>5.7934595399999997</v>
      </c>
      <c r="K937" s="8">
        <f>[1]Data!K937</f>
        <v>5.7934595399999997</v>
      </c>
      <c r="L937" s="8">
        <f>[1]Data!L937</f>
        <v>0.152423245547576</v>
      </c>
      <c r="M937" s="8">
        <f>[1]Data!M937</f>
        <v>5.94588278554758</v>
      </c>
      <c r="N937" s="8">
        <f>[1]Data!N937</f>
        <v>4.5454545454545497E-2</v>
      </c>
      <c r="O937" s="8">
        <f>[1]Data!O937</f>
        <v>0</v>
      </c>
      <c r="P937" s="8">
        <f>[1]Data!P937</f>
        <v>1</v>
      </c>
      <c r="Q937" s="8">
        <f>[1]Data!Q937</f>
        <v>0</v>
      </c>
      <c r="R937" s="8">
        <f>[1]Data!R937</f>
        <v>0</v>
      </c>
      <c r="S937" s="8">
        <f>[1]Data!S937</f>
        <v>0</v>
      </c>
      <c r="T937">
        <f t="shared" si="70"/>
        <v>4.5454545454545497E-2</v>
      </c>
      <c r="U937">
        <f t="shared" si="71"/>
        <v>0</v>
      </c>
      <c r="V937" s="4" t="str">
        <f t="shared" si="72"/>
        <v>0</v>
      </c>
      <c r="W937" s="4" t="str">
        <f t="shared" si="73"/>
        <v>7</v>
      </c>
      <c r="X937" s="4" t="str">
        <f t="shared" si="74"/>
        <v>0NON-HS7</v>
      </c>
      <c r="Y937">
        <f>VLOOKUP(X937,Sheet1!$J$5:$K$121,2,FALSE)</f>
        <v>0</v>
      </c>
    </row>
    <row r="938" spans="1:25" x14ac:dyDescent="0.25">
      <c r="A938" s="8">
        <f>[1]Data!A938</f>
        <v>571101</v>
      </c>
      <c r="B938" s="8">
        <f>[1]Data!B938</f>
        <v>7</v>
      </c>
      <c r="C938" s="8">
        <f>[1]Data!C938</f>
        <v>0</v>
      </c>
      <c r="D938" s="8">
        <f>[1]Data!D938</f>
        <v>4</v>
      </c>
      <c r="E938" s="8" t="str">
        <f>[1]Data!E938</f>
        <v>NON-HS</v>
      </c>
      <c r="F938" s="8" t="str">
        <f>[1]Data!F938</f>
        <v>Lakewood</v>
      </c>
      <c r="G938" s="8">
        <f>[1]Data!G938</f>
        <v>0</v>
      </c>
      <c r="H938" s="8">
        <f>[1]Data!H938</f>
        <v>0</v>
      </c>
      <c r="I938" s="8">
        <f>[1]Data!I938</f>
        <v>1</v>
      </c>
      <c r="J938" s="8">
        <f>[1]Data!J938</f>
        <v>0</v>
      </c>
      <c r="K938" s="8">
        <f>[1]Data!K938</f>
        <v>1</v>
      </c>
      <c r="L938" s="8">
        <f>[1]Data!L938</f>
        <v>0</v>
      </c>
      <c r="M938" s="8">
        <f>[1]Data!M938</f>
        <v>1</v>
      </c>
      <c r="N938" s="8">
        <f>[1]Data!N938</f>
        <v>4.5454545454545497E-2</v>
      </c>
      <c r="O938" s="8">
        <f>[1]Data!O938</f>
        <v>0</v>
      </c>
      <c r="P938" s="8">
        <f>[1]Data!P938</f>
        <v>1</v>
      </c>
      <c r="Q938" s="8">
        <f>[1]Data!Q938</f>
        <v>0</v>
      </c>
      <c r="R938" s="8">
        <f>[1]Data!R938</f>
        <v>0</v>
      </c>
      <c r="S938" s="8">
        <f>[1]Data!S938</f>
        <v>0</v>
      </c>
      <c r="T938">
        <f t="shared" si="70"/>
        <v>4.5454545454545497E-2</v>
      </c>
      <c r="U938">
        <f t="shared" si="71"/>
        <v>0</v>
      </c>
      <c r="V938" s="4" t="str">
        <f t="shared" si="72"/>
        <v>0</v>
      </c>
      <c r="W938" s="4" t="str">
        <f t="shared" si="73"/>
        <v>7</v>
      </c>
      <c r="X938" s="4" t="str">
        <f t="shared" si="74"/>
        <v>0NON-HS7</v>
      </c>
      <c r="Y938">
        <f>VLOOKUP(X938,Sheet1!$J$5:$K$121,2,FALSE)</f>
        <v>0</v>
      </c>
    </row>
    <row r="939" spans="1:25" x14ac:dyDescent="0.25">
      <c r="A939" s="8">
        <f>[1]Data!A939</f>
        <v>502402</v>
      </c>
      <c r="B939" s="8">
        <f>[1]Data!B939</f>
        <v>7</v>
      </c>
      <c r="C939" s="8">
        <f>[1]Data!C939</f>
        <v>0</v>
      </c>
      <c r="D939" s="8">
        <f>[1]Data!D939</f>
        <v>1</v>
      </c>
      <c r="E939" s="8" t="str">
        <f>[1]Data!E939</f>
        <v>NON-HS</v>
      </c>
      <c r="F939" s="8" t="str">
        <f>[1]Data!F939</f>
        <v>Pico Rivera</v>
      </c>
      <c r="G939" s="8">
        <f>[1]Data!G939</f>
        <v>0</v>
      </c>
      <c r="H939" s="8">
        <f>[1]Data!H939</f>
        <v>0</v>
      </c>
      <c r="I939" s="8">
        <f>[1]Data!I939</f>
        <v>0</v>
      </c>
      <c r="J939" s="8">
        <f>[1]Data!J939</f>
        <v>0</v>
      </c>
      <c r="K939" s="8">
        <f>[1]Data!K939</f>
        <v>0</v>
      </c>
      <c r="L939" s="8">
        <f>[1]Data!L939</f>
        <v>0</v>
      </c>
      <c r="M939" s="8">
        <f>[1]Data!M939</f>
        <v>0</v>
      </c>
      <c r="N939" s="8">
        <f>[1]Data!N939</f>
        <v>4.5454545454545497E-2</v>
      </c>
      <c r="O939" s="8">
        <f>[1]Data!O939</f>
        <v>0</v>
      </c>
      <c r="P939" s="8">
        <f>[1]Data!P939</f>
        <v>1</v>
      </c>
      <c r="Q939" s="8">
        <f>[1]Data!Q939</f>
        <v>0</v>
      </c>
      <c r="R939" s="8">
        <f>[1]Data!R939</f>
        <v>0</v>
      </c>
      <c r="S939" s="8">
        <f>[1]Data!S939</f>
        <v>0</v>
      </c>
      <c r="T939">
        <f t="shared" si="70"/>
        <v>4.5454545454545497E-2</v>
      </c>
      <c r="U939">
        <f t="shared" si="71"/>
        <v>0</v>
      </c>
      <c r="V939" s="4" t="str">
        <f t="shared" si="72"/>
        <v>0</v>
      </c>
      <c r="W939" s="4" t="str">
        <f t="shared" si="73"/>
        <v>7</v>
      </c>
      <c r="X939" s="4" t="str">
        <f t="shared" si="74"/>
        <v>0NON-HS7</v>
      </c>
      <c r="Y939">
        <f>VLOOKUP(X939,Sheet1!$J$5:$K$121,2,FALSE)</f>
        <v>0</v>
      </c>
    </row>
    <row r="940" spans="1:25" x14ac:dyDescent="0.25">
      <c r="A940" s="8">
        <f>[1]Data!A940</f>
        <v>502801</v>
      </c>
      <c r="B940" s="8">
        <f>[1]Data!B940</f>
        <v>7</v>
      </c>
      <c r="C940" s="8">
        <f>[1]Data!C940</f>
        <v>0</v>
      </c>
      <c r="D940" s="8">
        <f>[1]Data!D940</f>
        <v>4</v>
      </c>
      <c r="E940" s="8" t="str">
        <f>[1]Data!E940</f>
        <v>NON-HS</v>
      </c>
      <c r="F940" s="8" t="str">
        <f>[1]Data!F940</f>
        <v>Santa Fe Springs</v>
      </c>
      <c r="G940" s="8">
        <f>[1]Data!G940</f>
        <v>0</v>
      </c>
      <c r="H940" s="8">
        <f>[1]Data!H940</f>
        <v>0</v>
      </c>
      <c r="I940" s="8">
        <f>[1]Data!I940</f>
        <v>2.0950000000000002</v>
      </c>
      <c r="J940" s="8">
        <f>[1]Data!J940</f>
        <v>1.9836996600000001</v>
      </c>
      <c r="K940" s="8">
        <f>[1]Data!K940</f>
        <v>1.9836996600000001</v>
      </c>
      <c r="L940" s="8">
        <f>[1]Data!L940</f>
        <v>0.11117260138240601</v>
      </c>
      <c r="M940" s="8">
        <f>[1]Data!M940</f>
        <v>2.09487226138241</v>
      </c>
      <c r="N940" s="8">
        <f>[1]Data!N940</f>
        <v>4.5454545454545497E-2</v>
      </c>
      <c r="O940" s="8">
        <f>[1]Data!O940</f>
        <v>0</v>
      </c>
      <c r="P940" s="8">
        <f>[1]Data!P940</f>
        <v>1</v>
      </c>
      <c r="Q940" s="8">
        <f>[1]Data!Q940</f>
        <v>0</v>
      </c>
      <c r="R940" s="8">
        <f>[1]Data!R940</f>
        <v>0</v>
      </c>
      <c r="S940" s="8">
        <f>[1]Data!S940</f>
        <v>0</v>
      </c>
      <c r="T940">
        <f t="shared" si="70"/>
        <v>4.5454545454545497E-2</v>
      </c>
      <c r="U940">
        <f t="shared" si="71"/>
        <v>0</v>
      </c>
      <c r="V940" s="4" t="str">
        <f t="shared" si="72"/>
        <v>0</v>
      </c>
      <c r="W940" s="4" t="str">
        <f t="shared" si="73"/>
        <v>7</v>
      </c>
      <c r="X940" s="4" t="str">
        <f t="shared" si="74"/>
        <v>0NON-HS7</v>
      </c>
      <c r="Y940">
        <f>VLOOKUP(X940,Sheet1!$J$5:$K$121,2,FALSE)</f>
        <v>0</v>
      </c>
    </row>
    <row r="941" spans="1:25" x14ac:dyDescent="0.25">
      <c r="A941" s="8">
        <f>[1]Data!A941</f>
        <v>502902</v>
      </c>
      <c r="B941" s="8">
        <f>[1]Data!B941</f>
        <v>7</v>
      </c>
      <c r="C941" s="8">
        <f>[1]Data!C941</f>
        <v>0</v>
      </c>
      <c r="D941" s="8">
        <f>[1]Data!D941</f>
        <v>4</v>
      </c>
      <c r="E941" s="8" t="str">
        <f>[1]Data!E941</f>
        <v>NON-HS</v>
      </c>
      <c r="F941" s="8" t="str">
        <f>[1]Data!F941</f>
        <v>Santa Fe Springs</v>
      </c>
      <c r="G941" s="8">
        <f>[1]Data!G941</f>
        <v>0</v>
      </c>
      <c r="H941" s="8">
        <f>[1]Data!H941</f>
        <v>0</v>
      </c>
      <c r="I941" s="8">
        <f>[1]Data!I941</f>
        <v>7.2850000000000001</v>
      </c>
      <c r="J941" s="8">
        <f>[1]Data!J941</f>
        <v>5.9510989800000003</v>
      </c>
      <c r="K941" s="8">
        <f>[1]Data!K941</f>
        <v>6.9510989800000003</v>
      </c>
      <c r="L941" s="8">
        <f>[1]Data!L941</f>
        <v>0.33351780414721699</v>
      </c>
      <c r="M941" s="8">
        <f>[1]Data!M941</f>
        <v>7.2846167841472198</v>
      </c>
      <c r="N941" s="8">
        <f>[1]Data!N941</f>
        <v>4.5454545454545497E-2</v>
      </c>
      <c r="O941" s="8">
        <f>[1]Data!O941</f>
        <v>0</v>
      </c>
      <c r="P941" s="8">
        <f>[1]Data!P941</f>
        <v>1</v>
      </c>
      <c r="Q941" s="8">
        <f>[1]Data!Q941</f>
        <v>0</v>
      </c>
      <c r="R941" s="8">
        <f>[1]Data!R941</f>
        <v>0</v>
      </c>
      <c r="S941" s="8">
        <f>[1]Data!S941</f>
        <v>0</v>
      </c>
      <c r="T941">
        <f t="shared" si="70"/>
        <v>4.5454545454545497E-2</v>
      </c>
      <c r="U941">
        <f t="shared" si="71"/>
        <v>0</v>
      </c>
      <c r="V941" s="4" t="str">
        <f t="shared" si="72"/>
        <v>0</v>
      </c>
      <c r="W941" s="4" t="str">
        <f t="shared" si="73"/>
        <v>7</v>
      </c>
      <c r="X941" s="4" t="str">
        <f t="shared" si="74"/>
        <v>0NON-HS7</v>
      </c>
      <c r="Y941">
        <f>VLOOKUP(X941,Sheet1!$J$5:$K$121,2,FALSE)</f>
        <v>0</v>
      </c>
    </row>
    <row r="942" spans="1:25" x14ac:dyDescent="0.25">
      <c r="A942" s="8">
        <f>[1]Data!A942</f>
        <v>503103</v>
      </c>
      <c r="B942" s="8">
        <f>[1]Data!B942</f>
        <v>7</v>
      </c>
      <c r="C942" s="8">
        <f>[1]Data!C942</f>
        <v>0</v>
      </c>
      <c r="D942" s="8">
        <f>[1]Data!D942</f>
        <v>4</v>
      </c>
      <c r="E942" s="8" t="str">
        <f>[1]Data!E942</f>
        <v>NON-HS</v>
      </c>
      <c r="F942" s="8" t="str">
        <f>[1]Data!F942</f>
        <v>South Whittier</v>
      </c>
      <c r="G942" s="8">
        <f>[1]Data!G942</f>
        <v>0</v>
      </c>
      <c r="H942" s="8">
        <f>[1]Data!H942</f>
        <v>0</v>
      </c>
      <c r="I942" s="8">
        <f>[1]Data!I942</f>
        <v>0</v>
      </c>
      <c r="J942" s="8">
        <f>[1]Data!J942</f>
        <v>0</v>
      </c>
      <c r="K942" s="8">
        <f>[1]Data!K942</f>
        <v>0</v>
      </c>
      <c r="L942" s="8">
        <f>[1]Data!L942</f>
        <v>0</v>
      </c>
      <c r="M942" s="8">
        <f>[1]Data!M942</f>
        <v>0</v>
      </c>
      <c r="N942" s="8">
        <f>[1]Data!N942</f>
        <v>4.5454545454545497E-2</v>
      </c>
      <c r="O942" s="8">
        <f>[1]Data!O942</f>
        <v>0</v>
      </c>
      <c r="P942" s="8">
        <f>[1]Data!P942</f>
        <v>1</v>
      </c>
      <c r="Q942" s="8">
        <f>[1]Data!Q942</f>
        <v>0</v>
      </c>
      <c r="R942" s="8">
        <f>[1]Data!R942</f>
        <v>0</v>
      </c>
      <c r="S942" s="8">
        <f>[1]Data!S942</f>
        <v>0</v>
      </c>
      <c r="T942">
        <f t="shared" si="70"/>
        <v>4.5454545454545497E-2</v>
      </c>
      <c r="U942">
        <f t="shared" si="71"/>
        <v>0</v>
      </c>
      <c r="V942" s="4" t="str">
        <f t="shared" si="72"/>
        <v>0</v>
      </c>
      <c r="W942" s="4" t="str">
        <f t="shared" si="73"/>
        <v>7</v>
      </c>
      <c r="X942" s="4" t="str">
        <f t="shared" si="74"/>
        <v>0NON-HS7</v>
      </c>
      <c r="Y942">
        <f>VLOOKUP(X942,Sheet1!$J$5:$K$121,2,FALSE)</f>
        <v>0</v>
      </c>
    </row>
    <row r="943" spans="1:25" x14ac:dyDescent="0.25">
      <c r="A943" s="8">
        <f>[1]Data!A943</f>
        <v>503201</v>
      </c>
      <c r="B943" s="8">
        <f>[1]Data!B943</f>
        <v>7</v>
      </c>
      <c r="C943" s="8">
        <f>[1]Data!C943</f>
        <v>0</v>
      </c>
      <c r="D943" s="8">
        <f>[1]Data!D943</f>
        <v>4</v>
      </c>
      <c r="E943" s="8" t="str">
        <f>[1]Data!E943</f>
        <v>NON-HS</v>
      </c>
      <c r="F943" s="8" t="str">
        <f>[1]Data!F943</f>
        <v>South Whittier</v>
      </c>
      <c r="G943" s="8">
        <f>[1]Data!G943</f>
        <v>0</v>
      </c>
      <c r="H943" s="8">
        <f>[1]Data!H943</f>
        <v>0</v>
      </c>
      <c r="I943" s="8">
        <f>[1]Data!I943</f>
        <v>0</v>
      </c>
      <c r="J943" s="8">
        <f>[1]Data!J943</f>
        <v>0</v>
      </c>
      <c r="K943" s="8">
        <f>[1]Data!K943</f>
        <v>0</v>
      </c>
      <c r="L943" s="8">
        <f>[1]Data!L943</f>
        <v>0</v>
      </c>
      <c r="M943" s="8">
        <f>[1]Data!M943</f>
        <v>0</v>
      </c>
      <c r="N943" s="8">
        <f>[1]Data!N943</f>
        <v>4.5454545454545497E-2</v>
      </c>
      <c r="O943" s="8">
        <f>[1]Data!O943</f>
        <v>0</v>
      </c>
      <c r="P943" s="8">
        <f>[1]Data!P943</f>
        <v>1</v>
      </c>
      <c r="Q943" s="8">
        <f>[1]Data!Q943</f>
        <v>0</v>
      </c>
      <c r="R943" s="8">
        <f>[1]Data!R943</f>
        <v>0</v>
      </c>
      <c r="S943" s="8">
        <f>[1]Data!S943</f>
        <v>0</v>
      </c>
      <c r="T943">
        <f t="shared" si="70"/>
        <v>4.5454545454545497E-2</v>
      </c>
      <c r="U943">
        <f t="shared" si="71"/>
        <v>0</v>
      </c>
      <c r="V943" s="4" t="str">
        <f t="shared" si="72"/>
        <v>0</v>
      </c>
      <c r="W943" s="4" t="str">
        <f t="shared" si="73"/>
        <v>7</v>
      </c>
      <c r="X943" s="4" t="str">
        <f t="shared" si="74"/>
        <v>0NON-HS7</v>
      </c>
      <c r="Y943">
        <f>VLOOKUP(X943,Sheet1!$J$5:$K$121,2,FALSE)</f>
        <v>0</v>
      </c>
    </row>
    <row r="944" spans="1:25" x14ac:dyDescent="0.25">
      <c r="A944" s="8">
        <f>[1]Data!A944</f>
        <v>503202</v>
      </c>
      <c r="B944" s="8">
        <f>[1]Data!B944</f>
        <v>7</v>
      </c>
      <c r="C944" s="8">
        <f>[1]Data!C944</f>
        <v>0</v>
      </c>
      <c r="D944" s="8">
        <f>[1]Data!D944</f>
        <v>4</v>
      </c>
      <c r="E944" s="8" t="str">
        <f>[1]Data!E944</f>
        <v>NON-HS</v>
      </c>
      <c r="F944" s="8" t="str">
        <f>[1]Data!F944</f>
        <v>South Whittier</v>
      </c>
      <c r="G944" s="8">
        <f>[1]Data!G944</f>
        <v>0</v>
      </c>
      <c r="H944" s="8">
        <f>[1]Data!H944</f>
        <v>0</v>
      </c>
      <c r="I944" s="8">
        <f>[1]Data!I944</f>
        <v>1</v>
      </c>
      <c r="J944" s="8">
        <f>[1]Data!J944</f>
        <v>0</v>
      </c>
      <c r="K944" s="8">
        <f>[1]Data!K944</f>
        <v>1</v>
      </c>
      <c r="L944" s="8">
        <f>[1]Data!L944</f>
        <v>0</v>
      </c>
      <c r="M944" s="8">
        <f>[1]Data!M944</f>
        <v>1</v>
      </c>
      <c r="N944" s="8">
        <f>[1]Data!N944</f>
        <v>4.5454545454545497E-2</v>
      </c>
      <c r="O944" s="8">
        <f>[1]Data!O944</f>
        <v>0</v>
      </c>
      <c r="P944" s="8">
        <f>[1]Data!P944</f>
        <v>1</v>
      </c>
      <c r="Q944" s="8">
        <f>[1]Data!Q944</f>
        <v>0</v>
      </c>
      <c r="R944" s="8">
        <f>[1]Data!R944</f>
        <v>0</v>
      </c>
      <c r="S944" s="8">
        <f>[1]Data!S944</f>
        <v>0</v>
      </c>
      <c r="T944">
        <f t="shared" si="70"/>
        <v>4.5454545454545497E-2</v>
      </c>
      <c r="U944">
        <f t="shared" si="71"/>
        <v>0</v>
      </c>
      <c r="V944" s="4" t="str">
        <f t="shared" si="72"/>
        <v>0</v>
      </c>
      <c r="W944" s="4" t="str">
        <f t="shared" si="73"/>
        <v>7</v>
      </c>
      <c r="X944" s="4" t="str">
        <f t="shared" si="74"/>
        <v>0NON-HS7</v>
      </c>
      <c r="Y944">
        <f>VLOOKUP(X944,Sheet1!$J$5:$K$121,2,FALSE)</f>
        <v>0</v>
      </c>
    </row>
    <row r="945" spans="1:25" x14ac:dyDescent="0.25">
      <c r="A945" s="8">
        <f>[1]Data!A945</f>
        <v>554522</v>
      </c>
      <c r="B945" s="8">
        <f>[1]Data!B945</f>
        <v>7</v>
      </c>
      <c r="C945" s="8">
        <f>[1]Data!C945</f>
        <v>0</v>
      </c>
      <c r="D945" s="8">
        <f>[1]Data!D945</f>
        <v>4</v>
      </c>
      <c r="E945" s="8" t="str">
        <f>[1]Data!E945</f>
        <v>NON-HS</v>
      </c>
      <c r="F945" s="8" t="str">
        <f>[1]Data!F945</f>
        <v>Cerritos</v>
      </c>
      <c r="G945" s="8">
        <f>[1]Data!G945</f>
        <v>0</v>
      </c>
      <c r="H945" s="8">
        <f>[1]Data!H945</f>
        <v>0</v>
      </c>
      <c r="I945" s="8">
        <f>[1]Data!I945</f>
        <v>1.7030000000000001</v>
      </c>
      <c r="J945" s="8">
        <f>[1]Data!J945</f>
        <v>1.6812916200000001</v>
      </c>
      <c r="K945" s="8">
        <f>[1]Data!K945</f>
        <v>1.6812916200000001</v>
      </c>
      <c r="L945" s="8">
        <f>[1]Data!L945</f>
        <v>2.14919317594255E-2</v>
      </c>
      <c r="M945" s="8">
        <f>[1]Data!M945</f>
        <v>1.7027835517594301</v>
      </c>
      <c r="N945" s="8">
        <f>[1]Data!N945</f>
        <v>4.5454545454545497E-2</v>
      </c>
      <c r="O945" s="8">
        <f>[1]Data!O945</f>
        <v>0</v>
      </c>
      <c r="P945" s="8">
        <f>[1]Data!P945</f>
        <v>1</v>
      </c>
      <c r="Q945" s="8">
        <f>[1]Data!Q945</f>
        <v>0</v>
      </c>
      <c r="R945" s="8">
        <f>[1]Data!R945</f>
        <v>0</v>
      </c>
      <c r="S945" s="8">
        <f>[1]Data!S945</f>
        <v>0</v>
      </c>
      <c r="T945">
        <f t="shared" si="70"/>
        <v>4.5454545454545497E-2</v>
      </c>
      <c r="U945">
        <f t="shared" si="71"/>
        <v>0</v>
      </c>
      <c r="V945" s="4" t="str">
        <f t="shared" si="72"/>
        <v>0</v>
      </c>
      <c r="W945" s="4" t="str">
        <f t="shared" si="73"/>
        <v>7</v>
      </c>
      <c r="X945" s="4" t="str">
        <f t="shared" si="74"/>
        <v>0NON-HS7</v>
      </c>
      <c r="Y945">
        <f>VLOOKUP(X945,Sheet1!$J$5:$K$121,2,FALSE)</f>
        <v>0</v>
      </c>
    </row>
    <row r="946" spans="1:25" x14ac:dyDescent="0.25">
      <c r="A946" s="8">
        <f>[1]Data!A946</f>
        <v>503402</v>
      </c>
      <c r="B946" s="8">
        <f>[1]Data!B946</f>
        <v>7</v>
      </c>
      <c r="C946" s="8">
        <f>[1]Data!C946</f>
        <v>0</v>
      </c>
      <c r="D946" s="8">
        <f>[1]Data!D946</f>
        <v>4</v>
      </c>
      <c r="E946" s="8" t="str">
        <f>[1]Data!E946</f>
        <v>NON-HS</v>
      </c>
      <c r="F946" s="8" t="str">
        <f>[1]Data!F946</f>
        <v>Whittier</v>
      </c>
      <c r="G946" s="8">
        <f>[1]Data!G946</f>
        <v>0</v>
      </c>
      <c r="H946" s="8">
        <f>[1]Data!H946</f>
        <v>0</v>
      </c>
      <c r="I946" s="8">
        <f>[1]Data!I946</f>
        <v>6.6859999999999999</v>
      </c>
      <c r="J946" s="8">
        <f>[1]Data!J946</f>
        <v>3.4228962300000001</v>
      </c>
      <c r="K946" s="8">
        <f>[1]Data!K946</f>
        <v>6.4228962300000001</v>
      </c>
      <c r="L946" s="8">
        <f>[1]Data!L946</f>
        <v>0.26262460752244199</v>
      </c>
      <c r="M946" s="8">
        <f>[1]Data!M946</f>
        <v>6.6855208375224402</v>
      </c>
      <c r="N946" s="8">
        <f>[1]Data!N946</f>
        <v>4.5454545454545497E-2</v>
      </c>
      <c r="O946" s="8">
        <f>[1]Data!O946</f>
        <v>0</v>
      </c>
      <c r="P946" s="8">
        <f>[1]Data!P946</f>
        <v>1</v>
      </c>
      <c r="Q946" s="8">
        <f>[1]Data!Q946</f>
        <v>0</v>
      </c>
      <c r="R946" s="8">
        <f>[1]Data!R946</f>
        <v>0</v>
      </c>
      <c r="S946" s="8">
        <f>[1]Data!S946</f>
        <v>0</v>
      </c>
      <c r="T946">
        <f t="shared" si="70"/>
        <v>4.5454545454545497E-2</v>
      </c>
      <c r="U946">
        <f t="shared" si="71"/>
        <v>0</v>
      </c>
      <c r="V946" s="4" t="str">
        <f t="shared" si="72"/>
        <v>0</v>
      </c>
      <c r="W946" s="4" t="str">
        <f t="shared" si="73"/>
        <v>7</v>
      </c>
      <c r="X946" s="4" t="str">
        <f t="shared" si="74"/>
        <v>0NON-HS7</v>
      </c>
      <c r="Y946">
        <f>VLOOKUP(X946,Sheet1!$J$5:$K$121,2,FALSE)</f>
        <v>0</v>
      </c>
    </row>
    <row r="947" spans="1:25" x14ac:dyDescent="0.25">
      <c r="A947" s="8">
        <f>[1]Data!A947</f>
        <v>503502</v>
      </c>
      <c r="B947" s="8">
        <f>[1]Data!B947</f>
        <v>7</v>
      </c>
      <c r="C947" s="8">
        <f>[1]Data!C947</f>
        <v>0</v>
      </c>
      <c r="D947" s="8">
        <f>[1]Data!D947</f>
        <v>4</v>
      </c>
      <c r="E947" s="8" t="str">
        <f>[1]Data!E947</f>
        <v>NON-HS</v>
      </c>
      <c r="F947" s="8" t="str">
        <f>[1]Data!F947</f>
        <v>South Whittier</v>
      </c>
      <c r="G947" s="8">
        <f>[1]Data!G947</f>
        <v>0</v>
      </c>
      <c r="H947" s="8">
        <f>[1]Data!H947</f>
        <v>0</v>
      </c>
      <c r="I947" s="8">
        <f>[1]Data!I947</f>
        <v>5.181</v>
      </c>
      <c r="J947" s="8">
        <f>[1]Data!J947</f>
        <v>2.87839314</v>
      </c>
      <c r="K947" s="8">
        <f>[1]Data!K947</f>
        <v>4.87839314</v>
      </c>
      <c r="L947" s="8">
        <f>[1]Data!L947</f>
        <v>0.30290401228007202</v>
      </c>
      <c r="M947" s="8">
        <f>[1]Data!M947</f>
        <v>5.1812971522800702</v>
      </c>
      <c r="N947" s="8">
        <f>[1]Data!N947</f>
        <v>4.5454545454545497E-2</v>
      </c>
      <c r="O947" s="8">
        <f>[1]Data!O947</f>
        <v>0</v>
      </c>
      <c r="P947" s="8">
        <f>[1]Data!P947</f>
        <v>1</v>
      </c>
      <c r="Q947" s="8">
        <f>[1]Data!Q947</f>
        <v>0</v>
      </c>
      <c r="R947" s="8">
        <f>[1]Data!R947</f>
        <v>0</v>
      </c>
      <c r="S947" s="8">
        <f>[1]Data!S947</f>
        <v>0</v>
      </c>
      <c r="T947">
        <f t="shared" si="70"/>
        <v>4.5454545454545497E-2</v>
      </c>
      <c r="U947">
        <f t="shared" si="71"/>
        <v>0</v>
      </c>
      <c r="V947" s="4" t="str">
        <f t="shared" si="72"/>
        <v>0</v>
      </c>
      <c r="W947" s="4" t="str">
        <f t="shared" si="73"/>
        <v>7</v>
      </c>
      <c r="X947" s="4" t="str">
        <f t="shared" si="74"/>
        <v>0NON-HS7</v>
      </c>
      <c r="Y947">
        <f>VLOOKUP(X947,Sheet1!$J$5:$K$121,2,FALSE)</f>
        <v>0</v>
      </c>
    </row>
    <row r="948" spans="1:25" x14ac:dyDescent="0.25">
      <c r="A948" s="8">
        <f>[1]Data!A948</f>
        <v>554515</v>
      </c>
      <c r="B948" s="8">
        <f>[1]Data!B948</f>
        <v>7</v>
      </c>
      <c r="C948" s="8">
        <f>[1]Data!C948</f>
        <v>0</v>
      </c>
      <c r="D948" s="8">
        <f>[1]Data!D948</f>
        <v>4</v>
      </c>
      <c r="E948" s="8" t="str">
        <f>[1]Data!E948</f>
        <v>NON-HS</v>
      </c>
      <c r="F948" s="8" t="str">
        <f>[1]Data!F948</f>
        <v>Cerritos</v>
      </c>
      <c r="G948" s="8">
        <f>[1]Data!G948</f>
        <v>0</v>
      </c>
      <c r="H948" s="8">
        <f>[1]Data!H948</f>
        <v>0</v>
      </c>
      <c r="I948" s="8">
        <f>[1]Data!I948</f>
        <v>0</v>
      </c>
      <c r="J948" s="8">
        <f>[1]Data!J948</f>
        <v>0</v>
      </c>
      <c r="K948" s="8">
        <f>[1]Data!K948</f>
        <v>0</v>
      </c>
      <c r="L948" s="8">
        <f>[1]Data!L948</f>
        <v>0</v>
      </c>
      <c r="M948" s="8">
        <f>[1]Data!M948</f>
        <v>0</v>
      </c>
      <c r="N948" s="8">
        <f>[1]Data!N948</f>
        <v>4.5454545454545497E-2</v>
      </c>
      <c r="O948" s="8">
        <f>[1]Data!O948</f>
        <v>0</v>
      </c>
      <c r="P948" s="8">
        <f>[1]Data!P948</f>
        <v>1</v>
      </c>
      <c r="Q948" s="8">
        <f>[1]Data!Q948</f>
        <v>0</v>
      </c>
      <c r="R948" s="8">
        <f>[1]Data!R948</f>
        <v>0</v>
      </c>
      <c r="S948" s="8">
        <f>[1]Data!S948</f>
        <v>0</v>
      </c>
      <c r="T948">
        <f t="shared" si="70"/>
        <v>4.5454545454545497E-2</v>
      </c>
      <c r="U948">
        <f t="shared" si="71"/>
        <v>0</v>
      </c>
      <c r="V948" s="4" t="str">
        <f t="shared" si="72"/>
        <v>0</v>
      </c>
      <c r="W948" s="4" t="str">
        <f t="shared" si="73"/>
        <v>7</v>
      </c>
      <c r="X948" s="4" t="str">
        <f t="shared" si="74"/>
        <v>0NON-HS7</v>
      </c>
      <c r="Y948">
        <f>VLOOKUP(X948,Sheet1!$J$5:$K$121,2,FALSE)</f>
        <v>0</v>
      </c>
    </row>
    <row r="949" spans="1:25" x14ac:dyDescent="0.25">
      <c r="A949" s="8">
        <f>[1]Data!A949</f>
        <v>503703</v>
      </c>
      <c r="B949" s="8">
        <f>[1]Data!B949</f>
        <v>7</v>
      </c>
      <c r="C949" s="8">
        <f>[1]Data!C949</f>
        <v>0</v>
      </c>
      <c r="D949" s="8">
        <f>[1]Data!D949</f>
        <v>4</v>
      </c>
      <c r="E949" s="8" t="str">
        <f>[1]Data!E949</f>
        <v>NON-HS</v>
      </c>
      <c r="F949" s="8" t="str">
        <f>[1]Data!F949</f>
        <v>La Mirada</v>
      </c>
      <c r="G949" s="8">
        <f>[1]Data!G949</f>
        <v>0</v>
      </c>
      <c r="H949" s="8">
        <f>[1]Data!H949</f>
        <v>0</v>
      </c>
      <c r="I949" s="8">
        <f>[1]Data!I949</f>
        <v>0</v>
      </c>
      <c r="J949" s="8">
        <f>[1]Data!J949</f>
        <v>0</v>
      </c>
      <c r="K949" s="8">
        <f>[1]Data!K949</f>
        <v>0</v>
      </c>
      <c r="L949" s="8">
        <f>[1]Data!L949</f>
        <v>0</v>
      </c>
      <c r="M949" s="8">
        <f>[1]Data!M949</f>
        <v>0</v>
      </c>
      <c r="N949" s="8">
        <f>[1]Data!N949</f>
        <v>4.5454545454545497E-2</v>
      </c>
      <c r="O949" s="8">
        <f>[1]Data!O949</f>
        <v>0</v>
      </c>
      <c r="P949" s="8">
        <f>[1]Data!P949</f>
        <v>1</v>
      </c>
      <c r="Q949" s="8">
        <f>[1]Data!Q949</f>
        <v>0</v>
      </c>
      <c r="R949" s="8">
        <f>[1]Data!R949</f>
        <v>0</v>
      </c>
      <c r="S949" s="8">
        <f>[1]Data!S949</f>
        <v>0</v>
      </c>
      <c r="T949">
        <f t="shared" si="70"/>
        <v>4.5454545454545497E-2</v>
      </c>
      <c r="U949">
        <f t="shared" si="71"/>
        <v>0</v>
      </c>
      <c r="V949" s="4" t="str">
        <f t="shared" si="72"/>
        <v>0</v>
      </c>
      <c r="W949" s="4" t="str">
        <f t="shared" si="73"/>
        <v>7</v>
      </c>
      <c r="X949" s="4" t="str">
        <f t="shared" si="74"/>
        <v>0NON-HS7</v>
      </c>
      <c r="Y949">
        <f>VLOOKUP(X949,Sheet1!$J$5:$K$121,2,FALSE)</f>
        <v>0</v>
      </c>
    </row>
    <row r="950" spans="1:25" x14ac:dyDescent="0.25">
      <c r="A950" s="8">
        <f>[1]Data!A950</f>
        <v>554511</v>
      </c>
      <c r="B950" s="8">
        <f>[1]Data!B950</f>
        <v>7</v>
      </c>
      <c r="C950" s="8">
        <f>[1]Data!C950</f>
        <v>0</v>
      </c>
      <c r="D950" s="8">
        <f>[1]Data!D950</f>
        <v>4</v>
      </c>
      <c r="E950" s="8" t="str">
        <f>[1]Data!E950</f>
        <v>NON-HS</v>
      </c>
      <c r="F950" s="8" t="str">
        <f>[1]Data!F950</f>
        <v>Cerritos</v>
      </c>
      <c r="G950" s="8">
        <f>[1]Data!G950</f>
        <v>0</v>
      </c>
      <c r="H950" s="8">
        <f>[1]Data!H950</f>
        <v>0</v>
      </c>
      <c r="I950" s="8">
        <f>[1]Data!I950</f>
        <v>3.903</v>
      </c>
      <c r="J950" s="8">
        <f>[1]Data!J950</f>
        <v>3.7168318299999998</v>
      </c>
      <c r="K950" s="8">
        <f>[1]Data!K950</f>
        <v>3.7168318299999998</v>
      </c>
      <c r="L950" s="8">
        <f>[1]Data!L950</f>
        <v>0.18615811166965901</v>
      </c>
      <c r="M950" s="8">
        <f>[1]Data!M950</f>
        <v>3.9029899416696598</v>
      </c>
      <c r="N950" s="8">
        <f>[1]Data!N950</f>
        <v>4.5454545454545497E-2</v>
      </c>
      <c r="O950" s="8">
        <f>[1]Data!O950</f>
        <v>0</v>
      </c>
      <c r="P950" s="8">
        <f>[1]Data!P950</f>
        <v>1</v>
      </c>
      <c r="Q950" s="8">
        <f>[1]Data!Q950</f>
        <v>0</v>
      </c>
      <c r="R950" s="8">
        <f>[1]Data!R950</f>
        <v>0</v>
      </c>
      <c r="S950" s="8">
        <f>[1]Data!S950</f>
        <v>0</v>
      </c>
      <c r="T950">
        <f t="shared" si="70"/>
        <v>4.5454545454545497E-2</v>
      </c>
      <c r="U950">
        <f t="shared" si="71"/>
        <v>0</v>
      </c>
      <c r="V950" s="4" t="str">
        <f t="shared" si="72"/>
        <v>0</v>
      </c>
      <c r="W950" s="4" t="str">
        <f t="shared" si="73"/>
        <v>7</v>
      </c>
      <c r="X950" s="4" t="str">
        <f t="shared" si="74"/>
        <v>0NON-HS7</v>
      </c>
      <c r="Y950">
        <f>VLOOKUP(X950,Sheet1!$J$5:$K$121,2,FALSE)</f>
        <v>0</v>
      </c>
    </row>
    <row r="951" spans="1:25" x14ac:dyDescent="0.25">
      <c r="A951" s="8">
        <f>[1]Data!A951</f>
        <v>503902</v>
      </c>
      <c r="B951" s="8">
        <f>[1]Data!B951</f>
        <v>7</v>
      </c>
      <c r="C951" s="8">
        <f>[1]Data!C951</f>
        <v>0</v>
      </c>
      <c r="D951" s="8">
        <f>[1]Data!D951</f>
        <v>4</v>
      </c>
      <c r="E951" s="8" t="str">
        <f>[1]Data!E951</f>
        <v>NON-HS</v>
      </c>
      <c r="F951" s="8" t="str">
        <f>[1]Data!F951</f>
        <v>La Mirada</v>
      </c>
      <c r="G951" s="8">
        <f>[1]Data!G951</f>
        <v>0</v>
      </c>
      <c r="H951" s="8">
        <f>[1]Data!H951</f>
        <v>0</v>
      </c>
      <c r="I951" s="8">
        <f>[1]Data!I951</f>
        <v>8.2110000000000003</v>
      </c>
      <c r="J951" s="8">
        <f>[1]Data!J951</f>
        <v>7.8559789200000001</v>
      </c>
      <c r="K951" s="8">
        <f>[1]Data!K951</f>
        <v>7.8559789200000001</v>
      </c>
      <c r="L951" s="8">
        <f>[1]Data!L951</f>
        <v>0.35414312622980199</v>
      </c>
      <c r="M951" s="8">
        <f>[1]Data!M951</f>
        <v>8.2101220462298006</v>
      </c>
      <c r="N951" s="8">
        <f>[1]Data!N951</f>
        <v>4.5454545454545497E-2</v>
      </c>
      <c r="O951" s="8">
        <f>[1]Data!O951</f>
        <v>0</v>
      </c>
      <c r="P951" s="8">
        <f>[1]Data!P951</f>
        <v>1</v>
      </c>
      <c r="Q951" s="8">
        <f>[1]Data!Q951</f>
        <v>0</v>
      </c>
      <c r="R951" s="8">
        <f>[1]Data!R951</f>
        <v>0</v>
      </c>
      <c r="S951" s="8">
        <f>[1]Data!S951</f>
        <v>0</v>
      </c>
      <c r="T951">
        <f t="shared" si="70"/>
        <v>4.5454545454545497E-2</v>
      </c>
      <c r="U951">
        <f t="shared" si="71"/>
        <v>0</v>
      </c>
      <c r="V951" s="4" t="str">
        <f t="shared" si="72"/>
        <v>0</v>
      </c>
      <c r="W951" s="4" t="str">
        <f t="shared" si="73"/>
        <v>7</v>
      </c>
      <c r="X951" s="4" t="str">
        <f t="shared" si="74"/>
        <v>0NON-HS7</v>
      </c>
      <c r="Y951">
        <f>VLOOKUP(X951,Sheet1!$J$5:$K$121,2,FALSE)</f>
        <v>0</v>
      </c>
    </row>
    <row r="952" spans="1:25" x14ac:dyDescent="0.25">
      <c r="A952" s="8">
        <f>[1]Data!A952</f>
        <v>504002</v>
      </c>
      <c r="B952" s="8">
        <f>[1]Data!B952</f>
        <v>7</v>
      </c>
      <c r="C952" s="8">
        <f>[1]Data!C952</f>
        <v>0</v>
      </c>
      <c r="D952" s="8">
        <f>[1]Data!D952</f>
        <v>4</v>
      </c>
      <c r="E952" s="8" t="str">
        <f>[1]Data!E952</f>
        <v>NON-HS</v>
      </c>
      <c r="F952" s="8" t="str">
        <f>[1]Data!F952</f>
        <v>La Mirada</v>
      </c>
      <c r="G952" s="8">
        <f>[1]Data!G952</f>
        <v>0</v>
      </c>
      <c r="H952" s="8">
        <f>[1]Data!H952</f>
        <v>0</v>
      </c>
      <c r="I952" s="8">
        <f>[1]Data!I952</f>
        <v>0</v>
      </c>
      <c r="J952" s="8">
        <f>[1]Data!J952</f>
        <v>0</v>
      </c>
      <c r="K952" s="8">
        <f>[1]Data!K952</f>
        <v>0</v>
      </c>
      <c r="L952" s="8">
        <f>[1]Data!L952</f>
        <v>0</v>
      </c>
      <c r="M952" s="8">
        <f>[1]Data!M952</f>
        <v>0</v>
      </c>
      <c r="N952" s="8">
        <f>[1]Data!N952</f>
        <v>4.5454545454545497E-2</v>
      </c>
      <c r="O952" s="8">
        <f>[1]Data!O952</f>
        <v>0</v>
      </c>
      <c r="P952" s="8">
        <f>[1]Data!P952</f>
        <v>1</v>
      </c>
      <c r="Q952" s="8">
        <f>[1]Data!Q952</f>
        <v>0</v>
      </c>
      <c r="R952" s="8">
        <f>[1]Data!R952</f>
        <v>0</v>
      </c>
      <c r="S952" s="8">
        <f>[1]Data!S952</f>
        <v>0</v>
      </c>
      <c r="T952">
        <f t="shared" si="70"/>
        <v>4.5454545454545497E-2</v>
      </c>
      <c r="U952">
        <f t="shared" si="71"/>
        <v>0</v>
      </c>
      <c r="V952" s="4" t="str">
        <f t="shared" si="72"/>
        <v>0</v>
      </c>
      <c r="W952" s="4" t="str">
        <f t="shared" si="73"/>
        <v>7</v>
      </c>
      <c r="X952" s="4" t="str">
        <f t="shared" si="74"/>
        <v>0NON-HS7</v>
      </c>
      <c r="Y952">
        <f>VLOOKUP(X952,Sheet1!$J$5:$K$121,2,FALSE)</f>
        <v>0</v>
      </c>
    </row>
    <row r="953" spans="1:25" x14ac:dyDescent="0.25">
      <c r="A953" s="8">
        <f>[1]Data!A953</f>
        <v>530003</v>
      </c>
      <c r="B953" s="8">
        <f>[1]Data!B953</f>
        <v>7</v>
      </c>
      <c r="C953" s="8">
        <f>[1]Data!C953</f>
        <v>0</v>
      </c>
      <c r="D953" s="8">
        <f>[1]Data!D953</f>
        <v>1</v>
      </c>
      <c r="E953" s="8" t="str">
        <f>[1]Data!E953</f>
        <v>NON-HS</v>
      </c>
      <c r="F953" s="8" t="str">
        <f>[1]Data!F953</f>
        <v>Montebello</v>
      </c>
      <c r="G953" s="8">
        <f>[1]Data!G953</f>
        <v>0</v>
      </c>
      <c r="H953" s="8">
        <f>[1]Data!H953</f>
        <v>0</v>
      </c>
      <c r="I953" s="8">
        <f>[1]Data!I953</f>
        <v>2.0950000000000002</v>
      </c>
      <c r="J953" s="8">
        <f>[1]Data!J953</f>
        <v>1.9836996600000001</v>
      </c>
      <c r="K953" s="8">
        <f>[1]Data!K953</f>
        <v>1.9836996600000001</v>
      </c>
      <c r="L953" s="8">
        <f>[1]Data!L953</f>
        <v>0.11117260138240601</v>
      </c>
      <c r="M953" s="8">
        <f>[1]Data!M953</f>
        <v>2.09487226138241</v>
      </c>
      <c r="N953" s="8">
        <f>[1]Data!N953</f>
        <v>4.5454545454545497E-2</v>
      </c>
      <c r="O953" s="8">
        <f>[1]Data!O953</f>
        <v>0</v>
      </c>
      <c r="P953" s="8">
        <f>[1]Data!P953</f>
        <v>1</v>
      </c>
      <c r="Q953" s="8">
        <f>[1]Data!Q953</f>
        <v>0</v>
      </c>
      <c r="R953" s="8">
        <f>[1]Data!R953</f>
        <v>0</v>
      </c>
      <c r="S953" s="8">
        <f>[1]Data!S953</f>
        <v>0</v>
      </c>
      <c r="T953">
        <f t="shared" si="70"/>
        <v>4.5454545454545497E-2</v>
      </c>
      <c r="U953">
        <f t="shared" si="71"/>
        <v>0</v>
      </c>
      <c r="V953" s="4" t="str">
        <f t="shared" si="72"/>
        <v>0</v>
      </c>
      <c r="W953" s="4" t="str">
        <f t="shared" si="73"/>
        <v>7</v>
      </c>
      <c r="X953" s="4" t="str">
        <f t="shared" si="74"/>
        <v>0NON-HS7</v>
      </c>
      <c r="Y953">
        <f>VLOOKUP(X953,Sheet1!$J$5:$K$121,2,FALSE)</f>
        <v>0</v>
      </c>
    </row>
    <row r="954" spans="1:25" x14ac:dyDescent="0.25">
      <c r="A954" s="8">
        <f>[1]Data!A954</f>
        <v>530500</v>
      </c>
      <c r="B954" s="8">
        <f>[1]Data!B954</f>
        <v>7</v>
      </c>
      <c r="C954" s="8">
        <f>[1]Data!C954</f>
        <v>0</v>
      </c>
      <c r="D954" s="8">
        <f>[1]Data!D954</f>
        <v>1</v>
      </c>
      <c r="E954" s="8" t="str">
        <f>[1]Data!E954</f>
        <v>NON-HS</v>
      </c>
      <c r="F954" s="8" t="str">
        <f>[1]Data!F954</f>
        <v>East Los Angeles</v>
      </c>
      <c r="G954" s="8">
        <f>[1]Data!G954</f>
        <v>0</v>
      </c>
      <c r="H954" s="8">
        <f>[1]Data!H954</f>
        <v>0</v>
      </c>
      <c r="I954" s="8">
        <f>[1]Data!I954</f>
        <v>3.6859999999999999</v>
      </c>
      <c r="J954" s="8">
        <f>[1]Data!J954</f>
        <v>3.4228962300000001</v>
      </c>
      <c r="K954" s="8">
        <f>[1]Data!K954</f>
        <v>3.4228962300000001</v>
      </c>
      <c r="L954" s="8">
        <f>[1]Data!L954</f>
        <v>0.26262460752244199</v>
      </c>
      <c r="M954" s="8">
        <f>[1]Data!M954</f>
        <v>3.6855208375224402</v>
      </c>
      <c r="N954" s="8">
        <f>[1]Data!N954</f>
        <v>4.5454545454545497E-2</v>
      </c>
      <c r="O954" s="8">
        <f>[1]Data!O954</f>
        <v>0</v>
      </c>
      <c r="P954" s="8">
        <f>[1]Data!P954</f>
        <v>1</v>
      </c>
      <c r="Q954" s="8">
        <f>[1]Data!Q954</f>
        <v>0</v>
      </c>
      <c r="R954" s="8">
        <f>[1]Data!R954</f>
        <v>0</v>
      </c>
      <c r="S954" s="8">
        <f>[1]Data!S954</f>
        <v>0</v>
      </c>
      <c r="T954">
        <f t="shared" si="70"/>
        <v>4.5454545454545497E-2</v>
      </c>
      <c r="U954">
        <f t="shared" si="71"/>
        <v>0</v>
      </c>
      <c r="V954" s="4" t="str">
        <f t="shared" si="72"/>
        <v>0</v>
      </c>
      <c r="W954" s="4" t="str">
        <f t="shared" si="73"/>
        <v>7</v>
      </c>
      <c r="X954" s="4" t="str">
        <f t="shared" si="74"/>
        <v>0NON-HS7</v>
      </c>
      <c r="Y954">
        <f>VLOOKUP(X954,Sheet1!$J$5:$K$121,2,FALSE)</f>
        <v>0</v>
      </c>
    </row>
    <row r="955" spans="1:25" x14ac:dyDescent="0.25">
      <c r="A955" s="8">
        <f>[1]Data!A955</f>
        <v>530601</v>
      </c>
      <c r="B955" s="8">
        <f>[1]Data!B955</f>
        <v>7</v>
      </c>
      <c r="C955" s="8">
        <f>[1]Data!C955</f>
        <v>0</v>
      </c>
      <c r="D955" s="8">
        <f>[1]Data!D955</f>
        <v>1</v>
      </c>
      <c r="E955" s="8" t="str">
        <f>[1]Data!E955</f>
        <v>NON-HS</v>
      </c>
      <c r="F955" s="8" t="str">
        <f>[1]Data!F955</f>
        <v>East Los Angeles</v>
      </c>
      <c r="G955" s="8">
        <f>[1]Data!G955</f>
        <v>0</v>
      </c>
      <c r="H955" s="8">
        <f>[1]Data!H955</f>
        <v>0</v>
      </c>
      <c r="I955" s="8">
        <f>[1]Data!I955</f>
        <v>2.5910000000000002</v>
      </c>
      <c r="J955" s="8">
        <f>[1]Data!J955</f>
        <v>1.43919657</v>
      </c>
      <c r="K955" s="8">
        <f>[1]Data!K955</f>
        <v>2.43919657</v>
      </c>
      <c r="L955" s="8">
        <f>[1]Data!L955</f>
        <v>0.15145200614003601</v>
      </c>
      <c r="M955" s="8">
        <f>[1]Data!M955</f>
        <v>2.59064857614004</v>
      </c>
      <c r="N955" s="8">
        <f>[1]Data!N955</f>
        <v>4.5454545454545497E-2</v>
      </c>
      <c r="O955" s="8">
        <f>[1]Data!O955</f>
        <v>0</v>
      </c>
      <c r="P955" s="8">
        <f>[1]Data!P955</f>
        <v>1</v>
      </c>
      <c r="Q955" s="8">
        <f>[1]Data!Q955</f>
        <v>0</v>
      </c>
      <c r="R955" s="8">
        <f>[1]Data!R955</f>
        <v>0</v>
      </c>
      <c r="S955" s="8">
        <f>[1]Data!S955</f>
        <v>0</v>
      </c>
      <c r="T955">
        <f t="shared" si="70"/>
        <v>4.5454545454545497E-2</v>
      </c>
      <c r="U955">
        <f t="shared" si="71"/>
        <v>0</v>
      </c>
      <c r="V955" s="4" t="str">
        <f t="shared" si="72"/>
        <v>0</v>
      </c>
      <c r="W955" s="4" t="str">
        <f t="shared" si="73"/>
        <v>7</v>
      </c>
      <c r="X955" s="4" t="str">
        <f t="shared" si="74"/>
        <v>0NON-HS7</v>
      </c>
      <c r="Y955">
        <f>VLOOKUP(X955,Sheet1!$J$5:$K$121,2,FALSE)</f>
        <v>0</v>
      </c>
    </row>
    <row r="956" spans="1:25" x14ac:dyDescent="0.25">
      <c r="A956" s="8">
        <f>[1]Data!A956</f>
        <v>530801</v>
      </c>
      <c r="B956" s="8">
        <f>[1]Data!B956</f>
        <v>7</v>
      </c>
      <c r="C956" s="8">
        <f>[1]Data!C956</f>
        <v>0</v>
      </c>
      <c r="D956" s="8">
        <f>[1]Data!D956</f>
        <v>1</v>
      </c>
      <c r="E956" s="8" t="str">
        <f>[1]Data!E956</f>
        <v>NON-HS</v>
      </c>
      <c r="F956" s="8" t="str">
        <f>[1]Data!F956</f>
        <v>East Los Angeles</v>
      </c>
      <c r="G956" s="8">
        <f>[1]Data!G956</f>
        <v>0</v>
      </c>
      <c r="H956" s="8">
        <f>[1]Data!H956</f>
        <v>0</v>
      </c>
      <c r="I956" s="8">
        <f>[1]Data!I956</f>
        <v>3.734</v>
      </c>
      <c r="J956" s="8">
        <f>[1]Data!J956</f>
        <v>3.63801211</v>
      </c>
      <c r="K956" s="8">
        <f>[1]Data!K956</f>
        <v>3.63801211</v>
      </c>
      <c r="L956" s="8">
        <f>[1]Data!L956</f>
        <v>9.5610832369838403E-2</v>
      </c>
      <c r="M956" s="8">
        <f>[1]Data!M956</f>
        <v>3.7336229423698399</v>
      </c>
      <c r="N956" s="8">
        <f>[1]Data!N956</f>
        <v>4.5454545454545497E-2</v>
      </c>
      <c r="O956" s="8">
        <f>[1]Data!O956</f>
        <v>0</v>
      </c>
      <c r="P956" s="8">
        <f>[1]Data!P956</f>
        <v>1</v>
      </c>
      <c r="Q956" s="8">
        <f>[1]Data!Q956</f>
        <v>0</v>
      </c>
      <c r="R956" s="8">
        <f>[1]Data!R956</f>
        <v>0</v>
      </c>
      <c r="S956" s="8">
        <f>[1]Data!S956</f>
        <v>0</v>
      </c>
      <c r="T956">
        <f t="shared" si="70"/>
        <v>4.5454545454545497E-2</v>
      </c>
      <c r="U956">
        <f t="shared" si="71"/>
        <v>0</v>
      </c>
      <c r="V956" s="4" t="str">
        <f t="shared" si="72"/>
        <v>0</v>
      </c>
      <c r="W956" s="4" t="str">
        <f t="shared" si="73"/>
        <v>7</v>
      </c>
      <c r="X956" s="4" t="str">
        <f t="shared" si="74"/>
        <v>0NON-HS7</v>
      </c>
      <c r="Y956">
        <f>VLOOKUP(X956,Sheet1!$J$5:$K$121,2,FALSE)</f>
        <v>0</v>
      </c>
    </row>
    <row r="957" spans="1:25" x14ac:dyDescent="0.25">
      <c r="A957" s="8">
        <f>[1]Data!A957</f>
        <v>554002</v>
      </c>
      <c r="B957" s="8">
        <f>[1]Data!B957</f>
        <v>7</v>
      </c>
      <c r="C957" s="8">
        <f>[1]Data!C957</f>
        <v>0</v>
      </c>
      <c r="D957" s="8">
        <f>[1]Data!D957</f>
        <v>4</v>
      </c>
      <c r="E957" s="8" t="str">
        <f>[1]Data!E957</f>
        <v>NON-HS</v>
      </c>
      <c r="F957" s="8" t="str">
        <f>[1]Data!F957</f>
        <v>Bellflower</v>
      </c>
      <c r="G957" s="8">
        <f>[1]Data!G957</f>
        <v>0</v>
      </c>
      <c r="H957" s="8">
        <f>[1]Data!H957</f>
        <v>0</v>
      </c>
      <c r="I957" s="8">
        <f>[1]Data!I957</f>
        <v>4.0209999999999999</v>
      </c>
      <c r="J957" s="8">
        <f>[1]Data!J957</f>
        <v>3.8885795999999999</v>
      </c>
      <c r="K957" s="8">
        <f>[1]Data!K957</f>
        <v>3.8885795999999999</v>
      </c>
      <c r="L957" s="8">
        <f>[1]Data!L957</f>
        <v>0.131797923464991</v>
      </c>
      <c r="M957" s="8">
        <f>[1]Data!M957</f>
        <v>4.0203775234649903</v>
      </c>
      <c r="N957" s="8">
        <f>[1]Data!N957</f>
        <v>4.5454545454545497E-2</v>
      </c>
      <c r="O957" s="8">
        <f>[1]Data!O957</f>
        <v>0</v>
      </c>
      <c r="P957" s="8">
        <f>[1]Data!P957</f>
        <v>1</v>
      </c>
      <c r="Q957" s="8">
        <f>[1]Data!Q957</f>
        <v>0</v>
      </c>
      <c r="R957" s="8">
        <f>[1]Data!R957</f>
        <v>0</v>
      </c>
      <c r="S957" s="8">
        <f>[1]Data!S957</f>
        <v>0</v>
      </c>
      <c r="T957">
        <f t="shared" si="70"/>
        <v>4.5454545454545497E-2</v>
      </c>
      <c r="U957">
        <f t="shared" si="71"/>
        <v>0</v>
      </c>
      <c r="V957" s="4" t="str">
        <f t="shared" si="72"/>
        <v>0</v>
      </c>
      <c r="W957" s="4" t="str">
        <f t="shared" si="73"/>
        <v>7</v>
      </c>
      <c r="X957" s="4" t="str">
        <f t="shared" si="74"/>
        <v>0NON-HS7</v>
      </c>
      <c r="Y957">
        <f>VLOOKUP(X957,Sheet1!$J$5:$K$121,2,FALSE)</f>
        <v>0</v>
      </c>
    </row>
    <row r="958" spans="1:25" x14ac:dyDescent="0.25">
      <c r="A958" s="8">
        <f>[1]Data!A958</f>
        <v>530802</v>
      </c>
      <c r="B958" s="8">
        <f>[1]Data!B958</f>
        <v>7</v>
      </c>
      <c r="C958" s="8">
        <f>[1]Data!C958</f>
        <v>0</v>
      </c>
      <c r="D958" s="8">
        <f>[1]Data!D958</f>
        <v>1</v>
      </c>
      <c r="E958" s="8" t="str">
        <f>[1]Data!E958</f>
        <v>NON-HS</v>
      </c>
      <c r="F958" s="8" t="str">
        <f>[1]Data!F958</f>
        <v>East Los Angeles</v>
      </c>
      <c r="G958" s="8">
        <f>[1]Data!G958</f>
        <v>0</v>
      </c>
      <c r="H958" s="8">
        <f>[1]Data!H958</f>
        <v>0</v>
      </c>
      <c r="I958" s="8">
        <f>[1]Data!I958</f>
        <v>3.903</v>
      </c>
      <c r="J958" s="8">
        <f>[1]Data!J958</f>
        <v>3.7168318299999998</v>
      </c>
      <c r="K958" s="8">
        <f>[1]Data!K958</f>
        <v>3.7168318299999998</v>
      </c>
      <c r="L958" s="8">
        <f>[1]Data!L958</f>
        <v>0.18615811166965901</v>
      </c>
      <c r="M958" s="8">
        <f>[1]Data!M958</f>
        <v>3.9029899416696598</v>
      </c>
      <c r="N958" s="8">
        <f>[1]Data!N958</f>
        <v>4.5454545454545497E-2</v>
      </c>
      <c r="O958" s="8">
        <f>[1]Data!O958</f>
        <v>0</v>
      </c>
      <c r="P958" s="8">
        <f>[1]Data!P958</f>
        <v>1</v>
      </c>
      <c r="Q958" s="8">
        <f>[1]Data!Q958</f>
        <v>0</v>
      </c>
      <c r="R958" s="8">
        <f>[1]Data!R958</f>
        <v>0</v>
      </c>
      <c r="S958" s="8">
        <f>[1]Data!S958</f>
        <v>0</v>
      </c>
      <c r="T958">
        <f t="shared" si="70"/>
        <v>4.5454545454545497E-2</v>
      </c>
      <c r="U958">
        <f t="shared" si="71"/>
        <v>0</v>
      </c>
      <c r="V958" s="4" t="str">
        <f t="shared" si="72"/>
        <v>0</v>
      </c>
      <c r="W958" s="4" t="str">
        <f t="shared" si="73"/>
        <v>7</v>
      </c>
      <c r="X958" s="4" t="str">
        <f t="shared" si="74"/>
        <v>0NON-HS7</v>
      </c>
      <c r="Y958">
        <f>VLOOKUP(X958,Sheet1!$J$5:$K$121,2,FALSE)</f>
        <v>0</v>
      </c>
    </row>
    <row r="959" spans="1:25" x14ac:dyDescent="0.25">
      <c r="A959" s="8">
        <f>[1]Data!A959</f>
        <v>530901</v>
      </c>
      <c r="B959" s="8">
        <f>[1]Data!B959</f>
        <v>7</v>
      </c>
      <c r="C959" s="8">
        <f>[1]Data!C959</f>
        <v>0</v>
      </c>
      <c r="D959" s="8">
        <f>[1]Data!D959</f>
        <v>1</v>
      </c>
      <c r="E959" s="8" t="str">
        <f>[1]Data!E959</f>
        <v>NON-HS</v>
      </c>
      <c r="F959" s="8" t="str">
        <f>[1]Data!F959</f>
        <v>East Los Angeles</v>
      </c>
      <c r="G959" s="8">
        <f>[1]Data!G959</f>
        <v>0</v>
      </c>
      <c r="H959" s="8">
        <f>[1]Data!H959</f>
        <v>0</v>
      </c>
      <c r="I959" s="8">
        <f>[1]Data!I959</f>
        <v>3.8079999999999998</v>
      </c>
      <c r="J959" s="8">
        <f>[1]Data!J959</f>
        <v>1.73313217</v>
      </c>
      <c r="K959" s="8">
        <f>[1]Data!K959</f>
        <v>3.7331321700000002</v>
      </c>
      <c r="L959" s="8">
        <f>[1]Data!L959</f>
        <v>7.4985510287253102E-2</v>
      </c>
      <c r="M959" s="8">
        <f>[1]Data!M959</f>
        <v>3.8081176802872498</v>
      </c>
      <c r="N959" s="8">
        <f>[1]Data!N959</f>
        <v>4.5454545454545497E-2</v>
      </c>
      <c r="O959" s="8">
        <f>[1]Data!O959</f>
        <v>0</v>
      </c>
      <c r="P959" s="8">
        <f>[1]Data!P959</f>
        <v>1</v>
      </c>
      <c r="Q959" s="8">
        <f>[1]Data!Q959</f>
        <v>0</v>
      </c>
      <c r="R959" s="8">
        <f>[1]Data!R959</f>
        <v>0</v>
      </c>
      <c r="S959" s="8">
        <f>[1]Data!S959</f>
        <v>0</v>
      </c>
      <c r="T959">
        <f t="shared" si="70"/>
        <v>4.5454545454545497E-2</v>
      </c>
      <c r="U959">
        <f t="shared" si="71"/>
        <v>0</v>
      </c>
      <c r="V959" s="4" t="str">
        <f t="shared" si="72"/>
        <v>0</v>
      </c>
      <c r="W959" s="4" t="str">
        <f t="shared" si="73"/>
        <v>7</v>
      </c>
      <c r="X959" s="4" t="str">
        <f t="shared" si="74"/>
        <v>0NON-HS7</v>
      </c>
      <c r="Y959">
        <f>VLOOKUP(X959,Sheet1!$J$5:$K$121,2,FALSE)</f>
        <v>0</v>
      </c>
    </row>
    <row r="960" spans="1:25" x14ac:dyDescent="0.25">
      <c r="A960" s="8">
        <f>[1]Data!A960</f>
        <v>531101</v>
      </c>
      <c r="B960" s="8">
        <f>[1]Data!B960</f>
        <v>7</v>
      </c>
      <c r="C960" s="8">
        <f>[1]Data!C960</f>
        <v>0</v>
      </c>
      <c r="D960" s="8">
        <f>[1]Data!D960</f>
        <v>1</v>
      </c>
      <c r="E960" s="8" t="str">
        <f>[1]Data!E960</f>
        <v>NON-HS</v>
      </c>
      <c r="F960" s="8" t="str">
        <f>[1]Data!F960</f>
        <v>East Los Angeles</v>
      </c>
      <c r="G960" s="8">
        <f>[1]Data!G960</f>
        <v>0</v>
      </c>
      <c r="H960" s="8">
        <f>[1]Data!H960</f>
        <v>0</v>
      </c>
      <c r="I960" s="8">
        <f>[1]Data!I960</f>
        <v>5.6859999999999999</v>
      </c>
      <c r="J960" s="8">
        <f>[1]Data!J960</f>
        <v>3.4228962300000001</v>
      </c>
      <c r="K960" s="8">
        <f>[1]Data!K960</f>
        <v>5.4228962300000001</v>
      </c>
      <c r="L960" s="8">
        <f>[1]Data!L960</f>
        <v>0.26262460752244199</v>
      </c>
      <c r="M960" s="8">
        <f>[1]Data!M960</f>
        <v>5.6855208375224402</v>
      </c>
      <c r="N960" s="8">
        <f>[1]Data!N960</f>
        <v>4.5454545454545497E-2</v>
      </c>
      <c r="O960" s="8">
        <f>[1]Data!O960</f>
        <v>0</v>
      </c>
      <c r="P960" s="8">
        <f>[1]Data!P960</f>
        <v>1</v>
      </c>
      <c r="Q960" s="8">
        <f>[1]Data!Q960</f>
        <v>0</v>
      </c>
      <c r="R960" s="8">
        <f>[1]Data!R960</f>
        <v>0</v>
      </c>
      <c r="S960" s="8">
        <f>[1]Data!S960</f>
        <v>0</v>
      </c>
      <c r="T960">
        <f t="shared" si="70"/>
        <v>4.5454545454545497E-2</v>
      </c>
      <c r="U960">
        <f t="shared" si="71"/>
        <v>0</v>
      </c>
      <c r="V960" s="4" t="str">
        <f t="shared" si="72"/>
        <v>0</v>
      </c>
      <c r="W960" s="4" t="str">
        <f t="shared" si="73"/>
        <v>7</v>
      </c>
      <c r="X960" s="4" t="str">
        <f t="shared" si="74"/>
        <v>0NON-HS7</v>
      </c>
      <c r="Y960">
        <f>VLOOKUP(X960,Sheet1!$J$5:$K$121,2,FALSE)</f>
        <v>0</v>
      </c>
    </row>
    <row r="961" spans="1:25" x14ac:dyDescent="0.25">
      <c r="A961" s="8">
        <f>[1]Data!A961</f>
        <v>531301</v>
      </c>
      <c r="B961" s="8">
        <f>[1]Data!B961</f>
        <v>7</v>
      </c>
      <c r="C961" s="8">
        <f>[1]Data!C961</f>
        <v>0</v>
      </c>
      <c r="D961" s="8">
        <f>[1]Data!D961</f>
        <v>1</v>
      </c>
      <c r="E961" s="8" t="str">
        <f>[1]Data!E961</f>
        <v>NON-HS</v>
      </c>
      <c r="F961" s="8" t="str">
        <f>[1]Data!F961</f>
        <v>East Los Angeles</v>
      </c>
      <c r="G961" s="8">
        <f>[1]Data!G961</f>
        <v>0</v>
      </c>
      <c r="H961" s="8">
        <f>[1]Data!H961</f>
        <v>0</v>
      </c>
      <c r="I961" s="8">
        <f>[1]Data!I961</f>
        <v>2</v>
      </c>
      <c r="J961" s="8">
        <f>[1]Data!J961</f>
        <v>0</v>
      </c>
      <c r="K961" s="8">
        <f>[1]Data!K961</f>
        <v>2</v>
      </c>
      <c r="L961" s="8">
        <f>[1]Data!L961</f>
        <v>0</v>
      </c>
      <c r="M961" s="8">
        <f>[1]Data!M961</f>
        <v>2</v>
      </c>
      <c r="N961" s="8">
        <f>[1]Data!N961</f>
        <v>4.5454545454545497E-2</v>
      </c>
      <c r="O961" s="8">
        <f>[1]Data!O961</f>
        <v>0</v>
      </c>
      <c r="P961" s="8">
        <f>[1]Data!P961</f>
        <v>1</v>
      </c>
      <c r="Q961" s="8">
        <f>[1]Data!Q961</f>
        <v>0</v>
      </c>
      <c r="R961" s="8">
        <f>[1]Data!R961</f>
        <v>0</v>
      </c>
      <c r="S961" s="8">
        <f>[1]Data!S961</f>
        <v>0</v>
      </c>
      <c r="T961">
        <f t="shared" si="70"/>
        <v>4.5454545454545497E-2</v>
      </c>
      <c r="U961">
        <f t="shared" si="71"/>
        <v>0</v>
      </c>
      <c r="V961" s="4" t="str">
        <f t="shared" si="72"/>
        <v>0</v>
      </c>
      <c r="W961" s="4" t="str">
        <f t="shared" si="73"/>
        <v>7</v>
      </c>
      <c r="X961" s="4" t="str">
        <f t="shared" si="74"/>
        <v>0NON-HS7</v>
      </c>
      <c r="Y961">
        <f>VLOOKUP(X961,Sheet1!$J$5:$K$121,2,FALSE)</f>
        <v>0</v>
      </c>
    </row>
    <row r="962" spans="1:25" x14ac:dyDescent="0.25">
      <c r="A962" s="8">
        <f>[1]Data!A962</f>
        <v>553200</v>
      </c>
      <c r="B962" s="8">
        <f>[1]Data!B962</f>
        <v>7</v>
      </c>
      <c r="C962" s="8">
        <f>[1]Data!C962</f>
        <v>0</v>
      </c>
      <c r="D962" s="8">
        <f>[1]Data!D962</f>
        <v>4</v>
      </c>
      <c r="E962" s="8" t="str">
        <f>[1]Data!E962</f>
        <v>NON-HS</v>
      </c>
      <c r="F962" s="8" t="str">
        <f>[1]Data!F962</f>
        <v>Bellflower</v>
      </c>
      <c r="G962" s="8">
        <f>[1]Data!G962</f>
        <v>0</v>
      </c>
      <c r="H962" s="8">
        <f>[1]Data!H962</f>
        <v>0</v>
      </c>
      <c r="I962" s="8">
        <f>[1]Data!I962</f>
        <v>3.851</v>
      </c>
      <c r="J962" s="8">
        <f>[1]Data!J962</f>
        <v>3.8097598800000001</v>
      </c>
      <c r="K962" s="8">
        <f>[1]Data!K962</f>
        <v>3.8097598800000001</v>
      </c>
      <c r="L962" s="8">
        <f>[1]Data!L962</f>
        <v>4.1250644165170602E-2</v>
      </c>
      <c r="M962" s="8">
        <f>[1]Data!M962</f>
        <v>3.85101052416517</v>
      </c>
      <c r="N962" s="8">
        <f>[1]Data!N962</f>
        <v>4.5454545454545497E-2</v>
      </c>
      <c r="O962" s="8">
        <f>[1]Data!O962</f>
        <v>0</v>
      </c>
      <c r="P962" s="8">
        <f>[1]Data!P962</f>
        <v>1</v>
      </c>
      <c r="Q962" s="8">
        <f>[1]Data!Q962</f>
        <v>0</v>
      </c>
      <c r="R962" s="8">
        <f>[1]Data!R962</f>
        <v>0</v>
      </c>
      <c r="S962" s="8">
        <f>[1]Data!S962</f>
        <v>0</v>
      </c>
      <c r="T962">
        <f t="shared" si="70"/>
        <v>4.5454545454545497E-2</v>
      </c>
      <c r="U962">
        <f t="shared" si="71"/>
        <v>0</v>
      </c>
      <c r="V962" s="4" t="str">
        <f t="shared" si="72"/>
        <v>0</v>
      </c>
      <c r="W962" s="4" t="str">
        <f t="shared" si="73"/>
        <v>7</v>
      </c>
      <c r="X962" s="4" t="str">
        <f t="shared" si="74"/>
        <v>0NON-HS7</v>
      </c>
      <c r="Y962">
        <f>VLOOKUP(X962,Sheet1!$J$5:$K$121,2,FALSE)</f>
        <v>0</v>
      </c>
    </row>
    <row r="963" spans="1:25" x14ac:dyDescent="0.25">
      <c r="A963" s="8">
        <f>[1]Data!A963</f>
        <v>531604</v>
      </c>
      <c r="B963" s="8">
        <f>[1]Data!B963</f>
        <v>7</v>
      </c>
      <c r="C963" s="8">
        <f>[1]Data!C963</f>
        <v>0</v>
      </c>
      <c r="D963" s="8">
        <f>[1]Data!D963</f>
        <v>1</v>
      </c>
      <c r="E963" s="8" t="str">
        <f>[1]Data!E963</f>
        <v>NON-HS</v>
      </c>
      <c r="F963" s="8" t="str">
        <f>[1]Data!F963</f>
        <v>East Los Angeles</v>
      </c>
      <c r="G963" s="8">
        <f>[1]Data!G963</f>
        <v>0</v>
      </c>
      <c r="H963" s="8">
        <f>[1]Data!H963</f>
        <v>0</v>
      </c>
      <c r="I963" s="8">
        <f>[1]Data!I963</f>
        <v>8.1069999999999993</v>
      </c>
      <c r="J963" s="8">
        <f>[1]Data!J963</f>
        <v>4.7832730799999998</v>
      </c>
      <c r="K963" s="8">
        <f>[1]Data!K963</f>
        <v>7.7832730799999998</v>
      </c>
      <c r="L963" s="8">
        <f>[1]Data!L963</f>
        <v>0.32352933436265702</v>
      </c>
      <c r="M963" s="8">
        <f>[1]Data!M963</f>
        <v>8.1068024143626598</v>
      </c>
      <c r="N963" s="8">
        <f>[1]Data!N963</f>
        <v>4.5454545454545497E-2</v>
      </c>
      <c r="O963" s="8">
        <f>[1]Data!O963</f>
        <v>0</v>
      </c>
      <c r="P963" s="8">
        <f>[1]Data!P963</f>
        <v>1</v>
      </c>
      <c r="Q963" s="8">
        <f>[1]Data!Q963</f>
        <v>0</v>
      </c>
      <c r="R963" s="8">
        <f>[1]Data!R963</f>
        <v>0</v>
      </c>
      <c r="S963" s="8">
        <f>[1]Data!S963</f>
        <v>0</v>
      </c>
      <c r="T963">
        <f t="shared" ref="T963:T1026" si="75">N963+Y963*(1-N963)</f>
        <v>4.5454545454545497E-2</v>
      </c>
      <c r="U963">
        <f t="shared" ref="U963:U1026" si="76">IF(T963="",0,1/T963*H963)</f>
        <v>0</v>
      </c>
      <c r="V963" s="4" t="str">
        <f t="shared" ref="V963:V1026" si="77">TEXT(C963,"0")</f>
        <v>0</v>
      </c>
      <c r="W963" s="4" t="str">
        <f t="shared" ref="W963:W1026" si="78">TEXT(B963,"0")</f>
        <v>7</v>
      </c>
      <c r="X963" s="4" t="str">
        <f t="shared" ref="X963:X1026" si="79">CONCATENATE(V963,E963,W963)</f>
        <v>0NON-HS7</v>
      </c>
      <c r="Y963">
        <f>VLOOKUP(X963,Sheet1!$J$5:$K$121,2,FALSE)</f>
        <v>0</v>
      </c>
    </row>
    <row r="964" spans="1:25" x14ac:dyDescent="0.25">
      <c r="A964" s="8">
        <f>[1]Data!A964</f>
        <v>552002</v>
      </c>
      <c r="B964" s="8">
        <f>[1]Data!B964</f>
        <v>7</v>
      </c>
      <c r="C964" s="8">
        <f>[1]Data!C964</f>
        <v>0</v>
      </c>
      <c r="D964" s="8">
        <f>[1]Data!D964</f>
        <v>4</v>
      </c>
      <c r="E964" s="8" t="str">
        <f>[1]Data!E964</f>
        <v>NON-HS</v>
      </c>
      <c r="F964" s="8" t="str">
        <f>[1]Data!F964</f>
        <v>Norwalk</v>
      </c>
      <c r="G964" s="8">
        <f>[1]Data!G964</f>
        <v>0</v>
      </c>
      <c r="H964" s="8">
        <f>[1]Data!H964</f>
        <v>0</v>
      </c>
      <c r="I964" s="8">
        <f>[1]Data!I964</f>
        <v>10.496</v>
      </c>
      <c r="J964" s="8">
        <f>[1]Data!J964</f>
        <v>9.8874609299999996</v>
      </c>
      <c r="K964" s="8">
        <f>[1]Data!K964</f>
        <v>9.8874609299999996</v>
      </c>
      <c r="L964" s="8">
        <f>[1]Data!L964</f>
        <v>0.60764587364452405</v>
      </c>
      <c r="M964" s="8">
        <f>[1]Data!M964</f>
        <v>10.4951068036445</v>
      </c>
      <c r="N964" s="8">
        <f>[1]Data!N964</f>
        <v>4.5454545454545497E-2</v>
      </c>
      <c r="O964" s="8">
        <f>[1]Data!O964</f>
        <v>0</v>
      </c>
      <c r="P964" s="8">
        <f>[1]Data!P964</f>
        <v>1</v>
      </c>
      <c r="Q964" s="8">
        <f>[1]Data!Q964</f>
        <v>0</v>
      </c>
      <c r="R964" s="8">
        <f>[1]Data!R964</f>
        <v>0</v>
      </c>
      <c r="S964" s="8">
        <f>[1]Data!S964</f>
        <v>0</v>
      </c>
      <c r="T964">
        <f t="shared" si="75"/>
        <v>4.5454545454545497E-2</v>
      </c>
      <c r="U964">
        <f t="shared" si="76"/>
        <v>0</v>
      </c>
      <c r="V964" s="4" t="str">
        <f t="shared" si="77"/>
        <v>0</v>
      </c>
      <c r="W964" s="4" t="str">
        <f t="shared" si="78"/>
        <v>7</v>
      </c>
      <c r="X964" s="4" t="str">
        <f t="shared" si="79"/>
        <v>0NON-HS7</v>
      </c>
      <c r="Y964">
        <f>VLOOKUP(X964,Sheet1!$J$5:$K$121,2,FALSE)</f>
        <v>0</v>
      </c>
    </row>
    <row r="965" spans="1:25" x14ac:dyDescent="0.25">
      <c r="A965" s="8">
        <f>[1]Data!A965</f>
        <v>533104</v>
      </c>
      <c r="B965" s="8">
        <f>[1]Data!B965</f>
        <v>7</v>
      </c>
      <c r="C965" s="8">
        <f>[1]Data!C965</f>
        <v>0</v>
      </c>
      <c r="D965" s="8">
        <f>[1]Data!D965</f>
        <v>1</v>
      </c>
      <c r="E965" s="8" t="str">
        <f>[1]Data!E965</f>
        <v>NON-HS</v>
      </c>
      <c r="F965" s="8" t="str">
        <f>[1]Data!F965</f>
        <v>Huntington Park</v>
      </c>
      <c r="G965" s="8">
        <f>[1]Data!G965</f>
        <v>1</v>
      </c>
      <c r="H965" s="8">
        <f>[1]Data!H965</f>
        <v>1</v>
      </c>
      <c r="I965" s="8">
        <f>[1]Data!I965</f>
        <v>2</v>
      </c>
      <c r="J965" s="8">
        <f>[1]Data!J965</f>
        <v>0</v>
      </c>
      <c r="K965" s="8">
        <f>[1]Data!K965</f>
        <v>2</v>
      </c>
      <c r="L965" s="8">
        <f>[1]Data!L965</f>
        <v>0</v>
      </c>
      <c r="M965" s="8">
        <f>[1]Data!M965</f>
        <v>2</v>
      </c>
      <c r="N965" s="8">
        <f>[1]Data!N965</f>
        <v>4.5454545454545497E-2</v>
      </c>
      <c r="O965" s="8">
        <f>[1]Data!O965</f>
        <v>22</v>
      </c>
      <c r="P965" s="8">
        <f>[1]Data!P965</f>
        <v>1</v>
      </c>
      <c r="Q965" s="8">
        <f>[1]Data!Q965</f>
        <v>0</v>
      </c>
      <c r="R965" s="8">
        <f>[1]Data!R965</f>
        <v>0</v>
      </c>
      <c r="S965" s="8">
        <f>[1]Data!S965</f>
        <v>0</v>
      </c>
      <c r="T965">
        <f t="shared" si="75"/>
        <v>4.5454545454545497E-2</v>
      </c>
      <c r="U965">
        <f t="shared" si="76"/>
        <v>21.999999999999979</v>
      </c>
      <c r="V965" s="4" t="str">
        <f t="shared" si="77"/>
        <v>0</v>
      </c>
      <c r="W965" s="4" t="str">
        <f t="shared" si="78"/>
        <v>7</v>
      </c>
      <c r="X965" s="4" t="str">
        <f t="shared" si="79"/>
        <v>0NON-HS7</v>
      </c>
      <c r="Y965">
        <f>VLOOKUP(X965,Sheet1!$J$5:$K$121,2,FALSE)</f>
        <v>0</v>
      </c>
    </row>
    <row r="966" spans="1:25" x14ac:dyDescent="0.25">
      <c r="A966" s="8">
        <f>[1]Data!A966</f>
        <v>533107</v>
      </c>
      <c r="B966" s="8">
        <f>[1]Data!B966</f>
        <v>7</v>
      </c>
      <c r="C966" s="8">
        <f>[1]Data!C966</f>
        <v>0</v>
      </c>
      <c r="D966" s="8">
        <f>[1]Data!D966</f>
        <v>1</v>
      </c>
      <c r="E966" s="8" t="str">
        <f>[1]Data!E966</f>
        <v>NON-HS</v>
      </c>
      <c r="F966" s="8" t="str">
        <f>[1]Data!F966</f>
        <v>Huntington Park</v>
      </c>
      <c r="G966" s="8">
        <f>[1]Data!G966</f>
        <v>0</v>
      </c>
      <c r="H966" s="8">
        <f>[1]Data!H966</f>
        <v>0</v>
      </c>
      <c r="I966" s="8">
        <f>[1]Data!I966</f>
        <v>0</v>
      </c>
      <c r="J966" s="8">
        <f>[1]Data!J966</f>
        <v>0</v>
      </c>
      <c r="K966" s="8">
        <f>[1]Data!K966</f>
        <v>0</v>
      </c>
      <c r="L966" s="8">
        <f>[1]Data!L966</f>
        <v>0</v>
      </c>
      <c r="M966" s="8">
        <f>[1]Data!M966</f>
        <v>0</v>
      </c>
      <c r="N966" s="8">
        <f>[1]Data!N966</f>
        <v>4.5454545454545497E-2</v>
      </c>
      <c r="O966" s="8">
        <f>[1]Data!O966</f>
        <v>0</v>
      </c>
      <c r="P966" s="8">
        <f>[1]Data!P966</f>
        <v>1</v>
      </c>
      <c r="Q966" s="8">
        <f>[1]Data!Q966</f>
        <v>0</v>
      </c>
      <c r="R966" s="8">
        <f>[1]Data!R966</f>
        <v>0</v>
      </c>
      <c r="S966" s="8">
        <f>[1]Data!S966</f>
        <v>0</v>
      </c>
      <c r="T966">
        <f t="shared" si="75"/>
        <v>4.5454545454545497E-2</v>
      </c>
      <c r="U966">
        <f t="shared" si="76"/>
        <v>0</v>
      </c>
      <c r="V966" s="4" t="str">
        <f t="shared" si="77"/>
        <v>0</v>
      </c>
      <c r="W966" s="4" t="str">
        <f t="shared" si="78"/>
        <v>7</v>
      </c>
      <c r="X966" s="4" t="str">
        <f t="shared" si="79"/>
        <v>0NON-HS7</v>
      </c>
      <c r="Y966">
        <f>VLOOKUP(X966,Sheet1!$J$5:$K$121,2,FALSE)</f>
        <v>0</v>
      </c>
    </row>
    <row r="967" spans="1:25" x14ac:dyDescent="0.25">
      <c r="A967" s="8">
        <f>[1]Data!A967</f>
        <v>533202</v>
      </c>
      <c r="B967" s="8">
        <f>[1]Data!B967</f>
        <v>7</v>
      </c>
      <c r="C967" s="8">
        <f>[1]Data!C967</f>
        <v>0</v>
      </c>
      <c r="D967" s="8">
        <f>[1]Data!D967</f>
        <v>1</v>
      </c>
      <c r="E967" s="8" t="str">
        <f>[1]Data!E967</f>
        <v>NON-HS</v>
      </c>
      <c r="F967" s="8" t="str">
        <f>[1]Data!F967</f>
        <v>Huntington Park</v>
      </c>
      <c r="G967" s="8">
        <f>[1]Data!G967</f>
        <v>0</v>
      </c>
      <c r="H967" s="8">
        <f>[1]Data!H967</f>
        <v>0</v>
      </c>
      <c r="I967" s="8">
        <f>[1]Data!I967</f>
        <v>10.702</v>
      </c>
      <c r="J967" s="8">
        <f>[1]Data!J967</f>
        <v>7.6195197600000002</v>
      </c>
      <c r="K967" s="8">
        <f>[1]Data!K967</f>
        <v>10.619519759999999</v>
      </c>
      <c r="L967" s="8">
        <f>[1]Data!L967</f>
        <v>8.2501288330341094E-2</v>
      </c>
      <c r="M967" s="8">
        <f>[1]Data!M967</f>
        <v>10.7020210483303</v>
      </c>
      <c r="N967" s="8">
        <f>[1]Data!N967</f>
        <v>4.5454545454545497E-2</v>
      </c>
      <c r="O967" s="8">
        <f>[1]Data!O967</f>
        <v>0</v>
      </c>
      <c r="P967" s="8">
        <f>[1]Data!P967</f>
        <v>1</v>
      </c>
      <c r="Q967" s="8">
        <f>[1]Data!Q967</f>
        <v>0</v>
      </c>
      <c r="R967" s="8">
        <f>[1]Data!R967</f>
        <v>0</v>
      </c>
      <c r="S967" s="8">
        <f>[1]Data!S967</f>
        <v>0</v>
      </c>
      <c r="T967">
        <f t="shared" si="75"/>
        <v>4.5454545454545497E-2</v>
      </c>
      <c r="U967">
        <f t="shared" si="76"/>
        <v>0</v>
      </c>
      <c r="V967" s="4" t="str">
        <f t="shared" si="77"/>
        <v>0</v>
      </c>
      <c r="W967" s="4" t="str">
        <f t="shared" si="78"/>
        <v>7</v>
      </c>
      <c r="X967" s="4" t="str">
        <f t="shared" si="79"/>
        <v>0NON-HS7</v>
      </c>
      <c r="Y967">
        <f>VLOOKUP(X967,Sheet1!$J$5:$K$121,2,FALSE)</f>
        <v>0</v>
      </c>
    </row>
    <row r="968" spans="1:25" x14ac:dyDescent="0.25">
      <c r="A968" s="8">
        <f>[1]Data!A968</f>
        <v>533401</v>
      </c>
      <c r="B968" s="8">
        <f>[1]Data!B968</f>
        <v>7</v>
      </c>
      <c r="C968" s="8">
        <f>[1]Data!C968</f>
        <v>0</v>
      </c>
      <c r="D968" s="8">
        <f>[1]Data!D968</f>
        <v>1</v>
      </c>
      <c r="E968" s="8" t="str">
        <f>[1]Data!E968</f>
        <v>NON-HS</v>
      </c>
      <c r="F968" s="8" t="str">
        <f>[1]Data!F968</f>
        <v>Maywood</v>
      </c>
      <c r="G968" s="8">
        <f>[1]Data!G968</f>
        <v>0</v>
      </c>
      <c r="H968" s="8">
        <f>[1]Data!H968</f>
        <v>0</v>
      </c>
      <c r="I968" s="8">
        <f>[1]Data!I968</f>
        <v>0</v>
      </c>
      <c r="J968" s="8">
        <f>[1]Data!J968</f>
        <v>0</v>
      </c>
      <c r="K968" s="8">
        <f>[1]Data!K968</f>
        <v>0</v>
      </c>
      <c r="L968" s="8">
        <f>[1]Data!L968</f>
        <v>0</v>
      </c>
      <c r="M968" s="8">
        <f>[1]Data!M968</f>
        <v>0</v>
      </c>
      <c r="N968" s="8">
        <f>[1]Data!N968</f>
        <v>4.5454545454545497E-2</v>
      </c>
      <c r="O968" s="8">
        <f>[1]Data!O968</f>
        <v>0</v>
      </c>
      <c r="P968" s="8">
        <f>[1]Data!P968</f>
        <v>1</v>
      </c>
      <c r="Q968" s="8">
        <f>[1]Data!Q968</f>
        <v>0</v>
      </c>
      <c r="R968" s="8">
        <f>[1]Data!R968</f>
        <v>0</v>
      </c>
      <c r="S968" s="8">
        <f>[1]Data!S968</f>
        <v>0</v>
      </c>
      <c r="T968">
        <f t="shared" si="75"/>
        <v>4.5454545454545497E-2</v>
      </c>
      <c r="U968">
        <f t="shared" si="76"/>
        <v>0</v>
      </c>
      <c r="V968" s="4" t="str">
        <f t="shared" si="77"/>
        <v>0</v>
      </c>
      <c r="W968" s="4" t="str">
        <f t="shared" si="78"/>
        <v>7</v>
      </c>
      <c r="X968" s="4" t="str">
        <f t="shared" si="79"/>
        <v>0NON-HS7</v>
      </c>
      <c r="Y968">
        <f>VLOOKUP(X968,Sheet1!$J$5:$K$121,2,FALSE)</f>
        <v>0</v>
      </c>
    </row>
    <row r="969" spans="1:25" x14ac:dyDescent="0.25">
      <c r="A969" s="8">
        <f>[1]Data!A969</f>
        <v>551202</v>
      </c>
      <c r="B969" s="8">
        <f>[1]Data!B969</f>
        <v>7</v>
      </c>
      <c r="C969" s="8">
        <f>[1]Data!C969</f>
        <v>0</v>
      </c>
      <c r="D969" s="8">
        <f>[1]Data!D969</f>
        <v>4</v>
      </c>
      <c r="E969" s="8" t="str">
        <f>[1]Data!E969</f>
        <v>NON-HS</v>
      </c>
      <c r="F969" s="8" t="str">
        <f>[1]Data!F969</f>
        <v>Downey</v>
      </c>
      <c r="G969" s="8">
        <f>[1]Data!G969</f>
        <v>0</v>
      </c>
      <c r="H969" s="8">
        <f>[1]Data!H969</f>
        <v>0</v>
      </c>
      <c r="I969" s="8">
        <f>[1]Data!I969</f>
        <v>0</v>
      </c>
      <c r="J969" s="8">
        <f>[1]Data!J969</f>
        <v>0</v>
      </c>
      <c r="K969" s="8">
        <f>[1]Data!K969</f>
        <v>0</v>
      </c>
      <c r="L969" s="8">
        <f>[1]Data!L969</f>
        <v>0</v>
      </c>
      <c r="M969" s="8">
        <f>[1]Data!M969</f>
        <v>0</v>
      </c>
      <c r="N969" s="8">
        <f>[1]Data!N969</f>
        <v>4.5454545454545497E-2</v>
      </c>
      <c r="O969" s="8">
        <f>[1]Data!O969</f>
        <v>0</v>
      </c>
      <c r="P969" s="8">
        <f>[1]Data!P969</f>
        <v>1</v>
      </c>
      <c r="Q969" s="8">
        <f>[1]Data!Q969</f>
        <v>0</v>
      </c>
      <c r="R969" s="8">
        <f>[1]Data!R969</f>
        <v>0</v>
      </c>
      <c r="S969" s="8">
        <f>[1]Data!S969</f>
        <v>0</v>
      </c>
      <c r="T969">
        <f t="shared" si="75"/>
        <v>4.5454545454545497E-2</v>
      </c>
      <c r="U969">
        <f t="shared" si="76"/>
        <v>0</v>
      </c>
      <c r="V969" s="4" t="str">
        <f t="shared" si="77"/>
        <v>0</v>
      </c>
      <c r="W969" s="4" t="str">
        <f t="shared" si="78"/>
        <v>7</v>
      </c>
      <c r="X969" s="4" t="str">
        <f t="shared" si="79"/>
        <v>0NON-HS7</v>
      </c>
      <c r="Y969">
        <f>VLOOKUP(X969,Sheet1!$J$5:$K$121,2,FALSE)</f>
        <v>0</v>
      </c>
    </row>
    <row r="970" spans="1:25" x14ac:dyDescent="0.25">
      <c r="A970" s="8">
        <f>[1]Data!A970</f>
        <v>533502</v>
      </c>
      <c r="B970" s="8">
        <f>[1]Data!B970</f>
        <v>7</v>
      </c>
      <c r="C970" s="8">
        <f>[1]Data!C970</f>
        <v>0</v>
      </c>
      <c r="D970" s="8">
        <f>[1]Data!D970</f>
        <v>1</v>
      </c>
      <c r="E970" s="8" t="str">
        <f>[1]Data!E970</f>
        <v>NON-HS</v>
      </c>
      <c r="F970" s="8" t="str">
        <f>[1]Data!F970</f>
        <v>Huntington Park</v>
      </c>
      <c r="G970" s="8">
        <f>[1]Data!G970</f>
        <v>0</v>
      </c>
      <c r="H970" s="8">
        <f>[1]Data!H970</f>
        <v>0</v>
      </c>
      <c r="I970" s="8">
        <f>[1]Data!I970</f>
        <v>0</v>
      </c>
      <c r="J970" s="8">
        <f>[1]Data!J970</f>
        <v>0</v>
      </c>
      <c r="K970" s="8">
        <f>[1]Data!K970</f>
        <v>0</v>
      </c>
      <c r="L970" s="8">
        <f>[1]Data!L970</f>
        <v>0</v>
      </c>
      <c r="M970" s="8">
        <f>[1]Data!M970</f>
        <v>0</v>
      </c>
      <c r="N970" s="8">
        <f>[1]Data!N970</f>
        <v>4.5454545454545497E-2</v>
      </c>
      <c r="O970" s="8">
        <f>[1]Data!O970</f>
        <v>0</v>
      </c>
      <c r="P970" s="8">
        <f>[1]Data!P970</f>
        <v>1</v>
      </c>
      <c r="Q970" s="8">
        <f>[1]Data!Q970</f>
        <v>0</v>
      </c>
      <c r="R970" s="8">
        <f>[1]Data!R970</f>
        <v>0</v>
      </c>
      <c r="S970" s="8">
        <f>[1]Data!S970</f>
        <v>0</v>
      </c>
      <c r="T970">
        <f t="shared" si="75"/>
        <v>4.5454545454545497E-2</v>
      </c>
      <c r="U970">
        <f t="shared" si="76"/>
        <v>0</v>
      </c>
      <c r="V970" s="4" t="str">
        <f t="shared" si="77"/>
        <v>0</v>
      </c>
      <c r="W970" s="4" t="str">
        <f t="shared" si="78"/>
        <v>7</v>
      </c>
      <c r="X970" s="4" t="str">
        <f t="shared" si="79"/>
        <v>0NON-HS7</v>
      </c>
      <c r="Y970">
        <f>VLOOKUP(X970,Sheet1!$J$5:$K$121,2,FALSE)</f>
        <v>0</v>
      </c>
    </row>
    <row r="971" spans="1:25" x14ac:dyDescent="0.25">
      <c r="A971" s="8">
        <f>[1]Data!A971</f>
        <v>533503</v>
      </c>
      <c r="B971" s="8">
        <f>[1]Data!B971</f>
        <v>7</v>
      </c>
      <c r="C971" s="8">
        <f>[1]Data!C971</f>
        <v>0</v>
      </c>
      <c r="D971" s="8">
        <f>[1]Data!D971</f>
        <v>1</v>
      </c>
      <c r="E971" s="8" t="str">
        <f>[1]Data!E971</f>
        <v>NON-HS</v>
      </c>
      <c r="F971" s="8" t="str">
        <f>[1]Data!F971</f>
        <v>Huntington Park</v>
      </c>
      <c r="G971" s="8">
        <f>[1]Data!G971</f>
        <v>0</v>
      </c>
      <c r="H971" s="8">
        <f>[1]Data!H971</f>
        <v>0</v>
      </c>
      <c r="I971" s="8">
        <f>[1]Data!I971</f>
        <v>0</v>
      </c>
      <c r="J971" s="8">
        <f>[1]Data!J971</f>
        <v>0</v>
      </c>
      <c r="K971" s="8">
        <f>[1]Data!K971</f>
        <v>0</v>
      </c>
      <c r="L971" s="8">
        <f>[1]Data!L971</f>
        <v>0</v>
      </c>
      <c r="M971" s="8">
        <f>[1]Data!M971</f>
        <v>0</v>
      </c>
      <c r="N971" s="8">
        <f>[1]Data!N971</f>
        <v>4.5454545454545497E-2</v>
      </c>
      <c r="O971" s="8">
        <f>[1]Data!O971</f>
        <v>0</v>
      </c>
      <c r="P971" s="8">
        <f>[1]Data!P971</f>
        <v>1</v>
      </c>
      <c r="Q971" s="8">
        <f>[1]Data!Q971</f>
        <v>0</v>
      </c>
      <c r="R971" s="8">
        <f>[1]Data!R971</f>
        <v>0</v>
      </c>
      <c r="S971" s="8">
        <f>[1]Data!S971</f>
        <v>0</v>
      </c>
      <c r="T971">
        <f t="shared" si="75"/>
        <v>4.5454545454545497E-2</v>
      </c>
      <c r="U971">
        <f t="shared" si="76"/>
        <v>0</v>
      </c>
      <c r="V971" s="4" t="str">
        <f t="shared" si="77"/>
        <v>0</v>
      </c>
      <c r="W971" s="4" t="str">
        <f t="shared" si="78"/>
        <v>7</v>
      </c>
      <c r="X971" s="4" t="str">
        <f t="shared" si="79"/>
        <v>0NON-HS7</v>
      </c>
      <c r="Y971">
        <f>VLOOKUP(X971,Sheet1!$J$5:$K$121,2,FALSE)</f>
        <v>0</v>
      </c>
    </row>
    <row r="972" spans="1:25" x14ac:dyDescent="0.25">
      <c r="A972" s="8">
        <f>[1]Data!A972</f>
        <v>533601</v>
      </c>
      <c r="B972" s="8">
        <f>[1]Data!B972</f>
        <v>7</v>
      </c>
      <c r="C972" s="8">
        <f>[1]Data!C972</f>
        <v>0</v>
      </c>
      <c r="D972" s="8">
        <f>[1]Data!D972</f>
        <v>1</v>
      </c>
      <c r="E972" s="8" t="str">
        <f>[1]Data!E972</f>
        <v>NON-HS</v>
      </c>
      <c r="F972" s="8" t="str">
        <f>[1]Data!F972</f>
        <v>Bell</v>
      </c>
      <c r="G972" s="8">
        <f>[1]Data!G972</f>
        <v>0</v>
      </c>
      <c r="H972" s="8">
        <f>[1]Data!H972</f>
        <v>0</v>
      </c>
      <c r="I972" s="8">
        <f>[1]Data!I972</f>
        <v>7.1079999999999997</v>
      </c>
      <c r="J972" s="8">
        <f>[1]Data!J972</f>
        <v>5.0438748599999998</v>
      </c>
      <c r="K972" s="8">
        <f>[1]Data!K972</f>
        <v>7.0438748599999998</v>
      </c>
      <c r="L972" s="8">
        <f>[1]Data!L972</f>
        <v>6.4475795278276501E-2</v>
      </c>
      <c r="M972" s="8">
        <f>[1]Data!M972</f>
        <v>7.1083506552782803</v>
      </c>
      <c r="N972" s="8">
        <f>[1]Data!N972</f>
        <v>4.5454545454545497E-2</v>
      </c>
      <c r="O972" s="8">
        <f>[1]Data!O972</f>
        <v>0</v>
      </c>
      <c r="P972" s="8">
        <f>[1]Data!P972</f>
        <v>1</v>
      </c>
      <c r="Q972" s="8">
        <f>[1]Data!Q972</f>
        <v>0</v>
      </c>
      <c r="R972" s="8">
        <f>[1]Data!R972</f>
        <v>0</v>
      </c>
      <c r="S972" s="8">
        <f>[1]Data!S972</f>
        <v>0</v>
      </c>
      <c r="T972">
        <f t="shared" si="75"/>
        <v>4.5454545454545497E-2</v>
      </c>
      <c r="U972">
        <f t="shared" si="76"/>
        <v>0</v>
      </c>
      <c r="V972" s="4" t="str">
        <f t="shared" si="77"/>
        <v>0</v>
      </c>
      <c r="W972" s="4" t="str">
        <f t="shared" si="78"/>
        <v>7</v>
      </c>
      <c r="X972" s="4" t="str">
        <f t="shared" si="79"/>
        <v>0NON-HS7</v>
      </c>
      <c r="Y972">
        <f>VLOOKUP(X972,Sheet1!$J$5:$K$121,2,FALSE)</f>
        <v>0</v>
      </c>
    </row>
    <row r="973" spans="1:25" x14ac:dyDescent="0.25">
      <c r="A973" s="8">
        <f>[1]Data!A973</f>
        <v>533603</v>
      </c>
      <c r="B973" s="8">
        <f>[1]Data!B973</f>
        <v>7</v>
      </c>
      <c r="C973" s="8">
        <f>[1]Data!C973</f>
        <v>0</v>
      </c>
      <c r="D973" s="8">
        <f>[1]Data!D973</f>
        <v>1</v>
      </c>
      <c r="E973" s="8" t="str">
        <f>[1]Data!E973</f>
        <v>NON-HS</v>
      </c>
      <c r="F973" s="8" t="str">
        <f>[1]Data!F973</f>
        <v>Bell</v>
      </c>
      <c r="G973" s="8">
        <f>[1]Data!G973</f>
        <v>0</v>
      </c>
      <c r="H973" s="8">
        <f>[1]Data!H973</f>
        <v>0</v>
      </c>
      <c r="I973" s="8">
        <f>[1]Data!I973</f>
        <v>0</v>
      </c>
      <c r="J973" s="8">
        <f>[1]Data!J973</f>
        <v>0</v>
      </c>
      <c r="K973" s="8">
        <f>[1]Data!K973</f>
        <v>0</v>
      </c>
      <c r="L973" s="8">
        <f>[1]Data!L973</f>
        <v>0</v>
      </c>
      <c r="M973" s="8">
        <f>[1]Data!M973</f>
        <v>0</v>
      </c>
      <c r="N973" s="8">
        <f>[1]Data!N973</f>
        <v>4.5454545454545497E-2</v>
      </c>
      <c r="O973" s="8">
        <f>[1]Data!O973</f>
        <v>0</v>
      </c>
      <c r="P973" s="8">
        <f>[1]Data!P973</f>
        <v>1</v>
      </c>
      <c r="Q973" s="8">
        <f>[1]Data!Q973</f>
        <v>0</v>
      </c>
      <c r="R973" s="8">
        <f>[1]Data!R973</f>
        <v>0</v>
      </c>
      <c r="S973" s="8">
        <f>[1]Data!S973</f>
        <v>0</v>
      </c>
      <c r="T973">
        <f t="shared" si="75"/>
        <v>4.5454545454545497E-2</v>
      </c>
      <c r="U973">
        <f t="shared" si="76"/>
        <v>0</v>
      </c>
      <c r="V973" s="4" t="str">
        <f t="shared" si="77"/>
        <v>0</v>
      </c>
      <c r="W973" s="4" t="str">
        <f t="shared" si="78"/>
        <v>7</v>
      </c>
      <c r="X973" s="4" t="str">
        <f t="shared" si="79"/>
        <v>0NON-HS7</v>
      </c>
      <c r="Y973">
        <f>VLOOKUP(X973,Sheet1!$J$5:$K$121,2,FALSE)</f>
        <v>0</v>
      </c>
    </row>
    <row r="974" spans="1:25" x14ac:dyDescent="0.25">
      <c r="A974" s="8">
        <f>[1]Data!A974</f>
        <v>550901</v>
      </c>
      <c r="B974" s="8">
        <f>[1]Data!B974</f>
        <v>7</v>
      </c>
      <c r="C974" s="8">
        <f>[1]Data!C974</f>
        <v>0</v>
      </c>
      <c r="D974" s="8">
        <f>[1]Data!D974</f>
        <v>4</v>
      </c>
      <c r="E974" s="8" t="str">
        <f>[1]Data!E974</f>
        <v>NON-HS</v>
      </c>
      <c r="F974" s="8" t="str">
        <f>[1]Data!F974</f>
        <v>Downey</v>
      </c>
      <c r="G974" s="8">
        <f>[1]Data!G974</f>
        <v>0</v>
      </c>
      <c r="H974" s="8">
        <f>[1]Data!H974</f>
        <v>0</v>
      </c>
      <c r="I974" s="8">
        <f>[1]Data!I974</f>
        <v>1</v>
      </c>
      <c r="J974" s="8">
        <f>[1]Data!J974</f>
        <v>0</v>
      </c>
      <c r="K974" s="8">
        <f>[1]Data!K974</f>
        <v>1</v>
      </c>
      <c r="L974" s="8">
        <f>[1]Data!L974</f>
        <v>0</v>
      </c>
      <c r="M974" s="8">
        <f>[1]Data!M974</f>
        <v>1</v>
      </c>
      <c r="N974" s="8">
        <f>[1]Data!N974</f>
        <v>4.5454545454545497E-2</v>
      </c>
      <c r="O974" s="8">
        <f>[1]Data!O974</f>
        <v>0</v>
      </c>
      <c r="P974" s="8">
        <f>[1]Data!P974</f>
        <v>1</v>
      </c>
      <c r="Q974" s="8">
        <f>[1]Data!Q974</f>
        <v>0</v>
      </c>
      <c r="R974" s="8">
        <f>[1]Data!R974</f>
        <v>0</v>
      </c>
      <c r="S974" s="8">
        <f>[1]Data!S974</f>
        <v>0</v>
      </c>
      <c r="T974">
        <f t="shared" si="75"/>
        <v>4.5454545454545497E-2</v>
      </c>
      <c r="U974">
        <f t="shared" si="76"/>
        <v>0</v>
      </c>
      <c r="V974" s="4" t="str">
        <f t="shared" si="77"/>
        <v>0</v>
      </c>
      <c r="W974" s="4" t="str">
        <f t="shared" si="78"/>
        <v>7</v>
      </c>
      <c r="X974" s="4" t="str">
        <f t="shared" si="79"/>
        <v>0NON-HS7</v>
      </c>
      <c r="Y974">
        <f>VLOOKUP(X974,Sheet1!$J$5:$K$121,2,FALSE)</f>
        <v>0</v>
      </c>
    </row>
    <row r="975" spans="1:25" x14ac:dyDescent="0.25">
      <c r="A975" s="8">
        <f>[1]Data!A975</f>
        <v>533803</v>
      </c>
      <c r="B975" s="8">
        <f>[1]Data!B975</f>
        <v>7</v>
      </c>
      <c r="C975" s="8">
        <f>[1]Data!C975</f>
        <v>0</v>
      </c>
      <c r="D975" s="8">
        <f>[1]Data!D975</f>
        <v>1</v>
      </c>
      <c r="E975" s="8" t="str">
        <f>[1]Data!E975</f>
        <v>NON-HS</v>
      </c>
      <c r="F975" s="8" t="str">
        <f>[1]Data!F975</f>
        <v>Bell</v>
      </c>
      <c r="G975" s="8">
        <f>[1]Data!G975</f>
        <v>0</v>
      </c>
      <c r="H975" s="8">
        <f>[1]Data!H975</f>
        <v>0</v>
      </c>
      <c r="I975" s="8">
        <f>[1]Data!I975</f>
        <v>7.7770000000000001</v>
      </c>
      <c r="J975" s="8">
        <f>[1]Data!J975</f>
        <v>5.7146398200000004</v>
      </c>
      <c r="K975" s="8">
        <f>[1]Data!K975</f>
        <v>7.7146398200000004</v>
      </c>
      <c r="L975" s="8">
        <f>[1]Data!L975</f>
        <v>6.18759662477558E-2</v>
      </c>
      <c r="M975" s="8">
        <f>[1]Data!M975</f>
        <v>7.7765157862477601</v>
      </c>
      <c r="N975" s="8">
        <f>[1]Data!N975</f>
        <v>4.5454545454545497E-2</v>
      </c>
      <c r="O975" s="8">
        <f>[1]Data!O975</f>
        <v>0</v>
      </c>
      <c r="P975" s="8">
        <f>[1]Data!P975</f>
        <v>1</v>
      </c>
      <c r="Q975" s="8">
        <f>[1]Data!Q975</f>
        <v>0</v>
      </c>
      <c r="R975" s="8">
        <f>[1]Data!R975</f>
        <v>0</v>
      </c>
      <c r="S975" s="8">
        <f>[1]Data!S975</f>
        <v>0</v>
      </c>
      <c r="T975">
        <f t="shared" si="75"/>
        <v>4.5454545454545497E-2</v>
      </c>
      <c r="U975">
        <f t="shared" si="76"/>
        <v>0</v>
      </c>
      <c r="V975" s="4" t="str">
        <f t="shared" si="77"/>
        <v>0</v>
      </c>
      <c r="W975" s="4" t="str">
        <f t="shared" si="78"/>
        <v>7</v>
      </c>
      <c r="X975" s="4" t="str">
        <f t="shared" si="79"/>
        <v>0NON-HS7</v>
      </c>
      <c r="Y975">
        <f>VLOOKUP(X975,Sheet1!$J$5:$K$121,2,FALSE)</f>
        <v>0</v>
      </c>
    </row>
    <row r="976" spans="1:25" x14ac:dyDescent="0.25">
      <c r="A976" s="8">
        <f>[1]Data!A976</f>
        <v>533805</v>
      </c>
      <c r="B976" s="8">
        <f>[1]Data!B976</f>
        <v>7</v>
      </c>
      <c r="C976" s="8">
        <f>[1]Data!C976</f>
        <v>0</v>
      </c>
      <c r="D976" s="8">
        <f>[1]Data!D976</f>
        <v>1</v>
      </c>
      <c r="E976" s="8" t="str">
        <f>[1]Data!E976</f>
        <v>NON-HS</v>
      </c>
      <c r="F976" s="8" t="str">
        <f>[1]Data!F976</f>
        <v>Bell</v>
      </c>
      <c r="G976" s="8">
        <f>[1]Data!G976</f>
        <v>0</v>
      </c>
      <c r="H976" s="8">
        <f>[1]Data!H976</f>
        <v>0</v>
      </c>
      <c r="I976" s="8">
        <f>[1]Data!I976</f>
        <v>2.8079999999999998</v>
      </c>
      <c r="J976" s="8">
        <f>[1]Data!J976</f>
        <v>1.73313217</v>
      </c>
      <c r="K976" s="8">
        <f>[1]Data!K976</f>
        <v>2.7331321700000002</v>
      </c>
      <c r="L976" s="8">
        <f>[1]Data!L976</f>
        <v>7.4985510287253102E-2</v>
      </c>
      <c r="M976" s="8">
        <f>[1]Data!M976</f>
        <v>2.8081176802872498</v>
      </c>
      <c r="N976" s="8">
        <f>[1]Data!N976</f>
        <v>4.5454545454545497E-2</v>
      </c>
      <c r="O976" s="8">
        <f>[1]Data!O976</f>
        <v>0</v>
      </c>
      <c r="P976" s="8">
        <f>[1]Data!P976</f>
        <v>1</v>
      </c>
      <c r="Q976" s="8">
        <f>[1]Data!Q976</f>
        <v>0</v>
      </c>
      <c r="R976" s="8">
        <f>[1]Data!R976</f>
        <v>0</v>
      </c>
      <c r="S976" s="8">
        <f>[1]Data!S976</f>
        <v>0</v>
      </c>
      <c r="T976">
        <f t="shared" si="75"/>
        <v>4.5454545454545497E-2</v>
      </c>
      <c r="U976">
        <f t="shared" si="76"/>
        <v>0</v>
      </c>
      <c r="V976" s="4" t="str">
        <f t="shared" si="77"/>
        <v>0</v>
      </c>
      <c r="W976" s="4" t="str">
        <f t="shared" si="78"/>
        <v>7</v>
      </c>
      <c r="X976" s="4" t="str">
        <f t="shared" si="79"/>
        <v>0NON-HS7</v>
      </c>
      <c r="Y976">
        <f>VLOOKUP(X976,Sheet1!$J$5:$K$121,2,FALSE)</f>
        <v>0</v>
      </c>
    </row>
    <row r="977" spans="1:25" x14ac:dyDescent="0.25">
      <c r="A977" s="8">
        <f>[1]Data!A977</f>
        <v>533902</v>
      </c>
      <c r="B977" s="8">
        <f>[1]Data!B977</f>
        <v>7</v>
      </c>
      <c r="C977" s="8">
        <f>[1]Data!C977</f>
        <v>0</v>
      </c>
      <c r="D977" s="8">
        <f>[1]Data!D977</f>
        <v>1</v>
      </c>
      <c r="E977" s="8" t="str">
        <f>[1]Data!E977</f>
        <v>NON-HS</v>
      </c>
      <c r="F977" s="8" t="str">
        <f>[1]Data!F977</f>
        <v>Bell Gardens</v>
      </c>
      <c r="G977" s="8">
        <f>[1]Data!G977</f>
        <v>0</v>
      </c>
      <c r="H977" s="8">
        <f>[1]Data!H977</f>
        <v>0</v>
      </c>
      <c r="I977" s="8">
        <f>[1]Data!I977</f>
        <v>5.9029999999999996</v>
      </c>
      <c r="J977" s="8">
        <f>[1]Data!J977</f>
        <v>3.7168318299999998</v>
      </c>
      <c r="K977" s="8">
        <f>[1]Data!K977</f>
        <v>5.7168318300000003</v>
      </c>
      <c r="L977" s="8">
        <f>[1]Data!L977</f>
        <v>0.18615811166965901</v>
      </c>
      <c r="M977" s="8">
        <f>[1]Data!M977</f>
        <v>5.9029899416696603</v>
      </c>
      <c r="N977" s="8">
        <f>[1]Data!N977</f>
        <v>4.5454545454545497E-2</v>
      </c>
      <c r="O977" s="8">
        <f>[1]Data!O977</f>
        <v>0</v>
      </c>
      <c r="P977" s="8">
        <f>[1]Data!P977</f>
        <v>1</v>
      </c>
      <c r="Q977" s="8">
        <f>[1]Data!Q977</f>
        <v>0</v>
      </c>
      <c r="R977" s="8">
        <f>[1]Data!R977</f>
        <v>0</v>
      </c>
      <c r="S977" s="8">
        <f>[1]Data!S977</f>
        <v>0</v>
      </c>
      <c r="T977">
        <f t="shared" si="75"/>
        <v>4.5454545454545497E-2</v>
      </c>
      <c r="U977">
        <f t="shared" si="76"/>
        <v>0</v>
      </c>
      <c r="V977" s="4" t="str">
        <f t="shared" si="77"/>
        <v>0</v>
      </c>
      <c r="W977" s="4" t="str">
        <f t="shared" si="78"/>
        <v>7</v>
      </c>
      <c r="X977" s="4" t="str">
        <f t="shared" si="79"/>
        <v>0NON-HS7</v>
      </c>
      <c r="Y977">
        <f>VLOOKUP(X977,Sheet1!$J$5:$K$121,2,FALSE)</f>
        <v>0</v>
      </c>
    </row>
    <row r="978" spans="1:25" x14ac:dyDescent="0.25">
      <c r="A978" s="8">
        <f>[1]Data!A978</f>
        <v>550000</v>
      </c>
      <c r="B978" s="8">
        <f>[1]Data!B978</f>
        <v>7</v>
      </c>
      <c r="C978" s="8">
        <f>[1]Data!C978</f>
        <v>0</v>
      </c>
      <c r="D978" s="8">
        <f>[1]Data!D978</f>
        <v>4</v>
      </c>
      <c r="E978" s="8" t="str">
        <f>[1]Data!E978</f>
        <v>NON-HS</v>
      </c>
      <c r="F978" s="8" t="str">
        <f>[1]Data!F978</f>
        <v>Norwalk</v>
      </c>
      <c r="G978" s="8">
        <f>[1]Data!G978</f>
        <v>0</v>
      </c>
      <c r="H978" s="8">
        <f>[1]Data!H978</f>
        <v>0</v>
      </c>
      <c r="I978" s="8">
        <f>[1]Data!I978</f>
        <v>0</v>
      </c>
      <c r="J978" s="8">
        <f>[1]Data!J978</f>
        <v>0</v>
      </c>
      <c r="K978" s="8">
        <f>[1]Data!K978</f>
        <v>0</v>
      </c>
      <c r="L978" s="8">
        <f>[1]Data!L978</f>
        <v>0</v>
      </c>
      <c r="M978" s="8">
        <f>[1]Data!M978</f>
        <v>0</v>
      </c>
      <c r="N978" s="8">
        <f>[1]Data!N978</f>
        <v>4.5454545454545497E-2</v>
      </c>
      <c r="O978" s="8">
        <f>[1]Data!O978</f>
        <v>0</v>
      </c>
      <c r="P978" s="8">
        <f>[1]Data!P978</f>
        <v>1</v>
      </c>
      <c r="Q978" s="8">
        <f>[1]Data!Q978</f>
        <v>0</v>
      </c>
      <c r="R978" s="8">
        <f>[1]Data!R978</f>
        <v>0</v>
      </c>
      <c r="S978" s="8">
        <f>[1]Data!S978</f>
        <v>0</v>
      </c>
      <c r="T978">
        <f t="shared" si="75"/>
        <v>4.5454545454545497E-2</v>
      </c>
      <c r="U978">
        <f t="shared" si="76"/>
        <v>0</v>
      </c>
      <c r="V978" s="4" t="str">
        <f t="shared" si="77"/>
        <v>0</v>
      </c>
      <c r="W978" s="4" t="str">
        <f t="shared" si="78"/>
        <v>7</v>
      </c>
      <c r="X978" s="4" t="str">
        <f t="shared" si="79"/>
        <v>0NON-HS7</v>
      </c>
      <c r="Y978">
        <f>VLOOKUP(X978,Sheet1!$J$5:$K$121,2,FALSE)</f>
        <v>0</v>
      </c>
    </row>
    <row r="979" spans="1:25" x14ac:dyDescent="0.25">
      <c r="A979" s="8">
        <f>[1]Data!A979</f>
        <v>534002</v>
      </c>
      <c r="B979" s="8">
        <f>[1]Data!B979</f>
        <v>7</v>
      </c>
      <c r="C979" s="8">
        <f>[1]Data!C979</f>
        <v>0</v>
      </c>
      <c r="D979" s="8">
        <f>[1]Data!D979</f>
        <v>1</v>
      </c>
      <c r="E979" s="8" t="str">
        <f>[1]Data!E979</f>
        <v>NON-HS</v>
      </c>
      <c r="F979" s="8" t="str">
        <f>[1]Data!F979</f>
        <v>Bell Gardens</v>
      </c>
      <c r="G979" s="8">
        <f>[1]Data!G979</f>
        <v>0</v>
      </c>
      <c r="H979" s="8">
        <f>[1]Data!H979</f>
        <v>0</v>
      </c>
      <c r="I979" s="8">
        <f>[1]Data!I979</f>
        <v>9.3019999999999996</v>
      </c>
      <c r="J979" s="8">
        <f>[1]Data!J979</f>
        <v>6.8891605699999996</v>
      </c>
      <c r="K979" s="8">
        <f>[1]Data!K979</f>
        <v>8.8891605699999996</v>
      </c>
      <c r="L979" s="8">
        <f>[1]Data!L979</f>
        <v>0.412595628096948</v>
      </c>
      <c r="M979" s="8">
        <f>[1]Data!M979</f>
        <v>9.3017561980969496</v>
      </c>
      <c r="N979" s="8">
        <f>[1]Data!N979</f>
        <v>4.5454545454545497E-2</v>
      </c>
      <c r="O979" s="8">
        <f>[1]Data!O979</f>
        <v>0</v>
      </c>
      <c r="P979" s="8">
        <f>[1]Data!P979</f>
        <v>1</v>
      </c>
      <c r="Q979" s="8">
        <f>[1]Data!Q979</f>
        <v>0</v>
      </c>
      <c r="R979" s="8">
        <f>[1]Data!R979</f>
        <v>0</v>
      </c>
      <c r="S979" s="8">
        <f>[1]Data!S979</f>
        <v>0</v>
      </c>
      <c r="T979">
        <f t="shared" si="75"/>
        <v>4.5454545454545497E-2</v>
      </c>
      <c r="U979">
        <f t="shared" si="76"/>
        <v>0</v>
      </c>
      <c r="V979" s="4" t="str">
        <f t="shared" si="77"/>
        <v>0</v>
      </c>
      <c r="W979" s="4" t="str">
        <f t="shared" si="78"/>
        <v>7</v>
      </c>
      <c r="X979" s="4" t="str">
        <f t="shared" si="79"/>
        <v>0NON-HS7</v>
      </c>
      <c r="Y979">
        <f>VLOOKUP(X979,Sheet1!$J$5:$K$121,2,FALSE)</f>
        <v>0</v>
      </c>
    </row>
    <row r="980" spans="1:25" x14ac:dyDescent="0.25">
      <c r="A980" s="8">
        <f>[1]Data!A980</f>
        <v>534102</v>
      </c>
      <c r="B980" s="8">
        <f>[1]Data!B980</f>
        <v>7</v>
      </c>
      <c r="C980" s="8">
        <f>[1]Data!C980</f>
        <v>0</v>
      </c>
      <c r="D980" s="8">
        <f>[1]Data!D980</f>
        <v>1</v>
      </c>
      <c r="E980" s="8" t="str">
        <f>[1]Data!E980</f>
        <v>NON-HS</v>
      </c>
      <c r="F980" s="8" t="str">
        <f>[1]Data!F980</f>
        <v>Bell Gardens</v>
      </c>
      <c r="G980" s="8">
        <f>[1]Data!G980</f>
        <v>0</v>
      </c>
      <c r="H980" s="8">
        <f>[1]Data!H980</f>
        <v>0</v>
      </c>
      <c r="I980" s="8">
        <f>[1]Data!I980</f>
        <v>9.5370000000000008</v>
      </c>
      <c r="J980" s="8">
        <f>[1]Data!J980</f>
        <v>7.2326561099999997</v>
      </c>
      <c r="K980" s="8">
        <f>[1]Data!K980</f>
        <v>9.2326561100000006</v>
      </c>
      <c r="L980" s="8">
        <f>[1]Data!L980</f>
        <v>0.30387525168761198</v>
      </c>
      <c r="M980" s="8">
        <f>[1]Data!M980</f>
        <v>9.5365313616876097</v>
      </c>
      <c r="N980" s="8">
        <f>[1]Data!N980</f>
        <v>4.5454545454545497E-2</v>
      </c>
      <c r="O980" s="8">
        <f>[1]Data!O980</f>
        <v>0</v>
      </c>
      <c r="P980" s="8">
        <f>[1]Data!P980</f>
        <v>1</v>
      </c>
      <c r="Q980" s="8">
        <f>[1]Data!Q980</f>
        <v>0</v>
      </c>
      <c r="R980" s="8">
        <f>[1]Data!R980</f>
        <v>0</v>
      </c>
      <c r="S980" s="8">
        <f>[1]Data!S980</f>
        <v>0</v>
      </c>
      <c r="T980">
        <f t="shared" si="75"/>
        <v>4.5454545454545497E-2</v>
      </c>
      <c r="U980">
        <f t="shared" si="76"/>
        <v>0</v>
      </c>
      <c r="V980" s="4" t="str">
        <f t="shared" si="77"/>
        <v>0</v>
      </c>
      <c r="W980" s="4" t="str">
        <f t="shared" si="78"/>
        <v>7</v>
      </c>
      <c r="X980" s="4" t="str">
        <f t="shared" si="79"/>
        <v>0NON-HS7</v>
      </c>
      <c r="Y980">
        <f>VLOOKUP(X980,Sheet1!$J$5:$K$121,2,FALSE)</f>
        <v>0</v>
      </c>
    </row>
    <row r="981" spans="1:25" x14ac:dyDescent="0.25">
      <c r="A981" s="8">
        <f>[1]Data!A981</f>
        <v>534202</v>
      </c>
      <c r="B981" s="8">
        <f>[1]Data!B981</f>
        <v>7</v>
      </c>
      <c r="C981" s="8">
        <f>[1]Data!C981</f>
        <v>0</v>
      </c>
      <c r="D981" s="8">
        <f>[1]Data!D981</f>
        <v>1</v>
      </c>
      <c r="E981" s="8" t="str">
        <f>[1]Data!E981</f>
        <v>NON-HS</v>
      </c>
      <c r="F981" s="8" t="str">
        <f>[1]Data!F981</f>
        <v>Bell Gardens</v>
      </c>
      <c r="G981" s="8">
        <f>[1]Data!G981</f>
        <v>0</v>
      </c>
      <c r="H981" s="8">
        <f>[1]Data!H981</f>
        <v>0</v>
      </c>
      <c r="I981" s="8">
        <f>[1]Data!I981</f>
        <v>6.6859999999999999</v>
      </c>
      <c r="J981" s="8">
        <f>[1]Data!J981</f>
        <v>3.4228962300000001</v>
      </c>
      <c r="K981" s="8">
        <f>[1]Data!K981</f>
        <v>6.4228962300000001</v>
      </c>
      <c r="L981" s="8">
        <f>[1]Data!L981</f>
        <v>0.26262460752244199</v>
      </c>
      <c r="M981" s="8">
        <f>[1]Data!M981</f>
        <v>6.6855208375224402</v>
      </c>
      <c r="N981" s="8">
        <f>[1]Data!N981</f>
        <v>4.5454545454545497E-2</v>
      </c>
      <c r="O981" s="8">
        <f>[1]Data!O981</f>
        <v>0</v>
      </c>
      <c r="P981" s="8">
        <f>[1]Data!P981</f>
        <v>1</v>
      </c>
      <c r="Q981" s="8">
        <f>[1]Data!Q981</f>
        <v>0</v>
      </c>
      <c r="R981" s="8">
        <f>[1]Data!R981</f>
        <v>0</v>
      </c>
      <c r="S981" s="8">
        <f>[1]Data!S981</f>
        <v>0</v>
      </c>
      <c r="T981">
        <f t="shared" si="75"/>
        <v>4.5454545454545497E-2</v>
      </c>
      <c r="U981">
        <f t="shared" si="76"/>
        <v>0</v>
      </c>
      <c r="V981" s="4" t="str">
        <f t="shared" si="77"/>
        <v>0</v>
      </c>
      <c r="W981" s="4" t="str">
        <f t="shared" si="78"/>
        <v>7</v>
      </c>
      <c r="X981" s="4" t="str">
        <f t="shared" si="79"/>
        <v>0NON-HS7</v>
      </c>
      <c r="Y981">
        <f>VLOOKUP(X981,Sheet1!$J$5:$K$121,2,FALSE)</f>
        <v>0</v>
      </c>
    </row>
    <row r="982" spans="1:25" x14ac:dyDescent="0.25">
      <c r="A982" s="8">
        <f>[1]Data!A982</f>
        <v>535702</v>
      </c>
      <c r="B982" s="8">
        <f>[1]Data!B982</f>
        <v>7</v>
      </c>
      <c r="C982" s="8">
        <f>[1]Data!C982</f>
        <v>0</v>
      </c>
      <c r="D982" s="8">
        <f>[1]Data!D982</f>
        <v>1</v>
      </c>
      <c r="E982" s="8" t="str">
        <f>[1]Data!E982</f>
        <v>NON-HS</v>
      </c>
      <c r="F982" s="8" t="str">
        <f>[1]Data!F982</f>
        <v>South Gate</v>
      </c>
      <c r="G982" s="8">
        <f>[1]Data!G982</f>
        <v>0</v>
      </c>
      <c r="H982" s="8">
        <f>[1]Data!H982</f>
        <v>0</v>
      </c>
      <c r="I982" s="8">
        <f>[1]Data!I982</f>
        <v>9.1159999999999997</v>
      </c>
      <c r="J982" s="8">
        <f>[1]Data!J982</f>
        <v>5.87227926</v>
      </c>
      <c r="K982" s="8">
        <f>[1]Data!K982</f>
        <v>8.8722792599999991</v>
      </c>
      <c r="L982" s="8">
        <f>[1]Data!L982</f>
        <v>0.24297052484739701</v>
      </c>
      <c r="M982" s="8">
        <f>[1]Data!M982</f>
        <v>9.1152497848473999</v>
      </c>
      <c r="N982" s="8">
        <f>[1]Data!N982</f>
        <v>4.5454545454545497E-2</v>
      </c>
      <c r="O982" s="8">
        <f>[1]Data!O982</f>
        <v>0</v>
      </c>
      <c r="P982" s="8">
        <f>[1]Data!P982</f>
        <v>1</v>
      </c>
      <c r="Q982" s="8">
        <f>[1]Data!Q982</f>
        <v>0</v>
      </c>
      <c r="R982" s="8">
        <f>[1]Data!R982</f>
        <v>0</v>
      </c>
      <c r="S982" s="8">
        <f>[1]Data!S982</f>
        <v>0</v>
      </c>
      <c r="T982">
        <f t="shared" si="75"/>
        <v>4.5454545454545497E-2</v>
      </c>
      <c r="U982">
        <f t="shared" si="76"/>
        <v>0</v>
      </c>
      <c r="V982" s="4" t="str">
        <f t="shared" si="77"/>
        <v>0</v>
      </c>
      <c r="W982" s="4" t="str">
        <f t="shared" si="78"/>
        <v>7</v>
      </c>
      <c r="X982" s="4" t="str">
        <f t="shared" si="79"/>
        <v>0NON-HS7</v>
      </c>
      <c r="Y982">
        <f>VLOOKUP(X982,Sheet1!$J$5:$K$121,2,FALSE)</f>
        <v>0</v>
      </c>
    </row>
    <row r="983" spans="1:25" x14ac:dyDescent="0.25">
      <c r="A983" s="8">
        <f>[1]Data!A983</f>
        <v>535605</v>
      </c>
      <c r="B983" s="8">
        <f>[1]Data!B983</f>
        <v>7</v>
      </c>
      <c r="C983" s="8">
        <f>[1]Data!C983</f>
        <v>0</v>
      </c>
      <c r="D983" s="8">
        <f>[1]Data!D983</f>
        <v>1</v>
      </c>
      <c r="E983" s="8" t="str">
        <f>[1]Data!E983</f>
        <v>NON-HS</v>
      </c>
      <c r="F983" s="8" t="str">
        <f>[1]Data!F983</f>
        <v>South Gate</v>
      </c>
      <c r="G983" s="8">
        <f>[1]Data!G983</f>
        <v>0</v>
      </c>
      <c r="H983" s="8">
        <f>[1]Data!H983</f>
        <v>0</v>
      </c>
      <c r="I983" s="8">
        <f>[1]Data!I983</f>
        <v>3</v>
      </c>
      <c r="J983" s="8">
        <f>[1]Data!J983</f>
        <v>0</v>
      </c>
      <c r="K983" s="8">
        <f>[1]Data!K983</f>
        <v>3</v>
      </c>
      <c r="L983" s="8">
        <f>[1]Data!L983</f>
        <v>0</v>
      </c>
      <c r="M983" s="8">
        <f>[1]Data!M983</f>
        <v>3</v>
      </c>
      <c r="N983" s="8">
        <f>[1]Data!N983</f>
        <v>4.5454545454545497E-2</v>
      </c>
      <c r="O983" s="8">
        <f>[1]Data!O983</f>
        <v>0</v>
      </c>
      <c r="P983" s="8">
        <f>[1]Data!P983</f>
        <v>1</v>
      </c>
      <c r="Q983" s="8">
        <f>[1]Data!Q983</f>
        <v>0</v>
      </c>
      <c r="R983" s="8">
        <f>[1]Data!R983</f>
        <v>0</v>
      </c>
      <c r="S983" s="8">
        <f>[1]Data!S983</f>
        <v>0</v>
      </c>
      <c r="T983">
        <f t="shared" si="75"/>
        <v>4.5454545454545497E-2</v>
      </c>
      <c r="U983">
        <f t="shared" si="76"/>
        <v>0</v>
      </c>
      <c r="V983" s="4" t="str">
        <f t="shared" si="77"/>
        <v>0</v>
      </c>
      <c r="W983" s="4" t="str">
        <f t="shared" si="78"/>
        <v>7</v>
      </c>
      <c r="X983" s="4" t="str">
        <f t="shared" si="79"/>
        <v>0NON-HS7</v>
      </c>
      <c r="Y983">
        <f>VLOOKUP(X983,Sheet1!$J$5:$K$121,2,FALSE)</f>
        <v>0</v>
      </c>
    </row>
    <row r="984" spans="1:25" x14ac:dyDescent="0.25">
      <c r="A984" s="8">
        <f>[1]Data!A984</f>
        <v>534301</v>
      </c>
      <c r="B984" s="8">
        <f>[1]Data!B984</f>
        <v>7</v>
      </c>
      <c r="C984" s="8">
        <f>[1]Data!C984</f>
        <v>0</v>
      </c>
      <c r="D984" s="8">
        <f>[1]Data!D984</f>
        <v>1</v>
      </c>
      <c r="E984" s="8" t="str">
        <f>[1]Data!E984</f>
        <v>NON-HS</v>
      </c>
      <c r="F984" s="8" t="str">
        <f>[1]Data!F984</f>
        <v>Cudahy</v>
      </c>
      <c r="G984" s="8">
        <f>[1]Data!G984</f>
        <v>0</v>
      </c>
      <c r="H984" s="8">
        <f>[1]Data!H984</f>
        <v>0</v>
      </c>
      <c r="I984" s="8">
        <f>[1]Data!I984</f>
        <v>2</v>
      </c>
      <c r="J984" s="8">
        <f>[1]Data!J984</f>
        <v>0</v>
      </c>
      <c r="K984" s="8">
        <f>[1]Data!K984</f>
        <v>2</v>
      </c>
      <c r="L984" s="8">
        <f>[1]Data!L984</f>
        <v>0</v>
      </c>
      <c r="M984" s="8">
        <f>[1]Data!M984</f>
        <v>2</v>
      </c>
      <c r="N984" s="8">
        <f>[1]Data!N984</f>
        <v>4.5454545454545497E-2</v>
      </c>
      <c r="O984" s="8">
        <f>[1]Data!O984</f>
        <v>0</v>
      </c>
      <c r="P984" s="8">
        <f>[1]Data!P984</f>
        <v>1</v>
      </c>
      <c r="Q984" s="8">
        <f>[1]Data!Q984</f>
        <v>0</v>
      </c>
      <c r="R984" s="8">
        <f>[1]Data!R984</f>
        <v>0</v>
      </c>
      <c r="S984" s="8">
        <f>[1]Data!S984</f>
        <v>0</v>
      </c>
      <c r="T984">
        <f t="shared" si="75"/>
        <v>4.5454545454545497E-2</v>
      </c>
      <c r="U984">
        <f t="shared" si="76"/>
        <v>0</v>
      </c>
      <c r="V984" s="4" t="str">
        <f t="shared" si="77"/>
        <v>0</v>
      </c>
      <c r="W984" s="4" t="str">
        <f t="shared" si="78"/>
        <v>7</v>
      </c>
      <c r="X984" s="4" t="str">
        <f t="shared" si="79"/>
        <v>0NON-HS7</v>
      </c>
      <c r="Y984">
        <f>VLOOKUP(X984,Sheet1!$J$5:$K$121,2,FALSE)</f>
        <v>0</v>
      </c>
    </row>
    <row r="985" spans="1:25" x14ac:dyDescent="0.25">
      <c r="A985" s="8">
        <f>[1]Data!A985</f>
        <v>534404</v>
      </c>
      <c r="B985" s="8">
        <f>[1]Data!B985</f>
        <v>7</v>
      </c>
      <c r="C985" s="8">
        <f>[1]Data!C985</f>
        <v>0</v>
      </c>
      <c r="D985" s="8">
        <f>[1]Data!D985</f>
        <v>1</v>
      </c>
      <c r="E985" s="8" t="str">
        <f>[1]Data!E985</f>
        <v>NON-HS</v>
      </c>
      <c r="F985" s="8" t="str">
        <f>[1]Data!F985</f>
        <v>Cudahy</v>
      </c>
      <c r="G985" s="8">
        <f>[1]Data!G985</f>
        <v>1</v>
      </c>
      <c r="H985" s="8">
        <f>[1]Data!H985</f>
        <v>1</v>
      </c>
      <c r="I985" s="8">
        <f>[1]Data!I985</f>
        <v>0</v>
      </c>
      <c r="J985" s="8">
        <f>[1]Data!J985</f>
        <v>0</v>
      </c>
      <c r="K985" s="8">
        <f>[1]Data!K985</f>
        <v>0</v>
      </c>
      <c r="L985" s="8">
        <f>[1]Data!L985</f>
        <v>0</v>
      </c>
      <c r="M985" s="8">
        <f>[1]Data!M985</f>
        <v>0</v>
      </c>
      <c r="N985" s="8">
        <f>[1]Data!N985</f>
        <v>4.5454545454545497E-2</v>
      </c>
      <c r="O985" s="8">
        <f>[1]Data!O985</f>
        <v>22</v>
      </c>
      <c r="P985" s="8">
        <f>[1]Data!P985</f>
        <v>1</v>
      </c>
      <c r="Q985" s="8">
        <f>[1]Data!Q985</f>
        <v>0</v>
      </c>
      <c r="R985" s="8">
        <f>[1]Data!R985</f>
        <v>0</v>
      </c>
      <c r="S985" s="8">
        <f>[1]Data!S985</f>
        <v>0</v>
      </c>
      <c r="T985">
        <f t="shared" si="75"/>
        <v>4.5454545454545497E-2</v>
      </c>
      <c r="U985">
        <f t="shared" si="76"/>
        <v>21.999999999999979</v>
      </c>
      <c r="V985" s="4" t="str">
        <f t="shared" si="77"/>
        <v>0</v>
      </c>
      <c r="W985" s="4" t="str">
        <f t="shared" si="78"/>
        <v>7</v>
      </c>
      <c r="X985" s="4" t="str">
        <f t="shared" si="79"/>
        <v>0NON-HS7</v>
      </c>
      <c r="Y985">
        <f>VLOOKUP(X985,Sheet1!$J$5:$K$121,2,FALSE)</f>
        <v>0</v>
      </c>
    </row>
    <row r="986" spans="1:25" x14ac:dyDescent="0.25">
      <c r="A986" s="8">
        <f>[1]Data!A986</f>
        <v>534700</v>
      </c>
      <c r="B986" s="8">
        <f>[1]Data!B986</f>
        <v>7</v>
      </c>
      <c r="C986" s="8">
        <f>[1]Data!C986</f>
        <v>0</v>
      </c>
      <c r="D986" s="8">
        <f>[1]Data!D986</f>
        <v>1</v>
      </c>
      <c r="E986" s="8" t="str">
        <f>[1]Data!E986</f>
        <v>NON-HS</v>
      </c>
      <c r="F986" s="8" t="str">
        <f>[1]Data!F986</f>
        <v>South Gate</v>
      </c>
      <c r="G986" s="8">
        <f>[1]Data!G986</f>
        <v>0</v>
      </c>
      <c r="H986" s="8">
        <f>[1]Data!H986</f>
        <v>0</v>
      </c>
      <c r="I986" s="8">
        <f>[1]Data!I986</f>
        <v>0</v>
      </c>
      <c r="J986" s="8">
        <f>[1]Data!J986</f>
        <v>0</v>
      </c>
      <c r="K986" s="8">
        <f>[1]Data!K986</f>
        <v>0</v>
      </c>
      <c r="L986" s="8">
        <f>[1]Data!L986</f>
        <v>0</v>
      </c>
      <c r="M986" s="8">
        <f>[1]Data!M986</f>
        <v>0</v>
      </c>
      <c r="N986" s="8">
        <f>[1]Data!N986</f>
        <v>4.5454545454545497E-2</v>
      </c>
      <c r="O986" s="8">
        <f>[1]Data!O986</f>
        <v>0</v>
      </c>
      <c r="P986" s="8">
        <f>[1]Data!P986</f>
        <v>1</v>
      </c>
      <c r="Q986" s="8">
        <f>[1]Data!Q986</f>
        <v>0</v>
      </c>
      <c r="R986" s="8">
        <f>[1]Data!R986</f>
        <v>0</v>
      </c>
      <c r="S986" s="8">
        <f>[1]Data!S986</f>
        <v>0</v>
      </c>
      <c r="T986">
        <f t="shared" si="75"/>
        <v>4.5454545454545497E-2</v>
      </c>
      <c r="U986">
        <f t="shared" si="76"/>
        <v>0</v>
      </c>
      <c r="V986" s="4" t="str">
        <f t="shared" si="77"/>
        <v>0</v>
      </c>
      <c r="W986" s="4" t="str">
        <f t="shared" si="78"/>
        <v>7</v>
      </c>
      <c r="X986" s="4" t="str">
        <f t="shared" si="79"/>
        <v>0NON-HS7</v>
      </c>
      <c r="Y986">
        <f>VLOOKUP(X986,Sheet1!$J$5:$K$121,2,FALSE)</f>
        <v>0</v>
      </c>
    </row>
    <row r="987" spans="1:25" x14ac:dyDescent="0.25">
      <c r="A987" s="8">
        <f>[1]Data!A987</f>
        <v>534802</v>
      </c>
      <c r="B987" s="8">
        <f>[1]Data!B987</f>
        <v>7</v>
      </c>
      <c r="C987" s="8">
        <f>[1]Data!C987</f>
        <v>0</v>
      </c>
      <c r="D987" s="8">
        <f>[1]Data!D987</f>
        <v>1</v>
      </c>
      <c r="E987" s="8" t="str">
        <f>[1]Data!E987</f>
        <v>NON-HS</v>
      </c>
      <c r="F987" s="8" t="str">
        <f>[1]Data!F987</f>
        <v>Walnut Park</v>
      </c>
      <c r="G987" s="8">
        <f>[1]Data!G987</f>
        <v>0</v>
      </c>
      <c r="H987" s="8">
        <f>[1]Data!H987</f>
        <v>0</v>
      </c>
      <c r="I987" s="8">
        <f>[1]Data!I987</f>
        <v>0</v>
      </c>
      <c r="J987" s="8">
        <f>[1]Data!J987</f>
        <v>0</v>
      </c>
      <c r="K987" s="8">
        <f>[1]Data!K987</f>
        <v>0</v>
      </c>
      <c r="L987" s="8">
        <f>[1]Data!L987</f>
        <v>0</v>
      </c>
      <c r="M987" s="8">
        <f>[1]Data!M987</f>
        <v>0</v>
      </c>
      <c r="N987" s="8">
        <f>[1]Data!N987</f>
        <v>4.5454545454545497E-2</v>
      </c>
      <c r="O987" s="8">
        <f>[1]Data!O987</f>
        <v>0</v>
      </c>
      <c r="P987" s="8">
        <f>[1]Data!P987</f>
        <v>1</v>
      </c>
      <c r="Q987" s="8">
        <f>[1]Data!Q987</f>
        <v>0</v>
      </c>
      <c r="R987" s="8">
        <f>[1]Data!R987</f>
        <v>0</v>
      </c>
      <c r="S987" s="8">
        <f>[1]Data!S987</f>
        <v>0</v>
      </c>
      <c r="T987">
        <f t="shared" si="75"/>
        <v>4.5454545454545497E-2</v>
      </c>
      <c r="U987">
        <f t="shared" si="76"/>
        <v>0</v>
      </c>
      <c r="V987" s="4" t="str">
        <f t="shared" si="77"/>
        <v>0</v>
      </c>
      <c r="W987" s="4" t="str">
        <f t="shared" si="78"/>
        <v>7</v>
      </c>
      <c r="X987" s="4" t="str">
        <f t="shared" si="79"/>
        <v>0NON-HS7</v>
      </c>
      <c r="Y987">
        <f>VLOOKUP(X987,Sheet1!$J$5:$K$121,2,FALSE)</f>
        <v>0</v>
      </c>
    </row>
    <row r="988" spans="1:25" x14ac:dyDescent="0.25">
      <c r="A988" s="8">
        <f>[1]Data!A988</f>
        <v>534803</v>
      </c>
      <c r="B988" s="8">
        <f>[1]Data!B988</f>
        <v>7</v>
      </c>
      <c r="C988" s="8">
        <f>[1]Data!C988</f>
        <v>0</v>
      </c>
      <c r="D988" s="8">
        <f>[1]Data!D988</f>
        <v>1</v>
      </c>
      <c r="E988" s="8" t="str">
        <f>[1]Data!E988</f>
        <v>NON-HS</v>
      </c>
      <c r="F988" s="8" t="str">
        <f>[1]Data!F988</f>
        <v>Walnut Park</v>
      </c>
      <c r="G988" s="8">
        <f>[1]Data!G988</f>
        <v>0</v>
      </c>
      <c r="H988" s="8">
        <f>[1]Data!H988</f>
        <v>0</v>
      </c>
      <c r="I988" s="8">
        <f>[1]Data!I988</f>
        <v>3.9260000000000002</v>
      </c>
      <c r="J988" s="8">
        <f>[1]Data!J988</f>
        <v>1.90487994</v>
      </c>
      <c r="K988" s="8">
        <f>[1]Data!K988</f>
        <v>3.9048799399999998</v>
      </c>
      <c r="L988" s="8">
        <f>[1]Data!L988</f>
        <v>2.0625322082585301E-2</v>
      </c>
      <c r="M988" s="8">
        <f>[1]Data!M988</f>
        <v>3.9255052620825901</v>
      </c>
      <c r="N988" s="8">
        <f>[1]Data!N988</f>
        <v>4.5454545454545497E-2</v>
      </c>
      <c r="O988" s="8">
        <f>[1]Data!O988</f>
        <v>0</v>
      </c>
      <c r="P988" s="8">
        <f>[1]Data!P988</f>
        <v>1</v>
      </c>
      <c r="Q988" s="8">
        <f>[1]Data!Q988</f>
        <v>0</v>
      </c>
      <c r="R988" s="8">
        <f>[1]Data!R988</f>
        <v>0</v>
      </c>
      <c r="S988" s="8">
        <f>[1]Data!S988</f>
        <v>0</v>
      </c>
      <c r="T988">
        <f t="shared" si="75"/>
        <v>4.5454545454545497E-2</v>
      </c>
      <c r="U988">
        <f t="shared" si="76"/>
        <v>0</v>
      </c>
      <c r="V988" s="4" t="str">
        <f t="shared" si="77"/>
        <v>0</v>
      </c>
      <c r="W988" s="4" t="str">
        <f t="shared" si="78"/>
        <v>7</v>
      </c>
      <c r="X988" s="4" t="str">
        <f t="shared" si="79"/>
        <v>0NON-HS7</v>
      </c>
      <c r="Y988">
        <f>VLOOKUP(X988,Sheet1!$J$5:$K$121,2,FALSE)</f>
        <v>0</v>
      </c>
    </row>
    <row r="989" spans="1:25" x14ac:dyDescent="0.25">
      <c r="A989" s="8">
        <f>[1]Data!A989</f>
        <v>534804</v>
      </c>
      <c r="B989" s="8">
        <f>[1]Data!B989</f>
        <v>7</v>
      </c>
      <c r="C989" s="8">
        <f>[1]Data!C989</f>
        <v>0</v>
      </c>
      <c r="D989" s="8">
        <f>[1]Data!D989</f>
        <v>1</v>
      </c>
      <c r="E989" s="8" t="str">
        <f>[1]Data!E989</f>
        <v>NON-HS</v>
      </c>
      <c r="F989" s="8" t="str">
        <f>[1]Data!F989</f>
        <v>South Gate</v>
      </c>
      <c r="G989" s="8">
        <f>[1]Data!G989</f>
        <v>0</v>
      </c>
      <c r="H989" s="8">
        <f>[1]Data!H989</f>
        <v>0</v>
      </c>
      <c r="I989" s="8">
        <f>[1]Data!I989</f>
        <v>1</v>
      </c>
      <c r="J989" s="8">
        <f>[1]Data!J989</f>
        <v>0</v>
      </c>
      <c r="K989" s="8">
        <f>[1]Data!K989</f>
        <v>1</v>
      </c>
      <c r="L989" s="8">
        <f>[1]Data!L989</f>
        <v>0</v>
      </c>
      <c r="M989" s="8">
        <f>[1]Data!M989</f>
        <v>1</v>
      </c>
      <c r="N989" s="8">
        <f>[1]Data!N989</f>
        <v>4.5454545454545497E-2</v>
      </c>
      <c r="O989" s="8">
        <f>[1]Data!O989</f>
        <v>0</v>
      </c>
      <c r="P989" s="8">
        <f>[1]Data!P989</f>
        <v>1</v>
      </c>
      <c r="Q989" s="8">
        <f>[1]Data!Q989</f>
        <v>0</v>
      </c>
      <c r="R989" s="8">
        <f>[1]Data!R989</f>
        <v>0</v>
      </c>
      <c r="S989" s="8">
        <f>[1]Data!S989</f>
        <v>0</v>
      </c>
      <c r="T989">
        <f t="shared" si="75"/>
        <v>4.5454545454545497E-2</v>
      </c>
      <c r="U989">
        <f t="shared" si="76"/>
        <v>0</v>
      </c>
      <c r="V989" s="4" t="str">
        <f t="shared" si="77"/>
        <v>0</v>
      </c>
      <c r="W989" s="4" t="str">
        <f t="shared" si="78"/>
        <v>7</v>
      </c>
      <c r="X989" s="4" t="str">
        <f t="shared" si="79"/>
        <v>0NON-HS7</v>
      </c>
      <c r="Y989">
        <f>VLOOKUP(X989,Sheet1!$J$5:$K$121,2,FALSE)</f>
        <v>0</v>
      </c>
    </row>
    <row r="990" spans="1:25" x14ac:dyDescent="0.25">
      <c r="A990" s="8">
        <f>[1]Data!A990</f>
        <v>534001</v>
      </c>
      <c r="B990" s="8">
        <f>[1]Data!B990</f>
        <v>7</v>
      </c>
      <c r="C990" s="8">
        <f>[1]Data!C990</f>
        <v>0</v>
      </c>
      <c r="D990" s="8">
        <f>[1]Data!D990</f>
        <v>1</v>
      </c>
      <c r="E990" s="8" t="str">
        <f>[1]Data!E990</f>
        <v>NON-HS</v>
      </c>
      <c r="F990" s="8" t="str">
        <f>[1]Data!F990</f>
        <v>Bell Gardens</v>
      </c>
      <c r="G990" s="8">
        <f>[1]Data!G990</f>
        <v>0</v>
      </c>
      <c r="H990" s="8">
        <f>[1]Data!H990</f>
        <v>0</v>
      </c>
      <c r="I990" s="8">
        <f>[1]Data!I990</f>
        <v>5.0949999999999998</v>
      </c>
      <c r="J990" s="8">
        <f>[1]Data!J990</f>
        <v>1.9836996600000001</v>
      </c>
      <c r="K990" s="8">
        <f>[1]Data!K990</f>
        <v>4.9836996600000001</v>
      </c>
      <c r="L990" s="8">
        <f>[1]Data!L990</f>
        <v>0.11117260138240601</v>
      </c>
      <c r="M990" s="8">
        <f>[1]Data!M990</f>
        <v>5.0948722613824096</v>
      </c>
      <c r="N990" s="8">
        <f>[1]Data!N990</f>
        <v>4.5454545454545497E-2</v>
      </c>
      <c r="O990" s="8">
        <f>[1]Data!O990</f>
        <v>0</v>
      </c>
      <c r="P990" s="8">
        <f>[1]Data!P990</f>
        <v>1</v>
      </c>
      <c r="Q990" s="8">
        <f>[1]Data!Q990</f>
        <v>0</v>
      </c>
      <c r="R990" s="8">
        <f>[1]Data!R990</f>
        <v>0</v>
      </c>
      <c r="S990" s="8">
        <f>[1]Data!S990</f>
        <v>0</v>
      </c>
      <c r="T990">
        <f t="shared" si="75"/>
        <v>4.5454545454545497E-2</v>
      </c>
      <c r="U990">
        <f t="shared" si="76"/>
        <v>0</v>
      </c>
      <c r="V990" s="4" t="str">
        <f t="shared" si="77"/>
        <v>0</v>
      </c>
      <c r="W990" s="4" t="str">
        <f t="shared" si="78"/>
        <v>7</v>
      </c>
      <c r="X990" s="4" t="str">
        <f t="shared" si="79"/>
        <v>0NON-HS7</v>
      </c>
      <c r="Y990">
        <f>VLOOKUP(X990,Sheet1!$J$5:$K$121,2,FALSE)</f>
        <v>0</v>
      </c>
    </row>
    <row r="991" spans="1:25" x14ac:dyDescent="0.25">
      <c r="A991" s="8">
        <f>[1]Data!A991</f>
        <v>533804</v>
      </c>
      <c r="B991" s="8">
        <f>[1]Data!B991</f>
        <v>7</v>
      </c>
      <c r="C991" s="8">
        <f>[1]Data!C991</f>
        <v>0</v>
      </c>
      <c r="D991" s="8">
        <f>[1]Data!D991</f>
        <v>1</v>
      </c>
      <c r="E991" s="8" t="str">
        <f>[1]Data!E991</f>
        <v>NON-HS</v>
      </c>
      <c r="F991" s="8" t="str">
        <f>[1]Data!F991</f>
        <v>Bell</v>
      </c>
      <c r="G991" s="8">
        <f>[1]Data!G991</f>
        <v>0</v>
      </c>
      <c r="H991" s="8">
        <f>[1]Data!H991</f>
        <v>0</v>
      </c>
      <c r="I991" s="8">
        <f>[1]Data!I991</f>
        <v>3.8079999999999998</v>
      </c>
      <c r="J991" s="8">
        <f>[1]Data!J991</f>
        <v>1.73313217</v>
      </c>
      <c r="K991" s="8">
        <f>[1]Data!K991</f>
        <v>3.7331321700000002</v>
      </c>
      <c r="L991" s="8">
        <f>[1]Data!L991</f>
        <v>7.4985510287253102E-2</v>
      </c>
      <c r="M991" s="8">
        <f>[1]Data!M991</f>
        <v>3.8081176802872498</v>
      </c>
      <c r="N991" s="8">
        <f>[1]Data!N991</f>
        <v>4.5454545454545497E-2</v>
      </c>
      <c r="O991" s="8">
        <f>[1]Data!O991</f>
        <v>0</v>
      </c>
      <c r="P991" s="8">
        <f>[1]Data!P991</f>
        <v>1</v>
      </c>
      <c r="Q991" s="8">
        <f>[1]Data!Q991</f>
        <v>0</v>
      </c>
      <c r="R991" s="8">
        <f>[1]Data!R991</f>
        <v>0</v>
      </c>
      <c r="S991" s="8">
        <f>[1]Data!S991</f>
        <v>0</v>
      </c>
      <c r="T991">
        <f t="shared" si="75"/>
        <v>4.5454545454545497E-2</v>
      </c>
      <c r="U991">
        <f t="shared" si="76"/>
        <v>0</v>
      </c>
      <c r="V991" s="4" t="str">
        <f t="shared" si="77"/>
        <v>0</v>
      </c>
      <c r="W991" s="4" t="str">
        <f t="shared" si="78"/>
        <v>7</v>
      </c>
      <c r="X991" s="4" t="str">
        <f t="shared" si="79"/>
        <v>0NON-HS7</v>
      </c>
      <c r="Y991">
        <f>VLOOKUP(X991,Sheet1!$J$5:$K$121,2,FALSE)</f>
        <v>0</v>
      </c>
    </row>
    <row r="992" spans="1:25" x14ac:dyDescent="0.25">
      <c r="A992" s="8">
        <f>[1]Data!A992</f>
        <v>533901</v>
      </c>
      <c r="B992" s="8">
        <f>[1]Data!B992</f>
        <v>7</v>
      </c>
      <c r="C992" s="8">
        <f>[1]Data!C992</f>
        <v>0</v>
      </c>
      <c r="D992" s="8">
        <f>[1]Data!D992</f>
        <v>1</v>
      </c>
      <c r="E992" s="8" t="str">
        <f>[1]Data!E992</f>
        <v>NON-HS</v>
      </c>
      <c r="F992" s="8" t="str">
        <f>[1]Data!F992</f>
        <v>Bell Gardens</v>
      </c>
      <c r="G992" s="8">
        <f>[1]Data!G992</f>
        <v>0</v>
      </c>
      <c r="H992" s="8">
        <f>[1]Data!H992</f>
        <v>0</v>
      </c>
      <c r="I992" s="8">
        <f>[1]Data!I992</f>
        <v>6.9980000000000002</v>
      </c>
      <c r="J992" s="8">
        <f>[1]Data!J992</f>
        <v>5.7005314900000004</v>
      </c>
      <c r="K992" s="8">
        <f>[1]Data!K992</f>
        <v>6.7005314900000004</v>
      </c>
      <c r="L992" s="8">
        <f>[1]Data!L992</f>
        <v>0.29733071305206499</v>
      </c>
      <c r="M992" s="8">
        <f>[1]Data!M992</f>
        <v>6.9978622030520699</v>
      </c>
      <c r="N992" s="8">
        <f>[1]Data!N992</f>
        <v>4.5454545454545497E-2</v>
      </c>
      <c r="O992" s="8">
        <f>[1]Data!O992</f>
        <v>0</v>
      </c>
      <c r="P992" s="8">
        <f>[1]Data!P992</f>
        <v>1</v>
      </c>
      <c r="Q992" s="8">
        <f>[1]Data!Q992</f>
        <v>0</v>
      </c>
      <c r="R992" s="8">
        <f>[1]Data!R992</f>
        <v>0</v>
      </c>
      <c r="S992" s="8">
        <f>[1]Data!S992</f>
        <v>0</v>
      </c>
      <c r="T992">
        <f t="shared" si="75"/>
        <v>4.5454545454545497E-2</v>
      </c>
      <c r="U992">
        <f t="shared" si="76"/>
        <v>0</v>
      </c>
      <c r="V992" s="4" t="str">
        <f t="shared" si="77"/>
        <v>0</v>
      </c>
      <c r="W992" s="4" t="str">
        <f t="shared" si="78"/>
        <v>7</v>
      </c>
      <c r="X992" s="4" t="str">
        <f t="shared" si="79"/>
        <v>0NON-HS7</v>
      </c>
      <c r="Y992">
        <f>VLOOKUP(X992,Sheet1!$J$5:$K$121,2,FALSE)</f>
        <v>0</v>
      </c>
    </row>
    <row r="993" spans="1:25" x14ac:dyDescent="0.25">
      <c r="A993" s="8">
        <f>[1]Data!A993</f>
        <v>533702</v>
      </c>
      <c r="B993" s="8">
        <f>[1]Data!B993</f>
        <v>7</v>
      </c>
      <c r="C993" s="8">
        <f>[1]Data!C993</f>
        <v>0</v>
      </c>
      <c r="D993" s="8">
        <f>[1]Data!D993</f>
        <v>1</v>
      </c>
      <c r="E993" s="8" t="str">
        <f>[1]Data!E993</f>
        <v>NON-HS</v>
      </c>
      <c r="F993" s="8" t="str">
        <f>[1]Data!F993</f>
        <v>Maywood</v>
      </c>
      <c r="G993" s="8">
        <f>[1]Data!G993</f>
        <v>0</v>
      </c>
      <c r="H993" s="8">
        <f>[1]Data!H993</f>
        <v>0</v>
      </c>
      <c r="I993" s="8">
        <f>[1]Data!I993</f>
        <v>1</v>
      </c>
      <c r="J993" s="8">
        <f>[1]Data!J993</f>
        <v>0</v>
      </c>
      <c r="K993" s="8">
        <f>[1]Data!K993</f>
        <v>1</v>
      </c>
      <c r="L993" s="8">
        <f>[1]Data!L993</f>
        <v>0</v>
      </c>
      <c r="M993" s="8">
        <f>[1]Data!M993</f>
        <v>1</v>
      </c>
      <c r="N993" s="8">
        <f>[1]Data!N993</f>
        <v>4.5454545454545497E-2</v>
      </c>
      <c r="O993" s="8">
        <f>[1]Data!O993</f>
        <v>0</v>
      </c>
      <c r="P993" s="8">
        <f>[1]Data!P993</f>
        <v>1</v>
      </c>
      <c r="Q993" s="8">
        <f>[1]Data!Q993</f>
        <v>0</v>
      </c>
      <c r="R993" s="8">
        <f>[1]Data!R993</f>
        <v>0</v>
      </c>
      <c r="S993" s="8">
        <f>[1]Data!S993</f>
        <v>0</v>
      </c>
      <c r="T993">
        <f t="shared" si="75"/>
        <v>4.5454545454545497E-2</v>
      </c>
      <c r="U993">
        <f t="shared" si="76"/>
        <v>0</v>
      </c>
      <c r="V993" s="4" t="str">
        <f t="shared" si="77"/>
        <v>0</v>
      </c>
      <c r="W993" s="4" t="str">
        <f t="shared" si="78"/>
        <v>7</v>
      </c>
      <c r="X993" s="4" t="str">
        <f t="shared" si="79"/>
        <v>0NON-HS7</v>
      </c>
      <c r="Y993">
        <f>VLOOKUP(X993,Sheet1!$J$5:$K$121,2,FALSE)</f>
        <v>0</v>
      </c>
    </row>
    <row r="994" spans="1:25" x14ac:dyDescent="0.25">
      <c r="A994" s="8">
        <f>[1]Data!A994</f>
        <v>535503</v>
      </c>
      <c r="B994" s="8">
        <f>[1]Data!B994</f>
        <v>7</v>
      </c>
      <c r="C994" s="8">
        <f>[1]Data!C994</f>
        <v>0</v>
      </c>
      <c r="D994" s="8">
        <f>[1]Data!D994</f>
        <v>1</v>
      </c>
      <c r="E994" s="8" t="str">
        <f>[1]Data!E994</f>
        <v>NON-HS</v>
      </c>
      <c r="F994" s="8" t="str">
        <f>[1]Data!F994</f>
        <v>South Gate</v>
      </c>
      <c r="G994" s="8">
        <f>[1]Data!G994</f>
        <v>0</v>
      </c>
      <c r="H994" s="8">
        <f>[1]Data!H994</f>
        <v>0</v>
      </c>
      <c r="I994" s="8">
        <f>[1]Data!I994</f>
        <v>5.6159999999999997</v>
      </c>
      <c r="J994" s="8">
        <f>[1]Data!J994</f>
        <v>3.4662643399999999</v>
      </c>
      <c r="K994" s="8">
        <f>[1]Data!K994</f>
        <v>5.4662643400000004</v>
      </c>
      <c r="L994" s="8">
        <f>[1]Data!L994</f>
        <v>0.14997102057450601</v>
      </c>
      <c r="M994" s="8">
        <f>[1]Data!M994</f>
        <v>5.6162353605745103</v>
      </c>
      <c r="N994" s="8">
        <f>[1]Data!N994</f>
        <v>4.5454545454545497E-2</v>
      </c>
      <c r="O994" s="8">
        <f>[1]Data!O994</f>
        <v>0</v>
      </c>
      <c r="P994" s="8">
        <f>[1]Data!P994</f>
        <v>1</v>
      </c>
      <c r="Q994" s="8">
        <f>[1]Data!Q994</f>
        <v>0</v>
      </c>
      <c r="R994" s="8">
        <f>[1]Data!R994</f>
        <v>0</v>
      </c>
      <c r="S994" s="8">
        <f>[1]Data!S994</f>
        <v>0</v>
      </c>
      <c r="T994">
        <f t="shared" si="75"/>
        <v>4.5454545454545497E-2</v>
      </c>
      <c r="U994">
        <f t="shared" si="76"/>
        <v>0</v>
      </c>
      <c r="V994" s="4" t="str">
        <f t="shared" si="77"/>
        <v>0</v>
      </c>
      <c r="W994" s="4" t="str">
        <f t="shared" si="78"/>
        <v>7</v>
      </c>
      <c r="X994" s="4" t="str">
        <f t="shared" si="79"/>
        <v>0NON-HS7</v>
      </c>
      <c r="Y994">
        <f>VLOOKUP(X994,Sheet1!$J$5:$K$121,2,FALSE)</f>
        <v>0</v>
      </c>
    </row>
    <row r="995" spans="1:25" x14ac:dyDescent="0.25">
      <c r="A995" s="8">
        <f>[1]Data!A995</f>
        <v>535603</v>
      </c>
      <c r="B995" s="8">
        <f>[1]Data!B995</f>
        <v>7</v>
      </c>
      <c r="C995" s="8">
        <f>[1]Data!C995</f>
        <v>0</v>
      </c>
      <c r="D995" s="8">
        <f>[1]Data!D995</f>
        <v>1</v>
      </c>
      <c r="E995" s="8" t="str">
        <f>[1]Data!E995</f>
        <v>NON-HS</v>
      </c>
      <c r="F995" s="8" t="str">
        <f>[1]Data!F995</f>
        <v>South Gate</v>
      </c>
      <c r="G995" s="8">
        <f>[1]Data!G995</f>
        <v>0</v>
      </c>
      <c r="H995" s="8">
        <f>[1]Data!H995</f>
        <v>0</v>
      </c>
      <c r="I995" s="8">
        <f>[1]Data!I995</f>
        <v>1.9259999999999999</v>
      </c>
      <c r="J995" s="8">
        <f>[1]Data!J995</f>
        <v>1.90487994</v>
      </c>
      <c r="K995" s="8">
        <f>[1]Data!K995</f>
        <v>1.90487994</v>
      </c>
      <c r="L995" s="8">
        <f>[1]Data!L995</f>
        <v>2.0625322082585301E-2</v>
      </c>
      <c r="M995" s="8">
        <f>[1]Data!M995</f>
        <v>1.9255052620825901</v>
      </c>
      <c r="N995" s="8">
        <f>[1]Data!N995</f>
        <v>4.5454545454545497E-2</v>
      </c>
      <c r="O995" s="8">
        <f>[1]Data!O995</f>
        <v>0</v>
      </c>
      <c r="P995" s="8">
        <f>[1]Data!P995</f>
        <v>1</v>
      </c>
      <c r="Q995" s="8">
        <f>[1]Data!Q995</f>
        <v>0</v>
      </c>
      <c r="R995" s="8">
        <f>[1]Data!R995</f>
        <v>0</v>
      </c>
      <c r="S995" s="8">
        <f>[1]Data!S995</f>
        <v>0</v>
      </c>
      <c r="T995">
        <f t="shared" si="75"/>
        <v>4.5454545454545497E-2</v>
      </c>
      <c r="U995">
        <f t="shared" si="76"/>
        <v>0</v>
      </c>
      <c r="V995" s="4" t="str">
        <f t="shared" si="77"/>
        <v>0</v>
      </c>
      <c r="W995" s="4" t="str">
        <f t="shared" si="78"/>
        <v>7</v>
      </c>
      <c r="X995" s="4" t="str">
        <f t="shared" si="79"/>
        <v>0NON-HS7</v>
      </c>
      <c r="Y995">
        <f>VLOOKUP(X995,Sheet1!$J$5:$K$121,2,FALSE)</f>
        <v>0</v>
      </c>
    </row>
    <row r="996" spans="1:25" x14ac:dyDescent="0.25">
      <c r="A996" s="8">
        <f>[1]Data!A996</f>
        <v>533402</v>
      </c>
      <c r="B996" s="8">
        <f>[1]Data!B996</f>
        <v>7</v>
      </c>
      <c r="C996" s="8">
        <f>[1]Data!C996</f>
        <v>0</v>
      </c>
      <c r="D996" s="8">
        <f>[1]Data!D996</f>
        <v>1</v>
      </c>
      <c r="E996" s="8" t="str">
        <f>[1]Data!E996</f>
        <v>NON-HS</v>
      </c>
      <c r="F996" s="8" t="str">
        <f>[1]Data!F996</f>
        <v>Maywood</v>
      </c>
      <c r="G996" s="8">
        <f>[1]Data!G996</f>
        <v>0</v>
      </c>
      <c r="H996" s="8">
        <f>[1]Data!H996</f>
        <v>0</v>
      </c>
      <c r="I996" s="8">
        <f>[1]Data!I996</f>
        <v>0</v>
      </c>
      <c r="J996" s="8">
        <f>[1]Data!J996</f>
        <v>0</v>
      </c>
      <c r="K996" s="8">
        <f>[1]Data!K996</f>
        <v>0</v>
      </c>
      <c r="L996" s="8">
        <f>[1]Data!L996</f>
        <v>0</v>
      </c>
      <c r="M996" s="8">
        <f>[1]Data!M996</f>
        <v>0</v>
      </c>
      <c r="N996" s="8">
        <f>[1]Data!N996</f>
        <v>4.5454545454545497E-2</v>
      </c>
      <c r="O996" s="8">
        <f>[1]Data!O996</f>
        <v>0</v>
      </c>
      <c r="P996" s="8">
        <f>[1]Data!P996</f>
        <v>1</v>
      </c>
      <c r="Q996" s="8">
        <f>[1]Data!Q996</f>
        <v>0</v>
      </c>
      <c r="R996" s="8">
        <f>[1]Data!R996</f>
        <v>0</v>
      </c>
      <c r="S996" s="8">
        <f>[1]Data!S996</f>
        <v>0</v>
      </c>
      <c r="T996">
        <f t="shared" si="75"/>
        <v>4.5454545454545497E-2</v>
      </c>
      <c r="U996">
        <f t="shared" si="76"/>
        <v>0</v>
      </c>
      <c r="V996" s="4" t="str">
        <f t="shared" si="77"/>
        <v>0</v>
      </c>
      <c r="W996" s="4" t="str">
        <f t="shared" si="78"/>
        <v>7</v>
      </c>
      <c r="X996" s="4" t="str">
        <f t="shared" si="79"/>
        <v>0NON-HS7</v>
      </c>
      <c r="Y996">
        <f>VLOOKUP(X996,Sheet1!$J$5:$K$121,2,FALSE)</f>
        <v>0</v>
      </c>
    </row>
    <row r="997" spans="1:25" x14ac:dyDescent="0.25">
      <c r="A997" s="8">
        <f>[1]Data!A997</f>
        <v>535604</v>
      </c>
      <c r="B997" s="8">
        <f>[1]Data!B997</f>
        <v>7</v>
      </c>
      <c r="C997" s="8">
        <f>[1]Data!C997</f>
        <v>0</v>
      </c>
      <c r="D997" s="8">
        <f>[1]Data!D997</f>
        <v>1</v>
      </c>
      <c r="E997" s="8" t="str">
        <f>[1]Data!E997</f>
        <v>NON-HS</v>
      </c>
      <c r="F997" s="8" t="str">
        <f>[1]Data!F997</f>
        <v>South Gate</v>
      </c>
      <c r="G997" s="8">
        <f>[1]Data!G997</f>
        <v>0</v>
      </c>
      <c r="H997" s="8">
        <f>[1]Data!H997</f>
        <v>0</v>
      </c>
      <c r="I997" s="8">
        <f>[1]Data!I997</f>
        <v>0</v>
      </c>
      <c r="J997" s="8">
        <f>[1]Data!J997</f>
        <v>0</v>
      </c>
      <c r="K997" s="8">
        <f>[1]Data!K997</f>
        <v>0</v>
      </c>
      <c r="L997" s="8">
        <f>[1]Data!L997</f>
        <v>0</v>
      </c>
      <c r="M997" s="8">
        <f>[1]Data!M997</f>
        <v>0</v>
      </c>
      <c r="N997" s="8">
        <f>[1]Data!N997</f>
        <v>4.5454545454545497E-2</v>
      </c>
      <c r="O997" s="8">
        <f>[1]Data!O997</f>
        <v>0</v>
      </c>
      <c r="P997" s="8">
        <f>[1]Data!P997</f>
        <v>1</v>
      </c>
      <c r="Q997" s="8">
        <f>[1]Data!Q997</f>
        <v>0</v>
      </c>
      <c r="R997" s="8">
        <f>[1]Data!R997</f>
        <v>0</v>
      </c>
      <c r="S997" s="8">
        <f>[1]Data!S997</f>
        <v>0</v>
      </c>
      <c r="T997">
        <f t="shared" si="75"/>
        <v>4.5454545454545497E-2</v>
      </c>
      <c r="U997">
        <f t="shared" si="76"/>
        <v>0</v>
      </c>
      <c r="V997" s="4" t="str">
        <f t="shared" si="77"/>
        <v>0</v>
      </c>
      <c r="W997" s="4" t="str">
        <f t="shared" si="78"/>
        <v>7</v>
      </c>
      <c r="X997" s="4" t="str">
        <f t="shared" si="79"/>
        <v>0NON-HS7</v>
      </c>
      <c r="Y997">
        <f>VLOOKUP(X997,Sheet1!$J$5:$K$121,2,FALSE)</f>
        <v>0</v>
      </c>
    </row>
    <row r="998" spans="1:25" x14ac:dyDescent="0.25">
      <c r="A998" s="8">
        <f>[1]Data!A998</f>
        <v>533201</v>
      </c>
      <c r="B998" s="8">
        <f>[1]Data!B998</f>
        <v>7</v>
      </c>
      <c r="C998" s="8">
        <f>[1]Data!C998</f>
        <v>0</v>
      </c>
      <c r="D998" s="8">
        <f>[1]Data!D998</f>
        <v>1</v>
      </c>
      <c r="E998" s="8" t="str">
        <f>[1]Data!E998</f>
        <v>NON-HS</v>
      </c>
      <c r="F998" s="8" t="str">
        <f>[1]Data!F998</f>
        <v>Huntington Park</v>
      </c>
      <c r="G998" s="8">
        <f>[1]Data!G998</f>
        <v>0</v>
      </c>
      <c r="H998" s="8">
        <f>[1]Data!H998</f>
        <v>0</v>
      </c>
      <c r="I998" s="8">
        <f>[1]Data!I998</f>
        <v>9.6989999999999998</v>
      </c>
      <c r="J998" s="8">
        <f>[1]Data!J998</f>
        <v>6.4830714299999999</v>
      </c>
      <c r="K998" s="8">
        <f>[1]Data!K998</f>
        <v>9.4830714300000007</v>
      </c>
      <c r="L998" s="8">
        <f>[1]Data!L998</f>
        <v>0.215927801418312</v>
      </c>
      <c r="M998" s="8">
        <f>[1]Data!M998</f>
        <v>9.6989992314183109</v>
      </c>
      <c r="N998" s="8">
        <f>[1]Data!N998</f>
        <v>4.5454545454545497E-2</v>
      </c>
      <c r="O998" s="8">
        <f>[1]Data!O998</f>
        <v>0</v>
      </c>
      <c r="P998" s="8">
        <f>[1]Data!P998</f>
        <v>1</v>
      </c>
      <c r="Q998" s="8">
        <f>[1]Data!Q998</f>
        <v>0</v>
      </c>
      <c r="R998" s="8">
        <f>[1]Data!R998</f>
        <v>0</v>
      </c>
      <c r="S998" s="8">
        <f>[1]Data!S998</f>
        <v>0</v>
      </c>
      <c r="T998">
        <f t="shared" si="75"/>
        <v>4.5454545454545497E-2</v>
      </c>
      <c r="U998">
        <f t="shared" si="76"/>
        <v>0</v>
      </c>
      <c r="V998" s="4" t="str">
        <f t="shared" si="77"/>
        <v>0</v>
      </c>
      <c r="W998" s="4" t="str">
        <f t="shared" si="78"/>
        <v>7</v>
      </c>
      <c r="X998" s="4" t="str">
        <f t="shared" si="79"/>
        <v>0NON-HS7</v>
      </c>
      <c r="Y998">
        <f>VLOOKUP(X998,Sheet1!$J$5:$K$121,2,FALSE)</f>
        <v>0</v>
      </c>
    </row>
    <row r="999" spans="1:25" x14ac:dyDescent="0.25">
      <c r="A999" s="8">
        <f>[1]Data!A999</f>
        <v>535607</v>
      </c>
      <c r="B999" s="8">
        <f>[1]Data!B999</f>
        <v>7</v>
      </c>
      <c r="C999" s="8">
        <f>[1]Data!C999</f>
        <v>0</v>
      </c>
      <c r="D999" s="8">
        <f>[1]Data!D999</f>
        <v>1</v>
      </c>
      <c r="E999" s="8" t="str">
        <f>[1]Data!E999</f>
        <v>NON-HS</v>
      </c>
      <c r="F999" s="8" t="str">
        <f>[1]Data!F999</f>
        <v>South Gate</v>
      </c>
      <c r="G999" s="8">
        <f>[1]Data!G999</f>
        <v>0</v>
      </c>
      <c r="H999" s="8">
        <f>[1]Data!H999</f>
        <v>0</v>
      </c>
      <c r="I999" s="8">
        <f>[1]Data!I999</f>
        <v>0</v>
      </c>
      <c r="J999" s="8">
        <f>[1]Data!J999</f>
        <v>0</v>
      </c>
      <c r="K999" s="8">
        <f>[1]Data!K999</f>
        <v>0</v>
      </c>
      <c r="L999" s="8">
        <f>[1]Data!L999</f>
        <v>0</v>
      </c>
      <c r="M999" s="8">
        <f>[1]Data!M999</f>
        <v>0</v>
      </c>
      <c r="N999" s="8">
        <f>[1]Data!N999</f>
        <v>4.5454545454545497E-2</v>
      </c>
      <c r="O999" s="8">
        <f>[1]Data!O999</f>
        <v>0</v>
      </c>
      <c r="P999" s="8">
        <f>[1]Data!P999</f>
        <v>1</v>
      </c>
      <c r="Q999" s="8">
        <f>[1]Data!Q999</f>
        <v>0</v>
      </c>
      <c r="R999" s="8">
        <f>[1]Data!R999</f>
        <v>0</v>
      </c>
      <c r="S999" s="8">
        <f>[1]Data!S999</f>
        <v>0</v>
      </c>
      <c r="T999">
        <f t="shared" si="75"/>
        <v>4.5454545454545497E-2</v>
      </c>
      <c r="U999">
        <f t="shared" si="76"/>
        <v>0</v>
      </c>
      <c r="V999" s="4" t="str">
        <f t="shared" si="77"/>
        <v>0</v>
      </c>
      <c r="W999" s="4" t="str">
        <f t="shared" si="78"/>
        <v>7</v>
      </c>
      <c r="X999" s="4" t="str">
        <f t="shared" si="79"/>
        <v>0NON-HS7</v>
      </c>
      <c r="Y999">
        <f>VLOOKUP(X999,Sheet1!$J$5:$K$121,2,FALSE)</f>
        <v>0</v>
      </c>
    </row>
    <row r="1000" spans="1:25" x14ac:dyDescent="0.25">
      <c r="A1000" s="8">
        <f>[1]Data!A1000</f>
        <v>535701</v>
      </c>
      <c r="B1000" s="8">
        <f>[1]Data!B1000</f>
        <v>7</v>
      </c>
      <c r="C1000" s="8">
        <f>[1]Data!C1000</f>
        <v>0</v>
      </c>
      <c r="D1000" s="8">
        <f>[1]Data!D1000</f>
        <v>1</v>
      </c>
      <c r="E1000" s="8" t="str">
        <f>[1]Data!E1000</f>
        <v>NON-HS</v>
      </c>
      <c r="F1000" s="8" t="str">
        <f>[1]Data!F1000</f>
        <v>South Gate</v>
      </c>
      <c r="G1000" s="8">
        <f>[1]Data!G1000</f>
        <v>0</v>
      </c>
      <c r="H1000" s="8">
        <f>[1]Data!H1000</f>
        <v>0</v>
      </c>
      <c r="I1000" s="8">
        <f>[1]Data!I1000</f>
        <v>2.8079999999999998</v>
      </c>
      <c r="J1000" s="8">
        <f>[1]Data!J1000</f>
        <v>1.73313217</v>
      </c>
      <c r="K1000" s="8">
        <f>[1]Data!K1000</f>
        <v>2.7331321700000002</v>
      </c>
      <c r="L1000" s="8">
        <f>[1]Data!L1000</f>
        <v>7.4985510287253102E-2</v>
      </c>
      <c r="M1000" s="8">
        <f>[1]Data!M1000</f>
        <v>2.8081176802872498</v>
      </c>
      <c r="N1000" s="8">
        <f>[1]Data!N1000</f>
        <v>4.5454545454545497E-2</v>
      </c>
      <c r="O1000" s="8">
        <f>[1]Data!O1000</f>
        <v>0</v>
      </c>
      <c r="P1000" s="8">
        <f>[1]Data!P1000</f>
        <v>1</v>
      </c>
      <c r="Q1000" s="8">
        <f>[1]Data!Q1000</f>
        <v>0</v>
      </c>
      <c r="R1000" s="8">
        <f>[1]Data!R1000</f>
        <v>0</v>
      </c>
      <c r="S1000" s="8">
        <f>[1]Data!S1000</f>
        <v>0</v>
      </c>
      <c r="T1000">
        <f t="shared" si="75"/>
        <v>4.5454545454545497E-2</v>
      </c>
      <c r="U1000">
        <f t="shared" si="76"/>
        <v>0</v>
      </c>
      <c r="V1000" s="4" t="str">
        <f t="shared" si="77"/>
        <v>0</v>
      </c>
      <c r="W1000" s="4" t="str">
        <f t="shared" si="78"/>
        <v>7</v>
      </c>
      <c r="X1000" s="4" t="str">
        <f t="shared" si="79"/>
        <v>0NON-HS7</v>
      </c>
      <c r="Y1000">
        <f>VLOOKUP(X1000,Sheet1!$J$5:$K$121,2,FALSE)</f>
        <v>0</v>
      </c>
    </row>
    <row r="1001" spans="1:25" x14ac:dyDescent="0.25">
      <c r="A1001" s="8">
        <f>[1]Data!A1001</f>
        <v>533105</v>
      </c>
      <c r="B1001" s="8">
        <f>[1]Data!B1001</f>
        <v>7</v>
      </c>
      <c r="C1001" s="8">
        <f>[1]Data!C1001</f>
        <v>0</v>
      </c>
      <c r="D1001" s="8">
        <f>[1]Data!D1001</f>
        <v>1</v>
      </c>
      <c r="E1001" s="8" t="str">
        <f>[1]Data!E1001</f>
        <v>NON-HS</v>
      </c>
      <c r="F1001" s="8" t="str">
        <f>[1]Data!F1001</f>
        <v>Huntington Park</v>
      </c>
      <c r="G1001" s="8">
        <f>[1]Data!G1001</f>
        <v>0</v>
      </c>
      <c r="H1001" s="8">
        <f>[1]Data!H1001</f>
        <v>0</v>
      </c>
      <c r="I1001" s="8">
        <f>[1]Data!I1001</f>
        <v>1.9259999999999999</v>
      </c>
      <c r="J1001" s="8">
        <f>[1]Data!J1001</f>
        <v>1.90487994</v>
      </c>
      <c r="K1001" s="8">
        <f>[1]Data!K1001</f>
        <v>1.90487994</v>
      </c>
      <c r="L1001" s="8">
        <f>[1]Data!L1001</f>
        <v>2.0625322082585301E-2</v>
      </c>
      <c r="M1001" s="8">
        <f>[1]Data!M1001</f>
        <v>1.9255052620825901</v>
      </c>
      <c r="N1001" s="8">
        <f>[1]Data!N1001</f>
        <v>4.5454545454545497E-2</v>
      </c>
      <c r="O1001" s="8">
        <f>[1]Data!O1001</f>
        <v>0</v>
      </c>
      <c r="P1001" s="8">
        <f>[1]Data!P1001</f>
        <v>1</v>
      </c>
      <c r="Q1001" s="8">
        <f>[1]Data!Q1001</f>
        <v>0</v>
      </c>
      <c r="R1001" s="8">
        <f>[1]Data!R1001</f>
        <v>0</v>
      </c>
      <c r="S1001" s="8">
        <f>[1]Data!S1001</f>
        <v>0</v>
      </c>
      <c r="T1001">
        <f t="shared" si="75"/>
        <v>4.5454545454545497E-2</v>
      </c>
      <c r="U1001">
        <f t="shared" si="76"/>
        <v>0</v>
      </c>
      <c r="V1001" s="4" t="str">
        <f t="shared" si="77"/>
        <v>0</v>
      </c>
      <c r="W1001" s="4" t="str">
        <f t="shared" si="78"/>
        <v>7</v>
      </c>
      <c r="X1001" s="4" t="str">
        <f t="shared" si="79"/>
        <v>0NON-HS7</v>
      </c>
      <c r="Y1001">
        <f>VLOOKUP(X1001,Sheet1!$J$5:$K$121,2,FALSE)</f>
        <v>0</v>
      </c>
    </row>
    <row r="1002" spans="1:25" x14ac:dyDescent="0.25">
      <c r="A1002" s="8">
        <f>[1]Data!A1002</f>
        <v>535802</v>
      </c>
      <c r="B1002" s="8">
        <f>[1]Data!B1002</f>
        <v>7</v>
      </c>
      <c r="C1002" s="8">
        <f>[1]Data!C1002</f>
        <v>0</v>
      </c>
      <c r="D1002" s="8">
        <f>[1]Data!D1002</f>
        <v>1</v>
      </c>
      <c r="E1002" s="8" t="str">
        <f>[1]Data!E1002</f>
        <v>NON-HS</v>
      </c>
      <c r="F1002" s="8" t="str">
        <f>[1]Data!F1002</f>
        <v>South Gate</v>
      </c>
      <c r="G1002" s="8">
        <f>[1]Data!G1002</f>
        <v>0</v>
      </c>
      <c r="H1002" s="8">
        <f>[1]Data!H1002</f>
        <v>0</v>
      </c>
      <c r="I1002" s="8">
        <f>[1]Data!I1002</f>
        <v>3.0950000000000002</v>
      </c>
      <c r="J1002" s="8">
        <f>[1]Data!J1002</f>
        <v>1.9836996600000001</v>
      </c>
      <c r="K1002" s="8">
        <f>[1]Data!K1002</f>
        <v>2.9836996600000001</v>
      </c>
      <c r="L1002" s="8">
        <f>[1]Data!L1002</f>
        <v>0.11117260138240601</v>
      </c>
      <c r="M1002" s="8">
        <f>[1]Data!M1002</f>
        <v>3.09487226138241</v>
      </c>
      <c r="N1002" s="8">
        <f>[1]Data!N1002</f>
        <v>4.5454545454545497E-2</v>
      </c>
      <c r="O1002" s="8">
        <f>[1]Data!O1002</f>
        <v>0</v>
      </c>
      <c r="P1002" s="8">
        <f>[1]Data!P1002</f>
        <v>1</v>
      </c>
      <c r="Q1002" s="8">
        <f>[1]Data!Q1002</f>
        <v>0</v>
      </c>
      <c r="R1002" s="8">
        <f>[1]Data!R1002</f>
        <v>0</v>
      </c>
      <c r="S1002" s="8">
        <f>[1]Data!S1002</f>
        <v>0</v>
      </c>
      <c r="T1002">
        <f t="shared" si="75"/>
        <v>4.5454545454545497E-2</v>
      </c>
      <c r="U1002">
        <f t="shared" si="76"/>
        <v>0</v>
      </c>
      <c r="V1002" s="4" t="str">
        <f t="shared" si="77"/>
        <v>0</v>
      </c>
      <c r="W1002" s="4" t="str">
        <f t="shared" si="78"/>
        <v>7</v>
      </c>
      <c r="X1002" s="4" t="str">
        <f t="shared" si="79"/>
        <v>0NON-HS7</v>
      </c>
      <c r="Y1002">
        <f>VLOOKUP(X1002,Sheet1!$J$5:$K$121,2,FALSE)</f>
        <v>0</v>
      </c>
    </row>
    <row r="1003" spans="1:25" x14ac:dyDescent="0.25">
      <c r="A1003" s="8">
        <f>[1]Data!A1003</f>
        <v>532606</v>
      </c>
      <c r="B1003" s="8">
        <f>[1]Data!B1003</f>
        <v>7</v>
      </c>
      <c r="C1003" s="8">
        <f>[1]Data!C1003</f>
        <v>0</v>
      </c>
      <c r="D1003" s="8">
        <f>[1]Data!D1003</f>
        <v>1</v>
      </c>
      <c r="E1003" s="8" t="str">
        <f>[1]Data!E1003</f>
        <v>NON-HS</v>
      </c>
      <c r="F1003" s="8" t="str">
        <f>[1]Data!F1003</f>
        <v>Huntington Park</v>
      </c>
      <c r="G1003" s="8">
        <f>[1]Data!G1003</f>
        <v>0</v>
      </c>
      <c r="H1003" s="8">
        <f>[1]Data!H1003</f>
        <v>0</v>
      </c>
      <c r="I1003" s="8">
        <f>[1]Data!I1003</f>
        <v>2.8079999999999998</v>
      </c>
      <c r="J1003" s="8">
        <f>[1]Data!J1003</f>
        <v>1.73313217</v>
      </c>
      <c r="K1003" s="8">
        <f>[1]Data!K1003</f>
        <v>2.7331321700000002</v>
      </c>
      <c r="L1003" s="8">
        <f>[1]Data!L1003</f>
        <v>7.4985510287253102E-2</v>
      </c>
      <c r="M1003" s="8">
        <f>[1]Data!M1003</f>
        <v>2.8081176802872498</v>
      </c>
      <c r="N1003" s="8">
        <f>[1]Data!N1003</f>
        <v>4.5454545454545497E-2</v>
      </c>
      <c r="O1003" s="8">
        <f>[1]Data!O1003</f>
        <v>0</v>
      </c>
      <c r="P1003" s="8">
        <f>[1]Data!P1003</f>
        <v>1</v>
      </c>
      <c r="Q1003" s="8">
        <f>[1]Data!Q1003</f>
        <v>0</v>
      </c>
      <c r="R1003" s="8">
        <f>[1]Data!R1003</f>
        <v>0</v>
      </c>
      <c r="S1003" s="8">
        <f>[1]Data!S1003</f>
        <v>0</v>
      </c>
      <c r="T1003">
        <f t="shared" si="75"/>
        <v>4.5454545454545497E-2</v>
      </c>
      <c r="U1003">
        <f t="shared" si="76"/>
        <v>0</v>
      </c>
      <c r="V1003" s="4" t="str">
        <f t="shared" si="77"/>
        <v>0</v>
      </c>
      <c r="W1003" s="4" t="str">
        <f t="shared" si="78"/>
        <v>7</v>
      </c>
      <c r="X1003" s="4" t="str">
        <f t="shared" si="79"/>
        <v>0NON-HS7</v>
      </c>
      <c r="Y1003">
        <f>VLOOKUP(X1003,Sheet1!$J$5:$K$121,2,FALSE)</f>
        <v>0</v>
      </c>
    </row>
    <row r="1004" spans="1:25" x14ac:dyDescent="0.25">
      <c r="A1004" s="8">
        <f>[1]Data!A1004</f>
        <v>535804</v>
      </c>
      <c r="B1004" s="8">
        <f>[1]Data!B1004</f>
        <v>7</v>
      </c>
      <c r="C1004" s="8">
        <f>[1]Data!C1004</f>
        <v>0</v>
      </c>
      <c r="D1004" s="8">
        <f>[1]Data!D1004</f>
        <v>1</v>
      </c>
      <c r="E1004" s="8" t="str">
        <f>[1]Data!E1004</f>
        <v>NON-HS</v>
      </c>
      <c r="F1004" s="8" t="str">
        <f>[1]Data!F1004</f>
        <v>South Gate</v>
      </c>
      <c r="G1004" s="8">
        <f>[1]Data!G1004</f>
        <v>0</v>
      </c>
      <c r="H1004" s="8">
        <f>[1]Data!H1004</f>
        <v>0</v>
      </c>
      <c r="I1004" s="8">
        <f>[1]Data!I1004</f>
        <v>0</v>
      </c>
      <c r="J1004" s="8">
        <f>[1]Data!J1004</f>
        <v>0</v>
      </c>
      <c r="K1004" s="8">
        <f>[1]Data!K1004</f>
        <v>0</v>
      </c>
      <c r="L1004" s="8">
        <f>[1]Data!L1004</f>
        <v>0</v>
      </c>
      <c r="M1004" s="8">
        <f>[1]Data!M1004</f>
        <v>0</v>
      </c>
      <c r="N1004" s="8">
        <f>[1]Data!N1004</f>
        <v>4.5454545454545497E-2</v>
      </c>
      <c r="O1004" s="8">
        <f>[1]Data!O1004</f>
        <v>0</v>
      </c>
      <c r="P1004" s="8">
        <f>[1]Data!P1004</f>
        <v>1</v>
      </c>
      <c r="Q1004" s="8">
        <f>[1]Data!Q1004</f>
        <v>0</v>
      </c>
      <c r="R1004" s="8">
        <f>[1]Data!R1004</f>
        <v>0</v>
      </c>
      <c r="S1004" s="8">
        <f>[1]Data!S1004</f>
        <v>0</v>
      </c>
      <c r="T1004">
        <f t="shared" si="75"/>
        <v>4.5454545454545497E-2</v>
      </c>
      <c r="U1004">
        <f t="shared" si="76"/>
        <v>0</v>
      </c>
      <c r="V1004" s="4" t="str">
        <f t="shared" si="77"/>
        <v>0</v>
      </c>
      <c r="W1004" s="4" t="str">
        <f t="shared" si="78"/>
        <v>7</v>
      </c>
      <c r="X1004" s="4" t="str">
        <f t="shared" si="79"/>
        <v>0NON-HS7</v>
      </c>
      <c r="Y1004">
        <f>VLOOKUP(X1004,Sheet1!$J$5:$K$121,2,FALSE)</f>
        <v>0</v>
      </c>
    </row>
    <row r="1005" spans="1:25" x14ac:dyDescent="0.25">
      <c r="A1005" s="8">
        <f>[1]Data!A1005</f>
        <v>535901</v>
      </c>
      <c r="B1005" s="8">
        <f>[1]Data!B1005</f>
        <v>7</v>
      </c>
      <c r="C1005" s="8">
        <f>[1]Data!C1005</f>
        <v>0</v>
      </c>
      <c r="D1005" s="8">
        <f>[1]Data!D1005</f>
        <v>1</v>
      </c>
      <c r="E1005" s="8" t="str">
        <f>[1]Data!E1005</f>
        <v>NON-HS</v>
      </c>
      <c r="F1005" s="8" t="str">
        <f>[1]Data!F1005</f>
        <v>South Gate</v>
      </c>
      <c r="G1005" s="8">
        <f>[1]Data!G1005</f>
        <v>0</v>
      </c>
      <c r="H1005" s="8">
        <f>[1]Data!H1005</f>
        <v>0</v>
      </c>
      <c r="I1005" s="8">
        <f>[1]Data!I1005</f>
        <v>6.6120000000000001</v>
      </c>
      <c r="J1005" s="8">
        <f>[1]Data!J1005</f>
        <v>5.3277761699999999</v>
      </c>
      <c r="K1005" s="8">
        <f>[1]Data!K1005</f>
        <v>6.3277761699999999</v>
      </c>
      <c r="L1005" s="8">
        <f>[1]Data!L1005</f>
        <v>0.28324992960502698</v>
      </c>
      <c r="M1005" s="8">
        <f>[1]Data!M1005</f>
        <v>6.6110260996050298</v>
      </c>
      <c r="N1005" s="8">
        <f>[1]Data!N1005</f>
        <v>4.5454545454545497E-2</v>
      </c>
      <c r="O1005" s="8">
        <f>[1]Data!O1005</f>
        <v>0</v>
      </c>
      <c r="P1005" s="8">
        <f>[1]Data!P1005</f>
        <v>1</v>
      </c>
      <c r="Q1005" s="8">
        <f>[1]Data!Q1005</f>
        <v>0</v>
      </c>
      <c r="R1005" s="8">
        <f>[1]Data!R1005</f>
        <v>0</v>
      </c>
      <c r="S1005" s="8">
        <f>[1]Data!S1005</f>
        <v>0</v>
      </c>
      <c r="T1005">
        <f t="shared" si="75"/>
        <v>4.5454545454545497E-2</v>
      </c>
      <c r="U1005">
        <f t="shared" si="76"/>
        <v>0</v>
      </c>
      <c r="V1005" s="4" t="str">
        <f t="shared" si="77"/>
        <v>0</v>
      </c>
      <c r="W1005" s="4" t="str">
        <f t="shared" si="78"/>
        <v>7</v>
      </c>
      <c r="X1005" s="4" t="str">
        <f t="shared" si="79"/>
        <v>0NON-HS7</v>
      </c>
      <c r="Y1005">
        <f>VLOOKUP(X1005,Sheet1!$J$5:$K$121,2,FALSE)</f>
        <v>0</v>
      </c>
    </row>
    <row r="1006" spans="1:25" x14ac:dyDescent="0.25">
      <c r="A1006" s="8">
        <f>[1]Data!A1006</f>
        <v>531302</v>
      </c>
      <c r="B1006" s="8">
        <f>[1]Data!B1006</f>
        <v>7</v>
      </c>
      <c r="C1006" s="8">
        <f>[1]Data!C1006</f>
        <v>0</v>
      </c>
      <c r="D1006" s="8">
        <f>[1]Data!D1006</f>
        <v>1</v>
      </c>
      <c r="E1006" s="8" t="str">
        <f>[1]Data!E1006</f>
        <v>NON-HS</v>
      </c>
      <c r="F1006" s="8" t="str">
        <f>[1]Data!F1006</f>
        <v>East Los Angeles</v>
      </c>
      <c r="G1006" s="8">
        <f>[1]Data!G1006</f>
        <v>0</v>
      </c>
      <c r="H1006" s="8">
        <f>[1]Data!H1006</f>
        <v>0</v>
      </c>
      <c r="I1006" s="8">
        <f>[1]Data!I1006</f>
        <v>9.9009999999999998</v>
      </c>
      <c r="J1006" s="8">
        <f>[1]Data!J1006</f>
        <v>9.4173633199999998</v>
      </c>
      <c r="K1006" s="8">
        <f>[1]Data!K1006</f>
        <v>9.4173633199999998</v>
      </c>
      <c r="L1006" s="8">
        <f>[1]Data!L1006</f>
        <v>0.483488824721723</v>
      </c>
      <c r="M1006" s="8">
        <f>[1]Data!M1006</f>
        <v>9.9008521447217195</v>
      </c>
      <c r="N1006" s="8">
        <f>[1]Data!N1006</f>
        <v>4.5454545454545497E-2</v>
      </c>
      <c r="O1006" s="8">
        <f>[1]Data!O1006</f>
        <v>0</v>
      </c>
      <c r="P1006" s="8">
        <f>[1]Data!P1006</f>
        <v>1</v>
      </c>
      <c r="Q1006" s="8">
        <f>[1]Data!Q1006</f>
        <v>0</v>
      </c>
      <c r="R1006" s="8">
        <f>[1]Data!R1006</f>
        <v>0</v>
      </c>
      <c r="S1006" s="8">
        <f>[1]Data!S1006</f>
        <v>0</v>
      </c>
      <c r="T1006">
        <f t="shared" si="75"/>
        <v>4.5454545454545497E-2</v>
      </c>
      <c r="U1006">
        <f t="shared" si="76"/>
        <v>0</v>
      </c>
      <c r="V1006" s="4" t="str">
        <f t="shared" si="77"/>
        <v>0</v>
      </c>
      <c r="W1006" s="4" t="str">
        <f t="shared" si="78"/>
        <v>7</v>
      </c>
      <c r="X1006" s="4" t="str">
        <f t="shared" si="79"/>
        <v>0NON-HS7</v>
      </c>
      <c r="Y1006">
        <f>VLOOKUP(X1006,Sheet1!$J$5:$K$121,2,FALSE)</f>
        <v>0</v>
      </c>
    </row>
    <row r="1007" spans="1:25" x14ac:dyDescent="0.25">
      <c r="A1007" s="8">
        <f>[1]Data!A1007</f>
        <v>535902</v>
      </c>
      <c r="B1007" s="8">
        <f>[1]Data!B1007</f>
        <v>7</v>
      </c>
      <c r="C1007" s="8">
        <f>[1]Data!C1007</f>
        <v>0</v>
      </c>
      <c r="D1007" s="8">
        <f>[1]Data!D1007</f>
        <v>1</v>
      </c>
      <c r="E1007" s="8" t="str">
        <f>[1]Data!E1007</f>
        <v>NON-HS</v>
      </c>
      <c r="F1007" s="8" t="str">
        <f>[1]Data!F1007</f>
        <v>South Gate</v>
      </c>
      <c r="G1007" s="8">
        <f>[1]Data!G1007</f>
        <v>0</v>
      </c>
      <c r="H1007" s="8">
        <f>[1]Data!H1007</f>
        <v>0</v>
      </c>
      <c r="I1007" s="8">
        <f>[1]Data!I1007</f>
        <v>1</v>
      </c>
      <c r="J1007" s="8">
        <f>[1]Data!J1007</f>
        <v>0</v>
      </c>
      <c r="K1007" s="8">
        <f>[1]Data!K1007</f>
        <v>1</v>
      </c>
      <c r="L1007" s="8">
        <f>[1]Data!L1007</f>
        <v>0</v>
      </c>
      <c r="M1007" s="8">
        <f>[1]Data!M1007</f>
        <v>1</v>
      </c>
      <c r="N1007" s="8">
        <f>[1]Data!N1007</f>
        <v>4.5454545454545497E-2</v>
      </c>
      <c r="O1007" s="8">
        <f>[1]Data!O1007</f>
        <v>0</v>
      </c>
      <c r="P1007" s="8">
        <f>[1]Data!P1007</f>
        <v>1</v>
      </c>
      <c r="Q1007" s="8">
        <f>[1]Data!Q1007</f>
        <v>0</v>
      </c>
      <c r="R1007" s="8">
        <f>[1]Data!R1007</f>
        <v>0</v>
      </c>
      <c r="S1007" s="8">
        <f>[1]Data!S1007</f>
        <v>0</v>
      </c>
      <c r="T1007">
        <f t="shared" si="75"/>
        <v>4.5454545454545497E-2</v>
      </c>
      <c r="U1007">
        <f t="shared" si="76"/>
        <v>0</v>
      </c>
      <c r="V1007" s="4" t="str">
        <f t="shared" si="77"/>
        <v>0</v>
      </c>
      <c r="W1007" s="4" t="str">
        <f t="shared" si="78"/>
        <v>7</v>
      </c>
      <c r="X1007" s="4" t="str">
        <f t="shared" si="79"/>
        <v>0NON-HS7</v>
      </c>
      <c r="Y1007">
        <f>VLOOKUP(X1007,Sheet1!$J$5:$K$121,2,FALSE)</f>
        <v>0</v>
      </c>
    </row>
    <row r="1008" spans="1:25" x14ac:dyDescent="0.25">
      <c r="A1008" s="8">
        <f>[1]Data!A1008</f>
        <v>536000</v>
      </c>
      <c r="B1008" s="8">
        <f>[1]Data!B1008</f>
        <v>7</v>
      </c>
      <c r="C1008" s="8">
        <f>[1]Data!C1008</f>
        <v>0</v>
      </c>
      <c r="D1008" s="8">
        <f>[1]Data!D1008</f>
        <v>1</v>
      </c>
      <c r="E1008" s="8" t="str">
        <f>[1]Data!E1008</f>
        <v>NON-HS</v>
      </c>
      <c r="F1008" s="8" t="str">
        <f>[1]Data!F1008</f>
        <v>South Gate</v>
      </c>
      <c r="G1008" s="8">
        <f>[1]Data!G1008</f>
        <v>0</v>
      </c>
      <c r="H1008" s="8">
        <f>[1]Data!H1008</f>
        <v>0</v>
      </c>
      <c r="I1008" s="8">
        <f>[1]Data!I1008</f>
        <v>1.9259999999999999</v>
      </c>
      <c r="J1008" s="8">
        <f>[1]Data!J1008</f>
        <v>1.90487994</v>
      </c>
      <c r="K1008" s="8">
        <f>[1]Data!K1008</f>
        <v>1.90487994</v>
      </c>
      <c r="L1008" s="8">
        <f>[1]Data!L1008</f>
        <v>2.0625322082585301E-2</v>
      </c>
      <c r="M1008" s="8">
        <f>[1]Data!M1008</f>
        <v>1.9255052620825901</v>
      </c>
      <c r="N1008" s="8">
        <f>[1]Data!N1008</f>
        <v>4.5454545454545497E-2</v>
      </c>
      <c r="O1008" s="8">
        <f>[1]Data!O1008</f>
        <v>0</v>
      </c>
      <c r="P1008" s="8">
        <f>[1]Data!P1008</f>
        <v>1</v>
      </c>
      <c r="Q1008" s="8">
        <f>[1]Data!Q1008</f>
        <v>0</v>
      </c>
      <c r="R1008" s="8">
        <f>[1]Data!R1008</f>
        <v>0</v>
      </c>
      <c r="S1008" s="8">
        <f>[1]Data!S1008</f>
        <v>0</v>
      </c>
      <c r="T1008">
        <f t="shared" si="75"/>
        <v>4.5454545454545497E-2</v>
      </c>
      <c r="U1008">
        <f t="shared" si="76"/>
        <v>0</v>
      </c>
      <c r="V1008" s="4" t="str">
        <f t="shared" si="77"/>
        <v>0</v>
      </c>
      <c r="W1008" s="4" t="str">
        <f t="shared" si="78"/>
        <v>7</v>
      </c>
      <c r="X1008" s="4" t="str">
        <f t="shared" si="79"/>
        <v>0NON-HS7</v>
      </c>
      <c r="Y1008">
        <f>VLOOKUP(X1008,Sheet1!$J$5:$K$121,2,FALSE)</f>
        <v>0</v>
      </c>
    </row>
    <row r="1009" spans="1:25" x14ac:dyDescent="0.25">
      <c r="A1009" s="8">
        <f>[1]Data!A1009</f>
        <v>531201</v>
      </c>
      <c r="B1009" s="8">
        <f>[1]Data!B1009</f>
        <v>7</v>
      </c>
      <c r="C1009" s="8">
        <f>[1]Data!C1009</f>
        <v>0</v>
      </c>
      <c r="D1009" s="8">
        <f>[1]Data!D1009</f>
        <v>1</v>
      </c>
      <c r="E1009" s="8" t="str">
        <f>[1]Data!E1009</f>
        <v>NON-HS</v>
      </c>
      <c r="F1009" s="8" t="str">
        <f>[1]Data!F1009</f>
        <v>East Los Angeles</v>
      </c>
      <c r="G1009" s="8">
        <f>[1]Data!G1009</f>
        <v>0</v>
      </c>
      <c r="H1009" s="8">
        <f>[1]Data!H1009</f>
        <v>0</v>
      </c>
      <c r="I1009" s="8">
        <f>[1]Data!I1009</f>
        <v>2.0950000000000002</v>
      </c>
      <c r="J1009" s="8">
        <f>[1]Data!J1009</f>
        <v>1.9836996600000001</v>
      </c>
      <c r="K1009" s="8">
        <f>[1]Data!K1009</f>
        <v>1.9836996600000001</v>
      </c>
      <c r="L1009" s="8">
        <f>[1]Data!L1009</f>
        <v>0.11117260138240601</v>
      </c>
      <c r="M1009" s="8">
        <f>[1]Data!M1009</f>
        <v>2.09487226138241</v>
      </c>
      <c r="N1009" s="8">
        <f>[1]Data!N1009</f>
        <v>4.5454545454545497E-2</v>
      </c>
      <c r="O1009" s="8">
        <f>[1]Data!O1009</f>
        <v>0</v>
      </c>
      <c r="P1009" s="8">
        <f>[1]Data!P1009</f>
        <v>1</v>
      </c>
      <c r="Q1009" s="8">
        <f>[1]Data!Q1009</f>
        <v>0</v>
      </c>
      <c r="R1009" s="8">
        <f>[1]Data!R1009</f>
        <v>0</v>
      </c>
      <c r="S1009" s="8">
        <f>[1]Data!S1009</f>
        <v>0</v>
      </c>
      <c r="T1009">
        <f t="shared" si="75"/>
        <v>4.5454545454545497E-2</v>
      </c>
      <c r="U1009">
        <f t="shared" si="76"/>
        <v>0</v>
      </c>
      <c r="V1009" s="4" t="str">
        <f t="shared" si="77"/>
        <v>0</v>
      </c>
      <c r="W1009" s="4" t="str">
        <f t="shared" si="78"/>
        <v>7</v>
      </c>
      <c r="X1009" s="4" t="str">
        <f t="shared" si="79"/>
        <v>0NON-HS7</v>
      </c>
      <c r="Y1009">
        <f>VLOOKUP(X1009,Sheet1!$J$5:$K$121,2,FALSE)</f>
        <v>0</v>
      </c>
    </row>
    <row r="1010" spans="1:25" x14ac:dyDescent="0.25">
      <c r="A1010" s="8">
        <f>[1]Data!A1010</f>
        <v>550201</v>
      </c>
      <c r="B1010" s="8">
        <f>[1]Data!B1010</f>
        <v>7</v>
      </c>
      <c r="C1010" s="8">
        <f>[1]Data!C1010</f>
        <v>0</v>
      </c>
      <c r="D1010" s="8">
        <f>[1]Data!D1010</f>
        <v>4</v>
      </c>
      <c r="E1010" s="8" t="str">
        <f>[1]Data!E1010</f>
        <v>NON-HS</v>
      </c>
      <c r="F1010" s="8" t="str">
        <f>[1]Data!F1010</f>
        <v>Norwalk</v>
      </c>
      <c r="G1010" s="8">
        <f>[1]Data!G1010</f>
        <v>0</v>
      </c>
      <c r="H1010" s="8">
        <f>[1]Data!H1010</f>
        <v>0</v>
      </c>
      <c r="I1010" s="8">
        <f>[1]Data!I1010</f>
        <v>0</v>
      </c>
      <c r="J1010" s="8">
        <f>[1]Data!J1010</f>
        <v>0</v>
      </c>
      <c r="K1010" s="8">
        <f>[1]Data!K1010</f>
        <v>0</v>
      </c>
      <c r="L1010" s="8">
        <f>[1]Data!L1010</f>
        <v>0</v>
      </c>
      <c r="M1010" s="8">
        <f>[1]Data!M1010</f>
        <v>0</v>
      </c>
      <c r="N1010" s="8">
        <f>[1]Data!N1010</f>
        <v>4.5454545454545497E-2</v>
      </c>
      <c r="O1010" s="8">
        <f>[1]Data!O1010</f>
        <v>0</v>
      </c>
      <c r="P1010" s="8">
        <f>[1]Data!P1010</f>
        <v>1</v>
      </c>
      <c r="Q1010" s="8">
        <f>[1]Data!Q1010</f>
        <v>0</v>
      </c>
      <c r="R1010" s="8">
        <f>[1]Data!R1010</f>
        <v>0</v>
      </c>
      <c r="S1010" s="8">
        <f>[1]Data!S1010</f>
        <v>0</v>
      </c>
      <c r="T1010">
        <f t="shared" si="75"/>
        <v>4.5454545454545497E-2</v>
      </c>
      <c r="U1010">
        <f t="shared" si="76"/>
        <v>0</v>
      </c>
      <c r="V1010" s="4" t="str">
        <f t="shared" si="77"/>
        <v>0</v>
      </c>
      <c r="W1010" s="4" t="str">
        <f t="shared" si="78"/>
        <v>7</v>
      </c>
      <c r="X1010" s="4" t="str">
        <f t="shared" si="79"/>
        <v>0NON-HS7</v>
      </c>
      <c r="Y1010">
        <f>VLOOKUP(X1010,Sheet1!$J$5:$K$121,2,FALSE)</f>
        <v>0</v>
      </c>
    </row>
    <row r="1011" spans="1:25" x14ac:dyDescent="0.25">
      <c r="A1011" s="8">
        <f>[1]Data!A1011</f>
        <v>550601</v>
      </c>
      <c r="B1011" s="8">
        <f>[1]Data!B1011</f>
        <v>7</v>
      </c>
      <c r="C1011" s="8">
        <f>[1]Data!C1011</f>
        <v>0</v>
      </c>
      <c r="D1011" s="8">
        <f>[1]Data!D1011</f>
        <v>4</v>
      </c>
      <c r="E1011" s="8" t="str">
        <f>[1]Data!E1011</f>
        <v>NON-HS</v>
      </c>
      <c r="F1011" s="8" t="str">
        <f>[1]Data!F1011</f>
        <v>Downey</v>
      </c>
      <c r="G1011" s="8">
        <f>[1]Data!G1011</f>
        <v>0</v>
      </c>
      <c r="H1011" s="8">
        <f>[1]Data!H1011</f>
        <v>0</v>
      </c>
      <c r="I1011" s="8">
        <f>[1]Data!I1011</f>
        <v>0</v>
      </c>
      <c r="J1011" s="8">
        <f>[1]Data!J1011</f>
        <v>0</v>
      </c>
      <c r="K1011" s="8">
        <f>[1]Data!K1011</f>
        <v>0</v>
      </c>
      <c r="L1011" s="8">
        <f>[1]Data!L1011</f>
        <v>0</v>
      </c>
      <c r="M1011" s="8">
        <f>[1]Data!M1011</f>
        <v>0</v>
      </c>
      <c r="N1011" s="8">
        <f>[1]Data!N1011</f>
        <v>4.5454545454545497E-2</v>
      </c>
      <c r="O1011" s="8">
        <f>[1]Data!O1011</f>
        <v>0</v>
      </c>
      <c r="P1011" s="8">
        <f>[1]Data!P1011</f>
        <v>1</v>
      </c>
      <c r="Q1011" s="8">
        <f>[1]Data!Q1011</f>
        <v>0</v>
      </c>
      <c r="R1011" s="8">
        <f>[1]Data!R1011</f>
        <v>0</v>
      </c>
      <c r="S1011" s="8">
        <f>[1]Data!S1011</f>
        <v>0</v>
      </c>
      <c r="T1011">
        <f t="shared" si="75"/>
        <v>4.5454545454545497E-2</v>
      </c>
      <c r="U1011">
        <f t="shared" si="76"/>
        <v>0</v>
      </c>
      <c r="V1011" s="4" t="str">
        <f t="shared" si="77"/>
        <v>0</v>
      </c>
      <c r="W1011" s="4" t="str">
        <f t="shared" si="78"/>
        <v>7</v>
      </c>
      <c r="X1011" s="4" t="str">
        <f t="shared" si="79"/>
        <v>0NON-HS7</v>
      </c>
      <c r="Y1011">
        <f>VLOOKUP(X1011,Sheet1!$J$5:$K$121,2,FALSE)</f>
        <v>0</v>
      </c>
    </row>
    <row r="1012" spans="1:25" x14ac:dyDescent="0.25">
      <c r="A1012" s="8">
        <f>[1]Data!A1012</f>
        <v>550800</v>
      </c>
      <c r="B1012" s="8">
        <f>[1]Data!B1012</f>
        <v>7</v>
      </c>
      <c r="C1012" s="8">
        <f>[1]Data!C1012</f>
        <v>0</v>
      </c>
      <c r="D1012" s="8">
        <f>[1]Data!D1012</f>
        <v>4</v>
      </c>
      <c r="E1012" s="8" t="str">
        <f>[1]Data!E1012</f>
        <v>NON-HS</v>
      </c>
      <c r="F1012" s="8" t="str">
        <f>[1]Data!F1012</f>
        <v>Downey</v>
      </c>
      <c r="G1012" s="8">
        <f>[1]Data!G1012</f>
        <v>0</v>
      </c>
      <c r="H1012" s="8">
        <f>[1]Data!H1012</f>
        <v>0</v>
      </c>
      <c r="I1012" s="8">
        <f>[1]Data!I1012</f>
        <v>1.591</v>
      </c>
      <c r="J1012" s="8">
        <f>[1]Data!J1012</f>
        <v>1.43919657</v>
      </c>
      <c r="K1012" s="8">
        <f>[1]Data!K1012</f>
        <v>1.43919657</v>
      </c>
      <c r="L1012" s="8">
        <f>[1]Data!L1012</f>
        <v>0.15145200614003601</v>
      </c>
      <c r="M1012" s="8">
        <f>[1]Data!M1012</f>
        <v>1.59064857614004</v>
      </c>
      <c r="N1012" s="8">
        <f>[1]Data!N1012</f>
        <v>4.5454545454545497E-2</v>
      </c>
      <c r="O1012" s="8">
        <f>[1]Data!O1012</f>
        <v>0</v>
      </c>
      <c r="P1012" s="8">
        <f>[1]Data!P1012</f>
        <v>1</v>
      </c>
      <c r="Q1012" s="8">
        <f>[1]Data!Q1012</f>
        <v>0</v>
      </c>
      <c r="R1012" s="8">
        <f>[1]Data!R1012</f>
        <v>0</v>
      </c>
      <c r="S1012" s="8">
        <f>[1]Data!S1012</f>
        <v>0</v>
      </c>
      <c r="T1012">
        <f t="shared" si="75"/>
        <v>4.5454545454545497E-2</v>
      </c>
      <c r="U1012">
        <f t="shared" si="76"/>
        <v>0</v>
      </c>
      <c r="V1012" s="4" t="str">
        <f t="shared" si="77"/>
        <v>0</v>
      </c>
      <c r="W1012" s="4" t="str">
        <f t="shared" si="78"/>
        <v>7</v>
      </c>
      <c r="X1012" s="4" t="str">
        <f t="shared" si="79"/>
        <v>0NON-HS7</v>
      </c>
      <c r="Y1012">
        <f>VLOOKUP(X1012,Sheet1!$J$5:$K$121,2,FALSE)</f>
        <v>0</v>
      </c>
    </row>
    <row r="1013" spans="1:25" x14ac:dyDescent="0.25">
      <c r="A1013" s="8">
        <f>[1]Data!A1013</f>
        <v>530602</v>
      </c>
      <c r="B1013" s="8">
        <f>[1]Data!B1013</f>
        <v>7</v>
      </c>
      <c r="C1013" s="8">
        <f>[1]Data!C1013</f>
        <v>0</v>
      </c>
      <c r="D1013" s="8">
        <f>[1]Data!D1013</f>
        <v>1</v>
      </c>
      <c r="E1013" s="8" t="str">
        <f>[1]Data!E1013</f>
        <v>NON-HS</v>
      </c>
      <c r="F1013" s="8" t="str">
        <f>[1]Data!F1013</f>
        <v>East Los Angeles</v>
      </c>
      <c r="G1013" s="8">
        <f>[1]Data!G1013</f>
        <v>0</v>
      </c>
      <c r="H1013" s="8">
        <f>[1]Data!H1013</f>
        <v>0</v>
      </c>
      <c r="I1013" s="8">
        <f>[1]Data!I1013</f>
        <v>0</v>
      </c>
      <c r="J1013" s="8">
        <f>[1]Data!J1013</f>
        <v>0</v>
      </c>
      <c r="K1013" s="8">
        <f>[1]Data!K1013</f>
        <v>0</v>
      </c>
      <c r="L1013" s="8">
        <f>[1]Data!L1013</f>
        <v>0</v>
      </c>
      <c r="M1013" s="8">
        <f>[1]Data!M1013</f>
        <v>0</v>
      </c>
      <c r="N1013" s="8">
        <f>[1]Data!N1013</f>
        <v>4.5454545454545497E-2</v>
      </c>
      <c r="O1013" s="8">
        <f>[1]Data!O1013</f>
        <v>0</v>
      </c>
      <c r="P1013" s="8">
        <f>[1]Data!P1013</f>
        <v>1</v>
      </c>
      <c r="Q1013" s="8">
        <f>[1]Data!Q1013</f>
        <v>0</v>
      </c>
      <c r="R1013" s="8">
        <f>[1]Data!R1013</f>
        <v>0</v>
      </c>
      <c r="S1013" s="8">
        <f>[1]Data!S1013</f>
        <v>0</v>
      </c>
      <c r="T1013">
        <f t="shared" si="75"/>
        <v>4.5454545454545497E-2</v>
      </c>
      <c r="U1013">
        <f t="shared" si="76"/>
        <v>0</v>
      </c>
      <c r="V1013" s="4" t="str">
        <f t="shared" si="77"/>
        <v>0</v>
      </c>
      <c r="W1013" s="4" t="str">
        <f t="shared" si="78"/>
        <v>7</v>
      </c>
      <c r="X1013" s="4" t="str">
        <f t="shared" si="79"/>
        <v>0NON-HS7</v>
      </c>
      <c r="Y1013">
        <f>VLOOKUP(X1013,Sheet1!$J$5:$K$121,2,FALSE)</f>
        <v>0</v>
      </c>
    </row>
    <row r="1014" spans="1:25" x14ac:dyDescent="0.25">
      <c r="A1014" s="8">
        <f>[1]Data!A1014</f>
        <v>550902</v>
      </c>
      <c r="B1014" s="8">
        <f>[1]Data!B1014</f>
        <v>7</v>
      </c>
      <c r="C1014" s="8">
        <f>[1]Data!C1014</f>
        <v>0</v>
      </c>
      <c r="D1014" s="8">
        <f>[1]Data!D1014</f>
        <v>4</v>
      </c>
      <c r="E1014" s="8" t="str">
        <f>[1]Data!E1014</f>
        <v>NON-HS</v>
      </c>
      <c r="F1014" s="8" t="str">
        <f>[1]Data!F1014</f>
        <v>Downey</v>
      </c>
      <c r="G1014" s="8">
        <f>[1]Data!G1014</f>
        <v>0</v>
      </c>
      <c r="H1014" s="8">
        <f>[1]Data!H1014</f>
        <v>0</v>
      </c>
      <c r="I1014" s="8">
        <f>[1]Data!I1014</f>
        <v>0</v>
      </c>
      <c r="J1014" s="8">
        <f>[1]Data!J1014</f>
        <v>0</v>
      </c>
      <c r="K1014" s="8">
        <f>[1]Data!K1014</f>
        <v>0</v>
      </c>
      <c r="L1014" s="8">
        <f>[1]Data!L1014</f>
        <v>0</v>
      </c>
      <c r="M1014" s="8">
        <f>[1]Data!M1014</f>
        <v>0</v>
      </c>
      <c r="N1014" s="8">
        <f>[1]Data!N1014</f>
        <v>4.5454545454545497E-2</v>
      </c>
      <c r="O1014" s="8">
        <f>[1]Data!O1014</f>
        <v>0</v>
      </c>
      <c r="P1014" s="8">
        <f>[1]Data!P1014</f>
        <v>1</v>
      </c>
      <c r="Q1014" s="8">
        <f>[1]Data!Q1014</f>
        <v>0</v>
      </c>
      <c r="R1014" s="8">
        <f>[1]Data!R1014</f>
        <v>0</v>
      </c>
      <c r="S1014" s="8">
        <f>[1]Data!S1014</f>
        <v>0</v>
      </c>
      <c r="T1014">
        <f t="shared" si="75"/>
        <v>4.5454545454545497E-2</v>
      </c>
      <c r="U1014">
        <f t="shared" si="76"/>
        <v>0</v>
      </c>
      <c r="V1014" s="4" t="str">
        <f t="shared" si="77"/>
        <v>0</v>
      </c>
      <c r="W1014" s="4" t="str">
        <f t="shared" si="78"/>
        <v>7</v>
      </c>
      <c r="X1014" s="4" t="str">
        <f t="shared" si="79"/>
        <v>0NON-HS7</v>
      </c>
      <c r="Y1014">
        <f>VLOOKUP(X1014,Sheet1!$J$5:$K$121,2,FALSE)</f>
        <v>0</v>
      </c>
    </row>
    <row r="1015" spans="1:25" x14ac:dyDescent="0.25">
      <c r="A1015" s="8">
        <f>[1]Data!A1015</f>
        <v>530302</v>
      </c>
      <c r="B1015" s="8">
        <f>[1]Data!B1015</f>
        <v>7</v>
      </c>
      <c r="C1015" s="8">
        <f>[1]Data!C1015</f>
        <v>0</v>
      </c>
      <c r="D1015" s="8">
        <f>[1]Data!D1015</f>
        <v>1</v>
      </c>
      <c r="E1015" s="8" t="str">
        <f>[1]Data!E1015</f>
        <v>NON-HS</v>
      </c>
      <c r="F1015" s="8" t="str">
        <f>[1]Data!F1015</f>
        <v>East Los Angeles</v>
      </c>
      <c r="G1015" s="8">
        <f>[1]Data!G1015</f>
        <v>0</v>
      </c>
      <c r="H1015" s="8">
        <f>[1]Data!H1015</f>
        <v>0</v>
      </c>
      <c r="I1015" s="8">
        <f>[1]Data!I1015</f>
        <v>7.4939999999999998</v>
      </c>
      <c r="J1015" s="8">
        <f>[1]Data!J1015</f>
        <v>5.1560284000000003</v>
      </c>
      <c r="K1015" s="8">
        <f>[1]Data!K1015</f>
        <v>7.1560284000000003</v>
      </c>
      <c r="L1015" s="8">
        <f>[1]Data!L1015</f>
        <v>0.33761011780969502</v>
      </c>
      <c r="M1015" s="8">
        <f>[1]Data!M1015</f>
        <v>7.4936385178096998</v>
      </c>
      <c r="N1015" s="8">
        <f>[1]Data!N1015</f>
        <v>4.5454545454545497E-2</v>
      </c>
      <c r="O1015" s="8">
        <f>[1]Data!O1015</f>
        <v>0</v>
      </c>
      <c r="P1015" s="8">
        <f>[1]Data!P1015</f>
        <v>1</v>
      </c>
      <c r="Q1015" s="8">
        <f>[1]Data!Q1015</f>
        <v>0</v>
      </c>
      <c r="R1015" s="8">
        <f>[1]Data!R1015</f>
        <v>0</v>
      </c>
      <c r="S1015" s="8">
        <f>[1]Data!S1015</f>
        <v>0</v>
      </c>
      <c r="T1015">
        <f t="shared" si="75"/>
        <v>4.5454545454545497E-2</v>
      </c>
      <c r="U1015">
        <f t="shared" si="76"/>
        <v>0</v>
      </c>
      <c r="V1015" s="4" t="str">
        <f t="shared" si="77"/>
        <v>0</v>
      </c>
      <c r="W1015" s="4" t="str">
        <f t="shared" si="78"/>
        <v>7</v>
      </c>
      <c r="X1015" s="4" t="str">
        <f t="shared" si="79"/>
        <v>0NON-HS7</v>
      </c>
      <c r="Y1015">
        <f>VLOOKUP(X1015,Sheet1!$J$5:$K$121,2,FALSE)</f>
        <v>0</v>
      </c>
    </row>
    <row r="1016" spans="1:25" x14ac:dyDescent="0.25">
      <c r="A1016" s="8">
        <f>[1]Data!A1016</f>
        <v>504101</v>
      </c>
      <c r="B1016" s="8">
        <f>[1]Data!B1016</f>
        <v>7</v>
      </c>
      <c r="C1016" s="8">
        <f>[1]Data!C1016</f>
        <v>0</v>
      </c>
      <c r="D1016" s="8">
        <f>[1]Data!D1016</f>
        <v>4</v>
      </c>
      <c r="E1016" s="8" t="str">
        <f>[1]Data!E1016</f>
        <v>NON-HS</v>
      </c>
      <c r="F1016" s="8" t="str">
        <f>[1]Data!F1016</f>
        <v>La Mirada</v>
      </c>
      <c r="G1016" s="8">
        <f>[1]Data!G1016</f>
        <v>0</v>
      </c>
      <c r="H1016" s="8">
        <f>[1]Data!H1016</f>
        <v>0</v>
      </c>
      <c r="I1016" s="8">
        <f>[1]Data!I1016</f>
        <v>0</v>
      </c>
      <c r="J1016" s="8">
        <f>[1]Data!J1016</f>
        <v>0</v>
      </c>
      <c r="K1016" s="8">
        <f>[1]Data!K1016</f>
        <v>0</v>
      </c>
      <c r="L1016" s="8">
        <f>[1]Data!L1016</f>
        <v>0</v>
      </c>
      <c r="M1016" s="8">
        <f>[1]Data!M1016</f>
        <v>0</v>
      </c>
      <c r="N1016" s="8">
        <f>[1]Data!N1016</f>
        <v>4.5454545454545497E-2</v>
      </c>
      <c r="O1016" s="8">
        <f>[1]Data!O1016</f>
        <v>0</v>
      </c>
      <c r="P1016" s="8">
        <f>[1]Data!P1016</f>
        <v>1</v>
      </c>
      <c r="Q1016" s="8">
        <f>[1]Data!Q1016</f>
        <v>0</v>
      </c>
      <c r="R1016" s="8">
        <f>[1]Data!R1016</f>
        <v>0</v>
      </c>
      <c r="S1016" s="8">
        <f>[1]Data!S1016</f>
        <v>0</v>
      </c>
      <c r="T1016">
        <f t="shared" si="75"/>
        <v>4.5454545454545497E-2</v>
      </c>
      <c r="U1016">
        <f t="shared" si="76"/>
        <v>0</v>
      </c>
      <c r="V1016" s="4" t="str">
        <f t="shared" si="77"/>
        <v>0</v>
      </c>
      <c r="W1016" s="4" t="str">
        <f t="shared" si="78"/>
        <v>7</v>
      </c>
      <c r="X1016" s="4" t="str">
        <f t="shared" si="79"/>
        <v>0NON-HS7</v>
      </c>
      <c r="Y1016">
        <f>VLOOKUP(X1016,Sheet1!$J$5:$K$121,2,FALSE)</f>
        <v>0</v>
      </c>
    </row>
    <row r="1017" spans="1:25" x14ac:dyDescent="0.25">
      <c r="A1017" s="8">
        <f>[1]Data!A1017</f>
        <v>551201</v>
      </c>
      <c r="B1017" s="8">
        <f>[1]Data!B1017</f>
        <v>7</v>
      </c>
      <c r="C1017" s="8">
        <f>[1]Data!C1017</f>
        <v>0</v>
      </c>
      <c r="D1017" s="8">
        <f>[1]Data!D1017</f>
        <v>4</v>
      </c>
      <c r="E1017" s="8" t="str">
        <f>[1]Data!E1017</f>
        <v>NON-HS</v>
      </c>
      <c r="F1017" s="8" t="str">
        <f>[1]Data!F1017</f>
        <v>Downey</v>
      </c>
      <c r="G1017" s="8">
        <f>[1]Data!G1017</f>
        <v>0</v>
      </c>
      <c r="H1017" s="8">
        <f>[1]Data!H1017</f>
        <v>0</v>
      </c>
      <c r="I1017" s="8">
        <f>[1]Data!I1017</f>
        <v>4.0949999999999998</v>
      </c>
      <c r="J1017" s="8">
        <f>[1]Data!J1017</f>
        <v>1.9836996600000001</v>
      </c>
      <c r="K1017" s="8">
        <f>[1]Data!K1017</f>
        <v>3.9836996600000001</v>
      </c>
      <c r="L1017" s="8">
        <f>[1]Data!L1017</f>
        <v>0.11117260138240601</v>
      </c>
      <c r="M1017" s="8">
        <f>[1]Data!M1017</f>
        <v>4.0948722613824096</v>
      </c>
      <c r="N1017" s="8">
        <f>[1]Data!N1017</f>
        <v>4.5454545454545497E-2</v>
      </c>
      <c r="O1017" s="8">
        <f>[1]Data!O1017</f>
        <v>0</v>
      </c>
      <c r="P1017" s="8">
        <f>[1]Data!P1017</f>
        <v>1</v>
      </c>
      <c r="Q1017" s="8">
        <f>[1]Data!Q1017</f>
        <v>0</v>
      </c>
      <c r="R1017" s="8">
        <f>[1]Data!R1017</f>
        <v>0</v>
      </c>
      <c r="S1017" s="8">
        <f>[1]Data!S1017</f>
        <v>0</v>
      </c>
      <c r="T1017">
        <f t="shared" si="75"/>
        <v>4.5454545454545497E-2</v>
      </c>
      <c r="U1017">
        <f t="shared" si="76"/>
        <v>0</v>
      </c>
      <c r="V1017" s="4" t="str">
        <f t="shared" si="77"/>
        <v>0</v>
      </c>
      <c r="W1017" s="4" t="str">
        <f t="shared" si="78"/>
        <v>7</v>
      </c>
      <c r="X1017" s="4" t="str">
        <f t="shared" si="79"/>
        <v>0NON-HS7</v>
      </c>
      <c r="Y1017">
        <f>VLOOKUP(X1017,Sheet1!$J$5:$K$121,2,FALSE)</f>
        <v>0</v>
      </c>
    </row>
    <row r="1018" spans="1:25" x14ac:dyDescent="0.25">
      <c r="A1018" s="8">
        <f>[1]Data!A1018</f>
        <v>504001</v>
      </c>
      <c r="B1018" s="8">
        <f>[1]Data!B1018</f>
        <v>7</v>
      </c>
      <c r="C1018" s="8">
        <f>[1]Data!C1018</f>
        <v>0</v>
      </c>
      <c r="D1018" s="8">
        <f>[1]Data!D1018</f>
        <v>4</v>
      </c>
      <c r="E1018" s="8" t="str">
        <f>[1]Data!E1018</f>
        <v>NON-HS</v>
      </c>
      <c r="F1018" s="8" t="str">
        <f>[1]Data!F1018</f>
        <v>La Mirada</v>
      </c>
      <c r="G1018" s="8">
        <f>[1]Data!G1018</f>
        <v>0</v>
      </c>
      <c r="H1018" s="8">
        <f>[1]Data!H1018</f>
        <v>0</v>
      </c>
      <c r="I1018" s="8">
        <f>[1]Data!I1018</f>
        <v>0</v>
      </c>
      <c r="J1018" s="8">
        <f>[1]Data!J1018</f>
        <v>0</v>
      </c>
      <c r="K1018" s="8">
        <f>[1]Data!K1018</f>
        <v>0</v>
      </c>
      <c r="L1018" s="8">
        <f>[1]Data!L1018</f>
        <v>0</v>
      </c>
      <c r="M1018" s="8">
        <f>[1]Data!M1018</f>
        <v>0</v>
      </c>
      <c r="N1018" s="8">
        <f>[1]Data!N1018</f>
        <v>4.5454545454545497E-2</v>
      </c>
      <c r="O1018" s="8">
        <f>[1]Data!O1018</f>
        <v>0</v>
      </c>
      <c r="P1018" s="8">
        <f>[1]Data!P1018</f>
        <v>1</v>
      </c>
      <c r="Q1018" s="8">
        <f>[1]Data!Q1018</f>
        <v>0</v>
      </c>
      <c r="R1018" s="8">
        <f>[1]Data!R1018</f>
        <v>0</v>
      </c>
      <c r="S1018" s="8">
        <f>[1]Data!S1018</f>
        <v>0</v>
      </c>
      <c r="T1018">
        <f t="shared" si="75"/>
        <v>4.5454545454545497E-2</v>
      </c>
      <c r="U1018">
        <f t="shared" si="76"/>
        <v>0</v>
      </c>
      <c r="V1018" s="4" t="str">
        <f t="shared" si="77"/>
        <v>0</v>
      </c>
      <c r="W1018" s="4" t="str">
        <f t="shared" si="78"/>
        <v>7</v>
      </c>
      <c r="X1018" s="4" t="str">
        <f t="shared" si="79"/>
        <v>0NON-HS7</v>
      </c>
      <c r="Y1018">
        <f>VLOOKUP(X1018,Sheet1!$J$5:$K$121,2,FALSE)</f>
        <v>0</v>
      </c>
    </row>
    <row r="1019" spans="1:25" x14ac:dyDescent="0.25">
      <c r="A1019" s="8">
        <f>[1]Data!A1019</f>
        <v>551401</v>
      </c>
      <c r="B1019" s="8">
        <f>[1]Data!B1019</f>
        <v>7</v>
      </c>
      <c r="C1019" s="8">
        <f>[1]Data!C1019</f>
        <v>0</v>
      </c>
      <c r="D1019" s="8">
        <f>[1]Data!D1019</f>
        <v>4</v>
      </c>
      <c r="E1019" s="8" t="str">
        <f>[1]Data!E1019</f>
        <v>NON-HS</v>
      </c>
      <c r="F1019" s="8" t="str">
        <f>[1]Data!F1019</f>
        <v>Downey</v>
      </c>
      <c r="G1019" s="8">
        <f>[1]Data!G1019</f>
        <v>0</v>
      </c>
      <c r="H1019" s="8">
        <f>[1]Data!H1019</f>
        <v>0</v>
      </c>
      <c r="I1019" s="8">
        <f>[1]Data!I1019</f>
        <v>0</v>
      </c>
      <c r="J1019" s="8">
        <f>[1]Data!J1019</f>
        <v>0</v>
      </c>
      <c r="K1019" s="8">
        <f>[1]Data!K1019</f>
        <v>0</v>
      </c>
      <c r="L1019" s="8">
        <f>[1]Data!L1019</f>
        <v>0</v>
      </c>
      <c r="M1019" s="8">
        <f>[1]Data!M1019</f>
        <v>0</v>
      </c>
      <c r="N1019" s="8">
        <f>[1]Data!N1019</f>
        <v>4.5454545454545497E-2</v>
      </c>
      <c r="O1019" s="8">
        <f>[1]Data!O1019</f>
        <v>0</v>
      </c>
      <c r="P1019" s="8">
        <f>[1]Data!P1019</f>
        <v>1</v>
      </c>
      <c r="Q1019" s="8">
        <f>[1]Data!Q1019</f>
        <v>0</v>
      </c>
      <c r="R1019" s="8">
        <f>[1]Data!R1019</f>
        <v>0</v>
      </c>
      <c r="S1019" s="8">
        <f>[1]Data!S1019</f>
        <v>0</v>
      </c>
      <c r="T1019">
        <f t="shared" si="75"/>
        <v>4.5454545454545497E-2</v>
      </c>
      <c r="U1019">
        <f t="shared" si="76"/>
        <v>0</v>
      </c>
      <c r="V1019" s="4" t="str">
        <f t="shared" si="77"/>
        <v>0</v>
      </c>
      <c r="W1019" s="4" t="str">
        <f t="shared" si="78"/>
        <v>7</v>
      </c>
      <c r="X1019" s="4" t="str">
        <f t="shared" si="79"/>
        <v>0NON-HS7</v>
      </c>
      <c r="Y1019">
        <f>VLOOKUP(X1019,Sheet1!$J$5:$K$121,2,FALSE)</f>
        <v>0</v>
      </c>
    </row>
    <row r="1020" spans="1:25" x14ac:dyDescent="0.25">
      <c r="A1020" s="8">
        <f>[1]Data!A1020</f>
        <v>551402</v>
      </c>
      <c r="B1020" s="8">
        <f>[1]Data!B1020</f>
        <v>7</v>
      </c>
      <c r="C1020" s="8">
        <f>[1]Data!C1020</f>
        <v>0</v>
      </c>
      <c r="D1020" s="8">
        <f>[1]Data!D1020</f>
        <v>4</v>
      </c>
      <c r="E1020" s="8" t="str">
        <f>[1]Data!E1020</f>
        <v>NON-HS</v>
      </c>
      <c r="F1020" s="8" t="str">
        <f>[1]Data!F1020</f>
        <v>Downey</v>
      </c>
      <c r="G1020" s="8">
        <f>[1]Data!G1020</f>
        <v>0</v>
      </c>
      <c r="H1020" s="8">
        <f>[1]Data!H1020</f>
        <v>0</v>
      </c>
      <c r="I1020" s="8">
        <f>[1]Data!I1020</f>
        <v>4.0949999999999998</v>
      </c>
      <c r="J1020" s="8">
        <f>[1]Data!J1020</f>
        <v>1.9836996600000001</v>
      </c>
      <c r="K1020" s="8">
        <f>[1]Data!K1020</f>
        <v>3.9836996600000001</v>
      </c>
      <c r="L1020" s="8">
        <f>[1]Data!L1020</f>
        <v>0.11117260138240601</v>
      </c>
      <c r="M1020" s="8">
        <f>[1]Data!M1020</f>
        <v>4.0948722613824096</v>
      </c>
      <c r="N1020" s="8">
        <f>[1]Data!N1020</f>
        <v>4.5454545454545497E-2</v>
      </c>
      <c r="O1020" s="8">
        <f>[1]Data!O1020</f>
        <v>0</v>
      </c>
      <c r="P1020" s="8">
        <f>[1]Data!P1020</f>
        <v>1</v>
      </c>
      <c r="Q1020" s="8">
        <f>[1]Data!Q1020</f>
        <v>0</v>
      </c>
      <c r="R1020" s="8">
        <f>[1]Data!R1020</f>
        <v>0</v>
      </c>
      <c r="S1020" s="8">
        <f>[1]Data!S1020</f>
        <v>0</v>
      </c>
      <c r="T1020">
        <f t="shared" si="75"/>
        <v>4.5454545454545497E-2</v>
      </c>
      <c r="U1020">
        <f t="shared" si="76"/>
        <v>0</v>
      </c>
      <c r="V1020" s="4" t="str">
        <f t="shared" si="77"/>
        <v>0</v>
      </c>
      <c r="W1020" s="4" t="str">
        <f t="shared" si="78"/>
        <v>7</v>
      </c>
      <c r="X1020" s="4" t="str">
        <f t="shared" si="79"/>
        <v>0NON-HS7</v>
      </c>
      <c r="Y1020">
        <f>VLOOKUP(X1020,Sheet1!$J$5:$K$121,2,FALSE)</f>
        <v>0</v>
      </c>
    </row>
    <row r="1021" spans="1:25" x14ac:dyDescent="0.25">
      <c r="A1021" s="8">
        <f>[1]Data!A1021</f>
        <v>503901</v>
      </c>
      <c r="B1021" s="8">
        <f>[1]Data!B1021</f>
        <v>7</v>
      </c>
      <c r="C1021" s="8">
        <f>[1]Data!C1021</f>
        <v>0</v>
      </c>
      <c r="D1021" s="8">
        <f>[1]Data!D1021</f>
        <v>4</v>
      </c>
      <c r="E1021" s="8" t="str">
        <f>[1]Data!E1021</f>
        <v>NON-HS</v>
      </c>
      <c r="F1021" s="8" t="str">
        <f>[1]Data!F1021</f>
        <v>La Mirada</v>
      </c>
      <c r="G1021" s="8">
        <f>[1]Data!G1021</f>
        <v>0</v>
      </c>
      <c r="H1021" s="8">
        <f>[1]Data!H1021</f>
        <v>0</v>
      </c>
      <c r="I1021" s="8">
        <f>[1]Data!I1021</f>
        <v>0</v>
      </c>
      <c r="J1021" s="8">
        <f>[1]Data!J1021</f>
        <v>0</v>
      </c>
      <c r="K1021" s="8">
        <f>[1]Data!K1021</f>
        <v>0</v>
      </c>
      <c r="L1021" s="8">
        <f>[1]Data!L1021</f>
        <v>0</v>
      </c>
      <c r="M1021" s="8">
        <f>[1]Data!M1021</f>
        <v>0</v>
      </c>
      <c r="N1021" s="8">
        <f>[1]Data!N1021</f>
        <v>4.5454545454545497E-2</v>
      </c>
      <c r="O1021" s="8">
        <f>[1]Data!O1021</f>
        <v>0</v>
      </c>
      <c r="P1021" s="8">
        <f>[1]Data!P1021</f>
        <v>1</v>
      </c>
      <c r="Q1021" s="8">
        <f>[1]Data!Q1021</f>
        <v>0</v>
      </c>
      <c r="R1021" s="8">
        <f>[1]Data!R1021</f>
        <v>0</v>
      </c>
      <c r="S1021" s="8">
        <f>[1]Data!S1021</f>
        <v>0</v>
      </c>
      <c r="T1021">
        <f t="shared" si="75"/>
        <v>4.5454545454545497E-2</v>
      </c>
      <c r="U1021">
        <f t="shared" si="76"/>
        <v>0</v>
      </c>
      <c r="V1021" s="4" t="str">
        <f t="shared" si="77"/>
        <v>0</v>
      </c>
      <c r="W1021" s="4" t="str">
        <f t="shared" si="78"/>
        <v>7</v>
      </c>
      <c r="X1021" s="4" t="str">
        <f t="shared" si="79"/>
        <v>0NON-HS7</v>
      </c>
      <c r="Y1021">
        <f>VLOOKUP(X1021,Sheet1!$J$5:$K$121,2,FALSE)</f>
        <v>0</v>
      </c>
    </row>
    <row r="1022" spans="1:25" x14ac:dyDescent="0.25">
      <c r="A1022" s="8">
        <f>[1]Data!A1022</f>
        <v>551501</v>
      </c>
      <c r="B1022" s="8">
        <f>[1]Data!B1022</f>
        <v>7</v>
      </c>
      <c r="C1022" s="8">
        <f>[1]Data!C1022</f>
        <v>0</v>
      </c>
      <c r="D1022" s="8">
        <f>[1]Data!D1022</f>
        <v>4</v>
      </c>
      <c r="E1022" s="8" t="str">
        <f>[1]Data!E1022</f>
        <v>NON-HS</v>
      </c>
      <c r="F1022" s="8" t="str">
        <f>[1]Data!F1022</f>
        <v>Downey</v>
      </c>
      <c r="G1022" s="8">
        <f>[1]Data!G1022</f>
        <v>0</v>
      </c>
      <c r="H1022" s="8">
        <f>[1]Data!H1022</f>
        <v>0</v>
      </c>
      <c r="I1022" s="8">
        <f>[1]Data!I1022</f>
        <v>1</v>
      </c>
      <c r="J1022" s="8">
        <f>[1]Data!J1022</f>
        <v>0</v>
      </c>
      <c r="K1022" s="8">
        <f>[1]Data!K1022</f>
        <v>1</v>
      </c>
      <c r="L1022" s="8">
        <f>[1]Data!L1022</f>
        <v>0</v>
      </c>
      <c r="M1022" s="8">
        <f>[1]Data!M1022</f>
        <v>1</v>
      </c>
      <c r="N1022" s="8">
        <f>[1]Data!N1022</f>
        <v>4.5454545454545497E-2</v>
      </c>
      <c r="O1022" s="8">
        <f>[1]Data!O1022</f>
        <v>0</v>
      </c>
      <c r="P1022" s="8">
        <f>[1]Data!P1022</f>
        <v>1</v>
      </c>
      <c r="Q1022" s="8">
        <f>[1]Data!Q1022</f>
        <v>0</v>
      </c>
      <c r="R1022" s="8">
        <f>[1]Data!R1022</f>
        <v>0</v>
      </c>
      <c r="S1022" s="8">
        <f>[1]Data!S1022</f>
        <v>0</v>
      </c>
      <c r="T1022">
        <f t="shared" si="75"/>
        <v>4.5454545454545497E-2</v>
      </c>
      <c r="U1022">
        <f t="shared" si="76"/>
        <v>0</v>
      </c>
      <c r="V1022" s="4" t="str">
        <f t="shared" si="77"/>
        <v>0</v>
      </c>
      <c r="W1022" s="4" t="str">
        <f t="shared" si="78"/>
        <v>7</v>
      </c>
      <c r="X1022" s="4" t="str">
        <f t="shared" si="79"/>
        <v>0NON-HS7</v>
      </c>
      <c r="Y1022">
        <f>VLOOKUP(X1022,Sheet1!$J$5:$K$121,2,FALSE)</f>
        <v>0</v>
      </c>
    </row>
    <row r="1023" spans="1:25" x14ac:dyDescent="0.25">
      <c r="A1023" s="8">
        <f>[1]Data!A1023</f>
        <v>551502</v>
      </c>
      <c r="B1023" s="8">
        <f>[1]Data!B1023</f>
        <v>7</v>
      </c>
      <c r="C1023" s="8">
        <f>[1]Data!C1023</f>
        <v>0</v>
      </c>
      <c r="D1023" s="8">
        <f>[1]Data!D1023</f>
        <v>4</v>
      </c>
      <c r="E1023" s="8" t="str">
        <f>[1]Data!E1023</f>
        <v>NON-HS</v>
      </c>
      <c r="F1023" s="8" t="str">
        <f>[1]Data!F1023</f>
        <v>Downey</v>
      </c>
      <c r="G1023" s="8">
        <f>[1]Data!G1023</f>
        <v>0</v>
      </c>
      <c r="H1023" s="8">
        <f>[1]Data!H1023</f>
        <v>0</v>
      </c>
      <c r="I1023" s="8">
        <f>[1]Data!I1023</f>
        <v>2</v>
      </c>
      <c r="J1023" s="8">
        <f>[1]Data!J1023</f>
        <v>0</v>
      </c>
      <c r="K1023" s="8">
        <f>[1]Data!K1023</f>
        <v>2</v>
      </c>
      <c r="L1023" s="8">
        <f>[1]Data!L1023</f>
        <v>0</v>
      </c>
      <c r="M1023" s="8">
        <f>[1]Data!M1023</f>
        <v>2</v>
      </c>
      <c r="N1023" s="8">
        <f>[1]Data!N1023</f>
        <v>4.5454545454545497E-2</v>
      </c>
      <c r="O1023" s="8">
        <f>[1]Data!O1023</f>
        <v>0</v>
      </c>
      <c r="P1023" s="8">
        <f>[1]Data!P1023</f>
        <v>1</v>
      </c>
      <c r="Q1023" s="8">
        <f>[1]Data!Q1023</f>
        <v>0</v>
      </c>
      <c r="R1023" s="8">
        <f>[1]Data!R1023</f>
        <v>0</v>
      </c>
      <c r="S1023" s="8">
        <f>[1]Data!S1023</f>
        <v>0</v>
      </c>
      <c r="T1023">
        <f t="shared" si="75"/>
        <v>4.5454545454545497E-2</v>
      </c>
      <c r="U1023">
        <f t="shared" si="76"/>
        <v>0</v>
      </c>
      <c r="V1023" s="4" t="str">
        <f t="shared" si="77"/>
        <v>0</v>
      </c>
      <c r="W1023" s="4" t="str">
        <f t="shared" si="78"/>
        <v>7</v>
      </c>
      <c r="X1023" s="4" t="str">
        <f t="shared" si="79"/>
        <v>0NON-HS7</v>
      </c>
      <c r="Y1023">
        <f>VLOOKUP(X1023,Sheet1!$J$5:$K$121,2,FALSE)</f>
        <v>0</v>
      </c>
    </row>
    <row r="1024" spans="1:25" x14ac:dyDescent="0.25">
      <c r="A1024" s="8">
        <f>[1]Data!A1024</f>
        <v>503601</v>
      </c>
      <c r="B1024" s="8">
        <f>[1]Data!B1024</f>
        <v>7</v>
      </c>
      <c r="C1024" s="8">
        <f>[1]Data!C1024</f>
        <v>0</v>
      </c>
      <c r="D1024" s="8">
        <f>[1]Data!D1024</f>
        <v>4</v>
      </c>
      <c r="E1024" s="8" t="str">
        <f>[1]Data!E1024</f>
        <v>NON-HS</v>
      </c>
      <c r="F1024" s="8" t="str">
        <f>[1]Data!F1024</f>
        <v>La Mirada</v>
      </c>
      <c r="G1024" s="8">
        <f>[1]Data!G1024</f>
        <v>0</v>
      </c>
      <c r="H1024" s="8">
        <f>[1]Data!H1024</f>
        <v>0</v>
      </c>
      <c r="I1024" s="8">
        <f>[1]Data!I1024</f>
        <v>4.0949999999999998</v>
      </c>
      <c r="J1024" s="8">
        <f>[1]Data!J1024</f>
        <v>1.9836996600000001</v>
      </c>
      <c r="K1024" s="8">
        <f>[1]Data!K1024</f>
        <v>3.9836996600000001</v>
      </c>
      <c r="L1024" s="8">
        <f>[1]Data!L1024</f>
        <v>0.11117260138240601</v>
      </c>
      <c r="M1024" s="8">
        <f>[1]Data!M1024</f>
        <v>4.0948722613824096</v>
      </c>
      <c r="N1024" s="8">
        <f>[1]Data!N1024</f>
        <v>4.5454545454545497E-2</v>
      </c>
      <c r="O1024" s="8">
        <f>[1]Data!O1024</f>
        <v>0</v>
      </c>
      <c r="P1024" s="8">
        <f>[1]Data!P1024</f>
        <v>1</v>
      </c>
      <c r="Q1024" s="8">
        <f>[1]Data!Q1024</f>
        <v>0</v>
      </c>
      <c r="R1024" s="8">
        <f>[1]Data!R1024</f>
        <v>0</v>
      </c>
      <c r="S1024" s="8">
        <f>[1]Data!S1024</f>
        <v>0</v>
      </c>
      <c r="T1024">
        <f t="shared" si="75"/>
        <v>4.5454545454545497E-2</v>
      </c>
      <c r="U1024">
        <f t="shared" si="76"/>
        <v>0</v>
      </c>
      <c r="V1024" s="4" t="str">
        <f t="shared" si="77"/>
        <v>0</v>
      </c>
      <c r="W1024" s="4" t="str">
        <f t="shared" si="78"/>
        <v>7</v>
      </c>
      <c r="X1024" s="4" t="str">
        <f t="shared" si="79"/>
        <v>0NON-HS7</v>
      </c>
      <c r="Y1024">
        <f>VLOOKUP(X1024,Sheet1!$J$5:$K$121,2,FALSE)</f>
        <v>0</v>
      </c>
    </row>
    <row r="1025" spans="1:25" x14ac:dyDescent="0.25">
      <c r="A1025" s="8">
        <f>[1]Data!A1025</f>
        <v>552001</v>
      </c>
      <c r="B1025" s="8">
        <f>[1]Data!B1025</f>
        <v>7</v>
      </c>
      <c r="C1025" s="8">
        <f>[1]Data!C1025</f>
        <v>0</v>
      </c>
      <c r="D1025" s="8">
        <f>[1]Data!D1025</f>
        <v>4</v>
      </c>
      <c r="E1025" s="8" t="str">
        <f>[1]Data!E1025</f>
        <v>NON-HS</v>
      </c>
      <c r="F1025" s="8" t="str">
        <f>[1]Data!F1025</f>
        <v>Norwalk</v>
      </c>
      <c r="G1025" s="8">
        <f>[1]Data!G1025</f>
        <v>0</v>
      </c>
      <c r="H1025" s="8">
        <f>[1]Data!H1025</f>
        <v>0</v>
      </c>
      <c r="I1025" s="8">
        <f>[1]Data!I1025</f>
        <v>0</v>
      </c>
      <c r="J1025" s="8">
        <f>[1]Data!J1025</f>
        <v>0</v>
      </c>
      <c r="K1025" s="8">
        <f>[1]Data!K1025</f>
        <v>0</v>
      </c>
      <c r="L1025" s="8">
        <f>[1]Data!L1025</f>
        <v>0</v>
      </c>
      <c r="M1025" s="8">
        <f>[1]Data!M1025</f>
        <v>0</v>
      </c>
      <c r="N1025" s="8">
        <f>[1]Data!N1025</f>
        <v>4.5454545454545497E-2</v>
      </c>
      <c r="O1025" s="8">
        <f>[1]Data!O1025</f>
        <v>0</v>
      </c>
      <c r="P1025" s="8">
        <f>[1]Data!P1025</f>
        <v>1</v>
      </c>
      <c r="Q1025" s="8">
        <f>[1]Data!Q1025</f>
        <v>0</v>
      </c>
      <c r="R1025" s="8">
        <f>[1]Data!R1025</f>
        <v>0</v>
      </c>
      <c r="S1025" s="8">
        <f>[1]Data!S1025</f>
        <v>0</v>
      </c>
      <c r="T1025">
        <f t="shared" si="75"/>
        <v>4.5454545454545497E-2</v>
      </c>
      <c r="U1025">
        <f t="shared" si="76"/>
        <v>0</v>
      </c>
      <c r="V1025" s="4" t="str">
        <f t="shared" si="77"/>
        <v>0</v>
      </c>
      <c r="W1025" s="4" t="str">
        <f t="shared" si="78"/>
        <v>7</v>
      </c>
      <c r="X1025" s="4" t="str">
        <f t="shared" si="79"/>
        <v>0NON-HS7</v>
      </c>
      <c r="Y1025">
        <f>VLOOKUP(X1025,Sheet1!$J$5:$K$121,2,FALSE)</f>
        <v>0</v>
      </c>
    </row>
    <row r="1026" spans="1:25" x14ac:dyDescent="0.25">
      <c r="A1026" s="8">
        <f>[1]Data!A1026</f>
        <v>552301</v>
      </c>
      <c r="B1026" s="8">
        <f>[1]Data!B1026</f>
        <v>7</v>
      </c>
      <c r="C1026" s="8">
        <f>[1]Data!C1026</f>
        <v>0</v>
      </c>
      <c r="D1026" s="8">
        <f>[1]Data!D1026</f>
        <v>4</v>
      </c>
      <c r="E1026" s="8" t="str">
        <f>[1]Data!E1026</f>
        <v>NON-HS</v>
      </c>
      <c r="F1026" s="8" t="str">
        <f>[1]Data!F1026</f>
        <v>Norwalk</v>
      </c>
      <c r="G1026" s="8">
        <f>[1]Data!G1026</f>
        <v>0</v>
      </c>
      <c r="H1026" s="8">
        <f>[1]Data!H1026</f>
        <v>0</v>
      </c>
      <c r="I1026" s="8">
        <f>[1]Data!I1026</f>
        <v>4.7720000000000002</v>
      </c>
      <c r="J1026" s="8">
        <f>[1]Data!J1026</f>
        <v>4.31758971</v>
      </c>
      <c r="K1026" s="8">
        <f>[1]Data!K1026</f>
        <v>4.31758971</v>
      </c>
      <c r="L1026" s="8">
        <f>[1]Data!L1026</f>
        <v>0.45435601842010798</v>
      </c>
      <c r="M1026" s="8">
        <f>[1]Data!M1026</f>
        <v>4.7719457284201097</v>
      </c>
      <c r="N1026" s="8">
        <f>[1]Data!N1026</f>
        <v>4.5454545454545497E-2</v>
      </c>
      <c r="O1026" s="8">
        <f>[1]Data!O1026</f>
        <v>0</v>
      </c>
      <c r="P1026" s="8">
        <f>[1]Data!P1026</f>
        <v>1</v>
      </c>
      <c r="Q1026" s="8">
        <f>[1]Data!Q1026</f>
        <v>0</v>
      </c>
      <c r="R1026" s="8">
        <f>[1]Data!R1026</f>
        <v>0</v>
      </c>
      <c r="S1026" s="8">
        <f>[1]Data!S1026</f>
        <v>0</v>
      </c>
      <c r="T1026">
        <f t="shared" si="75"/>
        <v>4.5454545454545497E-2</v>
      </c>
      <c r="U1026">
        <f t="shared" si="76"/>
        <v>0</v>
      </c>
      <c r="V1026" s="4" t="str">
        <f t="shared" si="77"/>
        <v>0</v>
      </c>
      <c r="W1026" s="4" t="str">
        <f t="shared" si="78"/>
        <v>7</v>
      </c>
      <c r="X1026" s="4" t="str">
        <f t="shared" si="79"/>
        <v>0NON-HS7</v>
      </c>
      <c r="Y1026">
        <f>VLOOKUP(X1026,Sheet1!$J$5:$K$121,2,FALSE)</f>
        <v>0</v>
      </c>
    </row>
    <row r="1027" spans="1:25" x14ac:dyDescent="0.25">
      <c r="A1027" s="8">
        <f>[1]Data!A1027</f>
        <v>552700</v>
      </c>
      <c r="B1027" s="8">
        <f>[1]Data!B1027</f>
        <v>7</v>
      </c>
      <c r="C1027" s="8">
        <f>[1]Data!C1027</f>
        <v>0</v>
      </c>
      <c r="D1027" s="8">
        <f>[1]Data!D1027</f>
        <v>4</v>
      </c>
      <c r="E1027" s="8" t="str">
        <f>[1]Data!E1027</f>
        <v>NON-HS</v>
      </c>
      <c r="F1027" s="8" t="str">
        <f>[1]Data!F1027</f>
        <v>Norwalk</v>
      </c>
      <c r="G1027" s="8">
        <f>[1]Data!G1027</f>
        <v>0</v>
      </c>
      <c r="H1027" s="8">
        <f>[1]Data!H1027</f>
        <v>0</v>
      </c>
      <c r="I1027" s="8">
        <f>[1]Data!I1027</f>
        <v>9.5869999999999997</v>
      </c>
      <c r="J1027" s="8">
        <f>[1]Data!J1027</f>
        <v>6.2409763800000002</v>
      </c>
      <c r="K1027" s="8">
        <f>[1]Data!K1027</f>
        <v>9.2409763799999993</v>
      </c>
      <c r="L1027" s="8">
        <f>[1]Data!L1027</f>
        <v>0.34588787579892299</v>
      </c>
      <c r="M1027" s="8">
        <f>[1]Data!M1027</f>
        <v>9.5868642557989201</v>
      </c>
      <c r="N1027" s="8">
        <f>[1]Data!N1027</f>
        <v>4.5454545454545497E-2</v>
      </c>
      <c r="O1027" s="8">
        <f>[1]Data!O1027</f>
        <v>0</v>
      </c>
      <c r="P1027" s="8">
        <f>[1]Data!P1027</f>
        <v>1</v>
      </c>
      <c r="Q1027" s="8">
        <f>[1]Data!Q1027</f>
        <v>0</v>
      </c>
      <c r="R1027" s="8">
        <f>[1]Data!R1027</f>
        <v>0</v>
      </c>
      <c r="S1027" s="8">
        <f>[1]Data!S1027</f>
        <v>0</v>
      </c>
      <c r="T1027">
        <f t="shared" ref="T1027:T1090" si="80">N1027+Y1027*(1-N1027)</f>
        <v>4.5454545454545497E-2</v>
      </c>
      <c r="U1027">
        <f t="shared" ref="U1027:U1090" si="81">IF(T1027="",0,1/T1027*H1027)</f>
        <v>0</v>
      </c>
      <c r="V1027" s="4" t="str">
        <f t="shared" ref="V1027:V1090" si="82">TEXT(C1027,"0")</f>
        <v>0</v>
      </c>
      <c r="W1027" s="4" t="str">
        <f t="shared" ref="W1027:W1090" si="83">TEXT(B1027,"0")</f>
        <v>7</v>
      </c>
      <c r="X1027" s="4" t="str">
        <f t="shared" ref="X1027:X1090" si="84">CONCATENATE(V1027,E1027,W1027)</f>
        <v>0NON-HS7</v>
      </c>
      <c r="Y1027">
        <f>VLOOKUP(X1027,Sheet1!$J$5:$K$121,2,FALSE)</f>
        <v>0</v>
      </c>
    </row>
    <row r="1028" spans="1:25" x14ac:dyDescent="0.25">
      <c r="A1028" s="8">
        <f>[1]Data!A1028</f>
        <v>552800</v>
      </c>
      <c r="B1028" s="8">
        <f>[1]Data!B1028</f>
        <v>7</v>
      </c>
      <c r="C1028" s="8">
        <f>[1]Data!C1028</f>
        <v>0</v>
      </c>
      <c r="D1028" s="8">
        <f>[1]Data!D1028</f>
        <v>4</v>
      </c>
      <c r="E1028" s="8" t="str">
        <f>[1]Data!E1028</f>
        <v>NON-HS</v>
      </c>
      <c r="F1028" s="8" t="str">
        <f>[1]Data!F1028</f>
        <v>Norwalk</v>
      </c>
      <c r="G1028" s="8">
        <f>[1]Data!G1028</f>
        <v>0</v>
      </c>
      <c r="H1028" s="8">
        <f>[1]Data!H1028</f>
        <v>0</v>
      </c>
      <c r="I1028" s="8">
        <f>[1]Data!I1028</f>
        <v>3.5169999999999999</v>
      </c>
      <c r="J1028" s="8">
        <f>[1]Data!J1028</f>
        <v>3.3440765099999998</v>
      </c>
      <c r="K1028" s="8">
        <f>[1]Data!K1028</f>
        <v>3.3440765099999998</v>
      </c>
      <c r="L1028" s="8">
        <f>[1]Data!L1028</f>
        <v>0.17207732822262101</v>
      </c>
      <c r="M1028" s="8">
        <f>[1]Data!M1028</f>
        <v>3.5161538382226198</v>
      </c>
      <c r="N1028" s="8">
        <f>[1]Data!N1028</f>
        <v>4.5454545454545497E-2</v>
      </c>
      <c r="O1028" s="8">
        <f>[1]Data!O1028</f>
        <v>0</v>
      </c>
      <c r="P1028" s="8">
        <f>[1]Data!P1028</f>
        <v>1</v>
      </c>
      <c r="Q1028" s="8">
        <f>[1]Data!Q1028</f>
        <v>0</v>
      </c>
      <c r="R1028" s="8">
        <f>[1]Data!R1028</f>
        <v>0</v>
      </c>
      <c r="S1028" s="8">
        <f>[1]Data!S1028</f>
        <v>0</v>
      </c>
      <c r="T1028">
        <f t="shared" si="80"/>
        <v>4.5454545454545497E-2</v>
      </c>
      <c r="U1028">
        <f t="shared" si="81"/>
        <v>0</v>
      </c>
      <c r="V1028" s="4" t="str">
        <f t="shared" si="82"/>
        <v>0</v>
      </c>
      <c r="W1028" s="4" t="str">
        <f t="shared" si="83"/>
        <v>7</v>
      </c>
      <c r="X1028" s="4" t="str">
        <f t="shared" si="84"/>
        <v>0NON-HS7</v>
      </c>
      <c r="Y1028">
        <f>VLOOKUP(X1028,Sheet1!$J$5:$K$121,2,FALSE)</f>
        <v>0</v>
      </c>
    </row>
    <row r="1029" spans="1:25" x14ac:dyDescent="0.25">
      <c r="A1029" s="8">
        <f>[1]Data!A1029</f>
        <v>553300</v>
      </c>
      <c r="B1029" s="8">
        <f>[1]Data!B1029</f>
        <v>7</v>
      </c>
      <c r="C1029" s="8">
        <f>[1]Data!C1029</f>
        <v>0</v>
      </c>
      <c r="D1029" s="8">
        <f>[1]Data!D1029</f>
        <v>4</v>
      </c>
      <c r="E1029" s="8" t="str">
        <f>[1]Data!E1029</f>
        <v>NON-HS</v>
      </c>
      <c r="F1029" s="8" t="str">
        <f>[1]Data!F1029</f>
        <v>Bellflower</v>
      </c>
      <c r="G1029" s="8">
        <f>[1]Data!G1029</f>
        <v>0</v>
      </c>
      <c r="H1029" s="8">
        <f>[1]Data!H1029</f>
        <v>0</v>
      </c>
      <c r="I1029" s="8">
        <f>[1]Data!I1029</f>
        <v>3.5910000000000002</v>
      </c>
      <c r="J1029" s="8">
        <f>[1]Data!J1029</f>
        <v>1.43919657</v>
      </c>
      <c r="K1029" s="8">
        <f>[1]Data!K1029</f>
        <v>3.43919657</v>
      </c>
      <c r="L1029" s="8">
        <f>[1]Data!L1029</f>
        <v>0.15145200614003601</v>
      </c>
      <c r="M1029" s="8">
        <f>[1]Data!M1029</f>
        <v>3.59064857614004</v>
      </c>
      <c r="N1029" s="8">
        <f>[1]Data!N1029</f>
        <v>4.5454545454545497E-2</v>
      </c>
      <c r="O1029" s="8">
        <f>[1]Data!O1029</f>
        <v>0</v>
      </c>
      <c r="P1029" s="8">
        <f>[1]Data!P1029</f>
        <v>1</v>
      </c>
      <c r="Q1029" s="8">
        <f>[1]Data!Q1029</f>
        <v>0</v>
      </c>
      <c r="R1029" s="8">
        <f>[1]Data!R1029</f>
        <v>0</v>
      </c>
      <c r="S1029" s="8">
        <f>[1]Data!S1029</f>
        <v>0</v>
      </c>
      <c r="T1029">
        <f t="shared" si="80"/>
        <v>4.5454545454545497E-2</v>
      </c>
      <c r="U1029">
        <f t="shared" si="81"/>
        <v>0</v>
      </c>
      <c r="V1029" s="4" t="str">
        <f t="shared" si="82"/>
        <v>0</v>
      </c>
      <c r="W1029" s="4" t="str">
        <f t="shared" si="83"/>
        <v>7</v>
      </c>
      <c r="X1029" s="4" t="str">
        <f t="shared" si="84"/>
        <v>0NON-HS7</v>
      </c>
      <c r="Y1029">
        <f>VLOOKUP(X1029,Sheet1!$J$5:$K$121,2,FALSE)</f>
        <v>0</v>
      </c>
    </row>
    <row r="1030" spans="1:25" x14ac:dyDescent="0.25">
      <c r="A1030" s="8">
        <f>[1]Data!A1030</f>
        <v>503106</v>
      </c>
      <c r="B1030" s="8">
        <f>[1]Data!B1030</f>
        <v>7</v>
      </c>
      <c r="C1030" s="8">
        <f>[1]Data!C1030</f>
        <v>0</v>
      </c>
      <c r="D1030" s="8">
        <f>[1]Data!D1030</f>
        <v>4</v>
      </c>
      <c r="E1030" s="8" t="str">
        <f>[1]Data!E1030</f>
        <v>NON-HS</v>
      </c>
      <c r="F1030" s="8" t="str">
        <f>[1]Data!F1030</f>
        <v>South Whittier</v>
      </c>
      <c r="G1030" s="8">
        <f>[1]Data!G1030</f>
        <v>0</v>
      </c>
      <c r="H1030" s="8">
        <f>[1]Data!H1030</f>
        <v>0</v>
      </c>
      <c r="I1030" s="8">
        <f>[1]Data!I1030</f>
        <v>0</v>
      </c>
      <c r="J1030" s="8">
        <f>[1]Data!J1030</f>
        <v>0</v>
      </c>
      <c r="K1030" s="8">
        <f>[1]Data!K1030</f>
        <v>0</v>
      </c>
      <c r="L1030" s="8">
        <f>[1]Data!L1030</f>
        <v>0</v>
      </c>
      <c r="M1030" s="8">
        <f>[1]Data!M1030</f>
        <v>0</v>
      </c>
      <c r="N1030" s="8">
        <f>[1]Data!N1030</f>
        <v>4.5454545454545497E-2</v>
      </c>
      <c r="O1030" s="8">
        <f>[1]Data!O1030</f>
        <v>0</v>
      </c>
      <c r="P1030" s="8">
        <f>[1]Data!P1030</f>
        <v>1</v>
      </c>
      <c r="Q1030" s="8">
        <f>[1]Data!Q1030</f>
        <v>0</v>
      </c>
      <c r="R1030" s="8">
        <f>[1]Data!R1030</f>
        <v>0</v>
      </c>
      <c r="S1030" s="8">
        <f>[1]Data!S1030</f>
        <v>0</v>
      </c>
      <c r="T1030">
        <f t="shared" si="80"/>
        <v>4.5454545454545497E-2</v>
      </c>
      <c r="U1030">
        <f t="shared" si="81"/>
        <v>0</v>
      </c>
      <c r="V1030" s="4" t="str">
        <f t="shared" si="82"/>
        <v>0</v>
      </c>
      <c r="W1030" s="4" t="str">
        <f t="shared" si="83"/>
        <v>7</v>
      </c>
      <c r="X1030" s="4" t="str">
        <f t="shared" si="84"/>
        <v>0NON-HS7</v>
      </c>
      <c r="Y1030">
        <f>VLOOKUP(X1030,Sheet1!$J$5:$K$121,2,FALSE)</f>
        <v>0</v>
      </c>
    </row>
    <row r="1031" spans="1:25" x14ac:dyDescent="0.25">
      <c r="A1031" s="8">
        <f>[1]Data!A1031</f>
        <v>553400</v>
      </c>
      <c r="B1031" s="8">
        <f>[1]Data!B1031</f>
        <v>7</v>
      </c>
      <c r="C1031" s="8">
        <f>[1]Data!C1031</f>
        <v>0</v>
      </c>
      <c r="D1031" s="8">
        <f>[1]Data!D1031</f>
        <v>4</v>
      </c>
      <c r="E1031" s="8" t="str">
        <f>[1]Data!E1031</f>
        <v>NON-HS</v>
      </c>
      <c r="F1031" s="8" t="str">
        <f>[1]Data!F1031</f>
        <v>Downey</v>
      </c>
      <c r="G1031" s="8">
        <f>[1]Data!G1031</f>
        <v>0</v>
      </c>
      <c r="H1031" s="8">
        <f>[1]Data!H1031</f>
        <v>0</v>
      </c>
      <c r="I1031" s="8">
        <f>[1]Data!I1031</f>
        <v>10.723000000000001</v>
      </c>
      <c r="J1031" s="8">
        <f>[1]Data!J1031</f>
        <v>8.2495374199999993</v>
      </c>
      <c r="K1031" s="8">
        <f>[1]Data!K1031</f>
        <v>10.249537419999999</v>
      </c>
      <c r="L1031" s="8">
        <f>[1]Data!L1031</f>
        <v>0.47350035493716303</v>
      </c>
      <c r="M1031" s="8">
        <f>[1]Data!M1031</f>
        <v>10.7230377749372</v>
      </c>
      <c r="N1031" s="8">
        <f>[1]Data!N1031</f>
        <v>4.5454545454545497E-2</v>
      </c>
      <c r="O1031" s="8">
        <f>[1]Data!O1031</f>
        <v>0</v>
      </c>
      <c r="P1031" s="8">
        <f>[1]Data!P1031</f>
        <v>1</v>
      </c>
      <c r="Q1031" s="8">
        <f>[1]Data!Q1031</f>
        <v>0</v>
      </c>
      <c r="R1031" s="8">
        <f>[1]Data!R1031</f>
        <v>0</v>
      </c>
      <c r="S1031" s="8">
        <f>[1]Data!S1031</f>
        <v>0</v>
      </c>
      <c r="T1031">
        <f t="shared" si="80"/>
        <v>4.5454545454545497E-2</v>
      </c>
      <c r="U1031">
        <f t="shared" si="81"/>
        <v>0</v>
      </c>
      <c r="V1031" s="4" t="str">
        <f t="shared" si="82"/>
        <v>0</v>
      </c>
      <c r="W1031" s="4" t="str">
        <f t="shared" si="83"/>
        <v>7</v>
      </c>
      <c r="X1031" s="4" t="str">
        <f t="shared" si="84"/>
        <v>0NON-HS7</v>
      </c>
      <c r="Y1031">
        <f>VLOOKUP(X1031,Sheet1!$J$5:$K$121,2,FALSE)</f>
        <v>0</v>
      </c>
    </row>
    <row r="1032" spans="1:25" x14ac:dyDescent="0.25">
      <c r="A1032" s="8">
        <f>[1]Data!A1032</f>
        <v>502901</v>
      </c>
      <c r="B1032" s="8">
        <f>[1]Data!B1032</f>
        <v>7</v>
      </c>
      <c r="C1032" s="8">
        <f>[1]Data!C1032</f>
        <v>0</v>
      </c>
      <c r="D1032" s="8">
        <f>[1]Data!D1032</f>
        <v>4</v>
      </c>
      <c r="E1032" s="8" t="str">
        <f>[1]Data!E1032</f>
        <v>NON-HS</v>
      </c>
      <c r="F1032" s="8" t="str">
        <f>[1]Data!F1032</f>
        <v>South Whittier</v>
      </c>
      <c r="G1032" s="8">
        <f>[1]Data!G1032</f>
        <v>0</v>
      </c>
      <c r="H1032" s="8">
        <f>[1]Data!H1032</f>
        <v>0</v>
      </c>
      <c r="I1032" s="8">
        <f>[1]Data!I1032</f>
        <v>3.9260000000000002</v>
      </c>
      <c r="J1032" s="8">
        <f>[1]Data!J1032</f>
        <v>1.90487994</v>
      </c>
      <c r="K1032" s="8">
        <f>[1]Data!K1032</f>
        <v>3.9048799399999998</v>
      </c>
      <c r="L1032" s="8">
        <f>[1]Data!L1032</f>
        <v>2.0625322082585301E-2</v>
      </c>
      <c r="M1032" s="8">
        <f>[1]Data!M1032</f>
        <v>3.9255052620825901</v>
      </c>
      <c r="N1032" s="8">
        <f>[1]Data!N1032</f>
        <v>4.5454545454545497E-2</v>
      </c>
      <c r="O1032" s="8">
        <f>[1]Data!O1032</f>
        <v>0</v>
      </c>
      <c r="P1032" s="8">
        <f>[1]Data!P1032</f>
        <v>1</v>
      </c>
      <c r="Q1032" s="8">
        <f>[1]Data!Q1032</f>
        <v>0</v>
      </c>
      <c r="R1032" s="8">
        <f>[1]Data!R1032</f>
        <v>0</v>
      </c>
      <c r="S1032" s="8">
        <f>[1]Data!S1032</f>
        <v>0</v>
      </c>
      <c r="T1032">
        <f t="shared" si="80"/>
        <v>4.5454545454545497E-2</v>
      </c>
      <c r="U1032">
        <f t="shared" si="81"/>
        <v>0</v>
      </c>
      <c r="V1032" s="4" t="str">
        <f t="shared" si="82"/>
        <v>0</v>
      </c>
      <c r="W1032" s="4" t="str">
        <f t="shared" si="83"/>
        <v>7</v>
      </c>
      <c r="X1032" s="4" t="str">
        <f t="shared" si="84"/>
        <v>0NON-HS7</v>
      </c>
      <c r="Y1032">
        <f>VLOOKUP(X1032,Sheet1!$J$5:$K$121,2,FALSE)</f>
        <v>0</v>
      </c>
    </row>
    <row r="1033" spans="1:25" x14ac:dyDescent="0.25">
      <c r="A1033" s="8">
        <f>[1]Data!A1033</f>
        <v>502602</v>
      </c>
      <c r="B1033" s="8">
        <f>[1]Data!B1033</f>
        <v>7</v>
      </c>
      <c r="C1033" s="8">
        <f>[1]Data!C1033</f>
        <v>0</v>
      </c>
      <c r="D1033" s="8">
        <f>[1]Data!D1033</f>
        <v>1</v>
      </c>
      <c r="E1033" s="8" t="str">
        <f>[1]Data!E1033</f>
        <v>NON-HS</v>
      </c>
      <c r="F1033" s="8" t="str">
        <f>[1]Data!F1033</f>
        <v>Pico Rivera</v>
      </c>
      <c r="G1033" s="8">
        <f>[1]Data!G1033</f>
        <v>0</v>
      </c>
      <c r="H1033" s="8">
        <f>[1]Data!H1033</f>
        <v>0</v>
      </c>
      <c r="I1033" s="8">
        <f>[1]Data!I1033</f>
        <v>9.0839999999999996</v>
      </c>
      <c r="J1033" s="8">
        <f>[1]Data!J1033</f>
        <v>6.5952249700000003</v>
      </c>
      <c r="K1033" s="8">
        <f>[1]Data!K1033</f>
        <v>8.5952249700000003</v>
      </c>
      <c r="L1033" s="8">
        <f>[1]Data!L1033</f>
        <v>0.48906212394973098</v>
      </c>
      <c r="M1033" s="8">
        <f>[1]Data!M1033</f>
        <v>9.0842870939497296</v>
      </c>
      <c r="N1033" s="8">
        <f>[1]Data!N1033</f>
        <v>4.5454545454545497E-2</v>
      </c>
      <c r="O1033" s="8">
        <f>[1]Data!O1033</f>
        <v>0</v>
      </c>
      <c r="P1033" s="8">
        <f>[1]Data!P1033</f>
        <v>1</v>
      </c>
      <c r="Q1033" s="8">
        <f>[1]Data!Q1033</f>
        <v>0</v>
      </c>
      <c r="R1033" s="8">
        <f>[1]Data!R1033</f>
        <v>0</v>
      </c>
      <c r="S1033" s="8">
        <f>[1]Data!S1033</f>
        <v>0</v>
      </c>
      <c r="T1033">
        <f t="shared" si="80"/>
        <v>4.5454545454545497E-2</v>
      </c>
      <c r="U1033">
        <f t="shared" si="81"/>
        <v>0</v>
      </c>
      <c r="V1033" s="4" t="str">
        <f t="shared" si="82"/>
        <v>0</v>
      </c>
      <c r="W1033" s="4" t="str">
        <f t="shared" si="83"/>
        <v>7</v>
      </c>
      <c r="X1033" s="4" t="str">
        <f t="shared" si="84"/>
        <v>0NON-HS7</v>
      </c>
      <c r="Y1033">
        <f>VLOOKUP(X1033,Sheet1!$J$5:$K$121,2,FALSE)</f>
        <v>0</v>
      </c>
    </row>
    <row r="1034" spans="1:25" x14ac:dyDescent="0.25">
      <c r="A1034" s="8">
        <f>[1]Data!A1034</f>
        <v>554101</v>
      </c>
      <c r="B1034" s="8">
        <f>[1]Data!B1034</f>
        <v>7</v>
      </c>
      <c r="C1034" s="8">
        <f>[1]Data!C1034</f>
        <v>0</v>
      </c>
      <c r="D1034" s="8">
        <f>[1]Data!D1034</f>
        <v>4</v>
      </c>
      <c r="E1034" s="8" t="str">
        <f>[1]Data!E1034</f>
        <v>NON-HS</v>
      </c>
      <c r="F1034" s="8" t="str">
        <f>[1]Data!F1034</f>
        <v>Bellflower</v>
      </c>
      <c r="G1034" s="8">
        <f>[1]Data!G1034</f>
        <v>0</v>
      </c>
      <c r="H1034" s="8">
        <f>[1]Data!H1034</f>
        <v>0</v>
      </c>
      <c r="I1034" s="8">
        <f>[1]Data!I1034</f>
        <v>4.0209999999999999</v>
      </c>
      <c r="J1034" s="8">
        <f>[1]Data!J1034</f>
        <v>3.8885795999999999</v>
      </c>
      <c r="K1034" s="8">
        <f>[1]Data!K1034</f>
        <v>3.8885795999999999</v>
      </c>
      <c r="L1034" s="8">
        <f>[1]Data!L1034</f>
        <v>0.131797923464991</v>
      </c>
      <c r="M1034" s="8">
        <f>[1]Data!M1034</f>
        <v>4.0203775234649903</v>
      </c>
      <c r="N1034" s="8">
        <f>[1]Data!N1034</f>
        <v>4.5454545454545497E-2</v>
      </c>
      <c r="O1034" s="8">
        <f>[1]Data!O1034</f>
        <v>0</v>
      </c>
      <c r="P1034" s="8">
        <f>[1]Data!P1034</f>
        <v>1</v>
      </c>
      <c r="Q1034" s="8">
        <f>[1]Data!Q1034</f>
        <v>0</v>
      </c>
      <c r="R1034" s="8">
        <f>[1]Data!R1034</f>
        <v>0</v>
      </c>
      <c r="S1034" s="8">
        <f>[1]Data!S1034</f>
        <v>0</v>
      </c>
      <c r="T1034">
        <f t="shared" si="80"/>
        <v>4.5454545454545497E-2</v>
      </c>
      <c r="U1034">
        <f t="shared" si="81"/>
        <v>0</v>
      </c>
      <c r="V1034" s="4" t="str">
        <f t="shared" si="82"/>
        <v>0</v>
      </c>
      <c r="W1034" s="4" t="str">
        <f t="shared" si="83"/>
        <v>7</v>
      </c>
      <c r="X1034" s="4" t="str">
        <f t="shared" si="84"/>
        <v>0NON-HS7</v>
      </c>
      <c r="Y1034">
        <f>VLOOKUP(X1034,Sheet1!$J$5:$K$121,2,FALSE)</f>
        <v>0</v>
      </c>
    </row>
    <row r="1035" spans="1:25" x14ac:dyDescent="0.25">
      <c r="A1035" s="8">
        <f>[1]Data!A1035</f>
        <v>502401</v>
      </c>
      <c r="B1035" s="8">
        <f>[1]Data!B1035</f>
        <v>7</v>
      </c>
      <c r="C1035" s="8">
        <f>[1]Data!C1035</f>
        <v>0</v>
      </c>
      <c r="D1035" s="8">
        <f>[1]Data!D1035</f>
        <v>1</v>
      </c>
      <c r="E1035" s="8" t="str">
        <f>[1]Data!E1035</f>
        <v>NON-HS</v>
      </c>
      <c r="F1035" s="8" t="str">
        <f>[1]Data!F1035</f>
        <v>Pico Rivera</v>
      </c>
      <c r="G1035" s="8">
        <f>[1]Data!G1035</f>
        <v>0</v>
      </c>
      <c r="H1035" s="8">
        <f>[1]Data!H1035</f>
        <v>0</v>
      </c>
      <c r="I1035" s="8">
        <f>[1]Data!I1035</f>
        <v>1</v>
      </c>
      <c r="J1035" s="8">
        <f>[1]Data!J1035</f>
        <v>0</v>
      </c>
      <c r="K1035" s="8">
        <f>[1]Data!K1035</f>
        <v>1</v>
      </c>
      <c r="L1035" s="8">
        <f>[1]Data!L1035</f>
        <v>0</v>
      </c>
      <c r="M1035" s="8">
        <f>[1]Data!M1035</f>
        <v>1</v>
      </c>
      <c r="N1035" s="8">
        <f>[1]Data!N1035</f>
        <v>4.5454545454545497E-2</v>
      </c>
      <c r="O1035" s="8">
        <f>[1]Data!O1035</f>
        <v>0</v>
      </c>
      <c r="P1035" s="8">
        <f>[1]Data!P1035</f>
        <v>1</v>
      </c>
      <c r="Q1035" s="8">
        <f>[1]Data!Q1035</f>
        <v>0</v>
      </c>
      <c r="R1035" s="8">
        <f>[1]Data!R1035</f>
        <v>0</v>
      </c>
      <c r="S1035" s="8">
        <f>[1]Data!S1035</f>
        <v>0</v>
      </c>
      <c r="T1035">
        <f t="shared" si="80"/>
        <v>4.5454545454545497E-2</v>
      </c>
      <c r="U1035">
        <f t="shared" si="81"/>
        <v>0</v>
      </c>
      <c r="V1035" s="4" t="str">
        <f t="shared" si="82"/>
        <v>0</v>
      </c>
      <c r="W1035" s="4" t="str">
        <f t="shared" si="83"/>
        <v>7</v>
      </c>
      <c r="X1035" s="4" t="str">
        <f t="shared" si="84"/>
        <v>0NON-HS7</v>
      </c>
      <c r="Y1035">
        <f>VLOOKUP(X1035,Sheet1!$J$5:$K$121,2,FALSE)</f>
        <v>0</v>
      </c>
    </row>
    <row r="1036" spans="1:25" x14ac:dyDescent="0.25">
      <c r="A1036" s="8">
        <f>[1]Data!A1036</f>
        <v>502003</v>
      </c>
      <c r="B1036" s="8">
        <f>[1]Data!B1036</f>
        <v>7</v>
      </c>
      <c r="C1036" s="8">
        <f>[1]Data!C1036</f>
        <v>0</v>
      </c>
      <c r="D1036" s="8">
        <f>[1]Data!D1036</f>
        <v>4</v>
      </c>
      <c r="E1036" s="8" t="str">
        <f>[1]Data!E1036</f>
        <v>NON-HS</v>
      </c>
      <c r="F1036" s="8" t="str">
        <f>[1]Data!F1036</f>
        <v>Whittier</v>
      </c>
      <c r="G1036" s="8">
        <f>[1]Data!G1036</f>
        <v>0</v>
      </c>
      <c r="H1036" s="8">
        <f>[1]Data!H1036</f>
        <v>0</v>
      </c>
      <c r="I1036" s="8">
        <f>[1]Data!I1036</f>
        <v>0</v>
      </c>
      <c r="J1036" s="8">
        <f>[1]Data!J1036</f>
        <v>0</v>
      </c>
      <c r="K1036" s="8">
        <f>[1]Data!K1036</f>
        <v>0</v>
      </c>
      <c r="L1036" s="8">
        <f>[1]Data!L1036</f>
        <v>0</v>
      </c>
      <c r="M1036" s="8">
        <f>[1]Data!M1036</f>
        <v>0</v>
      </c>
      <c r="N1036" s="8">
        <f>[1]Data!N1036</f>
        <v>4.5454545454545497E-2</v>
      </c>
      <c r="O1036" s="8">
        <f>[1]Data!O1036</f>
        <v>0</v>
      </c>
      <c r="P1036" s="8">
        <f>[1]Data!P1036</f>
        <v>1</v>
      </c>
      <c r="Q1036" s="8">
        <f>[1]Data!Q1036</f>
        <v>0</v>
      </c>
      <c r="R1036" s="8">
        <f>[1]Data!R1036</f>
        <v>0</v>
      </c>
      <c r="S1036" s="8">
        <f>[1]Data!S1036</f>
        <v>0</v>
      </c>
      <c r="T1036">
        <f t="shared" si="80"/>
        <v>4.5454545454545497E-2</v>
      </c>
      <c r="U1036">
        <f t="shared" si="81"/>
        <v>0</v>
      </c>
      <c r="V1036" s="4" t="str">
        <f t="shared" si="82"/>
        <v>0</v>
      </c>
      <c r="W1036" s="4" t="str">
        <f t="shared" si="83"/>
        <v>7</v>
      </c>
      <c r="X1036" s="4" t="str">
        <f t="shared" si="84"/>
        <v>0NON-HS7</v>
      </c>
      <c r="Y1036">
        <f>VLOOKUP(X1036,Sheet1!$J$5:$K$121,2,FALSE)</f>
        <v>0</v>
      </c>
    </row>
    <row r="1037" spans="1:25" x14ac:dyDescent="0.25">
      <c r="A1037" s="8">
        <f>[1]Data!A1037</f>
        <v>554104</v>
      </c>
      <c r="B1037" s="8">
        <f>[1]Data!B1037</f>
        <v>7</v>
      </c>
      <c r="C1037" s="8">
        <f>[1]Data!C1037</f>
        <v>0</v>
      </c>
      <c r="D1037" s="8">
        <f>[1]Data!D1037</f>
        <v>4</v>
      </c>
      <c r="E1037" s="8" t="str">
        <f>[1]Data!E1037</f>
        <v>NON-HS</v>
      </c>
      <c r="F1037" s="8" t="str">
        <f>[1]Data!F1037</f>
        <v>Bellflower</v>
      </c>
      <c r="G1037" s="8">
        <f>[1]Data!G1037</f>
        <v>0</v>
      </c>
      <c r="H1037" s="8">
        <f>[1]Data!H1037</f>
        <v>0</v>
      </c>
      <c r="I1037" s="8">
        <f>[1]Data!I1037</f>
        <v>8.84</v>
      </c>
      <c r="J1037" s="8">
        <f>[1]Data!J1037</f>
        <v>8.4212851900000008</v>
      </c>
      <c r="K1037" s="8">
        <f>[1]Data!K1037</f>
        <v>8.4212851900000008</v>
      </c>
      <c r="L1037" s="8">
        <f>[1]Data!L1037</f>
        <v>0.41914016673249599</v>
      </c>
      <c r="M1037" s="8">
        <f>[1]Data!M1037</f>
        <v>8.8404253567324904</v>
      </c>
      <c r="N1037" s="8">
        <f>[1]Data!N1037</f>
        <v>4.5454545454545497E-2</v>
      </c>
      <c r="O1037" s="8">
        <f>[1]Data!O1037</f>
        <v>0</v>
      </c>
      <c r="P1037" s="8">
        <f>[1]Data!P1037</f>
        <v>1</v>
      </c>
      <c r="Q1037" s="8">
        <f>[1]Data!Q1037</f>
        <v>0</v>
      </c>
      <c r="R1037" s="8">
        <f>[1]Data!R1037</f>
        <v>0</v>
      </c>
      <c r="S1037" s="8">
        <f>[1]Data!S1037</f>
        <v>0</v>
      </c>
      <c r="T1037">
        <f t="shared" si="80"/>
        <v>4.5454545454545497E-2</v>
      </c>
      <c r="U1037">
        <f t="shared" si="81"/>
        <v>0</v>
      </c>
      <c r="V1037" s="4" t="str">
        <f t="shared" si="82"/>
        <v>0</v>
      </c>
      <c r="W1037" s="4" t="str">
        <f t="shared" si="83"/>
        <v>7</v>
      </c>
      <c r="X1037" s="4" t="str">
        <f t="shared" si="84"/>
        <v>0NON-HS7</v>
      </c>
      <c r="Y1037">
        <f>VLOOKUP(X1037,Sheet1!$J$5:$K$121,2,FALSE)</f>
        <v>0</v>
      </c>
    </row>
    <row r="1038" spans="1:25" x14ac:dyDescent="0.25">
      <c r="A1038" s="8">
        <f>[1]Data!A1038</f>
        <v>554105</v>
      </c>
      <c r="B1038" s="8">
        <f>[1]Data!B1038</f>
        <v>7</v>
      </c>
      <c r="C1038" s="8">
        <f>[1]Data!C1038</f>
        <v>0</v>
      </c>
      <c r="D1038" s="8">
        <f>[1]Data!D1038</f>
        <v>4</v>
      </c>
      <c r="E1038" s="8" t="str">
        <f>[1]Data!E1038</f>
        <v>NON-HS</v>
      </c>
      <c r="F1038" s="8" t="str">
        <f>[1]Data!F1038</f>
        <v>Bellflower</v>
      </c>
      <c r="G1038" s="8">
        <f>[1]Data!G1038</f>
        <v>0</v>
      </c>
      <c r="H1038" s="8">
        <f>[1]Data!H1038</f>
        <v>0</v>
      </c>
      <c r="I1038" s="8">
        <f>[1]Data!I1038</f>
        <v>0</v>
      </c>
      <c r="J1038" s="8">
        <f>[1]Data!J1038</f>
        <v>0</v>
      </c>
      <c r="K1038" s="8">
        <f>[1]Data!K1038</f>
        <v>0</v>
      </c>
      <c r="L1038" s="8">
        <f>[1]Data!L1038</f>
        <v>0</v>
      </c>
      <c r="M1038" s="8">
        <f>[1]Data!M1038</f>
        <v>0</v>
      </c>
      <c r="N1038" s="8">
        <f>[1]Data!N1038</f>
        <v>4.5454545454545497E-2</v>
      </c>
      <c r="O1038" s="8">
        <f>[1]Data!O1038</f>
        <v>0</v>
      </c>
      <c r="P1038" s="8">
        <f>[1]Data!P1038</f>
        <v>1</v>
      </c>
      <c r="Q1038" s="8">
        <f>[1]Data!Q1038</f>
        <v>0</v>
      </c>
      <c r="R1038" s="8">
        <f>[1]Data!R1038</f>
        <v>0</v>
      </c>
      <c r="S1038" s="8">
        <f>[1]Data!S1038</f>
        <v>0</v>
      </c>
      <c r="T1038">
        <f t="shared" si="80"/>
        <v>4.5454545454545497E-2</v>
      </c>
      <c r="U1038">
        <f t="shared" si="81"/>
        <v>0</v>
      </c>
      <c r="V1038" s="4" t="str">
        <f t="shared" si="82"/>
        <v>0</v>
      </c>
      <c r="W1038" s="4" t="str">
        <f t="shared" si="83"/>
        <v>7</v>
      </c>
      <c r="X1038" s="4" t="str">
        <f t="shared" si="84"/>
        <v>0NON-HS7</v>
      </c>
      <c r="Y1038">
        <f>VLOOKUP(X1038,Sheet1!$J$5:$K$121,2,FALSE)</f>
        <v>0</v>
      </c>
    </row>
    <row r="1039" spans="1:25" x14ac:dyDescent="0.25">
      <c r="A1039" s="8">
        <f>[1]Data!A1039</f>
        <v>501700</v>
      </c>
      <c r="B1039" s="8">
        <f>[1]Data!B1039</f>
        <v>7</v>
      </c>
      <c r="C1039" s="8">
        <f>[1]Data!C1039</f>
        <v>0</v>
      </c>
      <c r="D1039" s="8">
        <f>[1]Data!D1039</f>
        <v>4</v>
      </c>
      <c r="E1039" s="8" t="str">
        <f>[1]Data!E1039</f>
        <v>NON-HS</v>
      </c>
      <c r="F1039" s="8" t="str">
        <f>[1]Data!F1039</f>
        <v>Whittier</v>
      </c>
      <c r="G1039" s="8">
        <f>[1]Data!G1039</f>
        <v>0</v>
      </c>
      <c r="H1039" s="8">
        <f>[1]Data!H1039</f>
        <v>0</v>
      </c>
      <c r="I1039" s="8">
        <f>[1]Data!I1039</f>
        <v>3.9260000000000002</v>
      </c>
      <c r="J1039" s="8">
        <f>[1]Data!J1039</f>
        <v>1.90487994</v>
      </c>
      <c r="K1039" s="8">
        <f>[1]Data!K1039</f>
        <v>3.9048799399999998</v>
      </c>
      <c r="L1039" s="8">
        <f>[1]Data!L1039</f>
        <v>2.0625322082585301E-2</v>
      </c>
      <c r="M1039" s="8">
        <f>[1]Data!M1039</f>
        <v>3.9255052620825901</v>
      </c>
      <c r="N1039" s="8">
        <f>[1]Data!N1039</f>
        <v>4.5454545454545497E-2</v>
      </c>
      <c r="O1039" s="8">
        <f>[1]Data!O1039</f>
        <v>0</v>
      </c>
      <c r="P1039" s="8">
        <f>[1]Data!P1039</f>
        <v>1</v>
      </c>
      <c r="Q1039" s="8">
        <f>[1]Data!Q1039</f>
        <v>0</v>
      </c>
      <c r="R1039" s="8">
        <f>[1]Data!R1039</f>
        <v>0</v>
      </c>
      <c r="S1039" s="8">
        <f>[1]Data!S1039</f>
        <v>0</v>
      </c>
      <c r="T1039">
        <f t="shared" si="80"/>
        <v>4.5454545454545497E-2</v>
      </c>
      <c r="U1039">
        <f t="shared" si="81"/>
        <v>0</v>
      </c>
      <c r="V1039" s="4" t="str">
        <f t="shared" si="82"/>
        <v>0</v>
      </c>
      <c r="W1039" s="4" t="str">
        <f t="shared" si="83"/>
        <v>7</v>
      </c>
      <c r="X1039" s="4" t="str">
        <f t="shared" si="84"/>
        <v>0NON-HS7</v>
      </c>
      <c r="Y1039">
        <f>VLOOKUP(X1039,Sheet1!$J$5:$K$121,2,FALSE)</f>
        <v>0</v>
      </c>
    </row>
    <row r="1040" spans="1:25" x14ac:dyDescent="0.25">
      <c r="A1040" s="8">
        <f>[1]Data!A1040</f>
        <v>554201</v>
      </c>
      <c r="B1040" s="8">
        <f>[1]Data!B1040</f>
        <v>7</v>
      </c>
      <c r="C1040" s="8">
        <f>[1]Data!C1040</f>
        <v>0</v>
      </c>
      <c r="D1040" s="8">
        <f>[1]Data!D1040</f>
        <v>4</v>
      </c>
      <c r="E1040" s="8" t="str">
        <f>[1]Data!E1040</f>
        <v>NON-HS</v>
      </c>
      <c r="F1040" s="8" t="str">
        <f>[1]Data!F1040</f>
        <v>Bellflower</v>
      </c>
      <c r="G1040" s="8">
        <f>[1]Data!G1040</f>
        <v>0</v>
      </c>
      <c r="H1040" s="8">
        <f>[1]Data!H1040</f>
        <v>0</v>
      </c>
      <c r="I1040" s="8">
        <f>[1]Data!I1040</f>
        <v>3</v>
      </c>
      <c r="J1040" s="8">
        <f>[1]Data!J1040</f>
        <v>0</v>
      </c>
      <c r="K1040" s="8">
        <f>[1]Data!K1040</f>
        <v>3</v>
      </c>
      <c r="L1040" s="8">
        <f>[1]Data!L1040</f>
        <v>0</v>
      </c>
      <c r="M1040" s="8">
        <f>[1]Data!M1040</f>
        <v>3</v>
      </c>
      <c r="N1040" s="8">
        <f>[1]Data!N1040</f>
        <v>4.5454545454545497E-2</v>
      </c>
      <c r="O1040" s="8">
        <f>[1]Data!O1040</f>
        <v>0</v>
      </c>
      <c r="P1040" s="8">
        <f>[1]Data!P1040</f>
        <v>1</v>
      </c>
      <c r="Q1040" s="8">
        <f>[1]Data!Q1040</f>
        <v>0</v>
      </c>
      <c r="R1040" s="8">
        <f>[1]Data!R1040</f>
        <v>0</v>
      </c>
      <c r="S1040" s="8">
        <f>[1]Data!S1040</f>
        <v>0</v>
      </c>
      <c r="T1040">
        <f t="shared" si="80"/>
        <v>4.5454545454545497E-2</v>
      </c>
      <c r="U1040">
        <f t="shared" si="81"/>
        <v>0</v>
      </c>
      <c r="V1040" s="4" t="str">
        <f t="shared" si="82"/>
        <v>0</v>
      </c>
      <c r="W1040" s="4" t="str">
        <f t="shared" si="83"/>
        <v>7</v>
      </c>
      <c r="X1040" s="4" t="str">
        <f t="shared" si="84"/>
        <v>0NON-HS7</v>
      </c>
      <c r="Y1040">
        <f>VLOOKUP(X1040,Sheet1!$J$5:$K$121,2,FALSE)</f>
        <v>0</v>
      </c>
    </row>
    <row r="1041" spans="1:25" x14ac:dyDescent="0.25">
      <c r="A1041" s="8">
        <f>[1]Data!A1041</f>
        <v>554203</v>
      </c>
      <c r="B1041" s="8">
        <f>[1]Data!B1041</f>
        <v>7</v>
      </c>
      <c r="C1041" s="8">
        <f>[1]Data!C1041</f>
        <v>0</v>
      </c>
      <c r="D1041" s="8">
        <f>[1]Data!D1041</f>
        <v>4</v>
      </c>
      <c r="E1041" s="8" t="str">
        <f>[1]Data!E1041</f>
        <v>NON-HS</v>
      </c>
      <c r="F1041" s="8" t="str">
        <f>[1]Data!F1041</f>
        <v>Bellflower</v>
      </c>
      <c r="G1041" s="8">
        <f>[1]Data!G1041</f>
        <v>0</v>
      </c>
      <c r="H1041" s="8">
        <f>[1]Data!H1041</f>
        <v>0</v>
      </c>
      <c r="I1041" s="8">
        <f>[1]Data!I1041</f>
        <v>5.6589999999999998</v>
      </c>
      <c r="J1041" s="8">
        <f>[1]Data!J1041</f>
        <v>5.5428920499999998</v>
      </c>
      <c r="K1041" s="8">
        <f>[1]Data!K1041</f>
        <v>5.5428920499999998</v>
      </c>
      <c r="L1041" s="8">
        <f>[1]Data!L1041</f>
        <v>0.116236154452424</v>
      </c>
      <c r="M1041" s="8">
        <f>[1]Data!M1041</f>
        <v>5.6591282044524203</v>
      </c>
      <c r="N1041" s="8">
        <f>[1]Data!N1041</f>
        <v>4.5454545454545497E-2</v>
      </c>
      <c r="O1041" s="8">
        <f>[1]Data!O1041</f>
        <v>0</v>
      </c>
      <c r="P1041" s="8">
        <f>[1]Data!P1041</f>
        <v>1</v>
      </c>
      <c r="Q1041" s="8">
        <f>[1]Data!Q1041</f>
        <v>0</v>
      </c>
      <c r="R1041" s="8">
        <f>[1]Data!R1041</f>
        <v>0</v>
      </c>
      <c r="S1041" s="8">
        <f>[1]Data!S1041</f>
        <v>0</v>
      </c>
      <c r="T1041">
        <f t="shared" si="80"/>
        <v>4.5454545454545497E-2</v>
      </c>
      <c r="U1041">
        <f t="shared" si="81"/>
        <v>0</v>
      </c>
      <c r="V1041" s="4" t="str">
        <f t="shared" si="82"/>
        <v>0</v>
      </c>
      <c r="W1041" s="4" t="str">
        <f t="shared" si="83"/>
        <v>7</v>
      </c>
      <c r="X1041" s="4" t="str">
        <f t="shared" si="84"/>
        <v>0NON-HS7</v>
      </c>
      <c r="Y1041">
        <f>VLOOKUP(X1041,Sheet1!$J$5:$K$121,2,FALSE)</f>
        <v>0</v>
      </c>
    </row>
    <row r="1042" spans="1:25" x14ac:dyDescent="0.25">
      <c r="A1042" s="8">
        <f>[1]Data!A1042</f>
        <v>554512</v>
      </c>
      <c r="B1042" s="8">
        <f>[1]Data!B1042</f>
        <v>7</v>
      </c>
      <c r="C1042" s="8">
        <f>[1]Data!C1042</f>
        <v>0</v>
      </c>
      <c r="D1042" s="8">
        <f>[1]Data!D1042</f>
        <v>4</v>
      </c>
      <c r="E1042" s="8" t="str">
        <f>[1]Data!E1042</f>
        <v>NON-HS</v>
      </c>
      <c r="F1042" s="8" t="str">
        <f>[1]Data!F1042</f>
        <v>Cerritos</v>
      </c>
      <c r="G1042" s="8">
        <f>[1]Data!G1042</f>
        <v>0</v>
      </c>
      <c r="H1042" s="8">
        <f>[1]Data!H1042</f>
        <v>0</v>
      </c>
      <c r="I1042" s="8">
        <f>[1]Data!I1042</f>
        <v>7.9889999999999999</v>
      </c>
      <c r="J1042" s="8">
        <f>[1]Data!J1042</f>
        <v>4.6115253100000002</v>
      </c>
      <c r="K1042" s="8">
        <f>[1]Data!K1042</f>
        <v>7.6115253100000002</v>
      </c>
      <c r="L1042" s="8">
        <f>[1]Data!L1042</f>
        <v>0.377889522567325</v>
      </c>
      <c r="M1042" s="8">
        <f>[1]Data!M1042</f>
        <v>7.9894148325673298</v>
      </c>
      <c r="N1042" s="8">
        <f>[1]Data!N1042</f>
        <v>4.5454545454545497E-2</v>
      </c>
      <c r="O1042" s="8">
        <f>[1]Data!O1042</f>
        <v>0</v>
      </c>
      <c r="P1042" s="8">
        <f>[1]Data!P1042</f>
        <v>1</v>
      </c>
      <c r="Q1042" s="8">
        <f>[1]Data!Q1042</f>
        <v>0</v>
      </c>
      <c r="R1042" s="8">
        <f>[1]Data!R1042</f>
        <v>0</v>
      </c>
      <c r="S1042" s="8">
        <f>[1]Data!S1042</f>
        <v>0</v>
      </c>
      <c r="T1042">
        <f t="shared" si="80"/>
        <v>4.5454545454545497E-2</v>
      </c>
      <c r="U1042">
        <f t="shared" si="81"/>
        <v>0</v>
      </c>
      <c r="V1042" s="4" t="str">
        <f t="shared" si="82"/>
        <v>0</v>
      </c>
      <c r="W1042" s="4" t="str">
        <f t="shared" si="83"/>
        <v>7</v>
      </c>
      <c r="X1042" s="4" t="str">
        <f t="shared" si="84"/>
        <v>0NON-HS7</v>
      </c>
      <c r="Y1042">
        <f>VLOOKUP(X1042,Sheet1!$J$5:$K$121,2,FALSE)</f>
        <v>0</v>
      </c>
    </row>
    <row r="1043" spans="1:25" x14ac:dyDescent="0.25">
      <c r="A1043" s="8">
        <f>[1]Data!A1043</f>
        <v>554513</v>
      </c>
      <c r="B1043" s="8">
        <f>[1]Data!B1043</f>
        <v>7</v>
      </c>
      <c r="C1043" s="8">
        <f>[1]Data!C1043</f>
        <v>0</v>
      </c>
      <c r="D1043" s="8">
        <f>[1]Data!D1043</f>
        <v>4</v>
      </c>
      <c r="E1043" s="8" t="str">
        <f>[1]Data!E1043</f>
        <v>NON-HS</v>
      </c>
      <c r="F1043" s="8" t="str">
        <f>[1]Data!F1043</f>
        <v>Cerritos</v>
      </c>
      <c r="G1043" s="8">
        <f>[1]Data!G1043</f>
        <v>0</v>
      </c>
      <c r="H1043" s="8">
        <f>[1]Data!H1043</f>
        <v>0</v>
      </c>
      <c r="I1043" s="8">
        <f>[1]Data!I1043</f>
        <v>0</v>
      </c>
      <c r="J1043" s="8">
        <f>[1]Data!J1043</f>
        <v>0</v>
      </c>
      <c r="K1043" s="8">
        <f>[1]Data!K1043</f>
        <v>0</v>
      </c>
      <c r="L1043" s="8">
        <f>[1]Data!L1043</f>
        <v>0</v>
      </c>
      <c r="M1043" s="8">
        <f>[1]Data!M1043</f>
        <v>0</v>
      </c>
      <c r="N1043" s="8">
        <f>[1]Data!N1043</f>
        <v>4.5454545454545497E-2</v>
      </c>
      <c r="O1043" s="8">
        <f>[1]Data!O1043</f>
        <v>0</v>
      </c>
      <c r="P1043" s="8">
        <f>[1]Data!P1043</f>
        <v>1</v>
      </c>
      <c r="Q1043" s="8">
        <f>[1]Data!Q1043</f>
        <v>0</v>
      </c>
      <c r="R1043" s="8">
        <f>[1]Data!R1043</f>
        <v>0</v>
      </c>
      <c r="S1043" s="8">
        <f>[1]Data!S1043</f>
        <v>0</v>
      </c>
      <c r="T1043">
        <f t="shared" si="80"/>
        <v>4.5454545454545497E-2</v>
      </c>
      <c r="U1043">
        <f t="shared" si="81"/>
        <v>0</v>
      </c>
      <c r="V1043" s="4" t="str">
        <f t="shared" si="82"/>
        <v>0</v>
      </c>
      <c r="W1043" s="4" t="str">
        <f t="shared" si="83"/>
        <v>7</v>
      </c>
      <c r="X1043" s="4" t="str">
        <f t="shared" si="84"/>
        <v>0NON-HS7</v>
      </c>
      <c r="Y1043">
        <f>VLOOKUP(X1043,Sheet1!$J$5:$K$121,2,FALSE)</f>
        <v>0</v>
      </c>
    </row>
    <row r="1044" spans="1:25" x14ac:dyDescent="0.25">
      <c r="A1044" s="8">
        <f>[1]Data!A1044</f>
        <v>554514</v>
      </c>
      <c r="B1044" s="8">
        <f>[1]Data!B1044</f>
        <v>7</v>
      </c>
      <c r="C1044" s="8">
        <f>[1]Data!C1044</f>
        <v>0</v>
      </c>
      <c r="D1044" s="8">
        <f>[1]Data!D1044</f>
        <v>4</v>
      </c>
      <c r="E1044" s="8" t="str">
        <f>[1]Data!E1044</f>
        <v>NON-HS</v>
      </c>
      <c r="F1044" s="8" t="str">
        <f>[1]Data!F1044</f>
        <v>Cerritos</v>
      </c>
      <c r="G1044" s="8">
        <f>[1]Data!G1044</f>
        <v>1</v>
      </c>
      <c r="H1044" s="8">
        <f>[1]Data!H1044</f>
        <v>1</v>
      </c>
      <c r="I1044" s="8">
        <f>[1]Data!I1044</f>
        <v>4.181</v>
      </c>
      <c r="J1044" s="8">
        <f>[1]Data!J1044</f>
        <v>2.87839314</v>
      </c>
      <c r="K1044" s="8">
        <f>[1]Data!K1044</f>
        <v>3.87839314</v>
      </c>
      <c r="L1044" s="8">
        <f>[1]Data!L1044</f>
        <v>0.30290401228007202</v>
      </c>
      <c r="M1044" s="8">
        <f>[1]Data!M1044</f>
        <v>4.1812971522800702</v>
      </c>
      <c r="N1044" s="8">
        <f>[1]Data!N1044</f>
        <v>4.5454545454545497E-2</v>
      </c>
      <c r="O1044" s="8">
        <f>[1]Data!O1044</f>
        <v>22</v>
      </c>
      <c r="P1044" s="8">
        <f>[1]Data!P1044</f>
        <v>1</v>
      </c>
      <c r="Q1044" s="8">
        <f>[1]Data!Q1044</f>
        <v>0</v>
      </c>
      <c r="R1044" s="8">
        <f>[1]Data!R1044</f>
        <v>0</v>
      </c>
      <c r="S1044" s="8">
        <f>[1]Data!S1044</f>
        <v>0</v>
      </c>
      <c r="T1044">
        <f t="shared" si="80"/>
        <v>4.5454545454545497E-2</v>
      </c>
      <c r="U1044">
        <f t="shared" si="81"/>
        <v>21.999999999999979</v>
      </c>
      <c r="V1044" s="4" t="str">
        <f t="shared" si="82"/>
        <v>0</v>
      </c>
      <c r="W1044" s="4" t="str">
        <f t="shared" si="83"/>
        <v>7</v>
      </c>
      <c r="X1044" s="4" t="str">
        <f t="shared" si="84"/>
        <v>0NON-HS7</v>
      </c>
      <c r="Y1044">
        <f>VLOOKUP(X1044,Sheet1!$J$5:$K$121,2,FALSE)</f>
        <v>0</v>
      </c>
    </row>
    <row r="1045" spans="1:25" x14ac:dyDescent="0.25">
      <c r="A1045" s="8">
        <f>[1]Data!A1045</f>
        <v>500500</v>
      </c>
      <c r="B1045" s="8">
        <f>[1]Data!B1045</f>
        <v>7</v>
      </c>
      <c r="C1045" s="8">
        <f>[1]Data!C1045</f>
        <v>0</v>
      </c>
      <c r="D1045" s="8">
        <f>[1]Data!D1045</f>
        <v>1</v>
      </c>
      <c r="E1045" s="8" t="str">
        <f>[1]Data!E1045</f>
        <v>NON-HS</v>
      </c>
      <c r="F1045" s="8" t="str">
        <f>[1]Data!F1045</f>
        <v>Pico Rivera</v>
      </c>
      <c r="G1045" s="8">
        <f>[1]Data!G1045</f>
        <v>0</v>
      </c>
      <c r="H1045" s="8">
        <f>[1]Data!H1045</f>
        <v>0</v>
      </c>
      <c r="I1045" s="8">
        <f>[1]Data!I1045</f>
        <v>1</v>
      </c>
      <c r="J1045" s="8">
        <f>[1]Data!J1045</f>
        <v>0</v>
      </c>
      <c r="K1045" s="8">
        <f>[1]Data!K1045</f>
        <v>1</v>
      </c>
      <c r="L1045" s="8">
        <f>[1]Data!L1045</f>
        <v>0</v>
      </c>
      <c r="M1045" s="8">
        <f>[1]Data!M1045</f>
        <v>1</v>
      </c>
      <c r="N1045" s="8">
        <f>[1]Data!N1045</f>
        <v>4.5454545454545497E-2</v>
      </c>
      <c r="O1045" s="8">
        <f>[1]Data!O1045</f>
        <v>0</v>
      </c>
      <c r="P1045" s="8">
        <f>[1]Data!P1045</f>
        <v>1</v>
      </c>
      <c r="Q1045" s="8">
        <f>[1]Data!Q1045</f>
        <v>0</v>
      </c>
      <c r="R1045" s="8">
        <f>[1]Data!R1045</f>
        <v>0</v>
      </c>
      <c r="S1045" s="8">
        <f>[1]Data!S1045</f>
        <v>0</v>
      </c>
      <c r="T1045">
        <f t="shared" si="80"/>
        <v>4.5454545454545497E-2</v>
      </c>
      <c r="U1045">
        <f t="shared" si="81"/>
        <v>0</v>
      </c>
      <c r="V1045" s="4" t="str">
        <f t="shared" si="82"/>
        <v>0</v>
      </c>
      <c r="W1045" s="4" t="str">
        <f t="shared" si="83"/>
        <v>7</v>
      </c>
      <c r="X1045" s="4" t="str">
        <f t="shared" si="84"/>
        <v>0NON-HS7</v>
      </c>
      <c r="Y1045">
        <f>VLOOKUP(X1045,Sheet1!$J$5:$K$121,2,FALSE)</f>
        <v>0</v>
      </c>
    </row>
    <row r="1046" spans="1:25" x14ac:dyDescent="0.25">
      <c r="A1046" s="8">
        <f>[1]Data!A1046</f>
        <v>554516</v>
      </c>
      <c r="B1046" s="8">
        <f>[1]Data!B1046</f>
        <v>7</v>
      </c>
      <c r="C1046" s="8">
        <f>[1]Data!C1046</f>
        <v>0</v>
      </c>
      <c r="D1046" s="8">
        <f>[1]Data!D1046</f>
        <v>4</v>
      </c>
      <c r="E1046" s="8" t="str">
        <f>[1]Data!E1046</f>
        <v>NON-HS</v>
      </c>
      <c r="F1046" s="8" t="str">
        <f>[1]Data!F1046</f>
        <v>Cerritos</v>
      </c>
      <c r="G1046" s="8">
        <f>[1]Data!G1046</f>
        <v>0</v>
      </c>
      <c r="H1046" s="8">
        <f>[1]Data!H1046</f>
        <v>0</v>
      </c>
      <c r="I1046" s="8">
        <f>[1]Data!I1046</f>
        <v>0</v>
      </c>
      <c r="J1046" s="8">
        <f>[1]Data!J1046</f>
        <v>0</v>
      </c>
      <c r="K1046" s="8">
        <f>[1]Data!K1046</f>
        <v>0</v>
      </c>
      <c r="L1046" s="8">
        <f>[1]Data!L1046</f>
        <v>0</v>
      </c>
      <c r="M1046" s="8">
        <f>[1]Data!M1046</f>
        <v>0</v>
      </c>
      <c r="N1046" s="8">
        <f>[1]Data!N1046</f>
        <v>4.5454545454545497E-2</v>
      </c>
      <c r="O1046" s="8">
        <f>[1]Data!O1046</f>
        <v>0</v>
      </c>
      <c r="P1046" s="8">
        <f>[1]Data!P1046</f>
        <v>1</v>
      </c>
      <c r="Q1046" s="8">
        <f>[1]Data!Q1046</f>
        <v>0</v>
      </c>
      <c r="R1046" s="8">
        <f>[1]Data!R1046</f>
        <v>0</v>
      </c>
      <c r="S1046" s="8">
        <f>[1]Data!S1046</f>
        <v>0</v>
      </c>
      <c r="T1046">
        <f t="shared" si="80"/>
        <v>4.5454545454545497E-2</v>
      </c>
      <c r="U1046">
        <f t="shared" si="81"/>
        <v>0</v>
      </c>
      <c r="V1046" s="4" t="str">
        <f t="shared" si="82"/>
        <v>0</v>
      </c>
      <c r="W1046" s="4" t="str">
        <f t="shared" si="83"/>
        <v>7</v>
      </c>
      <c r="X1046" s="4" t="str">
        <f t="shared" si="84"/>
        <v>0NON-HS7</v>
      </c>
      <c r="Y1046">
        <f>VLOOKUP(X1046,Sheet1!$J$5:$K$121,2,FALSE)</f>
        <v>0</v>
      </c>
    </row>
    <row r="1047" spans="1:25" x14ac:dyDescent="0.25">
      <c r="A1047" s="8">
        <f>[1]Data!A1047</f>
        <v>500404</v>
      </c>
      <c r="B1047" s="8">
        <f>[1]Data!B1047</f>
        <v>7</v>
      </c>
      <c r="C1047" s="8">
        <f>[1]Data!C1047</f>
        <v>0</v>
      </c>
      <c r="D1047" s="8">
        <f>[1]Data!D1047</f>
        <v>1</v>
      </c>
      <c r="E1047" s="8" t="str">
        <f>[1]Data!E1047</f>
        <v>NON-HS</v>
      </c>
      <c r="F1047" s="8" t="str">
        <f>[1]Data!F1047</f>
        <v>Pico Rivera</v>
      </c>
      <c r="G1047" s="8">
        <f>[1]Data!G1047</f>
        <v>0</v>
      </c>
      <c r="H1047" s="8">
        <f>[1]Data!H1047</f>
        <v>0</v>
      </c>
      <c r="I1047" s="8">
        <f>[1]Data!I1047</f>
        <v>2.0950000000000002</v>
      </c>
      <c r="J1047" s="8">
        <f>[1]Data!J1047</f>
        <v>1.9836996600000001</v>
      </c>
      <c r="K1047" s="8">
        <f>[1]Data!K1047</f>
        <v>1.9836996600000001</v>
      </c>
      <c r="L1047" s="8">
        <f>[1]Data!L1047</f>
        <v>0.11117260138240601</v>
      </c>
      <c r="M1047" s="8">
        <f>[1]Data!M1047</f>
        <v>2.09487226138241</v>
      </c>
      <c r="N1047" s="8">
        <f>[1]Data!N1047</f>
        <v>4.5454545454545497E-2</v>
      </c>
      <c r="O1047" s="8">
        <f>[1]Data!O1047</f>
        <v>0</v>
      </c>
      <c r="P1047" s="8">
        <f>[1]Data!P1047</f>
        <v>1</v>
      </c>
      <c r="Q1047" s="8">
        <f>[1]Data!Q1047</f>
        <v>0</v>
      </c>
      <c r="R1047" s="8">
        <f>[1]Data!R1047</f>
        <v>0</v>
      </c>
      <c r="S1047" s="8">
        <f>[1]Data!S1047</f>
        <v>0</v>
      </c>
      <c r="T1047">
        <f t="shared" si="80"/>
        <v>4.5454545454545497E-2</v>
      </c>
      <c r="U1047">
        <f t="shared" si="81"/>
        <v>0</v>
      </c>
      <c r="V1047" s="4" t="str">
        <f t="shared" si="82"/>
        <v>0</v>
      </c>
      <c r="W1047" s="4" t="str">
        <f t="shared" si="83"/>
        <v>7</v>
      </c>
      <c r="X1047" s="4" t="str">
        <f t="shared" si="84"/>
        <v>0NON-HS7</v>
      </c>
      <c r="Y1047">
        <f>VLOOKUP(X1047,Sheet1!$J$5:$K$121,2,FALSE)</f>
        <v>0</v>
      </c>
    </row>
    <row r="1048" spans="1:25" x14ac:dyDescent="0.25">
      <c r="A1048" s="8">
        <f>[1]Data!A1048</f>
        <v>554517</v>
      </c>
      <c r="B1048" s="8">
        <f>[1]Data!B1048</f>
        <v>7</v>
      </c>
      <c r="C1048" s="8">
        <f>[1]Data!C1048</f>
        <v>0</v>
      </c>
      <c r="D1048" s="8">
        <f>[1]Data!D1048</f>
        <v>4</v>
      </c>
      <c r="E1048" s="8" t="str">
        <f>[1]Data!E1048</f>
        <v>NON-HS</v>
      </c>
      <c r="F1048" s="8" t="str">
        <f>[1]Data!F1048</f>
        <v>Cerritos</v>
      </c>
      <c r="G1048" s="8">
        <f>[1]Data!G1048</f>
        <v>0</v>
      </c>
      <c r="H1048" s="8">
        <f>[1]Data!H1048</f>
        <v>0</v>
      </c>
      <c r="I1048" s="8">
        <f>[1]Data!I1048</f>
        <v>0</v>
      </c>
      <c r="J1048" s="8">
        <f>[1]Data!J1048</f>
        <v>0</v>
      </c>
      <c r="K1048" s="8">
        <f>[1]Data!K1048</f>
        <v>0</v>
      </c>
      <c r="L1048" s="8">
        <f>[1]Data!L1048</f>
        <v>0</v>
      </c>
      <c r="M1048" s="8">
        <f>[1]Data!M1048</f>
        <v>0</v>
      </c>
      <c r="N1048" s="8">
        <f>[1]Data!N1048</f>
        <v>4.5454545454545497E-2</v>
      </c>
      <c r="O1048" s="8">
        <f>[1]Data!O1048</f>
        <v>0</v>
      </c>
      <c r="P1048" s="8">
        <f>[1]Data!P1048</f>
        <v>1</v>
      </c>
      <c r="Q1048" s="8">
        <f>[1]Data!Q1048</f>
        <v>0</v>
      </c>
      <c r="R1048" s="8">
        <f>[1]Data!R1048</f>
        <v>0</v>
      </c>
      <c r="S1048" s="8">
        <f>[1]Data!S1048</f>
        <v>0</v>
      </c>
      <c r="T1048">
        <f t="shared" si="80"/>
        <v>4.5454545454545497E-2</v>
      </c>
      <c r="U1048">
        <f t="shared" si="81"/>
        <v>0</v>
      </c>
      <c r="V1048" s="4" t="str">
        <f t="shared" si="82"/>
        <v>0</v>
      </c>
      <c r="W1048" s="4" t="str">
        <f t="shared" si="83"/>
        <v>7</v>
      </c>
      <c r="X1048" s="4" t="str">
        <f t="shared" si="84"/>
        <v>0NON-HS7</v>
      </c>
      <c r="Y1048">
        <f>VLOOKUP(X1048,Sheet1!$J$5:$K$121,2,FALSE)</f>
        <v>0</v>
      </c>
    </row>
    <row r="1049" spans="1:25" x14ac:dyDescent="0.25">
      <c r="A1049" s="8">
        <f>[1]Data!A1049</f>
        <v>554600</v>
      </c>
      <c r="B1049" s="8">
        <f>[1]Data!B1049</f>
        <v>7</v>
      </c>
      <c r="C1049" s="8">
        <f>[1]Data!C1049</f>
        <v>0</v>
      </c>
      <c r="D1049" s="8">
        <f>[1]Data!D1049</f>
        <v>4</v>
      </c>
      <c r="E1049" s="8" t="str">
        <f>[1]Data!E1049</f>
        <v>NON-HS</v>
      </c>
      <c r="F1049" s="8" t="str">
        <f>[1]Data!F1049</f>
        <v>Norwalk</v>
      </c>
      <c r="G1049" s="8">
        <f>[1]Data!G1049</f>
        <v>0</v>
      </c>
      <c r="H1049" s="8">
        <f>[1]Data!H1049</f>
        <v>0</v>
      </c>
      <c r="I1049" s="8">
        <f>[1]Data!I1049</f>
        <v>3</v>
      </c>
      <c r="J1049" s="8">
        <f>[1]Data!J1049</f>
        <v>0</v>
      </c>
      <c r="K1049" s="8">
        <f>[1]Data!K1049</f>
        <v>3</v>
      </c>
      <c r="L1049" s="8">
        <f>[1]Data!L1049</f>
        <v>0</v>
      </c>
      <c r="M1049" s="8">
        <f>[1]Data!M1049</f>
        <v>3</v>
      </c>
      <c r="N1049" s="8">
        <f>[1]Data!N1049</f>
        <v>4.5454545454545497E-2</v>
      </c>
      <c r="O1049" s="8">
        <f>[1]Data!O1049</f>
        <v>0</v>
      </c>
      <c r="P1049" s="8">
        <f>[1]Data!P1049</f>
        <v>1</v>
      </c>
      <c r="Q1049" s="8">
        <f>[1]Data!Q1049</f>
        <v>0</v>
      </c>
      <c r="R1049" s="8">
        <f>[1]Data!R1049</f>
        <v>0</v>
      </c>
      <c r="S1049" s="8">
        <f>[1]Data!S1049</f>
        <v>0</v>
      </c>
      <c r="T1049">
        <f t="shared" si="80"/>
        <v>4.5454545454545497E-2</v>
      </c>
      <c r="U1049">
        <f t="shared" si="81"/>
        <v>0</v>
      </c>
      <c r="V1049" s="4" t="str">
        <f t="shared" si="82"/>
        <v>0</v>
      </c>
      <c r="W1049" s="4" t="str">
        <f t="shared" si="83"/>
        <v>7</v>
      </c>
      <c r="X1049" s="4" t="str">
        <f t="shared" si="84"/>
        <v>0NON-HS7</v>
      </c>
      <c r="Y1049">
        <f>VLOOKUP(X1049,Sheet1!$J$5:$K$121,2,FALSE)</f>
        <v>0</v>
      </c>
    </row>
    <row r="1050" spans="1:25" x14ac:dyDescent="0.25">
      <c r="A1050" s="8">
        <f>[1]Data!A1050</f>
        <v>554802</v>
      </c>
      <c r="B1050" s="8">
        <f>[1]Data!B1050</f>
        <v>7</v>
      </c>
      <c r="C1050" s="8">
        <f>[1]Data!C1050</f>
        <v>0</v>
      </c>
      <c r="D1050" s="8">
        <f>[1]Data!D1050</f>
        <v>4</v>
      </c>
      <c r="E1050" s="8" t="str">
        <f>[1]Data!E1050</f>
        <v>NON-HS</v>
      </c>
      <c r="F1050" s="8" t="str">
        <f>[1]Data!F1050</f>
        <v>Artesia</v>
      </c>
      <c r="G1050" s="8">
        <f>[1]Data!G1050</f>
        <v>0</v>
      </c>
      <c r="H1050" s="8">
        <f>[1]Data!H1050</f>
        <v>0</v>
      </c>
      <c r="I1050" s="8">
        <f>[1]Data!I1050</f>
        <v>0</v>
      </c>
      <c r="J1050" s="8">
        <f>[1]Data!J1050</f>
        <v>0</v>
      </c>
      <c r="K1050" s="8">
        <f>[1]Data!K1050</f>
        <v>0</v>
      </c>
      <c r="L1050" s="8">
        <f>[1]Data!L1050</f>
        <v>0</v>
      </c>
      <c r="M1050" s="8">
        <f>[1]Data!M1050</f>
        <v>0</v>
      </c>
      <c r="N1050" s="8">
        <f>[1]Data!N1050</f>
        <v>4.5454545454545497E-2</v>
      </c>
      <c r="O1050" s="8">
        <f>[1]Data!O1050</f>
        <v>0</v>
      </c>
      <c r="P1050" s="8">
        <f>[1]Data!P1050</f>
        <v>1</v>
      </c>
      <c r="Q1050" s="8">
        <f>[1]Data!Q1050</f>
        <v>0</v>
      </c>
      <c r="R1050" s="8">
        <f>[1]Data!R1050</f>
        <v>0</v>
      </c>
      <c r="S1050" s="8">
        <f>[1]Data!S1050</f>
        <v>0</v>
      </c>
      <c r="T1050">
        <f t="shared" si="80"/>
        <v>4.5454545454545497E-2</v>
      </c>
      <c r="U1050">
        <f t="shared" si="81"/>
        <v>0</v>
      </c>
      <c r="V1050" s="4" t="str">
        <f t="shared" si="82"/>
        <v>0</v>
      </c>
      <c r="W1050" s="4" t="str">
        <f t="shared" si="83"/>
        <v>7</v>
      </c>
      <c r="X1050" s="4" t="str">
        <f t="shared" si="84"/>
        <v>0NON-HS7</v>
      </c>
      <c r="Y1050">
        <f>VLOOKUP(X1050,Sheet1!$J$5:$K$121,2,FALSE)</f>
        <v>0</v>
      </c>
    </row>
    <row r="1051" spans="1:25" x14ac:dyDescent="0.25">
      <c r="A1051" s="8">
        <f>[1]Data!A1051</f>
        <v>570001</v>
      </c>
      <c r="B1051" s="8">
        <f>[1]Data!B1051</f>
        <v>7</v>
      </c>
      <c r="C1051" s="8">
        <f>[1]Data!C1051</f>
        <v>0</v>
      </c>
      <c r="D1051" s="8">
        <f>[1]Data!D1051</f>
        <v>4</v>
      </c>
      <c r="E1051" s="8" t="str">
        <f>[1]Data!E1051</f>
        <v>NON-HS</v>
      </c>
      <c r="F1051" s="8" t="str">
        <f>[1]Data!F1051</f>
        <v>Lakewood</v>
      </c>
      <c r="G1051" s="8">
        <f>[1]Data!G1051</f>
        <v>0</v>
      </c>
      <c r="H1051" s="8">
        <f>[1]Data!H1051</f>
        <v>0</v>
      </c>
      <c r="I1051" s="8">
        <f>[1]Data!I1051</f>
        <v>0</v>
      </c>
      <c r="J1051" s="8">
        <f>[1]Data!J1051</f>
        <v>0</v>
      </c>
      <c r="K1051" s="8">
        <f>[1]Data!K1051</f>
        <v>0</v>
      </c>
      <c r="L1051" s="8">
        <f>[1]Data!L1051</f>
        <v>0</v>
      </c>
      <c r="M1051" s="8">
        <f>[1]Data!M1051</f>
        <v>0</v>
      </c>
      <c r="N1051" s="8">
        <f>[1]Data!N1051</f>
        <v>4.5454545454545497E-2</v>
      </c>
      <c r="O1051" s="8">
        <f>[1]Data!O1051</f>
        <v>0</v>
      </c>
      <c r="P1051" s="8">
        <f>[1]Data!P1051</f>
        <v>1</v>
      </c>
      <c r="Q1051" s="8">
        <f>[1]Data!Q1051</f>
        <v>0</v>
      </c>
      <c r="R1051" s="8">
        <f>[1]Data!R1051</f>
        <v>0</v>
      </c>
      <c r="S1051" s="8">
        <f>[1]Data!S1051</f>
        <v>0</v>
      </c>
      <c r="T1051">
        <f t="shared" si="80"/>
        <v>4.5454545454545497E-2</v>
      </c>
      <c r="U1051">
        <f t="shared" si="81"/>
        <v>0</v>
      </c>
      <c r="V1051" s="4" t="str">
        <f t="shared" si="82"/>
        <v>0</v>
      </c>
      <c r="W1051" s="4" t="str">
        <f t="shared" si="83"/>
        <v>7</v>
      </c>
      <c r="X1051" s="4" t="str">
        <f t="shared" si="84"/>
        <v>0NON-HS7</v>
      </c>
      <c r="Y1051">
        <f>VLOOKUP(X1051,Sheet1!$J$5:$K$121,2,FALSE)</f>
        <v>0</v>
      </c>
    </row>
    <row r="1052" spans="1:25" x14ac:dyDescent="0.25">
      <c r="A1052" s="8">
        <f>[1]Data!A1052</f>
        <v>570002</v>
      </c>
      <c r="B1052" s="8">
        <f>[1]Data!B1052</f>
        <v>7</v>
      </c>
      <c r="C1052" s="8">
        <f>[1]Data!C1052</f>
        <v>0</v>
      </c>
      <c r="D1052" s="8">
        <f>[1]Data!D1052</f>
        <v>4</v>
      </c>
      <c r="E1052" s="8" t="str">
        <f>[1]Data!E1052</f>
        <v>NON-HS</v>
      </c>
      <c r="F1052" s="8" t="str">
        <f>[1]Data!F1052</f>
        <v>Lakewood</v>
      </c>
      <c r="G1052" s="8">
        <f>[1]Data!G1052</f>
        <v>0</v>
      </c>
      <c r="H1052" s="8">
        <f>[1]Data!H1052</f>
        <v>0</v>
      </c>
      <c r="I1052" s="8">
        <f>[1]Data!I1052</f>
        <v>1.8080000000000001</v>
      </c>
      <c r="J1052" s="8">
        <f>[1]Data!J1052</f>
        <v>1.73313217</v>
      </c>
      <c r="K1052" s="8">
        <f>[1]Data!K1052</f>
        <v>1.73313217</v>
      </c>
      <c r="L1052" s="8">
        <f>[1]Data!L1052</f>
        <v>7.4985510287253102E-2</v>
      </c>
      <c r="M1052" s="8">
        <f>[1]Data!M1052</f>
        <v>1.8081176802872501</v>
      </c>
      <c r="N1052" s="8">
        <f>[1]Data!N1052</f>
        <v>4.5454545454545497E-2</v>
      </c>
      <c r="O1052" s="8">
        <f>[1]Data!O1052</f>
        <v>0</v>
      </c>
      <c r="P1052" s="8">
        <f>[1]Data!P1052</f>
        <v>1</v>
      </c>
      <c r="Q1052" s="8">
        <f>[1]Data!Q1052</f>
        <v>0</v>
      </c>
      <c r="R1052" s="8">
        <f>[1]Data!R1052</f>
        <v>0</v>
      </c>
      <c r="S1052" s="8">
        <f>[1]Data!S1052</f>
        <v>0</v>
      </c>
      <c r="T1052">
        <f t="shared" si="80"/>
        <v>4.5454545454545497E-2</v>
      </c>
      <c r="U1052">
        <f t="shared" si="81"/>
        <v>0</v>
      </c>
      <c r="V1052" s="4" t="str">
        <f t="shared" si="82"/>
        <v>0</v>
      </c>
      <c r="W1052" s="4" t="str">
        <f t="shared" si="83"/>
        <v>7</v>
      </c>
      <c r="X1052" s="4" t="str">
        <f t="shared" si="84"/>
        <v>0NON-HS7</v>
      </c>
      <c r="Y1052">
        <f>VLOOKUP(X1052,Sheet1!$J$5:$K$121,2,FALSE)</f>
        <v>0</v>
      </c>
    </row>
    <row r="1053" spans="1:25" x14ac:dyDescent="0.25">
      <c r="A1053" s="8">
        <f>[1]Data!A1053</f>
        <v>570003</v>
      </c>
      <c r="B1053" s="8">
        <f>[1]Data!B1053</f>
        <v>7</v>
      </c>
      <c r="C1053" s="8">
        <f>[1]Data!C1053</f>
        <v>0</v>
      </c>
      <c r="D1053" s="8">
        <f>[1]Data!D1053</f>
        <v>4</v>
      </c>
      <c r="E1053" s="8" t="str">
        <f>[1]Data!E1053</f>
        <v>NON-HS</v>
      </c>
      <c r="F1053" s="8" t="str">
        <f>[1]Data!F1053</f>
        <v>Lakewood</v>
      </c>
      <c r="G1053" s="8">
        <f>[1]Data!G1053</f>
        <v>0</v>
      </c>
      <c r="H1053" s="8">
        <f>[1]Data!H1053</f>
        <v>0</v>
      </c>
      <c r="I1053" s="8">
        <f>[1]Data!I1053</f>
        <v>5.2759999999999998</v>
      </c>
      <c r="J1053" s="8">
        <f>[1]Data!J1053</f>
        <v>4.8620928000000001</v>
      </c>
      <c r="K1053" s="8">
        <f>[1]Data!K1053</f>
        <v>4.8620928000000001</v>
      </c>
      <c r="L1053" s="8">
        <f>[1]Data!L1053</f>
        <v>0.414076613662478</v>
      </c>
      <c r="M1053" s="8">
        <f>[1]Data!M1053</f>
        <v>5.2761694136624797</v>
      </c>
      <c r="N1053" s="8">
        <f>[1]Data!N1053</f>
        <v>4.5454545454545497E-2</v>
      </c>
      <c r="O1053" s="8">
        <f>[1]Data!O1053</f>
        <v>0</v>
      </c>
      <c r="P1053" s="8">
        <f>[1]Data!P1053</f>
        <v>1</v>
      </c>
      <c r="Q1053" s="8">
        <f>[1]Data!Q1053</f>
        <v>0</v>
      </c>
      <c r="R1053" s="8">
        <f>[1]Data!R1053</f>
        <v>0</v>
      </c>
      <c r="S1053" s="8">
        <f>[1]Data!S1053</f>
        <v>0</v>
      </c>
      <c r="T1053">
        <f t="shared" si="80"/>
        <v>4.5454545454545497E-2</v>
      </c>
      <c r="U1053">
        <f t="shared" si="81"/>
        <v>0</v>
      </c>
      <c r="V1053" s="4" t="str">
        <f t="shared" si="82"/>
        <v>0</v>
      </c>
      <c r="W1053" s="4" t="str">
        <f t="shared" si="83"/>
        <v>7</v>
      </c>
      <c r="X1053" s="4" t="str">
        <f t="shared" si="84"/>
        <v>0NON-HS7</v>
      </c>
      <c r="Y1053">
        <f>VLOOKUP(X1053,Sheet1!$J$5:$K$121,2,FALSE)</f>
        <v>0</v>
      </c>
    </row>
    <row r="1054" spans="1:25" x14ac:dyDescent="0.25">
      <c r="A1054" s="8">
        <f>[1]Data!A1054</f>
        <v>570901</v>
      </c>
      <c r="B1054" s="8">
        <f>[1]Data!B1054</f>
        <v>7</v>
      </c>
      <c r="C1054" s="8">
        <f>[1]Data!C1054</f>
        <v>0</v>
      </c>
      <c r="D1054" s="8">
        <f>[1]Data!D1054</f>
        <v>4</v>
      </c>
      <c r="E1054" s="8" t="str">
        <f>[1]Data!E1054</f>
        <v>NON-HS</v>
      </c>
      <c r="F1054" s="8" t="str">
        <f>[1]Data!F1054</f>
        <v>Lakewood</v>
      </c>
      <c r="G1054" s="8">
        <f>[1]Data!G1054</f>
        <v>0</v>
      </c>
      <c r="H1054" s="8">
        <f>[1]Data!H1054</f>
        <v>0</v>
      </c>
      <c r="I1054" s="8">
        <f>[1]Data!I1054</f>
        <v>5.734</v>
      </c>
      <c r="J1054" s="8">
        <f>[1]Data!J1054</f>
        <v>3.63801211</v>
      </c>
      <c r="K1054" s="8">
        <f>[1]Data!K1054</f>
        <v>5.63801211</v>
      </c>
      <c r="L1054" s="8">
        <f>[1]Data!L1054</f>
        <v>9.5610832369838403E-2</v>
      </c>
      <c r="M1054" s="8">
        <f>[1]Data!M1054</f>
        <v>5.7336229423698404</v>
      </c>
      <c r="N1054" s="8">
        <f>[1]Data!N1054</f>
        <v>4.5454545454545497E-2</v>
      </c>
      <c r="O1054" s="8">
        <f>[1]Data!O1054</f>
        <v>0</v>
      </c>
      <c r="P1054" s="8">
        <f>[1]Data!P1054</f>
        <v>1</v>
      </c>
      <c r="Q1054" s="8">
        <f>[1]Data!Q1054</f>
        <v>0</v>
      </c>
      <c r="R1054" s="8">
        <f>[1]Data!R1054</f>
        <v>0</v>
      </c>
      <c r="S1054" s="8">
        <f>[1]Data!S1054</f>
        <v>0</v>
      </c>
      <c r="T1054">
        <f t="shared" si="80"/>
        <v>4.5454545454545497E-2</v>
      </c>
      <c r="U1054">
        <f t="shared" si="81"/>
        <v>0</v>
      </c>
      <c r="V1054" s="4" t="str">
        <f t="shared" si="82"/>
        <v>0</v>
      </c>
      <c r="W1054" s="4" t="str">
        <f t="shared" si="83"/>
        <v>7</v>
      </c>
      <c r="X1054" s="4" t="str">
        <f t="shared" si="84"/>
        <v>0NON-HS7</v>
      </c>
      <c r="Y1054">
        <f>VLOOKUP(X1054,Sheet1!$J$5:$K$121,2,FALSE)</f>
        <v>0</v>
      </c>
    </row>
    <row r="1055" spans="1:25" x14ac:dyDescent="0.25">
      <c r="A1055" s="8">
        <f>[1]Data!A1055</f>
        <v>570902</v>
      </c>
      <c r="B1055" s="8">
        <f>[1]Data!B1055</f>
        <v>7</v>
      </c>
      <c r="C1055" s="8">
        <f>[1]Data!C1055</f>
        <v>0</v>
      </c>
      <c r="D1055" s="8">
        <f>[1]Data!D1055</f>
        <v>4</v>
      </c>
      <c r="E1055" s="8" t="str">
        <f>[1]Data!E1055</f>
        <v>NON-HS</v>
      </c>
      <c r="F1055" s="8" t="str">
        <f>[1]Data!F1055</f>
        <v>Lakewood</v>
      </c>
      <c r="G1055" s="8">
        <f>[1]Data!G1055</f>
        <v>1</v>
      </c>
      <c r="H1055" s="8">
        <f>[1]Data!H1055</f>
        <v>1</v>
      </c>
      <c r="I1055" s="8">
        <f>[1]Data!I1055</f>
        <v>7.9889999999999999</v>
      </c>
      <c r="J1055" s="8">
        <f>[1]Data!J1055</f>
        <v>4.6115253100000002</v>
      </c>
      <c r="K1055" s="8">
        <f>[1]Data!K1055</f>
        <v>7.6115253100000002</v>
      </c>
      <c r="L1055" s="8">
        <f>[1]Data!L1055</f>
        <v>0.377889522567325</v>
      </c>
      <c r="M1055" s="8">
        <f>[1]Data!M1055</f>
        <v>7.9894148325673298</v>
      </c>
      <c r="N1055" s="8">
        <f>[1]Data!N1055</f>
        <v>4.5454545454545497E-2</v>
      </c>
      <c r="O1055" s="8">
        <f>[1]Data!O1055</f>
        <v>22</v>
      </c>
      <c r="P1055" s="8">
        <f>[1]Data!P1055</f>
        <v>1</v>
      </c>
      <c r="Q1055" s="8">
        <f>[1]Data!Q1055</f>
        <v>0</v>
      </c>
      <c r="R1055" s="8">
        <f>[1]Data!R1055</f>
        <v>0</v>
      </c>
      <c r="S1055" s="8">
        <f>[1]Data!S1055</f>
        <v>0</v>
      </c>
      <c r="T1055">
        <f t="shared" si="80"/>
        <v>4.5454545454545497E-2</v>
      </c>
      <c r="U1055">
        <f t="shared" si="81"/>
        <v>21.999999999999979</v>
      </c>
      <c r="V1055" s="4" t="str">
        <f t="shared" si="82"/>
        <v>0</v>
      </c>
      <c r="W1055" s="4" t="str">
        <f t="shared" si="83"/>
        <v>7</v>
      </c>
      <c r="X1055" s="4" t="str">
        <f t="shared" si="84"/>
        <v>0NON-HS7</v>
      </c>
      <c r="Y1055">
        <f>VLOOKUP(X1055,Sheet1!$J$5:$K$121,2,FALSE)</f>
        <v>0</v>
      </c>
    </row>
    <row r="1056" spans="1:25" x14ac:dyDescent="0.25">
      <c r="A1056" s="8">
        <f>[1]Data!A1056</f>
        <v>571300</v>
      </c>
      <c r="B1056" s="8">
        <f>[1]Data!B1056</f>
        <v>7</v>
      </c>
      <c r="C1056" s="8">
        <f>[1]Data!C1056</f>
        <v>0</v>
      </c>
      <c r="D1056" s="8">
        <f>[1]Data!D1056</f>
        <v>4</v>
      </c>
      <c r="E1056" s="8" t="str">
        <f>[1]Data!E1056</f>
        <v>NON-HS</v>
      </c>
      <c r="F1056" s="8" t="str">
        <f>[1]Data!F1056</f>
        <v>Lakewood</v>
      </c>
      <c r="G1056" s="8">
        <f>[1]Data!G1056</f>
        <v>0</v>
      </c>
      <c r="H1056" s="8">
        <f>[1]Data!H1056</f>
        <v>0</v>
      </c>
      <c r="I1056" s="8">
        <f>[1]Data!I1056</f>
        <v>0</v>
      </c>
      <c r="J1056" s="8">
        <f>[1]Data!J1056</f>
        <v>0</v>
      </c>
      <c r="K1056" s="8">
        <f>[1]Data!K1056</f>
        <v>0</v>
      </c>
      <c r="L1056" s="8">
        <f>[1]Data!L1056</f>
        <v>0</v>
      </c>
      <c r="M1056" s="8">
        <f>[1]Data!M1056</f>
        <v>0</v>
      </c>
      <c r="N1056" s="8">
        <f>[1]Data!N1056</f>
        <v>4.5454545454545497E-2</v>
      </c>
      <c r="O1056" s="8">
        <f>[1]Data!O1056</f>
        <v>0</v>
      </c>
      <c r="P1056" s="8">
        <f>[1]Data!P1056</f>
        <v>1</v>
      </c>
      <c r="Q1056" s="8">
        <f>[1]Data!Q1056</f>
        <v>0</v>
      </c>
      <c r="R1056" s="8">
        <f>[1]Data!R1056</f>
        <v>0</v>
      </c>
      <c r="S1056" s="8">
        <f>[1]Data!S1056</f>
        <v>0</v>
      </c>
      <c r="T1056">
        <f t="shared" si="80"/>
        <v>4.5454545454545497E-2</v>
      </c>
      <c r="U1056">
        <f t="shared" si="81"/>
        <v>0</v>
      </c>
      <c r="V1056" s="4" t="str">
        <f t="shared" si="82"/>
        <v>0</v>
      </c>
      <c r="W1056" s="4" t="str">
        <f t="shared" si="83"/>
        <v>7</v>
      </c>
      <c r="X1056" s="4" t="str">
        <f t="shared" si="84"/>
        <v>0NON-HS7</v>
      </c>
      <c r="Y1056">
        <f>VLOOKUP(X1056,Sheet1!$J$5:$K$121,2,FALSE)</f>
        <v>0</v>
      </c>
    </row>
    <row r="1057" spans="1:25" x14ac:dyDescent="0.25">
      <c r="A1057" s="8">
        <f>[1]Data!A1057</f>
        <v>573401</v>
      </c>
      <c r="B1057" s="8">
        <f>[1]Data!B1057</f>
        <v>7</v>
      </c>
      <c r="C1057" s="8">
        <f>[1]Data!C1057</f>
        <v>0</v>
      </c>
      <c r="D1057" s="8">
        <f>[1]Data!D1057</f>
        <v>4</v>
      </c>
      <c r="E1057" s="8" t="str">
        <f>[1]Data!E1057</f>
        <v>NON-HS</v>
      </c>
      <c r="F1057" s="8" t="str">
        <f>[1]Data!F1057</f>
        <v>Signal Hill</v>
      </c>
      <c r="G1057" s="8">
        <f>[1]Data!G1057</f>
        <v>0</v>
      </c>
      <c r="H1057" s="8">
        <f>[1]Data!H1057</f>
        <v>0</v>
      </c>
      <c r="I1057" s="8">
        <f>[1]Data!I1057</f>
        <v>8.9410000000000007</v>
      </c>
      <c r="J1057" s="8">
        <f>[1]Data!J1057</f>
        <v>8.5434730200000004</v>
      </c>
      <c r="K1057" s="8">
        <f>[1]Data!K1057</f>
        <v>8.5434730200000004</v>
      </c>
      <c r="L1057" s="8">
        <f>[1]Data!L1057</f>
        <v>0.39703385908438099</v>
      </c>
      <c r="M1057" s="8">
        <f>[1]Data!M1057</f>
        <v>8.9405068790843796</v>
      </c>
      <c r="N1057" s="8">
        <f>[1]Data!N1057</f>
        <v>4.5454545454545497E-2</v>
      </c>
      <c r="O1057" s="8">
        <f>[1]Data!O1057</f>
        <v>0</v>
      </c>
      <c r="P1057" s="8">
        <f>[1]Data!P1057</f>
        <v>1</v>
      </c>
      <c r="Q1057" s="8">
        <f>[1]Data!Q1057</f>
        <v>0</v>
      </c>
      <c r="R1057" s="8">
        <f>[1]Data!R1057</f>
        <v>0</v>
      </c>
      <c r="S1057" s="8">
        <f>[1]Data!S1057</f>
        <v>0</v>
      </c>
      <c r="T1057">
        <f t="shared" si="80"/>
        <v>4.5454545454545497E-2</v>
      </c>
      <c r="U1057">
        <f t="shared" si="81"/>
        <v>0</v>
      </c>
      <c r="V1057" s="4" t="str">
        <f t="shared" si="82"/>
        <v>0</v>
      </c>
      <c r="W1057" s="4" t="str">
        <f t="shared" si="83"/>
        <v>7</v>
      </c>
      <c r="X1057" s="4" t="str">
        <f t="shared" si="84"/>
        <v>0NON-HS7</v>
      </c>
      <c r="Y1057">
        <f>VLOOKUP(X1057,Sheet1!$J$5:$K$121,2,FALSE)</f>
        <v>0</v>
      </c>
    </row>
    <row r="1058" spans="1:25" x14ac:dyDescent="0.25">
      <c r="A1058" s="8">
        <f>[1]Data!A1058</f>
        <v>573402</v>
      </c>
      <c r="B1058" s="8">
        <f>[1]Data!B1058</f>
        <v>7</v>
      </c>
      <c r="C1058" s="8">
        <f>[1]Data!C1058</f>
        <v>0</v>
      </c>
      <c r="D1058" s="8">
        <f>[1]Data!D1058</f>
        <v>4</v>
      </c>
      <c r="E1058" s="8" t="str">
        <f>[1]Data!E1058</f>
        <v>NON-HS</v>
      </c>
      <c r="F1058" s="8" t="str">
        <f>[1]Data!F1058</f>
        <v>Signal Hill</v>
      </c>
      <c r="G1058" s="8">
        <f>[1]Data!G1058</f>
        <v>0</v>
      </c>
      <c r="H1058" s="8">
        <f>[1]Data!H1058</f>
        <v>0</v>
      </c>
      <c r="I1058" s="8">
        <f>[1]Data!I1058</f>
        <v>7.19</v>
      </c>
      <c r="J1058" s="8">
        <f>[1]Data!J1058</f>
        <v>3.9673993200000002</v>
      </c>
      <c r="K1058" s="8">
        <f>[1]Data!K1058</f>
        <v>6.9673993200000002</v>
      </c>
      <c r="L1058" s="8">
        <f>[1]Data!L1058</f>
        <v>0.22234520276481101</v>
      </c>
      <c r="M1058" s="8">
        <f>[1]Data!M1058</f>
        <v>7.1897445227648102</v>
      </c>
      <c r="N1058" s="8">
        <f>[1]Data!N1058</f>
        <v>4.5454545454545497E-2</v>
      </c>
      <c r="O1058" s="8">
        <f>[1]Data!O1058</f>
        <v>0</v>
      </c>
      <c r="P1058" s="8">
        <f>[1]Data!P1058</f>
        <v>1</v>
      </c>
      <c r="Q1058" s="8">
        <f>[1]Data!Q1058</f>
        <v>0</v>
      </c>
      <c r="R1058" s="8">
        <f>[1]Data!R1058</f>
        <v>0</v>
      </c>
      <c r="S1058" s="8">
        <f>[1]Data!S1058</f>
        <v>0</v>
      </c>
      <c r="T1058">
        <f t="shared" si="80"/>
        <v>4.5454545454545497E-2</v>
      </c>
      <c r="U1058">
        <f t="shared" si="81"/>
        <v>0</v>
      </c>
      <c r="V1058" s="4" t="str">
        <f t="shared" si="82"/>
        <v>0</v>
      </c>
      <c r="W1058" s="4" t="str">
        <f t="shared" si="83"/>
        <v>7</v>
      </c>
      <c r="X1058" s="4" t="str">
        <f t="shared" si="84"/>
        <v>0NON-HS7</v>
      </c>
      <c r="Y1058">
        <f>VLOOKUP(X1058,Sheet1!$J$5:$K$121,2,FALSE)</f>
        <v>0</v>
      </c>
    </row>
    <row r="1059" spans="1:25" x14ac:dyDescent="0.25">
      <c r="A1059" s="8">
        <f>[1]Data!A1059</f>
        <v>980025</v>
      </c>
      <c r="B1059" s="8">
        <f>[1]Data!B1059</f>
        <v>8</v>
      </c>
      <c r="C1059" s="8">
        <f>[1]Data!C1059</f>
        <v>0</v>
      </c>
      <c r="D1059" s="8">
        <f>[1]Data!D1059</f>
        <v>2</v>
      </c>
      <c r="E1059" s="8" t="str">
        <f>[1]Data!E1059</f>
        <v>NON-HS</v>
      </c>
      <c r="F1059" s="8" t="str">
        <f>[1]Data!F1059</f>
        <v>Carson</v>
      </c>
      <c r="G1059" s="8">
        <f>[1]Data!G1059</f>
        <v>0</v>
      </c>
      <c r="H1059" s="8">
        <f>[1]Data!H1059</f>
        <v>0</v>
      </c>
      <c r="I1059" s="8">
        <f>[1]Data!I1059</f>
        <v>7.5890000000000004</v>
      </c>
      <c r="J1059" s="8">
        <f>[1]Data!J1059</f>
        <v>7.1397280600000004</v>
      </c>
      <c r="K1059" s="8">
        <f>[1]Data!K1059</f>
        <v>7.1397280600000004</v>
      </c>
      <c r="L1059" s="8">
        <f>[1]Data!L1059</f>
        <v>0.448782719192101</v>
      </c>
      <c r="M1059" s="8">
        <f>[1]Data!M1059</f>
        <v>7.5885107791920996</v>
      </c>
      <c r="N1059" s="8">
        <f>[1]Data!N1059</f>
        <v>3.3333333333333298E-2</v>
      </c>
      <c r="O1059" s="8">
        <f>[1]Data!O1059</f>
        <v>0</v>
      </c>
      <c r="P1059" s="8">
        <f>[1]Data!P1059</f>
        <v>0.82499999999999996</v>
      </c>
      <c r="Q1059" s="8">
        <f>[1]Data!Q1059</f>
        <v>0</v>
      </c>
      <c r="R1059" s="8">
        <f>[1]Data!R1059</f>
        <v>0</v>
      </c>
      <c r="S1059" s="8">
        <f>[1]Data!S1059</f>
        <v>0</v>
      </c>
      <c r="T1059">
        <f t="shared" si="80"/>
        <v>3.3333333333333298E-2</v>
      </c>
      <c r="U1059">
        <f t="shared" si="81"/>
        <v>0</v>
      </c>
      <c r="V1059" s="4" t="str">
        <f t="shared" si="82"/>
        <v>0</v>
      </c>
      <c r="W1059" s="4" t="str">
        <f t="shared" si="83"/>
        <v>8</v>
      </c>
      <c r="X1059" s="4" t="str">
        <f t="shared" si="84"/>
        <v>0NON-HS8</v>
      </c>
      <c r="Y1059">
        <f>VLOOKUP(X1059,Sheet1!$J$5:$K$121,2,FALSE)</f>
        <v>0</v>
      </c>
    </row>
    <row r="1060" spans="1:25" x14ac:dyDescent="0.25">
      <c r="A1060" s="8">
        <f>[1]Data!A1060</f>
        <v>600703</v>
      </c>
      <c r="B1060" s="8">
        <f>[1]Data!B1060</f>
        <v>8</v>
      </c>
      <c r="C1060" s="8">
        <f>[1]Data!C1060</f>
        <v>0</v>
      </c>
      <c r="D1060" s="8">
        <f>[1]Data!D1060</f>
        <v>2</v>
      </c>
      <c r="E1060" s="8" t="str">
        <f>[1]Data!E1060</f>
        <v>NON-HS</v>
      </c>
      <c r="F1060" s="8" t="str">
        <f>[1]Data!F1060</f>
        <v>Inglewood</v>
      </c>
      <c r="G1060" s="8">
        <f>[1]Data!G1060</f>
        <v>0</v>
      </c>
      <c r="H1060" s="8">
        <f>[1]Data!H1060</f>
        <v>0</v>
      </c>
      <c r="I1060" s="8">
        <f>[1]Data!I1060</f>
        <v>0</v>
      </c>
      <c r="J1060" s="8">
        <f>[1]Data!J1060</f>
        <v>0</v>
      </c>
      <c r="K1060" s="8">
        <f>[1]Data!K1060</f>
        <v>0</v>
      </c>
      <c r="L1060" s="8">
        <f>[1]Data!L1060</f>
        <v>0</v>
      </c>
      <c r="M1060" s="8">
        <f>[1]Data!M1060</f>
        <v>0</v>
      </c>
      <c r="N1060" s="8">
        <f>[1]Data!N1060</f>
        <v>3.3333333333333298E-2</v>
      </c>
      <c r="O1060" s="8">
        <f>[1]Data!O1060</f>
        <v>0</v>
      </c>
      <c r="P1060" s="8">
        <f>[1]Data!P1060</f>
        <v>0.82499999999999996</v>
      </c>
      <c r="Q1060" s="8">
        <f>[1]Data!Q1060</f>
        <v>0</v>
      </c>
      <c r="R1060" s="8">
        <f>[1]Data!R1060</f>
        <v>0</v>
      </c>
      <c r="S1060" s="8">
        <f>[1]Data!S1060</f>
        <v>0</v>
      </c>
      <c r="T1060">
        <f t="shared" si="80"/>
        <v>3.3333333333333298E-2</v>
      </c>
      <c r="U1060">
        <f t="shared" si="81"/>
        <v>0</v>
      </c>
      <c r="V1060" s="4" t="str">
        <f t="shared" si="82"/>
        <v>0</v>
      </c>
      <c r="W1060" s="4" t="str">
        <f t="shared" si="83"/>
        <v>8</v>
      </c>
      <c r="X1060" s="4" t="str">
        <f t="shared" si="84"/>
        <v>0NON-HS8</v>
      </c>
      <c r="Y1060">
        <f>VLOOKUP(X1060,Sheet1!$J$5:$K$121,2,FALSE)</f>
        <v>0</v>
      </c>
    </row>
    <row r="1061" spans="1:25" x14ac:dyDescent="0.25">
      <c r="A1061" s="8">
        <f>[1]Data!A1061</f>
        <v>603900</v>
      </c>
      <c r="B1061" s="8">
        <f>[1]Data!B1061</f>
        <v>8</v>
      </c>
      <c r="C1061" s="8">
        <f>[1]Data!C1061</f>
        <v>0</v>
      </c>
      <c r="D1061" s="8">
        <f>[1]Data!D1061</f>
        <v>2</v>
      </c>
      <c r="E1061" s="8" t="str">
        <f>[1]Data!E1061</f>
        <v>NON-HS</v>
      </c>
      <c r="F1061" s="8" t="str">
        <f>[1]Data!F1061</f>
        <v>Lawndale</v>
      </c>
      <c r="G1061" s="8">
        <f>[1]Data!G1061</f>
        <v>0</v>
      </c>
      <c r="H1061" s="8">
        <f>[1]Data!H1061</f>
        <v>0</v>
      </c>
      <c r="I1061" s="8">
        <f>[1]Data!I1061</f>
        <v>9.2850000000000001</v>
      </c>
      <c r="J1061" s="8">
        <f>[1]Data!J1061</f>
        <v>5.9510989800000003</v>
      </c>
      <c r="K1061" s="8">
        <f>[1]Data!K1061</f>
        <v>8.9510989799999994</v>
      </c>
      <c r="L1061" s="8">
        <f>[1]Data!L1061</f>
        <v>0.33351780414721699</v>
      </c>
      <c r="M1061" s="8">
        <f>[1]Data!M1061</f>
        <v>9.2846167841472198</v>
      </c>
      <c r="N1061" s="8">
        <f>[1]Data!N1061</f>
        <v>3.3333333333333298E-2</v>
      </c>
      <c r="O1061" s="8">
        <f>[1]Data!O1061</f>
        <v>0</v>
      </c>
      <c r="P1061" s="8">
        <f>[1]Data!P1061</f>
        <v>0.82499999999999996</v>
      </c>
      <c r="Q1061" s="8">
        <f>[1]Data!Q1061</f>
        <v>0</v>
      </c>
      <c r="R1061" s="8">
        <f>[1]Data!R1061</f>
        <v>0</v>
      </c>
      <c r="S1061" s="8">
        <f>[1]Data!S1061</f>
        <v>0</v>
      </c>
      <c r="T1061">
        <f t="shared" si="80"/>
        <v>3.3333333333333298E-2</v>
      </c>
      <c r="U1061">
        <f t="shared" si="81"/>
        <v>0</v>
      </c>
      <c r="V1061" s="4" t="str">
        <f t="shared" si="82"/>
        <v>0</v>
      </c>
      <c r="W1061" s="4" t="str">
        <f t="shared" si="83"/>
        <v>8</v>
      </c>
      <c r="X1061" s="4" t="str">
        <f t="shared" si="84"/>
        <v>0NON-HS8</v>
      </c>
      <c r="Y1061">
        <f>VLOOKUP(X1061,Sheet1!$J$5:$K$121,2,FALSE)</f>
        <v>0</v>
      </c>
    </row>
    <row r="1062" spans="1:25" x14ac:dyDescent="0.25">
      <c r="A1062" s="8">
        <f>[1]Data!A1062</f>
        <v>602509</v>
      </c>
      <c r="B1062" s="8">
        <f>[1]Data!B1062</f>
        <v>8</v>
      </c>
      <c r="C1062" s="8">
        <f>[1]Data!C1062</f>
        <v>0</v>
      </c>
      <c r="D1062" s="8">
        <f>[1]Data!D1062</f>
        <v>2</v>
      </c>
      <c r="E1062" s="8" t="str">
        <f>[1]Data!E1062</f>
        <v>NON-HS</v>
      </c>
      <c r="F1062" s="8" t="str">
        <f>[1]Data!F1062</f>
        <v>Hawthorne</v>
      </c>
      <c r="G1062" s="8">
        <f>[1]Data!G1062</f>
        <v>0</v>
      </c>
      <c r="H1062" s="8">
        <f>[1]Data!H1062</f>
        <v>0</v>
      </c>
      <c r="I1062" s="8">
        <f>[1]Data!I1062</f>
        <v>3.0950000000000002</v>
      </c>
      <c r="J1062" s="8">
        <f>[1]Data!J1062</f>
        <v>1.9836996600000001</v>
      </c>
      <c r="K1062" s="8">
        <f>[1]Data!K1062</f>
        <v>2.9836996600000001</v>
      </c>
      <c r="L1062" s="8">
        <f>[1]Data!L1062</f>
        <v>0.11117260138240601</v>
      </c>
      <c r="M1062" s="8">
        <f>[1]Data!M1062</f>
        <v>3.09487226138241</v>
      </c>
      <c r="N1062" s="8">
        <f>[1]Data!N1062</f>
        <v>3.3333333333333298E-2</v>
      </c>
      <c r="O1062" s="8">
        <f>[1]Data!O1062</f>
        <v>0</v>
      </c>
      <c r="P1062" s="8">
        <f>[1]Data!P1062</f>
        <v>0.82499999999999996</v>
      </c>
      <c r="Q1062" s="8">
        <f>[1]Data!Q1062</f>
        <v>0</v>
      </c>
      <c r="R1062" s="8">
        <f>[1]Data!R1062</f>
        <v>0</v>
      </c>
      <c r="S1062" s="8">
        <f>[1]Data!S1062</f>
        <v>0</v>
      </c>
      <c r="T1062">
        <f t="shared" si="80"/>
        <v>3.3333333333333298E-2</v>
      </c>
      <c r="U1062">
        <f t="shared" si="81"/>
        <v>0</v>
      </c>
      <c r="V1062" s="4" t="str">
        <f t="shared" si="82"/>
        <v>0</v>
      </c>
      <c r="W1062" s="4" t="str">
        <f t="shared" si="83"/>
        <v>8</v>
      </c>
      <c r="X1062" s="4" t="str">
        <f t="shared" si="84"/>
        <v>0NON-HS8</v>
      </c>
      <c r="Y1062">
        <f>VLOOKUP(X1062,Sheet1!$J$5:$K$121,2,FALSE)</f>
        <v>0</v>
      </c>
    </row>
    <row r="1063" spans="1:25" x14ac:dyDescent="0.25">
      <c r="A1063" s="8">
        <f>[1]Data!A1063</f>
        <v>603200</v>
      </c>
      <c r="B1063" s="8">
        <f>[1]Data!B1063</f>
        <v>8</v>
      </c>
      <c r="C1063" s="8">
        <f>[1]Data!C1063</f>
        <v>0</v>
      </c>
      <c r="D1063" s="8">
        <f>[1]Data!D1063</f>
        <v>2</v>
      </c>
      <c r="E1063" s="8" t="str">
        <f>[1]Data!E1063</f>
        <v>NON-HS</v>
      </c>
      <c r="F1063" s="8" t="str">
        <f>[1]Data!F1063</f>
        <v>Gardena</v>
      </c>
      <c r="G1063" s="8">
        <f>[1]Data!G1063</f>
        <v>0</v>
      </c>
      <c r="H1063" s="8">
        <f>[1]Data!H1063</f>
        <v>0</v>
      </c>
      <c r="I1063" s="8">
        <f>[1]Data!I1063</f>
        <v>0</v>
      </c>
      <c r="J1063" s="8">
        <f>[1]Data!J1063</f>
        <v>0</v>
      </c>
      <c r="K1063" s="8">
        <f>[1]Data!K1063</f>
        <v>0</v>
      </c>
      <c r="L1063" s="8">
        <f>[1]Data!L1063</f>
        <v>0</v>
      </c>
      <c r="M1063" s="8">
        <f>[1]Data!M1063</f>
        <v>0</v>
      </c>
      <c r="N1063" s="8">
        <f>[1]Data!N1063</f>
        <v>3.3333333333333298E-2</v>
      </c>
      <c r="O1063" s="8">
        <f>[1]Data!O1063</f>
        <v>0</v>
      </c>
      <c r="P1063" s="8">
        <f>[1]Data!P1063</f>
        <v>0.82499999999999996</v>
      </c>
      <c r="Q1063" s="8">
        <f>[1]Data!Q1063</f>
        <v>0</v>
      </c>
      <c r="R1063" s="8">
        <f>[1]Data!R1063</f>
        <v>0</v>
      </c>
      <c r="S1063" s="8">
        <f>[1]Data!S1063</f>
        <v>0</v>
      </c>
      <c r="T1063">
        <f t="shared" si="80"/>
        <v>3.3333333333333298E-2</v>
      </c>
      <c r="U1063">
        <f t="shared" si="81"/>
        <v>0</v>
      </c>
      <c r="V1063" s="4" t="str">
        <f t="shared" si="82"/>
        <v>0</v>
      </c>
      <c r="W1063" s="4" t="str">
        <f t="shared" si="83"/>
        <v>8</v>
      </c>
      <c r="X1063" s="4" t="str">
        <f t="shared" si="84"/>
        <v>0NON-HS8</v>
      </c>
      <c r="Y1063">
        <f>VLOOKUP(X1063,Sheet1!$J$5:$K$121,2,FALSE)</f>
        <v>0</v>
      </c>
    </row>
    <row r="1064" spans="1:25" x14ac:dyDescent="0.25">
      <c r="A1064" s="8">
        <f>[1]Data!A1064</f>
        <v>620201</v>
      </c>
      <c r="B1064" s="8">
        <f>[1]Data!B1064</f>
        <v>8</v>
      </c>
      <c r="C1064" s="8">
        <f>[1]Data!C1064</f>
        <v>0</v>
      </c>
      <c r="D1064" s="8">
        <f>[1]Data!D1064</f>
        <v>4</v>
      </c>
      <c r="E1064" s="8" t="str">
        <f>[1]Data!E1064</f>
        <v>NON-HS</v>
      </c>
      <c r="F1064" s="8" t="str">
        <f>[1]Data!F1064</f>
        <v>Manhattan Beach</v>
      </c>
      <c r="G1064" s="8">
        <f>[1]Data!G1064</f>
        <v>0</v>
      </c>
      <c r="H1064" s="8">
        <f>[1]Data!H1064</f>
        <v>0</v>
      </c>
      <c r="I1064" s="8">
        <f>[1]Data!I1064</f>
        <v>0</v>
      </c>
      <c r="J1064" s="8">
        <f>[1]Data!J1064</f>
        <v>0</v>
      </c>
      <c r="K1064" s="8">
        <f>[1]Data!K1064</f>
        <v>0</v>
      </c>
      <c r="L1064" s="8">
        <f>[1]Data!L1064</f>
        <v>0</v>
      </c>
      <c r="M1064" s="8">
        <f>[1]Data!M1064</f>
        <v>0</v>
      </c>
      <c r="N1064" s="8">
        <f>[1]Data!N1064</f>
        <v>3.3333333333333298E-2</v>
      </c>
      <c r="O1064" s="8">
        <f>[1]Data!O1064</f>
        <v>0</v>
      </c>
      <c r="P1064" s="8">
        <f>[1]Data!P1064</f>
        <v>0.82499999999999996</v>
      </c>
      <c r="Q1064" s="8">
        <f>[1]Data!Q1064</f>
        <v>0</v>
      </c>
      <c r="R1064" s="8">
        <f>[1]Data!R1064</f>
        <v>0</v>
      </c>
      <c r="S1064" s="8">
        <f>[1]Data!S1064</f>
        <v>0</v>
      </c>
      <c r="T1064">
        <f t="shared" si="80"/>
        <v>3.3333333333333298E-2</v>
      </c>
      <c r="U1064">
        <f t="shared" si="81"/>
        <v>0</v>
      </c>
      <c r="V1064" s="4" t="str">
        <f t="shared" si="82"/>
        <v>0</v>
      </c>
      <c r="W1064" s="4" t="str">
        <f t="shared" si="83"/>
        <v>8</v>
      </c>
      <c r="X1064" s="4" t="str">
        <f t="shared" si="84"/>
        <v>0NON-HS8</v>
      </c>
      <c r="Y1064">
        <f>VLOOKUP(X1064,Sheet1!$J$5:$K$121,2,FALSE)</f>
        <v>0</v>
      </c>
    </row>
    <row r="1065" spans="1:25" x14ac:dyDescent="0.25">
      <c r="A1065" s="8">
        <f>[1]Data!A1065</f>
        <v>980005</v>
      </c>
      <c r="B1065" s="8">
        <f>[1]Data!B1065</f>
        <v>8</v>
      </c>
      <c r="C1065" s="8">
        <f>[1]Data!C1065</f>
        <v>0</v>
      </c>
      <c r="D1065" s="8">
        <f>[1]Data!D1065</f>
        <v>4</v>
      </c>
      <c r="E1065" s="8" t="str">
        <f>[1]Data!E1065</f>
        <v>NON-HS</v>
      </c>
      <c r="F1065" s="8" t="str">
        <f>[1]Data!F1065</f>
        <v>Torrance</v>
      </c>
      <c r="G1065" s="8">
        <f>[1]Data!G1065</f>
        <v>0</v>
      </c>
      <c r="H1065" s="8">
        <f>[1]Data!H1065</f>
        <v>0</v>
      </c>
      <c r="I1065" s="8">
        <f>[1]Data!I1065</f>
        <v>9.1080000000000005</v>
      </c>
      <c r="J1065" s="8">
        <f>[1]Data!J1065</f>
        <v>5.0438748599999998</v>
      </c>
      <c r="K1065" s="8">
        <f>[1]Data!K1065</f>
        <v>9.0438748600000007</v>
      </c>
      <c r="L1065" s="8">
        <f>[1]Data!L1065</f>
        <v>6.4475795278276501E-2</v>
      </c>
      <c r="M1065" s="8">
        <f>[1]Data!M1065</f>
        <v>9.1083506552782794</v>
      </c>
      <c r="N1065" s="8">
        <f>[1]Data!N1065</f>
        <v>3.3333333333333298E-2</v>
      </c>
      <c r="O1065" s="8">
        <f>[1]Data!O1065</f>
        <v>0</v>
      </c>
      <c r="P1065" s="8">
        <f>[1]Data!P1065</f>
        <v>0.82499999999999996</v>
      </c>
      <c r="Q1065" s="8">
        <f>[1]Data!Q1065</f>
        <v>0</v>
      </c>
      <c r="R1065" s="8">
        <f>[1]Data!R1065</f>
        <v>0</v>
      </c>
      <c r="S1065" s="8">
        <f>[1]Data!S1065</f>
        <v>0</v>
      </c>
      <c r="T1065">
        <f t="shared" si="80"/>
        <v>3.3333333333333298E-2</v>
      </c>
      <c r="U1065">
        <f t="shared" si="81"/>
        <v>0</v>
      </c>
      <c r="V1065" s="4" t="str">
        <f t="shared" si="82"/>
        <v>0</v>
      </c>
      <c r="W1065" s="4" t="str">
        <f t="shared" si="83"/>
        <v>8</v>
      </c>
      <c r="X1065" s="4" t="str">
        <f t="shared" si="84"/>
        <v>0NON-HS8</v>
      </c>
      <c r="Y1065">
        <f>VLOOKUP(X1065,Sheet1!$J$5:$K$121,2,FALSE)</f>
        <v>0</v>
      </c>
    </row>
    <row r="1066" spans="1:25" x14ac:dyDescent="0.25">
      <c r="A1066" s="8">
        <f>[1]Data!A1066</f>
        <v>670407</v>
      </c>
      <c r="B1066" s="8">
        <f>[1]Data!B1066</f>
        <v>8</v>
      </c>
      <c r="C1066" s="8">
        <f>[1]Data!C1066</f>
        <v>0</v>
      </c>
      <c r="D1066" s="8">
        <f>[1]Data!D1066</f>
        <v>4</v>
      </c>
      <c r="E1066" s="8" t="str">
        <f>[1]Data!E1066</f>
        <v>NON-HS</v>
      </c>
      <c r="F1066" s="8" t="str">
        <f>[1]Data!F1066</f>
        <v>Rancho Palos Verdes</v>
      </c>
      <c r="G1066" s="8">
        <f>[1]Data!G1066</f>
        <v>0</v>
      </c>
      <c r="H1066" s="8">
        <f>[1]Data!H1066</f>
        <v>0</v>
      </c>
      <c r="I1066" s="8">
        <f>[1]Data!I1066</f>
        <v>0</v>
      </c>
      <c r="J1066" s="8">
        <f>[1]Data!J1066</f>
        <v>0</v>
      </c>
      <c r="K1066" s="8">
        <f>[1]Data!K1066</f>
        <v>0</v>
      </c>
      <c r="L1066" s="8">
        <f>[1]Data!L1066</f>
        <v>0</v>
      </c>
      <c r="M1066" s="8">
        <f>[1]Data!M1066</f>
        <v>0</v>
      </c>
      <c r="N1066" s="8">
        <f>[1]Data!N1066</f>
        <v>3.3333333333333298E-2</v>
      </c>
      <c r="O1066" s="8">
        <f>[1]Data!O1066</f>
        <v>0</v>
      </c>
      <c r="P1066" s="8">
        <f>[1]Data!P1066</f>
        <v>0.82499999999999996</v>
      </c>
      <c r="Q1066" s="8">
        <f>[1]Data!Q1066</f>
        <v>0</v>
      </c>
      <c r="R1066" s="8">
        <f>[1]Data!R1066</f>
        <v>0</v>
      </c>
      <c r="S1066" s="8">
        <f>[1]Data!S1066</f>
        <v>0</v>
      </c>
      <c r="T1066">
        <f t="shared" si="80"/>
        <v>3.3333333333333298E-2</v>
      </c>
      <c r="U1066">
        <f t="shared" si="81"/>
        <v>0</v>
      </c>
      <c r="V1066" s="4" t="str">
        <f t="shared" si="82"/>
        <v>0</v>
      </c>
      <c r="W1066" s="4" t="str">
        <f t="shared" si="83"/>
        <v>8</v>
      </c>
      <c r="X1066" s="4" t="str">
        <f t="shared" si="84"/>
        <v>0NON-HS8</v>
      </c>
      <c r="Y1066">
        <f>VLOOKUP(X1066,Sheet1!$J$5:$K$121,2,FALSE)</f>
        <v>0</v>
      </c>
    </row>
    <row r="1067" spans="1:25" x14ac:dyDescent="0.25">
      <c r="A1067" s="8">
        <f>[1]Data!A1067</f>
        <v>980030</v>
      </c>
      <c r="B1067" s="8">
        <f>[1]Data!B1067</f>
        <v>8</v>
      </c>
      <c r="C1067" s="8">
        <f>[1]Data!C1067</f>
        <v>0</v>
      </c>
      <c r="D1067" s="8">
        <f>[1]Data!D1067</f>
        <v>4</v>
      </c>
      <c r="E1067" s="8" t="str">
        <f>[1]Data!E1067</f>
        <v>NON-HS</v>
      </c>
      <c r="F1067" s="8" t="str">
        <f>[1]Data!F1067</f>
        <v>El Segundo</v>
      </c>
      <c r="G1067" s="8">
        <f>[1]Data!G1067</f>
        <v>0</v>
      </c>
      <c r="H1067" s="8">
        <f>[1]Data!H1067</f>
        <v>0</v>
      </c>
      <c r="I1067" s="8">
        <f>[1]Data!I1067</f>
        <v>1.7030000000000001</v>
      </c>
      <c r="J1067" s="8">
        <f>[1]Data!J1067</f>
        <v>1.6812916200000001</v>
      </c>
      <c r="K1067" s="8">
        <f>[1]Data!K1067</f>
        <v>1.6812916200000001</v>
      </c>
      <c r="L1067" s="8">
        <f>[1]Data!L1067</f>
        <v>2.14919317594255E-2</v>
      </c>
      <c r="M1067" s="8">
        <f>[1]Data!M1067</f>
        <v>1.7027835517594301</v>
      </c>
      <c r="N1067" s="8">
        <f>[1]Data!N1067</f>
        <v>3.3333333333333298E-2</v>
      </c>
      <c r="O1067" s="8">
        <f>[1]Data!O1067</f>
        <v>0</v>
      </c>
      <c r="P1067" s="8">
        <f>[1]Data!P1067</f>
        <v>0.82499999999999996</v>
      </c>
      <c r="Q1067" s="8">
        <f>[1]Data!Q1067</f>
        <v>0</v>
      </c>
      <c r="R1067" s="8">
        <f>[1]Data!R1067</f>
        <v>0</v>
      </c>
      <c r="S1067" s="8">
        <f>[1]Data!S1067</f>
        <v>0</v>
      </c>
      <c r="T1067">
        <f t="shared" si="80"/>
        <v>3.3333333333333298E-2</v>
      </c>
      <c r="U1067">
        <f t="shared" si="81"/>
        <v>0</v>
      </c>
      <c r="V1067" s="4" t="str">
        <f t="shared" si="82"/>
        <v>0</v>
      </c>
      <c r="W1067" s="4" t="str">
        <f t="shared" si="83"/>
        <v>8</v>
      </c>
      <c r="X1067" s="4" t="str">
        <f t="shared" si="84"/>
        <v>0NON-HS8</v>
      </c>
      <c r="Y1067">
        <f>VLOOKUP(X1067,Sheet1!$J$5:$K$121,2,FALSE)</f>
        <v>0</v>
      </c>
    </row>
    <row r="1068" spans="1:25" x14ac:dyDescent="0.25">
      <c r="A1068" s="8">
        <f>[1]Data!A1068</f>
        <v>543304</v>
      </c>
      <c r="B1068" s="8">
        <f>[1]Data!B1068</f>
        <v>8</v>
      </c>
      <c r="C1068" s="8">
        <f>[1]Data!C1068</f>
        <v>0</v>
      </c>
      <c r="D1068" s="8">
        <f>[1]Data!D1068</f>
        <v>2</v>
      </c>
      <c r="E1068" s="8" t="str">
        <f>[1]Data!E1068</f>
        <v>NON-HS</v>
      </c>
      <c r="F1068" s="8" t="str">
        <f>[1]Data!F1068</f>
        <v>Carson</v>
      </c>
      <c r="G1068" s="8">
        <f>[1]Data!G1068</f>
        <v>0</v>
      </c>
      <c r="H1068" s="8">
        <f>[1]Data!H1068</f>
        <v>0</v>
      </c>
      <c r="I1068" s="8">
        <f>[1]Data!I1068</f>
        <v>0</v>
      </c>
      <c r="J1068" s="8">
        <f>[1]Data!J1068</f>
        <v>0</v>
      </c>
      <c r="K1068" s="8">
        <f>[1]Data!K1068</f>
        <v>0</v>
      </c>
      <c r="L1068" s="8">
        <f>[1]Data!L1068</f>
        <v>0</v>
      </c>
      <c r="M1068" s="8">
        <f>[1]Data!M1068</f>
        <v>0</v>
      </c>
      <c r="N1068" s="8">
        <f>[1]Data!N1068</f>
        <v>3.3333333333333298E-2</v>
      </c>
      <c r="O1068" s="8">
        <f>[1]Data!O1068</f>
        <v>0</v>
      </c>
      <c r="P1068" s="8">
        <f>[1]Data!P1068</f>
        <v>0.82499999999999996</v>
      </c>
      <c r="Q1068" s="8">
        <f>[1]Data!Q1068</f>
        <v>0</v>
      </c>
      <c r="R1068" s="8">
        <f>[1]Data!R1068</f>
        <v>0</v>
      </c>
      <c r="S1068" s="8">
        <f>[1]Data!S1068</f>
        <v>0</v>
      </c>
      <c r="T1068">
        <f t="shared" si="80"/>
        <v>3.3333333333333298E-2</v>
      </c>
      <c r="U1068">
        <f t="shared" si="81"/>
        <v>0</v>
      </c>
      <c r="V1068" s="4" t="str">
        <f t="shared" si="82"/>
        <v>0</v>
      </c>
      <c r="W1068" s="4" t="str">
        <f t="shared" si="83"/>
        <v>8</v>
      </c>
      <c r="X1068" s="4" t="str">
        <f t="shared" si="84"/>
        <v>0NON-HS8</v>
      </c>
      <c r="Y1068">
        <f>VLOOKUP(X1068,Sheet1!$J$5:$K$121,2,FALSE)</f>
        <v>0</v>
      </c>
    </row>
    <row r="1069" spans="1:25" x14ac:dyDescent="0.25">
      <c r="A1069" s="8">
        <f>[1]Data!A1069</f>
        <v>670328</v>
      </c>
      <c r="B1069" s="8">
        <f>[1]Data!B1069</f>
        <v>8</v>
      </c>
      <c r="C1069" s="8">
        <f>[1]Data!C1069</f>
        <v>0</v>
      </c>
      <c r="D1069" s="8">
        <f>[1]Data!D1069</f>
        <v>4</v>
      </c>
      <c r="E1069" s="8" t="str">
        <f>[1]Data!E1069</f>
        <v>NON-HS</v>
      </c>
      <c r="F1069" s="8" t="str">
        <f>[1]Data!F1069</f>
        <v>Palos Verdes Estates</v>
      </c>
      <c r="G1069" s="8">
        <f>[1]Data!G1069</f>
        <v>0</v>
      </c>
      <c r="H1069" s="8">
        <f>[1]Data!H1069</f>
        <v>0</v>
      </c>
      <c r="I1069" s="8">
        <f>[1]Data!I1069</f>
        <v>0</v>
      </c>
      <c r="J1069" s="8">
        <f>[1]Data!J1069</f>
        <v>0</v>
      </c>
      <c r="K1069" s="8">
        <f>[1]Data!K1069</f>
        <v>0</v>
      </c>
      <c r="L1069" s="8">
        <f>[1]Data!L1069</f>
        <v>0</v>
      </c>
      <c r="M1069" s="8">
        <f>[1]Data!M1069</f>
        <v>0</v>
      </c>
      <c r="N1069" s="8">
        <f>[1]Data!N1069</f>
        <v>3.3333333333333298E-2</v>
      </c>
      <c r="O1069" s="8">
        <f>[1]Data!O1069</f>
        <v>0</v>
      </c>
      <c r="P1069" s="8">
        <f>[1]Data!P1069</f>
        <v>0.82499999999999996</v>
      </c>
      <c r="Q1069" s="8">
        <f>[1]Data!Q1069</f>
        <v>0</v>
      </c>
      <c r="R1069" s="8">
        <f>[1]Data!R1069</f>
        <v>0</v>
      </c>
      <c r="S1069" s="8">
        <f>[1]Data!S1069</f>
        <v>0</v>
      </c>
      <c r="T1069">
        <f t="shared" si="80"/>
        <v>3.3333333333333298E-2</v>
      </c>
      <c r="U1069">
        <f t="shared" si="81"/>
        <v>0</v>
      </c>
      <c r="V1069" s="4" t="str">
        <f t="shared" si="82"/>
        <v>0</v>
      </c>
      <c r="W1069" s="4" t="str">
        <f t="shared" si="83"/>
        <v>8</v>
      </c>
      <c r="X1069" s="4" t="str">
        <f t="shared" si="84"/>
        <v>0NON-HS8</v>
      </c>
      <c r="Y1069">
        <f>VLOOKUP(X1069,Sheet1!$J$5:$K$121,2,FALSE)</f>
        <v>0</v>
      </c>
    </row>
    <row r="1070" spans="1:25" x14ac:dyDescent="0.25">
      <c r="A1070" s="8">
        <f>[1]Data!A1070</f>
        <v>603801</v>
      </c>
      <c r="B1070" s="8">
        <f>[1]Data!B1070</f>
        <v>8</v>
      </c>
      <c r="C1070" s="8">
        <f>[1]Data!C1070</f>
        <v>0</v>
      </c>
      <c r="D1070" s="8">
        <f>[1]Data!D1070</f>
        <v>2</v>
      </c>
      <c r="E1070" s="8" t="str">
        <f>[1]Data!E1070</f>
        <v>NON-HS</v>
      </c>
      <c r="F1070" s="8" t="str">
        <f>[1]Data!F1070</f>
        <v>Lawndale</v>
      </c>
      <c r="G1070" s="8">
        <f>[1]Data!G1070</f>
        <v>0</v>
      </c>
      <c r="H1070" s="8">
        <f>[1]Data!H1070</f>
        <v>0</v>
      </c>
      <c r="I1070" s="8">
        <f>[1]Data!I1070</f>
        <v>0</v>
      </c>
      <c r="J1070" s="8">
        <f>[1]Data!J1070</f>
        <v>0</v>
      </c>
      <c r="K1070" s="8">
        <f>[1]Data!K1070</f>
        <v>0</v>
      </c>
      <c r="L1070" s="8">
        <f>[1]Data!L1070</f>
        <v>0</v>
      </c>
      <c r="M1070" s="8">
        <f>[1]Data!M1070</f>
        <v>0</v>
      </c>
      <c r="N1070" s="8">
        <f>[1]Data!N1070</f>
        <v>3.3333333333333298E-2</v>
      </c>
      <c r="O1070" s="8">
        <f>[1]Data!O1070</f>
        <v>0</v>
      </c>
      <c r="P1070" s="8">
        <f>[1]Data!P1070</f>
        <v>0.82499999999999996</v>
      </c>
      <c r="Q1070" s="8">
        <f>[1]Data!Q1070</f>
        <v>0</v>
      </c>
      <c r="R1070" s="8">
        <f>[1]Data!R1070</f>
        <v>0</v>
      </c>
      <c r="S1070" s="8">
        <f>[1]Data!S1070</f>
        <v>0</v>
      </c>
      <c r="T1070">
        <f t="shared" si="80"/>
        <v>3.3333333333333298E-2</v>
      </c>
      <c r="U1070">
        <f t="shared" si="81"/>
        <v>0</v>
      </c>
      <c r="V1070" s="4" t="str">
        <f t="shared" si="82"/>
        <v>0</v>
      </c>
      <c r="W1070" s="4" t="str">
        <f t="shared" si="83"/>
        <v>8</v>
      </c>
      <c r="X1070" s="4" t="str">
        <f t="shared" si="84"/>
        <v>0NON-HS8</v>
      </c>
      <c r="Y1070">
        <f>VLOOKUP(X1070,Sheet1!$J$5:$K$121,2,FALSE)</f>
        <v>0</v>
      </c>
    </row>
    <row r="1071" spans="1:25" x14ac:dyDescent="0.25">
      <c r="A1071" s="8">
        <f>[1]Data!A1071</f>
        <v>543321</v>
      </c>
      <c r="B1071" s="8">
        <f>[1]Data!B1071</f>
        <v>8</v>
      </c>
      <c r="C1071" s="8">
        <f>[1]Data!C1071</f>
        <v>0</v>
      </c>
      <c r="D1071" s="8">
        <f>[1]Data!D1071</f>
        <v>2</v>
      </c>
      <c r="E1071" s="8" t="str">
        <f>[1]Data!E1071</f>
        <v>NON-HS</v>
      </c>
      <c r="F1071" s="8" t="str">
        <f>[1]Data!F1071</f>
        <v>Carson</v>
      </c>
      <c r="G1071" s="8">
        <f>[1]Data!G1071</f>
        <v>0</v>
      </c>
      <c r="H1071" s="8">
        <f>[1]Data!H1071</f>
        <v>0</v>
      </c>
      <c r="I1071" s="8">
        <f>[1]Data!I1071</f>
        <v>10.474</v>
      </c>
      <c r="J1071" s="8">
        <f>[1]Data!J1071</f>
        <v>9.9184982999999995</v>
      </c>
      <c r="K1071" s="8">
        <f>[1]Data!K1071</f>
        <v>9.9184982999999995</v>
      </c>
      <c r="L1071" s="8">
        <f>[1]Data!L1071</f>
        <v>0.55586300691202895</v>
      </c>
      <c r="M1071" s="8">
        <f>[1]Data!M1071</f>
        <v>10.474361306912</v>
      </c>
      <c r="N1071" s="8">
        <f>[1]Data!N1071</f>
        <v>3.3333333333333298E-2</v>
      </c>
      <c r="O1071" s="8">
        <f>[1]Data!O1071</f>
        <v>0</v>
      </c>
      <c r="P1071" s="8">
        <f>[1]Data!P1071</f>
        <v>0.82499999999999996</v>
      </c>
      <c r="Q1071" s="8">
        <f>[1]Data!Q1071</f>
        <v>0</v>
      </c>
      <c r="R1071" s="8">
        <f>[1]Data!R1071</f>
        <v>0</v>
      </c>
      <c r="S1071" s="8">
        <f>[1]Data!S1071</f>
        <v>0</v>
      </c>
      <c r="T1071">
        <f t="shared" si="80"/>
        <v>3.3333333333333298E-2</v>
      </c>
      <c r="U1071">
        <f t="shared" si="81"/>
        <v>0</v>
      </c>
      <c r="V1071" s="4" t="str">
        <f t="shared" si="82"/>
        <v>0</v>
      </c>
      <c r="W1071" s="4" t="str">
        <f t="shared" si="83"/>
        <v>8</v>
      </c>
      <c r="X1071" s="4" t="str">
        <f t="shared" si="84"/>
        <v>0NON-HS8</v>
      </c>
      <c r="Y1071">
        <f>VLOOKUP(X1071,Sheet1!$J$5:$K$121,2,FALSE)</f>
        <v>0</v>
      </c>
    </row>
    <row r="1072" spans="1:25" x14ac:dyDescent="0.25">
      <c r="A1072" s="8">
        <f>[1]Data!A1072</f>
        <v>603500</v>
      </c>
      <c r="B1072" s="8">
        <f>[1]Data!B1072</f>
        <v>8</v>
      </c>
      <c r="C1072" s="8">
        <f>[1]Data!C1072</f>
        <v>0</v>
      </c>
      <c r="D1072" s="8">
        <f>[1]Data!D1072</f>
        <v>2</v>
      </c>
      <c r="E1072" s="8" t="str">
        <f>[1]Data!E1072</f>
        <v>NON-HS</v>
      </c>
      <c r="F1072" s="8" t="str">
        <f>[1]Data!F1072</f>
        <v>Gardena</v>
      </c>
      <c r="G1072" s="8">
        <f>[1]Data!G1072</f>
        <v>1</v>
      </c>
      <c r="H1072" s="8">
        <f>[1]Data!H1072</f>
        <v>1</v>
      </c>
      <c r="I1072" s="8">
        <f>[1]Data!I1072</f>
        <v>2</v>
      </c>
      <c r="J1072" s="8">
        <f>[1]Data!J1072</f>
        <v>0</v>
      </c>
      <c r="K1072" s="8">
        <f>[1]Data!K1072</f>
        <v>2</v>
      </c>
      <c r="L1072" s="8">
        <f>[1]Data!L1072</f>
        <v>0</v>
      </c>
      <c r="M1072" s="8">
        <f>[1]Data!M1072</f>
        <v>2</v>
      </c>
      <c r="N1072" s="8">
        <f>[1]Data!N1072</f>
        <v>3.3333333333333298E-2</v>
      </c>
      <c r="O1072" s="8">
        <f>[1]Data!O1072</f>
        <v>30</v>
      </c>
      <c r="P1072" s="8">
        <f>[1]Data!P1072</f>
        <v>0.82499999999999996</v>
      </c>
      <c r="Q1072" s="8">
        <f>[1]Data!Q1072</f>
        <v>0</v>
      </c>
      <c r="R1072" s="8">
        <f>[1]Data!R1072</f>
        <v>0</v>
      </c>
      <c r="S1072" s="8">
        <f>[1]Data!S1072</f>
        <v>0</v>
      </c>
      <c r="T1072">
        <f t="shared" si="80"/>
        <v>3.3333333333333298E-2</v>
      </c>
      <c r="U1072">
        <f t="shared" si="81"/>
        <v>30.000000000000032</v>
      </c>
      <c r="V1072" s="4" t="str">
        <f t="shared" si="82"/>
        <v>0</v>
      </c>
      <c r="W1072" s="4" t="str">
        <f t="shared" si="83"/>
        <v>8</v>
      </c>
      <c r="X1072" s="4" t="str">
        <f t="shared" si="84"/>
        <v>0NON-HS8</v>
      </c>
      <c r="Y1072">
        <f>VLOOKUP(X1072,Sheet1!$J$5:$K$121,2,FALSE)</f>
        <v>0</v>
      </c>
    </row>
    <row r="1073" spans="1:25" x14ac:dyDescent="0.25">
      <c r="A1073" s="8">
        <f>[1]Data!A1073</f>
        <v>543701</v>
      </c>
      <c r="B1073" s="8">
        <f>[1]Data!B1073</f>
        <v>8</v>
      </c>
      <c r="C1073" s="8">
        <f>[1]Data!C1073</f>
        <v>0</v>
      </c>
      <c r="D1073" s="8">
        <f>[1]Data!D1073</f>
        <v>2</v>
      </c>
      <c r="E1073" s="8" t="str">
        <f>[1]Data!E1073</f>
        <v>NON-HS</v>
      </c>
      <c r="F1073" s="8" t="str">
        <f>[1]Data!F1073</f>
        <v>Carson</v>
      </c>
      <c r="G1073" s="8">
        <f>[1]Data!G1073</f>
        <v>0</v>
      </c>
      <c r="H1073" s="8">
        <f>[1]Data!H1073</f>
        <v>0</v>
      </c>
      <c r="I1073" s="8">
        <f>[1]Data!I1073</f>
        <v>0</v>
      </c>
      <c r="J1073" s="8">
        <f>[1]Data!J1073</f>
        <v>0</v>
      </c>
      <c r="K1073" s="8">
        <f>[1]Data!K1073</f>
        <v>0</v>
      </c>
      <c r="L1073" s="8">
        <f>[1]Data!L1073</f>
        <v>0</v>
      </c>
      <c r="M1073" s="8">
        <f>[1]Data!M1073</f>
        <v>0</v>
      </c>
      <c r="N1073" s="8">
        <f>[1]Data!N1073</f>
        <v>3.3333333333333298E-2</v>
      </c>
      <c r="O1073" s="8">
        <f>[1]Data!O1073</f>
        <v>0</v>
      </c>
      <c r="P1073" s="8">
        <f>[1]Data!P1073</f>
        <v>0.82499999999999996</v>
      </c>
      <c r="Q1073" s="8">
        <f>[1]Data!Q1073</f>
        <v>0</v>
      </c>
      <c r="R1073" s="8">
        <f>[1]Data!R1073</f>
        <v>0</v>
      </c>
      <c r="S1073" s="8">
        <f>[1]Data!S1073</f>
        <v>0</v>
      </c>
      <c r="T1073">
        <f t="shared" si="80"/>
        <v>3.3333333333333298E-2</v>
      </c>
      <c r="U1073">
        <f t="shared" si="81"/>
        <v>0</v>
      </c>
      <c r="V1073" s="4" t="str">
        <f t="shared" si="82"/>
        <v>0</v>
      </c>
      <c r="W1073" s="4" t="str">
        <f t="shared" si="83"/>
        <v>8</v>
      </c>
      <c r="X1073" s="4" t="str">
        <f t="shared" si="84"/>
        <v>0NON-HS8</v>
      </c>
      <c r="Y1073">
        <f>VLOOKUP(X1073,Sheet1!$J$5:$K$121,2,FALSE)</f>
        <v>0</v>
      </c>
    </row>
    <row r="1074" spans="1:25" x14ac:dyDescent="0.25">
      <c r="A1074" s="8">
        <f>[1]Data!A1074</f>
        <v>543802</v>
      </c>
      <c r="B1074" s="8">
        <f>[1]Data!B1074</f>
        <v>8</v>
      </c>
      <c r="C1074" s="8">
        <f>[1]Data!C1074</f>
        <v>0</v>
      </c>
      <c r="D1074" s="8">
        <f>[1]Data!D1074</f>
        <v>2</v>
      </c>
      <c r="E1074" s="8" t="str">
        <f>[1]Data!E1074</f>
        <v>NON-HS</v>
      </c>
      <c r="F1074" s="8" t="str">
        <f>[1]Data!F1074</f>
        <v>Carson</v>
      </c>
      <c r="G1074" s="8">
        <f>[1]Data!G1074</f>
        <v>0</v>
      </c>
      <c r="H1074" s="8">
        <f>[1]Data!H1074</f>
        <v>0</v>
      </c>
      <c r="I1074" s="8">
        <f>[1]Data!I1074</f>
        <v>2</v>
      </c>
      <c r="J1074" s="8">
        <f>[1]Data!J1074</f>
        <v>0</v>
      </c>
      <c r="K1074" s="8">
        <f>[1]Data!K1074</f>
        <v>2</v>
      </c>
      <c r="L1074" s="8">
        <f>[1]Data!L1074</f>
        <v>0</v>
      </c>
      <c r="M1074" s="8">
        <f>[1]Data!M1074</f>
        <v>2</v>
      </c>
      <c r="N1074" s="8">
        <f>[1]Data!N1074</f>
        <v>3.3333333333333298E-2</v>
      </c>
      <c r="O1074" s="8">
        <f>[1]Data!O1074</f>
        <v>0</v>
      </c>
      <c r="P1074" s="8">
        <f>[1]Data!P1074</f>
        <v>0.82499999999999996</v>
      </c>
      <c r="Q1074" s="8">
        <f>[1]Data!Q1074</f>
        <v>0</v>
      </c>
      <c r="R1074" s="8">
        <f>[1]Data!R1074</f>
        <v>0</v>
      </c>
      <c r="S1074" s="8">
        <f>[1]Data!S1074</f>
        <v>0</v>
      </c>
      <c r="T1074">
        <f t="shared" si="80"/>
        <v>3.3333333333333298E-2</v>
      </c>
      <c r="U1074">
        <f t="shared" si="81"/>
        <v>0</v>
      </c>
      <c r="V1074" s="4" t="str">
        <f t="shared" si="82"/>
        <v>0</v>
      </c>
      <c r="W1074" s="4" t="str">
        <f t="shared" si="83"/>
        <v>8</v>
      </c>
      <c r="X1074" s="4" t="str">
        <f t="shared" si="84"/>
        <v>0NON-HS8</v>
      </c>
      <c r="Y1074">
        <f>VLOOKUP(X1074,Sheet1!$J$5:$K$121,2,FALSE)</f>
        <v>0</v>
      </c>
    </row>
    <row r="1075" spans="1:25" x14ac:dyDescent="0.25">
      <c r="A1075" s="8">
        <f>[1]Data!A1075</f>
        <v>544002</v>
      </c>
      <c r="B1075" s="8">
        <f>[1]Data!B1075</f>
        <v>8</v>
      </c>
      <c r="C1075" s="8">
        <f>[1]Data!C1075</f>
        <v>0</v>
      </c>
      <c r="D1075" s="8">
        <f>[1]Data!D1075</f>
        <v>4</v>
      </c>
      <c r="E1075" s="8" t="str">
        <f>[1]Data!E1075</f>
        <v>NON-HS</v>
      </c>
      <c r="F1075" s="8" t="str">
        <f>[1]Data!F1075</f>
        <v>Carson</v>
      </c>
      <c r="G1075" s="8">
        <f>[1]Data!G1075</f>
        <v>0</v>
      </c>
      <c r="H1075" s="8">
        <f>[1]Data!H1075</f>
        <v>0</v>
      </c>
      <c r="I1075" s="8">
        <f>[1]Data!I1075</f>
        <v>1</v>
      </c>
      <c r="J1075" s="8">
        <f>[1]Data!J1075</f>
        <v>0</v>
      </c>
      <c r="K1075" s="8">
        <f>[1]Data!K1075</f>
        <v>1</v>
      </c>
      <c r="L1075" s="8">
        <f>[1]Data!L1075</f>
        <v>0</v>
      </c>
      <c r="M1075" s="8">
        <f>[1]Data!M1075</f>
        <v>1</v>
      </c>
      <c r="N1075" s="8">
        <f>[1]Data!N1075</f>
        <v>3.3333333333333298E-2</v>
      </c>
      <c r="O1075" s="8">
        <f>[1]Data!O1075</f>
        <v>0</v>
      </c>
      <c r="P1075" s="8">
        <f>[1]Data!P1075</f>
        <v>0.82499999999999996</v>
      </c>
      <c r="Q1075" s="8">
        <f>[1]Data!Q1075</f>
        <v>0</v>
      </c>
      <c r="R1075" s="8">
        <f>[1]Data!R1075</f>
        <v>0</v>
      </c>
      <c r="S1075" s="8">
        <f>[1]Data!S1075</f>
        <v>0</v>
      </c>
      <c r="T1075">
        <f t="shared" si="80"/>
        <v>3.3333333333333298E-2</v>
      </c>
      <c r="U1075">
        <f t="shared" si="81"/>
        <v>0</v>
      </c>
      <c r="V1075" s="4" t="str">
        <f t="shared" si="82"/>
        <v>0</v>
      </c>
      <c r="W1075" s="4" t="str">
        <f t="shared" si="83"/>
        <v>8</v>
      </c>
      <c r="X1075" s="4" t="str">
        <f t="shared" si="84"/>
        <v>0NON-HS8</v>
      </c>
      <c r="Y1075">
        <f>VLOOKUP(X1075,Sheet1!$J$5:$K$121,2,FALSE)</f>
        <v>0</v>
      </c>
    </row>
    <row r="1076" spans="1:25" x14ac:dyDescent="0.25">
      <c r="A1076" s="8">
        <f>[1]Data!A1076</f>
        <v>599100</v>
      </c>
      <c r="B1076" s="8">
        <f>[1]Data!B1076</f>
        <v>8</v>
      </c>
      <c r="C1076" s="8">
        <f>[1]Data!C1076</f>
        <v>0</v>
      </c>
      <c r="D1076" s="8">
        <f>[1]Data!D1076</f>
        <v>4</v>
      </c>
      <c r="E1076" s="8" t="str">
        <f>[1]Data!E1076</f>
        <v>NON-HS</v>
      </c>
      <c r="F1076" s="8" t="str">
        <f>[1]Data!F1076</f>
        <v>Unincorporated Catalina</v>
      </c>
      <c r="G1076" s="8">
        <f>[1]Data!G1076</f>
        <v>0</v>
      </c>
      <c r="H1076" s="8">
        <f>[1]Data!H1076</f>
        <v>0</v>
      </c>
      <c r="I1076" s="8">
        <f>[1]Data!I1076</f>
        <v>0</v>
      </c>
      <c r="J1076" s="8">
        <f>[1]Data!J1076</f>
        <v>0</v>
      </c>
      <c r="K1076" s="8">
        <f>[1]Data!K1076</f>
        <v>0</v>
      </c>
      <c r="L1076" s="8">
        <f>[1]Data!L1076</f>
        <v>0</v>
      </c>
      <c r="M1076" s="8">
        <f>[1]Data!M1076</f>
        <v>0</v>
      </c>
      <c r="N1076" s="8">
        <f>[1]Data!N1076</f>
        <v>3.3333333333333298E-2</v>
      </c>
      <c r="O1076" s="8">
        <f>[1]Data!O1076</f>
        <v>0</v>
      </c>
      <c r="P1076" s="8">
        <f>[1]Data!P1076</f>
        <v>0.82499999999999996</v>
      </c>
      <c r="Q1076" s="8">
        <f>[1]Data!Q1076</f>
        <v>0</v>
      </c>
      <c r="R1076" s="8">
        <f>[1]Data!R1076</f>
        <v>0</v>
      </c>
      <c r="S1076" s="8">
        <f>[1]Data!S1076</f>
        <v>0</v>
      </c>
      <c r="T1076">
        <f t="shared" si="80"/>
        <v>3.3333333333333298E-2</v>
      </c>
      <c r="U1076">
        <f t="shared" si="81"/>
        <v>0</v>
      </c>
      <c r="V1076" s="4" t="str">
        <f t="shared" si="82"/>
        <v>0</v>
      </c>
      <c r="W1076" s="4" t="str">
        <f t="shared" si="83"/>
        <v>8</v>
      </c>
      <c r="X1076" s="4" t="str">
        <f t="shared" si="84"/>
        <v>0NON-HS8</v>
      </c>
      <c r="Y1076">
        <f>VLOOKUP(X1076,Sheet1!$J$5:$K$121,2,FALSE)</f>
        <v>0</v>
      </c>
    </row>
    <row r="1077" spans="1:25" x14ac:dyDescent="0.25">
      <c r="A1077" s="8">
        <f>[1]Data!A1077</f>
        <v>600302</v>
      </c>
      <c r="B1077" s="8">
        <f>[1]Data!B1077</f>
        <v>8</v>
      </c>
      <c r="C1077" s="8">
        <f>[1]Data!C1077</f>
        <v>0</v>
      </c>
      <c r="D1077" s="8">
        <f>[1]Data!D1077</f>
        <v>2</v>
      </c>
      <c r="E1077" s="8" t="str">
        <f>[1]Data!E1077</f>
        <v>NON-HS</v>
      </c>
      <c r="F1077" s="8" t="str">
        <f>[1]Data!F1077</f>
        <v>Westmont / West Athens</v>
      </c>
      <c r="G1077" s="8">
        <f>[1]Data!G1077</f>
        <v>0</v>
      </c>
      <c r="H1077" s="8">
        <f>[1]Data!H1077</f>
        <v>0</v>
      </c>
      <c r="I1077" s="8">
        <f>[1]Data!I1077</f>
        <v>0</v>
      </c>
      <c r="J1077" s="8">
        <f>[1]Data!J1077</f>
        <v>0</v>
      </c>
      <c r="K1077" s="8">
        <f>[1]Data!K1077</f>
        <v>0</v>
      </c>
      <c r="L1077" s="8">
        <f>[1]Data!L1077</f>
        <v>0</v>
      </c>
      <c r="M1077" s="8">
        <f>[1]Data!M1077</f>
        <v>0</v>
      </c>
      <c r="N1077" s="8">
        <f>[1]Data!N1077</f>
        <v>3.3333333333333298E-2</v>
      </c>
      <c r="O1077" s="8">
        <f>[1]Data!O1077</f>
        <v>0</v>
      </c>
      <c r="P1077" s="8">
        <f>[1]Data!P1077</f>
        <v>0.82499999999999996</v>
      </c>
      <c r="Q1077" s="8">
        <f>[1]Data!Q1077</f>
        <v>0</v>
      </c>
      <c r="R1077" s="8">
        <f>[1]Data!R1077</f>
        <v>0</v>
      </c>
      <c r="S1077" s="8">
        <f>[1]Data!S1077</f>
        <v>0</v>
      </c>
      <c r="T1077">
        <f t="shared" si="80"/>
        <v>3.3333333333333298E-2</v>
      </c>
      <c r="U1077">
        <f t="shared" si="81"/>
        <v>0</v>
      </c>
      <c r="V1077" s="4" t="str">
        <f t="shared" si="82"/>
        <v>0</v>
      </c>
      <c r="W1077" s="4" t="str">
        <f t="shared" si="83"/>
        <v>8</v>
      </c>
      <c r="X1077" s="4" t="str">
        <f t="shared" si="84"/>
        <v>0NON-HS8</v>
      </c>
      <c r="Y1077">
        <f>VLOOKUP(X1077,Sheet1!$J$5:$K$121,2,FALSE)</f>
        <v>0</v>
      </c>
    </row>
    <row r="1078" spans="1:25" x14ac:dyDescent="0.25">
      <c r="A1078" s="8">
        <f>[1]Data!A1078</f>
        <v>600501</v>
      </c>
      <c r="B1078" s="8">
        <f>[1]Data!B1078</f>
        <v>8</v>
      </c>
      <c r="C1078" s="8">
        <f>[1]Data!C1078</f>
        <v>0</v>
      </c>
      <c r="D1078" s="8">
        <f>[1]Data!D1078</f>
        <v>2</v>
      </c>
      <c r="E1078" s="8" t="str">
        <f>[1]Data!E1078</f>
        <v>NON-HS</v>
      </c>
      <c r="F1078" s="8" t="str">
        <f>[1]Data!F1078</f>
        <v>Inglewood</v>
      </c>
      <c r="G1078" s="8">
        <f>[1]Data!G1078</f>
        <v>0</v>
      </c>
      <c r="H1078" s="8">
        <f>[1]Data!H1078</f>
        <v>0</v>
      </c>
      <c r="I1078" s="8">
        <f>[1]Data!I1078</f>
        <v>1</v>
      </c>
      <c r="J1078" s="8">
        <f>[1]Data!J1078</f>
        <v>0</v>
      </c>
      <c r="K1078" s="8">
        <f>[1]Data!K1078</f>
        <v>1</v>
      </c>
      <c r="L1078" s="8">
        <f>[1]Data!L1078</f>
        <v>0</v>
      </c>
      <c r="M1078" s="8">
        <f>[1]Data!M1078</f>
        <v>1</v>
      </c>
      <c r="N1078" s="8">
        <f>[1]Data!N1078</f>
        <v>3.3333333333333298E-2</v>
      </c>
      <c r="O1078" s="8">
        <f>[1]Data!O1078</f>
        <v>0</v>
      </c>
      <c r="P1078" s="8">
        <f>[1]Data!P1078</f>
        <v>0.82499999999999996</v>
      </c>
      <c r="Q1078" s="8">
        <f>[1]Data!Q1078</f>
        <v>0</v>
      </c>
      <c r="R1078" s="8">
        <f>[1]Data!R1078</f>
        <v>0</v>
      </c>
      <c r="S1078" s="8">
        <f>[1]Data!S1078</f>
        <v>0</v>
      </c>
      <c r="T1078">
        <f t="shared" si="80"/>
        <v>3.3333333333333298E-2</v>
      </c>
      <c r="U1078">
        <f t="shared" si="81"/>
        <v>0</v>
      </c>
      <c r="V1078" s="4" t="str">
        <f t="shared" si="82"/>
        <v>0</v>
      </c>
      <c r="W1078" s="4" t="str">
        <f t="shared" si="83"/>
        <v>8</v>
      </c>
      <c r="X1078" s="4" t="str">
        <f t="shared" si="84"/>
        <v>0NON-HS8</v>
      </c>
      <c r="Y1078">
        <f>VLOOKUP(X1078,Sheet1!$J$5:$K$121,2,FALSE)</f>
        <v>0</v>
      </c>
    </row>
    <row r="1079" spans="1:25" x14ac:dyDescent="0.25">
      <c r="A1079" s="8">
        <f>[1]Data!A1079</f>
        <v>600303</v>
      </c>
      <c r="B1079" s="8">
        <f>[1]Data!B1079</f>
        <v>8</v>
      </c>
      <c r="C1079" s="8">
        <f>[1]Data!C1079</f>
        <v>0</v>
      </c>
      <c r="D1079" s="8">
        <f>[1]Data!D1079</f>
        <v>2</v>
      </c>
      <c r="E1079" s="8" t="str">
        <f>[1]Data!E1079</f>
        <v>NON-HS</v>
      </c>
      <c r="F1079" s="8" t="str">
        <f>[1]Data!F1079</f>
        <v>Westmont / West Athens</v>
      </c>
      <c r="G1079" s="8">
        <f>[1]Data!G1079</f>
        <v>1</v>
      </c>
      <c r="H1079" s="8">
        <f>[1]Data!H1079</f>
        <v>1</v>
      </c>
      <c r="I1079" s="8">
        <f>[1]Data!I1079</f>
        <v>0</v>
      </c>
      <c r="J1079" s="8">
        <f>[1]Data!J1079</f>
        <v>0</v>
      </c>
      <c r="K1079" s="8">
        <f>[1]Data!K1079</f>
        <v>0</v>
      </c>
      <c r="L1079" s="8">
        <f>[1]Data!L1079</f>
        <v>0</v>
      </c>
      <c r="M1079" s="8">
        <f>[1]Data!M1079</f>
        <v>0</v>
      </c>
      <c r="N1079" s="8">
        <f>[1]Data!N1079</f>
        <v>3.3333333333333298E-2</v>
      </c>
      <c r="O1079" s="8">
        <f>[1]Data!O1079</f>
        <v>30</v>
      </c>
      <c r="P1079" s="8">
        <f>[1]Data!P1079</f>
        <v>0.82499999999999996</v>
      </c>
      <c r="Q1079" s="8">
        <f>[1]Data!Q1079</f>
        <v>0</v>
      </c>
      <c r="R1079" s="8">
        <f>[1]Data!R1079</f>
        <v>0</v>
      </c>
      <c r="S1079" s="8">
        <f>[1]Data!S1079</f>
        <v>0</v>
      </c>
      <c r="T1079">
        <f t="shared" si="80"/>
        <v>3.3333333333333298E-2</v>
      </c>
      <c r="U1079">
        <f t="shared" si="81"/>
        <v>30.000000000000032</v>
      </c>
      <c r="V1079" s="4" t="str">
        <f t="shared" si="82"/>
        <v>0</v>
      </c>
      <c r="W1079" s="4" t="str">
        <f t="shared" si="83"/>
        <v>8</v>
      </c>
      <c r="X1079" s="4" t="str">
        <f t="shared" si="84"/>
        <v>0NON-HS8</v>
      </c>
      <c r="Y1079">
        <f>VLOOKUP(X1079,Sheet1!$J$5:$K$121,2,FALSE)</f>
        <v>0</v>
      </c>
    </row>
    <row r="1080" spans="1:25" x14ac:dyDescent="0.25">
      <c r="A1080" s="8">
        <f>[1]Data!A1080</f>
        <v>602801</v>
      </c>
      <c r="B1080" s="8">
        <f>[1]Data!B1080</f>
        <v>8</v>
      </c>
      <c r="C1080" s="8">
        <f>[1]Data!C1080</f>
        <v>0</v>
      </c>
      <c r="D1080" s="8">
        <f>[1]Data!D1080</f>
        <v>2</v>
      </c>
      <c r="E1080" s="8" t="str">
        <f>[1]Data!E1080</f>
        <v>NON-HS</v>
      </c>
      <c r="F1080" s="8" t="str">
        <f>[1]Data!F1080</f>
        <v>Westmont / West Athens</v>
      </c>
      <c r="G1080" s="8">
        <f>[1]Data!G1080</f>
        <v>0</v>
      </c>
      <c r="H1080" s="8">
        <f>[1]Data!H1080</f>
        <v>0</v>
      </c>
      <c r="I1080" s="8">
        <f>[1]Data!I1080</f>
        <v>6.0949999999999998</v>
      </c>
      <c r="J1080" s="8">
        <f>[1]Data!J1080</f>
        <v>1.9836996600000001</v>
      </c>
      <c r="K1080" s="8">
        <f>[1]Data!K1080</f>
        <v>5.9836996600000001</v>
      </c>
      <c r="L1080" s="8">
        <f>[1]Data!L1080</f>
        <v>0.11117260138240601</v>
      </c>
      <c r="M1080" s="8">
        <f>[1]Data!M1080</f>
        <v>6.0948722613824096</v>
      </c>
      <c r="N1080" s="8">
        <f>[1]Data!N1080</f>
        <v>3.3333333333333298E-2</v>
      </c>
      <c r="O1080" s="8">
        <f>[1]Data!O1080</f>
        <v>0</v>
      </c>
      <c r="P1080" s="8">
        <f>[1]Data!P1080</f>
        <v>0.82499999999999996</v>
      </c>
      <c r="Q1080" s="8">
        <f>[1]Data!Q1080</f>
        <v>0</v>
      </c>
      <c r="R1080" s="8">
        <f>[1]Data!R1080</f>
        <v>0</v>
      </c>
      <c r="S1080" s="8">
        <f>[1]Data!S1080</f>
        <v>0</v>
      </c>
      <c r="T1080">
        <f t="shared" si="80"/>
        <v>3.3333333333333298E-2</v>
      </c>
      <c r="U1080">
        <f t="shared" si="81"/>
        <v>0</v>
      </c>
      <c r="V1080" s="4" t="str">
        <f t="shared" si="82"/>
        <v>0</v>
      </c>
      <c r="W1080" s="4" t="str">
        <f t="shared" si="83"/>
        <v>8</v>
      </c>
      <c r="X1080" s="4" t="str">
        <f t="shared" si="84"/>
        <v>0NON-HS8</v>
      </c>
      <c r="Y1080">
        <f>VLOOKUP(X1080,Sheet1!$J$5:$K$121,2,FALSE)</f>
        <v>0</v>
      </c>
    </row>
    <row r="1081" spans="1:25" x14ac:dyDescent="0.25">
      <c r="A1081" s="8">
        <f>[1]Data!A1081</f>
        <v>602506</v>
      </c>
      <c r="B1081" s="8">
        <f>[1]Data!B1081</f>
        <v>8</v>
      </c>
      <c r="C1081" s="8">
        <f>[1]Data!C1081</f>
        <v>0</v>
      </c>
      <c r="D1081" s="8">
        <f>[1]Data!D1081</f>
        <v>2</v>
      </c>
      <c r="E1081" s="8" t="str">
        <f>[1]Data!E1081</f>
        <v>NON-HS</v>
      </c>
      <c r="F1081" s="8" t="str">
        <f>[1]Data!F1081</f>
        <v>Hawthorne</v>
      </c>
      <c r="G1081" s="8">
        <f>[1]Data!G1081</f>
        <v>0</v>
      </c>
      <c r="H1081" s="8">
        <f>[1]Data!H1081</f>
        <v>0</v>
      </c>
      <c r="I1081" s="8">
        <f>[1]Data!I1081</f>
        <v>0</v>
      </c>
      <c r="J1081" s="8">
        <f>[1]Data!J1081</f>
        <v>0</v>
      </c>
      <c r="K1081" s="8">
        <f>[1]Data!K1081</f>
        <v>0</v>
      </c>
      <c r="L1081" s="8">
        <f>[1]Data!L1081</f>
        <v>0</v>
      </c>
      <c r="M1081" s="8">
        <f>[1]Data!M1081</f>
        <v>0</v>
      </c>
      <c r="N1081" s="8">
        <f>[1]Data!N1081</f>
        <v>3.3333333333333298E-2</v>
      </c>
      <c r="O1081" s="8">
        <f>[1]Data!O1081</f>
        <v>0</v>
      </c>
      <c r="P1081" s="8">
        <f>[1]Data!P1081</f>
        <v>0.82499999999999996</v>
      </c>
      <c r="Q1081" s="8">
        <f>[1]Data!Q1081</f>
        <v>0</v>
      </c>
      <c r="R1081" s="8">
        <f>[1]Data!R1081</f>
        <v>0</v>
      </c>
      <c r="S1081" s="8">
        <f>[1]Data!S1081</f>
        <v>0</v>
      </c>
      <c r="T1081">
        <f t="shared" si="80"/>
        <v>3.3333333333333298E-2</v>
      </c>
      <c r="U1081">
        <f t="shared" si="81"/>
        <v>0</v>
      </c>
      <c r="V1081" s="4" t="str">
        <f t="shared" si="82"/>
        <v>0</v>
      </c>
      <c r="W1081" s="4" t="str">
        <f t="shared" si="83"/>
        <v>8</v>
      </c>
      <c r="X1081" s="4" t="str">
        <f t="shared" si="84"/>
        <v>0NON-HS8</v>
      </c>
      <c r="Y1081">
        <f>VLOOKUP(X1081,Sheet1!$J$5:$K$121,2,FALSE)</f>
        <v>0</v>
      </c>
    </row>
    <row r="1082" spans="1:25" x14ac:dyDescent="0.25">
      <c r="A1082" s="8">
        <f>[1]Data!A1082</f>
        <v>600911</v>
      </c>
      <c r="B1082" s="8">
        <f>[1]Data!B1082</f>
        <v>8</v>
      </c>
      <c r="C1082" s="8">
        <f>[1]Data!C1082</f>
        <v>0</v>
      </c>
      <c r="D1082" s="8">
        <f>[1]Data!D1082</f>
        <v>2</v>
      </c>
      <c r="E1082" s="8" t="str">
        <f>[1]Data!E1082</f>
        <v>NON-HS</v>
      </c>
      <c r="F1082" s="8" t="str">
        <f>[1]Data!F1082</f>
        <v>Inglewood</v>
      </c>
      <c r="G1082" s="8">
        <f>[1]Data!G1082</f>
        <v>0</v>
      </c>
      <c r="H1082" s="8">
        <f>[1]Data!H1082</f>
        <v>0</v>
      </c>
      <c r="I1082" s="8">
        <f>[1]Data!I1082</f>
        <v>1.8080000000000001</v>
      </c>
      <c r="J1082" s="8">
        <f>[1]Data!J1082</f>
        <v>1.73313217</v>
      </c>
      <c r="K1082" s="8">
        <f>[1]Data!K1082</f>
        <v>1.73313217</v>
      </c>
      <c r="L1082" s="8">
        <f>[1]Data!L1082</f>
        <v>7.4985510287253102E-2</v>
      </c>
      <c r="M1082" s="8">
        <f>[1]Data!M1082</f>
        <v>1.8081176802872501</v>
      </c>
      <c r="N1082" s="8">
        <f>[1]Data!N1082</f>
        <v>3.3333333333333298E-2</v>
      </c>
      <c r="O1082" s="8">
        <f>[1]Data!O1082</f>
        <v>0</v>
      </c>
      <c r="P1082" s="8">
        <f>[1]Data!P1082</f>
        <v>0.82499999999999996</v>
      </c>
      <c r="Q1082" s="8">
        <f>[1]Data!Q1082</f>
        <v>0</v>
      </c>
      <c r="R1082" s="8">
        <f>[1]Data!R1082</f>
        <v>0</v>
      </c>
      <c r="S1082" s="8">
        <f>[1]Data!S1082</f>
        <v>0</v>
      </c>
      <c r="T1082">
        <f t="shared" si="80"/>
        <v>3.3333333333333298E-2</v>
      </c>
      <c r="U1082">
        <f t="shared" si="81"/>
        <v>0</v>
      </c>
      <c r="V1082" s="4" t="str">
        <f t="shared" si="82"/>
        <v>0</v>
      </c>
      <c r="W1082" s="4" t="str">
        <f t="shared" si="83"/>
        <v>8</v>
      </c>
      <c r="X1082" s="4" t="str">
        <f t="shared" si="84"/>
        <v>0NON-HS8</v>
      </c>
      <c r="Y1082">
        <f>VLOOKUP(X1082,Sheet1!$J$5:$K$121,2,FALSE)</f>
        <v>0</v>
      </c>
    </row>
    <row r="1083" spans="1:25" x14ac:dyDescent="0.25">
      <c r="A1083" s="8">
        <f>[1]Data!A1083</f>
        <v>600912</v>
      </c>
      <c r="B1083" s="8">
        <f>[1]Data!B1083</f>
        <v>8</v>
      </c>
      <c r="C1083" s="8">
        <f>[1]Data!C1083</f>
        <v>0</v>
      </c>
      <c r="D1083" s="8">
        <f>[1]Data!D1083</f>
        <v>2</v>
      </c>
      <c r="E1083" s="8" t="str">
        <f>[1]Data!E1083</f>
        <v>NON-HS</v>
      </c>
      <c r="F1083" s="8" t="str">
        <f>[1]Data!F1083</f>
        <v>Inglewood</v>
      </c>
      <c r="G1083" s="8">
        <f>[1]Data!G1083</f>
        <v>0</v>
      </c>
      <c r="H1083" s="8">
        <f>[1]Data!H1083</f>
        <v>0</v>
      </c>
      <c r="I1083" s="8">
        <f>[1]Data!I1083</f>
        <v>8.1709999999999994</v>
      </c>
      <c r="J1083" s="8">
        <f>[1]Data!J1083</f>
        <v>7.4899184500000002</v>
      </c>
      <c r="K1083" s="8">
        <f>[1]Data!K1083</f>
        <v>7.4899184500000002</v>
      </c>
      <c r="L1083" s="8">
        <f>[1]Data!L1083</f>
        <v>0.68079353484739702</v>
      </c>
      <c r="M1083" s="8">
        <f>[1]Data!M1083</f>
        <v>8.1707119848474008</v>
      </c>
      <c r="N1083" s="8">
        <f>[1]Data!N1083</f>
        <v>3.3333333333333298E-2</v>
      </c>
      <c r="O1083" s="8">
        <f>[1]Data!O1083</f>
        <v>0</v>
      </c>
      <c r="P1083" s="8">
        <f>[1]Data!P1083</f>
        <v>0.82499999999999996</v>
      </c>
      <c r="Q1083" s="8">
        <f>[1]Data!Q1083</f>
        <v>0</v>
      </c>
      <c r="R1083" s="8">
        <f>[1]Data!R1083</f>
        <v>0</v>
      </c>
      <c r="S1083" s="8">
        <f>[1]Data!S1083</f>
        <v>0</v>
      </c>
      <c r="T1083">
        <f t="shared" si="80"/>
        <v>3.3333333333333298E-2</v>
      </c>
      <c r="U1083">
        <f t="shared" si="81"/>
        <v>0</v>
      </c>
      <c r="V1083" s="4" t="str">
        <f t="shared" si="82"/>
        <v>0</v>
      </c>
      <c r="W1083" s="4" t="str">
        <f t="shared" si="83"/>
        <v>8</v>
      </c>
      <c r="X1083" s="4" t="str">
        <f t="shared" si="84"/>
        <v>0NON-HS8</v>
      </c>
      <c r="Y1083">
        <f>VLOOKUP(X1083,Sheet1!$J$5:$K$121,2,FALSE)</f>
        <v>0</v>
      </c>
    </row>
    <row r="1084" spans="1:25" x14ac:dyDescent="0.25">
      <c r="A1084" s="8">
        <f>[1]Data!A1084</f>
        <v>601301</v>
      </c>
      <c r="B1084" s="8">
        <f>[1]Data!B1084</f>
        <v>8</v>
      </c>
      <c r="C1084" s="8">
        <f>[1]Data!C1084</f>
        <v>0</v>
      </c>
      <c r="D1084" s="8">
        <f>[1]Data!D1084</f>
        <v>2</v>
      </c>
      <c r="E1084" s="8" t="str">
        <f>[1]Data!E1084</f>
        <v>NON-HS</v>
      </c>
      <c r="F1084" s="8" t="str">
        <f>[1]Data!F1084</f>
        <v>Inglewood</v>
      </c>
      <c r="G1084" s="8">
        <f>[1]Data!G1084</f>
        <v>0</v>
      </c>
      <c r="H1084" s="8">
        <f>[1]Data!H1084</f>
        <v>0</v>
      </c>
      <c r="I1084" s="8">
        <f>[1]Data!I1084</f>
        <v>0</v>
      </c>
      <c r="J1084" s="8">
        <f>[1]Data!J1084</f>
        <v>0</v>
      </c>
      <c r="K1084" s="8">
        <f>[1]Data!K1084</f>
        <v>0</v>
      </c>
      <c r="L1084" s="8">
        <f>[1]Data!L1084</f>
        <v>0</v>
      </c>
      <c r="M1084" s="8">
        <f>[1]Data!M1084</f>
        <v>0</v>
      </c>
      <c r="N1084" s="8">
        <f>[1]Data!N1084</f>
        <v>3.3333333333333298E-2</v>
      </c>
      <c r="O1084" s="8">
        <f>[1]Data!O1084</f>
        <v>0</v>
      </c>
      <c r="P1084" s="8">
        <f>[1]Data!P1084</f>
        <v>0.82499999999999996</v>
      </c>
      <c r="Q1084" s="8">
        <f>[1]Data!Q1084</f>
        <v>0</v>
      </c>
      <c r="R1084" s="8">
        <f>[1]Data!R1084</f>
        <v>0</v>
      </c>
      <c r="S1084" s="8">
        <f>[1]Data!S1084</f>
        <v>0</v>
      </c>
      <c r="T1084">
        <f t="shared" si="80"/>
        <v>3.3333333333333298E-2</v>
      </c>
      <c r="U1084">
        <f t="shared" si="81"/>
        <v>0</v>
      </c>
      <c r="V1084" s="4" t="str">
        <f t="shared" si="82"/>
        <v>0</v>
      </c>
      <c r="W1084" s="4" t="str">
        <f t="shared" si="83"/>
        <v>8</v>
      </c>
      <c r="X1084" s="4" t="str">
        <f t="shared" si="84"/>
        <v>0NON-HS8</v>
      </c>
      <c r="Y1084">
        <f>VLOOKUP(X1084,Sheet1!$J$5:$K$121,2,FALSE)</f>
        <v>0</v>
      </c>
    </row>
    <row r="1085" spans="1:25" x14ac:dyDescent="0.25">
      <c r="A1085" s="8">
        <f>[1]Data!A1085</f>
        <v>601303</v>
      </c>
      <c r="B1085" s="8">
        <f>[1]Data!B1085</f>
        <v>8</v>
      </c>
      <c r="C1085" s="8">
        <f>[1]Data!C1085</f>
        <v>0</v>
      </c>
      <c r="D1085" s="8">
        <f>[1]Data!D1085</f>
        <v>2</v>
      </c>
      <c r="E1085" s="8" t="str">
        <f>[1]Data!E1085</f>
        <v>NON-HS</v>
      </c>
      <c r="F1085" s="8" t="str">
        <f>[1]Data!F1085</f>
        <v>Inglewood</v>
      </c>
      <c r="G1085" s="8">
        <f>[1]Data!G1085</f>
        <v>0</v>
      </c>
      <c r="H1085" s="8">
        <f>[1]Data!H1085</f>
        <v>0</v>
      </c>
      <c r="I1085" s="8">
        <f>[1]Data!I1085</f>
        <v>0</v>
      </c>
      <c r="J1085" s="8">
        <f>[1]Data!J1085</f>
        <v>0</v>
      </c>
      <c r="K1085" s="8">
        <f>[1]Data!K1085</f>
        <v>0</v>
      </c>
      <c r="L1085" s="8">
        <f>[1]Data!L1085</f>
        <v>0</v>
      </c>
      <c r="M1085" s="8">
        <f>[1]Data!M1085</f>
        <v>0</v>
      </c>
      <c r="N1085" s="8">
        <f>[1]Data!N1085</f>
        <v>3.3333333333333298E-2</v>
      </c>
      <c r="O1085" s="8">
        <f>[1]Data!O1085</f>
        <v>0</v>
      </c>
      <c r="P1085" s="8">
        <f>[1]Data!P1085</f>
        <v>0.82499999999999996</v>
      </c>
      <c r="Q1085" s="8">
        <f>[1]Data!Q1085</f>
        <v>0</v>
      </c>
      <c r="R1085" s="8">
        <f>[1]Data!R1085</f>
        <v>0</v>
      </c>
      <c r="S1085" s="8">
        <f>[1]Data!S1085</f>
        <v>0</v>
      </c>
      <c r="T1085">
        <f t="shared" si="80"/>
        <v>3.3333333333333298E-2</v>
      </c>
      <c r="U1085">
        <f t="shared" si="81"/>
        <v>0</v>
      </c>
      <c r="V1085" s="4" t="str">
        <f t="shared" si="82"/>
        <v>0</v>
      </c>
      <c r="W1085" s="4" t="str">
        <f t="shared" si="83"/>
        <v>8</v>
      </c>
      <c r="X1085" s="4" t="str">
        <f t="shared" si="84"/>
        <v>0NON-HS8</v>
      </c>
      <c r="Y1085">
        <f>VLOOKUP(X1085,Sheet1!$J$5:$K$121,2,FALSE)</f>
        <v>0</v>
      </c>
    </row>
    <row r="1086" spans="1:25" x14ac:dyDescent="0.25">
      <c r="A1086" s="8">
        <f>[1]Data!A1086</f>
        <v>543905</v>
      </c>
      <c r="B1086" s="8">
        <f>[1]Data!B1086</f>
        <v>8</v>
      </c>
      <c r="C1086" s="8">
        <f>[1]Data!C1086</f>
        <v>0</v>
      </c>
      <c r="D1086" s="8">
        <f>[1]Data!D1086</f>
        <v>2</v>
      </c>
      <c r="E1086" s="8" t="str">
        <f>[1]Data!E1086</f>
        <v>NON-HS</v>
      </c>
      <c r="F1086" s="8" t="str">
        <f>[1]Data!F1086</f>
        <v>Carson</v>
      </c>
      <c r="G1086" s="8">
        <f>[1]Data!G1086</f>
        <v>0</v>
      </c>
      <c r="H1086" s="8">
        <f>[1]Data!H1086</f>
        <v>0</v>
      </c>
      <c r="I1086" s="8">
        <f>[1]Data!I1086</f>
        <v>9.8490000000000002</v>
      </c>
      <c r="J1086" s="8">
        <f>[1]Data!J1086</f>
        <v>9.5102913699999991</v>
      </c>
      <c r="K1086" s="8">
        <f>[1]Data!K1086</f>
        <v>9.5102913699999991</v>
      </c>
      <c r="L1086" s="8">
        <f>[1]Data!L1086</f>
        <v>0.33858135721723498</v>
      </c>
      <c r="M1086" s="8">
        <f>[1]Data!M1086</f>
        <v>9.8488727272172394</v>
      </c>
      <c r="N1086" s="8">
        <f>[1]Data!N1086</f>
        <v>3.3333333333333298E-2</v>
      </c>
      <c r="O1086" s="8">
        <f>[1]Data!O1086</f>
        <v>0</v>
      </c>
      <c r="P1086" s="8">
        <f>[1]Data!P1086</f>
        <v>0.82499999999999996</v>
      </c>
      <c r="Q1086" s="8">
        <f>[1]Data!Q1086</f>
        <v>0</v>
      </c>
      <c r="R1086" s="8">
        <f>[1]Data!R1086</f>
        <v>0</v>
      </c>
      <c r="S1086" s="8">
        <f>[1]Data!S1086</f>
        <v>0</v>
      </c>
      <c r="T1086">
        <f t="shared" si="80"/>
        <v>3.3333333333333298E-2</v>
      </c>
      <c r="U1086">
        <f t="shared" si="81"/>
        <v>0</v>
      </c>
      <c r="V1086" s="4" t="str">
        <f t="shared" si="82"/>
        <v>0</v>
      </c>
      <c r="W1086" s="4" t="str">
        <f t="shared" si="83"/>
        <v>8</v>
      </c>
      <c r="X1086" s="4" t="str">
        <f t="shared" si="84"/>
        <v>0NON-HS8</v>
      </c>
      <c r="Y1086">
        <f>VLOOKUP(X1086,Sheet1!$J$5:$K$121,2,FALSE)</f>
        <v>0</v>
      </c>
    </row>
    <row r="1087" spans="1:25" x14ac:dyDescent="0.25">
      <c r="A1087" s="8">
        <f>[1]Data!A1087</f>
        <v>543601</v>
      </c>
      <c r="B1087" s="8">
        <f>[1]Data!B1087</f>
        <v>8</v>
      </c>
      <c r="C1087" s="8">
        <f>[1]Data!C1087</f>
        <v>0</v>
      </c>
      <c r="D1087" s="8">
        <f>[1]Data!D1087</f>
        <v>2</v>
      </c>
      <c r="E1087" s="8" t="str">
        <f>[1]Data!E1087</f>
        <v>NON-HS</v>
      </c>
      <c r="F1087" s="8" t="str">
        <f>[1]Data!F1087</f>
        <v>Carson</v>
      </c>
      <c r="G1087" s="8">
        <f>[1]Data!G1087</f>
        <v>0</v>
      </c>
      <c r="H1087" s="8">
        <f>[1]Data!H1087</f>
        <v>0</v>
      </c>
      <c r="I1087" s="8">
        <f>[1]Data!I1087</f>
        <v>9.8059999999999992</v>
      </c>
      <c r="J1087" s="8">
        <f>[1]Data!J1087</f>
        <v>7.4336636599999997</v>
      </c>
      <c r="K1087" s="8">
        <f>[1]Data!K1087</f>
        <v>9.4336636600000006</v>
      </c>
      <c r="L1087" s="8">
        <f>[1]Data!L1087</f>
        <v>0.37231622333931802</v>
      </c>
      <c r="M1087" s="8">
        <f>[1]Data!M1087</f>
        <v>9.8059798833393206</v>
      </c>
      <c r="N1087" s="8">
        <f>[1]Data!N1087</f>
        <v>3.3333333333333298E-2</v>
      </c>
      <c r="O1087" s="8">
        <f>[1]Data!O1087</f>
        <v>0</v>
      </c>
      <c r="P1087" s="8">
        <f>[1]Data!P1087</f>
        <v>0.82499999999999996</v>
      </c>
      <c r="Q1087" s="8">
        <f>[1]Data!Q1087</f>
        <v>0</v>
      </c>
      <c r="R1087" s="8">
        <f>[1]Data!R1087</f>
        <v>0</v>
      </c>
      <c r="S1087" s="8">
        <f>[1]Data!S1087</f>
        <v>0</v>
      </c>
      <c r="T1087">
        <f t="shared" si="80"/>
        <v>3.3333333333333298E-2</v>
      </c>
      <c r="U1087">
        <f t="shared" si="81"/>
        <v>0</v>
      </c>
      <c r="V1087" s="4" t="str">
        <f t="shared" si="82"/>
        <v>0</v>
      </c>
      <c r="W1087" s="4" t="str">
        <f t="shared" si="83"/>
        <v>8</v>
      </c>
      <c r="X1087" s="4" t="str">
        <f t="shared" si="84"/>
        <v>0NON-HS8</v>
      </c>
      <c r="Y1087">
        <f>VLOOKUP(X1087,Sheet1!$J$5:$K$121,2,FALSE)</f>
        <v>0</v>
      </c>
    </row>
    <row r="1088" spans="1:25" x14ac:dyDescent="0.25">
      <c r="A1088" s="8">
        <f>[1]Data!A1088</f>
        <v>601402</v>
      </c>
      <c r="B1088" s="8">
        <f>[1]Data!B1088</f>
        <v>8</v>
      </c>
      <c r="C1088" s="8">
        <f>[1]Data!C1088</f>
        <v>0</v>
      </c>
      <c r="D1088" s="8">
        <f>[1]Data!D1088</f>
        <v>2</v>
      </c>
      <c r="E1088" s="8" t="str">
        <f>[1]Data!E1088</f>
        <v>NON-HS</v>
      </c>
      <c r="F1088" s="8" t="str">
        <f>[1]Data!F1088</f>
        <v>Inglewood</v>
      </c>
      <c r="G1088" s="8">
        <f>[1]Data!G1088</f>
        <v>1</v>
      </c>
      <c r="H1088" s="8">
        <f>[1]Data!H1088</f>
        <v>1</v>
      </c>
      <c r="I1088" s="8">
        <f>[1]Data!I1088</f>
        <v>0</v>
      </c>
      <c r="J1088" s="8">
        <f>[1]Data!J1088</f>
        <v>0</v>
      </c>
      <c r="K1088" s="8">
        <f>[1]Data!K1088</f>
        <v>0</v>
      </c>
      <c r="L1088" s="8">
        <f>[1]Data!L1088</f>
        <v>0</v>
      </c>
      <c r="M1088" s="8">
        <f>[1]Data!M1088</f>
        <v>0</v>
      </c>
      <c r="N1088" s="8">
        <f>[1]Data!N1088</f>
        <v>3.3333333333333298E-2</v>
      </c>
      <c r="O1088" s="8">
        <f>[1]Data!O1088</f>
        <v>30</v>
      </c>
      <c r="P1088" s="8">
        <f>[1]Data!P1088</f>
        <v>0.82499999999999996</v>
      </c>
      <c r="Q1088" s="8">
        <f>[1]Data!Q1088</f>
        <v>0</v>
      </c>
      <c r="R1088" s="8">
        <f>[1]Data!R1088</f>
        <v>0</v>
      </c>
      <c r="S1088" s="8">
        <f>[1]Data!S1088</f>
        <v>0</v>
      </c>
      <c r="T1088">
        <f t="shared" si="80"/>
        <v>3.3333333333333298E-2</v>
      </c>
      <c r="U1088">
        <f t="shared" si="81"/>
        <v>30.000000000000032</v>
      </c>
      <c r="V1088" s="4" t="str">
        <f t="shared" si="82"/>
        <v>0</v>
      </c>
      <c r="W1088" s="4" t="str">
        <f t="shared" si="83"/>
        <v>8</v>
      </c>
      <c r="X1088" s="4" t="str">
        <f t="shared" si="84"/>
        <v>0NON-HS8</v>
      </c>
      <c r="Y1088">
        <f>VLOOKUP(X1088,Sheet1!$J$5:$K$121,2,FALSE)</f>
        <v>0</v>
      </c>
    </row>
    <row r="1089" spans="1:25" x14ac:dyDescent="0.25">
      <c r="A1089" s="8">
        <f>[1]Data!A1089</f>
        <v>602002</v>
      </c>
      <c r="B1089" s="8">
        <f>[1]Data!B1089</f>
        <v>8</v>
      </c>
      <c r="C1089" s="8">
        <f>[1]Data!C1089</f>
        <v>0</v>
      </c>
      <c r="D1089" s="8">
        <f>[1]Data!D1089</f>
        <v>2</v>
      </c>
      <c r="E1089" s="8" t="str">
        <f>[1]Data!E1089</f>
        <v>NON-HS</v>
      </c>
      <c r="F1089" s="8" t="str">
        <f>[1]Data!F1089</f>
        <v>Hawthorne</v>
      </c>
      <c r="G1089" s="8">
        <f>[1]Data!G1089</f>
        <v>0</v>
      </c>
      <c r="H1089" s="8">
        <f>[1]Data!H1089</f>
        <v>0</v>
      </c>
      <c r="I1089" s="8">
        <f>[1]Data!I1089</f>
        <v>2.0950000000000002</v>
      </c>
      <c r="J1089" s="8">
        <f>[1]Data!J1089</f>
        <v>1.9836996600000001</v>
      </c>
      <c r="K1089" s="8">
        <f>[1]Data!K1089</f>
        <v>1.9836996600000001</v>
      </c>
      <c r="L1089" s="8">
        <f>[1]Data!L1089</f>
        <v>0.11117260138240601</v>
      </c>
      <c r="M1089" s="8">
        <f>[1]Data!M1089</f>
        <v>2.09487226138241</v>
      </c>
      <c r="N1089" s="8">
        <f>[1]Data!N1089</f>
        <v>3.3333333333333298E-2</v>
      </c>
      <c r="O1089" s="8">
        <f>[1]Data!O1089</f>
        <v>0</v>
      </c>
      <c r="P1089" s="8">
        <f>[1]Data!P1089</f>
        <v>0.82499999999999996</v>
      </c>
      <c r="Q1089" s="8">
        <f>[1]Data!Q1089</f>
        <v>0</v>
      </c>
      <c r="R1089" s="8">
        <f>[1]Data!R1089</f>
        <v>0</v>
      </c>
      <c r="S1089" s="8">
        <f>[1]Data!S1089</f>
        <v>0</v>
      </c>
      <c r="T1089">
        <f t="shared" si="80"/>
        <v>3.3333333333333298E-2</v>
      </c>
      <c r="U1089">
        <f t="shared" si="81"/>
        <v>0</v>
      </c>
      <c r="V1089" s="4" t="str">
        <f t="shared" si="82"/>
        <v>0</v>
      </c>
      <c r="W1089" s="4" t="str">
        <f t="shared" si="83"/>
        <v>8</v>
      </c>
      <c r="X1089" s="4" t="str">
        <f t="shared" si="84"/>
        <v>0NON-HS8</v>
      </c>
      <c r="Y1089">
        <f>VLOOKUP(X1089,Sheet1!$J$5:$K$121,2,FALSE)</f>
        <v>0</v>
      </c>
    </row>
    <row r="1090" spans="1:25" x14ac:dyDescent="0.25">
      <c r="A1090" s="8">
        <f>[1]Data!A1090</f>
        <v>602106</v>
      </c>
      <c r="B1090" s="8">
        <f>[1]Data!B1090</f>
        <v>8</v>
      </c>
      <c r="C1090" s="8">
        <f>[1]Data!C1090</f>
        <v>0</v>
      </c>
      <c r="D1090" s="8">
        <f>[1]Data!D1090</f>
        <v>2</v>
      </c>
      <c r="E1090" s="8" t="str">
        <f>[1]Data!E1090</f>
        <v>NON-HS</v>
      </c>
      <c r="F1090" s="8" t="str">
        <f>[1]Data!F1090</f>
        <v>Hawthorne</v>
      </c>
      <c r="G1090" s="8">
        <f>[1]Data!G1090</f>
        <v>0</v>
      </c>
      <c r="H1090" s="8">
        <f>[1]Data!H1090</f>
        <v>0</v>
      </c>
      <c r="I1090" s="8">
        <f>[1]Data!I1090</f>
        <v>4</v>
      </c>
      <c r="J1090" s="8">
        <f>[1]Data!J1090</f>
        <v>0</v>
      </c>
      <c r="K1090" s="8">
        <f>[1]Data!K1090</f>
        <v>4</v>
      </c>
      <c r="L1090" s="8">
        <f>[1]Data!L1090</f>
        <v>0</v>
      </c>
      <c r="M1090" s="8">
        <f>[1]Data!M1090</f>
        <v>4</v>
      </c>
      <c r="N1090" s="8">
        <f>[1]Data!N1090</f>
        <v>3.3333333333333298E-2</v>
      </c>
      <c r="O1090" s="8">
        <f>[1]Data!O1090</f>
        <v>0</v>
      </c>
      <c r="P1090" s="8">
        <f>[1]Data!P1090</f>
        <v>0.82499999999999996</v>
      </c>
      <c r="Q1090" s="8">
        <f>[1]Data!Q1090</f>
        <v>0</v>
      </c>
      <c r="R1090" s="8">
        <f>[1]Data!R1090</f>
        <v>0</v>
      </c>
      <c r="S1090" s="8">
        <f>[1]Data!S1090</f>
        <v>0</v>
      </c>
      <c r="T1090">
        <f t="shared" si="80"/>
        <v>3.3333333333333298E-2</v>
      </c>
      <c r="U1090">
        <f t="shared" si="81"/>
        <v>0</v>
      </c>
      <c r="V1090" s="4" t="str">
        <f t="shared" si="82"/>
        <v>0</v>
      </c>
      <c r="W1090" s="4" t="str">
        <f t="shared" si="83"/>
        <v>8</v>
      </c>
      <c r="X1090" s="4" t="str">
        <f t="shared" si="84"/>
        <v>0NON-HS8</v>
      </c>
      <c r="Y1090">
        <f>VLOOKUP(X1090,Sheet1!$J$5:$K$121,2,FALSE)</f>
        <v>0</v>
      </c>
    </row>
    <row r="1091" spans="1:25" x14ac:dyDescent="0.25">
      <c r="A1091" s="8">
        <f>[1]Data!A1091</f>
        <v>651201</v>
      </c>
      <c r="B1091" s="8">
        <f>[1]Data!B1091</f>
        <v>8</v>
      </c>
      <c r="C1091" s="8">
        <f>[1]Data!C1091</f>
        <v>0</v>
      </c>
      <c r="D1091" s="8">
        <f>[1]Data!D1091</f>
        <v>4</v>
      </c>
      <c r="E1091" s="8" t="str">
        <f>[1]Data!E1091</f>
        <v>NON-HS</v>
      </c>
      <c r="F1091" s="8" t="str">
        <f>[1]Data!F1091</f>
        <v>Torrance</v>
      </c>
      <c r="G1091" s="8">
        <f>[1]Data!G1091</f>
        <v>0</v>
      </c>
      <c r="H1091" s="8">
        <f>[1]Data!H1091</f>
        <v>0</v>
      </c>
      <c r="I1091" s="8">
        <f>[1]Data!I1091</f>
        <v>0</v>
      </c>
      <c r="J1091" s="8">
        <f>[1]Data!J1091</f>
        <v>0</v>
      </c>
      <c r="K1091" s="8">
        <f>[1]Data!K1091</f>
        <v>0</v>
      </c>
      <c r="L1091" s="8">
        <f>[1]Data!L1091</f>
        <v>0</v>
      </c>
      <c r="M1091" s="8">
        <f>[1]Data!M1091</f>
        <v>0</v>
      </c>
      <c r="N1091" s="8">
        <f>[1]Data!N1091</f>
        <v>3.3333333333333298E-2</v>
      </c>
      <c r="O1091" s="8">
        <f>[1]Data!O1091</f>
        <v>0</v>
      </c>
      <c r="P1091" s="8">
        <f>[1]Data!P1091</f>
        <v>0.82499999999999996</v>
      </c>
      <c r="Q1091" s="8">
        <f>[1]Data!Q1091</f>
        <v>0</v>
      </c>
      <c r="R1091" s="8">
        <f>[1]Data!R1091</f>
        <v>0</v>
      </c>
      <c r="S1091" s="8">
        <f>[1]Data!S1091</f>
        <v>0</v>
      </c>
      <c r="T1091">
        <f t="shared" ref="T1091:T1154" si="85">N1091+Y1091*(1-N1091)</f>
        <v>3.3333333333333298E-2</v>
      </c>
      <c r="U1091">
        <f t="shared" ref="U1091:U1154" si="86">IF(T1091="",0,1/T1091*H1091)</f>
        <v>0</v>
      </c>
      <c r="V1091" s="4" t="str">
        <f t="shared" ref="V1091:V1154" si="87">TEXT(C1091,"0")</f>
        <v>0</v>
      </c>
      <c r="W1091" s="4" t="str">
        <f t="shared" ref="W1091:W1154" si="88">TEXT(B1091,"0")</f>
        <v>8</v>
      </c>
      <c r="X1091" s="4" t="str">
        <f t="shared" ref="X1091:X1154" si="89">CONCATENATE(V1091,E1091,W1091)</f>
        <v>0NON-HS8</v>
      </c>
      <c r="Y1091">
        <f>VLOOKUP(X1091,Sheet1!$J$5:$K$121,2,FALSE)</f>
        <v>0</v>
      </c>
    </row>
    <row r="1092" spans="1:25" x14ac:dyDescent="0.25">
      <c r="A1092" s="8">
        <f>[1]Data!A1092</f>
        <v>602302</v>
      </c>
      <c r="B1092" s="8">
        <f>[1]Data!B1092</f>
        <v>8</v>
      </c>
      <c r="C1092" s="8">
        <f>[1]Data!C1092</f>
        <v>0</v>
      </c>
      <c r="D1092" s="8">
        <f>[1]Data!D1092</f>
        <v>2</v>
      </c>
      <c r="E1092" s="8" t="str">
        <f>[1]Data!E1092</f>
        <v>NON-HS</v>
      </c>
      <c r="F1092" s="8" t="str">
        <f>[1]Data!F1092</f>
        <v>Hawthorne</v>
      </c>
      <c r="G1092" s="8">
        <f>[1]Data!G1092</f>
        <v>0</v>
      </c>
      <c r="H1092" s="8">
        <f>[1]Data!H1092</f>
        <v>0</v>
      </c>
      <c r="I1092" s="8">
        <f>[1]Data!I1092</f>
        <v>1.9259999999999999</v>
      </c>
      <c r="J1092" s="8">
        <f>[1]Data!J1092</f>
        <v>1.90487994</v>
      </c>
      <c r="K1092" s="8">
        <f>[1]Data!K1092</f>
        <v>1.90487994</v>
      </c>
      <c r="L1092" s="8">
        <f>[1]Data!L1092</f>
        <v>2.0625322082585301E-2</v>
      </c>
      <c r="M1092" s="8">
        <f>[1]Data!M1092</f>
        <v>1.9255052620825901</v>
      </c>
      <c r="N1092" s="8">
        <f>[1]Data!N1092</f>
        <v>3.3333333333333298E-2</v>
      </c>
      <c r="O1092" s="8">
        <f>[1]Data!O1092</f>
        <v>0</v>
      </c>
      <c r="P1092" s="8">
        <f>[1]Data!P1092</f>
        <v>0.82499999999999996</v>
      </c>
      <c r="Q1092" s="8">
        <f>[1]Data!Q1092</f>
        <v>0</v>
      </c>
      <c r="R1092" s="8">
        <f>[1]Data!R1092</f>
        <v>0</v>
      </c>
      <c r="S1092" s="8">
        <f>[1]Data!S1092</f>
        <v>0</v>
      </c>
      <c r="T1092">
        <f t="shared" si="85"/>
        <v>3.3333333333333298E-2</v>
      </c>
      <c r="U1092">
        <f t="shared" si="86"/>
        <v>0</v>
      </c>
      <c r="V1092" s="4" t="str">
        <f t="shared" si="87"/>
        <v>0</v>
      </c>
      <c r="W1092" s="4" t="str">
        <f t="shared" si="88"/>
        <v>8</v>
      </c>
      <c r="X1092" s="4" t="str">
        <f t="shared" si="89"/>
        <v>0NON-HS8</v>
      </c>
      <c r="Y1092">
        <f>VLOOKUP(X1092,Sheet1!$J$5:$K$121,2,FALSE)</f>
        <v>0</v>
      </c>
    </row>
    <row r="1093" spans="1:25" x14ac:dyDescent="0.25">
      <c r="A1093" s="8">
        <f>[1]Data!A1093</f>
        <v>602403</v>
      </c>
      <c r="B1093" s="8">
        <f>[1]Data!B1093</f>
        <v>8</v>
      </c>
      <c r="C1093" s="8">
        <f>[1]Data!C1093</f>
        <v>0</v>
      </c>
      <c r="D1093" s="8">
        <f>[1]Data!D1093</f>
        <v>2</v>
      </c>
      <c r="E1093" s="8" t="str">
        <f>[1]Data!E1093</f>
        <v>NON-HS</v>
      </c>
      <c r="F1093" s="8" t="str">
        <f>[1]Data!F1093</f>
        <v>Hawthorne</v>
      </c>
      <c r="G1093" s="8">
        <f>[1]Data!G1093</f>
        <v>0</v>
      </c>
      <c r="H1093" s="8">
        <f>[1]Data!H1093</f>
        <v>0</v>
      </c>
      <c r="I1093" s="8">
        <f>[1]Data!I1093</f>
        <v>0</v>
      </c>
      <c r="J1093" s="8">
        <f>[1]Data!J1093</f>
        <v>0</v>
      </c>
      <c r="K1093" s="8">
        <f>[1]Data!K1093</f>
        <v>0</v>
      </c>
      <c r="L1093" s="8">
        <f>[1]Data!L1093</f>
        <v>0</v>
      </c>
      <c r="M1093" s="8">
        <f>[1]Data!M1093</f>
        <v>0</v>
      </c>
      <c r="N1093" s="8">
        <f>[1]Data!N1093</f>
        <v>3.3333333333333298E-2</v>
      </c>
      <c r="O1093" s="8">
        <f>[1]Data!O1093</f>
        <v>0</v>
      </c>
      <c r="P1093" s="8">
        <f>[1]Data!P1093</f>
        <v>0.82499999999999996</v>
      </c>
      <c r="Q1093" s="8">
        <f>[1]Data!Q1093</f>
        <v>0</v>
      </c>
      <c r="R1093" s="8">
        <f>[1]Data!R1093</f>
        <v>0</v>
      </c>
      <c r="S1093" s="8">
        <f>[1]Data!S1093</f>
        <v>0</v>
      </c>
      <c r="T1093">
        <f t="shared" si="85"/>
        <v>3.3333333333333298E-2</v>
      </c>
      <c r="U1093">
        <f t="shared" si="86"/>
        <v>0</v>
      </c>
      <c r="V1093" s="4" t="str">
        <f t="shared" si="87"/>
        <v>0</v>
      </c>
      <c r="W1093" s="4" t="str">
        <f t="shared" si="88"/>
        <v>8</v>
      </c>
      <c r="X1093" s="4" t="str">
        <f t="shared" si="89"/>
        <v>0NON-HS8</v>
      </c>
      <c r="Y1093">
        <f>VLOOKUP(X1093,Sheet1!$J$5:$K$121,2,FALSE)</f>
        <v>0</v>
      </c>
    </row>
    <row r="1094" spans="1:25" x14ac:dyDescent="0.25">
      <c r="A1094" s="8">
        <f>[1]Data!A1094</f>
        <v>602504</v>
      </c>
      <c r="B1094" s="8">
        <f>[1]Data!B1094</f>
        <v>8</v>
      </c>
      <c r="C1094" s="8">
        <f>[1]Data!C1094</f>
        <v>0</v>
      </c>
      <c r="D1094" s="8">
        <f>[1]Data!D1094</f>
        <v>2</v>
      </c>
      <c r="E1094" s="8" t="str">
        <f>[1]Data!E1094</f>
        <v>NON-HS</v>
      </c>
      <c r="F1094" s="8" t="str">
        <f>[1]Data!F1094</f>
        <v>Hawthorne</v>
      </c>
      <c r="G1094" s="8">
        <f>[1]Data!G1094</f>
        <v>0</v>
      </c>
      <c r="H1094" s="8">
        <f>[1]Data!H1094</f>
        <v>0</v>
      </c>
      <c r="I1094" s="8">
        <f>[1]Data!I1094</f>
        <v>4.1900000000000004</v>
      </c>
      <c r="J1094" s="8">
        <f>[1]Data!J1094</f>
        <v>3.9673993200000002</v>
      </c>
      <c r="K1094" s="8">
        <f>[1]Data!K1094</f>
        <v>3.9673993200000002</v>
      </c>
      <c r="L1094" s="8">
        <f>[1]Data!L1094</f>
        <v>0.22234520276481101</v>
      </c>
      <c r="M1094" s="8">
        <f>[1]Data!M1094</f>
        <v>4.1897445227648102</v>
      </c>
      <c r="N1094" s="8">
        <f>[1]Data!N1094</f>
        <v>3.3333333333333298E-2</v>
      </c>
      <c r="O1094" s="8">
        <f>[1]Data!O1094</f>
        <v>0</v>
      </c>
      <c r="P1094" s="8">
        <f>[1]Data!P1094</f>
        <v>0.82499999999999996</v>
      </c>
      <c r="Q1094" s="8">
        <f>[1]Data!Q1094</f>
        <v>0</v>
      </c>
      <c r="R1094" s="8">
        <f>[1]Data!R1094</f>
        <v>0</v>
      </c>
      <c r="S1094" s="8">
        <f>[1]Data!S1094</f>
        <v>0</v>
      </c>
      <c r="T1094">
        <f t="shared" si="85"/>
        <v>3.3333333333333298E-2</v>
      </c>
      <c r="U1094">
        <f t="shared" si="86"/>
        <v>0</v>
      </c>
      <c r="V1094" s="4" t="str">
        <f t="shared" si="87"/>
        <v>0</v>
      </c>
      <c r="W1094" s="4" t="str">
        <f t="shared" si="88"/>
        <v>8</v>
      </c>
      <c r="X1094" s="4" t="str">
        <f t="shared" si="89"/>
        <v>0NON-HS8</v>
      </c>
      <c r="Y1094">
        <f>VLOOKUP(X1094,Sheet1!$J$5:$K$121,2,FALSE)</f>
        <v>0</v>
      </c>
    </row>
    <row r="1095" spans="1:25" x14ac:dyDescent="0.25">
      <c r="A1095" s="8">
        <f>[1]Data!A1095</f>
        <v>602507</v>
      </c>
      <c r="B1095" s="8">
        <f>[1]Data!B1095</f>
        <v>8</v>
      </c>
      <c r="C1095" s="8">
        <f>[1]Data!C1095</f>
        <v>0</v>
      </c>
      <c r="D1095" s="8">
        <f>[1]Data!D1095</f>
        <v>2</v>
      </c>
      <c r="E1095" s="8" t="str">
        <f>[1]Data!E1095</f>
        <v>NON-HS</v>
      </c>
      <c r="F1095" s="8" t="str">
        <f>[1]Data!F1095</f>
        <v>Hawthorne</v>
      </c>
      <c r="G1095" s="8">
        <f>[1]Data!G1095</f>
        <v>0</v>
      </c>
      <c r="H1095" s="8">
        <f>[1]Data!H1095</f>
        <v>0</v>
      </c>
      <c r="I1095" s="8">
        <f>[1]Data!I1095</f>
        <v>0</v>
      </c>
      <c r="J1095" s="8">
        <f>[1]Data!J1095</f>
        <v>0</v>
      </c>
      <c r="K1095" s="8">
        <f>[1]Data!K1095</f>
        <v>0</v>
      </c>
      <c r="L1095" s="8">
        <f>[1]Data!L1095</f>
        <v>0</v>
      </c>
      <c r="M1095" s="8">
        <f>[1]Data!M1095</f>
        <v>0</v>
      </c>
      <c r="N1095" s="8">
        <f>[1]Data!N1095</f>
        <v>3.3333333333333298E-2</v>
      </c>
      <c r="O1095" s="8">
        <f>[1]Data!O1095</f>
        <v>0</v>
      </c>
      <c r="P1095" s="8">
        <f>[1]Data!P1095</f>
        <v>0.82499999999999996</v>
      </c>
      <c r="Q1095" s="8">
        <f>[1]Data!Q1095</f>
        <v>0</v>
      </c>
      <c r="R1095" s="8">
        <f>[1]Data!R1095</f>
        <v>0</v>
      </c>
      <c r="S1095" s="8">
        <f>[1]Data!S1095</f>
        <v>0</v>
      </c>
      <c r="T1095">
        <f t="shared" si="85"/>
        <v>3.3333333333333298E-2</v>
      </c>
      <c r="U1095">
        <f t="shared" si="86"/>
        <v>0</v>
      </c>
      <c r="V1095" s="4" t="str">
        <f t="shared" si="87"/>
        <v>0</v>
      </c>
      <c r="W1095" s="4" t="str">
        <f t="shared" si="88"/>
        <v>8</v>
      </c>
      <c r="X1095" s="4" t="str">
        <f t="shared" si="89"/>
        <v>0NON-HS8</v>
      </c>
      <c r="Y1095">
        <f>VLOOKUP(X1095,Sheet1!$J$5:$K$121,2,FALSE)</f>
        <v>0</v>
      </c>
    </row>
    <row r="1096" spans="1:25" x14ac:dyDescent="0.25">
      <c r="A1096" s="8">
        <f>[1]Data!A1096</f>
        <v>602003</v>
      </c>
      <c r="B1096" s="8">
        <f>[1]Data!B1096</f>
        <v>8</v>
      </c>
      <c r="C1096" s="8">
        <f>[1]Data!C1096</f>
        <v>0</v>
      </c>
      <c r="D1096" s="8">
        <f>[1]Data!D1096</f>
        <v>2</v>
      </c>
      <c r="E1096" s="8" t="str">
        <f>[1]Data!E1096</f>
        <v>NON-HS</v>
      </c>
      <c r="F1096" s="8" t="str">
        <f>[1]Data!F1096</f>
        <v>Inglewood</v>
      </c>
      <c r="G1096" s="8">
        <f>[1]Data!G1096</f>
        <v>0</v>
      </c>
      <c r="H1096" s="8">
        <f>[1]Data!H1096</f>
        <v>0</v>
      </c>
      <c r="I1096" s="8">
        <f>[1]Data!I1096</f>
        <v>1.9259999999999999</v>
      </c>
      <c r="J1096" s="8">
        <f>[1]Data!J1096</f>
        <v>1.90487994</v>
      </c>
      <c r="K1096" s="8">
        <f>[1]Data!K1096</f>
        <v>1.90487994</v>
      </c>
      <c r="L1096" s="8">
        <f>[1]Data!L1096</f>
        <v>2.0625322082585301E-2</v>
      </c>
      <c r="M1096" s="8">
        <f>[1]Data!M1096</f>
        <v>1.9255052620825901</v>
      </c>
      <c r="N1096" s="8">
        <f>[1]Data!N1096</f>
        <v>3.3333333333333298E-2</v>
      </c>
      <c r="O1096" s="8">
        <f>[1]Data!O1096</f>
        <v>0</v>
      </c>
      <c r="P1096" s="8">
        <f>[1]Data!P1096</f>
        <v>0.82499999999999996</v>
      </c>
      <c r="Q1096" s="8">
        <f>[1]Data!Q1096</f>
        <v>0</v>
      </c>
      <c r="R1096" s="8">
        <f>[1]Data!R1096</f>
        <v>0</v>
      </c>
      <c r="S1096" s="8">
        <f>[1]Data!S1096</f>
        <v>0</v>
      </c>
      <c r="T1096">
        <f t="shared" si="85"/>
        <v>3.3333333333333298E-2</v>
      </c>
      <c r="U1096">
        <f t="shared" si="86"/>
        <v>0</v>
      </c>
      <c r="V1096" s="4" t="str">
        <f t="shared" si="87"/>
        <v>0</v>
      </c>
      <c r="W1096" s="4" t="str">
        <f t="shared" si="88"/>
        <v>8</v>
      </c>
      <c r="X1096" s="4" t="str">
        <f t="shared" si="89"/>
        <v>0NON-HS8</v>
      </c>
      <c r="Y1096">
        <f>VLOOKUP(X1096,Sheet1!$J$5:$K$121,2,FALSE)</f>
        <v>0</v>
      </c>
    </row>
    <row r="1097" spans="1:25" x14ac:dyDescent="0.25">
      <c r="A1097" s="8">
        <f>[1]Data!A1097</f>
        <v>602508</v>
      </c>
      <c r="B1097" s="8">
        <f>[1]Data!B1097</f>
        <v>8</v>
      </c>
      <c r="C1097" s="8">
        <f>[1]Data!C1097</f>
        <v>0</v>
      </c>
      <c r="D1097" s="8">
        <f>[1]Data!D1097</f>
        <v>2</v>
      </c>
      <c r="E1097" s="8" t="str">
        <f>[1]Data!E1097</f>
        <v>NON-HS</v>
      </c>
      <c r="F1097" s="8" t="str">
        <f>[1]Data!F1097</f>
        <v>Hawthorne</v>
      </c>
      <c r="G1097" s="8">
        <f>[1]Data!G1097</f>
        <v>0</v>
      </c>
      <c r="H1097" s="8">
        <f>[1]Data!H1097</f>
        <v>0</v>
      </c>
      <c r="I1097" s="8">
        <f>[1]Data!I1097</f>
        <v>0</v>
      </c>
      <c r="J1097" s="8">
        <f>[1]Data!J1097</f>
        <v>0</v>
      </c>
      <c r="K1097" s="8">
        <f>[1]Data!K1097</f>
        <v>0</v>
      </c>
      <c r="L1097" s="8">
        <f>[1]Data!L1097</f>
        <v>0</v>
      </c>
      <c r="M1097" s="8">
        <f>[1]Data!M1097</f>
        <v>0</v>
      </c>
      <c r="N1097" s="8">
        <f>[1]Data!N1097</f>
        <v>3.3333333333333298E-2</v>
      </c>
      <c r="O1097" s="8">
        <f>[1]Data!O1097</f>
        <v>0</v>
      </c>
      <c r="P1097" s="8">
        <f>[1]Data!P1097</f>
        <v>0.82499999999999996</v>
      </c>
      <c r="Q1097" s="8">
        <f>[1]Data!Q1097</f>
        <v>0</v>
      </c>
      <c r="R1097" s="8">
        <f>[1]Data!R1097</f>
        <v>0</v>
      </c>
      <c r="S1097" s="8">
        <f>[1]Data!S1097</f>
        <v>0</v>
      </c>
      <c r="T1097">
        <f t="shared" si="85"/>
        <v>3.3333333333333298E-2</v>
      </c>
      <c r="U1097">
        <f t="shared" si="86"/>
        <v>0</v>
      </c>
      <c r="V1097" s="4" t="str">
        <f t="shared" si="87"/>
        <v>0</v>
      </c>
      <c r="W1097" s="4" t="str">
        <f t="shared" si="88"/>
        <v>8</v>
      </c>
      <c r="X1097" s="4" t="str">
        <f t="shared" si="89"/>
        <v>0NON-HS8</v>
      </c>
      <c r="Y1097">
        <f>VLOOKUP(X1097,Sheet1!$J$5:$K$121,2,FALSE)</f>
        <v>0</v>
      </c>
    </row>
    <row r="1098" spans="1:25" x14ac:dyDescent="0.25">
      <c r="A1098" s="8">
        <f>[1]Data!A1098</f>
        <v>650605</v>
      </c>
      <c r="B1098" s="8">
        <f>[1]Data!B1098</f>
        <v>8</v>
      </c>
      <c r="C1098" s="8">
        <f>[1]Data!C1098</f>
        <v>0</v>
      </c>
      <c r="D1098" s="8">
        <f>[1]Data!D1098</f>
        <v>4</v>
      </c>
      <c r="E1098" s="8" t="str">
        <f>[1]Data!E1098</f>
        <v>NON-HS</v>
      </c>
      <c r="F1098" s="8" t="str">
        <f>[1]Data!F1098</f>
        <v>Torrance</v>
      </c>
      <c r="G1098" s="8">
        <f>[1]Data!G1098</f>
        <v>0</v>
      </c>
      <c r="H1098" s="8">
        <f>[1]Data!H1098</f>
        <v>0</v>
      </c>
      <c r="I1098" s="8">
        <f>[1]Data!I1098</f>
        <v>1.8080000000000001</v>
      </c>
      <c r="J1098" s="8">
        <f>[1]Data!J1098</f>
        <v>1.73313217</v>
      </c>
      <c r="K1098" s="8">
        <f>[1]Data!K1098</f>
        <v>1.73313217</v>
      </c>
      <c r="L1098" s="8">
        <f>[1]Data!L1098</f>
        <v>7.4985510287253102E-2</v>
      </c>
      <c r="M1098" s="8">
        <f>[1]Data!M1098</f>
        <v>1.8081176802872501</v>
      </c>
      <c r="N1098" s="8">
        <f>[1]Data!N1098</f>
        <v>3.3333333333333298E-2</v>
      </c>
      <c r="O1098" s="8">
        <f>[1]Data!O1098</f>
        <v>0</v>
      </c>
      <c r="P1098" s="8">
        <f>[1]Data!P1098</f>
        <v>0.82499999999999996</v>
      </c>
      <c r="Q1098" s="8">
        <f>[1]Data!Q1098</f>
        <v>0</v>
      </c>
      <c r="R1098" s="8">
        <f>[1]Data!R1098</f>
        <v>0</v>
      </c>
      <c r="S1098" s="8">
        <f>[1]Data!S1098</f>
        <v>0</v>
      </c>
      <c r="T1098">
        <f t="shared" si="85"/>
        <v>3.3333333333333298E-2</v>
      </c>
      <c r="U1098">
        <f t="shared" si="86"/>
        <v>0</v>
      </c>
      <c r="V1098" s="4" t="str">
        <f t="shared" si="87"/>
        <v>0</v>
      </c>
      <c r="W1098" s="4" t="str">
        <f t="shared" si="88"/>
        <v>8</v>
      </c>
      <c r="X1098" s="4" t="str">
        <f t="shared" si="89"/>
        <v>0NON-HS8</v>
      </c>
      <c r="Y1098">
        <f>VLOOKUP(X1098,Sheet1!$J$5:$K$121,2,FALSE)</f>
        <v>0</v>
      </c>
    </row>
    <row r="1099" spans="1:25" x14ac:dyDescent="0.25">
      <c r="A1099" s="8">
        <f>[1]Data!A1099</f>
        <v>603001</v>
      </c>
      <c r="B1099" s="8">
        <f>[1]Data!B1099</f>
        <v>8</v>
      </c>
      <c r="C1099" s="8">
        <f>[1]Data!C1099</f>
        <v>0</v>
      </c>
      <c r="D1099" s="8">
        <f>[1]Data!D1099</f>
        <v>2</v>
      </c>
      <c r="E1099" s="8" t="str">
        <f>[1]Data!E1099</f>
        <v>NON-HS</v>
      </c>
      <c r="F1099" s="8" t="str">
        <f>[1]Data!F1099</f>
        <v>Gardena</v>
      </c>
      <c r="G1099" s="8">
        <f>[1]Data!G1099</f>
        <v>0</v>
      </c>
      <c r="H1099" s="8">
        <f>[1]Data!H1099</f>
        <v>0</v>
      </c>
      <c r="I1099" s="8">
        <f>[1]Data!I1099</f>
        <v>3.9260000000000002</v>
      </c>
      <c r="J1099" s="8">
        <f>[1]Data!J1099</f>
        <v>1.90487994</v>
      </c>
      <c r="K1099" s="8">
        <f>[1]Data!K1099</f>
        <v>3.9048799399999998</v>
      </c>
      <c r="L1099" s="8">
        <f>[1]Data!L1099</f>
        <v>2.0625322082585301E-2</v>
      </c>
      <c r="M1099" s="8">
        <f>[1]Data!M1099</f>
        <v>3.9255052620825901</v>
      </c>
      <c r="N1099" s="8">
        <f>[1]Data!N1099</f>
        <v>3.3333333333333298E-2</v>
      </c>
      <c r="O1099" s="8">
        <f>[1]Data!O1099</f>
        <v>0</v>
      </c>
      <c r="P1099" s="8">
        <f>[1]Data!P1099</f>
        <v>0.82499999999999996</v>
      </c>
      <c r="Q1099" s="8">
        <f>[1]Data!Q1099</f>
        <v>0</v>
      </c>
      <c r="R1099" s="8">
        <f>[1]Data!R1099</f>
        <v>0</v>
      </c>
      <c r="S1099" s="8">
        <f>[1]Data!S1099</f>
        <v>0</v>
      </c>
      <c r="T1099">
        <f t="shared" si="85"/>
        <v>3.3333333333333298E-2</v>
      </c>
      <c r="U1099">
        <f t="shared" si="86"/>
        <v>0</v>
      </c>
      <c r="V1099" s="4" t="str">
        <f t="shared" si="87"/>
        <v>0</v>
      </c>
      <c r="W1099" s="4" t="str">
        <f t="shared" si="88"/>
        <v>8</v>
      </c>
      <c r="X1099" s="4" t="str">
        <f t="shared" si="89"/>
        <v>0NON-HS8</v>
      </c>
      <c r="Y1099">
        <f>VLOOKUP(X1099,Sheet1!$J$5:$K$121,2,FALSE)</f>
        <v>0</v>
      </c>
    </row>
    <row r="1100" spans="1:25" x14ac:dyDescent="0.25">
      <c r="A1100" s="8">
        <f>[1]Data!A1100</f>
        <v>602802</v>
      </c>
      <c r="B1100" s="8">
        <f>[1]Data!B1100</f>
        <v>8</v>
      </c>
      <c r="C1100" s="8">
        <f>[1]Data!C1100</f>
        <v>0</v>
      </c>
      <c r="D1100" s="8">
        <f>[1]Data!D1100</f>
        <v>2</v>
      </c>
      <c r="E1100" s="8" t="str">
        <f>[1]Data!E1100</f>
        <v>NON-HS</v>
      </c>
      <c r="F1100" s="8" t="str">
        <f>[1]Data!F1100</f>
        <v>Westmont / West Athens</v>
      </c>
      <c r="G1100" s="8">
        <f>[1]Data!G1100</f>
        <v>0</v>
      </c>
      <c r="H1100" s="8">
        <f>[1]Data!H1100</f>
        <v>0</v>
      </c>
      <c r="I1100" s="8">
        <f>[1]Data!I1100</f>
        <v>1</v>
      </c>
      <c r="J1100" s="8">
        <f>[1]Data!J1100</f>
        <v>0</v>
      </c>
      <c r="K1100" s="8">
        <f>[1]Data!K1100</f>
        <v>1</v>
      </c>
      <c r="L1100" s="8">
        <f>[1]Data!L1100</f>
        <v>0</v>
      </c>
      <c r="M1100" s="8">
        <f>[1]Data!M1100</f>
        <v>1</v>
      </c>
      <c r="N1100" s="8">
        <f>[1]Data!N1100</f>
        <v>3.3333333333333298E-2</v>
      </c>
      <c r="O1100" s="8">
        <f>[1]Data!O1100</f>
        <v>0</v>
      </c>
      <c r="P1100" s="8">
        <f>[1]Data!P1100</f>
        <v>0.82499999999999996</v>
      </c>
      <c r="Q1100" s="8">
        <f>[1]Data!Q1100</f>
        <v>0</v>
      </c>
      <c r="R1100" s="8">
        <f>[1]Data!R1100</f>
        <v>0</v>
      </c>
      <c r="S1100" s="8">
        <f>[1]Data!S1100</f>
        <v>0</v>
      </c>
      <c r="T1100">
        <f t="shared" si="85"/>
        <v>3.3333333333333298E-2</v>
      </c>
      <c r="U1100">
        <f t="shared" si="86"/>
        <v>0</v>
      </c>
      <c r="V1100" s="4" t="str">
        <f t="shared" si="87"/>
        <v>0</v>
      </c>
      <c r="W1100" s="4" t="str">
        <f t="shared" si="88"/>
        <v>8</v>
      </c>
      <c r="X1100" s="4" t="str">
        <f t="shared" si="89"/>
        <v>0NON-HS8</v>
      </c>
      <c r="Y1100">
        <f>VLOOKUP(X1100,Sheet1!$J$5:$K$121,2,FALSE)</f>
        <v>0</v>
      </c>
    </row>
    <row r="1101" spans="1:25" x14ac:dyDescent="0.25">
      <c r="A1101" s="8">
        <f>[1]Data!A1101</f>
        <v>602900</v>
      </c>
      <c r="B1101" s="8">
        <f>[1]Data!B1101</f>
        <v>8</v>
      </c>
      <c r="C1101" s="8">
        <f>[1]Data!C1101</f>
        <v>0</v>
      </c>
      <c r="D1101" s="8">
        <f>[1]Data!D1101</f>
        <v>2</v>
      </c>
      <c r="E1101" s="8" t="str">
        <f>[1]Data!E1101</f>
        <v>NON-HS</v>
      </c>
      <c r="F1101" s="8" t="str">
        <f>[1]Data!F1101</f>
        <v>Gardena</v>
      </c>
      <c r="G1101" s="8">
        <f>[1]Data!G1101</f>
        <v>0</v>
      </c>
      <c r="H1101" s="8">
        <f>[1]Data!H1101</f>
        <v>0</v>
      </c>
      <c r="I1101" s="8">
        <f>[1]Data!I1101</f>
        <v>10.093</v>
      </c>
      <c r="J1101" s="8">
        <f>[1]Data!J1101</f>
        <v>7.6842311499999996</v>
      </c>
      <c r="K1101" s="8">
        <f>[1]Data!K1101</f>
        <v>9.6842311500000005</v>
      </c>
      <c r="L1101" s="8">
        <f>[1]Data!L1101</f>
        <v>0.40850331443447002</v>
      </c>
      <c r="M1101" s="8">
        <f>[1]Data!M1101</f>
        <v>10.0927344644345</v>
      </c>
      <c r="N1101" s="8">
        <f>[1]Data!N1101</f>
        <v>3.3333333333333298E-2</v>
      </c>
      <c r="O1101" s="8">
        <f>[1]Data!O1101</f>
        <v>0</v>
      </c>
      <c r="P1101" s="8">
        <f>[1]Data!P1101</f>
        <v>0.82499999999999996</v>
      </c>
      <c r="Q1101" s="8">
        <f>[1]Data!Q1101</f>
        <v>0</v>
      </c>
      <c r="R1101" s="8">
        <f>[1]Data!R1101</f>
        <v>0</v>
      </c>
      <c r="S1101" s="8">
        <f>[1]Data!S1101</f>
        <v>0</v>
      </c>
      <c r="T1101">
        <f t="shared" si="85"/>
        <v>3.3333333333333298E-2</v>
      </c>
      <c r="U1101">
        <f t="shared" si="86"/>
        <v>0</v>
      </c>
      <c r="V1101" s="4" t="str">
        <f t="shared" si="87"/>
        <v>0</v>
      </c>
      <c r="W1101" s="4" t="str">
        <f t="shared" si="88"/>
        <v>8</v>
      </c>
      <c r="X1101" s="4" t="str">
        <f t="shared" si="89"/>
        <v>0NON-HS8</v>
      </c>
      <c r="Y1101">
        <f>VLOOKUP(X1101,Sheet1!$J$5:$K$121,2,FALSE)</f>
        <v>0</v>
      </c>
    </row>
    <row r="1102" spans="1:25" x14ac:dyDescent="0.25">
      <c r="A1102" s="8">
        <f>[1]Data!A1102</f>
        <v>603004</v>
      </c>
      <c r="B1102" s="8">
        <f>[1]Data!B1102</f>
        <v>8</v>
      </c>
      <c r="C1102" s="8">
        <f>[1]Data!C1102</f>
        <v>0</v>
      </c>
      <c r="D1102" s="8">
        <f>[1]Data!D1102</f>
        <v>2</v>
      </c>
      <c r="E1102" s="8" t="str">
        <f>[1]Data!E1102</f>
        <v>NON-HS</v>
      </c>
      <c r="F1102" s="8" t="str">
        <f>[1]Data!F1102</f>
        <v>Gardena</v>
      </c>
      <c r="G1102" s="8">
        <f>[1]Data!G1102</f>
        <v>0</v>
      </c>
      <c r="H1102" s="8">
        <f>[1]Data!H1102</f>
        <v>0</v>
      </c>
      <c r="I1102" s="8">
        <f>[1]Data!I1102</f>
        <v>4</v>
      </c>
      <c r="J1102" s="8">
        <f>[1]Data!J1102</f>
        <v>0</v>
      </c>
      <c r="K1102" s="8">
        <f>[1]Data!K1102</f>
        <v>4</v>
      </c>
      <c r="L1102" s="8">
        <f>[1]Data!L1102</f>
        <v>0</v>
      </c>
      <c r="M1102" s="8">
        <f>[1]Data!M1102</f>
        <v>4</v>
      </c>
      <c r="N1102" s="8">
        <f>[1]Data!N1102</f>
        <v>3.3333333333333298E-2</v>
      </c>
      <c r="O1102" s="8">
        <f>[1]Data!O1102</f>
        <v>0</v>
      </c>
      <c r="P1102" s="8">
        <f>[1]Data!P1102</f>
        <v>0.82499999999999996</v>
      </c>
      <c r="Q1102" s="8">
        <f>[1]Data!Q1102</f>
        <v>0</v>
      </c>
      <c r="R1102" s="8">
        <f>[1]Data!R1102</f>
        <v>0</v>
      </c>
      <c r="S1102" s="8">
        <f>[1]Data!S1102</f>
        <v>0</v>
      </c>
      <c r="T1102">
        <f t="shared" si="85"/>
        <v>3.3333333333333298E-2</v>
      </c>
      <c r="U1102">
        <f t="shared" si="86"/>
        <v>0</v>
      </c>
      <c r="V1102" s="4" t="str">
        <f t="shared" si="87"/>
        <v>0</v>
      </c>
      <c r="W1102" s="4" t="str">
        <f t="shared" si="88"/>
        <v>8</v>
      </c>
      <c r="X1102" s="4" t="str">
        <f t="shared" si="89"/>
        <v>0NON-HS8</v>
      </c>
      <c r="Y1102">
        <f>VLOOKUP(X1102,Sheet1!$J$5:$K$121,2,FALSE)</f>
        <v>0</v>
      </c>
    </row>
    <row r="1103" spans="1:25" x14ac:dyDescent="0.25">
      <c r="A1103" s="8">
        <f>[1]Data!A1103</f>
        <v>603005</v>
      </c>
      <c r="B1103" s="8">
        <f>[1]Data!B1103</f>
        <v>8</v>
      </c>
      <c r="C1103" s="8">
        <f>[1]Data!C1103</f>
        <v>0</v>
      </c>
      <c r="D1103" s="8">
        <f>[1]Data!D1103</f>
        <v>2</v>
      </c>
      <c r="E1103" s="8" t="str">
        <f>[1]Data!E1103</f>
        <v>NON-HS</v>
      </c>
      <c r="F1103" s="8" t="str">
        <f>[1]Data!F1103</f>
        <v>Gardena</v>
      </c>
      <c r="G1103" s="8">
        <f>[1]Data!G1103</f>
        <v>0</v>
      </c>
      <c r="H1103" s="8">
        <f>[1]Data!H1103</f>
        <v>0</v>
      </c>
      <c r="I1103" s="8">
        <f>[1]Data!I1103</f>
        <v>0</v>
      </c>
      <c r="J1103" s="8">
        <f>[1]Data!J1103</f>
        <v>0</v>
      </c>
      <c r="K1103" s="8">
        <f>[1]Data!K1103</f>
        <v>0</v>
      </c>
      <c r="L1103" s="8">
        <f>[1]Data!L1103</f>
        <v>0</v>
      </c>
      <c r="M1103" s="8">
        <f>[1]Data!M1103</f>
        <v>0</v>
      </c>
      <c r="N1103" s="8">
        <f>[1]Data!N1103</f>
        <v>3.3333333333333298E-2</v>
      </c>
      <c r="O1103" s="8">
        <f>[1]Data!O1103</f>
        <v>0</v>
      </c>
      <c r="P1103" s="8">
        <f>[1]Data!P1103</f>
        <v>0.82499999999999996</v>
      </c>
      <c r="Q1103" s="8">
        <f>[1]Data!Q1103</f>
        <v>0</v>
      </c>
      <c r="R1103" s="8">
        <f>[1]Data!R1103</f>
        <v>0</v>
      </c>
      <c r="S1103" s="8">
        <f>[1]Data!S1103</f>
        <v>0</v>
      </c>
      <c r="T1103">
        <f t="shared" si="85"/>
        <v>3.3333333333333298E-2</v>
      </c>
      <c r="U1103">
        <f t="shared" si="86"/>
        <v>0</v>
      </c>
      <c r="V1103" s="4" t="str">
        <f t="shared" si="87"/>
        <v>0</v>
      </c>
      <c r="W1103" s="4" t="str">
        <f t="shared" si="88"/>
        <v>8</v>
      </c>
      <c r="X1103" s="4" t="str">
        <f t="shared" si="89"/>
        <v>0NON-HS8</v>
      </c>
      <c r="Y1103">
        <f>VLOOKUP(X1103,Sheet1!$J$5:$K$121,2,FALSE)</f>
        <v>0</v>
      </c>
    </row>
    <row r="1104" spans="1:25" x14ac:dyDescent="0.25">
      <c r="A1104" s="8">
        <f>[1]Data!A1104</f>
        <v>603102</v>
      </c>
      <c r="B1104" s="8">
        <f>[1]Data!B1104</f>
        <v>8</v>
      </c>
      <c r="C1104" s="8">
        <f>[1]Data!C1104</f>
        <v>0</v>
      </c>
      <c r="D1104" s="8">
        <f>[1]Data!D1104</f>
        <v>2</v>
      </c>
      <c r="E1104" s="8" t="str">
        <f>[1]Data!E1104</f>
        <v>NON-HS</v>
      </c>
      <c r="F1104" s="8" t="str">
        <f>[1]Data!F1104</f>
        <v>Gardena</v>
      </c>
      <c r="G1104" s="8">
        <f>[1]Data!G1104</f>
        <v>0</v>
      </c>
      <c r="H1104" s="8">
        <f>[1]Data!H1104</f>
        <v>0</v>
      </c>
      <c r="I1104" s="8">
        <f>[1]Data!I1104</f>
        <v>2</v>
      </c>
      <c r="J1104" s="8">
        <f>[1]Data!J1104</f>
        <v>0</v>
      </c>
      <c r="K1104" s="8">
        <f>[1]Data!K1104</f>
        <v>2</v>
      </c>
      <c r="L1104" s="8">
        <f>[1]Data!L1104</f>
        <v>0</v>
      </c>
      <c r="M1104" s="8">
        <f>[1]Data!M1104</f>
        <v>2</v>
      </c>
      <c r="N1104" s="8">
        <f>[1]Data!N1104</f>
        <v>3.3333333333333298E-2</v>
      </c>
      <c r="O1104" s="8">
        <f>[1]Data!O1104</f>
        <v>0</v>
      </c>
      <c r="P1104" s="8">
        <f>[1]Data!P1104</f>
        <v>0.82499999999999996</v>
      </c>
      <c r="Q1104" s="8">
        <f>[1]Data!Q1104</f>
        <v>0</v>
      </c>
      <c r="R1104" s="8">
        <f>[1]Data!R1104</f>
        <v>0</v>
      </c>
      <c r="S1104" s="8">
        <f>[1]Data!S1104</f>
        <v>0</v>
      </c>
      <c r="T1104">
        <f t="shared" si="85"/>
        <v>3.3333333333333298E-2</v>
      </c>
      <c r="U1104">
        <f t="shared" si="86"/>
        <v>0</v>
      </c>
      <c r="V1104" s="4" t="str">
        <f t="shared" si="87"/>
        <v>0</v>
      </c>
      <c r="W1104" s="4" t="str">
        <f t="shared" si="88"/>
        <v>8</v>
      </c>
      <c r="X1104" s="4" t="str">
        <f t="shared" si="89"/>
        <v>0NON-HS8</v>
      </c>
      <c r="Y1104">
        <f>VLOOKUP(X1104,Sheet1!$J$5:$K$121,2,FALSE)</f>
        <v>0</v>
      </c>
    </row>
    <row r="1105" spans="1:25" x14ac:dyDescent="0.25">
      <c r="A1105" s="8">
        <f>[1]Data!A1105</f>
        <v>603302</v>
      </c>
      <c r="B1105" s="8">
        <f>[1]Data!B1105</f>
        <v>8</v>
      </c>
      <c r="C1105" s="8">
        <f>[1]Data!C1105</f>
        <v>0</v>
      </c>
      <c r="D1105" s="8">
        <f>[1]Data!D1105</f>
        <v>2</v>
      </c>
      <c r="E1105" s="8" t="str">
        <f>[1]Data!E1105</f>
        <v>NON-HS</v>
      </c>
      <c r="F1105" s="8" t="str">
        <f>[1]Data!F1105</f>
        <v>Gardena</v>
      </c>
      <c r="G1105" s="8">
        <f>[1]Data!G1105</f>
        <v>0</v>
      </c>
      <c r="H1105" s="8">
        <f>[1]Data!H1105</f>
        <v>0</v>
      </c>
      <c r="I1105" s="8">
        <f>[1]Data!I1105</f>
        <v>8.3789999999999996</v>
      </c>
      <c r="J1105" s="8">
        <f>[1]Data!J1105</f>
        <v>7.9347986400000003</v>
      </c>
      <c r="K1105" s="8">
        <f>[1]Data!K1105</f>
        <v>7.9347986400000003</v>
      </c>
      <c r="L1105" s="8">
        <f>[1]Data!L1105</f>
        <v>0.44469040552962302</v>
      </c>
      <c r="M1105" s="8">
        <f>[1]Data!M1105</f>
        <v>8.3794890455296205</v>
      </c>
      <c r="N1105" s="8">
        <f>[1]Data!N1105</f>
        <v>3.3333333333333298E-2</v>
      </c>
      <c r="O1105" s="8">
        <f>[1]Data!O1105</f>
        <v>0</v>
      </c>
      <c r="P1105" s="8">
        <f>[1]Data!P1105</f>
        <v>0.82499999999999996</v>
      </c>
      <c r="Q1105" s="8">
        <f>[1]Data!Q1105</f>
        <v>0</v>
      </c>
      <c r="R1105" s="8">
        <f>[1]Data!R1105</f>
        <v>0</v>
      </c>
      <c r="S1105" s="8">
        <f>[1]Data!S1105</f>
        <v>0</v>
      </c>
      <c r="T1105">
        <f t="shared" si="85"/>
        <v>3.3333333333333298E-2</v>
      </c>
      <c r="U1105">
        <f t="shared" si="86"/>
        <v>0</v>
      </c>
      <c r="V1105" s="4" t="str">
        <f t="shared" si="87"/>
        <v>0</v>
      </c>
      <c r="W1105" s="4" t="str">
        <f t="shared" si="88"/>
        <v>8</v>
      </c>
      <c r="X1105" s="4" t="str">
        <f t="shared" si="89"/>
        <v>0NON-HS8</v>
      </c>
      <c r="Y1105">
        <f>VLOOKUP(X1105,Sheet1!$J$5:$K$121,2,FALSE)</f>
        <v>0</v>
      </c>
    </row>
    <row r="1106" spans="1:25" x14ac:dyDescent="0.25">
      <c r="A1106" s="8">
        <f>[1]Data!A1106</f>
        <v>670702</v>
      </c>
      <c r="B1106" s="8">
        <f>[1]Data!B1106</f>
        <v>8</v>
      </c>
      <c r="C1106" s="8">
        <f>[1]Data!C1106</f>
        <v>0</v>
      </c>
      <c r="D1106" s="8">
        <f>[1]Data!D1106</f>
        <v>4</v>
      </c>
      <c r="E1106" s="8" t="str">
        <f>[1]Data!E1106</f>
        <v>NON-HS</v>
      </c>
      <c r="F1106" s="8" t="str">
        <f>[1]Data!F1106</f>
        <v>Rancho Palos Verdes</v>
      </c>
      <c r="G1106" s="8">
        <f>[1]Data!G1106</f>
        <v>0</v>
      </c>
      <c r="H1106" s="8">
        <f>[1]Data!H1106</f>
        <v>0</v>
      </c>
      <c r="I1106" s="8">
        <f>[1]Data!I1106</f>
        <v>0</v>
      </c>
      <c r="J1106" s="8">
        <f>[1]Data!J1106</f>
        <v>0</v>
      </c>
      <c r="K1106" s="8">
        <f>[1]Data!K1106</f>
        <v>0</v>
      </c>
      <c r="L1106" s="8">
        <f>[1]Data!L1106</f>
        <v>0</v>
      </c>
      <c r="M1106" s="8">
        <f>[1]Data!M1106</f>
        <v>0</v>
      </c>
      <c r="N1106" s="8">
        <f>[1]Data!N1106</f>
        <v>3.3333333333333298E-2</v>
      </c>
      <c r="O1106" s="8">
        <f>[1]Data!O1106</f>
        <v>0</v>
      </c>
      <c r="P1106" s="8">
        <f>[1]Data!P1106</f>
        <v>0.82499999999999996</v>
      </c>
      <c r="Q1106" s="8">
        <f>[1]Data!Q1106</f>
        <v>0</v>
      </c>
      <c r="R1106" s="8">
        <f>[1]Data!R1106</f>
        <v>0</v>
      </c>
      <c r="S1106" s="8">
        <f>[1]Data!S1106</f>
        <v>0</v>
      </c>
      <c r="T1106">
        <f t="shared" si="85"/>
        <v>3.3333333333333298E-2</v>
      </c>
      <c r="U1106">
        <f t="shared" si="86"/>
        <v>0</v>
      </c>
      <c r="V1106" s="4" t="str">
        <f t="shared" si="87"/>
        <v>0</v>
      </c>
      <c r="W1106" s="4" t="str">
        <f t="shared" si="88"/>
        <v>8</v>
      </c>
      <c r="X1106" s="4" t="str">
        <f t="shared" si="89"/>
        <v>0NON-HS8</v>
      </c>
      <c r="Y1106">
        <f>VLOOKUP(X1106,Sheet1!$J$5:$K$121,2,FALSE)</f>
        <v>0</v>
      </c>
    </row>
    <row r="1107" spans="1:25" x14ac:dyDescent="0.25">
      <c r="A1107" s="8">
        <f>[1]Data!A1107</f>
        <v>603400</v>
      </c>
      <c r="B1107" s="8">
        <f>[1]Data!B1107</f>
        <v>8</v>
      </c>
      <c r="C1107" s="8">
        <f>[1]Data!C1107</f>
        <v>0</v>
      </c>
      <c r="D1107" s="8">
        <f>[1]Data!D1107</f>
        <v>2</v>
      </c>
      <c r="E1107" s="8" t="str">
        <f>[1]Data!E1107</f>
        <v>NON-HS</v>
      </c>
      <c r="F1107" s="8" t="str">
        <f>[1]Data!F1107</f>
        <v>Gardena</v>
      </c>
      <c r="G1107" s="8">
        <f>[1]Data!G1107</f>
        <v>0</v>
      </c>
      <c r="H1107" s="8">
        <f>[1]Data!H1107</f>
        <v>0</v>
      </c>
      <c r="I1107" s="8">
        <f>[1]Data!I1107</f>
        <v>2.0950000000000002</v>
      </c>
      <c r="J1107" s="8">
        <f>[1]Data!J1107</f>
        <v>1.9836996600000001</v>
      </c>
      <c r="K1107" s="8">
        <f>[1]Data!K1107</f>
        <v>1.9836996600000001</v>
      </c>
      <c r="L1107" s="8">
        <f>[1]Data!L1107</f>
        <v>0.11117260138240601</v>
      </c>
      <c r="M1107" s="8">
        <f>[1]Data!M1107</f>
        <v>2.09487226138241</v>
      </c>
      <c r="N1107" s="8">
        <f>[1]Data!N1107</f>
        <v>3.3333333333333298E-2</v>
      </c>
      <c r="O1107" s="8">
        <f>[1]Data!O1107</f>
        <v>0</v>
      </c>
      <c r="P1107" s="8">
        <f>[1]Data!P1107</f>
        <v>0.82499999999999996</v>
      </c>
      <c r="Q1107" s="8">
        <f>[1]Data!Q1107</f>
        <v>0</v>
      </c>
      <c r="R1107" s="8">
        <f>[1]Data!R1107</f>
        <v>0</v>
      </c>
      <c r="S1107" s="8">
        <f>[1]Data!S1107</f>
        <v>0</v>
      </c>
      <c r="T1107">
        <f t="shared" si="85"/>
        <v>3.3333333333333298E-2</v>
      </c>
      <c r="U1107">
        <f t="shared" si="86"/>
        <v>0</v>
      </c>
      <c r="V1107" s="4" t="str">
        <f t="shared" si="87"/>
        <v>0</v>
      </c>
      <c r="W1107" s="4" t="str">
        <f t="shared" si="88"/>
        <v>8</v>
      </c>
      <c r="X1107" s="4" t="str">
        <f t="shared" si="89"/>
        <v>0NON-HS8</v>
      </c>
      <c r="Y1107">
        <f>VLOOKUP(X1107,Sheet1!$J$5:$K$121,2,FALSE)</f>
        <v>0</v>
      </c>
    </row>
    <row r="1108" spans="1:25" x14ac:dyDescent="0.25">
      <c r="A1108" s="8">
        <f>[1]Data!A1108</f>
        <v>603702</v>
      </c>
      <c r="B1108" s="8">
        <f>[1]Data!B1108</f>
        <v>8</v>
      </c>
      <c r="C1108" s="8">
        <f>[1]Data!C1108</f>
        <v>0</v>
      </c>
      <c r="D1108" s="8">
        <f>[1]Data!D1108</f>
        <v>2</v>
      </c>
      <c r="E1108" s="8" t="str">
        <f>[1]Data!E1108</f>
        <v>NON-HS</v>
      </c>
      <c r="F1108" s="8" t="str">
        <f>[1]Data!F1108</f>
        <v>Alondra Park</v>
      </c>
      <c r="G1108" s="8">
        <f>[1]Data!G1108</f>
        <v>0</v>
      </c>
      <c r="H1108" s="8">
        <f>[1]Data!H1108</f>
        <v>0</v>
      </c>
      <c r="I1108" s="8">
        <f>[1]Data!I1108</f>
        <v>10.904999999999999</v>
      </c>
      <c r="J1108" s="8">
        <f>[1]Data!J1108</f>
        <v>8.4482643599999996</v>
      </c>
      <c r="K1108" s="8">
        <f>[1]Data!K1108</f>
        <v>10.44826436</v>
      </c>
      <c r="L1108" s="8">
        <f>[1]Data!L1108</f>
        <v>0.45619386750448798</v>
      </c>
      <c r="M1108" s="8">
        <f>[1]Data!M1108</f>
        <v>10.904458227504501</v>
      </c>
      <c r="N1108" s="8">
        <f>[1]Data!N1108</f>
        <v>3.3333333333333298E-2</v>
      </c>
      <c r="O1108" s="8">
        <f>[1]Data!O1108</f>
        <v>0</v>
      </c>
      <c r="P1108" s="8">
        <f>[1]Data!P1108</f>
        <v>0.82499999999999996</v>
      </c>
      <c r="Q1108" s="8">
        <f>[1]Data!Q1108</f>
        <v>0</v>
      </c>
      <c r="R1108" s="8">
        <f>[1]Data!R1108</f>
        <v>0</v>
      </c>
      <c r="S1108" s="8">
        <f>[1]Data!S1108</f>
        <v>0</v>
      </c>
      <c r="T1108">
        <f t="shared" si="85"/>
        <v>3.3333333333333298E-2</v>
      </c>
      <c r="U1108">
        <f t="shared" si="86"/>
        <v>0</v>
      </c>
      <c r="V1108" s="4" t="str">
        <f t="shared" si="87"/>
        <v>0</v>
      </c>
      <c r="W1108" s="4" t="str">
        <f t="shared" si="88"/>
        <v>8</v>
      </c>
      <c r="X1108" s="4" t="str">
        <f t="shared" si="89"/>
        <v>0NON-HS8</v>
      </c>
      <c r="Y1108">
        <f>VLOOKUP(X1108,Sheet1!$J$5:$K$121,2,FALSE)</f>
        <v>0</v>
      </c>
    </row>
    <row r="1109" spans="1:25" x14ac:dyDescent="0.25">
      <c r="A1109" s="8">
        <f>[1]Data!A1109</f>
        <v>603703</v>
      </c>
      <c r="B1109" s="8">
        <f>[1]Data!B1109</f>
        <v>8</v>
      </c>
      <c r="C1109" s="8">
        <f>[1]Data!C1109</f>
        <v>0</v>
      </c>
      <c r="D1109" s="8">
        <f>[1]Data!D1109</f>
        <v>2</v>
      </c>
      <c r="E1109" s="8" t="str">
        <f>[1]Data!E1109</f>
        <v>NON-HS</v>
      </c>
      <c r="F1109" s="8" t="str">
        <f>[1]Data!F1109</f>
        <v>Hawthorne</v>
      </c>
      <c r="G1109" s="8">
        <f>[1]Data!G1109</f>
        <v>0</v>
      </c>
      <c r="H1109" s="8">
        <f>[1]Data!H1109</f>
        <v>0</v>
      </c>
      <c r="I1109" s="8">
        <f>[1]Data!I1109</f>
        <v>3.0950000000000002</v>
      </c>
      <c r="J1109" s="8">
        <f>[1]Data!J1109</f>
        <v>1.9836996600000001</v>
      </c>
      <c r="K1109" s="8">
        <f>[1]Data!K1109</f>
        <v>2.9836996600000001</v>
      </c>
      <c r="L1109" s="8">
        <f>[1]Data!L1109</f>
        <v>0.11117260138240601</v>
      </c>
      <c r="M1109" s="8">
        <f>[1]Data!M1109</f>
        <v>3.09487226138241</v>
      </c>
      <c r="N1109" s="8">
        <f>[1]Data!N1109</f>
        <v>3.3333333333333298E-2</v>
      </c>
      <c r="O1109" s="8">
        <f>[1]Data!O1109</f>
        <v>0</v>
      </c>
      <c r="P1109" s="8">
        <f>[1]Data!P1109</f>
        <v>0.82499999999999996</v>
      </c>
      <c r="Q1109" s="8">
        <f>[1]Data!Q1109</f>
        <v>0</v>
      </c>
      <c r="R1109" s="8">
        <f>[1]Data!R1109</f>
        <v>0</v>
      </c>
      <c r="S1109" s="8">
        <f>[1]Data!S1109</f>
        <v>0</v>
      </c>
      <c r="T1109">
        <f t="shared" si="85"/>
        <v>3.3333333333333298E-2</v>
      </c>
      <c r="U1109">
        <f t="shared" si="86"/>
        <v>0</v>
      </c>
      <c r="V1109" s="4" t="str">
        <f t="shared" si="87"/>
        <v>0</v>
      </c>
      <c r="W1109" s="4" t="str">
        <f t="shared" si="88"/>
        <v>8</v>
      </c>
      <c r="X1109" s="4" t="str">
        <f t="shared" si="89"/>
        <v>0NON-HS8</v>
      </c>
      <c r="Y1109">
        <f>VLOOKUP(X1109,Sheet1!$J$5:$K$121,2,FALSE)</f>
        <v>0</v>
      </c>
    </row>
    <row r="1110" spans="1:25" x14ac:dyDescent="0.25">
      <c r="A1110" s="8">
        <f>[1]Data!A1110</f>
        <v>603704</v>
      </c>
      <c r="B1110" s="8">
        <f>[1]Data!B1110</f>
        <v>8</v>
      </c>
      <c r="C1110" s="8">
        <f>[1]Data!C1110</f>
        <v>0</v>
      </c>
      <c r="D1110" s="8">
        <f>[1]Data!D1110</f>
        <v>2</v>
      </c>
      <c r="E1110" s="8" t="str">
        <f>[1]Data!E1110</f>
        <v>NON-HS</v>
      </c>
      <c r="F1110" s="8" t="str">
        <f>[1]Data!F1110</f>
        <v>Alondra Park</v>
      </c>
      <c r="G1110" s="8">
        <f>[1]Data!G1110</f>
        <v>0</v>
      </c>
      <c r="H1110" s="8">
        <f>[1]Data!H1110</f>
        <v>0</v>
      </c>
      <c r="I1110" s="8">
        <f>[1]Data!I1110</f>
        <v>4</v>
      </c>
      <c r="J1110" s="8">
        <f>[1]Data!J1110</f>
        <v>0</v>
      </c>
      <c r="K1110" s="8">
        <f>[1]Data!K1110</f>
        <v>4</v>
      </c>
      <c r="L1110" s="8">
        <f>[1]Data!L1110</f>
        <v>0</v>
      </c>
      <c r="M1110" s="8">
        <f>[1]Data!M1110</f>
        <v>4</v>
      </c>
      <c r="N1110" s="8">
        <f>[1]Data!N1110</f>
        <v>3.3333333333333298E-2</v>
      </c>
      <c r="O1110" s="8">
        <f>[1]Data!O1110</f>
        <v>0</v>
      </c>
      <c r="P1110" s="8">
        <f>[1]Data!P1110</f>
        <v>0.82499999999999996</v>
      </c>
      <c r="Q1110" s="8">
        <f>[1]Data!Q1110</f>
        <v>0</v>
      </c>
      <c r="R1110" s="8">
        <f>[1]Data!R1110</f>
        <v>0</v>
      </c>
      <c r="S1110" s="8">
        <f>[1]Data!S1110</f>
        <v>0</v>
      </c>
      <c r="T1110">
        <f t="shared" si="85"/>
        <v>3.3333333333333298E-2</v>
      </c>
      <c r="U1110">
        <f t="shared" si="86"/>
        <v>0</v>
      </c>
      <c r="V1110" s="4" t="str">
        <f t="shared" si="87"/>
        <v>0</v>
      </c>
      <c r="W1110" s="4" t="str">
        <f t="shared" si="88"/>
        <v>8</v>
      </c>
      <c r="X1110" s="4" t="str">
        <f t="shared" si="89"/>
        <v>0NON-HS8</v>
      </c>
      <c r="Y1110">
        <f>VLOOKUP(X1110,Sheet1!$J$5:$K$121,2,FALSE)</f>
        <v>0</v>
      </c>
    </row>
    <row r="1111" spans="1:25" x14ac:dyDescent="0.25">
      <c r="A1111" s="8">
        <f>[1]Data!A1111</f>
        <v>604002</v>
      </c>
      <c r="B1111" s="8">
        <f>[1]Data!B1111</f>
        <v>8</v>
      </c>
      <c r="C1111" s="8">
        <f>[1]Data!C1111</f>
        <v>0</v>
      </c>
      <c r="D1111" s="8">
        <f>[1]Data!D1111</f>
        <v>2</v>
      </c>
      <c r="E1111" s="8" t="str">
        <f>[1]Data!E1111</f>
        <v>NON-HS</v>
      </c>
      <c r="F1111" s="8" t="str">
        <f>[1]Data!F1111</f>
        <v>Lawndale</v>
      </c>
      <c r="G1111" s="8">
        <f>[1]Data!G1111</f>
        <v>0</v>
      </c>
      <c r="H1111" s="8">
        <f>[1]Data!H1111</f>
        <v>0</v>
      </c>
      <c r="I1111" s="8">
        <f>[1]Data!I1111</f>
        <v>4.0949999999999998</v>
      </c>
      <c r="J1111" s="8">
        <f>[1]Data!J1111</f>
        <v>1.9836996600000001</v>
      </c>
      <c r="K1111" s="8">
        <f>[1]Data!K1111</f>
        <v>3.9836996600000001</v>
      </c>
      <c r="L1111" s="8">
        <f>[1]Data!L1111</f>
        <v>0.11117260138240601</v>
      </c>
      <c r="M1111" s="8">
        <f>[1]Data!M1111</f>
        <v>4.0948722613824096</v>
      </c>
      <c r="N1111" s="8">
        <f>[1]Data!N1111</f>
        <v>3.3333333333333298E-2</v>
      </c>
      <c r="O1111" s="8">
        <f>[1]Data!O1111</f>
        <v>0</v>
      </c>
      <c r="P1111" s="8">
        <f>[1]Data!P1111</f>
        <v>0.82499999999999996</v>
      </c>
      <c r="Q1111" s="8">
        <f>[1]Data!Q1111</f>
        <v>0</v>
      </c>
      <c r="R1111" s="8">
        <f>[1]Data!R1111</f>
        <v>0</v>
      </c>
      <c r="S1111" s="8">
        <f>[1]Data!S1111</f>
        <v>0</v>
      </c>
      <c r="T1111">
        <f t="shared" si="85"/>
        <v>3.3333333333333298E-2</v>
      </c>
      <c r="U1111">
        <f t="shared" si="86"/>
        <v>0</v>
      </c>
      <c r="V1111" s="4" t="str">
        <f t="shared" si="87"/>
        <v>0</v>
      </c>
      <c r="W1111" s="4" t="str">
        <f t="shared" si="88"/>
        <v>8</v>
      </c>
      <c r="X1111" s="4" t="str">
        <f t="shared" si="89"/>
        <v>0NON-HS8</v>
      </c>
      <c r="Y1111">
        <f>VLOOKUP(X1111,Sheet1!$J$5:$K$121,2,FALSE)</f>
        <v>0</v>
      </c>
    </row>
    <row r="1112" spans="1:25" x14ac:dyDescent="0.25">
      <c r="A1112" s="8">
        <f>[1]Data!A1112</f>
        <v>620001</v>
      </c>
      <c r="B1112" s="8">
        <f>[1]Data!B1112</f>
        <v>8</v>
      </c>
      <c r="C1112" s="8">
        <f>[1]Data!C1112</f>
        <v>0</v>
      </c>
      <c r="D1112" s="8">
        <f>[1]Data!D1112</f>
        <v>4</v>
      </c>
      <c r="E1112" s="8" t="str">
        <f>[1]Data!E1112</f>
        <v>NON-HS</v>
      </c>
      <c r="F1112" s="8" t="str">
        <f>[1]Data!F1112</f>
        <v>El Segundo</v>
      </c>
      <c r="G1112" s="8">
        <f>[1]Data!G1112</f>
        <v>0</v>
      </c>
      <c r="H1112" s="8">
        <f>[1]Data!H1112</f>
        <v>0</v>
      </c>
      <c r="I1112" s="8">
        <f>[1]Data!I1112</f>
        <v>0</v>
      </c>
      <c r="J1112" s="8">
        <f>[1]Data!J1112</f>
        <v>0</v>
      </c>
      <c r="K1112" s="8">
        <f>[1]Data!K1112</f>
        <v>0</v>
      </c>
      <c r="L1112" s="8">
        <f>[1]Data!L1112</f>
        <v>0</v>
      </c>
      <c r="M1112" s="8">
        <f>[1]Data!M1112</f>
        <v>0</v>
      </c>
      <c r="N1112" s="8">
        <f>[1]Data!N1112</f>
        <v>3.3333333333333298E-2</v>
      </c>
      <c r="O1112" s="8">
        <f>[1]Data!O1112</f>
        <v>0</v>
      </c>
      <c r="P1112" s="8">
        <f>[1]Data!P1112</f>
        <v>0.82499999999999996</v>
      </c>
      <c r="Q1112" s="8">
        <f>[1]Data!Q1112</f>
        <v>0</v>
      </c>
      <c r="R1112" s="8">
        <f>[1]Data!R1112</f>
        <v>0</v>
      </c>
      <c r="S1112" s="8">
        <f>[1]Data!S1112</f>
        <v>0</v>
      </c>
      <c r="T1112">
        <f t="shared" si="85"/>
        <v>3.3333333333333298E-2</v>
      </c>
      <c r="U1112">
        <f t="shared" si="86"/>
        <v>0</v>
      </c>
      <c r="V1112" s="4" t="str">
        <f t="shared" si="87"/>
        <v>0</v>
      </c>
      <c r="W1112" s="4" t="str">
        <f t="shared" si="88"/>
        <v>8</v>
      </c>
      <c r="X1112" s="4" t="str">
        <f t="shared" si="89"/>
        <v>0NON-HS8</v>
      </c>
      <c r="Y1112">
        <f>VLOOKUP(X1112,Sheet1!$J$5:$K$121,2,FALSE)</f>
        <v>0</v>
      </c>
    </row>
    <row r="1113" spans="1:25" x14ac:dyDescent="0.25">
      <c r="A1113" s="8">
        <f>[1]Data!A1113</f>
        <v>620101</v>
      </c>
      <c r="B1113" s="8">
        <f>[1]Data!B1113</f>
        <v>8</v>
      </c>
      <c r="C1113" s="8">
        <f>[1]Data!C1113</f>
        <v>0</v>
      </c>
      <c r="D1113" s="8">
        <f>[1]Data!D1113</f>
        <v>4</v>
      </c>
      <c r="E1113" s="8" t="str">
        <f>[1]Data!E1113</f>
        <v>NON-HS</v>
      </c>
      <c r="F1113" s="8" t="str">
        <f>[1]Data!F1113</f>
        <v>El Segundo</v>
      </c>
      <c r="G1113" s="8">
        <f>[1]Data!G1113</f>
        <v>0</v>
      </c>
      <c r="H1113" s="8">
        <f>[1]Data!H1113</f>
        <v>0</v>
      </c>
      <c r="I1113" s="8">
        <f>[1]Data!I1113</f>
        <v>1.8080000000000001</v>
      </c>
      <c r="J1113" s="8">
        <f>[1]Data!J1113</f>
        <v>1.73313217</v>
      </c>
      <c r="K1113" s="8">
        <f>[1]Data!K1113</f>
        <v>1.73313217</v>
      </c>
      <c r="L1113" s="8">
        <f>[1]Data!L1113</f>
        <v>7.4985510287253102E-2</v>
      </c>
      <c r="M1113" s="8">
        <f>[1]Data!M1113</f>
        <v>1.8081176802872501</v>
      </c>
      <c r="N1113" s="8">
        <f>[1]Data!N1113</f>
        <v>3.3333333333333298E-2</v>
      </c>
      <c r="O1113" s="8">
        <f>[1]Data!O1113</f>
        <v>0</v>
      </c>
      <c r="P1113" s="8">
        <f>[1]Data!P1113</f>
        <v>0.82499999999999996</v>
      </c>
      <c r="Q1113" s="8">
        <f>[1]Data!Q1113</f>
        <v>0</v>
      </c>
      <c r="R1113" s="8">
        <f>[1]Data!R1113</f>
        <v>0</v>
      </c>
      <c r="S1113" s="8">
        <f>[1]Data!S1113</f>
        <v>0</v>
      </c>
      <c r="T1113">
        <f t="shared" si="85"/>
        <v>3.3333333333333298E-2</v>
      </c>
      <c r="U1113">
        <f t="shared" si="86"/>
        <v>0</v>
      </c>
      <c r="V1113" s="4" t="str">
        <f t="shared" si="87"/>
        <v>0</v>
      </c>
      <c r="W1113" s="4" t="str">
        <f t="shared" si="88"/>
        <v>8</v>
      </c>
      <c r="X1113" s="4" t="str">
        <f t="shared" si="89"/>
        <v>0NON-HS8</v>
      </c>
      <c r="Y1113">
        <f>VLOOKUP(X1113,Sheet1!$J$5:$K$121,2,FALSE)</f>
        <v>0</v>
      </c>
    </row>
    <row r="1114" spans="1:25" x14ac:dyDescent="0.25">
      <c r="A1114" s="8">
        <f>[1]Data!A1114</f>
        <v>620301</v>
      </c>
      <c r="B1114" s="8">
        <f>[1]Data!B1114</f>
        <v>8</v>
      </c>
      <c r="C1114" s="8">
        <f>[1]Data!C1114</f>
        <v>0</v>
      </c>
      <c r="D1114" s="8">
        <f>[1]Data!D1114</f>
        <v>4</v>
      </c>
      <c r="E1114" s="8" t="str">
        <f>[1]Data!E1114</f>
        <v>NON-HS</v>
      </c>
      <c r="F1114" s="8" t="str">
        <f>[1]Data!F1114</f>
        <v>Manhattan Beach</v>
      </c>
      <c r="G1114" s="8">
        <f>[1]Data!G1114</f>
        <v>0</v>
      </c>
      <c r="H1114" s="8">
        <f>[1]Data!H1114</f>
        <v>0</v>
      </c>
      <c r="I1114" s="8">
        <f>[1]Data!I1114</f>
        <v>0</v>
      </c>
      <c r="J1114" s="8">
        <f>[1]Data!J1114</f>
        <v>0</v>
      </c>
      <c r="K1114" s="8">
        <f>[1]Data!K1114</f>
        <v>0</v>
      </c>
      <c r="L1114" s="8">
        <f>[1]Data!L1114</f>
        <v>0</v>
      </c>
      <c r="M1114" s="8">
        <f>[1]Data!M1114</f>
        <v>0</v>
      </c>
      <c r="N1114" s="8">
        <f>[1]Data!N1114</f>
        <v>3.3333333333333298E-2</v>
      </c>
      <c r="O1114" s="8">
        <f>[1]Data!O1114</f>
        <v>0</v>
      </c>
      <c r="P1114" s="8">
        <f>[1]Data!P1114</f>
        <v>0.82499999999999996</v>
      </c>
      <c r="Q1114" s="8">
        <f>[1]Data!Q1114</f>
        <v>0</v>
      </c>
      <c r="R1114" s="8">
        <f>[1]Data!R1114</f>
        <v>0</v>
      </c>
      <c r="S1114" s="8">
        <f>[1]Data!S1114</f>
        <v>0</v>
      </c>
      <c r="T1114">
        <f t="shared" si="85"/>
        <v>3.3333333333333298E-2</v>
      </c>
      <c r="U1114">
        <f t="shared" si="86"/>
        <v>0</v>
      </c>
      <c r="V1114" s="4" t="str">
        <f t="shared" si="87"/>
        <v>0</v>
      </c>
      <c r="W1114" s="4" t="str">
        <f t="shared" si="88"/>
        <v>8</v>
      </c>
      <c r="X1114" s="4" t="str">
        <f t="shared" si="89"/>
        <v>0NON-HS8</v>
      </c>
      <c r="Y1114">
        <f>VLOOKUP(X1114,Sheet1!$J$5:$K$121,2,FALSE)</f>
        <v>0</v>
      </c>
    </row>
    <row r="1115" spans="1:25" x14ac:dyDescent="0.25">
      <c r="A1115" s="8">
        <f>[1]Data!A1115</f>
        <v>620102</v>
      </c>
      <c r="B1115" s="8">
        <f>[1]Data!B1115</f>
        <v>8</v>
      </c>
      <c r="C1115" s="8">
        <f>[1]Data!C1115</f>
        <v>0</v>
      </c>
      <c r="D1115" s="8">
        <f>[1]Data!D1115</f>
        <v>4</v>
      </c>
      <c r="E1115" s="8" t="str">
        <f>[1]Data!E1115</f>
        <v>NON-HS</v>
      </c>
      <c r="F1115" s="8" t="str">
        <f>[1]Data!F1115</f>
        <v>El Segundo</v>
      </c>
      <c r="G1115" s="8">
        <f>[1]Data!G1115</f>
        <v>0</v>
      </c>
      <c r="H1115" s="8">
        <f>[1]Data!H1115</f>
        <v>0</v>
      </c>
      <c r="I1115" s="8">
        <f>[1]Data!I1115</f>
        <v>0</v>
      </c>
      <c r="J1115" s="8">
        <f>[1]Data!J1115</f>
        <v>0</v>
      </c>
      <c r="K1115" s="8">
        <f>[1]Data!K1115</f>
        <v>0</v>
      </c>
      <c r="L1115" s="8">
        <f>[1]Data!L1115</f>
        <v>0</v>
      </c>
      <c r="M1115" s="8">
        <f>[1]Data!M1115</f>
        <v>0</v>
      </c>
      <c r="N1115" s="8">
        <f>[1]Data!N1115</f>
        <v>3.3333333333333298E-2</v>
      </c>
      <c r="O1115" s="8">
        <f>[1]Data!O1115</f>
        <v>0</v>
      </c>
      <c r="P1115" s="8">
        <f>[1]Data!P1115</f>
        <v>0.82499999999999996</v>
      </c>
      <c r="Q1115" s="8">
        <f>[1]Data!Q1115</f>
        <v>0</v>
      </c>
      <c r="R1115" s="8">
        <f>[1]Data!R1115</f>
        <v>0</v>
      </c>
      <c r="S1115" s="8">
        <f>[1]Data!S1115</f>
        <v>0</v>
      </c>
      <c r="T1115">
        <f t="shared" si="85"/>
        <v>3.3333333333333298E-2</v>
      </c>
      <c r="U1115">
        <f t="shared" si="86"/>
        <v>0</v>
      </c>
      <c r="V1115" s="4" t="str">
        <f t="shared" si="87"/>
        <v>0</v>
      </c>
      <c r="W1115" s="4" t="str">
        <f t="shared" si="88"/>
        <v>8</v>
      </c>
      <c r="X1115" s="4" t="str">
        <f t="shared" si="89"/>
        <v>0NON-HS8</v>
      </c>
      <c r="Y1115">
        <f>VLOOKUP(X1115,Sheet1!$J$5:$K$121,2,FALSE)</f>
        <v>0</v>
      </c>
    </row>
    <row r="1116" spans="1:25" x14ac:dyDescent="0.25">
      <c r="A1116" s="8">
        <f>[1]Data!A1116</f>
        <v>620400</v>
      </c>
      <c r="B1116" s="8">
        <f>[1]Data!B1116</f>
        <v>8</v>
      </c>
      <c r="C1116" s="8">
        <f>[1]Data!C1116</f>
        <v>0</v>
      </c>
      <c r="D1116" s="8">
        <f>[1]Data!D1116</f>
        <v>4</v>
      </c>
      <c r="E1116" s="8" t="str">
        <f>[1]Data!E1116</f>
        <v>NON-HS</v>
      </c>
      <c r="F1116" s="8" t="str">
        <f>[1]Data!F1116</f>
        <v>Manhattan Beach</v>
      </c>
      <c r="G1116" s="8">
        <f>[1]Data!G1116</f>
        <v>0</v>
      </c>
      <c r="H1116" s="8">
        <f>[1]Data!H1116</f>
        <v>0</v>
      </c>
      <c r="I1116" s="8">
        <f>[1]Data!I1116</f>
        <v>5.3250000000000002</v>
      </c>
      <c r="J1116" s="8">
        <f>[1]Data!J1116</f>
        <v>5.07720868</v>
      </c>
      <c r="K1116" s="8">
        <f>[1]Data!K1116</f>
        <v>5.07720868</v>
      </c>
      <c r="L1116" s="8">
        <f>[1]Data!L1116</f>
        <v>0.24706283850987401</v>
      </c>
      <c r="M1116" s="8">
        <f>[1]Data!M1116</f>
        <v>5.3242715185098701</v>
      </c>
      <c r="N1116" s="8">
        <f>[1]Data!N1116</f>
        <v>3.3333333333333298E-2</v>
      </c>
      <c r="O1116" s="8">
        <f>[1]Data!O1116</f>
        <v>0</v>
      </c>
      <c r="P1116" s="8">
        <f>[1]Data!P1116</f>
        <v>0.82499999999999996</v>
      </c>
      <c r="Q1116" s="8">
        <f>[1]Data!Q1116</f>
        <v>0</v>
      </c>
      <c r="R1116" s="8">
        <f>[1]Data!R1116</f>
        <v>0</v>
      </c>
      <c r="S1116" s="8">
        <f>[1]Data!S1116</f>
        <v>0</v>
      </c>
      <c r="T1116">
        <f t="shared" si="85"/>
        <v>3.3333333333333298E-2</v>
      </c>
      <c r="U1116">
        <f t="shared" si="86"/>
        <v>0</v>
      </c>
      <c r="V1116" s="4" t="str">
        <f t="shared" si="87"/>
        <v>0</v>
      </c>
      <c r="W1116" s="4" t="str">
        <f t="shared" si="88"/>
        <v>8</v>
      </c>
      <c r="X1116" s="4" t="str">
        <f t="shared" si="89"/>
        <v>0NON-HS8</v>
      </c>
      <c r="Y1116">
        <f>VLOOKUP(X1116,Sheet1!$J$5:$K$121,2,FALSE)</f>
        <v>0</v>
      </c>
    </row>
    <row r="1117" spans="1:25" x14ac:dyDescent="0.25">
      <c r="A1117" s="8">
        <f>[1]Data!A1117</f>
        <v>620522</v>
      </c>
      <c r="B1117" s="8">
        <f>[1]Data!B1117</f>
        <v>8</v>
      </c>
      <c r="C1117" s="8">
        <f>[1]Data!C1117</f>
        <v>0</v>
      </c>
      <c r="D1117" s="8">
        <f>[1]Data!D1117</f>
        <v>4</v>
      </c>
      <c r="E1117" s="8" t="str">
        <f>[1]Data!E1117</f>
        <v>NON-HS</v>
      </c>
      <c r="F1117" s="8" t="str">
        <f>[1]Data!F1117</f>
        <v>Redondo Beach</v>
      </c>
      <c r="G1117" s="8">
        <f>[1]Data!G1117</f>
        <v>0</v>
      </c>
      <c r="H1117" s="8">
        <f>[1]Data!H1117</f>
        <v>0</v>
      </c>
      <c r="I1117" s="8">
        <f>[1]Data!I1117</f>
        <v>8.19</v>
      </c>
      <c r="J1117" s="8">
        <f>[1]Data!J1117</f>
        <v>3.9673993200000002</v>
      </c>
      <c r="K1117" s="8">
        <f>[1]Data!K1117</f>
        <v>7.9673993200000002</v>
      </c>
      <c r="L1117" s="8">
        <f>[1]Data!L1117</f>
        <v>0.22234520276481101</v>
      </c>
      <c r="M1117" s="8">
        <f>[1]Data!M1117</f>
        <v>8.1897445227648102</v>
      </c>
      <c r="N1117" s="8">
        <f>[1]Data!N1117</f>
        <v>3.3333333333333298E-2</v>
      </c>
      <c r="O1117" s="8">
        <f>[1]Data!O1117</f>
        <v>0</v>
      </c>
      <c r="P1117" s="8">
        <f>[1]Data!P1117</f>
        <v>0.82499999999999996</v>
      </c>
      <c r="Q1117" s="8">
        <f>[1]Data!Q1117</f>
        <v>0</v>
      </c>
      <c r="R1117" s="8">
        <f>[1]Data!R1117</f>
        <v>0</v>
      </c>
      <c r="S1117" s="8">
        <f>[1]Data!S1117</f>
        <v>0</v>
      </c>
      <c r="T1117">
        <f t="shared" si="85"/>
        <v>3.3333333333333298E-2</v>
      </c>
      <c r="U1117">
        <f t="shared" si="86"/>
        <v>0</v>
      </c>
      <c r="V1117" s="4" t="str">
        <f t="shared" si="87"/>
        <v>0</v>
      </c>
      <c r="W1117" s="4" t="str">
        <f t="shared" si="88"/>
        <v>8</v>
      </c>
      <c r="X1117" s="4" t="str">
        <f t="shared" si="89"/>
        <v>0NON-HS8</v>
      </c>
      <c r="Y1117">
        <f>VLOOKUP(X1117,Sheet1!$J$5:$K$121,2,FALSE)</f>
        <v>0</v>
      </c>
    </row>
    <row r="1118" spans="1:25" x14ac:dyDescent="0.25">
      <c r="A1118" s="8">
        <f>[1]Data!A1118</f>
        <v>620901</v>
      </c>
      <c r="B1118" s="8">
        <f>[1]Data!B1118</f>
        <v>8</v>
      </c>
      <c r="C1118" s="8">
        <f>[1]Data!C1118</f>
        <v>0</v>
      </c>
      <c r="D1118" s="8">
        <f>[1]Data!D1118</f>
        <v>4</v>
      </c>
      <c r="E1118" s="8" t="str">
        <f>[1]Data!E1118</f>
        <v>NON-HS</v>
      </c>
      <c r="F1118" s="8" t="str">
        <f>[1]Data!F1118</f>
        <v>Manhattan Beach</v>
      </c>
      <c r="G1118" s="8">
        <f>[1]Data!G1118</f>
        <v>0</v>
      </c>
      <c r="H1118" s="8">
        <f>[1]Data!H1118</f>
        <v>0</v>
      </c>
      <c r="I1118" s="8">
        <f>[1]Data!I1118</f>
        <v>0</v>
      </c>
      <c r="J1118" s="8">
        <f>[1]Data!J1118</f>
        <v>0</v>
      </c>
      <c r="K1118" s="8">
        <f>[1]Data!K1118</f>
        <v>0</v>
      </c>
      <c r="L1118" s="8">
        <f>[1]Data!L1118</f>
        <v>0</v>
      </c>
      <c r="M1118" s="8">
        <f>[1]Data!M1118</f>
        <v>0</v>
      </c>
      <c r="N1118" s="8">
        <f>[1]Data!N1118</f>
        <v>3.3333333333333298E-2</v>
      </c>
      <c r="O1118" s="8">
        <f>[1]Data!O1118</f>
        <v>0</v>
      </c>
      <c r="P1118" s="8">
        <f>[1]Data!P1118</f>
        <v>0.82499999999999996</v>
      </c>
      <c r="Q1118" s="8">
        <f>[1]Data!Q1118</f>
        <v>0</v>
      </c>
      <c r="R1118" s="8">
        <f>[1]Data!R1118</f>
        <v>0</v>
      </c>
      <c r="S1118" s="8">
        <f>[1]Data!S1118</f>
        <v>0</v>
      </c>
      <c r="T1118">
        <f t="shared" si="85"/>
        <v>3.3333333333333298E-2</v>
      </c>
      <c r="U1118">
        <f t="shared" si="86"/>
        <v>0</v>
      </c>
      <c r="V1118" s="4" t="str">
        <f t="shared" si="87"/>
        <v>0</v>
      </c>
      <c r="W1118" s="4" t="str">
        <f t="shared" si="88"/>
        <v>8</v>
      </c>
      <c r="X1118" s="4" t="str">
        <f t="shared" si="89"/>
        <v>0NON-HS8</v>
      </c>
      <c r="Y1118">
        <f>VLOOKUP(X1118,Sheet1!$J$5:$K$121,2,FALSE)</f>
        <v>0</v>
      </c>
    </row>
    <row r="1119" spans="1:25" x14ac:dyDescent="0.25">
      <c r="A1119" s="8">
        <f>[1]Data!A1119</f>
        <v>620904</v>
      </c>
      <c r="B1119" s="8">
        <f>[1]Data!B1119</f>
        <v>8</v>
      </c>
      <c r="C1119" s="8">
        <f>[1]Data!C1119</f>
        <v>0</v>
      </c>
      <c r="D1119" s="8">
        <f>[1]Data!D1119</f>
        <v>4</v>
      </c>
      <c r="E1119" s="8" t="str">
        <f>[1]Data!E1119</f>
        <v>NON-HS</v>
      </c>
      <c r="F1119" s="8" t="str">
        <f>[1]Data!F1119</f>
        <v>Manhattan Beach</v>
      </c>
      <c r="G1119" s="8">
        <f>[1]Data!G1119</f>
        <v>1</v>
      </c>
      <c r="H1119" s="8">
        <f>[1]Data!H1119</f>
        <v>1</v>
      </c>
      <c r="I1119" s="8">
        <f>[1]Data!I1119</f>
        <v>1</v>
      </c>
      <c r="J1119" s="8">
        <f>[1]Data!J1119</f>
        <v>0</v>
      </c>
      <c r="K1119" s="8">
        <f>[1]Data!K1119</f>
        <v>1</v>
      </c>
      <c r="L1119" s="8">
        <f>[1]Data!L1119</f>
        <v>0</v>
      </c>
      <c r="M1119" s="8">
        <f>[1]Data!M1119</f>
        <v>1</v>
      </c>
      <c r="N1119" s="8">
        <f>[1]Data!N1119</f>
        <v>3.3333333333333298E-2</v>
      </c>
      <c r="O1119" s="8">
        <f>[1]Data!O1119</f>
        <v>30</v>
      </c>
      <c r="P1119" s="8">
        <f>[1]Data!P1119</f>
        <v>0.82499999999999996</v>
      </c>
      <c r="Q1119" s="8">
        <f>[1]Data!Q1119</f>
        <v>0</v>
      </c>
      <c r="R1119" s="8">
        <f>[1]Data!R1119</f>
        <v>0</v>
      </c>
      <c r="S1119" s="8">
        <f>[1]Data!S1119</f>
        <v>0</v>
      </c>
      <c r="T1119">
        <f t="shared" si="85"/>
        <v>3.3333333333333298E-2</v>
      </c>
      <c r="U1119">
        <f t="shared" si="86"/>
        <v>30.000000000000032</v>
      </c>
      <c r="V1119" s="4" t="str">
        <f t="shared" si="87"/>
        <v>0</v>
      </c>
      <c r="W1119" s="4" t="str">
        <f t="shared" si="88"/>
        <v>8</v>
      </c>
      <c r="X1119" s="4" t="str">
        <f t="shared" si="89"/>
        <v>0NON-HS8</v>
      </c>
      <c r="Y1119">
        <f>VLOOKUP(X1119,Sheet1!$J$5:$K$121,2,FALSE)</f>
        <v>0</v>
      </c>
    </row>
    <row r="1120" spans="1:25" x14ac:dyDescent="0.25">
      <c r="A1120" s="8">
        <f>[1]Data!A1120</f>
        <v>621001</v>
      </c>
      <c r="B1120" s="8">
        <f>[1]Data!B1120</f>
        <v>8</v>
      </c>
      <c r="C1120" s="8">
        <f>[1]Data!C1120</f>
        <v>0</v>
      </c>
      <c r="D1120" s="8">
        <f>[1]Data!D1120</f>
        <v>4</v>
      </c>
      <c r="E1120" s="8" t="str">
        <f>[1]Data!E1120</f>
        <v>NON-HS</v>
      </c>
      <c r="F1120" s="8" t="str">
        <f>[1]Data!F1120</f>
        <v>Hermosa Beach</v>
      </c>
      <c r="G1120" s="8">
        <f>[1]Data!G1120</f>
        <v>0</v>
      </c>
      <c r="H1120" s="8">
        <f>[1]Data!H1120</f>
        <v>0</v>
      </c>
      <c r="I1120" s="8">
        <f>[1]Data!I1120</f>
        <v>1</v>
      </c>
      <c r="J1120" s="8">
        <f>[1]Data!J1120</f>
        <v>0</v>
      </c>
      <c r="K1120" s="8">
        <f>[1]Data!K1120</f>
        <v>1</v>
      </c>
      <c r="L1120" s="8">
        <f>[1]Data!L1120</f>
        <v>0</v>
      </c>
      <c r="M1120" s="8">
        <f>[1]Data!M1120</f>
        <v>1</v>
      </c>
      <c r="N1120" s="8">
        <f>[1]Data!N1120</f>
        <v>3.3333333333333298E-2</v>
      </c>
      <c r="O1120" s="8">
        <f>[1]Data!O1120</f>
        <v>0</v>
      </c>
      <c r="P1120" s="8">
        <f>[1]Data!P1120</f>
        <v>0.82499999999999996</v>
      </c>
      <c r="Q1120" s="8">
        <f>[1]Data!Q1120</f>
        <v>0</v>
      </c>
      <c r="R1120" s="8">
        <f>[1]Data!R1120</f>
        <v>0</v>
      </c>
      <c r="S1120" s="8">
        <f>[1]Data!S1120</f>
        <v>0</v>
      </c>
      <c r="T1120">
        <f t="shared" si="85"/>
        <v>3.3333333333333298E-2</v>
      </c>
      <c r="U1120">
        <f t="shared" si="86"/>
        <v>0</v>
      </c>
      <c r="V1120" s="4" t="str">
        <f t="shared" si="87"/>
        <v>0</v>
      </c>
      <c r="W1120" s="4" t="str">
        <f t="shared" si="88"/>
        <v>8</v>
      </c>
      <c r="X1120" s="4" t="str">
        <f t="shared" si="89"/>
        <v>0NON-HS8</v>
      </c>
      <c r="Y1120">
        <f>VLOOKUP(X1120,Sheet1!$J$5:$K$121,2,FALSE)</f>
        <v>0</v>
      </c>
    </row>
    <row r="1121" spans="1:25" x14ac:dyDescent="0.25">
      <c r="A1121" s="8">
        <f>[1]Data!A1121</f>
        <v>650001</v>
      </c>
      <c r="B1121" s="8">
        <f>[1]Data!B1121</f>
        <v>8</v>
      </c>
      <c r="C1121" s="8">
        <f>[1]Data!C1121</f>
        <v>0</v>
      </c>
      <c r="D1121" s="8">
        <f>[1]Data!D1121</f>
        <v>4</v>
      </c>
      <c r="E1121" s="8" t="str">
        <f>[1]Data!E1121</f>
        <v>NON-HS</v>
      </c>
      <c r="F1121" s="8" t="str">
        <f>[1]Data!F1121</f>
        <v>Torrance</v>
      </c>
      <c r="G1121" s="8">
        <f>[1]Data!G1121</f>
        <v>0</v>
      </c>
      <c r="H1121" s="8">
        <f>[1]Data!H1121</f>
        <v>0</v>
      </c>
      <c r="I1121" s="8">
        <f>[1]Data!I1121</f>
        <v>0</v>
      </c>
      <c r="J1121" s="8">
        <f>[1]Data!J1121</f>
        <v>0</v>
      </c>
      <c r="K1121" s="8">
        <f>[1]Data!K1121</f>
        <v>0</v>
      </c>
      <c r="L1121" s="8">
        <f>[1]Data!L1121</f>
        <v>0</v>
      </c>
      <c r="M1121" s="8">
        <f>[1]Data!M1121</f>
        <v>0</v>
      </c>
      <c r="N1121" s="8">
        <f>[1]Data!N1121</f>
        <v>3.3333333333333298E-2</v>
      </c>
      <c r="O1121" s="8">
        <f>[1]Data!O1121</f>
        <v>0</v>
      </c>
      <c r="P1121" s="8">
        <f>[1]Data!P1121</f>
        <v>0.82499999999999996</v>
      </c>
      <c r="Q1121" s="8">
        <f>[1]Data!Q1121</f>
        <v>0</v>
      </c>
      <c r="R1121" s="8">
        <f>[1]Data!R1121</f>
        <v>0</v>
      </c>
      <c r="S1121" s="8">
        <f>[1]Data!S1121</f>
        <v>0</v>
      </c>
      <c r="T1121">
        <f t="shared" si="85"/>
        <v>3.3333333333333298E-2</v>
      </c>
      <c r="U1121">
        <f t="shared" si="86"/>
        <v>0</v>
      </c>
      <c r="V1121" s="4" t="str">
        <f t="shared" si="87"/>
        <v>0</v>
      </c>
      <c r="W1121" s="4" t="str">
        <f t="shared" si="88"/>
        <v>8</v>
      </c>
      <c r="X1121" s="4" t="str">
        <f t="shared" si="89"/>
        <v>0NON-HS8</v>
      </c>
      <c r="Y1121">
        <f>VLOOKUP(X1121,Sheet1!$J$5:$K$121,2,FALSE)</f>
        <v>0</v>
      </c>
    </row>
    <row r="1122" spans="1:25" x14ac:dyDescent="0.25">
      <c r="A1122" s="8">
        <f>[1]Data!A1122</f>
        <v>621102</v>
      </c>
      <c r="B1122" s="8">
        <f>[1]Data!B1122</f>
        <v>8</v>
      </c>
      <c r="C1122" s="8">
        <f>[1]Data!C1122</f>
        <v>0</v>
      </c>
      <c r="D1122" s="8">
        <f>[1]Data!D1122</f>
        <v>4</v>
      </c>
      <c r="E1122" s="8" t="str">
        <f>[1]Data!E1122</f>
        <v>NON-HS</v>
      </c>
      <c r="F1122" s="8" t="str">
        <f>[1]Data!F1122</f>
        <v>Hermosa Beach</v>
      </c>
      <c r="G1122" s="8">
        <f>[1]Data!G1122</f>
        <v>0</v>
      </c>
      <c r="H1122" s="8">
        <f>[1]Data!H1122</f>
        <v>0</v>
      </c>
      <c r="I1122" s="8">
        <f>[1]Data!I1122</f>
        <v>0</v>
      </c>
      <c r="J1122" s="8">
        <f>[1]Data!J1122</f>
        <v>0</v>
      </c>
      <c r="K1122" s="8">
        <f>[1]Data!K1122</f>
        <v>0</v>
      </c>
      <c r="L1122" s="8">
        <f>[1]Data!L1122</f>
        <v>0</v>
      </c>
      <c r="M1122" s="8">
        <f>[1]Data!M1122</f>
        <v>0</v>
      </c>
      <c r="N1122" s="8">
        <f>[1]Data!N1122</f>
        <v>3.3333333333333298E-2</v>
      </c>
      <c r="O1122" s="8">
        <f>[1]Data!O1122</f>
        <v>0</v>
      </c>
      <c r="P1122" s="8">
        <f>[1]Data!P1122</f>
        <v>0.82499999999999996</v>
      </c>
      <c r="Q1122" s="8">
        <f>[1]Data!Q1122</f>
        <v>0</v>
      </c>
      <c r="R1122" s="8">
        <f>[1]Data!R1122</f>
        <v>0</v>
      </c>
      <c r="S1122" s="8">
        <f>[1]Data!S1122</f>
        <v>0</v>
      </c>
      <c r="T1122">
        <f t="shared" si="85"/>
        <v>3.3333333333333298E-2</v>
      </c>
      <c r="U1122">
        <f t="shared" si="86"/>
        <v>0</v>
      </c>
      <c r="V1122" s="4" t="str">
        <f t="shared" si="87"/>
        <v>0</v>
      </c>
      <c r="W1122" s="4" t="str">
        <f t="shared" si="88"/>
        <v>8</v>
      </c>
      <c r="X1122" s="4" t="str">
        <f t="shared" si="89"/>
        <v>0NON-HS8</v>
      </c>
      <c r="Y1122">
        <f>VLOOKUP(X1122,Sheet1!$J$5:$K$121,2,FALSE)</f>
        <v>0</v>
      </c>
    </row>
    <row r="1123" spans="1:25" x14ac:dyDescent="0.25">
      <c r="A1123" s="8">
        <f>[1]Data!A1123</f>
        <v>620701</v>
      </c>
      <c r="B1123" s="8">
        <f>[1]Data!B1123</f>
        <v>8</v>
      </c>
      <c r="C1123" s="8">
        <f>[1]Data!C1123</f>
        <v>0</v>
      </c>
      <c r="D1123" s="8">
        <f>[1]Data!D1123</f>
        <v>4</v>
      </c>
      <c r="E1123" s="8" t="str">
        <f>[1]Data!E1123</f>
        <v>NON-HS</v>
      </c>
      <c r="F1123" s="8" t="str">
        <f>[1]Data!F1123</f>
        <v>Redondo Beach</v>
      </c>
      <c r="G1123" s="8">
        <f>[1]Data!G1123</f>
        <v>0</v>
      </c>
      <c r="H1123" s="8">
        <f>[1]Data!H1123</f>
        <v>0</v>
      </c>
      <c r="I1123" s="8">
        <f>[1]Data!I1123</f>
        <v>9.9979999999999993</v>
      </c>
      <c r="J1123" s="8">
        <f>[1]Data!J1123</f>
        <v>5.7005314900000004</v>
      </c>
      <c r="K1123" s="8">
        <f>[1]Data!K1123</f>
        <v>9.7005314899999995</v>
      </c>
      <c r="L1123" s="8">
        <f>[1]Data!L1123</f>
        <v>0.29733071305206499</v>
      </c>
      <c r="M1123" s="8">
        <f>[1]Data!M1123</f>
        <v>9.9978622030520601</v>
      </c>
      <c r="N1123" s="8">
        <f>[1]Data!N1123</f>
        <v>3.3333333333333298E-2</v>
      </c>
      <c r="O1123" s="8">
        <f>[1]Data!O1123</f>
        <v>0</v>
      </c>
      <c r="P1123" s="8">
        <f>[1]Data!P1123</f>
        <v>0.82499999999999996</v>
      </c>
      <c r="Q1123" s="8">
        <f>[1]Data!Q1123</f>
        <v>0</v>
      </c>
      <c r="R1123" s="8">
        <f>[1]Data!R1123</f>
        <v>0</v>
      </c>
      <c r="S1123" s="8">
        <f>[1]Data!S1123</f>
        <v>0</v>
      </c>
      <c r="T1123">
        <f t="shared" si="85"/>
        <v>3.3333333333333298E-2</v>
      </c>
      <c r="U1123">
        <f t="shared" si="86"/>
        <v>0</v>
      </c>
      <c r="V1123" s="4" t="str">
        <f t="shared" si="87"/>
        <v>0</v>
      </c>
      <c r="W1123" s="4" t="str">
        <f t="shared" si="88"/>
        <v>8</v>
      </c>
      <c r="X1123" s="4" t="str">
        <f t="shared" si="89"/>
        <v>0NON-HS8</v>
      </c>
      <c r="Y1123">
        <f>VLOOKUP(X1123,Sheet1!$J$5:$K$121,2,FALSE)</f>
        <v>0</v>
      </c>
    </row>
    <row r="1124" spans="1:25" x14ac:dyDescent="0.25">
      <c r="A1124" s="8">
        <f>[1]Data!A1124</f>
        <v>620303</v>
      </c>
      <c r="B1124" s="8">
        <f>[1]Data!B1124</f>
        <v>8</v>
      </c>
      <c r="C1124" s="8">
        <f>[1]Data!C1124</f>
        <v>0</v>
      </c>
      <c r="D1124" s="8">
        <f>[1]Data!D1124</f>
        <v>4</v>
      </c>
      <c r="E1124" s="8" t="str">
        <f>[1]Data!E1124</f>
        <v>NON-HS</v>
      </c>
      <c r="F1124" s="8" t="str">
        <f>[1]Data!F1124</f>
        <v>Manhattan Beach</v>
      </c>
      <c r="G1124" s="8">
        <f>[1]Data!G1124</f>
        <v>0</v>
      </c>
      <c r="H1124" s="8">
        <f>[1]Data!H1124</f>
        <v>0</v>
      </c>
      <c r="I1124" s="8">
        <f>[1]Data!I1124</f>
        <v>0</v>
      </c>
      <c r="J1124" s="8">
        <f>[1]Data!J1124</f>
        <v>0</v>
      </c>
      <c r="K1124" s="8">
        <f>[1]Data!K1124</f>
        <v>0</v>
      </c>
      <c r="L1124" s="8">
        <f>[1]Data!L1124</f>
        <v>0</v>
      </c>
      <c r="M1124" s="8">
        <f>[1]Data!M1124</f>
        <v>0</v>
      </c>
      <c r="N1124" s="8">
        <f>[1]Data!N1124</f>
        <v>3.3333333333333298E-2</v>
      </c>
      <c r="O1124" s="8">
        <f>[1]Data!O1124</f>
        <v>0</v>
      </c>
      <c r="P1124" s="8">
        <f>[1]Data!P1124</f>
        <v>0.82499999999999996</v>
      </c>
      <c r="Q1124" s="8">
        <f>[1]Data!Q1124</f>
        <v>0</v>
      </c>
      <c r="R1124" s="8">
        <f>[1]Data!R1124</f>
        <v>0</v>
      </c>
      <c r="S1124" s="8">
        <f>[1]Data!S1124</f>
        <v>0</v>
      </c>
      <c r="T1124">
        <f t="shared" si="85"/>
        <v>3.3333333333333298E-2</v>
      </c>
      <c r="U1124">
        <f t="shared" si="86"/>
        <v>0</v>
      </c>
      <c r="V1124" s="4" t="str">
        <f t="shared" si="87"/>
        <v>0</v>
      </c>
      <c r="W1124" s="4" t="str">
        <f t="shared" si="88"/>
        <v>8</v>
      </c>
      <c r="X1124" s="4" t="str">
        <f t="shared" si="89"/>
        <v>0NON-HS8</v>
      </c>
      <c r="Y1124">
        <f>VLOOKUP(X1124,Sheet1!$J$5:$K$121,2,FALSE)</f>
        <v>0</v>
      </c>
    </row>
    <row r="1125" spans="1:25" x14ac:dyDescent="0.25">
      <c r="A1125" s="8">
        <f>[1]Data!A1125</f>
        <v>650003</v>
      </c>
      <c r="B1125" s="8">
        <f>[1]Data!B1125</f>
        <v>8</v>
      </c>
      <c r="C1125" s="8">
        <f>[1]Data!C1125</f>
        <v>0</v>
      </c>
      <c r="D1125" s="8">
        <f>[1]Data!D1125</f>
        <v>4</v>
      </c>
      <c r="E1125" s="8" t="str">
        <f>[1]Data!E1125</f>
        <v>NON-HS</v>
      </c>
      <c r="F1125" s="8" t="str">
        <f>[1]Data!F1125</f>
        <v>Torrance</v>
      </c>
      <c r="G1125" s="8">
        <f>[1]Data!G1125</f>
        <v>0</v>
      </c>
      <c r="H1125" s="8">
        <f>[1]Data!H1125</f>
        <v>0</v>
      </c>
      <c r="I1125" s="8">
        <f>[1]Data!I1125</f>
        <v>2</v>
      </c>
      <c r="J1125" s="8">
        <f>[1]Data!J1125</f>
        <v>0</v>
      </c>
      <c r="K1125" s="8">
        <f>[1]Data!K1125</f>
        <v>2</v>
      </c>
      <c r="L1125" s="8">
        <f>[1]Data!L1125</f>
        <v>0</v>
      </c>
      <c r="M1125" s="8">
        <f>[1]Data!M1125</f>
        <v>2</v>
      </c>
      <c r="N1125" s="8">
        <f>[1]Data!N1125</f>
        <v>3.3333333333333298E-2</v>
      </c>
      <c r="O1125" s="8">
        <f>[1]Data!O1125</f>
        <v>0</v>
      </c>
      <c r="P1125" s="8">
        <f>[1]Data!P1125</f>
        <v>0.82499999999999996</v>
      </c>
      <c r="Q1125" s="8">
        <f>[1]Data!Q1125</f>
        <v>0</v>
      </c>
      <c r="R1125" s="8">
        <f>[1]Data!R1125</f>
        <v>0</v>
      </c>
      <c r="S1125" s="8">
        <f>[1]Data!S1125</f>
        <v>0</v>
      </c>
      <c r="T1125">
        <f t="shared" si="85"/>
        <v>3.3333333333333298E-2</v>
      </c>
      <c r="U1125">
        <f t="shared" si="86"/>
        <v>0</v>
      </c>
      <c r="V1125" s="4" t="str">
        <f t="shared" si="87"/>
        <v>0</v>
      </c>
      <c r="W1125" s="4" t="str">
        <f t="shared" si="88"/>
        <v>8</v>
      </c>
      <c r="X1125" s="4" t="str">
        <f t="shared" si="89"/>
        <v>0NON-HS8</v>
      </c>
      <c r="Y1125">
        <f>VLOOKUP(X1125,Sheet1!$J$5:$K$121,2,FALSE)</f>
        <v>0</v>
      </c>
    </row>
    <row r="1126" spans="1:25" x14ac:dyDescent="0.25">
      <c r="A1126" s="8">
        <f>[1]Data!A1126</f>
        <v>650101</v>
      </c>
      <c r="B1126" s="8">
        <f>[1]Data!B1126</f>
        <v>8</v>
      </c>
      <c r="C1126" s="8">
        <f>[1]Data!C1126</f>
        <v>0</v>
      </c>
      <c r="D1126" s="8">
        <f>[1]Data!D1126</f>
        <v>4</v>
      </c>
      <c r="E1126" s="8" t="str">
        <f>[1]Data!E1126</f>
        <v>NON-HS</v>
      </c>
      <c r="F1126" s="8" t="str">
        <f>[1]Data!F1126</f>
        <v>Torrance</v>
      </c>
      <c r="G1126" s="8">
        <f>[1]Data!G1126</f>
        <v>0</v>
      </c>
      <c r="H1126" s="8">
        <f>[1]Data!H1126</f>
        <v>0</v>
      </c>
      <c r="I1126" s="8">
        <f>[1]Data!I1126</f>
        <v>7.42</v>
      </c>
      <c r="J1126" s="8">
        <f>[1]Data!J1126</f>
        <v>7.0609083400000001</v>
      </c>
      <c r="K1126" s="8">
        <f>[1]Data!K1126</f>
        <v>7.0609083400000001</v>
      </c>
      <c r="L1126" s="8">
        <f>[1]Data!L1126</f>
        <v>0.35823543989228002</v>
      </c>
      <c r="M1126" s="8">
        <f>[1]Data!M1126</f>
        <v>7.4191437798922797</v>
      </c>
      <c r="N1126" s="8">
        <f>[1]Data!N1126</f>
        <v>3.3333333333333298E-2</v>
      </c>
      <c r="O1126" s="8">
        <f>[1]Data!O1126</f>
        <v>0</v>
      </c>
      <c r="P1126" s="8">
        <f>[1]Data!P1126</f>
        <v>0.82499999999999996</v>
      </c>
      <c r="Q1126" s="8">
        <f>[1]Data!Q1126</f>
        <v>0</v>
      </c>
      <c r="R1126" s="8">
        <f>[1]Data!R1126</f>
        <v>0</v>
      </c>
      <c r="S1126" s="8">
        <f>[1]Data!S1126</f>
        <v>0</v>
      </c>
      <c r="T1126">
        <f t="shared" si="85"/>
        <v>3.3333333333333298E-2</v>
      </c>
      <c r="U1126">
        <f t="shared" si="86"/>
        <v>0</v>
      </c>
      <c r="V1126" s="4" t="str">
        <f t="shared" si="87"/>
        <v>0</v>
      </c>
      <c r="W1126" s="4" t="str">
        <f t="shared" si="88"/>
        <v>8</v>
      </c>
      <c r="X1126" s="4" t="str">
        <f t="shared" si="89"/>
        <v>0NON-HS8</v>
      </c>
      <c r="Y1126">
        <f>VLOOKUP(X1126,Sheet1!$J$5:$K$121,2,FALSE)</f>
        <v>0</v>
      </c>
    </row>
    <row r="1127" spans="1:25" x14ac:dyDescent="0.25">
      <c r="A1127" s="8">
        <f>[1]Data!A1127</f>
        <v>650102</v>
      </c>
      <c r="B1127" s="8">
        <f>[1]Data!B1127</f>
        <v>8</v>
      </c>
      <c r="C1127" s="8">
        <f>[1]Data!C1127</f>
        <v>0</v>
      </c>
      <c r="D1127" s="8">
        <f>[1]Data!D1127</f>
        <v>4</v>
      </c>
      <c r="E1127" s="8" t="str">
        <f>[1]Data!E1127</f>
        <v>NON-HS</v>
      </c>
      <c r="F1127" s="8" t="str">
        <f>[1]Data!F1127</f>
        <v>Torrance</v>
      </c>
      <c r="G1127" s="8">
        <f>[1]Data!G1127</f>
        <v>0</v>
      </c>
      <c r="H1127" s="8">
        <f>[1]Data!H1127</f>
        <v>0</v>
      </c>
      <c r="I1127" s="8">
        <f>[1]Data!I1127</f>
        <v>4.4059999999999997</v>
      </c>
      <c r="J1127" s="8">
        <f>[1]Data!J1127</f>
        <v>3.3625832400000002</v>
      </c>
      <c r="K1127" s="8">
        <f>[1]Data!K1127</f>
        <v>4.3625832400000002</v>
      </c>
      <c r="L1127" s="8">
        <f>[1]Data!L1127</f>
        <v>4.2983863518851001E-2</v>
      </c>
      <c r="M1127" s="8">
        <f>[1]Data!M1127</f>
        <v>4.4055671035188499</v>
      </c>
      <c r="N1127" s="8">
        <f>[1]Data!N1127</f>
        <v>3.3333333333333298E-2</v>
      </c>
      <c r="O1127" s="8">
        <f>[1]Data!O1127</f>
        <v>0</v>
      </c>
      <c r="P1127" s="8">
        <f>[1]Data!P1127</f>
        <v>0.82499999999999996</v>
      </c>
      <c r="Q1127" s="8">
        <f>[1]Data!Q1127</f>
        <v>0</v>
      </c>
      <c r="R1127" s="8">
        <f>[1]Data!R1127</f>
        <v>0</v>
      </c>
      <c r="S1127" s="8">
        <f>[1]Data!S1127</f>
        <v>0</v>
      </c>
      <c r="T1127">
        <f t="shared" si="85"/>
        <v>3.3333333333333298E-2</v>
      </c>
      <c r="U1127">
        <f t="shared" si="86"/>
        <v>0</v>
      </c>
      <c r="V1127" s="4" t="str">
        <f t="shared" si="87"/>
        <v>0</v>
      </c>
      <c r="W1127" s="4" t="str">
        <f t="shared" si="88"/>
        <v>8</v>
      </c>
      <c r="X1127" s="4" t="str">
        <f t="shared" si="89"/>
        <v>0NON-HS8</v>
      </c>
      <c r="Y1127">
        <f>VLOOKUP(X1127,Sheet1!$J$5:$K$121,2,FALSE)</f>
        <v>0</v>
      </c>
    </row>
    <row r="1128" spans="1:25" x14ac:dyDescent="0.25">
      <c r="A1128" s="8">
        <f>[1]Data!A1128</f>
        <v>650501</v>
      </c>
      <c r="B1128" s="8">
        <f>[1]Data!B1128</f>
        <v>8</v>
      </c>
      <c r="C1128" s="8">
        <f>[1]Data!C1128</f>
        <v>0</v>
      </c>
      <c r="D1128" s="8">
        <f>[1]Data!D1128</f>
        <v>4</v>
      </c>
      <c r="E1128" s="8" t="str">
        <f>[1]Data!E1128</f>
        <v>NON-HS</v>
      </c>
      <c r="F1128" s="8" t="str">
        <f>[1]Data!F1128</f>
        <v>Torrance</v>
      </c>
      <c r="G1128" s="8">
        <f>[1]Data!G1128</f>
        <v>0</v>
      </c>
      <c r="H1128" s="8">
        <f>[1]Data!H1128</f>
        <v>0</v>
      </c>
      <c r="I1128" s="8">
        <f>[1]Data!I1128</f>
        <v>1</v>
      </c>
      <c r="J1128" s="8">
        <f>[1]Data!J1128</f>
        <v>0</v>
      </c>
      <c r="K1128" s="8">
        <f>[1]Data!K1128</f>
        <v>1</v>
      </c>
      <c r="L1128" s="8">
        <f>[1]Data!L1128</f>
        <v>0</v>
      </c>
      <c r="M1128" s="8">
        <f>[1]Data!M1128</f>
        <v>1</v>
      </c>
      <c r="N1128" s="8">
        <f>[1]Data!N1128</f>
        <v>3.3333333333333298E-2</v>
      </c>
      <c r="O1128" s="8">
        <f>[1]Data!O1128</f>
        <v>0</v>
      </c>
      <c r="P1128" s="8">
        <f>[1]Data!P1128</f>
        <v>0.82499999999999996</v>
      </c>
      <c r="Q1128" s="8">
        <f>[1]Data!Q1128</f>
        <v>0</v>
      </c>
      <c r="R1128" s="8">
        <f>[1]Data!R1128</f>
        <v>0</v>
      </c>
      <c r="S1128" s="8">
        <f>[1]Data!S1128</f>
        <v>0</v>
      </c>
      <c r="T1128">
        <f t="shared" si="85"/>
        <v>3.3333333333333298E-2</v>
      </c>
      <c r="U1128">
        <f t="shared" si="86"/>
        <v>0</v>
      </c>
      <c r="V1128" s="4" t="str">
        <f t="shared" si="87"/>
        <v>0</v>
      </c>
      <c r="W1128" s="4" t="str">
        <f t="shared" si="88"/>
        <v>8</v>
      </c>
      <c r="X1128" s="4" t="str">
        <f t="shared" si="89"/>
        <v>0NON-HS8</v>
      </c>
      <c r="Y1128">
        <f>VLOOKUP(X1128,Sheet1!$J$5:$K$121,2,FALSE)</f>
        <v>0</v>
      </c>
    </row>
    <row r="1129" spans="1:25" x14ac:dyDescent="0.25">
      <c r="A1129" s="8">
        <f>[1]Data!A1129</f>
        <v>650702</v>
      </c>
      <c r="B1129" s="8">
        <f>[1]Data!B1129</f>
        <v>8</v>
      </c>
      <c r="C1129" s="8">
        <f>[1]Data!C1129</f>
        <v>0</v>
      </c>
      <c r="D1129" s="8">
        <f>[1]Data!D1129</f>
        <v>4</v>
      </c>
      <c r="E1129" s="8" t="str">
        <f>[1]Data!E1129</f>
        <v>NON-HS</v>
      </c>
      <c r="F1129" s="8" t="str">
        <f>[1]Data!F1129</f>
        <v>Torrance</v>
      </c>
      <c r="G1129" s="8">
        <f>[1]Data!G1129</f>
        <v>0</v>
      </c>
      <c r="H1129" s="8">
        <f>[1]Data!H1129</f>
        <v>0</v>
      </c>
      <c r="I1129" s="8">
        <f>[1]Data!I1129</f>
        <v>0</v>
      </c>
      <c r="J1129" s="8">
        <f>[1]Data!J1129</f>
        <v>0</v>
      </c>
      <c r="K1129" s="8">
        <f>[1]Data!K1129</f>
        <v>0</v>
      </c>
      <c r="L1129" s="8">
        <f>[1]Data!L1129</f>
        <v>0</v>
      </c>
      <c r="M1129" s="8">
        <f>[1]Data!M1129</f>
        <v>0</v>
      </c>
      <c r="N1129" s="8">
        <f>[1]Data!N1129</f>
        <v>3.3333333333333298E-2</v>
      </c>
      <c r="O1129" s="8">
        <f>[1]Data!O1129</f>
        <v>0</v>
      </c>
      <c r="P1129" s="8">
        <f>[1]Data!P1129</f>
        <v>0.82499999999999996</v>
      </c>
      <c r="Q1129" s="8">
        <f>[1]Data!Q1129</f>
        <v>0</v>
      </c>
      <c r="R1129" s="8">
        <f>[1]Data!R1129</f>
        <v>0</v>
      </c>
      <c r="S1129" s="8">
        <f>[1]Data!S1129</f>
        <v>0</v>
      </c>
      <c r="T1129">
        <f t="shared" si="85"/>
        <v>3.3333333333333298E-2</v>
      </c>
      <c r="U1129">
        <f t="shared" si="86"/>
        <v>0</v>
      </c>
      <c r="V1129" s="4" t="str">
        <f t="shared" si="87"/>
        <v>0</v>
      </c>
      <c r="W1129" s="4" t="str">
        <f t="shared" si="88"/>
        <v>8</v>
      </c>
      <c r="X1129" s="4" t="str">
        <f t="shared" si="89"/>
        <v>0NON-HS8</v>
      </c>
      <c r="Y1129">
        <f>VLOOKUP(X1129,Sheet1!$J$5:$K$121,2,FALSE)</f>
        <v>0</v>
      </c>
    </row>
    <row r="1130" spans="1:25" x14ac:dyDescent="0.25">
      <c r="A1130" s="8">
        <f>[1]Data!A1130</f>
        <v>650800</v>
      </c>
      <c r="B1130" s="8">
        <f>[1]Data!B1130</f>
        <v>8</v>
      </c>
      <c r="C1130" s="8">
        <f>[1]Data!C1130</f>
        <v>0</v>
      </c>
      <c r="D1130" s="8">
        <f>[1]Data!D1130</f>
        <v>4</v>
      </c>
      <c r="E1130" s="8" t="str">
        <f>[1]Data!E1130</f>
        <v>NON-HS</v>
      </c>
      <c r="F1130" s="8" t="str">
        <f>[1]Data!F1130</f>
        <v>Torrance</v>
      </c>
      <c r="G1130" s="8">
        <f>[1]Data!G1130</f>
        <v>0</v>
      </c>
      <c r="H1130" s="8">
        <f>[1]Data!H1130</f>
        <v>0</v>
      </c>
      <c r="I1130" s="8">
        <f>[1]Data!I1130</f>
        <v>0</v>
      </c>
      <c r="J1130" s="8">
        <f>[1]Data!J1130</f>
        <v>0</v>
      </c>
      <c r="K1130" s="8">
        <f>[1]Data!K1130</f>
        <v>0</v>
      </c>
      <c r="L1130" s="8">
        <f>[1]Data!L1130</f>
        <v>0</v>
      </c>
      <c r="M1130" s="8">
        <f>[1]Data!M1130</f>
        <v>0</v>
      </c>
      <c r="N1130" s="8">
        <f>[1]Data!N1130</f>
        <v>3.3333333333333298E-2</v>
      </c>
      <c r="O1130" s="8">
        <f>[1]Data!O1130</f>
        <v>0</v>
      </c>
      <c r="P1130" s="8">
        <f>[1]Data!P1130</f>
        <v>0.82499999999999996</v>
      </c>
      <c r="Q1130" s="8">
        <f>[1]Data!Q1130</f>
        <v>0</v>
      </c>
      <c r="R1130" s="8">
        <f>[1]Data!R1130</f>
        <v>0</v>
      </c>
      <c r="S1130" s="8">
        <f>[1]Data!S1130</f>
        <v>0</v>
      </c>
      <c r="T1130">
        <f t="shared" si="85"/>
        <v>3.3333333333333298E-2</v>
      </c>
      <c r="U1130">
        <f t="shared" si="86"/>
        <v>0</v>
      </c>
      <c r="V1130" s="4" t="str">
        <f t="shared" si="87"/>
        <v>0</v>
      </c>
      <c r="W1130" s="4" t="str">
        <f t="shared" si="88"/>
        <v>8</v>
      </c>
      <c r="X1130" s="4" t="str">
        <f t="shared" si="89"/>
        <v>0NON-HS8</v>
      </c>
      <c r="Y1130">
        <f>VLOOKUP(X1130,Sheet1!$J$5:$K$121,2,FALSE)</f>
        <v>0</v>
      </c>
    </row>
    <row r="1131" spans="1:25" x14ac:dyDescent="0.25">
      <c r="A1131" s="8">
        <f>[1]Data!A1131</f>
        <v>651001</v>
      </c>
      <c r="B1131" s="8">
        <f>[1]Data!B1131</f>
        <v>8</v>
      </c>
      <c r="C1131" s="8">
        <f>[1]Data!C1131</f>
        <v>0</v>
      </c>
      <c r="D1131" s="8">
        <f>[1]Data!D1131</f>
        <v>4</v>
      </c>
      <c r="E1131" s="8" t="str">
        <f>[1]Data!E1131</f>
        <v>NON-HS</v>
      </c>
      <c r="F1131" s="8" t="str">
        <f>[1]Data!F1131</f>
        <v>Torrance</v>
      </c>
      <c r="G1131" s="8">
        <f>[1]Data!G1131</f>
        <v>0</v>
      </c>
      <c r="H1131" s="8">
        <f>[1]Data!H1131</f>
        <v>0</v>
      </c>
      <c r="I1131" s="8">
        <f>[1]Data!I1131</f>
        <v>1</v>
      </c>
      <c r="J1131" s="8">
        <f>[1]Data!J1131</f>
        <v>0</v>
      </c>
      <c r="K1131" s="8">
        <f>[1]Data!K1131</f>
        <v>1</v>
      </c>
      <c r="L1131" s="8">
        <f>[1]Data!L1131</f>
        <v>0</v>
      </c>
      <c r="M1131" s="8">
        <f>[1]Data!M1131</f>
        <v>1</v>
      </c>
      <c r="N1131" s="8">
        <f>[1]Data!N1131</f>
        <v>3.3333333333333298E-2</v>
      </c>
      <c r="O1131" s="8">
        <f>[1]Data!O1131</f>
        <v>0</v>
      </c>
      <c r="P1131" s="8">
        <f>[1]Data!P1131</f>
        <v>0.82499999999999996</v>
      </c>
      <c r="Q1131" s="8">
        <f>[1]Data!Q1131</f>
        <v>0</v>
      </c>
      <c r="R1131" s="8">
        <f>[1]Data!R1131</f>
        <v>0</v>
      </c>
      <c r="S1131" s="8">
        <f>[1]Data!S1131</f>
        <v>0</v>
      </c>
      <c r="T1131">
        <f t="shared" si="85"/>
        <v>3.3333333333333298E-2</v>
      </c>
      <c r="U1131">
        <f t="shared" si="86"/>
        <v>0</v>
      </c>
      <c r="V1131" s="4" t="str">
        <f t="shared" si="87"/>
        <v>0</v>
      </c>
      <c r="W1131" s="4" t="str">
        <f t="shared" si="88"/>
        <v>8</v>
      </c>
      <c r="X1131" s="4" t="str">
        <f t="shared" si="89"/>
        <v>0NON-HS8</v>
      </c>
      <c r="Y1131">
        <f>VLOOKUP(X1131,Sheet1!$J$5:$K$121,2,FALSE)</f>
        <v>0</v>
      </c>
    </row>
    <row r="1132" spans="1:25" x14ac:dyDescent="0.25">
      <c r="A1132" s="8">
        <f>[1]Data!A1132</f>
        <v>650602</v>
      </c>
      <c r="B1132" s="8">
        <f>[1]Data!B1132</f>
        <v>8</v>
      </c>
      <c r="C1132" s="8">
        <f>[1]Data!C1132</f>
        <v>0</v>
      </c>
      <c r="D1132" s="8">
        <f>[1]Data!D1132</f>
        <v>4</v>
      </c>
      <c r="E1132" s="8" t="str">
        <f>[1]Data!E1132</f>
        <v>NON-HS</v>
      </c>
      <c r="F1132" s="8" t="str">
        <f>[1]Data!F1132</f>
        <v>Torrance</v>
      </c>
      <c r="G1132" s="8">
        <f>[1]Data!G1132</f>
        <v>0</v>
      </c>
      <c r="H1132" s="8">
        <f>[1]Data!H1132</f>
        <v>0</v>
      </c>
      <c r="I1132" s="8">
        <f>[1]Data!I1132</f>
        <v>12.179</v>
      </c>
      <c r="J1132" s="8">
        <f>[1]Data!J1132</f>
        <v>8.5789246299999995</v>
      </c>
      <c r="K1132" s="8">
        <f>[1]Data!K1132</f>
        <v>11.578924629999999</v>
      </c>
      <c r="L1132" s="8">
        <f>[1]Data!L1132</f>
        <v>0.60023472533213695</v>
      </c>
      <c r="M1132" s="8">
        <f>[1]Data!M1132</f>
        <v>12.1791593553321</v>
      </c>
      <c r="N1132" s="8">
        <f>[1]Data!N1132</f>
        <v>3.3333333333333298E-2</v>
      </c>
      <c r="O1132" s="8">
        <f>[1]Data!O1132</f>
        <v>0</v>
      </c>
      <c r="P1132" s="8">
        <f>[1]Data!P1132</f>
        <v>0.82499999999999996</v>
      </c>
      <c r="Q1132" s="8">
        <f>[1]Data!Q1132</f>
        <v>0</v>
      </c>
      <c r="R1132" s="8">
        <f>[1]Data!R1132</f>
        <v>0</v>
      </c>
      <c r="S1132" s="8">
        <f>[1]Data!S1132</f>
        <v>0</v>
      </c>
      <c r="T1132">
        <f t="shared" si="85"/>
        <v>3.3333333333333298E-2</v>
      </c>
      <c r="U1132">
        <f t="shared" si="86"/>
        <v>0</v>
      </c>
      <c r="V1132" s="4" t="str">
        <f t="shared" si="87"/>
        <v>0</v>
      </c>
      <c r="W1132" s="4" t="str">
        <f t="shared" si="88"/>
        <v>8</v>
      </c>
      <c r="X1132" s="4" t="str">
        <f t="shared" si="89"/>
        <v>0NON-HS8</v>
      </c>
      <c r="Y1132">
        <f>VLOOKUP(X1132,Sheet1!$J$5:$K$121,2,FALSE)</f>
        <v>0</v>
      </c>
    </row>
    <row r="1133" spans="1:25" x14ac:dyDescent="0.25">
      <c r="A1133" s="8">
        <f>[1]Data!A1133</f>
        <v>650004</v>
      </c>
      <c r="B1133" s="8">
        <f>[1]Data!B1133</f>
        <v>8</v>
      </c>
      <c r="C1133" s="8">
        <f>[1]Data!C1133</f>
        <v>0</v>
      </c>
      <c r="D1133" s="8">
        <f>[1]Data!D1133</f>
        <v>4</v>
      </c>
      <c r="E1133" s="8" t="str">
        <f>[1]Data!E1133</f>
        <v>NON-HS</v>
      </c>
      <c r="F1133" s="8" t="str">
        <f>[1]Data!F1133</f>
        <v>Torrance</v>
      </c>
      <c r="G1133" s="8">
        <f>[1]Data!G1133</f>
        <v>0</v>
      </c>
      <c r="H1133" s="8">
        <f>[1]Data!H1133</f>
        <v>0</v>
      </c>
      <c r="I1133" s="8">
        <f>[1]Data!I1133</f>
        <v>0</v>
      </c>
      <c r="J1133" s="8">
        <f>[1]Data!J1133</f>
        <v>0</v>
      </c>
      <c r="K1133" s="8">
        <f>[1]Data!K1133</f>
        <v>0</v>
      </c>
      <c r="L1133" s="8">
        <f>[1]Data!L1133</f>
        <v>0</v>
      </c>
      <c r="M1133" s="8">
        <f>[1]Data!M1133</f>
        <v>0</v>
      </c>
      <c r="N1133" s="8">
        <f>[1]Data!N1133</f>
        <v>3.3333333333333298E-2</v>
      </c>
      <c r="O1133" s="8">
        <f>[1]Data!O1133</f>
        <v>0</v>
      </c>
      <c r="P1133" s="8">
        <f>[1]Data!P1133</f>
        <v>0.82499999999999996</v>
      </c>
      <c r="Q1133" s="8">
        <f>[1]Data!Q1133</f>
        <v>0</v>
      </c>
      <c r="R1133" s="8">
        <f>[1]Data!R1133</f>
        <v>0</v>
      </c>
      <c r="S1133" s="8">
        <f>[1]Data!S1133</f>
        <v>0</v>
      </c>
      <c r="T1133">
        <f t="shared" si="85"/>
        <v>3.3333333333333298E-2</v>
      </c>
      <c r="U1133">
        <f t="shared" si="86"/>
        <v>0</v>
      </c>
      <c r="V1133" s="4" t="str">
        <f t="shared" si="87"/>
        <v>0</v>
      </c>
      <c r="W1133" s="4" t="str">
        <f t="shared" si="88"/>
        <v>8</v>
      </c>
      <c r="X1133" s="4" t="str">
        <f t="shared" si="89"/>
        <v>0NON-HS8</v>
      </c>
      <c r="Y1133">
        <f>VLOOKUP(X1133,Sheet1!$J$5:$K$121,2,FALSE)</f>
        <v>0</v>
      </c>
    </row>
    <row r="1134" spans="1:25" x14ac:dyDescent="0.25">
      <c r="A1134" s="8">
        <f>[1]Data!A1134</f>
        <v>651002</v>
      </c>
      <c r="B1134" s="8">
        <f>[1]Data!B1134</f>
        <v>8</v>
      </c>
      <c r="C1134" s="8">
        <f>[1]Data!C1134</f>
        <v>0</v>
      </c>
      <c r="D1134" s="8">
        <f>[1]Data!D1134</f>
        <v>4</v>
      </c>
      <c r="E1134" s="8" t="str">
        <f>[1]Data!E1134</f>
        <v>NON-HS</v>
      </c>
      <c r="F1134" s="8" t="str">
        <f>[1]Data!F1134</f>
        <v>Torrance</v>
      </c>
      <c r="G1134" s="8">
        <f>[1]Data!G1134</f>
        <v>0</v>
      </c>
      <c r="H1134" s="8">
        <f>[1]Data!H1134</f>
        <v>0</v>
      </c>
      <c r="I1134" s="8">
        <f>[1]Data!I1134</f>
        <v>0</v>
      </c>
      <c r="J1134" s="8">
        <f>[1]Data!J1134</f>
        <v>0</v>
      </c>
      <c r="K1134" s="8">
        <f>[1]Data!K1134</f>
        <v>0</v>
      </c>
      <c r="L1134" s="8">
        <f>[1]Data!L1134</f>
        <v>0</v>
      </c>
      <c r="M1134" s="8">
        <f>[1]Data!M1134</f>
        <v>0</v>
      </c>
      <c r="N1134" s="8">
        <f>[1]Data!N1134</f>
        <v>3.3333333333333298E-2</v>
      </c>
      <c r="O1134" s="8">
        <f>[1]Data!O1134</f>
        <v>0</v>
      </c>
      <c r="P1134" s="8">
        <f>[1]Data!P1134</f>
        <v>0.82499999999999996</v>
      </c>
      <c r="Q1134" s="8">
        <f>[1]Data!Q1134</f>
        <v>0</v>
      </c>
      <c r="R1134" s="8">
        <f>[1]Data!R1134</f>
        <v>0</v>
      </c>
      <c r="S1134" s="8">
        <f>[1]Data!S1134</f>
        <v>0</v>
      </c>
      <c r="T1134">
        <f t="shared" si="85"/>
        <v>3.3333333333333298E-2</v>
      </c>
      <c r="U1134">
        <f t="shared" si="86"/>
        <v>0</v>
      </c>
      <c r="V1134" s="4" t="str">
        <f t="shared" si="87"/>
        <v>0</v>
      </c>
      <c r="W1134" s="4" t="str">
        <f t="shared" si="88"/>
        <v>8</v>
      </c>
      <c r="X1134" s="4" t="str">
        <f t="shared" si="89"/>
        <v>0NON-HS8</v>
      </c>
      <c r="Y1134">
        <f>VLOOKUP(X1134,Sheet1!$J$5:$K$121,2,FALSE)</f>
        <v>0</v>
      </c>
    </row>
    <row r="1135" spans="1:25" x14ac:dyDescent="0.25">
      <c r="A1135" s="8">
        <f>[1]Data!A1135</f>
        <v>651221</v>
      </c>
      <c r="B1135" s="8">
        <f>[1]Data!B1135</f>
        <v>8</v>
      </c>
      <c r="C1135" s="8">
        <f>[1]Data!C1135</f>
        <v>0</v>
      </c>
      <c r="D1135" s="8">
        <f>[1]Data!D1135</f>
        <v>4</v>
      </c>
      <c r="E1135" s="8" t="str">
        <f>[1]Data!E1135</f>
        <v>NON-HS</v>
      </c>
      <c r="F1135" s="8" t="str">
        <f>[1]Data!F1135</f>
        <v>Torrance</v>
      </c>
      <c r="G1135" s="8">
        <f>[1]Data!G1135</f>
        <v>0</v>
      </c>
      <c r="H1135" s="8">
        <f>[1]Data!H1135</f>
        <v>0</v>
      </c>
      <c r="I1135" s="8">
        <f>[1]Data!I1135</f>
        <v>0</v>
      </c>
      <c r="J1135" s="8">
        <f>[1]Data!J1135</f>
        <v>0</v>
      </c>
      <c r="K1135" s="8">
        <f>[1]Data!K1135</f>
        <v>0</v>
      </c>
      <c r="L1135" s="8">
        <f>[1]Data!L1135</f>
        <v>0</v>
      </c>
      <c r="M1135" s="8">
        <f>[1]Data!M1135</f>
        <v>0</v>
      </c>
      <c r="N1135" s="8">
        <f>[1]Data!N1135</f>
        <v>3.3333333333333298E-2</v>
      </c>
      <c r="O1135" s="8">
        <f>[1]Data!O1135</f>
        <v>0</v>
      </c>
      <c r="P1135" s="8">
        <f>[1]Data!P1135</f>
        <v>0.82499999999999996</v>
      </c>
      <c r="Q1135" s="8">
        <f>[1]Data!Q1135</f>
        <v>0</v>
      </c>
      <c r="R1135" s="8">
        <f>[1]Data!R1135</f>
        <v>0</v>
      </c>
      <c r="S1135" s="8">
        <f>[1]Data!S1135</f>
        <v>0</v>
      </c>
      <c r="T1135">
        <f t="shared" si="85"/>
        <v>3.3333333333333298E-2</v>
      </c>
      <c r="U1135">
        <f t="shared" si="86"/>
        <v>0</v>
      </c>
      <c r="V1135" s="4" t="str">
        <f t="shared" si="87"/>
        <v>0</v>
      </c>
      <c r="W1135" s="4" t="str">
        <f t="shared" si="88"/>
        <v>8</v>
      </c>
      <c r="X1135" s="4" t="str">
        <f t="shared" si="89"/>
        <v>0NON-HS8</v>
      </c>
      <c r="Y1135">
        <f>VLOOKUP(X1135,Sheet1!$J$5:$K$121,2,FALSE)</f>
        <v>0</v>
      </c>
    </row>
    <row r="1136" spans="1:25" x14ac:dyDescent="0.25">
      <c r="A1136" s="8">
        <f>[1]Data!A1136</f>
        <v>651222</v>
      </c>
      <c r="B1136" s="8">
        <f>[1]Data!B1136</f>
        <v>8</v>
      </c>
      <c r="C1136" s="8">
        <f>[1]Data!C1136</f>
        <v>0</v>
      </c>
      <c r="D1136" s="8">
        <f>[1]Data!D1136</f>
        <v>4</v>
      </c>
      <c r="E1136" s="8" t="str">
        <f>[1]Data!E1136</f>
        <v>NON-HS</v>
      </c>
      <c r="F1136" s="8" t="str">
        <f>[1]Data!F1136</f>
        <v>Torrance</v>
      </c>
      <c r="G1136" s="8">
        <f>[1]Data!G1136</f>
        <v>0</v>
      </c>
      <c r="H1136" s="8">
        <f>[1]Data!H1136</f>
        <v>0</v>
      </c>
      <c r="I1136" s="8">
        <f>[1]Data!I1136</f>
        <v>0</v>
      </c>
      <c r="J1136" s="8">
        <f>[1]Data!J1136</f>
        <v>0</v>
      </c>
      <c r="K1136" s="8">
        <f>[1]Data!K1136</f>
        <v>0</v>
      </c>
      <c r="L1136" s="8">
        <f>[1]Data!L1136</f>
        <v>0</v>
      </c>
      <c r="M1136" s="8">
        <f>[1]Data!M1136</f>
        <v>0</v>
      </c>
      <c r="N1136" s="8">
        <f>[1]Data!N1136</f>
        <v>3.3333333333333298E-2</v>
      </c>
      <c r="O1136" s="8">
        <f>[1]Data!O1136</f>
        <v>0</v>
      </c>
      <c r="P1136" s="8">
        <f>[1]Data!P1136</f>
        <v>0.82499999999999996</v>
      </c>
      <c r="Q1136" s="8">
        <f>[1]Data!Q1136</f>
        <v>0</v>
      </c>
      <c r="R1136" s="8">
        <f>[1]Data!R1136</f>
        <v>0</v>
      </c>
      <c r="S1136" s="8">
        <f>[1]Data!S1136</f>
        <v>0</v>
      </c>
      <c r="T1136">
        <f t="shared" si="85"/>
        <v>3.3333333333333298E-2</v>
      </c>
      <c r="U1136">
        <f t="shared" si="86"/>
        <v>0</v>
      </c>
      <c r="V1136" s="4" t="str">
        <f t="shared" si="87"/>
        <v>0</v>
      </c>
      <c r="W1136" s="4" t="str">
        <f t="shared" si="88"/>
        <v>8</v>
      </c>
      <c r="X1136" s="4" t="str">
        <f t="shared" si="89"/>
        <v>0NON-HS8</v>
      </c>
      <c r="Y1136">
        <f>VLOOKUP(X1136,Sheet1!$J$5:$K$121,2,FALSE)</f>
        <v>0</v>
      </c>
    </row>
    <row r="1137" spans="1:25" x14ac:dyDescent="0.25">
      <c r="A1137" s="8">
        <f>[1]Data!A1137</f>
        <v>651302</v>
      </c>
      <c r="B1137" s="8">
        <f>[1]Data!B1137</f>
        <v>8</v>
      </c>
      <c r="C1137" s="8">
        <f>[1]Data!C1137</f>
        <v>0</v>
      </c>
      <c r="D1137" s="8">
        <f>[1]Data!D1137</f>
        <v>4</v>
      </c>
      <c r="E1137" s="8" t="str">
        <f>[1]Data!E1137</f>
        <v>NON-HS</v>
      </c>
      <c r="F1137" s="8" t="str">
        <f>[1]Data!F1137</f>
        <v>Torrance</v>
      </c>
      <c r="G1137" s="8">
        <f>[1]Data!G1137</f>
        <v>0</v>
      </c>
      <c r="H1137" s="8">
        <f>[1]Data!H1137</f>
        <v>0</v>
      </c>
      <c r="I1137" s="8">
        <f>[1]Data!I1137</f>
        <v>0</v>
      </c>
      <c r="J1137" s="8">
        <f>[1]Data!J1137</f>
        <v>0</v>
      </c>
      <c r="K1137" s="8">
        <f>[1]Data!K1137</f>
        <v>0</v>
      </c>
      <c r="L1137" s="8">
        <f>[1]Data!L1137</f>
        <v>0</v>
      </c>
      <c r="M1137" s="8">
        <f>[1]Data!M1137</f>
        <v>0</v>
      </c>
      <c r="N1137" s="8">
        <f>[1]Data!N1137</f>
        <v>3.3333333333333298E-2</v>
      </c>
      <c r="O1137" s="8">
        <f>[1]Data!O1137</f>
        <v>0</v>
      </c>
      <c r="P1137" s="8">
        <f>[1]Data!P1137</f>
        <v>0.82499999999999996</v>
      </c>
      <c r="Q1137" s="8">
        <f>[1]Data!Q1137</f>
        <v>0</v>
      </c>
      <c r="R1137" s="8">
        <f>[1]Data!R1137</f>
        <v>0</v>
      </c>
      <c r="S1137" s="8">
        <f>[1]Data!S1137</f>
        <v>0</v>
      </c>
      <c r="T1137">
        <f t="shared" si="85"/>
        <v>3.3333333333333298E-2</v>
      </c>
      <c r="U1137">
        <f t="shared" si="86"/>
        <v>0</v>
      </c>
      <c r="V1137" s="4" t="str">
        <f t="shared" si="87"/>
        <v>0</v>
      </c>
      <c r="W1137" s="4" t="str">
        <f t="shared" si="88"/>
        <v>8</v>
      </c>
      <c r="X1137" s="4" t="str">
        <f t="shared" si="89"/>
        <v>0NON-HS8</v>
      </c>
      <c r="Y1137">
        <f>VLOOKUP(X1137,Sheet1!$J$5:$K$121,2,FALSE)</f>
        <v>0</v>
      </c>
    </row>
    <row r="1138" spans="1:25" x14ac:dyDescent="0.25">
      <c r="A1138" s="8">
        <f>[1]Data!A1138</f>
        <v>651401</v>
      </c>
      <c r="B1138" s="8">
        <f>[1]Data!B1138</f>
        <v>8</v>
      </c>
      <c r="C1138" s="8">
        <f>[1]Data!C1138</f>
        <v>0</v>
      </c>
      <c r="D1138" s="8">
        <f>[1]Data!D1138</f>
        <v>4</v>
      </c>
      <c r="E1138" s="8" t="str">
        <f>[1]Data!E1138</f>
        <v>NON-HS</v>
      </c>
      <c r="F1138" s="8" t="str">
        <f>[1]Data!F1138</f>
        <v>Torrance</v>
      </c>
      <c r="G1138" s="8">
        <f>[1]Data!G1138</f>
        <v>0</v>
      </c>
      <c r="H1138" s="8">
        <f>[1]Data!H1138</f>
        <v>0</v>
      </c>
      <c r="I1138" s="8">
        <f>[1]Data!I1138</f>
        <v>0</v>
      </c>
      <c r="J1138" s="8">
        <f>[1]Data!J1138</f>
        <v>0</v>
      </c>
      <c r="K1138" s="8">
        <f>[1]Data!K1138</f>
        <v>0</v>
      </c>
      <c r="L1138" s="8">
        <f>[1]Data!L1138</f>
        <v>0</v>
      </c>
      <c r="M1138" s="8">
        <f>[1]Data!M1138</f>
        <v>0</v>
      </c>
      <c r="N1138" s="8">
        <f>[1]Data!N1138</f>
        <v>3.3333333333333298E-2</v>
      </c>
      <c r="O1138" s="8">
        <f>[1]Data!O1138</f>
        <v>0</v>
      </c>
      <c r="P1138" s="8">
        <f>[1]Data!P1138</f>
        <v>0.82499999999999996</v>
      </c>
      <c r="Q1138" s="8">
        <f>[1]Data!Q1138</f>
        <v>0</v>
      </c>
      <c r="R1138" s="8">
        <f>[1]Data!R1138</f>
        <v>0</v>
      </c>
      <c r="S1138" s="8">
        <f>[1]Data!S1138</f>
        <v>0</v>
      </c>
      <c r="T1138">
        <f t="shared" si="85"/>
        <v>3.3333333333333298E-2</v>
      </c>
      <c r="U1138">
        <f t="shared" si="86"/>
        <v>0</v>
      </c>
      <c r="V1138" s="4" t="str">
        <f t="shared" si="87"/>
        <v>0</v>
      </c>
      <c r="W1138" s="4" t="str">
        <f t="shared" si="88"/>
        <v>8</v>
      </c>
      <c r="X1138" s="4" t="str">
        <f t="shared" si="89"/>
        <v>0NON-HS8</v>
      </c>
      <c r="Y1138">
        <f>VLOOKUP(X1138,Sheet1!$J$5:$K$121,2,FALSE)</f>
        <v>0</v>
      </c>
    </row>
    <row r="1139" spans="1:25" x14ac:dyDescent="0.25">
      <c r="A1139" s="8">
        <f>[1]Data!A1139</f>
        <v>670001</v>
      </c>
      <c r="B1139" s="8">
        <f>[1]Data!B1139</f>
        <v>8</v>
      </c>
      <c r="C1139" s="8">
        <f>[1]Data!C1139</f>
        <v>0</v>
      </c>
      <c r="D1139" s="8">
        <f>[1]Data!D1139</f>
        <v>4</v>
      </c>
      <c r="E1139" s="8" t="str">
        <f>[1]Data!E1139</f>
        <v>NON-HS</v>
      </c>
      <c r="F1139" s="8" t="str">
        <f>[1]Data!F1139</f>
        <v>Lomita</v>
      </c>
      <c r="G1139" s="8">
        <f>[1]Data!G1139</f>
        <v>0</v>
      </c>
      <c r="H1139" s="8">
        <f>[1]Data!H1139</f>
        <v>0</v>
      </c>
      <c r="I1139" s="8">
        <f>[1]Data!I1139</f>
        <v>3.0950000000000002</v>
      </c>
      <c r="J1139" s="8">
        <f>[1]Data!J1139</f>
        <v>1.9836996600000001</v>
      </c>
      <c r="K1139" s="8">
        <f>[1]Data!K1139</f>
        <v>2.9836996600000001</v>
      </c>
      <c r="L1139" s="8">
        <f>[1]Data!L1139</f>
        <v>0.11117260138240601</v>
      </c>
      <c r="M1139" s="8">
        <f>[1]Data!M1139</f>
        <v>3.09487226138241</v>
      </c>
      <c r="N1139" s="8">
        <f>[1]Data!N1139</f>
        <v>3.3333333333333298E-2</v>
      </c>
      <c r="O1139" s="8">
        <f>[1]Data!O1139</f>
        <v>0</v>
      </c>
      <c r="P1139" s="8">
        <f>[1]Data!P1139</f>
        <v>0.82499999999999996</v>
      </c>
      <c r="Q1139" s="8">
        <f>[1]Data!Q1139</f>
        <v>0</v>
      </c>
      <c r="R1139" s="8">
        <f>[1]Data!R1139</f>
        <v>0</v>
      </c>
      <c r="S1139" s="8">
        <f>[1]Data!S1139</f>
        <v>0</v>
      </c>
      <c r="T1139">
        <f t="shared" si="85"/>
        <v>3.3333333333333298E-2</v>
      </c>
      <c r="U1139">
        <f t="shared" si="86"/>
        <v>0</v>
      </c>
      <c r="V1139" s="4" t="str">
        <f t="shared" si="87"/>
        <v>0</v>
      </c>
      <c r="W1139" s="4" t="str">
        <f t="shared" si="88"/>
        <v>8</v>
      </c>
      <c r="X1139" s="4" t="str">
        <f t="shared" si="89"/>
        <v>0NON-HS8</v>
      </c>
      <c r="Y1139">
        <f>VLOOKUP(X1139,Sheet1!$J$5:$K$121,2,FALSE)</f>
        <v>0</v>
      </c>
    </row>
    <row r="1140" spans="1:25" x14ac:dyDescent="0.25">
      <c r="A1140" s="8">
        <f>[1]Data!A1140</f>
        <v>670002</v>
      </c>
      <c r="B1140" s="8">
        <f>[1]Data!B1140</f>
        <v>8</v>
      </c>
      <c r="C1140" s="8">
        <f>[1]Data!C1140</f>
        <v>0</v>
      </c>
      <c r="D1140" s="8">
        <f>[1]Data!D1140</f>
        <v>4</v>
      </c>
      <c r="E1140" s="8" t="str">
        <f>[1]Data!E1140</f>
        <v>NON-HS</v>
      </c>
      <c r="F1140" s="8" t="str">
        <f>[1]Data!F1140</f>
        <v>Lomita</v>
      </c>
      <c r="G1140" s="8">
        <f>[1]Data!G1140</f>
        <v>0</v>
      </c>
      <c r="H1140" s="8">
        <f>[1]Data!H1140</f>
        <v>0</v>
      </c>
      <c r="I1140" s="8">
        <f>[1]Data!I1140</f>
        <v>10.901</v>
      </c>
      <c r="J1140" s="8">
        <f>[1]Data!J1140</f>
        <v>9.4173633199999998</v>
      </c>
      <c r="K1140" s="8">
        <f>[1]Data!K1140</f>
        <v>10.41736332</v>
      </c>
      <c r="L1140" s="8">
        <f>[1]Data!L1140</f>
        <v>0.483488824721723</v>
      </c>
      <c r="M1140" s="8">
        <f>[1]Data!M1140</f>
        <v>10.9008521447217</v>
      </c>
      <c r="N1140" s="8">
        <f>[1]Data!N1140</f>
        <v>3.3333333333333298E-2</v>
      </c>
      <c r="O1140" s="8">
        <f>[1]Data!O1140</f>
        <v>0</v>
      </c>
      <c r="P1140" s="8">
        <f>[1]Data!P1140</f>
        <v>0.82499999999999996</v>
      </c>
      <c r="Q1140" s="8">
        <f>[1]Data!Q1140</f>
        <v>0</v>
      </c>
      <c r="R1140" s="8">
        <f>[1]Data!R1140</f>
        <v>0</v>
      </c>
      <c r="S1140" s="8">
        <f>[1]Data!S1140</f>
        <v>0</v>
      </c>
      <c r="T1140">
        <f t="shared" si="85"/>
        <v>3.3333333333333298E-2</v>
      </c>
      <c r="U1140">
        <f t="shared" si="86"/>
        <v>0</v>
      </c>
      <c r="V1140" s="4" t="str">
        <f t="shared" si="87"/>
        <v>0</v>
      </c>
      <c r="W1140" s="4" t="str">
        <f t="shared" si="88"/>
        <v>8</v>
      </c>
      <c r="X1140" s="4" t="str">
        <f t="shared" si="89"/>
        <v>0NON-HS8</v>
      </c>
      <c r="Y1140">
        <f>VLOOKUP(X1140,Sheet1!$J$5:$K$121,2,FALSE)</f>
        <v>0</v>
      </c>
    </row>
    <row r="1141" spans="1:25" x14ac:dyDescent="0.25">
      <c r="A1141" s="8">
        <f>[1]Data!A1141</f>
        <v>670003</v>
      </c>
      <c r="B1141" s="8">
        <f>[1]Data!B1141</f>
        <v>8</v>
      </c>
      <c r="C1141" s="8">
        <f>[1]Data!C1141</f>
        <v>0</v>
      </c>
      <c r="D1141" s="8">
        <f>[1]Data!D1141</f>
        <v>4</v>
      </c>
      <c r="E1141" s="8" t="str">
        <f>[1]Data!E1141</f>
        <v>NON-HS</v>
      </c>
      <c r="F1141" s="8" t="str">
        <f>[1]Data!F1141</f>
        <v>Lomita</v>
      </c>
      <c r="G1141" s="8">
        <f>[1]Data!G1141</f>
        <v>0</v>
      </c>
      <c r="H1141" s="8">
        <f>[1]Data!H1141</f>
        <v>0</v>
      </c>
      <c r="I1141" s="8">
        <f>[1]Data!I1141</f>
        <v>2.5910000000000002</v>
      </c>
      <c r="J1141" s="8">
        <f>[1]Data!J1141</f>
        <v>1.43919657</v>
      </c>
      <c r="K1141" s="8">
        <f>[1]Data!K1141</f>
        <v>2.43919657</v>
      </c>
      <c r="L1141" s="8">
        <f>[1]Data!L1141</f>
        <v>0.15145200614003601</v>
      </c>
      <c r="M1141" s="8">
        <f>[1]Data!M1141</f>
        <v>2.59064857614004</v>
      </c>
      <c r="N1141" s="8">
        <f>[1]Data!N1141</f>
        <v>3.3333333333333298E-2</v>
      </c>
      <c r="O1141" s="8">
        <f>[1]Data!O1141</f>
        <v>0</v>
      </c>
      <c r="P1141" s="8">
        <f>[1]Data!P1141</f>
        <v>0.82499999999999996</v>
      </c>
      <c r="Q1141" s="8">
        <f>[1]Data!Q1141</f>
        <v>0</v>
      </c>
      <c r="R1141" s="8">
        <f>[1]Data!R1141</f>
        <v>0</v>
      </c>
      <c r="S1141" s="8">
        <f>[1]Data!S1141</f>
        <v>0</v>
      </c>
      <c r="T1141">
        <f t="shared" si="85"/>
        <v>3.3333333333333298E-2</v>
      </c>
      <c r="U1141">
        <f t="shared" si="86"/>
        <v>0</v>
      </c>
      <c r="V1141" s="4" t="str">
        <f t="shared" si="87"/>
        <v>0</v>
      </c>
      <c r="W1141" s="4" t="str">
        <f t="shared" si="88"/>
        <v>8</v>
      </c>
      <c r="X1141" s="4" t="str">
        <f t="shared" si="89"/>
        <v>0NON-HS8</v>
      </c>
      <c r="Y1141">
        <f>VLOOKUP(X1141,Sheet1!$J$5:$K$121,2,FALSE)</f>
        <v>0</v>
      </c>
    </row>
    <row r="1142" spans="1:25" x14ac:dyDescent="0.25">
      <c r="A1142" s="8">
        <f>[1]Data!A1142</f>
        <v>670100</v>
      </c>
      <c r="B1142" s="8">
        <f>[1]Data!B1142</f>
        <v>8</v>
      </c>
      <c r="C1142" s="8">
        <f>[1]Data!C1142</f>
        <v>0</v>
      </c>
      <c r="D1142" s="8">
        <f>[1]Data!D1142</f>
        <v>4</v>
      </c>
      <c r="E1142" s="8" t="str">
        <f>[1]Data!E1142</f>
        <v>NON-HS</v>
      </c>
      <c r="F1142" s="8" t="str">
        <f>[1]Data!F1142</f>
        <v>Lomita</v>
      </c>
      <c r="G1142" s="8">
        <f>[1]Data!G1142</f>
        <v>0</v>
      </c>
      <c r="H1142" s="8">
        <f>[1]Data!H1142</f>
        <v>0</v>
      </c>
      <c r="I1142" s="8">
        <f>[1]Data!I1142</f>
        <v>0</v>
      </c>
      <c r="J1142" s="8">
        <f>[1]Data!J1142</f>
        <v>0</v>
      </c>
      <c r="K1142" s="8">
        <f>[1]Data!K1142</f>
        <v>0</v>
      </c>
      <c r="L1142" s="8">
        <f>[1]Data!L1142</f>
        <v>0</v>
      </c>
      <c r="M1142" s="8">
        <f>[1]Data!M1142</f>
        <v>0</v>
      </c>
      <c r="N1142" s="8">
        <f>[1]Data!N1142</f>
        <v>3.3333333333333298E-2</v>
      </c>
      <c r="O1142" s="8">
        <f>[1]Data!O1142</f>
        <v>0</v>
      </c>
      <c r="P1142" s="8">
        <f>[1]Data!P1142</f>
        <v>0.82499999999999996</v>
      </c>
      <c r="Q1142" s="8">
        <f>[1]Data!Q1142</f>
        <v>0</v>
      </c>
      <c r="R1142" s="8">
        <f>[1]Data!R1142</f>
        <v>0</v>
      </c>
      <c r="S1142" s="8">
        <f>[1]Data!S1142</f>
        <v>0</v>
      </c>
      <c r="T1142">
        <f t="shared" si="85"/>
        <v>3.3333333333333298E-2</v>
      </c>
      <c r="U1142">
        <f t="shared" si="86"/>
        <v>0</v>
      </c>
      <c r="V1142" s="4" t="str">
        <f t="shared" si="87"/>
        <v>0</v>
      </c>
      <c r="W1142" s="4" t="str">
        <f t="shared" si="88"/>
        <v>8</v>
      </c>
      <c r="X1142" s="4" t="str">
        <f t="shared" si="89"/>
        <v>0NON-HS8</v>
      </c>
      <c r="Y1142">
        <f>VLOOKUP(X1142,Sheet1!$J$5:$K$121,2,FALSE)</f>
        <v>0</v>
      </c>
    </row>
    <row r="1143" spans="1:25" x14ac:dyDescent="0.25">
      <c r="A1143" s="8">
        <f>[1]Data!A1143</f>
        <v>543702</v>
      </c>
      <c r="B1143" s="8">
        <f>[1]Data!B1143</f>
        <v>8</v>
      </c>
      <c r="C1143" s="8">
        <f>[1]Data!C1143</f>
        <v>0</v>
      </c>
      <c r="D1143" s="8">
        <f>[1]Data!D1143</f>
        <v>2</v>
      </c>
      <c r="E1143" s="8" t="str">
        <f>[1]Data!E1143</f>
        <v>NON-HS</v>
      </c>
      <c r="F1143" s="8" t="str">
        <f>[1]Data!F1143</f>
        <v>Carson</v>
      </c>
      <c r="G1143" s="8">
        <f>[1]Data!G1143</f>
        <v>0</v>
      </c>
      <c r="H1143" s="8">
        <f>[1]Data!H1143</f>
        <v>0</v>
      </c>
      <c r="I1143" s="8">
        <f>[1]Data!I1143</f>
        <v>4.851</v>
      </c>
      <c r="J1143" s="8">
        <f>[1]Data!J1143</f>
        <v>3.8097598800000001</v>
      </c>
      <c r="K1143" s="8">
        <f>[1]Data!K1143</f>
        <v>4.8097598799999997</v>
      </c>
      <c r="L1143" s="8">
        <f>[1]Data!L1143</f>
        <v>4.1250644165170602E-2</v>
      </c>
      <c r="M1143" s="8">
        <f>[1]Data!M1143</f>
        <v>4.8510105241651704</v>
      </c>
      <c r="N1143" s="8">
        <f>[1]Data!N1143</f>
        <v>3.3333333333333298E-2</v>
      </c>
      <c r="O1143" s="8">
        <f>[1]Data!O1143</f>
        <v>0</v>
      </c>
      <c r="P1143" s="8">
        <f>[1]Data!P1143</f>
        <v>0.82499999999999996</v>
      </c>
      <c r="Q1143" s="8">
        <f>[1]Data!Q1143</f>
        <v>0</v>
      </c>
      <c r="R1143" s="8">
        <f>[1]Data!R1143</f>
        <v>0</v>
      </c>
      <c r="S1143" s="8">
        <f>[1]Data!S1143</f>
        <v>0</v>
      </c>
      <c r="T1143">
        <f t="shared" si="85"/>
        <v>3.3333333333333298E-2</v>
      </c>
      <c r="U1143">
        <f t="shared" si="86"/>
        <v>0</v>
      </c>
      <c r="V1143" s="4" t="str">
        <f t="shared" si="87"/>
        <v>0</v>
      </c>
      <c r="W1143" s="4" t="str">
        <f t="shared" si="88"/>
        <v>8</v>
      </c>
      <c r="X1143" s="4" t="str">
        <f t="shared" si="89"/>
        <v>0NON-HS8</v>
      </c>
      <c r="Y1143">
        <f>VLOOKUP(X1143,Sheet1!$J$5:$K$121,2,FALSE)</f>
        <v>0</v>
      </c>
    </row>
    <row r="1144" spans="1:25" x14ac:dyDescent="0.25">
      <c r="A1144" s="8">
        <f>[1]Data!A1144</f>
        <v>670201</v>
      </c>
      <c r="B1144" s="8">
        <f>[1]Data!B1144</f>
        <v>8</v>
      </c>
      <c r="C1144" s="8">
        <f>[1]Data!C1144</f>
        <v>0</v>
      </c>
      <c r="D1144" s="8">
        <f>[1]Data!D1144</f>
        <v>4</v>
      </c>
      <c r="E1144" s="8" t="str">
        <f>[1]Data!E1144</f>
        <v>NON-HS</v>
      </c>
      <c r="F1144" s="8" t="str">
        <f>[1]Data!F1144</f>
        <v>Rolling Hills Estates</v>
      </c>
      <c r="G1144" s="8">
        <f>[1]Data!G1144</f>
        <v>0</v>
      </c>
      <c r="H1144" s="8">
        <f>[1]Data!H1144</f>
        <v>0</v>
      </c>
      <c r="I1144" s="8">
        <f>[1]Data!I1144</f>
        <v>0</v>
      </c>
      <c r="J1144" s="8">
        <f>[1]Data!J1144</f>
        <v>0</v>
      </c>
      <c r="K1144" s="8">
        <f>[1]Data!K1144</f>
        <v>0</v>
      </c>
      <c r="L1144" s="8">
        <f>[1]Data!L1144</f>
        <v>0</v>
      </c>
      <c r="M1144" s="8">
        <f>[1]Data!M1144</f>
        <v>0</v>
      </c>
      <c r="N1144" s="8">
        <f>[1]Data!N1144</f>
        <v>3.3333333333333298E-2</v>
      </c>
      <c r="O1144" s="8">
        <f>[1]Data!O1144</f>
        <v>0</v>
      </c>
      <c r="P1144" s="8">
        <f>[1]Data!P1144</f>
        <v>0.82499999999999996</v>
      </c>
      <c r="Q1144" s="8">
        <f>[1]Data!Q1144</f>
        <v>0</v>
      </c>
      <c r="R1144" s="8">
        <f>[1]Data!R1144</f>
        <v>0</v>
      </c>
      <c r="S1144" s="8">
        <f>[1]Data!S1144</f>
        <v>0</v>
      </c>
      <c r="T1144">
        <f t="shared" si="85"/>
        <v>3.3333333333333298E-2</v>
      </c>
      <c r="U1144">
        <f t="shared" si="86"/>
        <v>0</v>
      </c>
      <c r="V1144" s="4" t="str">
        <f t="shared" si="87"/>
        <v>0</v>
      </c>
      <c r="W1144" s="4" t="str">
        <f t="shared" si="88"/>
        <v>8</v>
      </c>
      <c r="X1144" s="4" t="str">
        <f t="shared" si="89"/>
        <v>0NON-HS8</v>
      </c>
      <c r="Y1144">
        <f>VLOOKUP(X1144,Sheet1!$J$5:$K$121,2,FALSE)</f>
        <v>0</v>
      </c>
    </row>
    <row r="1145" spans="1:25" x14ac:dyDescent="0.25">
      <c r="A1145" s="8">
        <f>[1]Data!A1145</f>
        <v>670202</v>
      </c>
      <c r="B1145" s="8">
        <f>[1]Data!B1145</f>
        <v>8</v>
      </c>
      <c r="C1145" s="8">
        <f>[1]Data!C1145</f>
        <v>0</v>
      </c>
      <c r="D1145" s="8">
        <f>[1]Data!D1145</f>
        <v>4</v>
      </c>
      <c r="E1145" s="8" t="str">
        <f>[1]Data!E1145</f>
        <v>NON-HS</v>
      </c>
      <c r="F1145" s="8" t="str">
        <f>[1]Data!F1145</f>
        <v>Rolling Hills Estates</v>
      </c>
      <c r="G1145" s="8">
        <f>[1]Data!G1145</f>
        <v>0</v>
      </c>
      <c r="H1145" s="8">
        <f>[1]Data!H1145</f>
        <v>0</v>
      </c>
      <c r="I1145" s="8">
        <f>[1]Data!I1145</f>
        <v>0</v>
      </c>
      <c r="J1145" s="8">
        <f>[1]Data!J1145</f>
        <v>0</v>
      </c>
      <c r="K1145" s="8">
        <f>[1]Data!K1145</f>
        <v>0</v>
      </c>
      <c r="L1145" s="8">
        <f>[1]Data!L1145</f>
        <v>0</v>
      </c>
      <c r="M1145" s="8">
        <f>[1]Data!M1145</f>
        <v>0</v>
      </c>
      <c r="N1145" s="8">
        <f>[1]Data!N1145</f>
        <v>3.3333333333333298E-2</v>
      </c>
      <c r="O1145" s="8">
        <f>[1]Data!O1145</f>
        <v>0</v>
      </c>
      <c r="P1145" s="8">
        <f>[1]Data!P1145</f>
        <v>0.82499999999999996</v>
      </c>
      <c r="Q1145" s="8">
        <f>[1]Data!Q1145</f>
        <v>0</v>
      </c>
      <c r="R1145" s="8">
        <f>[1]Data!R1145</f>
        <v>0</v>
      </c>
      <c r="S1145" s="8">
        <f>[1]Data!S1145</f>
        <v>0</v>
      </c>
      <c r="T1145">
        <f t="shared" si="85"/>
        <v>3.3333333333333298E-2</v>
      </c>
      <c r="U1145">
        <f t="shared" si="86"/>
        <v>0</v>
      </c>
      <c r="V1145" s="4" t="str">
        <f t="shared" si="87"/>
        <v>0</v>
      </c>
      <c r="W1145" s="4" t="str">
        <f t="shared" si="88"/>
        <v>8</v>
      </c>
      <c r="X1145" s="4" t="str">
        <f t="shared" si="89"/>
        <v>0NON-HS8</v>
      </c>
      <c r="Y1145">
        <f>VLOOKUP(X1145,Sheet1!$J$5:$K$121,2,FALSE)</f>
        <v>0</v>
      </c>
    </row>
    <row r="1146" spans="1:25" x14ac:dyDescent="0.25">
      <c r="A1146" s="8">
        <f>[1]Data!A1146</f>
        <v>670324</v>
      </c>
      <c r="B1146" s="8">
        <f>[1]Data!B1146</f>
        <v>8</v>
      </c>
      <c r="C1146" s="8">
        <f>[1]Data!C1146</f>
        <v>0</v>
      </c>
      <c r="D1146" s="8">
        <f>[1]Data!D1146</f>
        <v>4</v>
      </c>
      <c r="E1146" s="8" t="str">
        <f>[1]Data!E1146</f>
        <v>NON-HS</v>
      </c>
      <c r="F1146" s="8" t="str">
        <f>[1]Data!F1146</f>
        <v>Palos Verdes Estates</v>
      </c>
      <c r="G1146" s="8">
        <f>[1]Data!G1146</f>
        <v>0</v>
      </c>
      <c r="H1146" s="8">
        <f>[1]Data!H1146</f>
        <v>0</v>
      </c>
      <c r="I1146" s="8">
        <f>[1]Data!I1146</f>
        <v>0</v>
      </c>
      <c r="J1146" s="8">
        <f>[1]Data!J1146</f>
        <v>0</v>
      </c>
      <c r="K1146" s="8">
        <f>[1]Data!K1146</f>
        <v>0</v>
      </c>
      <c r="L1146" s="8">
        <f>[1]Data!L1146</f>
        <v>0</v>
      </c>
      <c r="M1146" s="8">
        <f>[1]Data!M1146</f>
        <v>0</v>
      </c>
      <c r="N1146" s="8">
        <f>[1]Data!N1146</f>
        <v>3.3333333333333298E-2</v>
      </c>
      <c r="O1146" s="8">
        <f>[1]Data!O1146</f>
        <v>0</v>
      </c>
      <c r="P1146" s="8">
        <f>[1]Data!P1146</f>
        <v>0.82499999999999996</v>
      </c>
      <c r="Q1146" s="8">
        <f>[1]Data!Q1146</f>
        <v>0</v>
      </c>
      <c r="R1146" s="8">
        <f>[1]Data!R1146</f>
        <v>0</v>
      </c>
      <c r="S1146" s="8">
        <f>[1]Data!S1146</f>
        <v>0</v>
      </c>
      <c r="T1146">
        <f t="shared" si="85"/>
        <v>3.3333333333333298E-2</v>
      </c>
      <c r="U1146">
        <f t="shared" si="86"/>
        <v>0</v>
      </c>
      <c r="V1146" s="4" t="str">
        <f t="shared" si="87"/>
        <v>0</v>
      </c>
      <c r="W1146" s="4" t="str">
        <f t="shared" si="88"/>
        <v>8</v>
      </c>
      <c r="X1146" s="4" t="str">
        <f t="shared" si="89"/>
        <v>0NON-HS8</v>
      </c>
      <c r="Y1146">
        <f>VLOOKUP(X1146,Sheet1!$J$5:$K$121,2,FALSE)</f>
        <v>0</v>
      </c>
    </row>
    <row r="1147" spans="1:25" x14ac:dyDescent="0.25">
      <c r="A1147" s="8">
        <f>[1]Data!A1147</f>
        <v>670326</v>
      </c>
      <c r="B1147" s="8">
        <f>[1]Data!B1147</f>
        <v>8</v>
      </c>
      <c r="C1147" s="8">
        <f>[1]Data!C1147</f>
        <v>0</v>
      </c>
      <c r="D1147" s="8">
        <f>[1]Data!D1147</f>
        <v>4</v>
      </c>
      <c r="E1147" s="8" t="str">
        <f>[1]Data!E1147</f>
        <v>NON-HS</v>
      </c>
      <c r="F1147" s="8" t="str">
        <f>[1]Data!F1147</f>
        <v>Palos Verdes Estates</v>
      </c>
      <c r="G1147" s="8">
        <f>[1]Data!G1147</f>
        <v>0</v>
      </c>
      <c r="H1147" s="8">
        <f>[1]Data!H1147</f>
        <v>0</v>
      </c>
      <c r="I1147" s="8">
        <f>[1]Data!I1147</f>
        <v>0</v>
      </c>
      <c r="J1147" s="8">
        <f>[1]Data!J1147</f>
        <v>0</v>
      </c>
      <c r="K1147" s="8">
        <f>[1]Data!K1147</f>
        <v>0</v>
      </c>
      <c r="L1147" s="8">
        <f>[1]Data!L1147</f>
        <v>0</v>
      </c>
      <c r="M1147" s="8">
        <f>[1]Data!M1147</f>
        <v>0</v>
      </c>
      <c r="N1147" s="8">
        <f>[1]Data!N1147</f>
        <v>3.3333333333333298E-2</v>
      </c>
      <c r="O1147" s="8">
        <f>[1]Data!O1147</f>
        <v>0</v>
      </c>
      <c r="P1147" s="8">
        <f>[1]Data!P1147</f>
        <v>0.82499999999999996</v>
      </c>
      <c r="Q1147" s="8">
        <f>[1]Data!Q1147</f>
        <v>0</v>
      </c>
      <c r="R1147" s="8">
        <f>[1]Data!R1147</f>
        <v>0</v>
      </c>
      <c r="S1147" s="8">
        <f>[1]Data!S1147</f>
        <v>0</v>
      </c>
      <c r="T1147">
        <f t="shared" si="85"/>
        <v>3.3333333333333298E-2</v>
      </c>
      <c r="U1147">
        <f t="shared" si="86"/>
        <v>0</v>
      </c>
      <c r="V1147" s="4" t="str">
        <f t="shared" si="87"/>
        <v>0</v>
      </c>
      <c r="W1147" s="4" t="str">
        <f t="shared" si="88"/>
        <v>8</v>
      </c>
      <c r="X1147" s="4" t="str">
        <f t="shared" si="89"/>
        <v>0NON-HS8</v>
      </c>
      <c r="Y1147">
        <f>VLOOKUP(X1147,Sheet1!$J$5:$K$121,2,FALSE)</f>
        <v>0</v>
      </c>
    </row>
    <row r="1148" spans="1:25" x14ac:dyDescent="0.25">
      <c r="A1148" s="8">
        <f>[1]Data!A1148</f>
        <v>670403</v>
      </c>
      <c r="B1148" s="8">
        <f>[1]Data!B1148</f>
        <v>8</v>
      </c>
      <c r="C1148" s="8">
        <f>[1]Data!C1148</f>
        <v>0</v>
      </c>
      <c r="D1148" s="8">
        <f>[1]Data!D1148</f>
        <v>4</v>
      </c>
      <c r="E1148" s="8" t="str">
        <f>[1]Data!E1148</f>
        <v>NON-HS</v>
      </c>
      <c r="F1148" s="8" t="str">
        <f>[1]Data!F1148</f>
        <v>Rolling Hills Estates</v>
      </c>
      <c r="G1148" s="8">
        <f>[1]Data!G1148</f>
        <v>0</v>
      </c>
      <c r="H1148" s="8">
        <f>[1]Data!H1148</f>
        <v>0</v>
      </c>
      <c r="I1148" s="8">
        <f>[1]Data!I1148</f>
        <v>0</v>
      </c>
      <c r="J1148" s="8">
        <f>[1]Data!J1148</f>
        <v>0</v>
      </c>
      <c r="K1148" s="8">
        <f>[1]Data!K1148</f>
        <v>0</v>
      </c>
      <c r="L1148" s="8">
        <f>[1]Data!L1148</f>
        <v>0</v>
      </c>
      <c r="M1148" s="8">
        <f>[1]Data!M1148</f>
        <v>0</v>
      </c>
      <c r="N1148" s="8">
        <f>[1]Data!N1148</f>
        <v>3.3333333333333298E-2</v>
      </c>
      <c r="O1148" s="8">
        <f>[1]Data!O1148</f>
        <v>0</v>
      </c>
      <c r="P1148" s="8">
        <f>[1]Data!P1148</f>
        <v>0.82499999999999996</v>
      </c>
      <c r="Q1148" s="8">
        <f>[1]Data!Q1148</f>
        <v>0</v>
      </c>
      <c r="R1148" s="8">
        <f>[1]Data!R1148</f>
        <v>0</v>
      </c>
      <c r="S1148" s="8">
        <f>[1]Data!S1148</f>
        <v>0</v>
      </c>
      <c r="T1148">
        <f t="shared" si="85"/>
        <v>3.3333333333333298E-2</v>
      </c>
      <c r="U1148">
        <f t="shared" si="86"/>
        <v>0</v>
      </c>
      <c r="V1148" s="4" t="str">
        <f t="shared" si="87"/>
        <v>0</v>
      </c>
      <c r="W1148" s="4" t="str">
        <f t="shared" si="88"/>
        <v>8</v>
      </c>
      <c r="X1148" s="4" t="str">
        <f t="shared" si="89"/>
        <v>0NON-HS8</v>
      </c>
      <c r="Y1148">
        <f>VLOOKUP(X1148,Sheet1!$J$5:$K$121,2,FALSE)</f>
        <v>0</v>
      </c>
    </row>
    <row r="1149" spans="1:25" x14ac:dyDescent="0.25">
      <c r="A1149" s="8">
        <f>[1]Data!A1149</f>
        <v>670405</v>
      </c>
      <c r="B1149" s="8">
        <f>[1]Data!B1149</f>
        <v>8</v>
      </c>
      <c r="C1149" s="8">
        <f>[1]Data!C1149</f>
        <v>0</v>
      </c>
      <c r="D1149" s="8">
        <f>[1]Data!D1149</f>
        <v>4</v>
      </c>
      <c r="E1149" s="8" t="str">
        <f>[1]Data!E1149</f>
        <v>NON-HS</v>
      </c>
      <c r="F1149" s="8" t="str">
        <f>[1]Data!F1149</f>
        <v>Rancho Palos Verdes</v>
      </c>
      <c r="G1149" s="8">
        <f>[1]Data!G1149</f>
        <v>0</v>
      </c>
      <c r="H1149" s="8">
        <f>[1]Data!H1149</f>
        <v>0</v>
      </c>
      <c r="I1149" s="8">
        <f>[1]Data!I1149</f>
        <v>0</v>
      </c>
      <c r="J1149" s="8">
        <f>[1]Data!J1149</f>
        <v>0</v>
      </c>
      <c r="K1149" s="8">
        <f>[1]Data!K1149</f>
        <v>0</v>
      </c>
      <c r="L1149" s="8">
        <f>[1]Data!L1149</f>
        <v>0</v>
      </c>
      <c r="M1149" s="8">
        <f>[1]Data!M1149</f>
        <v>0</v>
      </c>
      <c r="N1149" s="8">
        <f>[1]Data!N1149</f>
        <v>3.3333333333333298E-2</v>
      </c>
      <c r="O1149" s="8">
        <f>[1]Data!O1149</f>
        <v>0</v>
      </c>
      <c r="P1149" s="8">
        <f>[1]Data!P1149</f>
        <v>0.82499999999999996</v>
      </c>
      <c r="Q1149" s="8">
        <f>[1]Data!Q1149</f>
        <v>0</v>
      </c>
      <c r="R1149" s="8">
        <f>[1]Data!R1149</f>
        <v>0</v>
      </c>
      <c r="S1149" s="8">
        <f>[1]Data!S1149</f>
        <v>0</v>
      </c>
      <c r="T1149">
        <f t="shared" si="85"/>
        <v>3.3333333333333298E-2</v>
      </c>
      <c r="U1149">
        <f t="shared" si="86"/>
        <v>0</v>
      </c>
      <c r="V1149" s="4" t="str">
        <f t="shared" si="87"/>
        <v>0</v>
      </c>
      <c r="W1149" s="4" t="str">
        <f t="shared" si="88"/>
        <v>8</v>
      </c>
      <c r="X1149" s="4" t="str">
        <f t="shared" si="89"/>
        <v>0NON-HS8</v>
      </c>
      <c r="Y1149">
        <f>VLOOKUP(X1149,Sheet1!$J$5:$K$121,2,FALSE)</f>
        <v>0</v>
      </c>
    </row>
    <row r="1150" spans="1:25" x14ac:dyDescent="0.25">
      <c r="A1150" s="8">
        <f>[1]Data!A1150</f>
        <v>670406</v>
      </c>
      <c r="B1150" s="8">
        <f>[1]Data!B1150</f>
        <v>8</v>
      </c>
      <c r="C1150" s="8">
        <f>[1]Data!C1150</f>
        <v>0</v>
      </c>
      <c r="D1150" s="8">
        <f>[1]Data!D1150</f>
        <v>4</v>
      </c>
      <c r="E1150" s="8" t="str">
        <f>[1]Data!E1150</f>
        <v>NON-HS</v>
      </c>
      <c r="F1150" s="8" t="str">
        <f>[1]Data!F1150</f>
        <v>Rolling Hills Estates</v>
      </c>
      <c r="G1150" s="8">
        <f>[1]Data!G1150</f>
        <v>0</v>
      </c>
      <c r="H1150" s="8">
        <f>[1]Data!H1150</f>
        <v>0</v>
      </c>
      <c r="I1150" s="8">
        <f>[1]Data!I1150</f>
        <v>0</v>
      </c>
      <c r="J1150" s="8">
        <f>[1]Data!J1150</f>
        <v>0</v>
      </c>
      <c r="K1150" s="8">
        <f>[1]Data!K1150</f>
        <v>0</v>
      </c>
      <c r="L1150" s="8">
        <f>[1]Data!L1150</f>
        <v>0</v>
      </c>
      <c r="M1150" s="8">
        <f>[1]Data!M1150</f>
        <v>0</v>
      </c>
      <c r="N1150" s="8">
        <f>[1]Data!N1150</f>
        <v>3.3333333333333298E-2</v>
      </c>
      <c r="O1150" s="8">
        <f>[1]Data!O1150</f>
        <v>0</v>
      </c>
      <c r="P1150" s="8">
        <f>[1]Data!P1150</f>
        <v>0.82499999999999996</v>
      </c>
      <c r="Q1150" s="8">
        <f>[1]Data!Q1150</f>
        <v>0</v>
      </c>
      <c r="R1150" s="8">
        <f>[1]Data!R1150</f>
        <v>0</v>
      </c>
      <c r="S1150" s="8">
        <f>[1]Data!S1150</f>
        <v>0</v>
      </c>
      <c r="T1150">
        <f t="shared" si="85"/>
        <v>3.3333333333333298E-2</v>
      </c>
      <c r="U1150">
        <f t="shared" si="86"/>
        <v>0</v>
      </c>
      <c r="V1150" s="4" t="str">
        <f t="shared" si="87"/>
        <v>0</v>
      </c>
      <c r="W1150" s="4" t="str">
        <f t="shared" si="88"/>
        <v>8</v>
      </c>
      <c r="X1150" s="4" t="str">
        <f t="shared" si="89"/>
        <v>0NON-HS8</v>
      </c>
      <c r="Y1150">
        <f>VLOOKUP(X1150,Sheet1!$J$5:$K$121,2,FALSE)</f>
        <v>0</v>
      </c>
    </row>
    <row r="1151" spans="1:25" x14ac:dyDescent="0.25">
      <c r="A1151" s="8">
        <f>[1]Data!A1151</f>
        <v>670411</v>
      </c>
      <c r="B1151" s="8">
        <f>[1]Data!B1151</f>
        <v>8</v>
      </c>
      <c r="C1151" s="8">
        <f>[1]Data!C1151</f>
        <v>0</v>
      </c>
      <c r="D1151" s="8">
        <f>[1]Data!D1151</f>
        <v>4</v>
      </c>
      <c r="E1151" s="8" t="str">
        <f>[1]Data!E1151</f>
        <v>NON-HS</v>
      </c>
      <c r="F1151" s="8" t="str">
        <f>[1]Data!F1151</f>
        <v>Rancho Palos Verdes</v>
      </c>
      <c r="G1151" s="8">
        <f>[1]Data!G1151</f>
        <v>0</v>
      </c>
      <c r="H1151" s="8">
        <f>[1]Data!H1151</f>
        <v>0</v>
      </c>
      <c r="I1151" s="8">
        <f>[1]Data!I1151</f>
        <v>0</v>
      </c>
      <c r="J1151" s="8">
        <f>[1]Data!J1151</f>
        <v>0</v>
      </c>
      <c r="K1151" s="8">
        <f>[1]Data!K1151</f>
        <v>0</v>
      </c>
      <c r="L1151" s="8">
        <f>[1]Data!L1151</f>
        <v>0</v>
      </c>
      <c r="M1151" s="8">
        <f>[1]Data!M1151</f>
        <v>0</v>
      </c>
      <c r="N1151" s="8">
        <f>[1]Data!N1151</f>
        <v>3.3333333333333298E-2</v>
      </c>
      <c r="O1151" s="8">
        <f>[1]Data!O1151</f>
        <v>0</v>
      </c>
      <c r="P1151" s="8">
        <f>[1]Data!P1151</f>
        <v>0.82499999999999996</v>
      </c>
      <c r="Q1151" s="8">
        <f>[1]Data!Q1151</f>
        <v>0</v>
      </c>
      <c r="R1151" s="8">
        <f>[1]Data!R1151</f>
        <v>0</v>
      </c>
      <c r="S1151" s="8">
        <f>[1]Data!S1151</f>
        <v>0</v>
      </c>
      <c r="T1151">
        <f t="shared" si="85"/>
        <v>3.3333333333333298E-2</v>
      </c>
      <c r="U1151">
        <f t="shared" si="86"/>
        <v>0</v>
      </c>
      <c r="V1151" s="4" t="str">
        <f t="shared" si="87"/>
        <v>0</v>
      </c>
      <c r="W1151" s="4" t="str">
        <f t="shared" si="88"/>
        <v>8</v>
      </c>
      <c r="X1151" s="4" t="str">
        <f t="shared" si="89"/>
        <v>0NON-HS8</v>
      </c>
      <c r="Y1151">
        <f>VLOOKUP(X1151,Sheet1!$J$5:$K$121,2,FALSE)</f>
        <v>0</v>
      </c>
    </row>
    <row r="1152" spans="1:25" x14ac:dyDescent="0.25">
      <c r="A1152" s="8">
        <f>[1]Data!A1152</f>
        <v>670413</v>
      </c>
      <c r="B1152" s="8">
        <f>[1]Data!B1152</f>
        <v>8</v>
      </c>
      <c r="C1152" s="8">
        <f>[1]Data!C1152</f>
        <v>0</v>
      </c>
      <c r="D1152" s="8">
        <f>[1]Data!D1152</f>
        <v>4</v>
      </c>
      <c r="E1152" s="8" t="str">
        <f>[1]Data!E1152</f>
        <v>NON-HS</v>
      </c>
      <c r="F1152" s="8" t="str">
        <f>[1]Data!F1152</f>
        <v>Rancho Palos Verdes</v>
      </c>
      <c r="G1152" s="8">
        <f>[1]Data!G1152</f>
        <v>0</v>
      </c>
      <c r="H1152" s="8">
        <f>[1]Data!H1152</f>
        <v>0</v>
      </c>
      <c r="I1152" s="8">
        <f>[1]Data!I1152</f>
        <v>0</v>
      </c>
      <c r="J1152" s="8">
        <f>[1]Data!J1152</f>
        <v>0</v>
      </c>
      <c r="K1152" s="8">
        <f>[1]Data!K1152</f>
        <v>0</v>
      </c>
      <c r="L1152" s="8">
        <f>[1]Data!L1152</f>
        <v>0</v>
      </c>
      <c r="M1152" s="8">
        <f>[1]Data!M1152</f>
        <v>0</v>
      </c>
      <c r="N1152" s="8">
        <f>[1]Data!N1152</f>
        <v>3.3333333333333298E-2</v>
      </c>
      <c r="O1152" s="8">
        <f>[1]Data!O1152</f>
        <v>0</v>
      </c>
      <c r="P1152" s="8">
        <f>[1]Data!P1152</f>
        <v>0.82499999999999996</v>
      </c>
      <c r="Q1152" s="8">
        <f>[1]Data!Q1152</f>
        <v>0</v>
      </c>
      <c r="R1152" s="8">
        <f>[1]Data!R1152</f>
        <v>0</v>
      </c>
      <c r="S1152" s="8">
        <f>[1]Data!S1152</f>
        <v>0</v>
      </c>
      <c r="T1152">
        <f t="shared" si="85"/>
        <v>3.3333333333333298E-2</v>
      </c>
      <c r="U1152">
        <f t="shared" si="86"/>
        <v>0</v>
      </c>
      <c r="V1152" s="4" t="str">
        <f t="shared" si="87"/>
        <v>0</v>
      </c>
      <c r="W1152" s="4" t="str">
        <f t="shared" si="88"/>
        <v>8</v>
      </c>
      <c r="X1152" s="4" t="str">
        <f t="shared" si="89"/>
        <v>0NON-HS8</v>
      </c>
      <c r="Y1152">
        <f>VLOOKUP(X1152,Sheet1!$J$5:$K$121,2,FALSE)</f>
        <v>0</v>
      </c>
    </row>
    <row r="1153" spans="1:25" x14ac:dyDescent="0.25">
      <c r="A1153" s="8">
        <f>[1]Data!A1153</f>
        <v>670500</v>
      </c>
      <c r="B1153" s="8">
        <f>[1]Data!B1153</f>
        <v>8</v>
      </c>
      <c r="C1153" s="8">
        <f>[1]Data!C1153</f>
        <v>0</v>
      </c>
      <c r="D1153" s="8">
        <f>[1]Data!D1153</f>
        <v>4</v>
      </c>
      <c r="E1153" s="8" t="str">
        <f>[1]Data!E1153</f>
        <v>NON-HS</v>
      </c>
      <c r="F1153" s="8" t="str">
        <f>[1]Data!F1153</f>
        <v>Rolling Hills</v>
      </c>
      <c r="G1153" s="8">
        <f>[1]Data!G1153</f>
        <v>0</v>
      </c>
      <c r="H1153" s="8">
        <f>[1]Data!H1153</f>
        <v>0</v>
      </c>
      <c r="I1153" s="8">
        <f>[1]Data!I1153</f>
        <v>0</v>
      </c>
      <c r="J1153" s="8">
        <f>[1]Data!J1153</f>
        <v>0</v>
      </c>
      <c r="K1153" s="8">
        <f>[1]Data!K1153</f>
        <v>0</v>
      </c>
      <c r="L1153" s="8">
        <f>[1]Data!L1153</f>
        <v>0</v>
      </c>
      <c r="M1153" s="8">
        <f>[1]Data!M1153</f>
        <v>0</v>
      </c>
      <c r="N1153" s="8">
        <f>[1]Data!N1153</f>
        <v>3.3333333333333298E-2</v>
      </c>
      <c r="O1153" s="8">
        <f>[1]Data!O1153</f>
        <v>0</v>
      </c>
      <c r="P1153" s="8">
        <f>[1]Data!P1153</f>
        <v>0.82499999999999996</v>
      </c>
      <c r="Q1153" s="8">
        <f>[1]Data!Q1153</f>
        <v>0</v>
      </c>
      <c r="R1153" s="8">
        <f>[1]Data!R1153</f>
        <v>0</v>
      </c>
      <c r="S1153" s="8">
        <f>[1]Data!S1153</f>
        <v>0</v>
      </c>
      <c r="T1153">
        <f t="shared" si="85"/>
        <v>3.3333333333333298E-2</v>
      </c>
      <c r="U1153">
        <f t="shared" si="86"/>
        <v>0</v>
      </c>
      <c r="V1153" s="4" t="str">
        <f t="shared" si="87"/>
        <v>0</v>
      </c>
      <c r="W1153" s="4" t="str">
        <f t="shared" si="88"/>
        <v>8</v>
      </c>
      <c r="X1153" s="4" t="str">
        <f t="shared" si="89"/>
        <v>0NON-HS8</v>
      </c>
      <c r="Y1153">
        <f>VLOOKUP(X1153,Sheet1!$J$5:$K$121,2,FALSE)</f>
        <v>0</v>
      </c>
    </row>
    <row r="1154" spans="1:25" x14ac:dyDescent="0.25">
      <c r="A1154" s="8">
        <f>[1]Data!A1154</f>
        <v>601302</v>
      </c>
      <c r="B1154" s="8">
        <f>[1]Data!B1154</f>
        <v>8</v>
      </c>
      <c r="C1154" s="8">
        <f>[1]Data!C1154</f>
        <v>0</v>
      </c>
      <c r="D1154" s="8">
        <f>[1]Data!D1154</f>
        <v>2</v>
      </c>
      <c r="E1154" s="8" t="str">
        <f>[1]Data!E1154</f>
        <v>NON-HS</v>
      </c>
      <c r="F1154" s="8" t="str">
        <f>[1]Data!F1154</f>
        <v>Inglewood</v>
      </c>
      <c r="G1154" s="8">
        <f>[1]Data!G1154</f>
        <v>0</v>
      </c>
      <c r="H1154" s="8">
        <f>[1]Data!H1154</f>
        <v>0</v>
      </c>
      <c r="I1154" s="8">
        <f>[1]Data!I1154</f>
        <v>8.7539999999999996</v>
      </c>
      <c r="J1154" s="8">
        <f>[1]Data!J1154</f>
        <v>7.5265917099999999</v>
      </c>
      <c r="K1154" s="8">
        <f>[1]Data!K1154</f>
        <v>8.5265917099999999</v>
      </c>
      <c r="L1154" s="8">
        <f>[1]Data!L1154</f>
        <v>0.227408755834829</v>
      </c>
      <c r="M1154" s="8">
        <f>[1]Data!M1154</f>
        <v>8.7540004658348298</v>
      </c>
      <c r="N1154" s="8">
        <f>[1]Data!N1154</f>
        <v>3.3333333333333298E-2</v>
      </c>
      <c r="O1154" s="8">
        <f>[1]Data!O1154</f>
        <v>0</v>
      </c>
      <c r="P1154" s="8">
        <f>[1]Data!P1154</f>
        <v>0.82499999999999996</v>
      </c>
      <c r="Q1154" s="8">
        <f>[1]Data!Q1154</f>
        <v>0</v>
      </c>
      <c r="R1154" s="8">
        <f>[1]Data!R1154</f>
        <v>0</v>
      </c>
      <c r="S1154" s="8">
        <f>[1]Data!S1154</f>
        <v>0</v>
      </c>
      <c r="T1154">
        <f t="shared" si="85"/>
        <v>3.3333333333333298E-2</v>
      </c>
      <c r="U1154">
        <f t="shared" si="86"/>
        <v>0</v>
      </c>
      <c r="V1154" s="4" t="str">
        <f t="shared" si="87"/>
        <v>0</v>
      </c>
      <c r="W1154" s="4" t="str">
        <f t="shared" si="88"/>
        <v>8</v>
      </c>
      <c r="X1154" s="4" t="str">
        <f t="shared" si="89"/>
        <v>0NON-HS8</v>
      </c>
      <c r="Y1154">
        <f>VLOOKUP(X1154,Sheet1!$J$5:$K$121,2,FALSE)</f>
        <v>0</v>
      </c>
    </row>
    <row r="1155" spans="1:25" x14ac:dyDescent="0.25">
      <c r="A1155" s="8">
        <f>[1]Data!A1155</f>
        <v>670602</v>
      </c>
      <c r="B1155" s="8">
        <f>[1]Data!B1155</f>
        <v>8</v>
      </c>
      <c r="C1155" s="8">
        <f>[1]Data!C1155</f>
        <v>0</v>
      </c>
      <c r="D1155" s="8">
        <f>[1]Data!D1155</f>
        <v>4</v>
      </c>
      <c r="E1155" s="8" t="str">
        <f>[1]Data!E1155</f>
        <v>NON-HS</v>
      </c>
      <c r="F1155" s="8" t="str">
        <f>[1]Data!F1155</f>
        <v>Rancho Palos Verdes</v>
      </c>
      <c r="G1155" s="8">
        <f>[1]Data!G1155</f>
        <v>0</v>
      </c>
      <c r="H1155" s="8">
        <f>[1]Data!H1155</f>
        <v>0</v>
      </c>
      <c r="I1155" s="8">
        <f>[1]Data!I1155</f>
        <v>0</v>
      </c>
      <c r="J1155" s="8">
        <f>[1]Data!J1155</f>
        <v>0</v>
      </c>
      <c r="K1155" s="8">
        <f>[1]Data!K1155</f>
        <v>0</v>
      </c>
      <c r="L1155" s="8">
        <f>[1]Data!L1155</f>
        <v>0</v>
      </c>
      <c r="M1155" s="8">
        <f>[1]Data!M1155</f>
        <v>0</v>
      </c>
      <c r="N1155" s="8">
        <f>[1]Data!N1155</f>
        <v>3.3333333333333298E-2</v>
      </c>
      <c r="O1155" s="8">
        <f>[1]Data!O1155</f>
        <v>0</v>
      </c>
      <c r="P1155" s="8">
        <f>[1]Data!P1155</f>
        <v>0.82499999999999996</v>
      </c>
      <c r="Q1155" s="8">
        <f>[1]Data!Q1155</f>
        <v>0</v>
      </c>
      <c r="R1155" s="8">
        <f>[1]Data!R1155</f>
        <v>0</v>
      </c>
      <c r="S1155" s="8">
        <f>[1]Data!S1155</f>
        <v>0</v>
      </c>
      <c r="T1155">
        <f t="shared" ref="T1155:T1218" si="90">N1155+Y1155*(1-N1155)</f>
        <v>3.3333333333333298E-2</v>
      </c>
      <c r="U1155">
        <f t="shared" ref="U1155:U1218" si="91">IF(T1155="",0,1/T1155*H1155)</f>
        <v>0</v>
      </c>
      <c r="V1155" s="4" t="str">
        <f t="shared" ref="V1155:V1218" si="92">TEXT(C1155,"0")</f>
        <v>0</v>
      </c>
      <c r="W1155" s="4" t="str">
        <f t="shared" ref="W1155:W1218" si="93">TEXT(B1155,"0")</f>
        <v>8</v>
      </c>
      <c r="X1155" s="4" t="str">
        <f t="shared" ref="X1155:X1218" si="94">CONCATENATE(V1155,E1155,W1155)</f>
        <v>0NON-HS8</v>
      </c>
      <c r="Y1155">
        <f>VLOOKUP(X1155,Sheet1!$J$5:$K$121,2,FALSE)</f>
        <v>0</v>
      </c>
    </row>
    <row r="1156" spans="1:25" x14ac:dyDescent="0.25">
      <c r="A1156" s="8">
        <f>[1]Data!A1156</f>
        <v>543306</v>
      </c>
      <c r="B1156" s="8">
        <f>[1]Data!B1156</f>
        <v>8</v>
      </c>
      <c r="C1156" s="8">
        <f>[1]Data!C1156</f>
        <v>0</v>
      </c>
      <c r="D1156" s="8">
        <f>[1]Data!D1156</f>
        <v>2</v>
      </c>
      <c r="E1156" s="8" t="str">
        <f>[1]Data!E1156</f>
        <v>NON-HS</v>
      </c>
      <c r="F1156" s="8" t="str">
        <f>[1]Data!F1156</f>
        <v>Carson</v>
      </c>
      <c r="G1156" s="8">
        <f>[1]Data!G1156</f>
        <v>0</v>
      </c>
      <c r="H1156" s="8">
        <f>[1]Data!H1156</f>
        <v>0</v>
      </c>
      <c r="I1156" s="8">
        <f>[1]Data!I1156</f>
        <v>10.474</v>
      </c>
      <c r="J1156" s="8">
        <f>[1]Data!J1156</f>
        <v>9.9184982999999995</v>
      </c>
      <c r="K1156" s="8">
        <f>[1]Data!K1156</f>
        <v>9.9184982999999995</v>
      </c>
      <c r="L1156" s="8">
        <f>[1]Data!L1156</f>
        <v>0.55586300691202895</v>
      </c>
      <c r="M1156" s="8">
        <f>[1]Data!M1156</f>
        <v>10.474361306912</v>
      </c>
      <c r="N1156" s="8">
        <f>[1]Data!N1156</f>
        <v>3.3333333333333298E-2</v>
      </c>
      <c r="O1156" s="8">
        <f>[1]Data!O1156</f>
        <v>0</v>
      </c>
      <c r="P1156" s="8">
        <f>[1]Data!P1156</f>
        <v>0.82499999999999996</v>
      </c>
      <c r="Q1156" s="8">
        <f>[1]Data!Q1156</f>
        <v>0</v>
      </c>
      <c r="R1156" s="8">
        <f>[1]Data!R1156</f>
        <v>0</v>
      </c>
      <c r="S1156" s="8">
        <f>[1]Data!S1156</f>
        <v>0</v>
      </c>
      <c r="T1156">
        <f t="shared" si="90"/>
        <v>3.3333333333333298E-2</v>
      </c>
      <c r="U1156">
        <f t="shared" si="91"/>
        <v>0</v>
      </c>
      <c r="V1156" s="4" t="str">
        <f t="shared" si="92"/>
        <v>0</v>
      </c>
      <c r="W1156" s="4" t="str">
        <f t="shared" si="93"/>
        <v>8</v>
      </c>
      <c r="X1156" s="4" t="str">
        <f t="shared" si="94"/>
        <v>0NON-HS8</v>
      </c>
      <c r="Y1156">
        <f>VLOOKUP(X1156,Sheet1!$J$5:$K$121,2,FALSE)</f>
        <v>0</v>
      </c>
    </row>
    <row r="1157" spans="1:25" x14ac:dyDescent="0.25">
      <c r="A1157" s="8">
        <f>[1]Data!A1157</f>
        <v>670701</v>
      </c>
      <c r="B1157" s="8">
        <f>[1]Data!B1157</f>
        <v>8</v>
      </c>
      <c r="C1157" s="8">
        <f>[1]Data!C1157</f>
        <v>0</v>
      </c>
      <c r="D1157" s="8">
        <f>[1]Data!D1157</f>
        <v>4</v>
      </c>
      <c r="E1157" s="8" t="str">
        <f>[1]Data!E1157</f>
        <v>NON-HS</v>
      </c>
      <c r="F1157" s="8" t="str">
        <f>[1]Data!F1157</f>
        <v>Rancho Palos Verdes</v>
      </c>
      <c r="G1157" s="8">
        <f>[1]Data!G1157</f>
        <v>0</v>
      </c>
      <c r="H1157" s="8">
        <f>[1]Data!H1157</f>
        <v>0</v>
      </c>
      <c r="I1157" s="8">
        <f>[1]Data!I1157</f>
        <v>2.0950000000000002</v>
      </c>
      <c r="J1157" s="8">
        <f>[1]Data!J1157</f>
        <v>1.9836996600000001</v>
      </c>
      <c r="K1157" s="8">
        <f>[1]Data!K1157</f>
        <v>1.9836996600000001</v>
      </c>
      <c r="L1157" s="8">
        <f>[1]Data!L1157</f>
        <v>0.11117260138240601</v>
      </c>
      <c r="M1157" s="8">
        <f>[1]Data!M1157</f>
        <v>2.09487226138241</v>
      </c>
      <c r="N1157" s="8">
        <f>[1]Data!N1157</f>
        <v>3.3333333333333298E-2</v>
      </c>
      <c r="O1157" s="8">
        <f>[1]Data!O1157</f>
        <v>0</v>
      </c>
      <c r="P1157" s="8">
        <f>[1]Data!P1157</f>
        <v>0.82499999999999996</v>
      </c>
      <c r="Q1157" s="8">
        <f>[1]Data!Q1157</f>
        <v>0</v>
      </c>
      <c r="R1157" s="8">
        <f>[1]Data!R1157</f>
        <v>0</v>
      </c>
      <c r="S1157" s="8">
        <f>[1]Data!S1157</f>
        <v>0</v>
      </c>
      <c r="T1157">
        <f t="shared" si="90"/>
        <v>3.3333333333333298E-2</v>
      </c>
      <c r="U1157">
        <f t="shared" si="91"/>
        <v>0</v>
      </c>
      <c r="V1157" s="4" t="str">
        <f t="shared" si="92"/>
        <v>0</v>
      </c>
      <c r="W1157" s="4" t="str">
        <f t="shared" si="93"/>
        <v>8</v>
      </c>
      <c r="X1157" s="4" t="str">
        <f t="shared" si="94"/>
        <v>0NON-HS8</v>
      </c>
      <c r="Y1157">
        <f>VLOOKUP(X1157,Sheet1!$J$5:$K$121,2,FALSE)</f>
        <v>0</v>
      </c>
    </row>
    <row r="1158" spans="1:25" x14ac:dyDescent="0.25">
      <c r="A1158" s="12">
        <f>[1]Data!A1158</f>
        <v>209520</v>
      </c>
      <c r="B1158" s="12">
        <f>[1]Data!B1158</f>
        <v>4</v>
      </c>
      <c r="C1158" s="12">
        <f>[1]Data!C1158</f>
        <v>1</v>
      </c>
      <c r="D1158" s="12">
        <f>[1]Data!D1158</f>
        <v>1</v>
      </c>
      <c r="E1158" s="12" t="str">
        <f>[1]Data!E1158</f>
        <v>CVCTE</v>
      </c>
      <c r="F1158" s="12" t="str">
        <f>[1]Data!F1158</f>
        <v>Westlake</v>
      </c>
      <c r="G1158" s="12">
        <f>[1]Data!G1158</f>
        <v>0</v>
      </c>
      <c r="H1158" s="12">
        <f>[1]Data!H1158</f>
        <v>1</v>
      </c>
      <c r="I1158" s="12">
        <f>[1]Data!I1158</f>
        <v>44.442999999999998</v>
      </c>
      <c r="J1158" s="12">
        <f>[1]Data!J1158</f>
        <v>34.098967739999999</v>
      </c>
      <c r="K1158" s="12">
        <f>[1]Data!K1158</f>
        <v>43.098967739999999</v>
      </c>
      <c r="L1158" s="12">
        <f>[1]Data!L1158</f>
        <v>1.3436179534649899</v>
      </c>
      <c r="M1158" s="12">
        <f>[1]Data!M1158</f>
        <v>44.442585693464999</v>
      </c>
      <c r="N1158" s="12">
        <f>[1]Data!N1158</f>
        <v>0.164383561643836</v>
      </c>
      <c r="O1158" s="12">
        <f>[1]Data!O1158</f>
        <v>0</v>
      </c>
      <c r="P1158" s="12">
        <f>[1]Data!P1158</f>
        <v>0.34246575342465801</v>
      </c>
      <c r="Q1158" s="12">
        <f>[1]Data!Q1158</f>
        <v>1</v>
      </c>
      <c r="R1158" s="12">
        <f>[1]Data!R1158</f>
        <v>0.30434782608695699</v>
      </c>
      <c r="S1158" s="12">
        <f>[1]Data!S1158</f>
        <v>3.28571428571429</v>
      </c>
      <c r="T1158">
        <f t="shared" si="90"/>
        <v>0.41870160810006019</v>
      </c>
      <c r="U1158">
        <f t="shared" si="91"/>
        <v>2.3883357041251743</v>
      </c>
      <c r="V1158" s="4" t="str">
        <f t="shared" si="92"/>
        <v>1</v>
      </c>
      <c r="W1158" s="4" t="str">
        <f t="shared" si="93"/>
        <v>4</v>
      </c>
      <c r="X1158" s="4" t="str">
        <f t="shared" si="94"/>
        <v>1CVCTE4</v>
      </c>
      <c r="Y1158">
        <f>VLOOKUP(X1158,Sheet1!$J$5:$K$121,2,FALSE)</f>
        <v>0.30434782608695699</v>
      </c>
    </row>
    <row r="1159" spans="1:25" x14ac:dyDescent="0.25">
      <c r="A1159" s="12">
        <f>[1]Data!A1159</f>
        <v>207101</v>
      </c>
      <c r="B1159" s="12">
        <f>[1]Data!B1159</f>
        <v>4</v>
      </c>
      <c r="C1159" s="12">
        <f>[1]Data!C1159</f>
        <v>1</v>
      </c>
      <c r="D1159" s="12">
        <f>[1]Data!D1159</f>
        <v>1</v>
      </c>
      <c r="E1159" s="12" t="str">
        <f>[1]Data!E1159</f>
        <v>CVCTE</v>
      </c>
      <c r="F1159" s="12" t="str">
        <f>[1]Data!F1159</f>
        <v>Chinatown</v>
      </c>
      <c r="G1159" s="12">
        <f>[1]Data!G1159</f>
        <v>0</v>
      </c>
      <c r="H1159" s="12">
        <f>[1]Data!H1159</f>
        <v>0</v>
      </c>
      <c r="I1159" s="12">
        <f>[1]Data!I1159</f>
        <v>64.641999999999996</v>
      </c>
      <c r="J1159" s="12">
        <f>[1]Data!J1159</f>
        <v>25.9568069</v>
      </c>
      <c r="K1159" s="12">
        <f>[1]Data!K1159</f>
        <v>63.956806899999997</v>
      </c>
      <c r="L1159" s="12">
        <f>[1]Data!L1159</f>
        <v>0.68495323382405704</v>
      </c>
      <c r="M1159" s="12">
        <f>[1]Data!M1159</f>
        <v>64.641760133824107</v>
      </c>
      <c r="N1159" s="12">
        <f>[1]Data!N1159</f>
        <v>0.164383561643836</v>
      </c>
      <c r="O1159" s="12">
        <f>[1]Data!O1159</f>
        <v>0</v>
      </c>
      <c r="P1159" s="12">
        <f>[1]Data!P1159</f>
        <v>0.34246575342465801</v>
      </c>
      <c r="Q1159" s="12">
        <f>[1]Data!Q1159</f>
        <v>1</v>
      </c>
      <c r="R1159" s="12">
        <f>[1]Data!R1159</f>
        <v>0.30434782608695699</v>
      </c>
      <c r="S1159" s="12">
        <f>[1]Data!S1159</f>
        <v>0</v>
      </c>
      <c r="T1159">
        <f t="shared" si="90"/>
        <v>0.41870160810006019</v>
      </c>
      <c r="U1159">
        <f t="shared" si="91"/>
        <v>0</v>
      </c>
      <c r="V1159" s="4" t="str">
        <f t="shared" si="92"/>
        <v>1</v>
      </c>
      <c r="W1159" s="4" t="str">
        <f t="shared" si="93"/>
        <v>4</v>
      </c>
      <c r="X1159" s="4" t="str">
        <f t="shared" si="94"/>
        <v>1CVCTE4</v>
      </c>
      <c r="Y1159">
        <f>VLOOKUP(X1159,Sheet1!$J$5:$K$121,2,FALSE)</f>
        <v>0.30434782608695699</v>
      </c>
    </row>
    <row r="1160" spans="1:25" x14ac:dyDescent="0.25">
      <c r="A1160" s="12">
        <f>[1]Data!A1160</f>
        <v>206010</v>
      </c>
      <c r="B1160" s="12">
        <f>[1]Data!B1160</f>
        <v>4</v>
      </c>
      <c r="C1160" s="12">
        <f>[1]Data!C1160</f>
        <v>1</v>
      </c>
      <c r="D1160" s="12">
        <f>[1]Data!D1160</f>
        <v>1</v>
      </c>
      <c r="E1160" s="12" t="str">
        <f>[1]Data!E1160</f>
        <v>CVCTE</v>
      </c>
      <c r="F1160" s="12" t="str">
        <f>[1]Data!F1160</f>
        <v>Chinatown</v>
      </c>
      <c r="G1160" s="12">
        <f>[1]Data!G1160</f>
        <v>0</v>
      </c>
      <c r="H1160" s="12">
        <f>[1]Data!H1160</f>
        <v>0</v>
      </c>
      <c r="I1160" s="12">
        <f>[1]Data!I1160</f>
        <v>20.391999999999999</v>
      </c>
      <c r="J1160" s="12">
        <f>[1]Data!J1160</f>
        <v>19.61286818</v>
      </c>
      <c r="K1160" s="12">
        <f>[1]Data!K1160</f>
        <v>19.61286818</v>
      </c>
      <c r="L1160" s="12">
        <f>[1]Data!L1160</f>
        <v>0.77921345570915601</v>
      </c>
      <c r="M1160" s="12">
        <f>[1]Data!M1160</f>
        <v>20.3920816357092</v>
      </c>
      <c r="N1160" s="12">
        <f>[1]Data!N1160</f>
        <v>0.164383561643836</v>
      </c>
      <c r="O1160" s="12">
        <f>[1]Data!O1160</f>
        <v>0</v>
      </c>
      <c r="P1160" s="12">
        <f>[1]Data!P1160</f>
        <v>0.34246575342465801</v>
      </c>
      <c r="Q1160" s="12">
        <f>[1]Data!Q1160</f>
        <v>1</v>
      </c>
      <c r="R1160" s="12">
        <f>[1]Data!R1160</f>
        <v>0.30434782608695699</v>
      </c>
      <c r="S1160" s="12">
        <f>[1]Data!S1160</f>
        <v>0</v>
      </c>
      <c r="T1160">
        <f t="shared" si="90"/>
        <v>0.41870160810006019</v>
      </c>
      <c r="U1160">
        <f t="shared" si="91"/>
        <v>0</v>
      </c>
      <c r="V1160" s="4" t="str">
        <f t="shared" si="92"/>
        <v>1</v>
      </c>
      <c r="W1160" s="4" t="str">
        <f t="shared" si="93"/>
        <v>4</v>
      </c>
      <c r="X1160" s="4" t="str">
        <f t="shared" si="94"/>
        <v>1CVCTE4</v>
      </c>
      <c r="Y1160">
        <f>VLOOKUP(X1160,Sheet1!$J$5:$K$121,2,FALSE)</f>
        <v>0.30434782608695699</v>
      </c>
    </row>
    <row r="1161" spans="1:25" x14ac:dyDescent="0.25">
      <c r="A1161" s="12">
        <f>[1]Data!A1161</f>
        <v>212204</v>
      </c>
      <c r="B1161" s="12">
        <f>[1]Data!B1161</f>
        <v>4</v>
      </c>
      <c r="C1161" s="12">
        <f>[1]Data!C1161</f>
        <v>1</v>
      </c>
      <c r="D1161" s="12">
        <f>[1]Data!D1161</f>
        <v>2</v>
      </c>
      <c r="E1161" s="12" t="str">
        <f>[1]Data!E1161</f>
        <v>CVCTE</v>
      </c>
      <c r="F1161" s="12" t="str">
        <f>[1]Data!F1161</f>
        <v>Westlake</v>
      </c>
      <c r="G1161" s="12">
        <f>[1]Data!G1161</f>
        <v>0</v>
      </c>
      <c r="H1161" s="12">
        <f>[1]Data!H1161</f>
        <v>0</v>
      </c>
      <c r="I1161" s="12">
        <f>[1]Data!I1161</f>
        <v>65.236999999999995</v>
      </c>
      <c r="J1161" s="12">
        <f>[1]Data!J1161</f>
        <v>49.256528369999998</v>
      </c>
      <c r="K1161" s="12">
        <f>[1]Data!K1161</f>
        <v>64.256528369999998</v>
      </c>
      <c r="L1161" s="12">
        <f>[1]Data!L1161</f>
        <v>0.98038838660682204</v>
      </c>
      <c r="M1161" s="12">
        <f>[1]Data!M1161</f>
        <v>65.236916756606803</v>
      </c>
      <c r="N1161" s="12">
        <f>[1]Data!N1161</f>
        <v>0.164383561643836</v>
      </c>
      <c r="O1161" s="12">
        <f>[1]Data!O1161</f>
        <v>0</v>
      </c>
      <c r="P1161" s="12">
        <f>[1]Data!P1161</f>
        <v>0.34246575342465801</v>
      </c>
      <c r="Q1161" s="12">
        <f>[1]Data!Q1161</f>
        <v>1</v>
      </c>
      <c r="R1161" s="12">
        <f>[1]Data!R1161</f>
        <v>0.30434782608695699</v>
      </c>
      <c r="S1161" s="12">
        <f>[1]Data!S1161</f>
        <v>0</v>
      </c>
      <c r="T1161">
        <f t="shared" si="90"/>
        <v>0.41870160810006019</v>
      </c>
      <c r="U1161">
        <f t="shared" si="91"/>
        <v>0</v>
      </c>
      <c r="V1161" s="4" t="str">
        <f t="shared" si="92"/>
        <v>1</v>
      </c>
      <c r="W1161" s="4" t="str">
        <f t="shared" si="93"/>
        <v>4</v>
      </c>
      <c r="X1161" s="4" t="str">
        <f t="shared" si="94"/>
        <v>1CVCTE4</v>
      </c>
      <c r="Y1161">
        <f>VLOOKUP(X1161,Sheet1!$J$5:$K$121,2,FALSE)</f>
        <v>0.30434782608695699</v>
      </c>
    </row>
    <row r="1162" spans="1:25" x14ac:dyDescent="0.25">
      <c r="A1162" s="12">
        <f>[1]Data!A1162</f>
        <v>208000</v>
      </c>
      <c r="B1162" s="12">
        <f>[1]Data!B1162</f>
        <v>4</v>
      </c>
      <c r="C1162" s="12">
        <f>[1]Data!C1162</f>
        <v>1</v>
      </c>
      <c r="D1162" s="12">
        <f>[1]Data!D1162</f>
        <v>1</v>
      </c>
      <c r="E1162" s="12" t="str">
        <f>[1]Data!E1162</f>
        <v>CVCTE</v>
      </c>
      <c r="F1162" s="12" t="str">
        <f>[1]Data!F1162</f>
        <v>Echo Park</v>
      </c>
      <c r="G1162" s="12">
        <f>[1]Data!G1162</f>
        <v>0</v>
      </c>
      <c r="H1162" s="12">
        <f>[1]Data!H1162</f>
        <v>0</v>
      </c>
      <c r="I1162" s="12">
        <f>[1]Data!I1162</f>
        <v>27.792000000000002</v>
      </c>
      <c r="J1162" s="12">
        <f>[1]Data!J1162</f>
        <v>22.4076488</v>
      </c>
      <c r="K1162" s="12">
        <f>[1]Data!K1162</f>
        <v>27.4076488</v>
      </c>
      <c r="L1162" s="12">
        <f>[1]Data!L1162</f>
        <v>0.38464905057450599</v>
      </c>
      <c r="M1162" s="12">
        <f>[1]Data!M1162</f>
        <v>27.792297850574499</v>
      </c>
      <c r="N1162" s="12">
        <f>[1]Data!N1162</f>
        <v>0.164383561643836</v>
      </c>
      <c r="O1162" s="12">
        <f>[1]Data!O1162</f>
        <v>0</v>
      </c>
      <c r="P1162" s="12">
        <f>[1]Data!P1162</f>
        <v>0.34246575342465801</v>
      </c>
      <c r="Q1162" s="12">
        <f>[1]Data!Q1162</f>
        <v>1</v>
      </c>
      <c r="R1162" s="12">
        <f>[1]Data!R1162</f>
        <v>0.30434782608695699</v>
      </c>
      <c r="S1162" s="12">
        <f>[1]Data!S1162</f>
        <v>0</v>
      </c>
      <c r="T1162">
        <f t="shared" si="90"/>
        <v>0.41870160810006019</v>
      </c>
      <c r="U1162">
        <f t="shared" si="91"/>
        <v>0</v>
      </c>
      <c r="V1162" s="4" t="str">
        <f t="shared" si="92"/>
        <v>1</v>
      </c>
      <c r="W1162" s="4" t="str">
        <f t="shared" si="93"/>
        <v>4</v>
      </c>
      <c r="X1162" s="4" t="str">
        <f t="shared" si="94"/>
        <v>1CVCTE4</v>
      </c>
      <c r="Y1162">
        <f>VLOOKUP(X1162,Sheet1!$J$5:$K$121,2,FALSE)</f>
        <v>0.30434782608695699</v>
      </c>
    </row>
    <row r="1163" spans="1:25" x14ac:dyDescent="0.25">
      <c r="A1163" s="12">
        <f>[1]Data!A1163</f>
        <v>210010</v>
      </c>
      <c r="B1163" s="12">
        <f>[1]Data!B1163</f>
        <v>4</v>
      </c>
      <c r="C1163" s="12">
        <f>[1]Data!C1163</f>
        <v>1</v>
      </c>
      <c r="D1163" s="12">
        <f>[1]Data!D1163</f>
        <v>1</v>
      </c>
      <c r="E1163" s="12" t="str">
        <f>[1]Data!E1163</f>
        <v>CVCTE</v>
      </c>
      <c r="F1163" s="12" t="str">
        <f>[1]Data!F1163</f>
        <v>Pico Union</v>
      </c>
      <c r="G1163" s="12">
        <f>[1]Data!G1163</f>
        <v>0</v>
      </c>
      <c r="H1163" s="12">
        <f>[1]Data!H1163</f>
        <v>0</v>
      </c>
      <c r="I1163" s="12">
        <f>[1]Data!I1163</f>
        <v>35.427</v>
      </c>
      <c r="J1163" s="12">
        <f>[1]Data!J1163</f>
        <v>23.881956779999999</v>
      </c>
      <c r="K1163" s="12">
        <f>[1]Data!K1163</f>
        <v>34.881956780000003</v>
      </c>
      <c r="L1163" s="12">
        <f>[1]Data!L1163</f>
        <v>0.54410407335727096</v>
      </c>
      <c r="M1163" s="12">
        <f>[1]Data!M1163</f>
        <v>35.426060853357299</v>
      </c>
      <c r="N1163" s="12">
        <f>[1]Data!N1163</f>
        <v>0.164383561643836</v>
      </c>
      <c r="O1163" s="12">
        <f>[1]Data!O1163</f>
        <v>0</v>
      </c>
      <c r="P1163" s="12">
        <f>[1]Data!P1163</f>
        <v>0.34246575342465801</v>
      </c>
      <c r="Q1163" s="12">
        <f>[1]Data!Q1163</f>
        <v>1</v>
      </c>
      <c r="R1163" s="12">
        <f>[1]Data!R1163</f>
        <v>0.30434782608695699</v>
      </c>
      <c r="S1163" s="12">
        <f>[1]Data!S1163</f>
        <v>0</v>
      </c>
      <c r="T1163">
        <f t="shared" si="90"/>
        <v>0.41870160810006019</v>
      </c>
      <c r="U1163">
        <f t="shared" si="91"/>
        <v>0</v>
      </c>
      <c r="V1163" s="4" t="str">
        <f t="shared" si="92"/>
        <v>1</v>
      </c>
      <c r="W1163" s="4" t="str">
        <f t="shared" si="93"/>
        <v>4</v>
      </c>
      <c r="X1163" s="4" t="str">
        <f t="shared" si="94"/>
        <v>1CVCTE4</v>
      </c>
      <c r="Y1163">
        <f>VLOOKUP(X1163,Sheet1!$J$5:$K$121,2,FALSE)</f>
        <v>0.30434782608695699</v>
      </c>
    </row>
    <row r="1164" spans="1:25" x14ac:dyDescent="0.25">
      <c r="A1164" s="12">
        <f>[1]Data!A1164</f>
        <v>209401</v>
      </c>
      <c r="B1164" s="12">
        <f>[1]Data!B1164</f>
        <v>4</v>
      </c>
      <c r="C1164" s="12">
        <f>[1]Data!C1164</f>
        <v>1</v>
      </c>
      <c r="D1164" s="12">
        <f>[1]Data!D1164</f>
        <v>1</v>
      </c>
      <c r="E1164" s="12" t="str">
        <f>[1]Data!E1164</f>
        <v>CVCTE</v>
      </c>
      <c r="F1164" s="12" t="str">
        <f>[1]Data!F1164</f>
        <v>Westlake</v>
      </c>
      <c r="G1164" s="12">
        <f>[1]Data!G1164</f>
        <v>0</v>
      </c>
      <c r="H1164" s="12">
        <f>[1]Data!H1164</f>
        <v>0</v>
      </c>
      <c r="I1164" s="12">
        <f>[1]Data!I1164</f>
        <v>47.156999999999996</v>
      </c>
      <c r="J1164" s="12">
        <f>[1]Data!J1164</f>
        <v>35.239111549999997</v>
      </c>
      <c r="K1164" s="12">
        <f>[1]Data!K1164</f>
        <v>46.239111549999997</v>
      </c>
      <c r="L1164" s="12">
        <f>[1]Data!L1164</f>
        <v>0.91803991861759404</v>
      </c>
      <c r="M1164" s="12">
        <f>[1]Data!M1164</f>
        <v>47.157151468617599</v>
      </c>
      <c r="N1164" s="12">
        <f>[1]Data!N1164</f>
        <v>0.164383561643836</v>
      </c>
      <c r="O1164" s="12">
        <f>[1]Data!O1164</f>
        <v>0</v>
      </c>
      <c r="P1164" s="12">
        <f>[1]Data!P1164</f>
        <v>0.34246575342465801</v>
      </c>
      <c r="Q1164" s="12">
        <f>[1]Data!Q1164</f>
        <v>1</v>
      </c>
      <c r="R1164" s="12">
        <f>[1]Data!R1164</f>
        <v>0.30434782608695699</v>
      </c>
      <c r="S1164" s="12">
        <f>[1]Data!S1164</f>
        <v>0</v>
      </c>
      <c r="T1164">
        <f t="shared" si="90"/>
        <v>0.41870160810006019</v>
      </c>
      <c r="U1164">
        <f t="shared" si="91"/>
        <v>0</v>
      </c>
      <c r="V1164" s="4" t="str">
        <f t="shared" si="92"/>
        <v>1</v>
      </c>
      <c r="W1164" s="4" t="str">
        <f t="shared" si="93"/>
        <v>4</v>
      </c>
      <c r="X1164" s="4" t="str">
        <f t="shared" si="94"/>
        <v>1CVCTE4</v>
      </c>
      <c r="Y1164">
        <f>VLOOKUP(X1164,Sheet1!$J$5:$K$121,2,FALSE)</f>
        <v>0.30434782608695699</v>
      </c>
    </row>
    <row r="1165" spans="1:25" x14ac:dyDescent="0.25">
      <c r="A1165" s="12">
        <f>[1]Data!A1165</f>
        <v>197500</v>
      </c>
      <c r="B1165" s="12">
        <f>[1]Data!B1165</f>
        <v>4</v>
      </c>
      <c r="C1165" s="12">
        <f>[1]Data!C1165</f>
        <v>1</v>
      </c>
      <c r="D1165" s="12">
        <f>[1]Data!D1165</f>
        <v>1</v>
      </c>
      <c r="E1165" s="12" t="str">
        <f>[1]Data!E1165</f>
        <v>CVCTE</v>
      </c>
      <c r="F1165" s="12" t="str">
        <f>[1]Data!F1165</f>
        <v>Echo Park</v>
      </c>
      <c r="G1165" s="12">
        <f>[1]Data!G1165</f>
        <v>0</v>
      </c>
      <c r="H1165" s="12">
        <f>[1]Data!H1165</f>
        <v>0</v>
      </c>
      <c r="I1165" s="12">
        <f>[1]Data!I1165</f>
        <v>79.625</v>
      </c>
      <c r="J1165" s="12">
        <f>[1]Data!J1165</f>
        <v>65.622830680000007</v>
      </c>
      <c r="K1165" s="12">
        <f>[1]Data!K1165</f>
        <v>76.622830680000007</v>
      </c>
      <c r="L1165" s="12">
        <f>[1]Data!L1165</f>
        <v>3.0025895816696599</v>
      </c>
      <c r="M1165" s="12">
        <f>[1]Data!M1165</f>
        <v>79.625420261669703</v>
      </c>
      <c r="N1165" s="12">
        <f>[1]Data!N1165</f>
        <v>0.164383561643836</v>
      </c>
      <c r="O1165" s="12">
        <f>[1]Data!O1165</f>
        <v>0</v>
      </c>
      <c r="P1165" s="12">
        <f>[1]Data!P1165</f>
        <v>0.34246575342465801</v>
      </c>
      <c r="Q1165" s="12">
        <f>[1]Data!Q1165</f>
        <v>1</v>
      </c>
      <c r="R1165" s="12">
        <f>[1]Data!R1165</f>
        <v>0.30434782608695699</v>
      </c>
      <c r="S1165" s="12">
        <f>[1]Data!S1165</f>
        <v>0</v>
      </c>
      <c r="T1165">
        <f t="shared" si="90"/>
        <v>0.41870160810006019</v>
      </c>
      <c r="U1165">
        <f t="shared" si="91"/>
        <v>0</v>
      </c>
      <c r="V1165" s="4" t="str">
        <f t="shared" si="92"/>
        <v>1</v>
      </c>
      <c r="W1165" s="4" t="str">
        <f t="shared" si="93"/>
        <v>4</v>
      </c>
      <c r="X1165" s="4" t="str">
        <f t="shared" si="94"/>
        <v>1CVCTE4</v>
      </c>
      <c r="Y1165">
        <f>VLOOKUP(X1165,Sheet1!$J$5:$K$121,2,FALSE)</f>
        <v>0.30434782608695699</v>
      </c>
    </row>
    <row r="1166" spans="1:25" x14ac:dyDescent="0.25">
      <c r="A1166" s="12">
        <f>[1]Data!A1166</f>
        <v>185310</v>
      </c>
      <c r="B1166" s="12">
        <f>[1]Data!B1166</f>
        <v>4</v>
      </c>
      <c r="C1166" s="12">
        <f>[1]Data!C1166</f>
        <v>1</v>
      </c>
      <c r="D1166" s="12">
        <f>[1]Data!D1166</f>
        <v>1</v>
      </c>
      <c r="E1166" s="12" t="str">
        <f>[1]Data!E1166</f>
        <v>CVCTE</v>
      </c>
      <c r="F1166" s="12" t="str">
        <f>[1]Data!F1166</f>
        <v>Cypress Park</v>
      </c>
      <c r="G1166" s="12">
        <f>[1]Data!G1166</f>
        <v>0</v>
      </c>
      <c r="H1166" s="12">
        <f>[1]Data!H1166</f>
        <v>1</v>
      </c>
      <c r="I1166" s="12">
        <f>[1]Data!I1166</f>
        <v>5.4240000000000004</v>
      </c>
      <c r="J1166" s="12">
        <f>[1]Data!J1166</f>
        <v>5.1993965099999997</v>
      </c>
      <c r="K1166" s="12">
        <f>[1]Data!K1166</f>
        <v>5.1993965099999997</v>
      </c>
      <c r="L1166" s="12">
        <f>[1]Data!L1166</f>
        <v>0.22495653086175901</v>
      </c>
      <c r="M1166" s="12">
        <f>[1]Data!M1166</f>
        <v>5.4243530408617602</v>
      </c>
      <c r="N1166" s="12">
        <f>[1]Data!N1166</f>
        <v>0.164383561643836</v>
      </c>
      <c r="O1166" s="12">
        <f>[1]Data!O1166</f>
        <v>0</v>
      </c>
      <c r="P1166" s="12">
        <f>[1]Data!P1166</f>
        <v>0.34246575342465801</v>
      </c>
      <c r="Q1166" s="12">
        <f>[1]Data!Q1166</f>
        <v>1</v>
      </c>
      <c r="R1166" s="12">
        <f>[1]Data!R1166</f>
        <v>0.30434782608695699</v>
      </c>
      <c r="S1166" s="12">
        <f>[1]Data!S1166</f>
        <v>3.28571428571429</v>
      </c>
      <c r="T1166">
        <f t="shared" si="90"/>
        <v>0.41870160810006019</v>
      </c>
      <c r="U1166">
        <f t="shared" si="91"/>
        <v>2.3883357041251743</v>
      </c>
      <c r="V1166" s="4" t="str">
        <f t="shared" si="92"/>
        <v>1</v>
      </c>
      <c r="W1166" s="4" t="str">
        <f t="shared" si="93"/>
        <v>4</v>
      </c>
      <c r="X1166" s="4" t="str">
        <f t="shared" si="94"/>
        <v>1CVCTE4</v>
      </c>
      <c r="Y1166">
        <f>VLOOKUP(X1166,Sheet1!$J$5:$K$121,2,FALSE)</f>
        <v>0.30434782608695699</v>
      </c>
    </row>
    <row r="1167" spans="1:25" x14ac:dyDescent="0.25">
      <c r="A1167" s="12">
        <f>[1]Data!A1167</f>
        <v>221220</v>
      </c>
      <c r="B1167" s="12">
        <f>[1]Data!B1167</f>
        <v>4</v>
      </c>
      <c r="C1167" s="12">
        <f>[1]Data!C1167</f>
        <v>1</v>
      </c>
      <c r="D1167" s="12">
        <f>[1]Data!D1167</f>
        <v>2</v>
      </c>
      <c r="E1167" s="12" t="str">
        <f>[1]Data!E1167</f>
        <v>CVCTE</v>
      </c>
      <c r="F1167" s="12" t="str">
        <f>[1]Data!F1167</f>
        <v>Pico Union</v>
      </c>
      <c r="G1167" s="12">
        <f>[1]Data!G1167</f>
        <v>0</v>
      </c>
      <c r="H1167" s="12">
        <f>[1]Data!H1167</f>
        <v>0</v>
      </c>
      <c r="I1167" s="12">
        <f>[1]Data!I1167</f>
        <v>45.878999999999998</v>
      </c>
      <c r="J1167" s="12">
        <f>[1]Data!J1167</f>
        <v>35.899107749999999</v>
      </c>
      <c r="K1167" s="12">
        <f>[1]Data!K1167</f>
        <v>43.899107749999999</v>
      </c>
      <c r="L1167" s="12">
        <f>[1]Data!L1167</f>
        <v>1.97897539982047</v>
      </c>
      <c r="M1167" s="12">
        <f>[1]Data!M1167</f>
        <v>45.878083149820498</v>
      </c>
      <c r="N1167" s="12">
        <f>[1]Data!N1167</f>
        <v>0.164383561643836</v>
      </c>
      <c r="O1167" s="12">
        <f>[1]Data!O1167</f>
        <v>0</v>
      </c>
      <c r="P1167" s="12">
        <f>[1]Data!P1167</f>
        <v>0.34246575342465801</v>
      </c>
      <c r="Q1167" s="12">
        <f>[1]Data!Q1167</f>
        <v>1</v>
      </c>
      <c r="R1167" s="12">
        <f>[1]Data!R1167</f>
        <v>0.30434782608695699</v>
      </c>
      <c r="S1167" s="12">
        <f>[1]Data!S1167</f>
        <v>0</v>
      </c>
      <c r="T1167">
        <f t="shared" si="90"/>
        <v>0.41870160810006019</v>
      </c>
      <c r="U1167">
        <f t="shared" si="91"/>
        <v>0</v>
      </c>
      <c r="V1167" s="4" t="str">
        <f t="shared" si="92"/>
        <v>1</v>
      </c>
      <c r="W1167" s="4" t="str">
        <f t="shared" si="93"/>
        <v>4</v>
      </c>
      <c r="X1167" s="4" t="str">
        <f t="shared" si="94"/>
        <v>1CVCTE4</v>
      </c>
      <c r="Y1167">
        <f>VLOOKUP(X1167,Sheet1!$J$5:$K$121,2,FALSE)</f>
        <v>0.30434782608695699</v>
      </c>
    </row>
    <row r="1168" spans="1:25" x14ac:dyDescent="0.25">
      <c r="A1168" s="12">
        <f>[1]Data!A1168</f>
        <v>199201</v>
      </c>
      <c r="B1168" s="12">
        <f>[1]Data!B1168</f>
        <v>4</v>
      </c>
      <c r="C1168" s="12">
        <f>[1]Data!C1168</f>
        <v>1</v>
      </c>
      <c r="D1168" s="12">
        <f>[1]Data!D1168</f>
        <v>1</v>
      </c>
      <c r="E1168" s="12" t="str">
        <f>[1]Data!E1168</f>
        <v>CVCTE</v>
      </c>
      <c r="F1168" s="12" t="str">
        <f>[1]Data!F1168</f>
        <v>Lincoln Heights</v>
      </c>
      <c r="G1168" s="12">
        <f>[1]Data!G1168</f>
        <v>0</v>
      </c>
      <c r="H1168" s="12">
        <f>[1]Data!H1168</f>
        <v>1</v>
      </c>
      <c r="I1168" s="12">
        <f>[1]Data!I1168</f>
        <v>35.259</v>
      </c>
      <c r="J1168" s="12">
        <f>[1]Data!J1168</f>
        <v>26.802659200000001</v>
      </c>
      <c r="K1168" s="12">
        <f>[1]Data!K1168</f>
        <v>33.802659200000001</v>
      </c>
      <c r="L1168" s="12">
        <f>[1]Data!L1168</f>
        <v>1.45607378001795</v>
      </c>
      <c r="M1168" s="12">
        <f>[1]Data!M1168</f>
        <v>35.258732980018003</v>
      </c>
      <c r="N1168" s="12">
        <f>[1]Data!N1168</f>
        <v>0.164383561643836</v>
      </c>
      <c r="O1168" s="12">
        <f>[1]Data!O1168</f>
        <v>0</v>
      </c>
      <c r="P1168" s="12">
        <f>[1]Data!P1168</f>
        <v>0.34246575342465801</v>
      </c>
      <c r="Q1168" s="12">
        <f>[1]Data!Q1168</f>
        <v>1</v>
      </c>
      <c r="R1168" s="12">
        <f>[1]Data!R1168</f>
        <v>0.30434782608695699</v>
      </c>
      <c r="S1168" s="12">
        <f>[1]Data!S1168</f>
        <v>3.28571428571429</v>
      </c>
      <c r="T1168">
        <f t="shared" si="90"/>
        <v>0.41870160810006019</v>
      </c>
      <c r="U1168">
        <f t="shared" si="91"/>
        <v>2.3883357041251743</v>
      </c>
      <c r="V1168" s="4" t="str">
        <f t="shared" si="92"/>
        <v>1</v>
      </c>
      <c r="W1168" s="4" t="str">
        <f t="shared" si="93"/>
        <v>4</v>
      </c>
      <c r="X1168" s="4" t="str">
        <f t="shared" si="94"/>
        <v>1CVCTE4</v>
      </c>
      <c r="Y1168">
        <f>VLOOKUP(X1168,Sheet1!$J$5:$K$121,2,FALSE)</f>
        <v>0.30434782608695699</v>
      </c>
    </row>
    <row r="1169" spans="1:25" x14ac:dyDescent="0.25">
      <c r="A1169" s="12">
        <f>[1]Data!A1169</f>
        <v>186403</v>
      </c>
      <c r="B1169" s="12">
        <f>[1]Data!B1169</f>
        <v>4</v>
      </c>
      <c r="C1169" s="12">
        <f>[1]Data!C1169</f>
        <v>1</v>
      </c>
      <c r="D1169" s="12">
        <f>[1]Data!D1169</f>
        <v>1</v>
      </c>
      <c r="E1169" s="12" t="str">
        <f>[1]Data!E1169</f>
        <v>CVCTE</v>
      </c>
      <c r="F1169" s="12" t="str">
        <f>[1]Data!F1169</f>
        <v>Glassell Park</v>
      </c>
      <c r="G1169" s="12">
        <f>[1]Data!G1169</f>
        <v>1</v>
      </c>
      <c r="H1169" s="12">
        <f>[1]Data!H1169</f>
        <v>1</v>
      </c>
      <c r="I1169" s="12">
        <f>[1]Data!I1169</f>
        <v>37.692</v>
      </c>
      <c r="J1169" s="12">
        <f>[1]Data!J1169</f>
        <v>36.122177209999997</v>
      </c>
      <c r="K1169" s="12">
        <f>[1]Data!K1169</f>
        <v>36.122177209999997</v>
      </c>
      <c r="L1169" s="12">
        <f>[1]Data!L1169</f>
        <v>1.5691548535906601</v>
      </c>
      <c r="M1169" s="12">
        <f>[1]Data!M1169</f>
        <v>37.6913320635907</v>
      </c>
      <c r="N1169" s="12">
        <f>[1]Data!N1169</f>
        <v>0.164383561643836</v>
      </c>
      <c r="O1169" s="12">
        <f>[1]Data!O1169</f>
        <v>6.0833333333333304</v>
      </c>
      <c r="P1169" s="12">
        <f>[1]Data!P1169</f>
        <v>0.34246575342465801</v>
      </c>
      <c r="Q1169" s="12">
        <f>[1]Data!Q1169</f>
        <v>1</v>
      </c>
      <c r="R1169" s="12">
        <f>[1]Data!R1169</f>
        <v>0</v>
      </c>
      <c r="S1169" s="12">
        <f>[1]Data!S1169</f>
        <v>0</v>
      </c>
      <c r="T1169">
        <f t="shared" si="90"/>
        <v>0.41870160810006019</v>
      </c>
      <c r="U1169">
        <f t="shared" si="91"/>
        <v>2.3883357041251743</v>
      </c>
      <c r="V1169" s="4" t="str">
        <f t="shared" si="92"/>
        <v>1</v>
      </c>
      <c r="W1169" s="4" t="str">
        <f t="shared" si="93"/>
        <v>4</v>
      </c>
      <c r="X1169" s="4" t="str">
        <f t="shared" si="94"/>
        <v>1CVCTE4</v>
      </c>
      <c r="Y1169">
        <f>VLOOKUP(X1169,Sheet1!$J$5:$K$121,2,FALSE)</f>
        <v>0.30434782608695699</v>
      </c>
    </row>
    <row r="1170" spans="1:25" x14ac:dyDescent="0.25">
      <c r="A1170" s="12">
        <f>[1]Data!A1170</f>
        <v>197600</v>
      </c>
      <c r="B1170" s="12">
        <f>[1]Data!B1170</f>
        <v>4</v>
      </c>
      <c r="C1170" s="12">
        <f>[1]Data!C1170</f>
        <v>1</v>
      </c>
      <c r="D1170" s="12">
        <f>[1]Data!D1170</f>
        <v>1</v>
      </c>
      <c r="E1170" s="12" t="str">
        <f>[1]Data!E1170</f>
        <v>CVCTE</v>
      </c>
      <c r="F1170" s="12" t="str">
        <f>[1]Data!F1170</f>
        <v>Echo Park</v>
      </c>
      <c r="G1170" s="12">
        <f>[1]Data!G1170</f>
        <v>0</v>
      </c>
      <c r="H1170" s="12">
        <f>[1]Data!H1170</f>
        <v>1</v>
      </c>
      <c r="I1170" s="12">
        <f>[1]Data!I1170</f>
        <v>30.227</v>
      </c>
      <c r="J1170" s="12">
        <f>[1]Data!J1170</f>
        <v>19.226004530000001</v>
      </c>
      <c r="K1170" s="12">
        <f>[1]Data!K1170</f>
        <v>29.226004530000001</v>
      </c>
      <c r="L1170" s="12">
        <f>[1]Data!L1170</f>
        <v>1.0005874190664299</v>
      </c>
      <c r="M1170" s="12">
        <f>[1]Data!M1170</f>
        <v>30.2265919490664</v>
      </c>
      <c r="N1170" s="12">
        <f>[1]Data!N1170</f>
        <v>0.164383561643836</v>
      </c>
      <c r="O1170" s="12">
        <f>[1]Data!O1170</f>
        <v>0</v>
      </c>
      <c r="P1170" s="12">
        <f>[1]Data!P1170</f>
        <v>0.34246575342465801</v>
      </c>
      <c r="Q1170" s="12">
        <f>[1]Data!Q1170</f>
        <v>1</v>
      </c>
      <c r="R1170" s="12">
        <f>[1]Data!R1170</f>
        <v>0.30434782608695699</v>
      </c>
      <c r="S1170" s="12">
        <f>[1]Data!S1170</f>
        <v>3.28571428571429</v>
      </c>
      <c r="T1170">
        <f t="shared" si="90"/>
        <v>0.41870160810006019</v>
      </c>
      <c r="U1170">
        <f t="shared" si="91"/>
        <v>2.3883357041251743</v>
      </c>
      <c r="V1170" s="4" t="str">
        <f t="shared" si="92"/>
        <v>1</v>
      </c>
      <c r="W1170" s="4" t="str">
        <f t="shared" si="93"/>
        <v>4</v>
      </c>
      <c r="X1170" s="4" t="str">
        <f t="shared" si="94"/>
        <v>1CVCTE4</v>
      </c>
      <c r="Y1170">
        <f>VLOOKUP(X1170,Sheet1!$J$5:$K$121,2,FALSE)</f>
        <v>0.30434782608695699</v>
      </c>
    </row>
    <row r="1171" spans="1:25" x14ac:dyDescent="0.25">
      <c r="A1171" s="12">
        <f>[1]Data!A1171</f>
        <v>185203</v>
      </c>
      <c r="B1171" s="12">
        <f>[1]Data!B1171</f>
        <v>4</v>
      </c>
      <c r="C1171" s="12">
        <f>[1]Data!C1171</f>
        <v>1</v>
      </c>
      <c r="D1171" s="12">
        <f>[1]Data!D1171</f>
        <v>1</v>
      </c>
      <c r="E1171" s="12" t="str">
        <f>[1]Data!E1171</f>
        <v>CVCTE</v>
      </c>
      <c r="F1171" s="12" t="str">
        <f>[1]Data!F1171</f>
        <v>Cypress Park</v>
      </c>
      <c r="G1171" s="12">
        <f>[1]Data!G1171</f>
        <v>1</v>
      </c>
      <c r="H1171" s="12">
        <f>[1]Data!H1171</f>
        <v>1</v>
      </c>
      <c r="I1171" s="12">
        <f>[1]Data!I1171</f>
        <v>22.173999999999999</v>
      </c>
      <c r="J1171" s="12">
        <f>[1]Data!J1171</f>
        <v>19.979987609999998</v>
      </c>
      <c r="K1171" s="12">
        <f>[1]Data!K1171</f>
        <v>20.979987609999998</v>
      </c>
      <c r="L1171" s="12">
        <f>[1]Data!L1171</f>
        <v>1.1948961514362699</v>
      </c>
      <c r="M1171" s="12">
        <f>[1]Data!M1171</f>
        <v>22.174883761436298</v>
      </c>
      <c r="N1171" s="12">
        <f>[1]Data!N1171</f>
        <v>0.164383561643836</v>
      </c>
      <c r="O1171" s="12">
        <f>[1]Data!O1171</f>
        <v>6.0833333333333304</v>
      </c>
      <c r="P1171" s="12">
        <f>[1]Data!P1171</f>
        <v>0.34246575342465801</v>
      </c>
      <c r="Q1171" s="12">
        <f>[1]Data!Q1171</f>
        <v>1</v>
      </c>
      <c r="R1171" s="12">
        <f>[1]Data!R1171</f>
        <v>0</v>
      </c>
      <c r="S1171" s="12">
        <f>[1]Data!S1171</f>
        <v>0</v>
      </c>
      <c r="T1171">
        <f t="shared" si="90"/>
        <v>0.41870160810006019</v>
      </c>
      <c r="U1171">
        <f t="shared" si="91"/>
        <v>2.3883357041251743</v>
      </c>
      <c r="V1171" s="4" t="str">
        <f t="shared" si="92"/>
        <v>1</v>
      </c>
      <c r="W1171" s="4" t="str">
        <f t="shared" si="93"/>
        <v>4</v>
      </c>
      <c r="X1171" s="4" t="str">
        <f t="shared" si="94"/>
        <v>1CVCTE4</v>
      </c>
      <c r="Y1171">
        <f>VLOOKUP(X1171,Sheet1!$J$5:$K$121,2,FALSE)</f>
        <v>0.30434782608695699</v>
      </c>
    </row>
    <row r="1172" spans="1:25" x14ac:dyDescent="0.25">
      <c r="A1172" s="12">
        <f>[1]Data!A1172</f>
        <v>199120</v>
      </c>
      <c r="B1172" s="12">
        <f>[1]Data!B1172</f>
        <v>4</v>
      </c>
      <c r="C1172" s="12">
        <f>[1]Data!C1172</f>
        <v>1</v>
      </c>
      <c r="D1172" s="12">
        <f>[1]Data!D1172</f>
        <v>1</v>
      </c>
      <c r="E1172" s="12" t="str">
        <f>[1]Data!E1172</f>
        <v>CVCTE</v>
      </c>
      <c r="F1172" s="12" t="str">
        <f>[1]Data!F1172</f>
        <v>Lincoln Heights</v>
      </c>
      <c r="G1172" s="12">
        <f>[1]Data!G1172</f>
        <v>0</v>
      </c>
      <c r="H1172" s="12">
        <f>[1]Data!H1172</f>
        <v>0</v>
      </c>
      <c r="I1172" s="12">
        <f>[1]Data!I1172</f>
        <v>23.745000000000001</v>
      </c>
      <c r="J1172" s="12">
        <f>[1]Data!J1172</f>
        <v>20.789166519999998</v>
      </c>
      <c r="K1172" s="12">
        <f>[1]Data!K1172</f>
        <v>22.789166519999998</v>
      </c>
      <c r="L1172" s="12">
        <f>[1]Data!L1172</f>
        <v>0.95534909096947895</v>
      </c>
      <c r="M1172" s="12">
        <f>[1]Data!M1172</f>
        <v>23.744515610969501</v>
      </c>
      <c r="N1172" s="12">
        <f>[1]Data!N1172</f>
        <v>0.164383561643836</v>
      </c>
      <c r="O1172" s="12">
        <f>[1]Data!O1172</f>
        <v>0</v>
      </c>
      <c r="P1172" s="12">
        <f>[1]Data!P1172</f>
        <v>0.34246575342465801</v>
      </c>
      <c r="Q1172" s="12">
        <f>[1]Data!Q1172</f>
        <v>1</v>
      </c>
      <c r="R1172" s="12">
        <f>[1]Data!R1172</f>
        <v>0.30434782608695699</v>
      </c>
      <c r="S1172" s="12">
        <f>[1]Data!S1172</f>
        <v>0</v>
      </c>
      <c r="T1172">
        <f t="shared" si="90"/>
        <v>0.41870160810006019</v>
      </c>
      <c r="U1172">
        <f t="shared" si="91"/>
        <v>0</v>
      </c>
      <c r="V1172" s="4" t="str">
        <f t="shared" si="92"/>
        <v>1</v>
      </c>
      <c r="W1172" s="4" t="str">
        <f t="shared" si="93"/>
        <v>4</v>
      </c>
      <c r="X1172" s="4" t="str">
        <f t="shared" si="94"/>
        <v>1CVCTE4</v>
      </c>
      <c r="Y1172">
        <f>VLOOKUP(X1172,Sheet1!$J$5:$K$121,2,FALSE)</f>
        <v>0.30434782608695699</v>
      </c>
    </row>
    <row r="1173" spans="1:25" x14ac:dyDescent="0.25">
      <c r="A1173" s="12">
        <f>[1]Data!A1173</f>
        <v>199000</v>
      </c>
      <c r="B1173" s="12">
        <f>[1]Data!B1173</f>
        <v>4</v>
      </c>
      <c r="C1173" s="12">
        <f>[1]Data!C1173</f>
        <v>1</v>
      </c>
      <c r="D1173" s="12">
        <f>[1]Data!D1173</f>
        <v>1</v>
      </c>
      <c r="E1173" s="12" t="str">
        <f>[1]Data!E1173</f>
        <v>CVCTE</v>
      </c>
      <c r="F1173" s="12" t="str">
        <f>[1]Data!F1173</f>
        <v>Lincoln Heights</v>
      </c>
      <c r="G1173" s="12">
        <f>[1]Data!G1173</f>
        <v>0</v>
      </c>
      <c r="H1173" s="12">
        <f>[1]Data!H1173</f>
        <v>0</v>
      </c>
      <c r="I1173" s="12">
        <f>[1]Data!I1173</f>
        <v>101.76300000000001</v>
      </c>
      <c r="J1173" s="12">
        <f>[1]Data!J1173</f>
        <v>82.580748209999996</v>
      </c>
      <c r="K1173" s="12">
        <f>[1]Data!K1173</f>
        <v>99.580748209999996</v>
      </c>
      <c r="L1173" s="12">
        <f>[1]Data!L1173</f>
        <v>2.1811607179712702</v>
      </c>
      <c r="M1173" s="12">
        <f>[1]Data!M1173</f>
        <v>101.76190892797101</v>
      </c>
      <c r="N1173" s="12">
        <f>[1]Data!N1173</f>
        <v>0.164383561643836</v>
      </c>
      <c r="O1173" s="12">
        <f>[1]Data!O1173</f>
        <v>0</v>
      </c>
      <c r="P1173" s="12">
        <f>[1]Data!P1173</f>
        <v>0.34246575342465801</v>
      </c>
      <c r="Q1173" s="12">
        <f>[1]Data!Q1173</f>
        <v>1</v>
      </c>
      <c r="R1173" s="12">
        <f>[1]Data!R1173</f>
        <v>0.30434782608695699</v>
      </c>
      <c r="S1173" s="12">
        <f>[1]Data!S1173</f>
        <v>0</v>
      </c>
      <c r="T1173">
        <f t="shared" si="90"/>
        <v>0.41870160810006019</v>
      </c>
      <c r="U1173">
        <f t="shared" si="91"/>
        <v>0</v>
      </c>
      <c r="V1173" s="4" t="str">
        <f t="shared" si="92"/>
        <v>1</v>
      </c>
      <c r="W1173" s="4" t="str">
        <f t="shared" si="93"/>
        <v>4</v>
      </c>
      <c r="X1173" s="4" t="str">
        <f t="shared" si="94"/>
        <v>1CVCTE4</v>
      </c>
      <c r="Y1173">
        <f>VLOOKUP(X1173,Sheet1!$J$5:$K$121,2,FALSE)</f>
        <v>0.30434782608695699</v>
      </c>
    </row>
    <row r="1174" spans="1:25" x14ac:dyDescent="0.25">
      <c r="A1174" s="12">
        <f>[1]Data!A1174</f>
        <v>199800</v>
      </c>
      <c r="B1174" s="12">
        <f>[1]Data!B1174</f>
        <v>4</v>
      </c>
      <c r="C1174" s="12">
        <f>[1]Data!C1174</f>
        <v>1</v>
      </c>
      <c r="D1174" s="12">
        <f>[1]Data!D1174</f>
        <v>1</v>
      </c>
      <c r="E1174" s="12" t="str">
        <f>[1]Data!E1174</f>
        <v>CVCTE</v>
      </c>
      <c r="F1174" s="12" t="str">
        <f>[1]Data!F1174</f>
        <v>Lincoln Heights</v>
      </c>
      <c r="G1174" s="12">
        <f>[1]Data!G1174</f>
        <v>0</v>
      </c>
      <c r="H1174" s="12">
        <f>[1]Data!H1174</f>
        <v>0</v>
      </c>
      <c r="I1174" s="12">
        <f>[1]Data!I1174</f>
        <v>8.5960000000000001</v>
      </c>
      <c r="J1174" s="12">
        <f>[1]Data!J1174</f>
        <v>7.3299825600000004</v>
      </c>
      <c r="K1174" s="12">
        <f>[1]Data!K1174</f>
        <v>8.3299825599999995</v>
      </c>
      <c r="L1174" s="12">
        <f>[1]Data!L1174</f>
        <v>0.26532906628366199</v>
      </c>
      <c r="M1174" s="12">
        <f>[1]Data!M1174</f>
        <v>8.5953116262836602</v>
      </c>
      <c r="N1174" s="12">
        <f>[1]Data!N1174</f>
        <v>0.164383561643836</v>
      </c>
      <c r="O1174" s="12">
        <f>[1]Data!O1174</f>
        <v>0</v>
      </c>
      <c r="P1174" s="12">
        <f>[1]Data!P1174</f>
        <v>0.34246575342465801</v>
      </c>
      <c r="Q1174" s="12">
        <f>[1]Data!Q1174</f>
        <v>1</v>
      </c>
      <c r="R1174" s="12">
        <f>[1]Data!R1174</f>
        <v>0.30434782608695699</v>
      </c>
      <c r="S1174" s="12">
        <f>[1]Data!S1174</f>
        <v>0</v>
      </c>
      <c r="T1174">
        <f t="shared" si="90"/>
        <v>0.41870160810006019</v>
      </c>
      <c r="U1174">
        <f t="shared" si="91"/>
        <v>0</v>
      </c>
      <c r="V1174" s="4" t="str">
        <f t="shared" si="92"/>
        <v>1</v>
      </c>
      <c r="W1174" s="4" t="str">
        <f t="shared" si="93"/>
        <v>4</v>
      </c>
      <c r="X1174" s="4" t="str">
        <f t="shared" si="94"/>
        <v>1CVCTE4</v>
      </c>
      <c r="Y1174">
        <f>VLOOKUP(X1174,Sheet1!$J$5:$K$121,2,FALSE)</f>
        <v>0.30434782608695699</v>
      </c>
    </row>
    <row r="1175" spans="1:25" x14ac:dyDescent="0.25">
      <c r="A1175" s="12">
        <f>[1]Data!A1175</f>
        <v>209200</v>
      </c>
      <c r="B1175" s="12">
        <f>[1]Data!B1175</f>
        <v>4</v>
      </c>
      <c r="C1175" s="12">
        <f>[1]Data!C1175</f>
        <v>1</v>
      </c>
      <c r="D1175" s="12">
        <f>[1]Data!D1175</f>
        <v>1</v>
      </c>
      <c r="E1175" s="12" t="str">
        <f>[1]Data!E1175</f>
        <v>CVCTE</v>
      </c>
      <c r="F1175" s="12" t="str">
        <f>[1]Data!F1175</f>
        <v>Downtown Los Angeles</v>
      </c>
      <c r="G1175" s="12">
        <f>[1]Data!G1175</f>
        <v>0</v>
      </c>
      <c r="H1175" s="12">
        <f>[1]Data!H1175</f>
        <v>1</v>
      </c>
      <c r="I1175" s="12">
        <f>[1]Data!I1175</f>
        <v>31.245000000000001</v>
      </c>
      <c r="J1175" s="12">
        <f>[1]Data!J1175</f>
        <v>26.900665920000002</v>
      </c>
      <c r="K1175" s="12">
        <f>[1]Data!K1175</f>
        <v>30.900665920000002</v>
      </c>
      <c r="L1175" s="12">
        <f>[1]Data!L1175</f>
        <v>0.34387090815080801</v>
      </c>
      <c r="M1175" s="12">
        <f>[1]Data!M1175</f>
        <v>31.2445368281508</v>
      </c>
      <c r="N1175" s="12">
        <f>[1]Data!N1175</f>
        <v>0.164383561643836</v>
      </c>
      <c r="O1175" s="12">
        <f>[1]Data!O1175</f>
        <v>0</v>
      </c>
      <c r="P1175" s="12">
        <f>[1]Data!P1175</f>
        <v>0.34246575342465801</v>
      </c>
      <c r="Q1175" s="12">
        <f>[1]Data!Q1175</f>
        <v>1</v>
      </c>
      <c r="R1175" s="12">
        <f>[1]Data!R1175</f>
        <v>0.30434782608695699</v>
      </c>
      <c r="S1175" s="12">
        <f>[1]Data!S1175</f>
        <v>3.28571428571429</v>
      </c>
      <c r="T1175">
        <f t="shared" si="90"/>
        <v>0.41870160810006019</v>
      </c>
      <c r="U1175">
        <f t="shared" si="91"/>
        <v>2.3883357041251743</v>
      </c>
      <c r="V1175" s="4" t="str">
        <f t="shared" si="92"/>
        <v>1</v>
      </c>
      <c r="W1175" s="4" t="str">
        <f t="shared" si="93"/>
        <v>4</v>
      </c>
      <c r="X1175" s="4" t="str">
        <f t="shared" si="94"/>
        <v>1CVCTE4</v>
      </c>
      <c r="Y1175">
        <f>VLOOKUP(X1175,Sheet1!$J$5:$K$121,2,FALSE)</f>
        <v>0.30434782608695699</v>
      </c>
    </row>
    <row r="1176" spans="1:25" x14ac:dyDescent="0.25">
      <c r="A1176" s="12">
        <f>[1]Data!A1176</f>
        <v>185320</v>
      </c>
      <c r="B1176" s="12">
        <f>[1]Data!B1176</f>
        <v>4</v>
      </c>
      <c r="C1176" s="12">
        <f>[1]Data!C1176</f>
        <v>1</v>
      </c>
      <c r="D1176" s="12">
        <f>[1]Data!D1176</f>
        <v>1</v>
      </c>
      <c r="E1176" s="12" t="str">
        <f>[1]Data!E1176</f>
        <v>CVCTE</v>
      </c>
      <c r="F1176" s="12" t="str">
        <f>[1]Data!F1176</f>
        <v>Cypress Park</v>
      </c>
      <c r="G1176" s="12">
        <f>[1]Data!G1176</f>
        <v>0</v>
      </c>
      <c r="H1176" s="12">
        <f>[1]Data!H1176</f>
        <v>0</v>
      </c>
      <c r="I1176" s="12">
        <f>[1]Data!I1176</f>
        <v>12.327</v>
      </c>
      <c r="J1176" s="12">
        <f>[1]Data!J1176</f>
        <v>8.91622834</v>
      </c>
      <c r="K1176" s="12">
        <f>[1]Data!K1176</f>
        <v>11.91622834</v>
      </c>
      <c r="L1176" s="12">
        <f>[1]Data!L1176</f>
        <v>0.411114642531418</v>
      </c>
      <c r="M1176" s="12">
        <f>[1]Data!M1176</f>
        <v>12.3273429825314</v>
      </c>
      <c r="N1176" s="12">
        <f>[1]Data!N1176</f>
        <v>0.164383561643836</v>
      </c>
      <c r="O1176" s="12">
        <f>[1]Data!O1176</f>
        <v>0</v>
      </c>
      <c r="P1176" s="12">
        <f>[1]Data!P1176</f>
        <v>0.34246575342465801</v>
      </c>
      <c r="Q1176" s="12">
        <f>[1]Data!Q1176</f>
        <v>1</v>
      </c>
      <c r="R1176" s="12">
        <f>[1]Data!R1176</f>
        <v>0.30434782608695699</v>
      </c>
      <c r="S1176" s="12">
        <f>[1]Data!S1176</f>
        <v>0</v>
      </c>
      <c r="T1176">
        <f t="shared" si="90"/>
        <v>0.41870160810006019</v>
      </c>
      <c r="U1176">
        <f t="shared" si="91"/>
        <v>0</v>
      </c>
      <c r="V1176" s="4" t="str">
        <f t="shared" si="92"/>
        <v>1</v>
      </c>
      <c r="W1176" s="4" t="str">
        <f t="shared" si="93"/>
        <v>4</v>
      </c>
      <c r="X1176" s="4" t="str">
        <f t="shared" si="94"/>
        <v>1CVCTE4</v>
      </c>
      <c r="Y1176">
        <f>VLOOKUP(X1176,Sheet1!$J$5:$K$121,2,FALSE)</f>
        <v>0.30434782608695699</v>
      </c>
    </row>
    <row r="1177" spans="1:25" x14ac:dyDescent="0.25">
      <c r="A1177" s="12">
        <f>[1]Data!A1177</f>
        <v>183610</v>
      </c>
      <c r="B1177" s="12">
        <f>[1]Data!B1177</f>
        <v>4</v>
      </c>
      <c r="C1177" s="12">
        <f>[1]Data!C1177</f>
        <v>1</v>
      </c>
      <c r="D1177" s="12">
        <f>[1]Data!D1177</f>
        <v>1</v>
      </c>
      <c r="E1177" s="12" t="str">
        <f>[1]Data!E1177</f>
        <v>CVCTE</v>
      </c>
      <c r="F1177" s="12" t="str">
        <f>[1]Data!F1177</f>
        <v>Highland Park</v>
      </c>
      <c r="G1177" s="12">
        <f>[1]Data!G1177</f>
        <v>0</v>
      </c>
      <c r="H1177" s="12">
        <f>[1]Data!H1177</f>
        <v>0</v>
      </c>
      <c r="I1177" s="12">
        <f>[1]Data!I1177</f>
        <v>23.222999999999999</v>
      </c>
      <c r="J1177" s="12">
        <f>[1]Data!J1177</f>
        <v>20.195103490000001</v>
      </c>
      <c r="K1177" s="12">
        <f>[1]Data!K1177</f>
        <v>22.195103490000001</v>
      </c>
      <c r="L1177" s="12">
        <f>[1]Data!L1177</f>
        <v>1.02788237628366</v>
      </c>
      <c r="M1177" s="12">
        <f>[1]Data!M1177</f>
        <v>23.2229858662837</v>
      </c>
      <c r="N1177" s="12">
        <f>[1]Data!N1177</f>
        <v>0.164383561643836</v>
      </c>
      <c r="O1177" s="12">
        <f>[1]Data!O1177</f>
        <v>0</v>
      </c>
      <c r="P1177" s="12">
        <f>[1]Data!P1177</f>
        <v>0.34246575342465801</v>
      </c>
      <c r="Q1177" s="12">
        <f>[1]Data!Q1177</f>
        <v>1</v>
      </c>
      <c r="R1177" s="12">
        <f>[1]Data!R1177</f>
        <v>0.30434782608695699</v>
      </c>
      <c r="S1177" s="12">
        <f>[1]Data!S1177</f>
        <v>0</v>
      </c>
      <c r="T1177">
        <f t="shared" si="90"/>
        <v>0.41870160810006019</v>
      </c>
      <c r="U1177">
        <f t="shared" si="91"/>
        <v>0</v>
      </c>
      <c r="V1177" s="4" t="str">
        <f t="shared" si="92"/>
        <v>1</v>
      </c>
      <c r="W1177" s="4" t="str">
        <f t="shared" si="93"/>
        <v>4</v>
      </c>
      <c r="X1177" s="4" t="str">
        <f t="shared" si="94"/>
        <v>1CVCTE4</v>
      </c>
      <c r="Y1177">
        <f>VLOOKUP(X1177,Sheet1!$J$5:$K$121,2,FALSE)</f>
        <v>0.30434782608695699</v>
      </c>
    </row>
    <row r="1178" spans="1:25" x14ac:dyDescent="0.25">
      <c r="A1178" s="12">
        <f>[1]Data!A1178</f>
        <v>207102</v>
      </c>
      <c r="B1178" s="12">
        <f>[1]Data!B1178</f>
        <v>4</v>
      </c>
      <c r="C1178" s="12">
        <f>[1]Data!C1178</f>
        <v>1</v>
      </c>
      <c r="D1178" s="12">
        <f>[1]Data!D1178</f>
        <v>1</v>
      </c>
      <c r="E1178" s="12" t="str">
        <f>[1]Data!E1178</f>
        <v>CVCTE</v>
      </c>
      <c r="F1178" s="12" t="str">
        <f>[1]Data!F1178</f>
        <v>Chinatown</v>
      </c>
      <c r="G1178" s="12">
        <f>[1]Data!G1178</f>
        <v>0</v>
      </c>
      <c r="H1178" s="12">
        <f>[1]Data!H1178</f>
        <v>0</v>
      </c>
      <c r="I1178" s="12">
        <f>[1]Data!I1178</f>
        <v>189.20099999999999</v>
      </c>
      <c r="J1178" s="12">
        <f>[1]Data!J1178</f>
        <v>139.52968758</v>
      </c>
      <c r="K1178" s="12">
        <f>[1]Data!K1178</f>
        <v>187.52968758</v>
      </c>
      <c r="L1178" s="12">
        <f>[1]Data!L1178</f>
        <v>1.67186431868941</v>
      </c>
      <c r="M1178" s="12">
        <f>[1]Data!M1178</f>
        <v>189.20155189868899</v>
      </c>
      <c r="N1178" s="12">
        <f>[1]Data!N1178</f>
        <v>0.164383561643836</v>
      </c>
      <c r="O1178" s="12">
        <f>[1]Data!O1178</f>
        <v>0</v>
      </c>
      <c r="P1178" s="12">
        <f>[1]Data!P1178</f>
        <v>0.34246575342465801</v>
      </c>
      <c r="Q1178" s="12">
        <f>[1]Data!Q1178</f>
        <v>1</v>
      </c>
      <c r="R1178" s="12">
        <f>[1]Data!R1178</f>
        <v>0.30434782608695699</v>
      </c>
      <c r="S1178" s="12">
        <f>[1]Data!S1178</f>
        <v>0</v>
      </c>
      <c r="T1178">
        <f t="shared" si="90"/>
        <v>0.41870160810006019</v>
      </c>
      <c r="U1178">
        <f t="shared" si="91"/>
        <v>0</v>
      </c>
      <c r="V1178" s="4" t="str">
        <f t="shared" si="92"/>
        <v>1</v>
      </c>
      <c r="W1178" s="4" t="str">
        <f t="shared" si="93"/>
        <v>4</v>
      </c>
      <c r="X1178" s="4" t="str">
        <f t="shared" si="94"/>
        <v>1CVCTE4</v>
      </c>
      <c r="Y1178">
        <f>VLOOKUP(X1178,Sheet1!$J$5:$K$121,2,FALSE)</f>
        <v>0.30434782608695699</v>
      </c>
    </row>
    <row r="1179" spans="1:25" x14ac:dyDescent="0.25">
      <c r="A1179" s="12">
        <f>[1]Data!A1179</f>
        <v>209300</v>
      </c>
      <c r="B1179" s="12">
        <f>[1]Data!B1179</f>
        <v>4</v>
      </c>
      <c r="C1179" s="12">
        <f>[1]Data!C1179</f>
        <v>1</v>
      </c>
      <c r="D1179" s="12">
        <f>[1]Data!D1179</f>
        <v>1</v>
      </c>
      <c r="E1179" s="12" t="str">
        <f>[1]Data!E1179</f>
        <v>CVCTE</v>
      </c>
      <c r="F1179" s="12" t="str">
        <f>[1]Data!F1179</f>
        <v>Westlake</v>
      </c>
      <c r="G1179" s="12">
        <f>[1]Data!G1179</f>
        <v>0</v>
      </c>
      <c r="H1179" s="12">
        <f>[1]Data!H1179</f>
        <v>1</v>
      </c>
      <c r="I1179" s="12">
        <f>[1]Data!I1179</f>
        <v>50.595999999999997</v>
      </c>
      <c r="J1179" s="12">
        <f>[1]Data!J1179</f>
        <v>42.633086740000003</v>
      </c>
      <c r="K1179" s="12">
        <f>[1]Data!K1179</f>
        <v>49.633086740000003</v>
      </c>
      <c r="L1179" s="12">
        <f>[1]Data!L1179</f>
        <v>0.96223575626570901</v>
      </c>
      <c r="M1179" s="12">
        <f>[1]Data!M1179</f>
        <v>50.595322496265702</v>
      </c>
      <c r="N1179" s="12">
        <f>[1]Data!N1179</f>
        <v>0.164383561643836</v>
      </c>
      <c r="O1179" s="12">
        <f>[1]Data!O1179</f>
        <v>0</v>
      </c>
      <c r="P1179" s="12">
        <f>[1]Data!P1179</f>
        <v>0.34246575342465801</v>
      </c>
      <c r="Q1179" s="12">
        <f>[1]Data!Q1179</f>
        <v>1</v>
      </c>
      <c r="R1179" s="12">
        <f>[1]Data!R1179</f>
        <v>0.30434782608695699</v>
      </c>
      <c r="S1179" s="12">
        <f>[1]Data!S1179</f>
        <v>3.28571428571429</v>
      </c>
      <c r="T1179">
        <f t="shared" si="90"/>
        <v>0.41870160810006019</v>
      </c>
      <c r="U1179">
        <f t="shared" si="91"/>
        <v>2.3883357041251743</v>
      </c>
      <c r="V1179" s="4" t="str">
        <f t="shared" si="92"/>
        <v>1</v>
      </c>
      <c r="W1179" s="4" t="str">
        <f t="shared" si="93"/>
        <v>4</v>
      </c>
      <c r="X1179" s="4" t="str">
        <f t="shared" si="94"/>
        <v>1CVCTE4</v>
      </c>
      <c r="Y1179">
        <f>VLOOKUP(X1179,Sheet1!$J$5:$K$121,2,FALSE)</f>
        <v>0.30434782608695699</v>
      </c>
    </row>
    <row r="1180" spans="1:25" x14ac:dyDescent="0.25">
      <c r="A1180" s="12">
        <f>[1]Data!A1180</f>
        <v>199900</v>
      </c>
      <c r="B1180" s="12">
        <f>[1]Data!B1180</f>
        <v>4</v>
      </c>
      <c r="C1180" s="12">
        <f>[1]Data!C1180</f>
        <v>1</v>
      </c>
      <c r="D1180" s="12">
        <f>[1]Data!D1180</f>
        <v>1</v>
      </c>
      <c r="E1180" s="12" t="str">
        <f>[1]Data!E1180</f>
        <v>CVCTE</v>
      </c>
      <c r="F1180" s="12" t="str">
        <f>[1]Data!F1180</f>
        <v>Lincoln Heights</v>
      </c>
      <c r="G1180" s="12">
        <f>[1]Data!G1180</f>
        <v>0</v>
      </c>
      <c r="H1180" s="12">
        <f>[1]Data!H1180</f>
        <v>0</v>
      </c>
      <c r="I1180" s="12">
        <f>[1]Data!I1180</f>
        <v>14.569000000000001</v>
      </c>
      <c r="J1180" s="12">
        <f>[1]Data!J1180</f>
        <v>11.902197960000001</v>
      </c>
      <c r="K1180" s="12">
        <f>[1]Data!K1180</f>
        <v>13.902197960000001</v>
      </c>
      <c r="L1180" s="12">
        <f>[1]Data!L1180</f>
        <v>0.66703560829443398</v>
      </c>
      <c r="M1180" s="12">
        <f>[1]Data!M1180</f>
        <v>14.569233568294401</v>
      </c>
      <c r="N1180" s="12">
        <f>[1]Data!N1180</f>
        <v>0.164383561643836</v>
      </c>
      <c r="O1180" s="12">
        <f>[1]Data!O1180</f>
        <v>0</v>
      </c>
      <c r="P1180" s="12">
        <f>[1]Data!P1180</f>
        <v>0.34246575342465801</v>
      </c>
      <c r="Q1180" s="12">
        <f>[1]Data!Q1180</f>
        <v>1</v>
      </c>
      <c r="R1180" s="12">
        <f>[1]Data!R1180</f>
        <v>0.30434782608695699</v>
      </c>
      <c r="S1180" s="12">
        <f>[1]Data!S1180</f>
        <v>0</v>
      </c>
      <c r="T1180">
        <f t="shared" si="90"/>
        <v>0.41870160810006019</v>
      </c>
      <c r="U1180">
        <f t="shared" si="91"/>
        <v>0</v>
      </c>
      <c r="V1180" s="4" t="str">
        <f t="shared" si="92"/>
        <v>1</v>
      </c>
      <c r="W1180" s="4" t="str">
        <f t="shared" si="93"/>
        <v>4</v>
      </c>
      <c r="X1180" s="4" t="str">
        <f t="shared" si="94"/>
        <v>1CVCTE4</v>
      </c>
      <c r="Y1180">
        <f>VLOOKUP(X1180,Sheet1!$J$5:$K$121,2,FALSE)</f>
        <v>0.30434782608695699</v>
      </c>
    </row>
    <row r="1181" spans="1:25" x14ac:dyDescent="0.25">
      <c r="A1181" s="12">
        <f>[1]Data!A1181</f>
        <v>186202</v>
      </c>
      <c r="B1181" s="12">
        <f>[1]Data!B1181</f>
        <v>4</v>
      </c>
      <c r="C1181" s="12">
        <f>[1]Data!C1181</f>
        <v>1</v>
      </c>
      <c r="D1181" s="12">
        <f>[1]Data!D1181</f>
        <v>1</v>
      </c>
      <c r="E1181" s="12" t="str">
        <f>[1]Data!E1181</f>
        <v>CVCTE</v>
      </c>
      <c r="F1181" s="12" t="str">
        <f>[1]Data!F1181</f>
        <v>Eagle Rock</v>
      </c>
      <c r="G1181" s="12">
        <f>[1]Data!G1181</f>
        <v>0</v>
      </c>
      <c r="H1181" s="12">
        <f>[1]Data!H1181</f>
        <v>1</v>
      </c>
      <c r="I1181" s="12">
        <f>[1]Data!I1181</f>
        <v>24.207999999999998</v>
      </c>
      <c r="J1181" s="12">
        <f>[1]Data!J1181</f>
        <v>22.521077040000002</v>
      </c>
      <c r="K1181" s="12">
        <f>[1]Data!K1181</f>
        <v>22.521077040000002</v>
      </c>
      <c r="L1181" s="12">
        <f>[1]Data!L1181</f>
        <v>1.6869202465170601</v>
      </c>
      <c r="M1181" s="12">
        <f>[1]Data!M1181</f>
        <v>24.207997286517099</v>
      </c>
      <c r="N1181" s="12">
        <f>[1]Data!N1181</f>
        <v>0.164383561643836</v>
      </c>
      <c r="O1181" s="12">
        <f>[1]Data!O1181</f>
        <v>0</v>
      </c>
      <c r="P1181" s="12">
        <f>[1]Data!P1181</f>
        <v>0.34246575342465801</v>
      </c>
      <c r="Q1181" s="12">
        <f>[1]Data!Q1181</f>
        <v>1</v>
      </c>
      <c r="R1181" s="12">
        <f>[1]Data!R1181</f>
        <v>0.30434782608695699</v>
      </c>
      <c r="S1181" s="12">
        <f>[1]Data!S1181</f>
        <v>3.28571428571429</v>
      </c>
      <c r="T1181">
        <f t="shared" si="90"/>
        <v>0.41870160810006019</v>
      </c>
      <c r="U1181">
        <f t="shared" si="91"/>
        <v>2.3883357041251743</v>
      </c>
      <c r="V1181" s="4" t="str">
        <f t="shared" si="92"/>
        <v>1</v>
      </c>
      <c r="W1181" s="4" t="str">
        <f t="shared" si="93"/>
        <v>4</v>
      </c>
      <c r="X1181" s="4" t="str">
        <f t="shared" si="94"/>
        <v>1CVCTE4</v>
      </c>
      <c r="Y1181">
        <f>VLOOKUP(X1181,Sheet1!$J$5:$K$121,2,FALSE)</f>
        <v>0.30434782608695699</v>
      </c>
    </row>
    <row r="1182" spans="1:25" x14ac:dyDescent="0.25">
      <c r="A1182" s="12">
        <f>[1]Data!A1182</f>
        <v>185100</v>
      </c>
      <c r="B1182" s="12">
        <f>[1]Data!B1182</f>
        <v>4</v>
      </c>
      <c r="C1182" s="12">
        <f>[1]Data!C1182</f>
        <v>1</v>
      </c>
      <c r="D1182" s="12">
        <f>[1]Data!D1182</f>
        <v>1</v>
      </c>
      <c r="E1182" s="12" t="str">
        <f>[1]Data!E1182</f>
        <v>CVCTE</v>
      </c>
      <c r="F1182" s="12" t="str">
        <f>[1]Data!F1182</f>
        <v>Eagle Rock</v>
      </c>
      <c r="G1182" s="12">
        <f>[1]Data!G1182</f>
        <v>0</v>
      </c>
      <c r="H1182" s="12">
        <f>[1]Data!H1182</f>
        <v>0</v>
      </c>
      <c r="I1182" s="12">
        <f>[1]Data!I1182</f>
        <v>38.823</v>
      </c>
      <c r="J1182" s="12">
        <f>[1]Data!J1182</f>
        <v>35.457388340000001</v>
      </c>
      <c r="K1182" s="12">
        <f>[1]Data!K1182</f>
        <v>37.457388340000001</v>
      </c>
      <c r="L1182" s="12">
        <f>[1]Data!L1182</f>
        <v>1.36535061994614</v>
      </c>
      <c r="M1182" s="12">
        <f>[1]Data!M1182</f>
        <v>38.822738959946101</v>
      </c>
      <c r="N1182" s="12">
        <f>[1]Data!N1182</f>
        <v>0.164383561643836</v>
      </c>
      <c r="O1182" s="12">
        <f>[1]Data!O1182</f>
        <v>0</v>
      </c>
      <c r="P1182" s="12">
        <f>[1]Data!P1182</f>
        <v>0.34246575342465801</v>
      </c>
      <c r="Q1182" s="12">
        <f>[1]Data!Q1182</f>
        <v>1</v>
      </c>
      <c r="R1182" s="12">
        <f>[1]Data!R1182</f>
        <v>0.30434782608695699</v>
      </c>
      <c r="S1182" s="12">
        <f>[1]Data!S1182</f>
        <v>0</v>
      </c>
      <c r="T1182">
        <f t="shared" si="90"/>
        <v>0.41870160810006019</v>
      </c>
      <c r="U1182">
        <f t="shared" si="91"/>
        <v>0</v>
      </c>
      <c r="V1182" s="4" t="str">
        <f t="shared" si="92"/>
        <v>1</v>
      </c>
      <c r="W1182" s="4" t="str">
        <f t="shared" si="93"/>
        <v>4</v>
      </c>
      <c r="X1182" s="4" t="str">
        <f t="shared" si="94"/>
        <v>1CVCTE4</v>
      </c>
      <c r="Y1182">
        <f>VLOOKUP(X1182,Sheet1!$J$5:$K$121,2,FALSE)</f>
        <v>0.30434782608695699</v>
      </c>
    </row>
    <row r="1183" spans="1:25" x14ac:dyDescent="0.25">
      <c r="A1183" s="8">
        <f>[1]Data!A1183</f>
        <v>208801</v>
      </c>
      <c r="B1183" s="8">
        <f>[1]Data!B1183</f>
        <v>4</v>
      </c>
      <c r="C1183" s="8">
        <f>[1]Data!C1183</f>
        <v>1</v>
      </c>
      <c r="D1183" s="8">
        <f>[1]Data!D1183</f>
        <v>1</v>
      </c>
      <c r="E1183" s="8" t="str">
        <f>[1]Data!E1183</f>
        <v>FAMILY</v>
      </c>
      <c r="F1183" s="8" t="str">
        <f>[1]Data!F1183</f>
        <v>Westlake</v>
      </c>
      <c r="G1183" s="8">
        <f>[1]Data!G1183</f>
        <v>1</v>
      </c>
      <c r="H1183" s="8">
        <f>[1]Data!H1183</f>
        <v>1</v>
      </c>
      <c r="I1183" s="8">
        <f>[1]Data!I1183</f>
        <v>255.416</v>
      </c>
      <c r="J1183" s="8">
        <f>[1]Data!J1183</f>
        <v>182.88699588</v>
      </c>
      <c r="K1183" s="8">
        <f>[1]Data!K1183</f>
        <v>252.88699588</v>
      </c>
      <c r="L1183" s="8">
        <f>[1]Data!L1183</f>
        <v>11.5289680352065</v>
      </c>
      <c r="M1183" s="8">
        <f>[1]Data!M1183</f>
        <v>264.41596391520602</v>
      </c>
      <c r="N1183" s="8">
        <f>[1]Data!N1183</f>
        <v>1</v>
      </c>
      <c r="O1183" s="8">
        <f>[1]Data!O1183</f>
        <v>1</v>
      </c>
      <c r="P1183" s="8">
        <f>[1]Data!P1183</f>
        <v>0</v>
      </c>
      <c r="Q1183" s="8">
        <f>[1]Data!Q1183</f>
        <v>0</v>
      </c>
      <c r="R1183" s="8">
        <f>[1]Data!R1183</f>
        <v>0</v>
      </c>
      <c r="S1183" s="8">
        <f>[1]Data!S1183</f>
        <v>0</v>
      </c>
      <c r="T1183">
        <f t="shared" si="90"/>
        <v>1</v>
      </c>
      <c r="U1183">
        <f t="shared" si="91"/>
        <v>1</v>
      </c>
      <c r="V1183" s="4" t="str">
        <f t="shared" si="92"/>
        <v>1</v>
      </c>
      <c r="W1183" s="4" t="str">
        <f t="shared" si="93"/>
        <v>4</v>
      </c>
      <c r="X1183" s="4" t="str">
        <f t="shared" si="94"/>
        <v>1FAMILY4</v>
      </c>
      <c r="Y1183">
        <f>VLOOKUP(X1183,Sheet1!$J$5:$K$121,2,FALSE)</f>
        <v>0</v>
      </c>
    </row>
    <row r="1184" spans="1:25" x14ac:dyDescent="0.25">
      <c r="A1184" s="8">
        <f>[1]Data!A1184</f>
        <v>209510</v>
      </c>
      <c r="B1184" s="8">
        <f>[1]Data!B1184</f>
        <v>4</v>
      </c>
      <c r="C1184" s="8">
        <f>[1]Data!C1184</f>
        <v>1</v>
      </c>
      <c r="D1184" s="8">
        <f>[1]Data!D1184</f>
        <v>1</v>
      </c>
      <c r="E1184" s="8" t="str">
        <f>[1]Data!E1184</f>
        <v>FAMILY</v>
      </c>
      <c r="F1184" s="8" t="str">
        <f>[1]Data!F1184</f>
        <v>Westlake</v>
      </c>
      <c r="G1184" s="8">
        <f>[1]Data!G1184</f>
        <v>1</v>
      </c>
      <c r="H1184" s="8">
        <f>[1]Data!H1184</f>
        <v>1</v>
      </c>
      <c r="I1184" s="8">
        <f>[1]Data!I1184</f>
        <v>26.742999999999999</v>
      </c>
      <c r="J1184" s="8">
        <f>[1]Data!J1184</f>
        <v>19.890414839999998</v>
      </c>
      <c r="K1184" s="8">
        <f>[1]Data!K1184</f>
        <v>25.890414839999998</v>
      </c>
      <c r="L1184" s="8">
        <f>[1]Data!L1184</f>
        <v>7.8524542475762997</v>
      </c>
      <c r="M1184" s="8">
        <f>[1]Data!M1184</f>
        <v>33.742869087576302</v>
      </c>
      <c r="N1184" s="8">
        <f>[1]Data!N1184</f>
        <v>1</v>
      </c>
      <c r="O1184" s="8">
        <f>[1]Data!O1184</f>
        <v>1</v>
      </c>
      <c r="P1184" s="8">
        <f>[1]Data!P1184</f>
        <v>0</v>
      </c>
      <c r="Q1184" s="8">
        <f>[1]Data!Q1184</f>
        <v>0</v>
      </c>
      <c r="R1184" s="8">
        <f>[1]Data!R1184</f>
        <v>0</v>
      </c>
      <c r="S1184" s="8">
        <f>[1]Data!S1184</f>
        <v>0</v>
      </c>
      <c r="T1184">
        <f t="shared" si="90"/>
        <v>1</v>
      </c>
      <c r="U1184">
        <f t="shared" si="91"/>
        <v>1</v>
      </c>
      <c r="V1184" s="4" t="str">
        <f t="shared" si="92"/>
        <v>1</v>
      </c>
      <c r="W1184" s="4" t="str">
        <f t="shared" si="93"/>
        <v>4</v>
      </c>
      <c r="X1184" s="4" t="str">
        <f t="shared" si="94"/>
        <v>1FAMILY4</v>
      </c>
      <c r="Y1184">
        <f>VLOOKUP(X1184,Sheet1!$J$5:$K$121,2,FALSE)</f>
        <v>0</v>
      </c>
    </row>
    <row r="1185" spans="1:25" x14ac:dyDescent="0.25">
      <c r="A1185" s="8">
        <f>[1]Data!A1185</f>
        <v>209402</v>
      </c>
      <c r="B1185" s="8">
        <f>[1]Data!B1185</f>
        <v>4</v>
      </c>
      <c r="C1185" s="8">
        <f>[1]Data!C1185</f>
        <v>1</v>
      </c>
      <c r="D1185" s="8">
        <f>[1]Data!D1185</f>
        <v>1</v>
      </c>
      <c r="E1185" s="8" t="str">
        <f>[1]Data!E1185</f>
        <v>FAMILY</v>
      </c>
      <c r="F1185" s="8" t="str">
        <f>[1]Data!F1185</f>
        <v>Westlake</v>
      </c>
      <c r="G1185" s="8">
        <f>[1]Data!G1185</f>
        <v>1</v>
      </c>
      <c r="H1185" s="8">
        <f>[1]Data!H1185</f>
        <v>1</v>
      </c>
      <c r="I1185" s="8">
        <f>[1]Data!I1185</f>
        <v>21.22</v>
      </c>
      <c r="J1185" s="8">
        <f>[1]Data!J1185</f>
        <v>5.0253681300000004</v>
      </c>
      <c r="K1185" s="8">
        <f>[1]Data!K1185</f>
        <v>21.02536813</v>
      </c>
      <c r="L1185" s="8">
        <f>[1]Data!L1185</f>
        <v>4.1935692599820502</v>
      </c>
      <c r="M1185" s="8">
        <f>[1]Data!M1185</f>
        <v>25.218937389981999</v>
      </c>
      <c r="N1185" s="8">
        <f>[1]Data!N1185</f>
        <v>1</v>
      </c>
      <c r="O1185" s="8">
        <f>[1]Data!O1185</f>
        <v>1</v>
      </c>
      <c r="P1185" s="8">
        <f>[1]Data!P1185</f>
        <v>0</v>
      </c>
      <c r="Q1185" s="8">
        <f>[1]Data!Q1185</f>
        <v>0</v>
      </c>
      <c r="R1185" s="8">
        <f>[1]Data!R1185</f>
        <v>0</v>
      </c>
      <c r="S1185" s="8">
        <f>[1]Data!S1185</f>
        <v>0</v>
      </c>
      <c r="T1185">
        <f t="shared" si="90"/>
        <v>1</v>
      </c>
      <c r="U1185">
        <f t="shared" si="91"/>
        <v>1</v>
      </c>
      <c r="V1185" s="4" t="str">
        <f t="shared" si="92"/>
        <v>1</v>
      </c>
      <c r="W1185" s="4" t="str">
        <f t="shared" si="93"/>
        <v>4</v>
      </c>
      <c r="X1185" s="4" t="str">
        <f t="shared" si="94"/>
        <v>1FAMILY4</v>
      </c>
      <c r="Y1185">
        <f>VLOOKUP(X1185,Sheet1!$J$5:$K$121,2,FALSE)</f>
        <v>0</v>
      </c>
    </row>
    <row r="1186" spans="1:25" x14ac:dyDescent="0.25">
      <c r="A1186" s="8">
        <f>[1]Data!A1186</f>
        <v>213320</v>
      </c>
      <c r="B1186" s="8">
        <f>[1]Data!B1186</f>
        <v>4</v>
      </c>
      <c r="C1186" s="8">
        <f>[1]Data!C1186</f>
        <v>1</v>
      </c>
      <c r="D1186" s="8">
        <f>[1]Data!D1186</f>
        <v>2</v>
      </c>
      <c r="E1186" s="8" t="str">
        <f>[1]Data!E1186</f>
        <v>INDIV</v>
      </c>
      <c r="F1186" s="8" t="str">
        <f>[1]Data!F1186</f>
        <v>Pico Union</v>
      </c>
      <c r="G1186" s="8">
        <f>[1]Data!G1186</f>
        <v>0</v>
      </c>
      <c r="H1186" s="8">
        <f>[1]Data!H1186</f>
        <v>0</v>
      </c>
      <c r="I1186" s="8">
        <f>[1]Data!I1186</f>
        <v>19.959</v>
      </c>
      <c r="J1186" s="8">
        <f>[1]Data!J1186</f>
        <v>14.79186288</v>
      </c>
      <c r="K1186" s="8">
        <f>[1]Data!K1186</f>
        <v>19.79186288</v>
      </c>
      <c r="L1186" s="8">
        <f>[1]Data!L1186</f>
        <v>0.166735796014363</v>
      </c>
      <c r="M1186" s="8">
        <f>[1]Data!M1186</f>
        <v>19.9585986760144</v>
      </c>
      <c r="N1186" s="8">
        <f>[1]Data!N1186</f>
        <v>8.5106382978723402E-2</v>
      </c>
      <c r="O1186" s="8">
        <f>[1]Data!O1186</f>
        <v>0</v>
      </c>
      <c r="P1186" s="8">
        <f>[1]Data!P1186</f>
        <v>0.19148936170212799</v>
      </c>
      <c r="Q1186" s="8">
        <f>[1]Data!Q1186</f>
        <v>0.9</v>
      </c>
      <c r="R1186" s="8">
        <f>[1]Data!R1186</f>
        <v>0</v>
      </c>
      <c r="S1186" s="8">
        <f>[1]Data!S1186</f>
        <v>0</v>
      </c>
      <c r="T1186">
        <f t="shared" si="90"/>
        <v>8.5106382978723402E-2</v>
      </c>
      <c r="U1186">
        <f t="shared" si="91"/>
        <v>0</v>
      </c>
      <c r="V1186" s="4" t="str">
        <f t="shared" si="92"/>
        <v>1</v>
      </c>
      <c r="W1186" s="4" t="str">
        <f t="shared" si="93"/>
        <v>4</v>
      </c>
      <c r="X1186" s="4" t="str">
        <f t="shared" si="94"/>
        <v>1INDIV4</v>
      </c>
      <c r="Y1186">
        <f>VLOOKUP(X1186,Sheet1!$J$5:$K$121,2,FALSE)</f>
        <v>0</v>
      </c>
    </row>
    <row r="1187" spans="1:25" x14ac:dyDescent="0.25">
      <c r="A1187" s="8">
        <f>[1]Data!A1187</f>
        <v>199400</v>
      </c>
      <c r="B1187" s="8">
        <f>[1]Data!B1187</f>
        <v>4</v>
      </c>
      <c r="C1187" s="8">
        <f>[1]Data!C1187</f>
        <v>1</v>
      </c>
      <c r="D1187" s="8">
        <f>[1]Data!D1187</f>
        <v>1</v>
      </c>
      <c r="E1187" s="8" t="str">
        <f>[1]Data!E1187</f>
        <v>INDIV</v>
      </c>
      <c r="F1187" s="8" t="str">
        <f>[1]Data!F1187</f>
        <v>Eagle Rock</v>
      </c>
      <c r="G1187" s="8">
        <f>[1]Data!G1187</f>
        <v>0</v>
      </c>
      <c r="H1187" s="8">
        <f>[1]Data!H1187</f>
        <v>0</v>
      </c>
      <c r="I1187" s="8">
        <f>[1]Data!I1187</f>
        <v>17.227</v>
      </c>
      <c r="J1187" s="8">
        <f>[1]Data!J1187</f>
        <v>16.546338330000001</v>
      </c>
      <c r="K1187" s="8">
        <f>[1]Data!K1187</f>
        <v>16.546338330000001</v>
      </c>
      <c r="L1187" s="8">
        <f>[1]Data!L1187</f>
        <v>0.68037691935368005</v>
      </c>
      <c r="M1187" s="8">
        <f>[1]Data!M1187</f>
        <v>17.226715249353699</v>
      </c>
      <c r="N1187" s="8">
        <f>[1]Data!N1187</f>
        <v>8.5106382978723402E-2</v>
      </c>
      <c r="O1187" s="8">
        <f>[1]Data!O1187</f>
        <v>0</v>
      </c>
      <c r="P1187" s="8">
        <f>[1]Data!P1187</f>
        <v>0.19148936170212799</v>
      </c>
      <c r="Q1187" s="8">
        <f>[1]Data!Q1187</f>
        <v>0.9</v>
      </c>
      <c r="R1187" s="8">
        <f>[1]Data!R1187</f>
        <v>0</v>
      </c>
      <c r="S1187" s="8">
        <f>[1]Data!S1187</f>
        <v>0</v>
      </c>
      <c r="T1187">
        <f t="shared" si="90"/>
        <v>8.5106382978723402E-2</v>
      </c>
      <c r="U1187">
        <f t="shared" si="91"/>
        <v>0</v>
      </c>
      <c r="V1187" s="4" t="str">
        <f t="shared" si="92"/>
        <v>1</v>
      </c>
      <c r="W1187" s="4" t="str">
        <f t="shared" si="93"/>
        <v>4</v>
      </c>
      <c r="X1187" s="4" t="str">
        <f t="shared" si="94"/>
        <v>1INDIV4</v>
      </c>
      <c r="Y1187">
        <f>VLOOKUP(X1187,Sheet1!$J$5:$K$121,2,FALSE)</f>
        <v>0</v>
      </c>
    </row>
    <row r="1188" spans="1:25" x14ac:dyDescent="0.25">
      <c r="A1188" s="8">
        <f>[1]Data!A1188</f>
        <v>213402</v>
      </c>
      <c r="B1188" s="8">
        <f>[1]Data!B1188</f>
        <v>4</v>
      </c>
      <c r="C1188" s="8">
        <f>[1]Data!C1188</f>
        <v>1</v>
      </c>
      <c r="D1188" s="8">
        <f>[1]Data!D1188</f>
        <v>2</v>
      </c>
      <c r="E1188" s="8" t="str">
        <f>[1]Data!E1188</f>
        <v>INDIV</v>
      </c>
      <c r="F1188" s="8" t="str">
        <f>[1]Data!F1188</f>
        <v>Pico Union</v>
      </c>
      <c r="G1188" s="8">
        <f>[1]Data!G1188</f>
        <v>0</v>
      </c>
      <c r="H1188" s="8">
        <f>[1]Data!H1188</f>
        <v>0</v>
      </c>
      <c r="I1188" s="8">
        <f>[1]Data!I1188</f>
        <v>4.851</v>
      </c>
      <c r="J1188" s="8">
        <f>[1]Data!J1188</f>
        <v>3.8097598800000001</v>
      </c>
      <c r="K1188" s="8">
        <f>[1]Data!K1188</f>
        <v>4.8097598799999997</v>
      </c>
      <c r="L1188" s="8">
        <f>[1]Data!L1188</f>
        <v>4.1250644165170602E-2</v>
      </c>
      <c r="M1188" s="8">
        <f>[1]Data!M1188</f>
        <v>4.8510105241651704</v>
      </c>
      <c r="N1188" s="8">
        <f>[1]Data!N1188</f>
        <v>8.5106382978723402E-2</v>
      </c>
      <c r="O1188" s="8">
        <f>[1]Data!O1188</f>
        <v>0</v>
      </c>
      <c r="P1188" s="8">
        <f>[1]Data!P1188</f>
        <v>0.19148936170212799</v>
      </c>
      <c r="Q1188" s="8">
        <f>[1]Data!Q1188</f>
        <v>0.9</v>
      </c>
      <c r="R1188" s="8">
        <f>[1]Data!R1188</f>
        <v>0</v>
      </c>
      <c r="S1188" s="8">
        <f>[1]Data!S1188</f>
        <v>0</v>
      </c>
      <c r="T1188">
        <f t="shared" si="90"/>
        <v>8.5106382978723402E-2</v>
      </c>
      <c r="U1188">
        <f t="shared" si="91"/>
        <v>0</v>
      </c>
      <c r="V1188" s="4" t="str">
        <f t="shared" si="92"/>
        <v>1</v>
      </c>
      <c r="W1188" s="4" t="str">
        <f t="shared" si="93"/>
        <v>4</v>
      </c>
      <c r="X1188" s="4" t="str">
        <f t="shared" si="94"/>
        <v>1INDIV4</v>
      </c>
      <c r="Y1188">
        <f>VLOOKUP(X1188,Sheet1!$J$5:$K$121,2,FALSE)</f>
        <v>0</v>
      </c>
    </row>
    <row r="1189" spans="1:25" x14ac:dyDescent="0.25">
      <c r="A1189" s="8">
        <f>[1]Data!A1189</f>
        <v>209102</v>
      </c>
      <c r="B1189" s="8">
        <f>[1]Data!B1189</f>
        <v>4</v>
      </c>
      <c r="C1189" s="8">
        <f>[1]Data!C1189</f>
        <v>1</v>
      </c>
      <c r="D1189" s="8">
        <f>[1]Data!D1189</f>
        <v>1</v>
      </c>
      <c r="E1189" s="8" t="str">
        <f>[1]Data!E1189</f>
        <v>INDIV</v>
      </c>
      <c r="F1189" s="8" t="str">
        <f>[1]Data!F1189</f>
        <v>Westlake</v>
      </c>
      <c r="G1189" s="8">
        <f>[1]Data!G1189</f>
        <v>0</v>
      </c>
      <c r="H1189" s="8">
        <f>[1]Data!H1189</f>
        <v>0</v>
      </c>
      <c r="I1189" s="8">
        <f>[1]Data!I1189</f>
        <v>29.152999999999999</v>
      </c>
      <c r="J1189" s="8">
        <f>[1]Data!J1189</f>
        <v>10.698920449999999</v>
      </c>
      <c r="K1189" s="8">
        <f>[1]Data!K1189</f>
        <v>28.698920449999999</v>
      </c>
      <c r="L1189" s="8">
        <f>[1]Data!L1189</f>
        <v>0.45384627226211899</v>
      </c>
      <c r="M1189" s="8">
        <f>[1]Data!M1189</f>
        <v>29.152766722262101</v>
      </c>
      <c r="N1189" s="8">
        <f>[1]Data!N1189</f>
        <v>8.5106382978723402E-2</v>
      </c>
      <c r="O1189" s="8">
        <f>[1]Data!O1189</f>
        <v>0</v>
      </c>
      <c r="P1189" s="8">
        <f>[1]Data!P1189</f>
        <v>0.19148936170212799</v>
      </c>
      <c r="Q1189" s="8">
        <f>[1]Data!Q1189</f>
        <v>0.9</v>
      </c>
      <c r="R1189" s="8">
        <f>[1]Data!R1189</f>
        <v>0</v>
      </c>
      <c r="S1189" s="8">
        <f>[1]Data!S1189</f>
        <v>0</v>
      </c>
      <c r="T1189">
        <f t="shared" si="90"/>
        <v>8.5106382978723402E-2</v>
      </c>
      <c r="U1189">
        <f t="shared" si="91"/>
        <v>0</v>
      </c>
      <c r="V1189" s="4" t="str">
        <f t="shared" si="92"/>
        <v>1</v>
      </c>
      <c r="W1189" s="4" t="str">
        <f t="shared" si="93"/>
        <v>4</v>
      </c>
      <c r="X1189" s="4" t="str">
        <f t="shared" si="94"/>
        <v>1INDIV4</v>
      </c>
      <c r="Y1189">
        <f>VLOOKUP(X1189,Sheet1!$J$5:$K$121,2,FALSE)</f>
        <v>0</v>
      </c>
    </row>
    <row r="1190" spans="1:25" x14ac:dyDescent="0.25">
      <c r="A1190" s="8">
        <f>[1]Data!A1190</f>
        <v>183810</v>
      </c>
      <c r="B1190" s="8">
        <f>[1]Data!B1190</f>
        <v>4</v>
      </c>
      <c r="C1190" s="8">
        <f>[1]Data!C1190</f>
        <v>1</v>
      </c>
      <c r="D1190" s="8">
        <f>[1]Data!D1190</f>
        <v>1</v>
      </c>
      <c r="E1190" s="8" t="str">
        <f>[1]Data!E1190</f>
        <v>INDIV</v>
      </c>
      <c r="F1190" s="8" t="str">
        <f>[1]Data!F1190</f>
        <v>Highland Park</v>
      </c>
      <c r="G1190" s="8">
        <f>[1]Data!G1190</f>
        <v>1</v>
      </c>
      <c r="H1190" s="8">
        <f>[1]Data!H1190</f>
        <v>1</v>
      </c>
      <c r="I1190" s="8">
        <f>[1]Data!I1190</f>
        <v>5.8079999999999998</v>
      </c>
      <c r="J1190" s="8">
        <f>[1]Data!J1190</f>
        <v>1.73313217</v>
      </c>
      <c r="K1190" s="8">
        <f>[1]Data!K1190</f>
        <v>5.7331321700000002</v>
      </c>
      <c r="L1190" s="8">
        <f>[1]Data!L1190</f>
        <v>7.4985510287253102E-2</v>
      </c>
      <c r="M1190" s="8">
        <f>[1]Data!M1190</f>
        <v>5.8081176802872498</v>
      </c>
      <c r="N1190" s="8">
        <f>[1]Data!N1190</f>
        <v>8.5106382978723402E-2</v>
      </c>
      <c r="O1190" s="8">
        <f>[1]Data!O1190</f>
        <v>11.75</v>
      </c>
      <c r="P1190" s="8">
        <f>[1]Data!P1190</f>
        <v>0.19148936170212799</v>
      </c>
      <c r="Q1190" s="8">
        <f>[1]Data!Q1190</f>
        <v>0.9</v>
      </c>
      <c r="R1190" s="8">
        <f>[1]Data!R1190</f>
        <v>0</v>
      </c>
      <c r="S1190" s="8">
        <f>[1]Data!S1190</f>
        <v>0</v>
      </c>
      <c r="T1190">
        <f t="shared" si="90"/>
        <v>8.5106382978723402E-2</v>
      </c>
      <c r="U1190">
        <f t="shared" si="91"/>
        <v>11.75</v>
      </c>
      <c r="V1190" s="4" t="str">
        <f t="shared" si="92"/>
        <v>1</v>
      </c>
      <c r="W1190" s="4" t="str">
        <f t="shared" si="93"/>
        <v>4</v>
      </c>
      <c r="X1190" s="4" t="str">
        <f t="shared" si="94"/>
        <v>1INDIV4</v>
      </c>
      <c r="Y1190">
        <f>VLOOKUP(X1190,Sheet1!$J$5:$K$121,2,FALSE)</f>
        <v>0</v>
      </c>
    </row>
    <row r="1191" spans="1:25" x14ac:dyDescent="0.25">
      <c r="A1191" s="8">
        <f>[1]Data!A1191</f>
        <v>208903</v>
      </c>
      <c r="B1191" s="8">
        <f>[1]Data!B1191</f>
        <v>4</v>
      </c>
      <c r="C1191" s="8">
        <f>[1]Data!C1191</f>
        <v>1</v>
      </c>
      <c r="D1191" s="8">
        <f>[1]Data!D1191</f>
        <v>1</v>
      </c>
      <c r="E1191" s="8" t="str">
        <f>[1]Data!E1191</f>
        <v>INDIV</v>
      </c>
      <c r="F1191" s="8" t="str">
        <f>[1]Data!F1191</f>
        <v>Westlake</v>
      </c>
      <c r="G1191" s="8">
        <f>[1]Data!G1191</f>
        <v>0</v>
      </c>
      <c r="H1191" s="8">
        <f>[1]Data!H1191</f>
        <v>0</v>
      </c>
      <c r="I1191" s="8">
        <f>[1]Data!I1191</f>
        <v>34.872</v>
      </c>
      <c r="J1191" s="8">
        <f>[1]Data!J1191</f>
        <v>7.6983394799999996</v>
      </c>
      <c r="K1191" s="8">
        <f>[1]Data!K1191</f>
        <v>34.698339480000001</v>
      </c>
      <c r="L1191" s="8">
        <f>[1]Data!L1191</f>
        <v>0.17304856763016199</v>
      </c>
      <c r="M1191" s="8">
        <f>[1]Data!M1191</f>
        <v>34.871388047630198</v>
      </c>
      <c r="N1191" s="8">
        <f>[1]Data!N1191</f>
        <v>8.5106382978723402E-2</v>
      </c>
      <c r="O1191" s="8">
        <f>[1]Data!O1191</f>
        <v>0</v>
      </c>
      <c r="P1191" s="8">
        <f>[1]Data!P1191</f>
        <v>0.19148936170212799</v>
      </c>
      <c r="Q1191" s="8">
        <f>[1]Data!Q1191</f>
        <v>0.9</v>
      </c>
      <c r="R1191" s="8">
        <f>[1]Data!R1191</f>
        <v>0</v>
      </c>
      <c r="S1191" s="8">
        <f>[1]Data!S1191</f>
        <v>0</v>
      </c>
      <c r="T1191">
        <f t="shared" si="90"/>
        <v>8.5106382978723402E-2</v>
      </c>
      <c r="U1191">
        <f t="shared" si="91"/>
        <v>0</v>
      </c>
      <c r="V1191" s="4" t="str">
        <f t="shared" si="92"/>
        <v>1</v>
      </c>
      <c r="W1191" s="4" t="str">
        <f t="shared" si="93"/>
        <v>4</v>
      </c>
      <c r="X1191" s="4" t="str">
        <f t="shared" si="94"/>
        <v>1INDIV4</v>
      </c>
      <c r="Y1191">
        <f>VLOOKUP(X1191,Sheet1!$J$5:$K$121,2,FALSE)</f>
        <v>0</v>
      </c>
    </row>
    <row r="1192" spans="1:25" x14ac:dyDescent="0.25">
      <c r="A1192" s="8">
        <f>[1]Data!A1192</f>
        <v>213310</v>
      </c>
      <c r="B1192" s="8">
        <f>[1]Data!B1192</f>
        <v>4</v>
      </c>
      <c r="C1192" s="8">
        <f>[1]Data!C1192</f>
        <v>1</v>
      </c>
      <c r="D1192" s="8">
        <f>[1]Data!D1192</f>
        <v>2</v>
      </c>
      <c r="E1192" s="8" t="str">
        <f>[1]Data!E1192</f>
        <v>INDIV</v>
      </c>
      <c r="F1192" s="8" t="str">
        <f>[1]Data!F1192</f>
        <v>Pico Union</v>
      </c>
      <c r="G1192" s="8">
        <f>[1]Data!G1192</f>
        <v>0</v>
      </c>
      <c r="H1192" s="8">
        <f>[1]Data!H1192</f>
        <v>0</v>
      </c>
      <c r="I1192" s="8">
        <f>[1]Data!I1192</f>
        <v>9.48</v>
      </c>
      <c r="J1192" s="8">
        <f>[1]Data!J1192</f>
        <v>7.39593144</v>
      </c>
      <c r="K1192" s="8">
        <f>[1]Data!K1192</f>
        <v>9.39593144</v>
      </c>
      <c r="L1192" s="8">
        <f>[1]Data!L1192</f>
        <v>8.3367898007181293E-2</v>
      </c>
      <c r="M1192" s="8">
        <f>[1]Data!M1192</f>
        <v>9.4792993380071806</v>
      </c>
      <c r="N1192" s="8">
        <f>[1]Data!N1192</f>
        <v>8.5106382978723402E-2</v>
      </c>
      <c r="O1192" s="8">
        <f>[1]Data!O1192</f>
        <v>0</v>
      </c>
      <c r="P1192" s="8">
        <f>[1]Data!P1192</f>
        <v>0.19148936170212799</v>
      </c>
      <c r="Q1192" s="8">
        <f>[1]Data!Q1192</f>
        <v>0.9</v>
      </c>
      <c r="R1192" s="8">
        <f>[1]Data!R1192</f>
        <v>0</v>
      </c>
      <c r="S1192" s="8">
        <f>[1]Data!S1192</f>
        <v>0</v>
      </c>
      <c r="T1192">
        <f t="shared" si="90"/>
        <v>8.5106382978723402E-2</v>
      </c>
      <c r="U1192">
        <f t="shared" si="91"/>
        <v>0</v>
      </c>
      <c r="V1192" s="4" t="str">
        <f t="shared" si="92"/>
        <v>1</v>
      </c>
      <c r="W1192" s="4" t="str">
        <f t="shared" si="93"/>
        <v>4</v>
      </c>
      <c r="X1192" s="4" t="str">
        <f t="shared" si="94"/>
        <v>1INDIV4</v>
      </c>
      <c r="Y1192">
        <f>VLOOKUP(X1192,Sheet1!$J$5:$K$121,2,FALSE)</f>
        <v>0</v>
      </c>
    </row>
    <row r="1193" spans="1:25" x14ac:dyDescent="0.25">
      <c r="A1193" s="8">
        <f>[1]Data!A1193</f>
        <v>186201</v>
      </c>
      <c r="B1193" s="8">
        <f>[1]Data!B1193</f>
        <v>4</v>
      </c>
      <c r="C1193" s="8">
        <f>[1]Data!C1193</f>
        <v>1</v>
      </c>
      <c r="D1193" s="8">
        <f>[1]Data!D1193</f>
        <v>1</v>
      </c>
      <c r="E1193" s="8" t="str">
        <f>[1]Data!E1193</f>
        <v>INDIV</v>
      </c>
      <c r="F1193" s="8" t="str">
        <f>[1]Data!F1193</f>
        <v>Eagle Rock</v>
      </c>
      <c r="G1193" s="8">
        <f>[1]Data!G1193</f>
        <v>0</v>
      </c>
      <c r="H1193" s="8">
        <f>[1]Data!H1193</f>
        <v>0</v>
      </c>
      <c r="I1193" s="8">
        <f>[1]Data!I1193</f>
        <v>8.734</v>
      </c>
      <c r="J1193" s="8">
        <f>[1]Data!J1193</f>
        <v>3.63801211</v>
      </c>
      <c r="K1193" s="8">
        <f>[1]Data!K1193</f>
        <v>8.63801211</v>
      </c>
      <c r="L1193" s="8">
        <f>[1]Data!L1193</f>
        <v>9.5610832369838403E-2</v>
      </c>
      <c r="M1193" s="8">
        <f>[1]Data!M1193</f>
        <v>8.7336229423698395</v>
      </c>
      <c r="N1193" s="8">
        <f>[1]Data!N1193</f>
        <v>8.5106382978723402E-2</v>
      </c>
      <c r="O1193" s="8">
        <f>[1]Data!O1193</f>
        <v>0</v>
      </c>
      <c r="P1193" s="8">
        <f>[1]Data!P1193</f>
        <v>0.19148936170212799</v>
      </c>
      <c r="Q1193" s="8">
        <f>[1]Data!Q1193</f>
        <v>0.9</v>
      </c>
      <c r="R1193" s="8">
        <f>[1]Data!R1193</f>
        <v>0</v>
      </c>
      <c r="S1193" s="8">
        <f>[1]Data!S1193</f>
        <v>0</v>
      </c>
      <c r="T1193">
        <f t="shared" si="90"/>
        <v>8.5106382978723402E-2</v>
      </c>
      <c r="U1193">
        <f t="shared" si="91"/>
        <v>0</v>
      </c>
      <c r="V1193" s="4" t="str">
        <f t="shared" si="92"/>
        <v>1</v>
      </c>
      <c r="W1193" s="4" t="str">
        <f t="shared" si="93"/>
        <v>4</v>
      </c>
      <c r="X1193" s="4" t="str">
        <f t="shared" si="94"/>
        <v>1INDIV4</v>
      </c>
      <c r="Y1193">
        <f>VLOOKUP(X1193,Sheet1!$J$5:$K$121,2,FALSE)</f>
        <v>0</v>
      </c>
    </row>
    <row r="1194" spans="1:25" x14ac:dyDescent="0.25">
      <c r="A1194" s="8">
        <f>[1]Data!A1194</f>
        <v>208720</v>
      </c>
      <c r="B1194" s="8">
        <f>[1]Data!B1194</f>
        <v>4</v>
      </c>
      <c r="C1194" s="8">
        <f>[1]Data!C1194</f>
        <v>1</v>
      </c>
      <c r="D1194" s="8">
        <f>[1]Data!D1194</f>
        <v>2</v>
      </c>
      <c r="E1194" s="8" t="str">
        <f>[1]Data!E1194</f>
        <v>INDIV</v>
      </c>
      <c r="F1194" s="8" t="str">
        <f>[1]Data!F1194</f>
        <v>Westlake</v>
      </c>
      <c r="G1194" s="8">
        <f>[1]Data!G1194</f>
        <v>0</v>
      </c>
      <c r="H1194" s="8">
        <f>[1]Data!H1194</f>
        <v>0</v>
      </c>
      <c r="I1194" s="8">
        <f>[1]Data!I1194</f>
        <v>25.314</v>
      </c>
      <c r="J1194" s="8">
        <f>[1]Data!J1194</f>
        <v>9.6887339899999994</v>
      </c>
      <c r="K1194" s="8">
        <f>[1]Data!K1194</f>
        <v>24.688733989999999</v>
      </c>
      <c r="L1194" s="8">
        <f>[1]Data!L1194</f>
        <v>0.62495236107719898</v>
      </c>
      <c r="M1194" s="8">
        <f>[1]Data!M1194</f>
        <v>25.313686351077202</v>
      </c>
      <c r="N1194" s="8">
        <f>[1]Data!N1194</f>
        <v>8.5106382978723402E-2</v>
      </c>
      <c r="O1194" s="8">
        <f>[1]Data!O1194</f>
        <v>0</v>
      </c>
      <c r="P1194" s="8">
        <f>[1]Data!P1194</f>
        <v>0.19148936170212799</v>
      </c>
      <c r="Q1194" s="8">
        <f>[1]Data!Q1194</f>
        <v>0.9</v>
      </c>
      <c r="R1194" s="8">
        <f>[1]Data!R1194</f>
        <v>0</v>
      </c>
      <c r="S1194" s="8">
        <f>[1]Data!S1194</f>
        <v>0</v>
      </c>
      <c r="T1194">
        <f t="shared" si="90"/>
        <v>8.5106382978723402E-2</v>
      </c>
      <c r="U1194">
        <f t="shared" si="91"/>
        <v>0</v>
      </c>
      <c r="V1194" s="4" t="str">
        <f t="shared" si="92"/>
        <v>1</v>
      </c>
      <c r="W1194" s="4" t="str">
        <f t="shared" si="93"/>
        <v>4</v>
      </c>
      <c r="X1194" s="4" t="str">
        <f t="shared" si="94"/>
        <v>1INDIV4</v>
      </c>
      <c r="Y1194">
        <f>VLOOKUP(X1194,Sheet1!$J$5:$K$121,2,FALSE)</f>
        <v>0</v>
      </c>
    </row>
    <row r="1195" spans="1:25" x14ac:dyDescent="0.25">
      <c r="A1195" s="8">
        <f>[1]Data!A1195</f>
        <v>224420</v>
      </c>
      <c r="B1195" s="8">
        <f>[1]Data!B1195</f>
        <v>6</v>
      </c>
      <c r="C1195" s="8">
        <f>[1]Data!C1195</f>
        <v>1</v>
      </c>
      <c r="D1195" s="8">
        <f>[1]Data!D1195</f>
        <v>1</v>
      </c>
      <c r="E1195" s="8" t="str">
        <f>[1]Data!E1195</f>
        <v>INDIV</v>
      </c>
      <c r="F1195" s="8" t="str">
        <f>[1]Data!F1195</f>
        <v>University Park</v>
      </c>
      <c r="G1195" s="8">
        <f>[1]Data!G1195</f>
        <v>0</v>
      </c>
      <c r="H1195" s="8">
        <f>[1]Data!H1195</f>
        <v>0</v>
      </c>
      <c r="I1195" s="8">
        <f>[1]Data!I1195</f>
        <v>41.860999999999997</v>
      </c>
      <c r="J1195" s="8">
        <f>[1]Data!J1195</f>
        <v>21.18836091</v>
      </c>
      <c r="K1195" s="8">
        <f>[1]Data!K1195</f>
        <v>41.18836091</v>
      </c>
      <c r="L1195" s="8">
        <f>[1]Data!L1195</f>
        <v>0.67310440739676802</v>
      </c>
      <c r="M1195" s="8">
        <f>[1]Data!M1195</f>
        <v>41.861465317396799</v>
      </c>
      <c r="N1195" s="8">
        <f>[1]Data!N1195</f>
        <v>3.2258064516128997E-2</v>
      </c>
      <c r="O1195" s="8">
        <f>[1]Data!O1195</f>
        <v>0</v>
      </c>
      <c r="P1195" s="8">
        <f>[1]Data!P1195</f>
        <v>3.2258064516128997E-2</v>
      </c>
      <c r="Q1195" s="8">
        <f>[1]Data!Q1195</f>
        <v>0.1</v>
      </c>
      <c r="R1195" s="8">
        <f>[1]Data!R1195</f>
        <v>0</v>
      </c>
      <c r="S1195" s="8">
        <f>[1]Data!S1195</f>
        <v>0</v>
      </c>
      <c r="T1195">
        <f t="shared" si="90"/>
        <v>3.2258064516128997E-2</v>
      </c>
      <c r="U1195">
        <f t="shared" si="91"/>
        <v>0</v>
      </c>
      <c r="V1195" s="4" t="str">
        <f t="shared" si="92"/>
        <v>1</v>
      </c>
      <c r="W1195" s="4" t="str">
        <f t="shared" si="93"/>
        <v>6</v>
      </c>
      <c r="X1195" s="4" t="str">
        <f t="shared" si="94"/>
        <v>1INDIV6</v>
      </c>
      <c r="Y1195">
        <f>VLOOKUP(X1195,Sheet1!$J$5:$K$121,2,FALSE)</f>
        <v>0</v>
      </c>
    </row>
    <row r="1196" spans="1:25" x14ac:dyDescent="0.25">
      <c r="A1196" s="8">
        <f>[1]Data!A1196</f>
        <v>221110</v>
      </c>
      <c r="B1196" s="8">
        <f>[1]Data!B1196</f>
        <v>4</v>
      </c>
      <c r="C1196" s="8">
        <f>[1]Data!C1196</f>
        <v>1</v>
      </c>
      <c r="D1196" s="8">
        <f>[1]Data!D1196</f>
        <v>2</v>
      </c>
      <c r="E1196" s="8" t="str">
        <f>[1]Data!E1196</f>
        <v>NON-HS</v>
      </c>
      <c r="F1196" s="8" t="str">
        <f>[1]Data!F1196</f>
        <v>Pico Union</v>
      </c>
      <c r="G1196" s="8">
        <f>[1]Data!G1196</f>
        <v>0</v>
      </c>
      <c r="H1196" s="8">
        <f>[1]Data!H1196</f>
        <v>0</v>
      </c>
      <c r="I1196" s="8">
        <f>[1]Data!I1196</f>
        <v>13.723000000000001</v>
      </c>
      <c r="J1196" s="8">
        <f>[1]Data!J1196</f>
        <v>11.508099359999999</v>
      </c>
      <c r="K1196" s="8">
        <f>[1]Data!K1196</f>
        <v>13.508099359999999</v>
      </c>
      <c r="L1196" s="8">
        <f>[1]Data!L1196</f>
        <v>0.21429921179533201</v>
      </c>
      <c r="M1196" s="8">
        <f>[1]Data!M1196</f>
        <v>13.722398571795299</v>
      </c>
      <c r="N1196" s="8">
        <f>[1]Data!N1196</f>
        <v>2.6315789473684199E-2</v>
      </c>
      <c r="O1196" s="8">
        <f>[1]Data!O1196</f>
        <v>0</v>
      </c>
      <c r="P1196" s="8">
        <f>[1]Data!P1196</f>
        <v>0.197368421052632</v>
      </c>
      <c r="Q1196" s="8">
        <f>[1]Data!Q1196</f>
        <v>0.9375</v>
      </c>
      <c r="R1196" s="8">
        <f>[1]Data!R1196</f>
        <v>0.1</v>
      </c>
      <c r="S1196" s="8">
        <f>[1]Data!S1196</f>
        <v>0</v>
      </c>
      <c r="T1196">
        <f t="shared" si="90"/>
        <v>0.12368421052631579</v>
      </c>
      <c r="U1196">
        <f t="shared" si="91"/>
        <v>0</v>
      </c>
      <c r="V1196" s="4" t="str">
        <f t="shared" si="92"/>
        <v>1</v>
      </c>
      <c r="W1196" s="4" t="str">
        <f t="shared" si="93"/>
        <v>4</v>
      </c>
      <c r="X1196" s="4" t="str">
        <f t="shared" si="94"/>
        <v>1NON-HS4</v>
      </c>
      <c r="Y1196">
        <f>VLOOKUP(X1196,Sheet1!$J$5:$K$121,2,FALSE)</f>
        <v>0.1</v>
      </c>
    </row>
    <row r="1197" spans="1:25" x14ac:dyDescent="0.25">
      <c r="A1197" s="8">
        <f>[1]Data!A1197</f>
        <v>183820</v>
      </c>
      <c r="B1197" s="8">
        <f>[1]Data!B1197</f>
        <v>4</v>
      </c>
      <c r="C1197" s="8">
        <f>[1]Data!C1197</f>
        <v>1</v>
      </c>
      <c r="D1197" s="8">
        <f>[1]Data!D1197</f>
        <v>1</v>
      </c>
      <c r="E1197" s="8" t="str">
        <f>[1]Data!E1197</f>
        <v>NON-HS</v>
      </c>
      <c r="F1197" s="8" t="str">
        <f>[1]Data!F1197</f>
        <v>Highland Park</v>
      </c>
      <c r="G1197" s="8">
        <f>[1]Data!G1197</f>
        <v>0</v>
      </c>
      <c r="H1197" s="8">
        <f>[1]Data!H1197</f>
        <v>0</v>
      </c>
      <c r="I1197" s="8">
        <f>[1]Data!I1197</f>
        <v>14.156000000000001</v>
      </c>
      <c r="J1197" s="8">
        <f>[1]Data!J1197</f>
        <v>13.649438460000001</v>
      </c>
      <c r="K1197" s="8">
        <f>[1]Data!K1197</f>
        <v>13.649438460000001</v>
      </c>
      <c r="L1197" s="8">
        <f>[1]Data!L1197</f>
        <v>0.50656637177737895</v>
      </c>
      <c r="M1197" s="8">
        <f>[1]Data!M1197</f>
        <v>14.1560048317774</v>
      </c>
      <c r="N1197" s="8">
        <f>[1]Data!N1197</f>
        <v>2.6315789473684199E-2</v>
      </c>
      <c r="O1197" s="8">
        <f>[1]Data!O1197</f>
        <v>0</v>
      </c>
      <c r="P1197" s="8">
        <f>[1]Data!P1197</f>
        <v>0.197368421052632</v>
      </c>
      <c r="Q1197" s="8">
        <f>[1]Data!Q1197</f>
        <v>0.9375</v>
      </c>
      <c r="R1197" s="8">
        <f>[1]Data!R1197</f>
        <v>0.1</v>
      </c>
      <c r="S1197" s="8">
        <f>[1]Data!S1197</f>
        <v>0</v>
      </c>
      <c r="T1197">
        <f t="shared" si="90"/>
        <v>0.12368421052631579</v>
      </c>
      <c r="U1197">
        <f t="shared" si="91"/>
        <v>0</v>
      </c>
      <c r="V1197" s="4" t="str">
        <f t="shared" si="92"/>
        <v>1</v>
      </c>
      <c r="W1197" s="4" t="str">
        <f t="shared" si="93"/>
        <v>4</v>
      </c>
      <c r="X1197" s="4" t="str">
        <f t="shared" si="94"/>
        <v>1NON-HS4</v>
      </c>
      <c r="Y1197">
        <f>VLOOKUP(X1197,Sheet1!$J$5:$K$121,2,FALSE)</f>
        <v>0.1</v>
      </c>
    </row>
    <row r="1198" spans="1:25" x14ac:dyDescent="0.25">
      <c r="A1198" s="8">
        <f>[1]Data!A1198</f>
        <v>209104</v>
      </c>
      <c r="B1198" s="8">
        <f>[1]Data!B1198</f>
        <v>4</v>
      </c>
      <c r="C1198" s="8">
        <f>[1]Data!C1198</f>
        <v>1</v>
      </c>
      <c r="D1198" s="8">
        <f>[1]Data!D1198</f>
        <v>1</v>
      </c>
      <c r="E1198" s="8" t="str">
        <f>[1]Data!E1198</f>
        <v>NON-HS</v>
      </c>
      <c r="F1198" s="8" t="str">
        <f>[1]Data!F1198</f>
        <v>Westlake</v>
      </c>
      <c r="G1198" s="8">
        <f>[1]Data!G1198</f>
        <v>0</v>
      </c>
      <c r="H1198" s="8">
        <f>[1]Data!H1198</f>
        <v>0</v>
      </c>
      <c r="I1198" s="8">
        <f>[1]Data!I1198</f>
        <v>1.8080000000000001</v>
      </c>
      <c r="J1198" s="8">
        <f>[1]Data!J1198</f>
        <v>1.73313217</v>
      </c>
      <c r="K1198" s="8">
        <f>[1]Data!K1198</f>
        <v>1.73313217</v>
      </c>
      <c r="L1198" s="8">
        <f>[1]Data!L1198</f>
        <v>7.4985510287253102E-2</v>
      </c>
      <c r="M1198" s="8">
        <f>[1]Data!M1198</f>
        <v>1.8081176802872501</v>
      </c>
      <c r="N1198" s="8">
        <f>[1]Data!N1198</f>
        <v>2.6315789473684199E-2</v>
      </c>
      <c r="O1198" s="8">
        <f>[1]Data!O1198</f>
        <v>0</v>
      </c>
      <c r="P1198" s="8">
        <f>[1]Data!P1198</f>
        <v>0.197368421052632</v>
      </c>
      <c r="Q1198" s="8">
        <f>[1]Data!Q1198</f>
        <v>0.9375</v>
      </c>
      <c r="R1198" s="8">
        <f>[1]Data!R1198</f>
        <v>0.1</v>
      </c>
      <c r="S1198" s="8">
        <f>[1]Data!S1198</f>
        <v>0</v>
      </c>
      <c r="T1198">
        <f t="shared" si="90"/>
        <v>0.12368421052631579</v>
      </c>
      <c r="U1198">
        <f t="shared" si="91"/>
        <v>0</v>
      </c>
      <c r="V1198" s="4" t="str">
        <f t="shared" si="92"/>
        <v>1</v>
      </c>
      <c r="W1198" s="4" t="str">
        <f t="shared" si="93"/>
        <v>4</v>
      </c>
      <c r="X1198" s="4" t="str">
        <f t="shared" si="94"/>
        <v>1NON-HS4</v>
      </c>
      <c r="Y1198">
        <f>VLOOKUP(X1198,Sheet1!$J$5:$K$121,2,FALSE)</f>
        <v>0.1</v>
      </c>
    </row>
    <row r="1199" spans="1:25" x14ac:dyDescent="0.25">
      <c r="A1199" s="8">
        <f>[1]Data!A1199</f>
        <v>207103</v>
      </c>
      <c r="B1199" s="8">
        <f>[1]Data!B1199</f>
        <v>4</v>
      </c>
      <c r="C1199" s="8">
        <f>[1]Data!C1199</f>
        <v>1</v>
      </c>
      <c r="D1199" s="8">
        <f>[1]Data!D1199</f>
        <v>1</v>
      </c>
      <c r="E1199" s="8" t="str">
        <f>[1]Data!E1199</f>
        <v>NON-HS</v>
      </c>
      <c r="F1199" s="8" t="str">
        <f>[1]Data!F1199</f>
        <v>Chinatown</v>
      </c>
      <c r="G1199" s="8">
        <f>[1]Data!G1199</f>
        <v>0</v>
      </c>
      <c r="H1199" s="8">
        <f>[1]Data!H1199</f>
        <v>0</v>
      </c>
      <c r="I1199" s="8">
        <f>[1]Data!I1199</f>
        <v>10.749000000000001</v>
      </c>
      <c r="J1199" s="8">
        <f>[1]Data!J1199</f>
        <v>10.27660519</v>
      </c>
      <c r="K1199" s="8">
        <f>[1]Data!K1199</f>
        <v>10.27660519</v>
      </c>
      <c r="L1199" s="8">
        <f>[1]Data!L1199</f>
        <v>0.47201936937163402</v>
      </c>
      <c r="M1199" s="8">
        <f>[1]Data!M1199</f>
        <v>10.748624559371599</v>
      </c>
      <c r="N1199" s="8">
        <f>[1]Data!N1199</f>
        <v>2.6315789473684199E-2</v>
      </c>
      <c r="O1199" s="8">
        <f>[1]Data!O1199</f>
        <v>0</v>
      </c>
      <c r="P1199" s="8">
        <f>[1]Data!P1199</f>
        <v>0.197368421052632</v>
      </c>
      <c r="Q1199" s="8">
        <f>[1]Data!Q1199</f>
        <v>0.9375</v>
      </c>
      <c r="R1199" s="8">
        <f>[1]Data!R1199</f>
        <v>0.1</v>
      </c>
      <c r="S1199" s="8">
        <f>[1]Data!S1199</f>
        <v>0</v>
      </c>
      <c r="T1199">
        <f t="shared" si="90"/>
        <v>0.12368421052631579</v>
      </c>
      <c r="U1199">
        <f t="shared" si="91"/>
        <v>0</v>
      </c>
      <c r="V1199" s="4" t="str">
        <f t="shared" si="92"/>
        <v>1</v>
      </c>
      <c r="W1199" s="4" t="str">
        <f t="shared" si="93"/>
        <v>4</v>
      </c>
      <c r="X1199" s="4" t="str">
        <f t="shared" si="94"/>
        <v>1NON-HS4</v>
      </c>
      <c r="Y1199">
        <f>VLOOKUP(X1199,Sheet1!$J$5:$K$121,2,FALSE)</f>
        <v>0.1</v>
      </c>
    </row>
    <row r="1200" spans="1:25" x14ac:dyDescent="0.25">
      <c r="A1200" s="8">
        <f>[1]Data!A1200</f>
        <v>208710</v>
      </c>
      <c r="B1200" s="8">
        <f>[1]Data!B1200</f>
        <v>4</v>
      </c>
      <c r="C1200" s="8">
        <f>[1]Data!C1200</f>
        <v>1</v>
      </c>
      <c r="D1200" s="8">
        <f>[1]Data!D1200</f>
        <v>2</v>
      </c>
      <c r="E1200" s="8" t="str">
        <f>[1]Data!E1200</f>
        <v>NON-HS</v>
      </c>
      <c r="F1200" s="8" t="str">
        <f>[1]Data!F1200</f>
        <v>Rampart Village</v>
      </c>
      <c r="G1200" s="8">
        <f>[1]Data!G1200</f>
        <v>0</v>
      </c>
      <c r="H1200" s="8">
        <f>[1]Data!H1200</f>
        <v>0</v>
      </c>
      <c r="I1200" s="8">
        <f>[1]Data!I1200</f>
        <v>9.3620000000000001</v>
      </c>
      <c r="J1200" s="8">
        <f>[1]Data!J1200</f>
        <v>7.2241836700000004</v>
      </c>
      <c r="K1200" s="8">
        <f>[1]Data!K1200</f>
        <v>9.2241836700000004</v>
      </c>
      <c r="L1200" s="8">
        <f>[1]Data!L1200</f>
        <v>0.13772808621184901</v>
      </c>
      <c r="M1200" s="8">
        <f>[1]Data!M1200</f>
        <v>9.3619117562118497</v>
      </c>
      <c r="N1200" s="8">
        <f>[1]Data!N1200</f>
        <v>2.6315789473684199E-2</v>
      </c>
      <c r="O1200" s="8">
        <f>[1]Data!O1200</f>
        <v>0</v>
      </c>
      <c r="P1200" s="8">
        <f>[1]Data!P1200</f>
        <v>0.197368421052632</v>
      </c>
      <c r="Q1200" s="8">
        <f>[1]Data!Q1200</f>
        <v>0.9375</v>
      </c>
      <c r="R1200" s="8">
        <f>[1]Data!R1200</f>
        <v>0.1</v>
      </c>
      <c r="S1200" s="8">
        <f>[1]Data!S1200</f>
        <v>0</v>
      </c>
      <c r="T1200">
        <f t="shared" si="90"/>
        <v>0.12368421052631579</v>
      </c>
      <c r="U1200">
        <f t="shared" si="91"/>
        <v>0</v>
      </c>
      <c r="V1200" s="4" t="str">
        <f t="shared" si="92"/>
        <v>1</v>
      </c>
      <c r="W1200" s="4" t="str">
        <f t="shared" si="93"/>
        <v>4</v>
      </c>
      <c r="X1200" s="4" t="str">
        <f t="shared" si="94"/>
        <v>1NON-HS4</v>
      </c>
      <c r="Y1200">
        <f>VLOOKUP(X1200,Sheet1!$J$5:$K$121,2,FALSE)</f>
        <v>0.1</v>
      </c>
    </row>
    <row r="1201" spans="1:25" x14ac:dyDescent="0.25">
      <c r="A1201" s="8">
        <f>[1]Data!A1201</f>
        <v>208904</v>
      </c>
      <c r="B1201" s="8">
        <f>[1]Data!B1201</f>
        <v>4</v>
      </c>
      <c r="C1201" s="8">
        <f>[1]Data!C1201</f>
        <v>1</v>
      </c>
      <c r="D1201" s="8">
        <f>[1]Data!D1201</f>
        <v>1</v>
      </c>
      <c r="E1201" s="8" t="str">
        <f>[1]Data!E1201</f>
        <v>NON-HS</v>
      </c>
      <c r="F1201" s="8" t="str">
        <f>[1]Data!F1201</f>
        <v>Westlake</v>
      </c>
      <c r="G1201" s="8">
        <f>[1]Data!G1201</f>
        <v>0</v>
      </c>
      <c r="H1201" s="8">
        <f>[1]Data!H1201</f>
        <v>0</v>
      </c>
      <c r="I1201" s="8">
        <f>[1]Data!I1201</f>
        <v>6</v>
      </c>
      <c r="J1201" s="8">
        <f>[1]Data!J1201</f>
        <v>0</v>
      </c>
      <c r="K1201" s="8">
        <f>[1]Data!K1201</f>
        <v>6</v>
      </c>
      <c r="L1201" s="8">
        <f>[1]Data!L1201</f>
        <v>0</v>
      </c>
      <c r="M1201" s="8">
        <f>[1]Data!M1201</f>
        <v>6</v>
      </c>
      <c r="N1201" s="8">
        <f>[1]Data!N1201</f>
        <v>2.6315789473684199E-2</v>
      </c>
      <c r="O1201" s="8">
        <f>[1]Data!O1201</f>
        <v>0</v>
      </c>
      <c r="P1201" s="8">
        <f>[1]Data!P1201</f>
        <v>0.197368421052632</v>
      </c>
      <c r="Q1201" s="8">
        <f>[1]Data!Q1201</f>
        <v>0.9375</v>
      </c>
      <c r="R1201" s="8">
        <f>[1]Data!R1201</f>
        <v>0.1</v>
      </c>
      <c r="S1201" s="8">
        <f>[1]Data!S1201</f>
        <v>0</v>
      </c>
      <c r="T1201">
        <f t="shared" si="90"/>
        <v>0.12368421052631579</v>
      </c>
      <c r="U1201">
        <f t="shared" si="91"/>
        <v>0</v>
      </c>
      <c r="V1201" s="4" t="str">
        <f t="shared" si="92"/>
        <v>1</v>
      </c>
      <c r="W1201" s="4" t="str">
        <f t="shared" si="93"/>
        <v>4</v>
      </c>
      <c r="X1201" s="4" t="str">
        <f t="shared" si="94"/>
        <v>1NON-HS4</v>
      </c>
      <c r="Y1201">
        <f>VLOOKUP(X1201,Sheet1!$J$5:$K$121,2,FALSE)</f>
        <v>0.1</v>
      </c>
    </row>
    <row r="1202" spans="1:25" x14ac:dyDescent="0.25">
      <c r="A1202" s="8">
        <f>[1]Data!A1202</f>
        <v>209103</v>
      </c>
      <c r="B1202" s="8">
        <f>[1]Data!B1202</f>
        <v>4</v>
      </c>
      <c r="C1202" s="8">
        <f>[1]Data!C1202</f>
        <v>1</v>
      </c>
      <c r="D1202" s="8">
        <f>[1]Data!D1202</f>
        <v>1</v>
      </c>
      <c r="E1202" s="8" t="str">
        <f>[1]Data!E1202</f>
        <v>NON-HS</v>
      </c>
      <c r="F1202" s="8" t="str">
        <f>[1]Data!F1202</f>
        <v>Westlake</v>
      </c>
      <c r="G1202" s="8">
        <f>[1]Data!G1202</f>
        <v>0</v>
      </c>
      <c r="H1202" s="8">
        <f>[1]Data!H1202</f>
        <v>0</v>
      </c>
      <c r="I1202" s="8">
        <f>[1]Data!I1202</f>
        <v>1</v>
      </c>
      <c r="J1202" s="8">
        <f>[1]Data!J1202</f>
        <v>0</v>
      </c>
      <c r="K1202" s="8">
        <f>[1]Data!K1202</f>
        <v>1</v>
      </c>
      <c r="L1202" s="8">
        <f>[1]Data!L1202</f>
        <v>0</v>
      </c>
      <c r="M1202" s="8">
        <f>[1]Data!M1202</f>
        <v>1</v>
      </c>
      <c r="N1202" s="8">
        <f>[1]Data!N1202</f>
        <v>2.6315789473684199E-2</v>
      </c>
      <c r="O1202" s="8">
        <f>[1]Data!O1202</f>
        <v>0</v>
      </c>
      <c r="P1202" s="8">
        <f>[1]Data!P1202</f>
        <v>0.197368421052632</v>
      </c>
      <c r="Q1202" s="8">
        <f>[1]Data!Q1202</f>
        <v>0.9375</v>
      </c>
      <c r="R1202" s="8">
        <f>[1]Data!R1202</f>
        <v>0.1</v>
      </c>
      <c r="S1202" s="8">
        <f>[1]Data!S1202</f>
        <v>0</v>
      </c>
      <c r="T1202">
        <f t="shared" si="90"/>
        <v>0.12368421052631579</v>
      </c>
      <c r="U1202">
        <f t="shared" si="91"/>
        <v>0</v>
      </c>
      <c r="V1202" s="4" t="str">
        <f t="shared" si="92"/>
        <v>1</v>
      </c>
      <c r="W1202" s="4" t="str">
        <f t="shared" si="93"/>
        <v>4</v>
      </c>
      <c r="X1202" s="4" t="str">
        <f t="shared" si="94"/>
        <v>1NON-HS4</v>
      </c>
      <c r="Y1202">
        <f>VLOOKUP(X1202,Sheet1!$J$5:$K$121,2,FALSE)</f>
        <v>0.1</v>
      </c>
    </row>
    <row r="1203" spans="1:25" x14ac:dyDescent="0.25">
      <c r="A1203" s="8">
        <f>[1]Data!A1203</f>
        <v>209403</v>
      </c>
      <c r="B1203" s="8">
        <f>[1]Data!B1203</f>
        <v>4</v>
      </c>
      <c r="C1203" s="8">
        <f>[1]Data!C1203</f>
        <v>1</v>
      </c>
      <c r="D1203" s="8">
        <f>[1]Data!D1203</f>
        <v>1</v>
      </c>
      <c r="E1203" s="8" t="str">
        <f>[1]Data!E1203</f>
        <v>NON-HS</v>
      </c>
      <c r="F1203" s="8" t="str">
        <f>[1]Data!F1203</f>
        <v>Westlake</v>
      </c>
      <c r="G1203" s="8">
        <f>[1]Data!G1203</f>
        <v>0</v>
      </c>
      <c r="H1203" s="8">
        <f>[1]Data!H1203</f>
        <v>1</v>
      </c>
      <c r="I1203" s="8">
        <f>[1]Data!I1203</f>
        <v>16.382999999999999</v>
      </c>
      <c r="J1203" s="8">
        <f>[1]Data!J1203</f>
        <v>11.11276327</v>
      </c>
      <c r="K1203" s="8">
        <f>[1]Data!K1203</f>
        <v>16.112763269999999</v>
      </c>
      <c r="L1203" s="8">
        <f>[1]Data!L1203</f>
        <v>0.26952600967683998</v>
      </c>
      <c r="M1203" s="8">
        <f>[1]Data!M1203</f>
        <v>16.382289279676801</v>
      </c>
      <c r="N1203" s="8">
        <f>[1]Data!N1203</f>
        <v>2.6315789473684199E-2</v>
      </c>
      <c r="O1203" s="8">
        <f>[1]Data!O1203</f>
        <v>0</v>
      </c>
      <c r="P1203" s="8">
        <f>[1]Data!P1203</f>
        <v>0.197368421052632</v>
      </c>
      <c r="Q1203" s="8">
        <f>[1]Data!Q1203</f>
        <v>0.9375</v>
      </c>
      <c r="R1203" s="8">
        <f>[1]Data!R1203</f>
        <v>0.1</v>
      </c>
      <c r="S1203" s="8">
        <f>[1]Data!S1203</f>
        <v>10</v>
      </c>
      <c r="T1203">
        <f t="shared" si="90"/>
        <v>0.12368421052631579</v>
      </c>
      <c r="U1203">
        <f t="shared" si="91"/>
        <v>8.085106382978724</v>
      </c>
      <c r="V1203" s="4" t="str">
        <f t="shared" si="92"/>
        <v>1</v>
      </c>
      <c r="W1203" s="4" t="str">
        <f t="shared" si="93"/>
        <v>4</v>
      </c>
      <c r="X1203" s="4" t="str">
        <f t="shared" si="94"/>
        <v>1NON-HS4</v>
      </c>
      <c r="Y1203">
        <f>VLOOKUP(X1203,Sheet1!$J$5:$K$121,2,FALSE)</f>
        <v>0.1</v>
      </c>
    </row>
    <row r="1204" spans="1:25" x14ac:dyDescent="0.25">
      <c r="A1204" s="8">
        <f>[1]Data!A1204</f>
        <v>209810</v>
      </c>
      <c r="B1204" s="8">
        <f>[1]Data!B1204</f>
        <v>4</v>
      </c>
      <c r="C1204" s="8">
        <f>[1]Data!C1204</f>
        <v>1</v>
      </c>
      <c r="D1204" s="8">
        <f>[1]Data!D1204</f>
        <v>1</v>
      </c>
      <c r="E1204" s="8" t="str">
        <f>[1]Data!E1204</f>
        <v>NON-HS</v>
      </c>
      <c r="F1204" s="8" t="str">
        <f>[1]Data!F1204</f>
        <v>Pico Union</v>
      </c>
      <c r="G1204" s="8">
        <f>[1]Data!G1204</f>
        <v>0</v>
      </c>
      <c r="H1204" s="8">
        <f>[1]Data!H1204</f>
        <v>0</v>
      </c>
      <c r="I1204" s="8">
        <f>[1]Data!I1204</f>
        <v>4.851</v>
      </c>
      <c r="J1204" s="8">
        <f>[1]Data!J1204</f>
        <v>3.8097598800000001</v>
      </c>
      <c r="K1204" s="8">
        <f>[1]Data!K1204</f>
        <v>4.8097598799999997</v>
      </c>
      <c r="L1204" s="8">
        <f>[1]Data!L1204</f>
        <v>4.1250644165170602E-2</v>
      </c>
      <c r="M1204" s="8">
        <f>[1]Data!M1204</f>
        <v>4.8510105241651704</v>
      </c>
      <c r="N1204" s="8">
        <f>[1]Data!N1204</f>
        <v>2.6315789473684199E-2</v>
      </c>
      <c r="O1204" s="8">
        <f>[1]Data!O1204</f>
        <v>0</v>
      </c>
      <c r="P1204" s="8">
        <f>[1]Data!P1204</f>
        <v>0.197368421052632</v>
      </c>
      <c r="Q1204" s="8">
        <f>[1]Data!Q1204</f>
        <v>0.9375</v>
      </c>
      <c r="R1204" s="8">
        <f>[1]Data!R1204</f>
        <v>0.1</v>
      </c>
      <c r="S1204" s="8">
        <f>[1]Data!S1204</f>
        <v>0</v>
      </c>
      <c r="T1204">
        <f t="shared" si="90"/>
        <v>0.12368421052631579</v>
      </c>
      <c r="U1204">
        <f t="shared" si="91"/>
        <v>0</v>
      </c>
      <c r="V1204" s="4" t="str">
        <f t="shared" si="92"/>
        <v>1</v>
      </c>
      <c r="W1204" s="4" t="str">
        <f t="shared" si="93"/>
        <v>4</v>
      </c>
      <c r="X1204" s="4" t="str">
        <f t="shared" si="94"/>
        <v>1NON-HS4</v>
      </c>
      <c r="Y1204">
        <f>VLOOKUP(X1204,Sheet1!$J$5:$K$121,2,FALSE)</f>
        <v>0.1</v>
      </c>
    </row>
    <row r="1205" spans="1:25" x14ac:dyDescent="0.25">
      <c r="A1205" s="8">
        <f>[1]Data!A1205</f>
        <v>209820</v>
      </c>
      <c r="B1205" s="8">
        <f>[1]Data!B1205</f>
        <v>4</v>
      </c>
      <c r="C1205" s="8">
        <f>[1]Data!C1205</f>
        <v>1</v>
      </c>
      <c r="D1205" s="8">
        <f>[1]Data!D1205</f>
        <v>1</v>
      </c>
      <c r="E1205" s="8" t="str">
        <f>[1]Data!E1205</f>
        <v>NON-HS</v>
      </c>
      <c r="F1205" s="8" t="str">
        <f>[1]Data!F1205</f>
        <v>Pico Union</v>
      </c>
      <c r="G1205" s="8">
        <f>[1]Data!G1205</f>
        <v>0</v>
      </c>
      <c r="H1205" s="8">
        <f>[1]Data!H1205</f>
        <v>0</v>
      </c>
      <c r="I1205" s="8">
        <f>[1]Data!I1205</f>
        <v>1.9259999999999999</v>
      </c>
      <c r="J1205" s="8">
        <f>[1]Data!J1205</f>
        <v>1.90487994</v>
      </c>
      <c r="K1205" s="8">
        <f>[1]Data!K1205</f>
        <v>1.90487994</v>
      </c>
      <c r="L1205" s="8">
        <f>[1]Data!L1205</f>
        <v>2.0625322082585301E-2</v>
      </c>
      <c r="M1205" s="8">
        <f>[1]Data!M1205</f>
        <v>1.9255052620825901</v>
      </c>
      <c r="N1205" s="8">
        <f>[1]Data!N1205</f>
        <v>2.6315789473684199E-2</v>
      </c>
      <c r="O1205" s="8">
        <f>[1]Data!O1205</f>
        <v>0</v>
      </c>
      <c r="P1205" s="8">
        <f>[1]Data!P1205</f>
        <v>0.197368421052632</v>
      </c>
      <c r="Q1205" s="8">
        <f>[1]Data!Q1205</f>
        <v>0.9375</v>
      </c>
      <c r="R1205" s="8">
        <f>[1]Data!R1205</f>
        <v>0.1</v>
      </c>
      <c r="S1205" s="8">
        <f>[1]Data!S1205</f>
        <v>0</v>
      </c>
      <c r="T1205">
        <f t="shared" si="90"/>
        <v>0.12368421052631579</v>
      </c>
      <c r="U1205">
        <f t="shared" si="91"/>
        <v>0</v>
      </c>
      <c r="V1205" s="4" t="str">
        <f t="shared" si="92"/>
        <v>1</v>
      </c>
      <c r="W1205" s="4" t="str">
        <f t="shared" si="93"/>
        <v>4</v>
      </c>
      <c r="X1205" s="4" t="str">
        <f t="shared" si="94"/>
        <v>1NON-HS4</v>
      </c>
      <c r="Y1205">
        <f>VLOOKUP(X1205,Sheet1!$J$5:$K$121,2,FALSE)</f>
        <v>0.1</v>
      </c>
    </row>
    <row r="1206" spans="1:25" x14ac:dyDescent="0.25">
      <c r="A1206" s="8">
        <f>[1]Data!A1206</f>
        <v>212202</v>
      </c>
      <c r="B1206" s="8">
        <f>[1]Data!B1206</f>
        <v>4</v>
      </c>
      <c r="C1206" s="8">
        <f>[1]Data!C1206</f>
        <v>1</v>
      </c>
      <c r="D1206" s="8">
        <f>[1]Data!D1206</f>
        <v>2</v>
      </c>
      <c r="E1206" s="8" t="str">
        <f>[1]Data!E1206</f>
        <v>NON-HS</v>
      </c>
      <c r="F1206" s="8" t="str">
        <f>[1]Data!F1206</f>
        <v>Westlake</v>
      </c>
      <c r="G1206" s="8">
        <f>[1]Data!G1206</f>
        <v>0</v>
      </c>
      <c r="H1206" s="8">
        <f>[1]Data!H1206</f>
        <v>0</v>
      </c>
      <c r="I1206" s="8">
        <f>[1]Data!I1206</f>
        <v>2</v>
      </c>
      <c r="J1206" s="8">
        <f>[1]Data!J1206</f>
        <v>0</v>
      </c>
      <c r="K1206" s="8">
        <f>[1]Data!K1206</f>
        <v>2</v>
      </c>
      <c r="L1206" s="8">
        <f>[1]Data!L1206</f>
        <v>0</v>
      </c>
      <c r="M1206" s="8">
        <f>[1]Data!M1206</f>
        <v>2</v>
      </c>
      <c r="N1206" s="8">
        <f>[1]Data!N1206</f>
        <v>2.6315789473684199E-2</v>
      </c>
      <c r="O1206" s="8">
        <f>[1]Data!O1206</f>
        <v>0</v>
      </c>
      <c r="P1206" s="8">
        <f>[1]Data!P1206</f>
        <v>0.197368421052632</v>
      </c>
      <c r="Q1206" s="8">
        <f>[1]Data!Q1206</f>
        <v>0.9375</v>
      </c>
      <c r="R1206" s="8">
        <f>[1]Data!R1206</f>
        <v>0.1</v>
      </c>
      <c r="S1206" s="8">
        <f>[1]Data!S1206</f>
        <v>0</v>
      </c>
      <c r="T1206">
        <f t="shared" si="90"/>
        <v>0.12368421052631579</v>
      </c>
      <c r="U1206">
        <f t="shared" si="91"/>
        <v>0</v>
      </c>
      <c r="V1206" s="4" t="str">
        <f t="shared" si="92"/>
        <v>1</v>
      </c>
      <c r="W1206" s="4" t="str">
        <f t="shared" si="93"/>
        <v>4</v>
      </c>
      <c r="X1206" s="4" t="str">
        <f t="shared" si="94"/>
        <v>1NON-HS4</v>
      </c>
      <c r="Y1206">
        <f>VLOOKUP(X1206,Sheet1!$J$5:$K$121,2,FALSE)</f>
        <v>0.1</v>
      </c>
    </row>
    <row r="1207" spans="1:25" x14ac:dyDescent="0.25">
      <c r="A1207" s="8">
        <f>[1]Data!A1207</f>
        <v>213401</v>
      </c>
      <c r="B1207" s="8">
        <f>[1]Data!B1207</f>
        <v>4</v>
      </c>
      <c r="C1207" s="8">
        <f>[1]Data!C1207</f>
        <v>1</v>
      </c>
      <c r="D1207" s="8">
        <f>[1]Data!D1207</f>
        <v>2</v>
      </c>
      <c r="E1207" s="8" t="str">
        <f>[1]Data!E1207</f>
        <v>NON-HS</v>
      </c>
      <c r="F1207" s="8" t="str">
        <f>[1]Data!F1207</f>
        <v>Westlake</v>
      </c>
      <c r="G1207" s="8">
        <f>[1]Data!G1207</f>
        <v>0</v>
      </c>
      <c r="H1207" s="8">
        <f>[1]Data!H1207</f>
        <v>0</v>
      </c>
      <c r="I1207" s="8">
        <f>[1]Data!I1207</f>
        <v>6.7720000000000002</v>
      </c>
      <c r="J1207" s="8">
        <f>[1]Data!J1207</f>
        <v>4.31758971</v>
      </c>
      <c r="K1207" s="8">
        <f>[1]Data!K1207</f>
        <v>6.31758971</v>
      </c>
      <c r="L1207" s="8">
        <f>[1]Data!L1207</f>
        <v>0.45435601842010798</v>
      </c>
      <c r="M1207" s="8">
        <f>[1]Data!M1207</f>
        <v>6.7719457284201097</v>
      </c>
      <c r="N1207" s="8">
        <f>[1]Data!N1207</f>
        <v>2.6315789473684199E-2</v>
      </c>
      <c r="O1207" s="8">
        <f>[1]Data!O1207</f>
        <v>0</v>
      </c>
      <c r="P1207" s="8">
        <f>[1]Data!P1207</f>
        <v>0.197368421052632</v>
      </c>
      <c r="Q1207" s="8">
        <f>[1]Data!Q1207</f>
        <v>0.9375</v>
      </c>
      <c r="R1207" s="8">
        <f>[1]Data!R1207</f>
        <v>0.1</v>
      </c>
      <c r="S1207" s="8">
        <f>[1]Data!S1207</f>
        <v>0</v>
      </c>
      <c r="T1207">
        <f t="shared" si="90"/>
        <v>0.12368421052631579</v>
      </c>
      <c r="U1207">
        <f t="shared" si="91"/>
        <v>0</v>
      </c>
      <c r="V1207" s="4" t="str">
        <f t="shared" si="92"/>
        <v>1</v>
      </c>
      <c r="W1207" s="4" t="str">
        <f t="shared" si="93"/>
        <v>4</v>
      </c>
      <c r="X1207" s="4" t="str">
        <f t="shared" si="94"/>
        <v>1NON-HS4</v>
      </c>
      <c r="Y1207">
        <f>VLOOKUP(X1207,Sheet1!$J$5:$K$121,2,FALSE)</f>
        <v>0.1</v>
      </c>
    </row>
    <row r="1208" spans="1:25" x14ac:dyDescent="0.25">
      <c r="A1208" s="8">
        <f>[1]Data!A1208</f>
        <v>221120</v>
      </c>
      <c r="B1208" s="8">
        <f>[1]Data!B1208</f>
        <v>4</v>
      </c>
      <c r="C1208" s="8">
        <f>[1]Data!C1208</f>
        <v>1</v>
      </c>
      <c r="D1208" s="8">
        <f>[1]Data!D1208</f>
        <v>2</v>
      </c>
      <c r="E1208" s="8" t="str">
        <f>[1]Data!E1208</f>
        <v>NON-HS</v>
      </c>
      <c r="F1208" s="8" t="str">
        <f>[1]Data!F1208</f>
        <v>Pico Union</v>
      </c>
      <c r="G1208" s="8">
        <f>[1]Data!G1208</f>
        <v>0</v>
      </c>
      <c r="H1208" s="8">
        <f>[1]Data!H1208</f>
        <v>0</v>
      </c>
      <c r="I1208" s="8">
        <f>[1]Data!I1208</f>
        <v>6.3319999999999999</v>
      </c>
      <c r="J1208" s="8">
        <f>[1]Data!J1208</f>
        <v>5.26746318</v>
      </c>
      <c r="K1208" s="8">
        <f>[1]Data!K1208</f>
        <v>6.26746318</v>
      </c>
      <c r="L1208" s="8">
        <f>[1]Data!L1208</f>
        <v>6.3609185601436302E-2</v>
      </c>
      <c r="M1208" s="8">
        <f>[1]Data!M1208</f>
        <v>6.3310723656014396</v>
      </c>
      <c r="N1208" s="8">
        <f>[1]Data!N1208</f>
        <v>2.6315789473684199E-2</v>
      </c>
      <c r="O1208" s="8">
        <f>[1]Data!O1208</f>
        <v>0</v>
      </c>
      <c r="P1208" s="8">
        <f>[1]Data!P1208</f>
        <v>0.197368421052632</v>
      </c>
      <c r="Q1208" s="8">
        <f>[1]Data!Q1208</f>
        <v>0.9375</v>
      </c>
      <c r="R1208" s="8">
        <f>[1]Data!R1208</f>
        <v>0.1</v>
      </c>
      <c r="S1208" s="8">
        <f>[1]Data!S1208</f>
        <v>0</v>
      </c>
      <c r="T1208">
        <f t="shared" si="90"/>
        <v>0.12368421052631579</v>
      </c>
      <c r="U1208">
        <f t="shared" si="91"/>
        <v>0</v>
      </c>
      <c r="V1208" s="4" t="str">
        <f t="shared" si="92"/>
        <v>1</v>
      </c>
      <c r="W1208" s="4" t="str">
        <f t="shared" si="93"/>
        <v>4</v>
      </c>
      <c r="X1208" s="4" t="str">
        <f t="shared" si="94"/>
        <v>1NON-HS4</v>
      </c>
      <c r="Y1208">
        <f>VLOOKUP(X1208,Sheet1!$J$5:$K$121,2,FALSE)</f>
        <v>0.1</v>
      </c>
    </row>
    <row r="1209" spans="1:25" x14ac:dyDescent="0.25">
      <c r="A1209" s="8">
        <f>[1]Data!A1209</f>
        <v>224200</v>
      </c>
      <c r="B1209" s="8">
        <f>[1]Data!B1209</f>
        <v>4</v>
      </c>
      <c r="C1209" s="8">
        <f>[1]Data!C1209</f>
        <v>1</v>
      </c>
      <c r="D1209" s="8">
        <f>[1]Data!D1209</f>
        <v>1</v>
      </c>
      <c r="E1209" s="8" t="str">
        <f>[1]Data!E1209</f>
        <v>NON-HS</v>
      </c>
      <c r="F1209" s="8" t="str">
        <f>[1]Data!F1209</f>
        <v>Pico Union</v>
      </c>
      <c r="G1209" s="8">
        <f>[1]Data!G1209</f>
        <v>0</v>
      </c>
      <c r="H1209" s="8">
        <f>[1]Data!H1209</f>
        <v>0</v>
      </c>
      <c r="I1209" s="8">
        <f>[1]Data!I1209</f>
        <v>26.972000000000001</v>
      </c>
      <c r="J1209" s="8">
        <f>[1]Data!J1209</f>
        <v>18.252491330000002</v>
      </c>
      <c r="K1209" s="8">
        <f>[1]Data!K1209</f>
        <v>26.252491330000002</v>
      </c>
      <c r="L1209" s="8">
        <f>[1]Data!L1209</f>
        <v>0.71830872886894104</v>
      </c>
      <c r="M1209" s="8">
        <f>[1]Data!M1209</f>
        <v>26.9708000588689</v>
      </c>
      <c r="N1209" s="8">
        <f>[1]Data!N1209</f>
        <v>2.6315789473684199E-2</v>
      </c>
      <c r="O1209" s="8">
        <f>[1]Data!O1209</f>
        <v>0</v>
      </c>
      <c r="P1209" s="8">
        <f>[1]Data!P1209</f>
        <v>0.197368421052632</v>
      </c>
      <c r="Q1209" s="8">
        <f>[1]Data!Q1209</f>
        <v>0.9375</v>
      </c>
      <c r="R1209" s="8">
        <f>[1]Data!R1209</f>
        <v>0.1</v>
      </c>
      <c r="S1209" s="8">
        <f>[1]Data!S1209</f>
        <v>0</v>
      </c>
      <c r="T1209">
        <f t="shared" si="90"/>
        <v>0.12368421052631579</v>
      </c>
      <c r="U1209">
        <f t="shared" si="91"/>
        <v>0</v>
      </c>
      <c r="V1209" s="4" t="str">
        <f t="shared" si="92"/>
        <v>1</v>
      </c>
      <c r="W1209" s="4" t="str">
        <f t="shared" si="93"/>
        <v>4</v>
      </c>
      <c r="X1209" s="4" t="str">
        <f t="shared" si="94"/>
        <v>1NON-HS4</v>
      </c>
      <c r="Y1209">
        <f>VLOOKUP(X1209,Sheet1!$J$5:$K$121,2,FALSE)</f>
        <v>0.1</v>
      </c>
    </row>
    <row r="1210" spans="1:25" x14ac:dyDescent="0.25">
      <c r="A1210" s="8">
        <f>[1]Data!A1210</f>
        <v>224310</v>
      </c>
      <c r="B1210" s="8">
        <f>[1]Data!B1210</f>
        <v>4</v>
      </c>
      <c r="C1210" s="8">
        <f>[1]Data!C1210</f>
        <v>1</v>
      </c>
      <c r="D1210" s="8">
        <f>[1]Data!D1210</f>
        <v>1</v>
      </c>
      <c r="E1210" s="8" t="str">
        <f>[1]Data!E1210</f>
        <v>NON-HS</v>
      </c>
      <c r="F1210" s="8" t="str">
        <f>[1]Data!F1210</f>
        <v>Pico Union</v>
      </c>
      <c r="G1210" s="8">
        <f>[1]Data!G1210</f>
        <v>0</v>
      </c>
      <c r="H1210" s="8">
        <f>[1]Data!H1210</f>
        <v>0</v>
      </c>
      <c r="I1210" s="8">
        <f>[1]Data!I1210</f>
        <v>1.7030000000000001</v>
      </c>
      <c r="J1210" s="8">
        <f>[1]Data!J1210</f>
        <v>1.6812916200000001</v>
      </c>
      <c r="K1210" s="8">
        <f>[1]Data!K1210</f>
        <v>1.6812916200000001</v>
      </c>
      <c r="L1210" s="8">
        <f>[1]Data!L1210</f>
        <v>2.14919317594255E-2</v>
      </c>
      <c r="M1210" s="8">
        <f>[1]Data!M1210</f>
        <v>1.7027835517594301</v>
      </c>
      <c r="N1210" s="8">
        <f>[1]Data!N1210</f>
        <v>2.6315789473684199E-2</v>
      </c>
      <c r="O1210" s="8">
        <f>[1]Data!O1210</f>
        <v>0</v>
      </c>
      <c r="P1210" s="8">
        <f>[1]Data!P1210</f>
        <v>0.197368421052632</v>
      </c>
      <c r="Q1210" s="8">
        <f>[1]Data!Q1210</f>
        <v>0.9375</v>
      </c>
      <c r="R1210" s="8">
        <f>[1]Data!R1210</f>
        <v>0.1</v>
      </c>
      <c r="S1210" s="8">
        <f>[1]Data!S1210</f>
        <v>0</v>
      </c>
      <c r="T1210">
        <f t="shared" si="90"/>
        <v>0.12368421052631579</v>
      </c>
      <c r="U1210">
        <f t="shared" si="91"/>
        <v>0</v>
      </c>
      <c r="V1210" s="4" t="str">
        <f t="shared" si="92"/>
        <v>1</v>
      </c>
      <c r="W1210" s="4" t="str">
        <f t="shared" si="93"/>
        <v>4</v>
      </c>
      <c r="X1210" s="4" t="str">
        <f t="shared" si="94"/>
        <v>1NON-HS4</v>
      </c>
      <c r="Y1210">
        <f>VLOOKUP(X1210,Sheet1!$J$5:$K$121,2,FALSE)</f>
        <v>0.1</v>
      </c>
    </row>
    <row r="1211" spans="1:25" x14ac:dyDescent="0.25">
      <c r="A1211" s="8">
        <f>[1]Data!A1211</f>
        <v>224320</v>
      </c>
      <c r="B1211" s="8">
        <f>[1]Data!B1211</f>
        <v>4</v>
      </c>
      <c r="C1211" s="8">
        <f>[1]Data!C1211</f>
        <v>1</v>
      </c>
      <c r="D1211" s="8">
        <f>[1]Data!D1211</f>
        <v>1</v>
      </c>
      <c r="E1211" s="8" t="str">
        <f>[1]Data!E1211</f>
        <v>NON-HS</v>
      </c>
      <c r="F1211" s="8" t="str">
        <f>[1]Data!F1211</f>
        <v>Pico Union</v>
      </c>
      <c r="G1211" s="8">
        <f>[1]Data!G1211</f>
        <v>0</v>
      </c>
      <c r="H1211" s="8">
        <f>[1]Data!H1211</f>
        <v>0</v>
      </c>
      <c r="I1211" s="8">
        <f>[1]Data!I1211</f>
        <v>17.213000000000001</v>
      </c>
      <c r="J1211" s="8">
        <f>[1]Data!J1211</f>
        <v>11.03394355</v>
      </c>
      <c r="K1211" s="8">
        <f>[1]Data!K1211</f>
        <v>17.03394355</v>
      </c>
      <c r="L1211" s="8">
        <f>[1]Data!L1211</f>
        <v>0.17897873037702</v>
      </c>
      <c r="M1211" s="8">
        <f>[1]Data!M1211</f>
        <v>17.212922280377001</v>
      </c>
      <c r="N1211" s="8">
        <f>[1]Data!N1211</f>
        <v>2.6315789473684199E-2</v>
      </c>
      <c r="O1211" s="8">
        <f>[1]Data!O1211</f>
        <v>0</v>
      </c>
      <c r="P1211" s="8">
        <f>[1]Data!P1211</f>
        <v>0.197368421052632</v>
      </c>
      <c r="Q1211" s="8">
        <f>[1]Data!Q1211</f>
        <v>0.9375</v>
      </c>
      <c r="R1211" s="8">
        <f>[1]Data!R1211</f>
        <v>0.1</v>
      </c>
      <c r="S1211" s="8">
        <f>[1]Data!S1211</f>
        <v>0</v>
      </c>
      <c r="T1211">
        <f t="shared" si="90"/>
        <v>0.12368421052631579</v>
      </c>
      <c r="U1211">
        <f t="shared" si="91"/>
        <v>0</v>
      </c>
      <c r="V1211" s="4" t="str">
        <f t="shared" si="92"/>
        <v>1</v>
      </c>
      <c r="W1211" s="4" t="str">
        <f t="shared" si="93"/>
        <v>4</v>
      </c>
      <c r="X1211" s="4" t="str">
        <f t="shared" si="94"/>
        <v>1NON-HS4</v>
      </c>
      <c r="Y1211">
        <f>VLOOKUP(X1211,Sheet1!$J$5:$K$121,2,FALSE)</f>
        <v>0.1</v>
      </c>
    </row>
    <row r="1212" spans="1:25" x14ac:dyDescent="0.25">
      <c r="A1212" s="8">
        <f>[1]Data!A1212</f>
        <v>186404</v>
      </c>
      <c r="B1212" s="8">
        <f>[1]Data!B1212</f>
        <v>4</v>
      </c>
      <c r="C1212" s="8">
        <f>[1]Data!C1212</f>
        <v>1</v>
      </c>
      <c r="D1212" s="8">
        <f>[1]Data!D1212</f>
        <v>1</v>
      </c>
      <c r="E1212" s="8" t="str">
        <f>[1]Data!E1212</f>
        <v>NON-HS</v>
      </c>
      <c r="F1212" s="8" t="str">
        <f>[1]Data!F1212</f>
        <v>Glassell Park</v>
      </c>
      <c r="G1212" s="8">
        <f>[1]Data!G1212</f>
        <v>0</v>
      </c>
      <c r="H1212" s="8">
        <f>[1]Data!H1212</f>
        <v>1</v>
      </c>
      <c r="I1212" s="8">
        <f>[1]Data!I1212</f>
        <v>13.803000000000001</v>
      </c>
      <c r="J1212" s="8">
        <f>[1]Data!J1212</f>
        <v>13.13419515</v>
      </c>
      <c r="K1212" s="8">
        <f>[1]Data!K1212</f>
        <v>13.13419515</v>
      </c>
      <c r="L1212" s="8">
        <f>[1]Data!L1212</f>
        <v>0.66964693639138195</v>
      </c>
      <c r="M1212" s="8">
        <f>[1]Data!M1212</f>
        <v>13.8038420863914</v>
      </c>
      <c r="N1212" s="8">
        <f>[1]Data!N1212</f>
        <v>2.6315789473684199E-2</v>
      </c>
      <c r="O1212" s="8">
        <f>[1]Data!O1212</f>
        <v>0</v>
      </c>
      <c r="P1212" s="8">
        <f>[1]Data!P1212</f>
        <v>0.197368421052632</v>
      </c>
      <c r="Q1212" s="8">
        <f>[1]Data!Q1212</f>
        <v>0.9375</v>
      </c>
      <c r="R1212" s="8">
        <f>[1]Data!R1212</f>
        <v>0.1</v>
      </c>
      <c r="S1212" s="8">
        <f>[1]Data!S1212</f>
        <v>10</v>
      </c>
      <c r="T1212">
        <f t="shared" si="90"/>
        <v>0.12368421052631579</v>
      </c>
      <c r="U1212">
        <f t="shared" si="91"/>
        <v>8.085106382978724</v>
      </c>
      <c r="V1212" s="4" t="str">
        <f t="shared" si="92"/>
        <v>1</v>
      </c>
      <c r="W1212" s="4" t="str">
        <f t="shared" si="93"/>
        <v>4</v>
      </c>
      <c r="X1212" s="4" t="str">
        <f t="shared" si="94"/>
        <v>1NON-HS4</v>
      </c>
      <c r="Y1212">
        <f>VLOOKUP(X1212,Sheet1!$J$5:$K$121,2,FALSE)</f>
        <v>0.1</v>
      </c>
    </row>
    <row r="1213" spans="1:25" x14ac:dyDescent="0.25">
      <c r="A1213" s="8">
        <f>[1]Data!A1213</f>
        <v>183510</v>
      </c>
      <c r="B1213" s="8">
        <f>[1]Data!B1213</f>
        <v>4</v>
      </c>
      <c r="C1213" s="8">
        <f>[1]Data!C1213</f>
        <v>1</v>
      </c>
      <c r="D1213" s="8">
        <f>[1]Data!D1213</f>
        <v>1</v>
      </c>
      <c r="E1213" s="8" t="str">
        <f>[1]Data!E1213</f>
        <v>NON-HS</v>
      </c>
      <c r="F1213" s="8" t="str">
        <f>[1]Data!F1213</f>
        <v>Highland Park</v>
      </c>
      <c r="G1213" s="8">
        <f>[1]Data!G1213</f>
        <v>0</v>
      </c>
      <c r="H1213" s="8">
        <f>[1]Data!H1213</f>
        <v>1</v>
      </c>
      <c r="I1213" s="8">
        <f>[1]Data!I1213</f>
        <v>17.706</v>
      </c>
      <c r="J1213" s="8">
        <f>[1]Data!J1213</f>
        <v>16.85102698</v>
      </c>
      <c r="K1213" s="8">
        <f>[1]Data!K1213</f>
        <v>16.85102698</v>
      </c>
      <c r="L1213" s="8">
        <f>[1]Data!L1213</f>
        <v>0.85580504806104096</v>
      </c>
      <c r="M1213" s="8">
        <f>[1]Data!M1213</f>
        <v>17.706832028061001</v>
      </c>
      <c r="N1213" s="8">
        <f>[1]Data!N1213</f>
        <v>2.6315789473684199E-2</v>
      </c>
      <c r="O1213" s="8">
        <f>[1]Data!O1213</f>
        <v>0</v>
      </c>
      <c r="P1213" s="8">
        <f>[1]Data!P1213</f>
        <v>0.197368421052632</v>
      </c>
      <c r="Q1213" s="8">
        <f>[1]Data!Q1213</f>
        <v>0.9375</v>
      </c>
      <c r="R1213" s="8">
        <f>[1]Data!R1213</f>
        <v>0.1</v>
      </c>
      <c r="S1213" s="8">
        <f>[1]Data!S1213</f>
        <v>10</v>
      </c>
      <c r="T1213">
        <f t="shared" si="90"/>
        <v>0.12368421052631579</v>
      </c>
      <c r="U1213">
        <f t="shared" si="91"/>
        <v>8.085106382978724</v>
      </c>
      <c r="V1213" s="4" t="str">
        <f t="shared" si="92"/>
        <v>1</v>
      </c>
      <c r="W1213" s="4" t="str">
        <f t="shared" si="93"/>
        <v>4</v>
      </c>
      <c r="X1213" s="4" t="str">
        <f t="shared" si="94"/>
        <v>1NON-HS4</v>
      </c>
      <c r="Y1213">
        <f>VLOOKUP(X1213,Sheet1!$J$5:$K$121,2,FALSE)</f>
        <v>0.1</v>
      </c>
    </row>
    <row r="1214" spans="1:25" x14ac:dyDescent="0.25">
      <c r="A1214" s="8">
        <f>[1]Data!A1214</f>
        <v>183520</v>
      </c>
      <c r="B1214" s="8">
        <f>[1]Data!B1214</f>
        <v>4</v>
      </c>
      <c r="C1214" s="8">
        <f>[1]Data!C1214</f>
        <v>1</v>
      </c>
      <c r="D1214" s="8">
        <f>[1]Data!D1214</f>
        <v>1</v>
      </c>
      <c r="E1214" s="8" t="str">
        <f>[1]Data!E1214</f>
        <v>NON-HS</v>
      </c>
      <c r="F1214" s="8" t="str">
        <f>[1]Data!F1214</f>
        <v>Highland Park</v>
      </c>
      <c r="G1214" s="8">
        <f>[1]Data!G1214</f>
        <v>0</v>
      </c>
      <c r="H1214" s="8">
        <f>[1]Data!H1214</f>
        <v>0</v>
      </c>
      <c r="I1214" s="8">
        <f>[1]Data!I1214</f>
        <v>12.725</v>
      </c>
      <c r="J1214" s="8">
        <f>[1]Data!J1214</f>
        <v>11.51357256</v>
      </c>
      <c r="K1214" s="8">
        <f>[1]Data!K1214</f>
        <v>11.51357256</v>
      </c>
      <c r="L1214" s="8">
        <f>[1]Data!L1214</f>
        <v>1.2116160491202901</v>
      </c>
      <c r="M1214" s="8">
        <f>[1]Data!M1214</f>
        <v>12.7251886091203</v>
      </c>
      <c r="N1214" s="8">
        <f>[1]Data!N1214</f>
        <v>2.6315789473684199E-2</v>
      </c>
      <c r="O1214" s="8">
        <f>[1]Data!O1214</f>
        <v>0</v>
      </c>
      <c r="P1214" s="8">
        <f>[1]Data!P1214</f>
        <v>0.197368421052632</v>
      </c>
      <c r="Q1214" s="8">
        <f>[1]Data!Q1214</f>
        <v>0.9375</v>
      </c>
      <c r="R1214" s="8">
        <f>[1]Data!R1214</f>
        <v>0.1</v>
      </c>
      <c r="S1214" s="8">
        <f>[1]Data!S1214</f>
        <v>0</v>
      </c>
      <c r="T1214">
        <f t="shared" si="90"/>
        <v>0.12368421052631579</v>
      </c>
      <c r="U1214">
        <f t="shared" si="91"/>
        <v>0</v>
      </c>
      <c r="V1214" s="4" t="str">
        <f t="shared" si="92"/>
        <v>1</v>
      </c>
      <c r="W1214" s="4" t="str">
        <f t="shared" si="93"/>
        <v>4</v>
      </c>
      <c r="X1214" s="4" t="str">
        <f t="shared" si="94"/>
        <v>1NON-HS4</v>
      </c>
      <c r="Y1214">
        <f>VLOOKUP(X1214,Sheet1!$J$5:$K$121,2,FALSE)</f>
        <v>0.1</v>
      </c>
    </row>
    <row r="1215" spans="1:25" x14ac:dyDescent="0.25">
      <c r="A1215" s="8">
        <f>[1]Data!A1215</f>
        <v>185202</v>
      </c>
      <c r="B1215" s="8">
        <f>[1]Data!B1215</f>
        <v>4</v>
      </c>
      <c r="C1215" s="8">
        <f>[1]Data!C1215</f>
        <v>1</v>
      </c>
      <c r="D1215" s="8">
        <f>[1]Data!D1215</f>
        <v>1</v>
      </c>
      <c r="E1215" s="8" t="str">
        <f>[1]Data!E1215</f>
        <v>NON-HS</v>
      </c>
      <c r="F1215" s="8" t="str">
        <f>[1]Data!F1215</f>
        <v>Eagle Rock</v>
      </c>
      <c r="G1215" s="8">
        <f>[1]Data!G1215</f>
        <v>0</v>
      </c>
      <c r="H1215" s="8">
        <f>[1]Data!H1215</f>
        <v>0</v>
      </c>
      <c r="I1215" s="8">
        <f>[1]Data!I1215</f>
        <v>15.077</v>
      </c>
      <c r="J1215" s="8">
        <f>[1]Data!J1215</f>
        <v>14.157268289999999</v>
      </c>
      <c r="K1215" s="8">
        <f>[1]Data!K1215</f>
        <v>14.157268289999999</v>
      </c>
      <c r="L1215" s="8">
        <f>[1]Data!L1215</f>
        <v>0.91967174603231605</v>
      </c>
      <c r="M1215" s="8">
        <f>[1]Data!M1215</f>
        <v>15.076940036032299</v>
      </c>
      <c r="N1215" s="8">
        <f>[1]Data!N1215</f>
        <v>2.6315789473684199E-2</v>
      </c>
      <c r="O1215" s="8">
        <f>[1]Data!O1215</f>
        <v>0</v>
      </c>
      <c r="P1215" s="8">
        <f>[1]Data!P1215</f>
        <v>0.197368421052632</v>
      </c>
      <c r="Q1215" s="8">
        <f>[1]Data!Q1215</f>
        <v>0.9375</v>
      </c>
      <c r="R1215" s="8">
        <f>[1]Data!R1215</f>
        <v>0.1</v>
      </c>
      <c r="S1215" s="8">
        <f>[1]Data!S1215</f>
        <v>0</v>
      </c>
      <c r="T1215">
        <f t="shared" si="90"/>
        <v>0.12368421052631579</v>
      </c>
      <c r="U1215">
        <f t="shared" si="91"/>
        <v>0</v>
      </c>
      <c r="V1215" s="4" t="str">
        <f t="shared" si="92"/>
        <v>1</v>
      </c>
      <c r="W1215" s="4" t="str">
        <f t="shared" si="93"/>
        <v>4</v>
      </c>
      <c r="X1215" s="4" t="str">
        <f t="shared" si="94"/>
        <v>1NON-HS4</v>
      </c>
      <c r="Y1215">
        <f>VLOOKUP(X1215,Sheet1!$J$5:$K$121,2,FALSE)</f>
        <v>0.1</v>
      </c>
    </row>
    <row r="1216" spans="1:25" x14ac:dyDescent="0.25">
      <c r="A1216" s="8">
        <f>[1]Data!A1216</f>
        <v>185204</v>
      </c>
      <c r="B1216" s="8">
        <f>[1]Data!B1216</f>
        <v>4</v>
      </c>
      <c r="C1216" s="8">
        <f>[1]Data!C1216</f>
        <v>1</v>
      </c>
      <c r="D1216" s="8">
        <f>[1]Data!D1216</f>
        <v>1</v>
      </c>
      <c r="E1216" s="8" t="str">
        <f>[1]Data!E1216</f>
        <v>NON-HS</v>
      </c>
      <c r="F1216" s="8" t="str">
        <f>[1]Data!F1216</f>
        <v>Cypress Park</v>
      </c>
      <c r="G1216" s="8">
        <f>[1]Data!G1216</f>
        <v>0</v>
      </c>
      <c r="H1216" s="8">
        <f>[1]Data!H1216</f>
        <v>0</v>
      </c>
      <c r="I1216" s="8">
        <f>[1]Data!I1216</f>
        <v>19.149000000000001</v>
      </c>
      <c r="J1216" s="8">
        <f>[1]Data!J1216</f>
        <v>17.95291984</v>
      </c>
      <c r="K1216" s="8">
        <f>[1]Data!K1216</f>
        <v>17.95291984</v>
      </c>
      <c r="L1216" s="8">
        <f>[1]Data!L1216</f>
        <v>1.1963771370017999</v>
      </c>
      <c r="M1216" s="8">
        <f>[1]Data!M1216</f>
        <v>19.1492969770018</v>
      </c>
      <c r="N1216" s="8">
        <f>[1]Data!N1216</f>
        <v>2.6315789473684199E-2</v>
      </c>
      <c r="O1216" s="8">
        <f>[1]Data!O1216</f>
        <v>0</v>
      </c>
      <c r="P1216" s="8">
        <f>[1]Data!P1216</f>
        <v>0.197368421052632</v>
      </c>
      <c r="Q1216" s="8">
        <f>[1]Data!Q1216</f>
        <v>0.9375</v>
      </c>
      <c r="R1216" s="8">
        <f>[1]Data!R1216</f>
        <v>0.1</v>
      </c>
      <c r="S1216" s="8">
        <f>[1]Data!S1216</f>
        <v>0</v>
      </c>
      <c r="T1216">
        <f t="shared" si="90"/>
        <v>0.12368421052631579</v>
      </c>
      <c r="U1216">
        <f t="shared" si="91"/>
        <v>0</v>
      </c>
      <c r="V1216" s="4" t="str">
        <f t="shared" si="92"/>
        <v>1</v>
      </c>
      <c r="W1216" s="4" t="str">
        <f t="shared" si="93"/>
        <v>4</v>
      </c>
      <c r="X1216" s="4" t="str">
        <f t="shared" si="94"/>
        <v>1NON-HS4</v>
      </c>
      <c r="Y1216">
        <f>VLOOKUP(X1216,Sheet1!$J$5:$K$121,2,FALSE)</f>
        <v>0.1</v>
      </c>
    </row>
    <row r="1217" spans="1:25" x14ac:dyDescent="0.25">
      <c r="A1217" s="8">
        <f>[1]Data!A1217</f>
        <v>186203</v>
      </c>
      <c r="B1217" s="8">
        <f>[1]Data!B1217</f>
        <v>4</v>
      </c>
      <c r="C1217" s="8">
        <f>[1]Data!C1217</f>
        <v>1</v>
      </c>
      <c r="D1217" s="8">
        <f>[1]Data!D1217</f>
        <v>1</v>
      </c>
      <c r="E1217" s="8" t="str">
        <f>[1]Data!E1217</f>
        <v>NON-HS</v>
      </c>
      <c r="F1217" s="8" t="str">
        <f>[1]Data!F1217</f>
        <v>Eagle Rock</v>
      </c>
      <c r="G1217" s="8">
        <f>[1]Data!G1217</f>
        <v>0</v>
      </c>
      <c r="H1217" s="8">
        <f>[1]Data!H1217</f>
        <v>0</v>
      </c>
      <c r="I1217" s="8">
        <f>[1]Data!I1217</f>
        <v>16.585999999999999</v>
      </c>
      <c r="J1217" s="8">
        <f>[1]Data!J1217</f>
        <v>12.840259550000001</v>
      </c>
      <c r="K1217" s="8">
        <f>[1]Data!K1217</f>
        <v>15.840259550000001</v>
      </c>
      <c r="L1217" s="8">
        <f>[1]Data!L1217</f>
        <v>0.74611343224416504</v>
      </c>
      <c r="M1217" s="8">
        <f>[1]Data!M1217</f>
        <v>16.5863729822442</v>
      </c>
      <c r="N1217" s="8">
        <f>[1]Data!N1217</f>
        <v>2.6315789473684199E-2</v>
      </c>
      <c r="O1217" s="8">
        <f>[1]Data!O1217</f>
        <v>0</v>
      </c>
      <c r="P1217" s="8">
        <f>[1]Data!P1217</f>
        <v>0.197368421052632</v>
      </c>
      <c r="Q1217" s="8">
        <f>[1]Data!Q1217</f>
        <v>0.9375</v>
      </c>
      <c r="R1217" s="8">
        <f>[1]Data!R1217</f>
        <v>0.1</v>
      </c>
      <c r="S1217" s="8">
        <f>[1]Data!S1217</f>
        <v>0</v>
      </c>
      <c r="T1217">
        <f t="shared" si="90"/>
        <v>0.12368421052631579</v>
      </c>
      <c r="U1217">
        <f t="shared" si="91"/>
        <v>0</v>
      </c>
      <c r="V1217" s="4" t="str">
        <f t="shared" si="92"/>
        <v>1</v>
      </c>
      <c r="W1217" s="4" t="str">
        <f t="shared" si="93"/>
        <v>4</v>
      </c>
      <c r="X1217" s="4" t="str">
        <f t="shared" si="94"/>
        <v>1NON-HS4</v>
      </c>
      <c r="Y1217">
        <f>VLOOKUP(X1217,Sheet1!$J$5:$K$121,2,FALSE)</f>
        <v>0.1</v>
      </c>
    </row>
    <row r="1218" spans="1:25" x14ac:dyDescent="0.25">
      <c r="A1218" s="8">
        <f>[1]Data!A1218</f>
        <v>980010</v>
      </c>
      <c r="B1218" s="8">
        <f>[1]Data!B1218</f>
        <v>4</v>
      </c>
      <c r="C1218" s="8">
        <f>[1]Data!C1218</f>
        <v>1</v>
      </c>
      <c r="D1218" s="8">
        <f>[1]Data!D1218</f>
        <v>1</v>
      </c>
      <c r="E1218" s="8" t="str">
        <f>[1]Data!E1218</f>
        <v>NON-HS</v>
      </c>
      <c r="F1218" s="8" t="str">
        <f>[1]Data!F1218</f>
        <v>Echo Park</v>
      </c>
      <c r="G1218" s="8">
        <f>[1]Data!G1218</f>
        <v>0</v>
      </c>
      <c r="H1218" s="8">
        <f>[1]Data!H1218</f>
        <v>0</v>
      </c>
      <c r="I1218" s="8">
        <f>[1]Data!I1218</f>
        <v>1</v>
      </c>
      <c r="J1218" s="8">
        <f>[1]Data!J1218</f>
        <v>0</v>
      </c>
      <c r="K1218" s="8">
        <f>[1]Data!K1218</f>
        <v>1</v>
      </c>
      <c r="L1218" s="8">
        <f>[1]Data!L1218</f>
        <v>0</v>
      </c>
      <c r="M1218" s="8">
        <f>[1]Data!M1218</f>
        <v>1</v>
      </c>
      <c r="N1218" s="8">
        <f>[1]Data!N1218</f>
        <v>2.6315789473684199E-2</v>
      </c>
      <c r="O1218" s="8">
        <f>[1]Data!O1218</f>
        <v>0</v>
      </c>
      <c r="P1218" s="8">
        <f>[1]Data!P1218</f>
        <v>0.197368421052632</v>
      </c>
      <c r="Q1218" s="8">
        <f>[1]Data!Q1218</f>
        <v>0.9375</v>
      </c>
      <c r="R1218" s="8">
        <f>[1]Data!R1218</f>
        <v>0.1</v>
      </c>
      <c r="S1218" s="8">
        <f>[1]Data!S1218</f>
        <v>0</v>
      </c>
      <c r="T1218">
        <f t="shared" si="90"/>
        <v>0.12368421052631579</v>
      </c>
      <c r="U1218">
        <f t="shared" si="91"/>
        <v>0</v>
      </c>
      <c r="V1218" s="4" t="str">
        <f t="shared" si="92"/>
        <v>1</v>
      </c>
      <c r="W1218" s="4" t="str">
        <f t="shared" si="93"/>
        <v>4</v>
      </c>
      <c r="X1218" s="4" t="str">
        <f t="shared" si="94"/>
        <v>1NON-HS4</v>
      </c>
      <c r="Y1218">
        <f>VLOOKUP(X1218,Sheet1!$J$5:$K$121,2,FALSE)</f>
        <v>0.1</v>
      </c>
    </row>
    <row r="1219" spans="1:25" x14ac:dyDescent="0.25">
      <c r="A1219" s="8">
        <f>[1]Data!A1219</f>
        <v>199202</v>
      </c>
      <c r="B1219" s="8">
        <f>[1]Data!B1219</f>
        <v>4</v>
      </c>
      <c r="C1219" s="8">
        <f>[1]Data!C1219</f>
        <v>1</v>
      </c>
      <c r="D1219" s="8">
        <f>[1]Data!D1219</f>
        <v>1</v>
      </c>
      <c r="E1219" s="8" t="str">
        <f>[1]Data!E1219</f>
        <v>NON-HS</v>
      </c>
      <c r="F1219" s="8" t="str">
        <f>[1]Data!F1219</f>
        <v>Lincoln Heights</v>
      </c>
      <c r="G1219" s="8">
        <f>[1]Data!G1219</f>
        <v>0</v>
      </c>
      <c r="H1219" s="8">
        <f>[1]Data!H1219</f>
        <v>0</v>
      </c>
      <c r="I1219" s="8">
        <f>[1]Data!I1219</f>
        <v>1</v>
      </c>
      <c r="J1219" s="8">
        <f>[1]Data!J1219</f>
        <v>0</v>
      </c>
      <c r="K1219" s="8">
        <f>[1]Data!K1219</f>
        <v>1</v>
      </c>
      <c r="L1219" s="8">
        <f>[1]Data!L1219</f>
        <v>0</v>
      </c>
      <c r="M1219" s="8">
        <f>[1]Data!M1219</f>
        <v>1</v>
      </c>
      <c r="N1219" s="8">
        <f>[1]Data!N1219</f>
        <v>2.6315789473684199E-2</v>
      </c>
      <c r="O1219" s="8">
        <f>[1]Data!O1219</f>
        <v>0</v>
      </c>
      <c r="P1219" s="8">
        <f>[1]Data!P1219</f>
        <v>0.197368421052632</v>
      </c>
      <c r="Q1219" s="8">
        <f>[1]Data!Q1219</f>
        <v>0.9375</v>
      </c>
      <c r="R1219" s="8">
        <f>[1]Data!R1219</f>
        <v>0.1</v>
      </c>
      <c r="S1219" s="8">
        <f>[1]Data!S1219</f>
        <v>0</v>
      </c>
      <c r="T1219">
        <f t="shared" ref="T1219:T1282" si="95">N1219+Y1219*(1-N1219)</f>
        <v>0.12368421052631579</v>
      </c>
      <c r="U1219">
        <f t="shared" ref="U1219:U1282" si="96">IF(T1219="",0,1/T1219*H1219)</f>
        <v>0</v>
      </c>
      <c r="V1219" s="4" t="str">
        <f t="shared" ref="V1219:V1282" si="97">TEXT(C1219,"0")</f>
        <v>1</v>
      </c>
      <c r="W1219" s="4" t="str">
        <f t="shared" ref="W1219:W1282" si="98">TEXT(B1219,"0")</f>
        <v>4</v>
      </c>
      <c r="X1219" s="4" t="str">
        <f t="shared" ref="X1219:X1282" si="99">CONCATENATE(V1219,E1219,W1219)</f>
        <v>1NON-HS4</v>
      </c>
      <c r="Y1219">
        <f>VLOOKUP(X1219,Sheet1!$J$5:$K$121,2,FALSE)</f>
        <v>0.1</v>
      </c>
    </row>
    <row r="1220" spans="1:25" x14ac:dyDescent="0.25">
      <c r="A1220" s="8">
        <f>[1]Data!A1220</f>
        <v>197700</v>
      </c>
      <c r="B1220" s="8">
        <f>[1]Data!B1220</f>
        <v>4</v>
      </c>
      <c r="C1220" s="8">
        <f>[1]Data!C1220</f>
        <v>1</v>
      </c>
      <c r="D1220" s="8">
        <f>[1]Data!D1220</f>
        <v>1</v>
      </c>
      <c r="E1220" s="8" t="str">
        <f>[1]Data!E1220</f>
        <v>NON-HS</v>
      </c>
      <c r="F1220" s="8" t="str">
        <f>[1]Data!F1220</f>
        <v>Chinatown</v>
      </c>
      <c r="G1220" s="8">
        <f>[1]Data!G1220</f>
        <v>0</v>
      </c>
      <c r="H1220" s="8">
        <f>[1]Data!H1220</f>
        <v>0</v>
      </c>
      <c r="I1220" s="8">
        <f>[1]Data!I1220</f>
        <v>2</v>
      </c>
      <c r="J1220" s="8">
        <f>[1]Data!J1220</f>
        <v>0</v>
      </c>
      <c r="K1220" s="8">
        <f>[1]Data!K1220</f>
        <v>2</v>
      </c>
      <c r="L1220" s="8">
        <f>[1]Data!L1220</f>
        <v>0</v>
      </c>
      <c r="M1220" s="8">
        <f>[1]Data!M1220</f>
        <v>2</v>
      </c>
      <c r="N1220" s="8">
        <f>[1]Data!N1220</f>
        <v>2.6315789473684199E-2</v>
      </c>
      <c r="O1220" s="8">
        <f>[1]Data!O1220</f>
        <v>0</v>
      </c>
      <c r="P1220" s="8">
        <f>[1]Data!P1220</f>
        <v>0.197368421052632</v>
      </c>
      <c r="Q1220" s="8">
        <f>[1]Data!Q1220</f>
        <v>0.9375</v>
      </c>
      <c r="R1220" s="8">
        <f>[1]Data!R1220</f>
        <v>0.1</v>
      </c>
      <c r="S1220" s="8">
        <f>[1]Data!S1220</f>
        <v>0</v>
      </c>
      <c r="T1220">
        <f t="shared" si="95"/>
        <v>0.12368421052631579</v>
      </c>
      <c r="U1220">
        <f t="shared" si="96"/>
        <v>0</v>
      </c>
      <c r="V1220" s="4" t="str">
        <f t="shared" si="97"/>
        <v>1</v>
      </c>
      <c r="W1220" s="4" t="str">
        <f t="shared" si="98"/>
        <v>4</v>
      </c>
      <c r="X1220" s="4" t="str">
        <f t="shared" si="99"/>
        <v>1NON-HS4</v>
      </c>
      <c r="Y1220">
        <f>VLOOKUP(X1220,Sheet1!$J$5:$K$121,2,FALSE)</f>
        <v>0.1</v>
      </c>
    </row>
    <row r="1221" spans="1:25" x14ac:dyDescent="0.25">
      <c r="A1221" s="8">
        <f>[1]Data!A1221</f>
        <v>199300</v>
      </c>
      <c r="B1221" s="8">
        <f>[1]Data!B1221</f>
        <v>4</v>
      </c>
      <c r="C1221" s="8">
        <f>[1]Data!C1221</f>
        <v>1</v>
      </c>
      <c r="D1221" s="8">
        <f>[1]Data!D1221</f>
        <v>1</v>
      </c>
      <c r="E1221" s="8" t="str">
        <f>[1]Data!E1221</f>
        <v>NON-HS</v>
      </c>
      <c r="F1221" s="8" t="str">
        <f>[1]Data!F1221</f>
        <v>Eagle Rock</v>
      </c>
      <c r="G1221" s="8">
        <f>[1]Data!G1221</f>
        <v>0</v>
      </c>
      <c r="H1221" s="8">
        <f>[1]Data!H1221</f>
        <v>0</v>
      </c>
      <c r="I1221" s="8">
        <f>[1]Data!I1221</f>
        <v>8.2110000000000003</v>
      </c>
      <c r="J1221" s="8">
        <f>[1]Data!J1221</f>
        <v>7.8559789200000001</v>
      </c>
      <c r="K1221" s="8">
        <f>[1]Data!K1221</f>
        <v>7.8559789200000001</v>
      </c>
      <c r="L1221" s="8">
        <f>[1]Data!L1221</f>
        <v>0.35414312622980199</v>
      </c>
      <c r="M1221" s="8">
        <f>[1]Data!M1221</f>
        <v>8.2101220462298006</v>
      </c>
      <c r="N1221" s="8">
        <f>[1]Data!N1221</f>
        <v>2.6315789473684199E-2</v>
      </c>
      <c r="O1221" s="8">
        <f>[1]Data!O1221</f>
        <v>0</v>
      </c>
      <c r="P1221" s="8">
        <f>[1]Data!P1221</f>
        <v>0.197368421052632</v>
      </c>
      <c r="Q1221" s="8">
        <f>[1]Data!Q1221</f>
        <v>0.9375</v>
      </c>
      <c r="R1221" s="8">
        <f>[1]Data!R1221</f>
        <v>0.1</v>
      </c>
      <c r="S1221" s="8">
        <f>[1]Data!S1221</f>
        <v>0</v>
      </c>
      <c r="T1221">
        <f t="shared" si="95"/>
        <v>0.12368421052631579</v>
      </c>
      <c r="U1221">
        <f t="shared" si="96"/>
        <v>0</v>
      </c>
      <c r="V1221" s="4" t="str">
        <f t="shared" si="97"/>
        <v>1</v>
      </c>
      <c r="W1221" s="4" t="str">
        <f t="shared" si="98"/>
        <v>4</v>
      </c>
      <c r="X1221" s="4" t="str">
        <f t="shared" si="99"/>
        <v>1NON-HS4</v>
      </c>
      <c r="Y1221">
        <f>VLOOKUP(X1221,Sheet1!$J$5:$K$121,2,FALSE)</f>
        <v>0.1</v>
      </c>
    </row>
    <row r="1222" spans="1:25" x14ac:dyDescent="0.25">
      <c r="A1222" s="8">
        <f>[1]Data!A1222</f>
        <v>208902</v>
      </c>
      <c r="B1222" s="8">
        <f>[1]Data!B1222</f>
        <v>4</v>
      </c>
      <c r="C1222" s="8">
        <f>[1]Data!C1222</f>
        <v>1</v>
      </c>
      <c r="D1222" s="8">
        <f>[1]Data!D1222</f>
        <v>1</v>
      </c>
      <c r="E1222" s="8" t="str">
        <f>[1]Data!E1222</f>
        <v>NON-HS</v>
      </c>
      <c r="F1222" s="8" t="str">
        <f>[1]Data!F1222</f>
        <v>Westlake</v>
      </c>
      <c r="G1222" s="8">
        <f>[1]Data!G1222</f>
        <v>0</v>
      </c>
      <c r="H1222" s="8">
        <f>[1]Data!H1222</f>
        <v>0</v>
      </c>
      <c r="I1222" s="8">
        <f>[1]Data!I1222</f>
        <v>14.028</v>
      </c>
      <c r="J1222" s="8">
        <f>[1]Data!J1222</f>
        <v>6.7585002999999997</v>
      </c>
      <c r="K1222" s="8">
        <f>[1]Data!K1222</f>
        <v>13.7585003</v>
      </c>
      <c r="L1222" s="8">
        <f>[1]Data!L1222</f>
        <v>0.26855477026930002</v>
      </c>
      <c r="M1222" s="8">
        <f>[1]Data!M1222</f>
        <v>14.0270550702693</v>
      </c>
      <c r="N1222" s="8">
        <f>[1]Data!N1222</f>
        <v>2.6315789473684199E-2</v>
      </c>
      <c r="O1222" s="8">
        <f>[1]Data!O1222</f>
        <v>0</v>
      </c>
      <c r="P1222" s="8">
        <f>[1]Data!P1222</f>
        <v>0.197368421052632</v>
      </c>
      <c r="Q1222" s="8">
        <f>[1]Data!Q1222</f>
        <v>0.9375</v>
      </c>
      <c r="R1222" s="8">
        <f>[1]Data!R1222</f>
        <v>0.1</v>
      </c>
      <c r="S1222" s="8">
        <f>[1]Data!S1222</f>
        <v>0</v>
      </c>
      <c r="T1222">
        <f t="shared" si="95"/>
        <v>0.12368421052631579</v>
      </c>
      <c r="U1222">
        <f t="shared" si="96"/>
        <v>0</v>
      </c>
      <c r="V1222" s="4" t="str">
        <f t="shared" si="97"/>
        <v>1</v>
      </c>
      <c r="W1222" s="4" t="str">
        <f t="shared" si="98"/>
        <v>4</v>
      </c>
      <c r="X1222" s="4" t="str">
        <f t="shared" si="99"/>
        <v>1NON-HS4</v>
      </c>
      <c r="Y1222">
        <f>VLOOKUP(X1222,Sheet1!$J$5:$K$121,2,FALSE)</f>
        <v>0.1</v>
      </c>
    </row>
    <row r="1223" spans="1:25" x14ac:dyDescent="0.25">
      <c r="A1223" s="8">
        <f>[1]Data!A1223</f>
        <v>199700</v>
      </c>
      <c r="B1223" s="8">
        <f>[1]Data!B1223</f>
        <v>4</v>
      </c>
      <c r="C1223" s="8">
        <f>[1]Data!C1223</f>
        <v>1</v>
      </c>
      <c r="D1223" s="8">
        <f>[1]Data!D1223</f>
        <v>1</v>
      </c>
      <c r="E1223" s="8" t="str">
        <f>[1]Data!E1223</f>
        <v>NON-HS</v>
      </c>
      <c r="F1223" s="8" t="str">
        <f>[1]Data!F1223</f>
        <v>Lincoln Heights</v>
      </c>
      <c r="G1223" s="8">
        <f>[1]Data!G1223</f>
        <v>0</v>
      </c>
      <c r="H1223" s="8">
        <f>[1]Data!H1223</f>
        <v>0</v>
      </c>
      <c r="I1223" s="8">
        <f>[1]Data!I1223</f>
        <v>18.132999999999999</v>
      </c>
      <c r="J1223" s="8">
        <f>[1]Data!J1223</f>
        <v>14.56263867</v>
      </c>
      <c r="K1223" s="8">
        <f>[1]Data!K1223</f>
        <v>17.562638669999998</v>
      </c>
      <c r="L1223" s="8">
        <f>[1]Data!L1223</f>
        <v>0.56920431797127502</v>
      </c>
      <c r="M1223" s="8">
        <f>[1]Data!M1223</f>
        <v>18.1318429879713</v>
      </c>
      <c r="N1223" s="8">
        <f>[1]Data!N1223</f>
        <v>2.6315789473684199E-2</v>
      </c>
      <c r="O1223" s="8">
        <f>[1]Data!O1223</f>
        <v>0</v>
      </c>
      <c r="P1223" s="8">
        <f>[1]Data!P1223</f>
        <v>0.197368421052632</v>
      </c>
      <c r="Q1223" s="8">
        <f>[1]Data!Q1223</f>
        <v>0.9375</v>
      </c>
      <c r="R1223" s="8">
        <f>[1]Data!R1223</f>
        <v>0.1</v>
      </c>
      <c r="S1223" s="8">
        <f>[1]Data!S1223</f>
        <v>0</v>
      </c>
      <c r="T1223">
        <f t="shared" si="95"/>
        <v>0.12368421052631579</v>
      </c>
      <c r="U1223">
        <f t="shared" si="96"/>
        <v>0</v>
      </c>
      <c r="V1223" s="4" t="str">
        <f t="shared" si="97"/>
        <v>1</v>
      </c>
      <c r="W1223" s="4" t="str">
        <f t="shared" si="98"/>
        <v>4</v>
      </c>
      <c r="X1223" s="4" t="str">
        <f t="shared" si="99"/>
        <v>1NON-HS4</v>
      </c>
      <c r="Y1223">
        <f>VLOOKUP(X1223,Sheet1!$J$5:$K$121,2,FALSE)</f>
        <v>0.1</v>
      </c>
    </row>
    <row r="1224" spans="1:25" x14ac:dyDescent="0.25">
      <c r="A1224" s="8">
        <f>[1]Data!A1224</f>
        <v>186302</v>
      </c>
      <c r="B1224" s="8">
        <f>[1]Data!B1224</f>
        <v>4</v>
      </c>
      <c r="C1224" s="8">
        <f>[1]Data!C1224</f>
        <v>1</v>
      </c>
      <c r="D1224" s="8">
        <f>[1]Data!D1224</f>
        <v>1</v>
      </c>
      <c r="E1224" s="8" t="str">
        <f>[1]Data!E1224</f>
        <v>NON-HS</v>
      </c>
      <c r="F1224" s="8" t="str">
        <f>[1]Data!F1224</f>
        <v>Glassell Park</v>
      </c>
      <c r="G1224" s="8">
        <f>[1]Data!G1224</f>
        <v>0</v>
      </c>
      <c r="H1224" s="8">
        <f>[1]Data!H1224</f>
        <v>0</v>
      </c>
      <c r="I1224" s="8">
        <f>[1]Data!I1224</f>
        <v>16.759</v>
      </c>
      <c r="J1224" s="8">
        <f>[1]Data!J1224</f>
        <v>15.869597280000001</v>
      </c>
      <c r="K1224" s="8">
        <f>[1]Data!K1224</f>
        <v>15.869597280000001</v>
      </c>
      <c r="L1224" s="8">
        <f>[1]Data!L1224</f>
        <v>0.88938081105924605</v>
      </c>
      <c r="M1224" s="8">
        <f>[1]Data!M1224</f>
        <v>16.758978091059198</v>
      </c>
      <c r="N1224" s="8">
        <f>[1]Data!N1224</f>
        <v>2.6315789473684199E-2</v>
      </c>
      <c r="O1224" s="8">
        <f>[1]Data!O1224</f>
        <v>0</v>
      </c>
      <c r="P1224" s="8">
        <f>[1]Data!P1224</f>
        <v>0.197368421052632</v>
      </c>
      <c r="Q1224" s="8">
        <f>[1]Data!Q1224</f>
        <v>0.9375</v>
      </c>
      <c r="R1224" s="8">
        <f>[1]Data!R1224</f>
        <v>0.1</v>
      </c>
      <c r="S1224" s="8">
        <f>[1]Data!S1224</f>
        <v>0</v>
      </c>
      <c r="T1224">
        <f t="shared" si="95"/>
        <v>0.12368421052631579</v>
      </c>
      <c r="U1224">
        <f t="shared" si="96"/>
        <v>0</v>
      </c>
      <c r="V1224" s="4" t="str">
        <f t="shared" si="97"/>
        <v>1</v>
      </c>
      <c r="W1224" s="4" t="str">
        <f t="shared" si="98"/>
        <v>4</v>
      </c>
      <c r="X1224" s="4" t="str">
        <f t="shared" si="99"/>
        <v>1NON-HS4</v>
      </c>
      <c r="Y1224">
        <f>VLOOKUP(X1224,Sheet1!$J$5:$K$121,2,FALSE)</f>
        <v>0.1</v>
      </c>
    </row>
    <row r="1225" spans="1:25" x14ac:dyDescent="0.25">
      <c r="A1225" s="8">
        <f>[1]Data!A1225</f>
        <v>208802</v>
      </c>
      <c r="B1225" s="8">
        <f>[1]Data!B1225</f>
        <v>4</v>
      </c>
      <c r="C1225" s="8">
        <f>[1]Data!C1225</f>
        <v>1</v>
      </c>
      <c r="D1225" s="8">
        <f>[1]Data!D1225</f>
        <v>1</v>
      </c>
      <c r="E1225" s="8" t="str">
        <f>[1]Data!E1225</f>
        <v>NON-HS</v>
      </c>
      <c r="F1225" s="8" t="str">
        <f>[1]Data!F1225</f>
        <v>Westlake</v>
      </c>
      <c r="G1225" s="8">
        <f>[1]Data!G1225</f>
        <v>0</v>
      </c>
      <c r="H1225" s="8">
        <f>[1]Data!H1225</f>
        <v>0</v>
      </c>
      <c r="I1225" s="8">
        <f>[1]Data!I1225</f>
        <v>12.288</v>
      </c>
      <c r="J1225" s="8">
        <f>[1]Data!J1225</f>
        <v>9.1290636099999993</v>
      </c>
      <c r="K1225" s="8">
        <f>[1]Data!K1225</f>
        <v>12.129063609999999</v>
      </c>
      <c r="L1225" s="8">
        <f>[1]Data!L1225</f>
        <v>0.15835340829443401</v>
      </c>
      <c r="M1225" s="8">
        <f>[1]Data!M1225</f>
        <v>12.2874170182944</v>
      </c>
      <c r="N1225" s="8">
        <f>[1]Data!N1225</f>
        <v>2.6315789473684199E-2</v>
      </c>
      <c r="O1225" s="8">
        <f>[1]Data!O1225</f>
        <v>0</v>
      </c>
      <c r="P1225" s="8">
        <f>[1]Data!P1225</f>
        <v>0.197368421052632</v>
      </c>
      <c r="Q1225" s="8">
        <f>[1]Data!Q1225</f>
        <v>0.9375</v>
      </c>
      <c r="R1225" s="8">
        <f>[1]Data!R1225</f>
        <v>0.1</v>
      </c>
      <c r="S1225" s="8">
        <f>[1]Data!S1225</f>
        <v>0</v>
      </c>
      <c r="T1225">
        <f t="shared" si="95"/>
        <v>0.12368421052631579</v>
      </c>
      <c r="U1225">
        <f t="shared" si="96"/>
        <v>0</v>
      </c>
      <c r="V1225" s="4" t="str">
        <f t="shared" si="97"/>
        <v>1</v>
      </c>
      <c r="W1225" s="4" t="str">
        <f t="shared" si="98"/>
        <v>4</v>
      </c>
      <c r="X1225" s="4" t="str">
        <f t="shared" si="99"/>
        <v>1NON-HS4</v>
      </c>
      <c r="Y1225">
        <f>VLOOKUP(X1225,Sheet1!$J$5:$K$121,2,FALSE)</f>
        <v>0.1</v>
      </c>
    </row>
    <row r="1226" spans="1:25" x14ac:dyDescent="0.25">
      <c r="A1226" s="8">
        <f>[1]Data!A1226</f>
        <v>224410</v>
      </c>
      <c r="B1226" s="8">
        <f>[1]Data!B1226</f>
        <v>6</v>
      </c>
      <c r="C1226" s="8">
        <f>[1]Data!C1226</f>
        <v>1</v>
      </c>
      <c r="D1226" s="8">
        <f>[1]Data!D1226</f>
        <v>1</v>
      </c>
      <c r="E1226" s="8" t="str">
        <f>[1]Data!E1226</f>
        <v>NON-HS</v>
      </c>
      <c r="F1226" s="8" t="str">
        <f>[1]Data!F1226</f>
        <v>University Park</v>
      </c>
      <c r="G1226" s="8">
        <f>[1]Data!G1226</f>
        <v>0</v>
      </c>
      <c r="H1226" s="8">
        <f>[1]Data!H1226</f>
        <v>0</v>
      </c>
      <c r="I1226" s="8">
        <f>[1]Data!I1226</f>
        <v>21.719000000000001</v>
      </c>
      <c r="J1226" s="8">
        <f>[1]Data!J1226</f>
        <v>16.970934199999999</v>
      </c>
      <c r="K1226" s="8">
        <f>[1]Data!K1226</f>
        <v>20.970934199999999</v>
      </c>
      <c r="L1226" s="8">
        <f>[1]Data!L1226</f>
        <v>0.74795128132854605</v>
      </c>
      <c r="M1226" s="8">
        <f>[1]Data!M1226</f>
        <v>21.718885481328499</v>
      </c>
      <c r="N1226" s="8">
        <f>[1]Data!N1226</f>
        <v>2.34375E-2</v>
      </c>
      <c r="O1226" s="8">
        <f>[1]Data!O1226</f>
        <v>0</v>
      </c>
      <c r="P1226" s="8">
        <f>[1]Data!P1226</f>
        <v>1.5625E-2</v>
      </c>
      <c r="Q1226" s="8">
        <f>[1]Data!Q1226</f>
        <v>6.25E-2</v>
      </c>
      <c r="R1226" s="8">
        <f>[1]Data!R1226</f>
        <v>0</v>
      </c>
      <c r="S1226" s="8">
        <f>[1]Data!S1226</f>
        <v>0</v>
      </c>
      <c r="T1226">
        <f t="shared" si="95"/>
        <v>2.34375E-2</v>
      </c>
      <c r="U1226">
        <f t="shared" si="96"/>
        <v>0</v>
      </c>
      <c r="V1226" s="4" t="str">
        <f t="shared" si="97"/>
        <v>1</v>
      </c>
      <c r="W1226" s="4" t="str">
        <f t="shared" si="98"/>
        <v>6</v>
      </c>
      <c r="X1226" s="4" t="str">
        <f t="shared" si="99"/>
        <v>1NON-HS6</v>
      </c>
      <c r="Y1226">
        <f>VLOOKUP(X1226,Sheet1!$J$5:$K$121,2,FALSE)</f>
        <v>0</v>
      </c>
    </row>
    <row r="1227" spans="1:25" x14ac:dyDescent="0.25">
      <c r="A1227" s="8">
        <f>[1]Data!A1227</f>
        <v>221602</v>
      </c>
      <c r="B1227" s="8">
        <f>[1]Data!B1227</f>
        <v>6</v>
      </c>
      <c r="C1227" s="8">
        <f>[1]Data!C1227</f>
        <v>1</v>
      </c>
      <c r="D1227" s="8">
        <f>[1]Data!D1227</f>
        <v>2</v>
      </c>
      <c r="E1227" s="8" t="str">
        <f>[1]Data!E1227</f>
        <v>NON-HS</v>
      </c>
      <c r="F1227" s="8" t="str">
        <f>[1]Data!F1227</f>
        <v>Pico Union</v>
      </c>
      <c r="G1227" s="8">
        <f>[1]Data!G1227</f>
        <v>0</v>
      </c>
      <c r="H1227" s="8">
        <f>[1]Data!H1227</f>
        <v>0</v>
      </c>
      <c r="I1227" s="8">
        <f>[1]Data!I1227</f>
        <v>25.87</v>
      </c>
      <c r="J1227" s="8">
        <f>[1]Data!J1227</f>
        <v>24.957033289999998</v>
      </c>
      <c r="K1227" s="8">
        <f>[1]Data!K1227</f>
        <v>24.957033289999998</v>
      </c>
      <c r="L1227" s="8">
        <f>[1]Data!L1227</f>
        <v>0.91275609759425502</v>
      </c>
      <c r="M1227" s="8">
        <f>[1]Data!M1227</f>
        <v>25.869789387594299</v>
      </c>
      <c r="N1227" s="8">
        <f>[1]Data!N1227</f>
        <v>2.34375E-2</v>
      </c>
      <c r="O1227" s="8">
        <f>[1]Data!O1227</f>
        <v>0</v>
      </c>
      <c r="P1227" s="8">
        <f>[1]Data!P1227</f>
        <v>1.5625E-2</v>
      </c>
      <c r="Q1227" s="8">
        <f>[1]Data!Q1227</f>
        <v>6.25E-2</v>
      </c>
      <c r="R1227" s="8">
        <f>[1]Data!R1227</f>
        <v>0</v>
      </c>
      <c r="S1227" s="8">
        <f>[1]Data!S1227</f>
        <v>0</v>
      </c>
      <c r="T1227">
        <f t="shared" si="95"/>
        <v>2.34375E-2</v>
      </c>
      <c r="U1227">
        <f t="shared" si="96"/>
        <v>0</v>
      </c>
      <c r="V1227" s="4" t="str">
        <f t="shared" si="97"/>
        <v>1</v>
      </c>
      <c r="W1227" s="4" t="str">
        <f t="shared" si="98"/>
        <v>6</v>
      </c>
      <c r="X1227" s="4" t="str">
        <f t="shared" si="99"/>
        <v>1NON-HS6</v>
      </c>
      <c r="Y1227">
        <f>VLOOKUP(X1227,Sheet1!$J$5:$K$121,2,FALSE)</f>
        <v>0</v>
      </c>
    </row>
    <row r="1228" spans="1:25" x14ac:dyDescent="0.25">
      <c r="A1228" s="8">
        <f>[1]Data!A1228</f>
        <v>125320</v>
      </c>
      <c r="B1228" s="8">
        <f>[1]Data!B1228</f>
        <v>2</v>
      </c>
      <c r="C1228" s="8">
        <f>[1]Data!C1228</f>
        <v>2</v>
      </c>
      <c r="D1228" s="8">
        <f>[1]Data!D1228</f>
        <v>3</v>
      </c>
      <c r="E1228" s="8" t="str">
        <f>[1]Data!E1228</f>
        <v>CVCTE</v>
      </c>
      <c r="F1228" s="8" t="str">
        <f>[1]Data!F1228</f>
        <v>North Hollywood</v>
      </c>
      <c r="G1228" s="8">
        <f>[1]Data!G1228</f>
        <v>0</v>
      </c>
      <c r="H1228" s="8">
        <f>[1]Data!H1228</f>
        <v>1</v>
      </c>
      <c r="I1228" s="8">
        <f>[1]Data!I1228</f>
        <v>46.438000000000002</v>
      </c>
      <c r="J1228" s="8">
        <f>[1]Data!J1228</f>
        <v>37.172748380000002</v>
      </c>
      <c r="K1228" s="8">
        <f>[1]Data!K1228</f>
        <v>44.172748380000002</v>
      </c>
      <c r="L1228" s="8">
        <f>[1]Data!L1228</f>
        <v>2.2651873005565499</v>
      </c>
      <c r="M1228" s="8">
        <f>[1]Data!M1228</f>
        <v>46.437935680556599</v>
      </c>
      <c r="N1228" s="8">
        <f>[1]Data!N1228</f>
        <v>0.17910447761194001</v>
      </c>
      <c r="O1228" s="8">
        <f>[1]Data!O1228</f>
        <v>0</v>
      </c>
      <c r="P1228" s="8">
        <f>[1]Data!P1228</f>
        <v>0.20895522388059701</v>
      </c>
      <c r="Q1228" s="8">
        <f>[1]Data!Q1228</f>
        <v>1</v>
      </c>
      <c r="R1228" s="8">
        <f>[1]Data!R1228</f>
        <v>0.36363636363636398</v>
      </c>
      <c r="S1228" s="8">
        <f>[1]Data!S1228</f>
        <v>2.75</v>
      </c>
      <c r="T1228">
        <f t="shared" si="95"/>
        <v>0.47761194029850751</v>
      </c>
      <c r="U1228">
        <f t="shared" si="96"/>
        <v>2.09375</v>
      </c>
      <c r="V1228" s="4" t="str">
        <f t="shared" si="97"/>
        <v>2</v>
      </c>
      <c r="W1228" s="4" t="str">
        <f t="shared" si="98"/>
        <v>2</v>
      </c>
      <c r="X1228" s="4" t="str">
        <f t="shared" si="99"/>
        <v>2CVCTE2</v>
      </c>
      <c r="Y1228">
        <f>VLOOKUP(X1228,Sheet1!$J$5:$K$121,2,FALSE)</f>
        <v>0.36363636363636398</v>
      </c>
    </row>
    <row r="1229" spans="1:25" x14ac:dyDescent="0.25">
      <c r="A1229" s="8">
        <f>[1]Data!A1229</f>
        <v>123010</v>
      </c>
      <c r="B1229" s="8">
        <f>[1]Data!B1229</f>
        <v>2</v>
      </c>
      <c r="C1229" s="8">
        <f>[1]Data!C1229</f>
        <v>2</v>
      </c>
      <c r="D1229" s="8">
        <f>[1]Data!D1229</f>
        <v>3</v>
      </c>
      <c r="E1229" s="8" t="str">
        <f>[1]Data!E1229</f>
        <v>CVCTE</v>
      </c>
      <c r="F1229" s="8" t="str">
        <f>[1]Data!F1229</f>
        <v>Sun Valley</v>
      </c>
      <c r="G1229" s="8">
        <f>[1]Data!G1229</f>
        <v>0</v>
      </c>
      <c r="H1229" s="8">
        <f>[1]Data!H1229</f>
        <v>0</v>
      </c>
      <c r="I1229" s="8">
        <f>[1]Data!I1229</f>
        <v>26.966000000000001</v>
      </c>
      <c r="J1229" s="8">
        <f>[1]Data!J1229</f>
        <v>20.775058189999999</v>
      </c>
      <c r="K1229" s="8">
        <f>[1]Data!K1229</f>
        <v>25.775058189999999</v>
      </c>
      <c r="L1229" s="8">
        <f>[1]Data!L1229</f>
        <v>1.19080383777379</v>
      </c>
      <c r="M1229" s="8">
        <f>[1]Data!M1229</f>
        <v>26.965862027773799</v>
      </c>
      <c r="N1229" s="8">
        <f>[1]Data!N1229</f>
        <v>0.17910447761194001</v>
      </c>
      <c r="O1229" s="8">
        <f>[1]Data!O1229</f>
        <v>0</v>
      </c>
      <c r="P1229" s="8">
        <f>[1]Data!P1229</f>
        <v>0.20895522388059701</v>
      </c>
      <c r="Q1229" s="8">
        <f>[1]Data!Q1229</f>
        <v>1</v>
      </c>
      <c r="R1229" s="8">
        <f>[1]Data!R1229</f>
        <v>0.36363636363636398</v>
      </c>
      <c r="S1229" s="8">
        <f>[1]Data!S1229</f>
        <v>0</v>
      </c>
      <c r="T1229">
        <f t="shared" si="95"/>
        <v>0.47761194029850751</v>
      </c>
      <c r="U1229">
        <f t="shared" si="96"/>
        <v>0</v>
      </c>
      <c r="V1229" s="4" t="str">
        <f t="shared" si="97"/>
        <v>2</v>
      </c>
      <c r="W1229" s="4" t="str">
        <f t="shared" si="98"/>
        <v>2</v>
      </c>
      <c r="X1229" s="4" t="str">
        <f t="shared" si="99"/>
        <v>2CVCTE2</v>
      </c>
      <c r="Y1229">
        <f>VLOOKUP(X1229,Sheet1!$J$5:$K$121,2,FALSE)</f>
        <v>0.36363636363636398</v>
      </c>
    </row>
    <row r="1230" spans="1:25" x14ac:dyDescent="0.25">
      <c r="A1230" s="8">
        <f>[1]Data!A1230</f>
        <v>125310</v>
      </c>
      <c r="B1230" s="8">
        <f>[1]Data!B1230</f>
        <v>2</v>
      </c>
      <c r="C1230" s="8">
        <f>[1]Data!C1230</f>
        <v>2</v>
      </c>
      <c r="D1230" s="8">
        <f>[1]Data!D1230</f>
        <v>3</v>
      </c>
      <c r="E1230" s="8" t="str">
        <f>[1]Data!E1230</f>
        <v>CVCTE</v>
      </c>
      <c r="F1230" s="8" t="str">
        <f>[1]Data!F1230</f>
        <v>North Hollywood</v>
      </c>
      <c r="G1230" s="8">
        <f>[1]Data!G1230</f>
        <v>1</v>
      </c>
      <c r="H1230" s="8">
        <f>[1]Data!H1230</f>
        <v>1</v>
      </c>
      <c r="I1230" s="8">
        <f>[1]Data!I1230</f>
        <v>32.241</v>
      </c>
      <c r="J1230" s="8">
        <f>[1]Data!J1230</f>
        <v>30.672716229999999</v>
      </c>
      <c r="K1230" s="8">
        <f>[1]Data!K1230</f>
        <v>30.672716229999999</v>
      </c>
      <c r="L1230" s="8">
        <f>[1]Data!L1230</f>
        <v>1.5683427173069999</v>
      </c>
      <c r="M1230" s="8">
        <f>[1]Data!M1230</f>
        <v>32.241058947307003</v>
      </c>
      <c r="N1230" s="8">
        <f>[1]Data!N1230</f>
        <v>0.17910447761194001</v>
      </c>
      <c r="O1230" s="8">
        <f>[1]Data!O1230</f>
        <v>5.5833333333333304</v>
      </c>
      <c r="P1230" s="8">
        <f>[1]Data!P1230</f>
        <v>0.20895522388059701</v>
      </c>
      <c r="Q1230" s="8">
        <f>[1]Data!Q1230</f>
        <v>1</v>
      </c>
      <c r="R1230" s="8">
        <f>[1]Data!R1230</f>
        <v>0</v>
      </c>
      <c r="S1230" s="8">
        <f>[1]Data!S1230</f>
        <v>0</v>
      </c>
      <c r="T1230">
        <f t="shared" si="95"/>
        <v>0.47761194029850751</v>
      </c>
      <c r="U1230">
        <f t="shared" si="96"/>
        <v>2.09375</v>
      </c>
      <c r="V1230" s="4" t="str">
        <f t="shared" si="97"/>
        <v>2</v>
      </c>
      <c r="W1230" s="4" t="str">
        <f t="shared" si="98"/>
        <v>2</v>
      </c>
      <c r="X1230" s="4" t="str">
        <f t="shared" si="99"/>
        <v>2CVCTE2</v>
      </c>
      <c r="Y1230">
        <f>VLOOKUP(X1230,Sheet1!$J$5:$K$121,2,FALSE)</f>
        <v>0.36363636363636398</v>
      </c>
    </row>
    <row r="1231" spans="1:25" x14ac:dyDescent="0.25">
      <c r="A1231" s="8">
        <f>[1]Data!A1231</f>
        <v>123303</v>
      </c>
      <c r="B1231" s="8">
        <f>[1]Data!B1231</f>
        <v>2</v>
      </c>
      <c r="C1231" s="8">
        <f>[1]Data!C1231</f>
        <v>2</v>
      </c>
      <c r="D1231" s="8">
        <f>[1]Data!D1231</f>
        <v>3</v>
      </c>
      <c r="E1231" s="8" t="str">
        <f>[1]Data!E1231</f>
        <v>CVCTE</v>
      </c>
      <c r="F1231" s="8" t="str">
        <f>[1]Data!F1231</f>
        <v>North Hollywood</v>
      </c>
      <c r="G1231" s="8">
        <f>[1]Data!G1231</f>
        <v>1</v>
      </c>
      <c r="H1231" s="8">
        <f>[1]Data!H1231</f>
        <v>1</v>
      </c>
      <c r="I1231" s="8">
        <f>[1]Data!I1231</f>
        <v>16.09</v>
      </c>
      <c r="J1231" s="8">
        <f>[1]Data!J1231</f>
        <v>13.38476264</v>
      </c>
      <c r="K1231" s="8">
        <f>[1]Data!K1231</f>
        <v>15.38476264</v>
      </c>
      <c r="L1231" s="8">
        <f>[1]Data!L1231</f>
        <v>0.70583402748653501</v>
      </c>
      <c r="M1231" s="8">
        <f>[1]Data!M1231</f>
        <v>16.090596667486501</v>
      </c>
      <c r="N1231" s="8">
        <f>[1]Data!N1231</f>
        <v>0.17910447761194001</v>
      </c>
      <c r="O1231" s="8">
        <f>[1]Data!O1231</f>
        <v>5.5833333333333304</v>
      </c>
      <c r="P1231" s="8">
        <f>[1]Data!P1231</f>
        <v>0.20895522388059701</v>
      </c>
      <c r="Q1231" s="8">
        <f>[1]Data!Q1231</f>
        <v>1</v>
      </c>
      <c r="R1231" s="8">
        <f>[1]Data!R1231</f>
        <v>0</v>
      </c>
      <c r="S1231" s="8">
        <f>[1]Data!S1231</f>
        <v>0</v>
      </c>
      <c r="T1231">
        <f t="shared" si="95"/>
        <v>0.47761194029850751</v>
      </c>
      <c r="U1231">
        <f t="shared" si="96"/>
        <v>2.09375</v>
      </c>
      <c r="V1231" s="4" t="str">
        <f t="shared" si="97"/>
        <v>2</v>
      </c>
      <c r="W1231" s="4" t="str">
        <f t="shared" si="98"/>
        <v>2</v>
      </c>
      <c r="X1231" s="4" t="str">
        <f t="shared" si="99"/>
        <v>2CVCTE2</v>
      </c>
      <c r="Y1231">
        <f>VLOOKUP(X1231,Sheet1!$J$5:$K$121,2,FALSE)</f>
        <v>0.36363636363636398</v>
      </c>
    </row>
    <row r="1232" spans="1:25" x14ac:dyDescent="0.25">
      <c r="A1232" s="8">
        <f>[1]Data!A1232</f>
        <v>123204</v>
      </c>
      <c r="B1232" s="8">
        <f>[1]Data!B1232</f>
        <v>2</v>
      </c>
      <c r="C1232" s="8">
        <f>[1]Data!C1232</f>
        <v>2</v>
      </c>
      <c r="D1232" s="8">
        <f>[1]Data!D1232</f>
        <v>3</v>
      </c>
      <c r="E1232" s="8" t="str">
        <f>[1]Data!E1232</f>
        <v>CVCTE</v>
      </c>
      <c r="F1232" s="8" t="str">
        <f>[1]Data!F1232</f>
        <v>North Hollywood</v>
      </c>
      <c r="G1232" s="8">
        <f>[1]Data!G1232</f>
        <v>0</v>
      </c>
      <c r="H1232" s="8">
        <f>[1]Data!H1232</f>
        <v>1</v>
      </c>
      <c r="I1232" s="8">
        <f>[1]Data!I1232</f>
        <v>16.565000000000001</v>
      </c>
      <c r="J1232" s="8">
        <f>[1]Data!J1232</f>
        <v>12.52375902</v>
      </c>
      <c r="K1232" s="8">
        <f>[1]Data!K1232</f>
        <v>15.52375902</v>
      </c>
      <c r="L1232" s="8">
        <f>[1]Data!L1232</f>
        <v>1.0405099603052099</v>
      </c>
      <c r="M1232" s="8">
        <f>[1]Data!M1232</f>
        <v>16.564268980305201</v>
      </c>
      <c r="N1232" s="8">
        <f>[1]Data!N1232</f>
        <v>0.17910447761194001</v>
      </c>
      <c r="O1232" s="8">
        <f>[1]Data!O1232</f>
        <v>0</v>
      </c>
      <c r="P1232" s="8">
        <f>[1]Data!P1232</f>
        <v>0.20895522388059701</v>
      </c>
      <c r="Q1232" s="8">
        <f>[1]Data!Q1232</f>
        <v>1</v>
      </c>
      <c r="R1232" s="8">
        <f>[1]Data!R1232</f>
        <v>0.36363636363636398</v>
      </c>
      <c r="S1232" s="8">
        <f>[1]Data!S1232</f>
        <v>2.75</v>
      </c>
      <c r="T1232">
        <f t="shared" si="95"/>
        <v>0.47761194029850751</v>
      </c>
      <c r="U1232">
        <f t="shared" si="96"/>
        <v>2.09375</v>
      </c>
      <c r="V1232" s="4" t="str">
        <f t="shared" si="97"/>
        <v>2</v>
      </c>
      <c r="W1232" s="4" t="str">
        <f t="shared" si="98"/>
        <v>2</v>
      </c>
      <c r="X1232" s="4" t="str">
        <f t="shared" si="99"/>
        <v>2CVCTE2</v>
      </c>
      <c r="Y1232">
        <f>VLOOKUP(X1232,Sheet1!$J$5:$K$121,2,FALSE)</f>
        <v>0.36363636363636398</v>
      </c>
    </row>
    <row r="1233" spans="1:25" x14ac:dyDescent="0.25">
      <c r="A1233" s="8">
        <f>[1]Data!A1233</f>
        <v>123205</v>
      </c>
      <c r="B1233" s="8">
        <f>[1]Data!B1233</f>
        <v>2</v>
      </c>
      <c r="C1233" s="8">
        <f>[1]Data!C1233</f>
        <v>2</v>
      </c>
      <c r="D1233" s="8">
        <f>[1]Data!D1233</f>
        <v>3</v>
      </c>
      <c r="E1233" s="8" t="str">
        <f>[1]Data!E1233</f>
        <v>CVCTE</v>
      </c>
      <c r="F1233" s="8" t="str">
        <f>[1]Data!F1233</f>
        <v>North Hollywood</v>
      </c>
      <c r="G1233" s="8">
        <f>[1]Data!G1233</f>
        <v>0</v>
      </c>
      <c r="H1233" s="8">
        <f>[1]Data!H1233</f>
        <v>0</v>
      </c>
      <c r="I1233" s="8">
        <f>[1]Data!I1233</f>
        <v>17.963999999999999</v>
      </c>
      <c r="J1233" s="8">
        <f>[1]Data!J1233</f>
        <v>15.38257063</v>
      </c>
      <c r="K1233" s="8">
        <f>[1]Data!K1233</f>
        <v>17.38257063</v>
      </c>
      <c r="L1233" s="8">
        <f>[1]Data!L1233</f>
        <v>0.58155188206463204</v>
      </c>
      <c r="M1233" s="8">
        <f>[1]Data!M1233</f>
        <v>17.964122512064598</v>
      </c>
      <c r="N1233" s="8">
        <f>[1]Data!N1233</f>
        <v>0.17910447761194001</v>
      </c>
      <c r="O1233" s="8">
        <f>[1]Data!O1233</f>
        <v>0</v>
      </c>
      <c r="P1233" s="8">
        <f>[1]Data!P1233</f>
        <v>0.20895522388059701</v>
      </c>
      <c r="Q1233" s="8">
        <f>[1]Data!Q1233</f>
        <v>1</v>
      </c>
      <c r="R1233" s="8">
        <f>[1]Data!R1233</f>
        <v>0.36363636363636398</v>
      </c>
      <c r="S1233" s="8">
        <f>[1]Data!S1233</f>
        <v>0</v>
      </c>
      <c r="T1233">
        <f t="shared" si="95"/>
        <v>0.47761194029850751</v>
      </c>
      <c r="U1233">
        <f t="shared" si="96"/>
        <v>0</v>
      </c>
      <c r="V1233" s="4" t="str">
        <f t="shared" si="97"/>
        <v>2</v>
      </c>
      <c r="W1233" s="4" t="str">
        <f t="shared" si="98"/>
        <v>2</v>
      </c>
      <c r="X1233" s="4" t="str">
        <f t="shared" si="99"/>
        <v>2CVCTE2</v>
      </c>
      <c r="Y1233">
        <f>VLOOKUP(X1233,Sheet1!$J$5:$K$121,2,FALSE)</f>
        <v>0.36363636363636398</v>
      </c>
    </row>
    <row r="1234" spans="1:25" x14ac:dyDescent="0.25">
      <c r="A1234" s="8">
        <f>[1]Data!A1234</f>
        <v>122200</v>
      </c>
      <c r="B1234" s="8">
        <f>[1]Data!B1234</f>
        <v>2</v>
      </c>
      <c r="C1234" s="8">
        <f>[1]Data!C1234</f>
        <v>2</v>
      </c>
      <c r="D1234" s="8">
        <f>[1]Data!D1234</f>
        <v>5</v>
      </c>
      <c r="E1234" s="8" t="str">
        <f>[1]Data!E1234</f>
        <v>CVCTE</v>
      </c>
      <c r="F1234" s="8" t="str">
        <f>[1]Data!F1234</f>
        <v>Sun Valley</v>
      </c>
      <c r="G1234" s="8">
        <f>[1]Data!G1234</f>
        <v>1</v>
      </c>
      <c r="H1234" s="8">
        <f>[1]Data!H1234</f>
        <v>1</v>
      </c>
      <c r="I1234" s="8">
        <f>[1]Data!I1234</f>
        <v>23.61</v>
      </c>
      <c r="J1234" s="8">
        <f>[1]Data!J1234</f>
        <v>19.679357159999999</v>
      </c>
      <c r="K1234" s="8">
        <f>[1]Data!K1234</f>
        <v>22.679357159999999</v>
      </c>
      <c r="L1234" s="8">
        <f>[1]Data!L1234</f>
        <v>0.93063145522441604</v>
      </c>
      <c r="M1234" s="8">
        <f>[1]Data!M1234</f>
        <v>23.609988615224399</v>
      </c>
      <c r="N1234" s="8">
        <f>[1]Data!N1234</f>
        <v>0.17910447761194001</v>
      </c>
      <c r="O1234" s="8">
        <f>[1]Data!O1234</f>
        <v>5.5833333333333304</v>
      </c>
      <c r="P1234" s="8">
        <f>[1]Data!P1234</f>
        <v>0.20895522388059701</v>
      </c>
      <c r="Q1234" s="8">
        <f>[1]Data!Q1234</f>
        <v>1</v>
      </c>
      <c r="R1234" s="8">
        <f>[1]Data!R1234</f>
        <v>0</v>
      </c>
      <c r="S1234" s="8">
        <f>[1]Data!S1234</f>
        <v>0</v>
      </c>
      <c r="T1234">
        <f t="shared" si="95"/>
        <v>0.47761194029850751</v>
      </c>
      <c r="U1234">
        <f t="shared" si="96"/>
        <v>2.09375</v>
      </c>
      <c r="V1234" s="4" t="str">
        <f t="shared" si="97"/>
        <v>2</v>
      </c>
      <c r="W1234" s="4" t="str">
        <f t="shared" si="98"/>
        <v>2</v>
      </c>
      <c r="X1234" s="4" t="str">
        <f t="shared" si="99"/>
        <v>2CVCTE2</v>
      </c>
      <c r="Y1234">
        <f>VLOOKUP(X1234,Sheet1!$J$5:$K$121,2,FALSE)</f>
        <v>0.36363636363636398</v>
      </c>
    </row>
    <row r="1235" spans="1:25" x14ac:dyDescent="0.25">
      <c r="A1235" s="8">
        <f>[1]Data!A1235</f>
        <v>143400</v>
      </c>
      <c r="B1235" s="8">
        <f>[1]Data!B1235</f>
        <v>2</v>
      </c>
      <c r="C1235" s="8">
        <f>[1]Data!C1235</f>
        <v>2</v>
      </c>
      <c r="D1235" s="8">
        <f>[1]Data!D1235</f>
        <v>3</v>
      </c>
      <c r="E1235" s="8" t="str">
        <f>[1]Data!E1235</f>
        <v>CVCTE</v>
      </c>
      <c r="F1235" s="8" t="str">
        <f>[1]Data!F1235</f>
        <v>Studio City</v>
      </c>
      <c r="G1235" s="8">
        <f>[1]Data!G1235</f>
        <v>1</v>
      </c>
      <c r="H1235" s="8">
        <f>[1]Data!H1235</f>
        <v>1</v>
      </c>
      <c r="I1235" s="8">
        <f>[1]Data!I1235</f>
        <v>7.7770000000000001</v>
      </c>
      <c r="J1235" s="8">
        <f>[1]Data!J1235</f>
        <v>5.7146398200000004</v>
      </c>
      <c r="K1235" s="8">
        <f>[1]Data!K1235</f>
        <v>7.7146398200000004</v>
      </c>
      <c r="L1235" s="8">
        <f>[1]Data!L1235</f>
        <v>6.18759662477558E-2</v>
      </c>
      <c r="M1235" s="8">
        <f>[1]Data!M1235</f>
        <v>7.7765157862477601</v>
      </c>
      <c r="N1235" s="8">
        <f>[1]Data!N1235</f>
        <v>0.17910447761194001</v>
      </c>
      <c r="O1235" s="8">
        <f>[1]Data!O1235</f>
        <v>5.5833333333333304</v>
      </c>
      <c r="P1235" s="8">
        <f>[1]Data!P1235</f>
        <v>0.20895522388059701</v>
      </c>
      <c r="Q1235" s="8">
        <f>[1]Data!Q1235</f>
        <v>1</v>
      </c>
      <c r="R1235" s="8">
        <f>[1]Data!R1235</f>
        <v>0</v>
      </c>
      <c r="S1235" s="8">
        <f>[1]Data!S1235</f>
        <v>0</v>
      </c>
      <c r="T1235">
        <f t="shared" si="95"/>
        <v>0.47761194029850751</v>
      </c>
      <c r="U1235">
        <f t="shared" si="96"/>
        <v>2.09375</v>
      </c>
      <c r="V1235" s="4" t="str">
        <f t="shared" si="97"/>
        <v>2</v>
      </c>
      <c r="W1235" s="4" t="str">
        <f t="shared" si="98"/>
        <v>2</v>
      </c>
      <c r="X1235" s="4" t="str">
        <f t="shared" si="99"/>
        <v>2CVCTE2</v>
      </c>
      <c r="Y1235">
        <f>VLOOKUP(X1235,Sheet1!$J$5:$K$121,2,FALSE)</f>
        <v>0.36363636363636398</v>
      </c>
    </row>
    <row r="1236" spans="1:25" x14ac:dyDescent="0.25">
      <c r="A1236" s="8">
        <f>[1]Data!A1236</f>
        <v>122410</v>
      </c>
      <c r="B1236" s="8">
        <f>[1]Data!B1236</f>
        <v>2</v>
      </c>
      <c r="C1236" s="8">
        <f>[1]Data!C1236</f>
        <v>2</v>
      </c>
      <c r="D1236" s="8">
        <f>[1]Data!D1236</f>
        <v>3</v>
      </c>
      <c r="E1236" s="8" t="str">
        <f>[1]Data!E1236</f>
        <v>CVCTE</v>
      </c>
      <c r="F1236" s="8" t="str">
        <f>[1]Data!F1236</f>
        <v>North Hollywood</v>
      </c>
      <c r="G1236" s="8">
        <f>[1]Data!G1236</f>
        <v>0</v>
      </c>
      <c r="H1236" s="8">
        <f>[1]Data!H1236</f>
        <v>0</v>
      </c>
      <c r="I1236" s="8">
        <f>[1]Data!I1236</f>
        <v>13.654999999999999</v>
      </c>
      <c r="J1236" s="8">
        <f>[1]Data!J1236</f>
        <v>12.79689144</v>
      </c>
      <c r="K1236" s="8">
        <f>[1]Data!K1236</f>
        <v>12.79689144</v>
      </c>
      <c r="L1236" s="8">
        <f>[1]Data!L1236</f>
        <v>0.85876701919209997</v>
      </c>
      <c r="M1236" s="8">
        <f>[1]Data!M1236</f>
        <v>13.6556584591921</v>
      </c>
      <c r="N1236" s="8">
        <f>[1]Data!N1236</f>
        <v>0.17910447761194001</v>
      </c>
      <c r="O1236" s="8">
        <f>[1]Data!O1236</f>
        <v>0</v>
      </c>
      <c r="P1236" s="8">
        <f>[1]Data!P1236</f>
        <v>0.20895522388059701</v>
      </c>
      <c r="Q1236" s="8">
        <f>[1]Data!Q1236</f>
        <v>1</v>
      </c>
      <c r="R1236" s="8">
        <f>[1]Data!R1236</f>
        <v>0.36363636363636398</v>
      </c>
      <c r="S1236" s="8">
        <f>[1]Data!S1236</f>
        <v>0</v>
      </c>
      <c r="T1236">
        <f t="shared" si="95"/>
        <v>0.47761194029850751</v>
      </c>
      <c r="U1236">
        <f t="shared" si="96"/>
        <v>0</v>
      </c>
      <c r="V1236" s="4" t="str">
        <f t="shared" si="97"/>
        <v>2</v>
      </c>
      <c r="W1236" s="4" t="str">
        <f t="shared" si="98"/>
        <v>2</v>
      </c>
      <c r="X1236" s="4" t="str">
        <f t="shared" si="99"/>
        <v>2CVCTE2</v>
      </c>
      <c r="Y1236">
        <f>VLOOKUP(X1236,Sheet1!$J$5:$K$121,2,FALSE)</f>
        <v>0.36363636363636398</v>
      </c>
    </row>
    <row r="1237" spans="1:25" x14ac:dyDescent="0.25">
      <c r="A1237" s="8">
        <f>[1]Data!A1237</f>
        <v>125200</v>
      </c>
      <c r="B1237" s="8">
        <f>[1]Data!B1237</f>
        <v>2</v>
      </c>
      <c r="C1237" s="8">
        <f>[1]Data!C1237</f>
        <v>2</v>
      </c>
      <c r="D1237" s="8">
        <f>[1]Data!D1237</f>
        <v>3</v>
      </c>
      <c r="E1237" s="8" t="str">
        <f>[1]Data!E1237</f>
        <v>CVCTE</v>
      </c>
      <c r="F1237" s="8" t="str">
        <f>[1]Data!F1237</f>
        <v>Valley Village</v>
      </c>
      <c r="G1237" s="8">
        <f>[1]Data!G1237</f>
        <v>1</v>
      </c>
      <c r="H1237" s="8">
        <f>[1]Data!H1237</f>
        <v>1</v>
      </c>
      <c r="I1237" s="8">
        <f>[1]Data!I1237</f>
        <v>89.037999999999997</v>
      </c>
      <c r="J1237" s="8">
        <f>[1]Data!J1237</f>
        <v>62.303128370000003</v>
      </c>
      <c r="K1237" s="8">
        <f>[1]Data!K1237</f>
        <v>86.303128369999996</v>
      </c>
      <c r="L1237" s="8">
        <f>[1]Data!L1237</f>
        <v>2.7352430964093402</v>
      </c>
      <c r="M1237" s="8">
        <f>[1]Data!M1237</f>
        <v>89.038371466409302</v>
      </c>
      <c r="N1237" s="8">
        <f>[1]Data!N1237</f>
        <v>0.17910447761194001</v>
      </c>
      <c r="O1237" s="8">
        <f>[1]Data!O1237</f>
        <v>5.5833333333333304</v>
      </c>
      <c r="P1237" s="8">
        <f>[1]Data!P1237</f>
        <v>0.20895522388059701</v>
      </c>
      <c r="Q1237" s="8">
        <f>[1]Data!Q1237</f>
        <v>1</v>
      </c>
      <c r="R1237" s="8">
        <f>[1]Data!R1237</f>
        <v>0</v>
      </c>
      <c r="S1237" s="8">
        <f>[1]Data!S1237</f>
        <v>0</v>
      </c>
      <c r="T1237">
        <f t="shared" si="95"/>
        <v>0.47761194029850751</v>
      </c>
      <c r="U1237">
        <f t="shared" si="96"/>
        <v>2.09375</v>
      </c>
      <c r="V1237" s="4" t="str">
        <f t="shared" si="97"/>
        <v>2</v>
      </c>
      <c r="W1237" s="4" t="str">
        <f t="shared" si="98"/>
        <v>2</v>
      </c>
      <c r="X1237" s="4" t="str">
        <f t="shared" si="99"/>
        <v>2CVCTE2</v>
      </c>
      <c r="Y1237">
        <f>VLOOKUP(X1237,Sheet1!$J$5:$K$121,2,FALSE)</f>
        <v>0.36363636363636398</v>
      </c>
    </row>
    <row r="1238" spans="1:25" x14ac:dyDescent="0.25">
      <c r="A1238" s="8">
        <f>[1]Data!A1238</f>
        <v>123520</v>
      </c>
      <c r="B1238" s="8">
        <f>[1]Data!B1238</f>
        <v>2</v>
      </c>
      <c r="C1238" s="8">
        <f>[1]Data!C1238</f>
        <v>2</v>
      </c>
      <c r="D1238" s="8">
        <f>[1]Data!D1238</f>
        <v>3</v>
      </c>
      <c r="E1238" s="8" t="str">
        <f>[1]Data!E1238</f>
        <v>CVCTE</v>
      </c>
      <c r="F1238" s="8" t="str">
        <f>[1]Data!F1238</f>
        <v>Van Nuys</v>
      </c>
      <c r="G1238" s="8">
        <f>[1]Data!G1238</f>
        <v>0</v>
      </c>
      <c r="H1238" s="8">
        <f>[1]Data!H1238</f>
        <v>0</v>
      </c>
      <c r="I1238" s="8">
        <f>[1]Data!I1238</f>
        <v>7.5890000000000004</v>
      </c>
      <c r="J1238" s="8">
        <f>[1]Data!J1238</f>
        <v>7.1397280600000004</v>
      </c>
      <c r="K1238" s="8">
        <f>[1]Data!K1238</f>
        <v>7.1397280600000004</v>
      </c>
      <c r="L1238" s="8">
        <f>[1]Data!L1238</f>
        <v>0.448782719192101</v>
      </c>
      <c r="M1238" s="8">
        <f>[1]Data!M1238</f>
        <v>7.5885107791920996</v>
      </c>
      <c r="N1238" s="8">
        <f>[1]Data!N1238</f>
        <v>0.17910447761194001</v>
      </c>
      <c r="O1238" s="8">
        <f>[1]Data!O1238</f>
        <v>0</v>
      </c>
      <c r="P1238" s="8">
        <f>[1]Data!P1238</f>
        <v>0.20895522388059701</v>
      </c>
      <c r="Q1238" s="8">
        <f>[1]Data!Q1238</f>
        <v>1</v>
      </c>
      <c r="R1238" s="8">
        <f>[1]Data!R1238</f>
        <v>0.36363636363636398</v>
      </c>
      <c r="S1238" s="8">
        <f>[1]Data!S1238</f>
        <v>0</v>
      </c>
      <c r="T1238">
        <f t="shared" si="95"/>
        <v>0.47761194029850751</v>
      </c>
      <c r="U1238">
        <f t="shared" si="96"/>
        <v>0</v>
      </c>
      <c r="V1238" s="4" t="str">
        <f t="shared" si="97"/>
        <v>2</v>
      </c>
      <c r="W1238" s="4" t="str">
        <f t="shared" si="98"/>
        <v>2</v>
      </c>
      <c r="X1238" s="4" t="str">
        <f t="shared" si="99"/>
        <v>2CVCTE2</v>
      </c>
      <c r="Y1238">
        <f>VLOOKUP(X1238,Sheet1!$J$5:$K$121,2,FALSE)</f>
        <v>0.36363636363636398</v>
      </c>
    </row>
    <row r="1239" spans="1:25" x14ac:dyDescent="0.25">
      <c r="A1239" s="8">
        <f>[1]Data!A1239</f>
        <v>143602</v>
      </c>
      <c r="B1239" s="8">
        <f>[1]Data!B1239</f>
        <v>2</v>
      </c>
      <c r="C1239" s="8">
        <f>[1]Data!C1239</f>
        <v>2</v>
      </c>
      <c r="D1239" s="8">
        <f>[1]Data!D1239</f>
        <v>3</v>
      </c>
      <c r="E1239" s="8" t="str">
        <f>[1]Data!E1239</f>
        <v>CVCTE</v>
      </c>
      <c r="F1239" s="8" t="str">
        <f>[1]Data!F1239</f>
        <v>Studio City</v>
      </c>
      <c r="G1239" s="8">
        <f>[1]Data!G1239</f>
        <v>0</v>
      </c>
      <c r="H1239" s="8">
        <f>[1]Data!H1239</f>
        <v>0</v>
      </c>
      <c r="I1239" s="8">
        <f>[1]Data!I1239</f>
        <v>5.8079999999999998</v>
      </c>
      <c r="J1239" s="8">
        <f>[1]Data!J1239</f>
        <v>1.73313217</v>
      </c>
      <c r="K1239" s="8">
        <f>[1]Data!K1239</f>
        <v>5.7331321700000002</v>
      </c>
      <c r="L1239" s="8">
        <f>[1]Data!L1239</f>
        <v>7.4985510287253102E-2</v>
      </c>
      <c r="M1239" s="8">
        <f>[1]Data!M1239</f>
        <v>5.8081176802872498</v>
      </c>
      <c r="N1239" s="8">
        <f>[1]Data!N1239</f>
        <v>0.17910447761194001</v>
      </c>
      <c r="O1239" s="8">
        <f>[1]Data!O1239</f>
        <v>0</v>
      </c>
      <c r="P1239" s="8">
        <f>[1]Data!P1239</f>
        <v>0.20895522388059701</v>
      </c>
      <c r="Q1239" s="8">
        <f>[1]Data!Q1239</f>
        <v>1</v>
      </c>
      <c r="R1239" s="8">
        <f>[1]Data!R1239</f>
        <v>0.36363636363636398</v>
      </c>
      <c r="S1239" s="8">
        <f>[1]Data!S1239</f>
        <v>0</v>
      </c>
      <c r="T1239">
        <f t="shared" si="95"/>
        <v>0.47761194029850751</v>
      </c>
      <c r="U1239">
        <f t="shared" si="96"/>
        <v>0</v>
      </c>
      <c r="V1239" s="4" t="str">
        <f t="shared" si="97"/>
        <v>2</v>
      </c>
      <c r="W1239" s="4" t="str">
        <f t="shared" si="98"/>
        <v>2</v>
      </c>
      <c r="X1239" s="4" t="str">
        <f t="shared" si="99"/>
        <v>2CVCTE2</v>
      </c>
      <c r="Y1239">
        <f>VLOOKUP(X1239,Sheet1!$J$5:$K$121,2,FALSE)</f>
        <v>0.36363636363636398</v>
      </c>
    </row>
    <row r="1240" spans="1:25" x14ac:dyDescent="0.25">
      <c r="A1240" s="8">
        <f>[1]Data!A1240</f>
        <v>123304</v>
      </c>
      <c r="B1240" s="8">
        <f>[1]Data!B1240</f>
        <v>2</v>
      </c>
      <c r="C1240" s="8">
        <f>[1]Data!C1240</f>
        <v>2</v>
      </c>
      <c r="D1240" s="8">
        <f>[1]Data!D1240</f>
        <v>3</v>
      </c>
      <c r="E1240" s="8" t="str">
        <f>[1]Data!E1240</f>
        <v>CVCTE</v>
      </c>
      <c r="F1240" s="8" t="str">
        <f>[1]Data!F1240</f>
        <v>North Hollywood</v>
      </c>
      <c r="G1240" s="8">
        <f>[1]Data!G1240</f>
        <v>0</v>
      </c>
      <c r="H1240" s="8">
        <f>[1]Data!H1240</f>
        <v>0</v>
      </c>
      <c r="I1240" s="8">
        <f>[1]Data!I1240</f>
        <v>41.369</v>
      </c>
      <c r="J1240" s="8">
        <f>[1]Data!J1240</f>
        <v>35.197505319999998</v>
      </c>
      <c r="K1240" s="8">
        <f>[1]Data!K1240</f>
        <v>39.197505319999998</v>
      </c>
      <c r="L1240" s="8">
        <f>[1]Data!L1240</f>
        <v>2.1715394137702</v>
      </c>
      <c r="M1240" s="8">
        <f>[1]Data!M1240</f>
        <v>41.369044733770203</v>
      </c>
      <c r="N1240" s="8">
        <f>[1]Data!N1240</f>
        <v>0.17910447761194001</v>
      </c>
      <c r="O1240" s="8">
        <f>[1]Data!O1240</f>
        <v>0</v>
      </c>
      <c r="P1240" s="8">
        <f>[1]Data!P1240</f>
        <v>0.20895522388059701</v>
      </c>
      <c r="Q1240" s="8">
        <f>[1]Data!Q1240</f>
        <v>1</v>
      </c>
      <c r="R1240" s="8">
        <f>[1]Data!R1240</f>
        <v>0.36363636363636398</v>
      </c>
      <c r="S1240" s="8">
        <f>[1]Data!S1240</f>
        <v>0</v>
      </c>
      <c r="T1240">
        <f t="shared" si="95"/>
        <v>0.47761194029850751</v>
      </c>
      <c r="U1240">
        <f t="shared" si="96"/>
        <v>0</v>
      </c>
      <c r="V1240" s="4" t="str">
        <f t="shared" si="97"/>
        <v>2</v>
      </c>
      <c r="W1240" s="4" t="str">
        <f t="shared" si="98"/>
        <v>2</v>
      </c>
      <c r="X1240" s="4" t="str">
        <f t="shared" si="99"/>
        <v>2CVCTE2</v>
      </c>
      <c r="Y1240">
        <f>VLOOKUP(X1240,Sheet1!$J$5:$K$121,2,FALSE)</f>
        <v>0.36363636363636398</v>
      </c>
    </row>
    <row r="1241" spans="1:25" x14ac:dyDescent="0.25">
      <c r="A1241" s="8">
        <f>[1]Data!A1241</f>
        <v>123800</v>
      </c>
      <c r="B1241" s="8">
        <f>[1]Data!B1241</f>
        <v>2</v>
      </c>
      <c r="C1241" s="8">
        <f>[1]Data!C1241</f>
        <v>2</v>
      </c>
      <c r="D1241" s="8">
        <f>[1]Data!D1241</f>
        <v>3</v>
      </c>
      <c r="E1241" s="8" t="str">
        <f>[1]Data!E1241</f>
        <v>CVCTE</v>
      </c>
      <c r="F1241" s="8" t="str">
        <f>[1]Data!F1241</f>
        <v>North Hollywood</v>
      </c>
      <c r="G1241" s="8">
        <f>[1]Data!G1241</f>
        <v>0</v>
      </c>
      <c r="H1241" s="8">
        <f>[1]Data!H1241</f>
        <v>0</v>
      </c>
      <c r="I1241" s="8">
        <f>[1]Data!I1241</f>
        <v>47.375999999999998</v>
      </c>
      <c r="J1241" s="8">
        <f>[1]Data!J1241</f>
        <v>38.884018410000003</v>
      </c>
      <c r="K1241" s="8">
        <f>[1]Data!K1241</f>
        <v>45.884018410000003</v>
      </c>
      <c r="L1241" s="8">
        <f>[1]Data!L1241</f>
        <v>1.49256326123878</v>
      </c>
      <c r="M1241" s="8">
        <f>[1]Data!M1241</f>
        <v>47.376581671238803</v>
      </c>
      <c r="N1241" s="8">
        <f>[1]Data!N1241</f>
        <v>0.17910447761194001</v>
      </c>
      <c r="O1241" s="8">
        <f>[1]Data!O1241</f>
        <v>0</v>
      </c>
      <c r="P1241" s="8">
        <f>[1]Data!P1241</f>
        <v>0.20895522388059701</v>
      </c>
      <c r="Q1241" s="8">
        <f>[1]Data!Q1241</f>
        <v>1</v>
      </c>
      <c r="R1241" s="8">
        <f>[1]Data!R1241</f>
        <v>0.36363636363636398</v>
      </c>
      <c r="S1241" s="8">
        <f>[1]Data!S1241</f>
        <v>0</v>
      </c>
      <c r="T1241">
        <f t="shared" si="95"/>
        <v>0.47761194029850751</v>
      </c>
      <c r="U1241">
        <f t="shared" si="96"/>
        <v>0</v>
      </c>
      <c r="V1241" s="4" t="str">
        <f t="shared" si="97"/>
        <v>2</v>
      </c>
      <c r="W1241" s="4" t="str">
        <f t="shared" si="98"/>
        <v>2</v>
      </c>
      <c r="X1241" s="4" t="str">
        <f t="shared" si="99"/>
        <v>2CVCTE2</v>
      </c>
      <c r="Y1241">
        <f>VLOOKUP(X1241,Sheet1!$J$5:$K$121,2,FALSE)</f>
        <v>0.36363636363636398</v>
      </c>
    </row>
    <row r="1242" spans="1:25" x14ac:dyDescent="0.25">
      <c r="A1242" s="8">
        <f>[1]Data!A1242</f>
        <v>123020</v>
      </c>
      <c r="B1242" s="8">
        <f>[1]Data!B1242</f>
        <v>2</v>
      </c>
      <c r="C1242" s="8">
        <f>[1]Data!C1242</f>
        <v>2</v>
      </c>
      <c r="D1242" s="8">
        <f>[1]Data!D1242</f>
        <v>3</v>
      </c>
      <c r="E1242" s="8" t="str">
        <f>[1]Data!E1242</f>
        <v>CVCTE</v>
      </c>
      <c r="F1242" s="8" t="str">
        <f>[1]Data!F1242</f>
        <v>Sun Valley</v>
      </c>
      <c r="G1242" s="8">
        <f>[1]Data!G1242</f>
        <v>0</v>
      </c>
      <c r="H1242" s="8">
        <f>[1]Data!H1242</f>
        <v>0</v>
      </c>
      <c r="I1242" s="8">
        <f>[1]Data!I1242</f>
        <v>26.085999999999999</v>
      </c>
      <c r="J1242" s="8">
        <f>[1]Data!J1242</f>
        <v>24.785825620000001</v>
      </c>
      <c r="K1242" s="8">
        <f>[1]Data!K1242</f>
        <v>24.785825620000001</v>
      </c>
      <c r="L1242" s="8">
        <f>[1]Data!L1242</f>
        <v>1.3004954535906601</v>
      </c>
      <c r="M1242" s="8">
        <f>[1]Data!M1242</f>
        <v>26.0863210735907</v>
      </c>
      <c r="N1242" s="8">
        <f>[1]Data!N1242</f>
        <v>0.17910447761194001</v>
      </c>
      <c r="O1242" s="8">
        <f>[1]Data!O1242</f>
        <v>0</v>
      </c>
      <c r="P1242" s="8">
        <f>[1]Data!P1242</f>
        <v>0.20895522388059701</v>
      </c>
      <c r="Q1242" s="8">
        <f>[1]Data!Q1242</f>
        <v>1</v>
      </c>
      <c r="R1242" s="8">
        <f>[1]Data!R1242</f>
        <v>0.36363636363636398</v>
      </c>
      <c r="S1242" s="8">
        <f>[1]Data!S1242</f>
        <v>0</v>
      </c>
      <c r="T1242">
        <f t="shared" si="95"/>
        <v>0.47761194029850751</v>
      </c>
      <c r="U1242">
        <f t="shared" si="96"/>
        <v>0</v>
      </c>
      <c r="V1242" s="4" t="str">
        <f t="shared" si="97"/>
        <v>2</v>
      </c>
      <c r="W1242" s="4" t="str">
        <f t="shared" si="98"/>
        <v>2</v>
      </c>
      <c r="X1242" s="4" t="str">
        <f t="shared" si="99"/>
        <v>2CVCTE2</v>
      </c>
      <c r="Y1242">
        <f>VLOOKUP(X1242,Sheet1!$J$5:$K$121,2,FALSE)</f>
        <v>0.36363636363636398</v>
      </c>
    </row>
    <row r="1243" spans="1:25" x14ac:dyDescent="0.25">
      <c r="A1243" s="8">
        <f>[1]Data!A1243</f>
        <v>122000</v>
      </c>
      <c r="B1243" s="8">
        <f>[1]Data!B1243</f>
        <v>2</v>
      </c>
      <c r="C1243" s="8">
        <f>[1]Data!C1243</f>
        <v>2</v>
      </c>
      <c r="D1243" s="8">
        <f>[1]Data!D1243</f>
        <v>3</v>
      </c>
      <c r="E1243" s="8" t="str">
        <f>[1]Data!E1243</f>
        <v>CVCTE</v>
      </c>
      <c r="F1243" s="8" t="str">
        <f>[1]Data!F1243</f>
        <v>North Hollywood</v>
      </c>
      <c r="G1243" s="8">
        <f>[1]Data!G1243</f>
        <v>0</v>
      </c>
      <c r="H1243" s="8">
        <f>[1]Data!H1243</f>
        <v>1</v>
      </c>
      <c r="I1243" s="8">
        <f>[1]Data!I1243</f>
        <v>38.378999999999998</v>
      </c>
      <c r="J1243" s="8">
        <f>[1]Data!J1243</f>
        <v>34.997556600000003</v>
      </c>
      <c r="K1243" s="8">
        <f>[1]Data!K1243</f>
        <v>36.997556600000003</v>
      </c>
      <c r="L1243" s="8">
        <f>[1]Data!L1243</f>
        <v>1.3813791607899499</v>
      </c>
      <c r="M1243" s="8">
        <f>[1]Data!M1243</f>
        <v>38.378935760789901</v>
      </c>
      <c r="N1243" s="8">
        <f>[1]Data!N1243</f>
        <v>0.17910447761194001</v>
      </c>
      <c r="O1243" s="8">
        <f>[1]Data!O1243</f>
        <v>0</v>
      </c>
      <c r="P1243" s="8">
        <f>[1]Data!P1243</f>
        <v>0.20895522388059701</v>
      </c>
      <c r="Q1243" s="8">
        <f>[1]Data!Q1243</f>
        <v>1</v>
      </c>
      <c r="R1243" s="8">
        <f>[1]Data!R1243</f>
        <v>0.36363636363636398</v>
      </c>
      <c r="S1243" s="8">
        <f>[1]Data!S1243</f>
        <v>2.75</v>
      </c>
      <c r="T1243">
        <f t="shared" si="95"/>
        <v>0.47761194029850751</v>
      </c>
      <c r="U1243">
        <f t="shared" si="96"/>
        <v>2.09375</v>
      </c>
      <c r="V1243" s="4" t="str">
        <f t="shared" si="97"/>
        <v>2</v>
      </c>
      <c r="W1243" s="4" t="str">
        <f t="shared" si="98"/>
        <v>2</v>
      </c>
      <c r="X1243" s="4" t="str">
        <f t="shared" si="99"/>
        <v>2CVCTE2</v>
      </c>
      <c r="Y1243">
        <f>VLOOKUP(X1243,Sheet1!$J$5:$K$121,2,FALSE)</f>
        <v>0.36363636363636398</v>
      </c>
    </row>
    <row r="1244" spans="1:25" x14ac:dyDescent="0.25">
      <c r="A1244" s="8">
        <f>[1]Data!A1244</f>
        <v>123510</v>
      </c>
      <c r="B1244" s="8">
        <f>[1]Data!B1244</f>
        <v>2</v>
      </c>
      <c r="C1244" s="8">
        <f>[1]Data!C1244</f>
        <v>2</v>
      </c>
      <c r="D1244" s="8">
        <f>[1]Data!D1244</f>
        <v>3</v>
      </c>
      <c r="E1244" s="8" t="str">
        <f>[1]Data!E1244</f>
        <v>CVCTE</v>
      </c>
      <c r="F1244" s="8" t="str">
        <f>[1]Data!F1244</f>
        <v>Van Nuys</v>
      </c>
      <c r="G1244" s="8">
        <f>[1]Data!G1244</f>
        <v>0</v>
      </c>
      <c r="H1244" s="8">
        <f>[1]Data!H1244</f>
        <v>0</v>
      </c>
      <c r="I1244" s="8">
        <f>[1]Data!I1244</f>
        <v>16.574000000000002</v>
      </c>
      <c r="J1244" s="8">
        <f>[1]Data!J1244</f>
        <v>15.317859240000001</v>
      </c>
      <c r="K1244" s="8">
        <f>[1]Data!K1244</f>
        <v>16.317859240000001</v>
      </c>
      <c r="L1244" s="8">
        <f>[1]Data!L1244</f>
        <v>0.255549855960503</v>
      </c>
      <c r="M1244" s="8">
        <f>[1]Data!M1244</f>
        <v>16.5734090959605</v>
      </c>
      <c r="N1244" s="8">
        <f>[1]Data!N1244</f>
        <v>0.17910447761194001</v>
      </c>
      <c r="O1244" s="8">
        <f>[1]Data!O1244</f>
        <v>0</v>
      </c>
      <c r="P1244" s="8">
        <f>[1]Data!P1244</f>
        <v>0.20895522388059701</v>
      </c>
      <c r="Q1244" s="8">
        <f>[1]Data!Q1244</f>
        <v>1</v>
      </c>
      <c r="R1244" s="8">
        <f>[1]Data!R1244</f>
        <v>0.36363636363636398</v>
      </c>
      <c r="S1244" s="8">
        <f>[1]Data!S1244</f>
        <v>0</v>
      </c>
      <c r="T1244">
        <f t="shared" si="95"/>
        <v>0.47761194029850751</v>
      </c>
      <c r="U1244">
        <f t="shared" si="96"/>
        <v>0</v>
      </c>
      <c r="V1244" s="4" t="str">
        <f t="shared" si="97"/>
        <v>2</v>
      </c>
      <c r="W1244" s="4" t="str">
        <f t="shared" si="98"/>
        <v>2</v>
      </c>
      <c r="X1244" s="4" t="str">
        <f t="shared" si="99"/>
        <v>2CVCTE2</v>
      </c>
      <c r="Y1244">
        <f>VLOOKUP(X1244,Sheet1!$J$5:$K$121,2,FALSE)</f>
        <v>0.36363636363636398</v>
      </c>
    </row>
    <row r="1245" spans="1:25" x14ac:dyDescent="0.25">
      <c r="A1245" s="8">
        <f>[1]Data!A1245</f>
        <v>123902</v>
      </c>
      <c r="B1245" s="8">
        <f>[1]Data!B1245</f>
        <v>2</v>
      </c>
      <c r="C1245" s="8">
        <f>[1]Data!C1245</f>
        <v>2</v>
      </c>
      <c r="D1245" s="8">
        <f>[1]Data!D1245</f>
        <v>3</v>
      </c>
      <c r="E1245" s="8" t="str">
        <f>[1]Data!E1245</f>
        <v>CVCTE</v>
      </c>
      <c r="F1245" s="8" t="str">
        <f>[1]Data!F1245</f>
        <v>North Hollywood</v>
      </c>
      <c r="G1245" s="8">
        <f>[1]Data!G1245</f>
        <v>0</v>
      </c>
      <c r="H1245" s="8">
        <f>[1]Data!H1245</f>
        <v>0</v>
      </c>
      <c r="I1245" s="8">
        <f>[1]Data!I1245</f>
        <v>30.658000000000001</v>
      </c>
      <c r="J1245" s="8">
        <f>[1]Data!J1245</f>
        <v>27.619088900000001</v>
      </c>
      <c r="K1245" s="8">
        <f>[1]Data!K1245</f>
        <v>28.619088900000001</v>
      </c>
      <c r="L1245" s="8">
        <f>[1]Data!L1245</f>
        <v>2.03925953028725</v>
      </c>
      <c r="M1245" s="8">
        <f>[1]Data!M1245</f>
        <v>30.658348430287301</v>
      </c>
      <c r="N1245" s="8">
        <f>[1]Data!N1245</f>
        <v>0.17910447761194001</v>
      </c>
      <c r="O1245" s="8">
        <f>[1]Data!O1245</f>
        <v>0</v>
      </c>
      <c r="P1245" s="8">
        <f>[1]Data!P1245</f>
        <v>0.20895522388059701</v>
      </c>
      <c r="Q1245" s="8">
        <f>[1]Data!Q1245</f>
        <v>1</v>
      </c>
      <c r="R1245" s="8">
        <f>[1]Data!R1245</f>
        <v>0.36363636363636398</v>
      </c>
      <c r="S1245" s="8">
        <f>[1]Data!S1245</f>
        <v>0</v>
      </c>
      <c r="T1245">
        <f t="shared" si="95"/>
        <v>0.47761194029850751</v>
      </c>
      <c r="U1245">
        <f t="shared" si="96"/>
        <v>0</v>
      </c>
      <c r="V1245" s="4" t="str">
        <f t="shared" si="97"/>
        <v>2</v>
      </c>
      <c r="W1245" s="4" t="str">
        <f t="shared" si="98"/>
        <v>2</v>
      </c>
      <c r="X1245" s="4" t="str">
        <f t="shared" si="99"/>
        <v>2CVCTE2</v>
      </c>
      <c r="Y1245">
        <f>VLOOKUP(X1245,Sheet1!$J$5:$K$121,2,FALSE)</f>
        <v>0.36363636363636398</v>
      </c>
    </row>
    <row r="1246" spans="1:25" x14ac:dyDescent="0.25">
      <c r="A1246" s="8">
        <f>[1]Data!A1246</f>
        <v>123301</v>
      </c>
      <c r="B1246" s="8">
        <f>[1]Data!B1246</f>
        <v>2</v>
      </c>
      <c r="C1246" s="8">
        <f>[1]Data!C1246</f>
        <v>2</v>
      </c>
      <c r="D1246" s="8">
        <f>[1]Data!D1246</f>
        <v>3</v>
      </c>
      <c r="E1246" s="8" t="str">
        <f>[1]Data!E1246</f>
        <v>CVCTE</v>
      </c>
      <c r="F1246" s="8" t="str">
        <f>[1]Data!F1246</f>
        <v>North Hollywood</v>
      </c>
      <c r="G1246" s="8">
        <f>[1]Data!G1246</f>
        <v>1</v>
      </c>
      <c r="H1246" s="8">
        <f>[1]Data!H1246</f>
        <v>1</v>
      </c>
      <c r="I1246" s="8">
        <f>[1]Data!I1246</f>
        <v>49.442999999999998</v>
      </c>
      <c r="J1246" s="8">
        <f>[1]Data!J1246</f>
        <v>46.090738469999998</v>
      </c>
      <c r="K1246" s="8">
        <f>[1]Data!K1246</f>
        <v>47.090738469999998</v>
      </c>
      <c r="L1246" s="8">
        <f>[1]Data!L1246</f>
        <v>2.3530954656193899</v>
      </c>
      <c r="M1246" s="8">
        <f>[1]Data!M1246</f>
        <v>49.443833935619402</v>
      </c>
      <c r="N1246" s="8">
        <f>[1]Data!N1246</f>
        <v>0.17910447761194001</v>
      </c>
      <c r="O1246" s="8">
        <f>[1]Data!O1246</f>
        <v>5.5833333333333304</v>
      </c>
      <c r="P1246" s="8">
        <f>[1]Data!P1246</f>
        <v>0.20895522388059701</v>
      </c>
      <c r="Q1246" s="8">
        <f>[1]Data!Q1246</f>
        <v>1</v>
      </c>
      <c r="R1246" s="8">
        <f>[1]Data!R1246</f>
        <v>0</v>
      </c>
      <c r="S1246" s="8">
        <f>[1]Data!S1246</f>
        <v>0</v>
      </c>
      <c r="T1246">
        <f t="shared" si="95"/>
        <v>0.47761194029850751</v>
      </c>
      <c r="U1246">
        <f t="shared" si="96"/>
        <v>2.09375</v>
      </c>
      <c r="V1246" s="4" t="str">
        <f t="shared" si="97"/>
        <v>2</v>
      </c>
      <c r="W1246" s="4" t="str">
        <f t="shared" si="98"/>
        <v>2</v>
      </c>
      <c r="X1246" s="4" t="str">
        <f t="shared" si="99"/>
        <v>2CVCTE2</v>
      </c>
      <c r="Y1246">
        <f>VLOOKUP(X1246,Sheet1!$J$5:$K$121,2,FALSE)</f>
        <v>0.36363636363636398</v>
      </c>
    </row>
    <row r="1247" spans="1:25" x14ac:dyDescent="0.25">
      <c r="A1247" s="8">
        <f>[1]Data!A1247</f>
        <v>127103</v>
      </c>
      <c r="B1247" s="8">
        <f>[1]Data!B1247</f>
        <v>2</v>
      </c>
      <c r="C1247" s="8">
        <f>[1]Data!C1247</f>
        <v>2</v>
      </c>
      <c r="D1247" s="8">
        <f>[1]Data!D1247</f>
        <v>3</v>
      </c>
      <c r="E1247" s="8" t="str">
        <f>[1]Data!E1247</f>
        <v>CVCTE</v>
      </c>
      <c r="F1247" s="8" t="str">
        <f>[1]Data!F1247</f>
        <v>Van Nuys</v>
      </c>
      <c r="G1247" s="8">
        <f>[1]Data!G1247</f>
        <v>0</v>
      </c>
      <c r="H1247" s="8">
        <f>[1]Data!H1247</f>
        <v>0</v>
      </c>
      <c r="I1247" s="8">
        <f>[1]Data!I1247</f>
        <v>30.181000000000001</v>
      </c>
      <c r="J1247" s="8">
        <f>[1]Data!J1247</f>
        <v>25.44741522</v>
      </c>
      <c r="K1247" s="8">
        <f>[1]Data!K1247</f>
        <v>29.44741522</v>
      </c>
      <c r="L1247" s="8">
        <f>[1]Data!L1247</f>
        <v>0.73323565522441703</v>
      </c>
      <c r="M1247" s="8">
        <f>[1]Data!M1247</f>
        <v>30.180650875224401</v>
      </c>
      <c r="N1247" s="8">
        <f>[1]Data!N1247</f>
        <v>0.17910447761194001</v>
      </c>
      <c r="O1247" s="8">
        <f>[1]Data!O1247</f>
        <v>0</v>
      </c>
      <c r="P1247" s="8">
        <f>[1]Data!P1247</f>
        <v>0.20895522388059701</v>
      </c>
      <c r="Q1247" s="8">
        <f>[1]Data!Q1247</f>
        <v>1</v>
      </c>
      <c r="R1247" s="8">
        <f>[1]Data!R1247</f>
        <v>0.36363636363636398</v>
      </c>
      <c r="S1247" s="8">
        <f>[1]Data!S1247</f>
        <v>0</v>
      </c>
      <c r="T1247">
        <f t="shared" si="95"/>
        <v>0.47761194029850751</v>
      </c>
      <c r="U1247">
        <f t="shared" si="96"/>
        <v>0</v>
      </c>
      <c r="V1247" s="4" t="str">
        <f t="shared" si="97"/>
        <v>2</v>
      </c>
      <c r="W1247" s="4" t="str">
        <f t="shared" si="98"/>
        <v>2</v>
      </c>
      <c r="X1247" s="4" t="str">
        <f t="shared" si="99"/>
        <v>2CVCTE2</v>
      </c>
      <c r="Y1247">
        <f>VLOOKUP(X1247,Sheet1!$J$5:$K$121,2,FALSE)</f>
        <v>0.36363636363636398</v>
      </c>
    </row>
    <row r="1248" spans="1:25" x14ac:dyDescent="0.25">
      <c r="A1248" s="8">
        <f>[1]Data!A1248</f>
        <v>123103</v>
      </c>
      <c r="B1248" s="8">
        <f>[1]Data!B1248</f>
        <v>2</v>
      </c>
      <c r="C1248" s="8">
        <f>[1]Data!C1248</f>
        <v>2</v>
      </c>
      <c r="D1248" s="8">
        <f>[1]Data!D1248</f>
        <v>3</v>
      </c>
      <c r="E1248" s="8" t="str">
        <f>[1]Data!E1248</f>
        <v>CVCTE</v>
      </c>
      <c r="F1248" s="8" t="str">
        <f>[1]Data!F1248</f>
        <v>North Hollywood</v>
      </c>
      <c r="G1248" s="8">
        <f>[1]Data!G1248</f>
        <v>0</v>
      </c>
      <c r="H1248" s="8">
        <f>[1]Data!H1248</f>
        <v>0</v>
      </c>
      <c r="I1248" s="8">
        <f>[1]Data!I1248</f>
        <v>41.735999999999997</v>
      </c>
      <c r="J1248" s="8">
        <f>[1]Data!J1248</f>
        <v>30.793179389999999</v>
      </c>
      <c r="K1248" s="8">
        <f>[1]Data!K1248</f>
        <v>39.793179389999999</v>
      </c>
      <c r="L1248" s="8">
        <f>[1]Data!L1248</f>
        <v>1.94249056924596</v>
      </c>
      <c r="M1248" s="8">
        <f>[1]Data!M1248</f>
        <v>41.735669959246003</v>
      </c>
      <c r="N1248" s="8">
        <f>[1]Data!N1248</f>
        <v>0.17910447761194001</v>
      </c>
      <c r="O1248" s="8">
        <f>[1]Data!O1248</f>
        <v>0</v>
      </c>
      <c r="P1248" s="8">
        <f>[1]Data!P1248</f>
        <v>0.20895522388059701</v>
      </c>
      <c r="Q1248" s="8">
        <f>[1]Data!Q1248</f>
        <v>1</v>
      </c>
      <c r="R1248" s="8">
        <f>[1]Data!R1248</f>
        <v>0.36363636363636398</v>
      </c>
      <c r="S1248" s="8">
        <f>[1]Data!S1248</f>
        <v>0</v>
      </c>
      <c r="T1248">
        <f t="shared" si="95"/>
        <v>0.47761194029850751</v>
      </c>
      <c r="U1248">
        <f t="shared" si="96"/>
        <v>0</v>
      </c>
      <c r="V1248" s="4" t="str">
        <f t="shared" si="97"/>
        <v>2</v>
      </c>
      <c r="W1248" s="4" t="str">
        <f t="shared" si="98"/>
        <v>2</v>
      </c>
      <c r="X1248" s="4" t="str">
        <f t="shared" si="99"/>
        <v>2CVCTE2</v>
      </c>
      <c r="Y1248">
        <f>VLOOKUP(X1248,Sheet1!$J$5:$K$121,2,FALSE)</f>
        <v>0.36363636363636398</v>
      </c>
    </row>
    <row r="1249" spans="1:25" x14ac:dyDescent="0.25">
      <c r="A1249" s="8">
        <f>[1]Data!A1249</f>
        <v>124102</v>
      </c>
      <c r="B1249" s="8">
        <f>[1]Data!B1249</f>
        <v>2</v>
      </c>
      <c r="C1249" s="8">
        <f>[1]Data!C1249</f>
        <v>2</v>
      </c>
      <c r="D1249" s="8">
        <f>[1]Data!D1249</f>
        <v>3</v>
      </c>
      <c r="E1249" s="8" t="str">
        <f>[1]Data!E1249</f>
        <v>CVCTE</v>
      </c>
      <c r="F1249" s="8" t="str">
        <f>[1]Data!F1249</f>
        <v>North Hollywood</v>
      </c>
      <c r="G1249" s="8">
        <f>[1]Data!G1249</f>
        <v>0</v>
      </c>
      <c r="H1249" s="8">
        <f>[1]Data!H1249</f>
        <v>1</v>
      </c>
      <c r="I1249" s="8">
        <f>[1]Data!I1249</f>
        <v>8.484</v>
      </c>
      <c r="J1249" s="8">
        <f>[1]Data!J1249</f>
        <v>7.0878875099999998</v>
      </c>
      <c r="K1249" s="8">
        <f>[1]Data!K1249</f>
        <v>8.0878875099999998</v>
      </c>
      <c r="L1249" s="8">
        <f>[1]Data!L1249</f>
        <v>0.39528914066427301</v>
      </c>
      <c r="M1249" s="8">
        <f>[1]Data!M1249</f>
        <v>8.4831766506642694</v>
      </c>
      <c r="N1249" s="8">
        <f>[1]Data!N1249</f>
        <v>0.17910447761194001</v>
      </c>
      <c r="O1249" s="8">
        <f>[1]Data!O1249</f>
        <v>0</v>
      </c>
      <c r="P1249" s="8">
        <f>[1]Data!P1249</f>
        <v>0.20895522388059701</v>
      </c>
      <c r="Q1249" s="8">
        <f>[1]Data!Q1249</f>
        <v>1</v>
      </c>
      <c r="R1249" s="8">
        <f>[1]Data!R1249</f>
        <v>0.36363636363636398</v>
      </c>
      <c r="S1249" s="8">
        <f>[1]Data!S1249</f>
        <v>2.75</v>
      </c>
      <c r="T1249">
        <f t="shared" si="95"/>
        <v>0.47761194029850751</v>
      </c>
      <c r="U1249">
        <f t="shared" si="96"/>
        <v>2.09375</v>
      </c>
      <c r="V1249" s="4" t="str">
        <f t="shared" si="97"/>
        <v>2</v>
      </c>
      <c r="W1249" s="4" t="str">
        <f t="shared" si="98"/>
        <v>2</v>
      </c>
      <c r="X1249" s="4" t="str">
        <f t="shared" si="99"/>
        <v>2CVCTE2</v>
      </c>
      <c r="Y1249">
        <f>VLOOKUP(X1249,Sheet1!$J$5:$K$121,2,FALSE)</f>
        <v>0.36363636363636398</v>
      </c>
    </row>
    <row r="1250" spans="1:25" x14ac:dyDescent="0.25">
      <c r="A1250" s="8">
        <f>[1]Data!A1250</f>
        <v>125501</v>
      </c>
      <c r="B1250" s="8">
        <f>[1]Data!B1250</f>
        <v>2</v>
      </c>
      <c r="C1250" s="8">
        <f>[1]Data!C1250</f>
        <v>2</v>
      </c>
      <c r="D1250" s="8">
        <f>[1]Data!D1250</f>
        <v>3</v>
      </c>
      <c r="E1250" s="8" t="str">
        <f>[1]Data!E1250</f>
        <v>CVCTE</v>
      </c>
      <c r="F1250" s="8" t="str">
        <f>[1]Data!F1250</f>
        <v>North Hollywood</v>
      </c>
      <c r="G1250" s="8">
        <f>[1]Data!G1250</f>
        <v>0</v>
      </c>
      <c r="H1250" s="8">
        <f>[1]Data!H1250</f>
        <v>1</v>
      </c>
      <c r="I1250" s="8">
        <f>[1]Data!I1250</f>
        <v>19.535</v>
      </c>
      <c r="J1250" s="8">
        <f>[1]Data!J1250</f>
        <v>12.9331876</v>
      </c>
      <c r="K1250" s="8">
        <f>[1]Data!K1250</f>
        <v>18.9331876</v>
      </c>
      <c r="L1250" s="8">
        <f>[1]Data!L1250</f>
        <v>0.60120596473967702</v>
      </c>
      <c r="M1250" s="8">
        <f>[1]Data!M1250</f>
        <v>19.534393564739698</v>
      </c>
      <c r="N1250" s="8">
        <f>[1]Data!N1250</f>
        <v>0.17910447761194001</v>
      </c>
      <c r="O1250" s="8">
        <f>[1]Data!O1250</f>
        <v>0</v>
      </c>
      <c r="P1250" s="8">
        <f>[1]Data!P1250</f>
        <v>0.20895522388059701</v>
      </c>
      <c r="Q1250" s="8">
        <f>[1]Data!Q1250</f>
        <v>1</v>
      </c>
      <c r="R1250" s="8">
        <f>[1]Data!R1250</f>
        <v>0.36363636363636398</v>
      </c>
      <c r="S1250" s="8">
        <f>[1]Data!S1250</f>
        <v>2.75</v>
      </c>
      <c r="T1250">
        <f t="shared" si="95"/>
        <v>0.47761194029850751</v>
      </c>
      <c r="U1250">
        <f t="shared" si="96"/>
        <v>2.09375</v>
      </c>
      <c r="V1250" s="4" t="str">
        <f t="shared" si="97"/>
        <v>2</v>
      </c>
      <c r="W1250" s="4" t="str">
        <f t="shared" si="98"/>
        <v>2</v>
      </c>
      <c r="X1250" s="4" t="str">
        <f t="shared" si="99"/>
        <v>2CVCTE2</v>
      </c>
      <c r="Y1250">
        <f>VLOOKUP(X1250,Sheet1!$J$5:$K$121,2,FALSE)</f>
        <v>0.36363636363636398</v>
      </c>
    </row>
    <row r="1251" spans="1:25" x14ac:dyDescent="0.25">
      <c r="A1251" s="8">
        <f>[1]Data!A1251</f>
        <v>124400</v>
      </c>
      <c r="B1251" s="8">
        <f>[1]Data!B1251</f>
        <v>2</v>
      </c>
      <c r="C1251" s="8">
        <f>[1]Data!C1251</f>
        <v>2</v>
      </c>
      <c r="D1251" s="8">
        <f>[1]Data!D1251</f>
        <v>3</v>
      </c>
      <c r="E1251" s="8" t="str">
        <f>[1]Data!E1251</f>
        <v>CVCTE</v>
      </c>
      <c r="F1251" s="8" t="str">
        <f>[1]Data!F1251</f>
        <v>Valley Village</v>
      </c>
      <c r="G1251" s="8">
        <f>[1]Data!G1251</f>
        <v>0</v>
      </c>
      <c r="H1251" s="8">
        <f>[1]Data!H1251</f>
        <v>0</v>
      </c>
      <c r="I1251" s="8">
        <f>[1]Data!I1251</f>
        <v>15.073</v>
      </c>
      <c r="J1251" s="8">
        <f>[1]Data!J1251</f>
        <v>14.465312219999999</v>
      </c>
      <c r="K1251" s="8">
        <f>[1]Data!K1251</f>
        <v>14.465312219999999</v>
      </c>
      <c r="L1251" s="8">
        <f>[1]Data!L1251</f>
        <v>0.60775050337522396</v>
      </c>
      <c r="M1251" s="8">
        <f>[1]Data!M1251</f>
        <v>15.0730627233752</v>
      </c>
      <c r="N1251" s="8">
        <f>[1]Data!N1251</f>
        <v>0.17910447761194001</v>
      </c>
      <c r="O1251" s="8">
        <f>[1]Data!O1251</f>
        <v>0</v>
      </c>
      <c r="P1251" s="8">
        <f>[1]Data!P1251</f>
        <v>0.20895522388059701</v>
      </c>
      <c r="Q1251" s="8">
        <f>[1]Data!Q1251</f>
        <v>1</v>
      </c>
      <c r="R1251" s="8">
        <f>[1]Data!R1251</f>
        <v>0.36363636363636398</v>
      </c>
      <c r="S1251" s="8">
        <f>[1]Data!S1251</f>
        <v>0</v>
      </c>
      <c r="T1251">
        <f t="shared" si="95"/>
        <v>0.47761194029850751</v>
      </c>
      <c r="U1251">
        <f t="shared" si="96"/>
        <v>0</v>
      </c>
      <c r="V1251" s="4" t="str">
        <f t="shared" si="97"/>
        <v>2</v>
      </c>
      <c r="W1251" s="4" t="str">
        <f t="shared" si="98"/>
        <v>2</v>
      </c>
      <c r="X1251" s="4" t="str">
        <f t="shared" si="99"/>
        <v>2CVCTE2</v>
      </c>
      <c r="Y1251">
        <f>VLOOKUP(X1251,Sheet1!$J$5:$K$121,2,FALSE)</f>
        <v>0.36363636363636398</v>
      </c>
    </row>
    <row r="1252" spans="1:25" x14ac:dyDescent="0.25">
      <c r="A1252" s="8">
        <f>[1]Data!A1252</f>
        <v>123206</v>
      </c>
      <c r="B1252" s="8">
        <f>[1]Data!B1252</f>
        <v>2</v>
      </c>
      <c r="C1252" s="8">
        <f>[1]Data!C1252</f>
        <v>2</v>
      </c>
      <c r="D1252" s="8">
        <f>[1]Data!D1252</f>
        <v>3</v>
      </c>
      <c r="E1252" s="8" t="str">
        <f>[1]Data!E1252</f>
        <v>CVCTE</v>
      </c>
      <c r="F1252" s="8" t="str">
        <f>[1]Data!F1252</f>
        <v>North Hollywood</v>
      </c>
      <c r="G1252" s="8">
        <f>[1]Data!G1252</f>
        <v>0</v>
      </c>
      <c r="H1252" s="8">
        <f>[1]Data!H1252</f>
        <v>0</v>
      </c>
      <c r="I1252" s="8">
        <f>[1]Data!I1252</f>
        <v>17.654</v>
      </c>
      <c r="J1252" s="8">
        <f>[1]Data!J1252</f>
        <v>16.943955030000001</v>
      </c>
      <c r="K1252" s="8">
        <f>[1]Data!K1252</f>
        <v>16.943955030000001</v>
      </c>
      <c r="L1252" s="8">
        <f>[1]Data!L1252</f>
        <v>0.71089758055655305</v>
      </c>
      <c r="M1252" s="8">
        <f>[1]Data!M1252</f>
        <v>17.6548526105565</v>
      </c>
      <c r="N1252" s="8">
        <f>[1]Data!N1252</f>
        <v>0.17910447761194001</v>
      </c>
      <c r="O1252" s="8">
        <f>[1]Data!O1252</f>
        <v>0</v>
      </c>
      <c r="P1252" s="8">
        <f>[1]Data!P1252</f>
        <v>0.20895522388059701</v>
      </c>
      <c r="Q1252" s="8">
        <f>[1]Data!Q1252</f>
        <v>1</v>
      </c>
      <c r="R1252" s="8">
        <f>[1]Data!R1252</f>
        <v>0.36363636363636398</v>
      </c>
      <c r="S1252" s="8">
        <f>[1]Data!S1252</f>
        <v>0</v>
      </c>
      <c r="T1252">
        <f t="shared" si="95"/>
        <v>0.47761194029850751</v>
      </c>
      <c r="U1252">
        <f t="shared" si="96"/>
        <v>0</v>
      </c>
      <c r="V1252" s="4" t="str">
        <f t="shared" si="97"/>
        <v>2</v>
      </c>
      <c r="W1252" s="4" t="str">
        <f t="shared" si="98"/>
        <v>2</v>
      </c>
      <c r="X1252" s="4" t="str">
        <f t="shared" si="99"/>
        <v>2CVCTE2</v>
      </c>
      <c r="Y1252">
        <f>VLOOKUP(X1252,Sheet1!$J$5:$K$121,2,FALSE)</f>
        <v>0.36363636363636398</v>
      </c>
    </row>
    <row r="1253" spans="1:25" x14ac:dyDescent="0.25">
      <c r="A1253" s="8">
        <f>[1]Data!A1253</f>
        <v>143604</v>
      </c>
      <c r="B1253" s="8">
        <f>[1]Data!B1253</f>
        <v>2</v>
      </c>
      <c r="C1253" s="8">
        <f>[1]Data!C1253</f>
        <v>2</v>
      </c>
      <c r="D1253" s="8">
        <f>[1]Data!D1253</f>
        <v>3</v>
      </c>
      <c r="E1253" s="8" t="str">
        <f>[1]Data!E1253</f>
        <v>CVCTE</v>
      </c>
      <c r="F1253" s="8" t="str">
        <f>[1]Data!F1253</f>
        <v>Studio City</v>
      </c>
      <c r="G1253" s="8">
        <f>[1]Data!G1253</f>
        <v>0</v>
      </c>
      <c r="H1253" s="8">
        <f>[1]Data!H1253</f>
        <v>1</v>
      </c>
      <c r="I1253" s="8">
        <f>[1]Data!I1253</f>
        <v>22.706</v>
      </c>
      <c r="J1253" s="8">
        <f>[1]Data!J1253</f>
        <v>18.86963815</v>
      </c>
      <c r="K1253" s="8">
        <f>[1]Data!K1253</f>
        <v>21.86963815</v>
      </c>
      <c r="L1253" s="8">
        <f>[1]Data!L1253</f>
        <v>0.83679934789946098</v>
      </c>
      <c r="M1253" s="8">
        <f>[1]Data!M1253</f>
        <v>22.7064374978995</v>
      </c>
      <c r="N1253" s="8">
        <f>[1]Data!N1253</f>
        <v>0.17910447761194001</v>
      </c>
      <c r="O1253" s="8">
        <f>[1]Data!O1253</f>
        <v>0</v>
      </c>
      <c r="P1253" s="8">
        <f>[1]Data!P1253</f>
        <v>0.20895522388059701</v>
      </c>
      <c r="Q1253" s="8">
        <f>[1]Data!Q1253</f>
        <v>1</v>
      </c>
      <c r="R1253" s="8">
        <f>[1]Data!R1253</f>
        <v>0.36363636363636398</v>
      </c>
      <c r="S1253" s="8">
        <f>[1]Data!S1253</f>
        <v>2.75</v>
      </c>
      <c r="T1253">
        <f t="shared" si="95"/>
        <v>0.47761194029850751</v>
      </c>
      <c r="U1253">
        <f t="shared" si="96"/>
        <v>2.09375</v>
      </c>
      <c r="V1253" s="4" t="str">
        <f t="shared" si="97"/>
        <v>2</v>
      </c>
      <c r="W1253" s="4" t="str">
        <f t="shared" si="98"/>
        <v>2</v>
      </c>
      <c r="X1253" s="4" t="str">
        <f t="shared" si="99"/>
        <v>2CVCTE2</v>
      </c>
      <c r="Y1253">
        <f>VLOOKUP(X1253,Sheet1!$J$5:$K$121,2,FALSE)</f>
        <v>0.36363636363636398</v>
      </c>
    </row>
    <row r="1254" spans="1:25" x14ac:dyDescent="0.25">
      <c r="A1254" s="8">
        <f>[1]Data!A1254</f>
        <v>143603</v>
      </c>
      <c r="B1254" s="8">
        <f>[1]Data!B1254</f>
        <v>2</v>
      </c>
      <c r="C1254" s="8">
        <f>[1]Data!C1254</f>
        <v>2</v>
      </c>
      <c r="D1254" s="8">
        <f>[1]Data!D1254</f>
        <v>3</v>
      </c>
      <c r="E1254" s="8" t="str">
        <f>[1]Data!E1254</f>
        <v>CVCTE</v>
      </c>
      <c r="F1254" s="8" t="str">
        <f>[1]Data!F1254</f>
        <v>Studio City</v>
      </c>
      <c r="G1254" s="8">
        <f>[1]Data!G1254</f>
        <v>0</v>
      </c>
      <c r="H1254" s="8">
        <f>[1]Data!H1254</f>
        <v>1</v>
      </c>
      <c r="I1254" s="8">
        <f>[1]Data!I1254</f>
        <v>7.702</v>
      </c>
      <c r="J1254" s="8">
        <f>[1]Data!J1254</f>
        <v>7.6195197600000002</v>
      </c>
      <c r="K1254" s="8">
        <f>[1]Data!K1254</f>
        <v>7.6195197600000002</v>
      </c>
      <c r="L1254" s="8">
        <f>[1]Data!L1254</f>
        <v>8.2501288330341094E-2</v>
      </c>
      <c r="M1254" s="8">
        <f>[1]Data!M1254</f>
        <v>7.70202104833034</v>
      </c>
      <c r="N1254" s="8">
        <f>[1]Data!N1254</f>
        <v>0.17910447761194001</v>
      </c>
      <c r="O1254" s="8">
        <f>[1]Data!O1254</f>
        <v>0</v>
      </c>
      <c r="P1254" s="8">
        <f>[1]Data!P1254</f>
        <v>0.20895522388059701</v>
      </c>
      <c r="Q1254" s="8">
        <f>[1]Data!Q1254</f>
        <v>1</v>
      </c>
      <c r="R1254" s="8">
        <f>[1]Data!R1254</f>
        <v>0.36363636363636398</v>
      </c>
      <c r="S1254" s="8">
        <f>[1]Data!S1254</f>
        <v>2.75</v>
      </c>
      <c r="T1254">
        <f t="shared" si="95"/>
        <v>0.47761194029850751</v>
      </c>
      <c r="U1254">
        <f t="shared" si="96"/>
        <v>2.09375</v>
      </c>
      <c r="V1254" s="4" t="str">
        <f t="shared" si="97"/>
        <v>2</v>
      </c>
      <c r="W1254" s="4" t="str">
        <f t="shared" si="98"/>
        <v>2</v>
      </c>
      <c r="X1254" s="4" t="str">
        <f t="shared" si="99"/>
        <v>2CVCTE2</v>
      </c>
      <c r="Y1254">
        <f>VLOOKUP(X1254,Sheet1!$J$5:$K$121,2,FALSE)</f>
        <v>0.36363636363636398</v>
      </c>
    </row>
    <row r="1255" spans="1:25" x14ac:dyDescent="0.25">
      <c r="A1255" s="8">
        <f>[1]Data!A1255</f>
        <v>123601</v>
      </c>
      <c r="B1255" s="8">
        <f>[1]Data!B1255</f>
        <v>2</v>
      </c>
      <c r="C1255" s="8">
        <f>[1]Data!C1255</f>
        <v>2</v>
      </c>
      <c r="D1255" s="8">
        <f>[1]Data!D1255</f>
        <v>3</v>
      </c>
      <c r="E1255" s="8" t="str">
        <f>[1]Data!E1255</f>
        <v>CVCTE</v>
      </c>
      <c r="F1255" s="8" t="str">
        <f>[1]Data!F1255</f>
        <v>Van Nuys</v>
      </c>
      <c r="G1255" s="8">
        <f>[1]Data!G1255</f>
        <v>0</v>
      </c>
      <c r="H1255" s="8">
        <f>[1]Data!H1255</f>
        <v>1</v>
      </c>
      <c r="I1255" s="8">
        <f>[1]Data!I1255</f>
        <v>34.186999999999998</v>
      </c>
      <c r="J1255" s="8">
        <f>[1]Data!J1255</f>
        <v>28.978390950000001</v>
      </c>
      <c r="K1255" s="8">
        <f>[1]Data!K1255</f>
        <v>32.978390949999998</v>
      </c>
      <c r="L1255" s="8">
        <f>[1]Data!L1255</f>
        <v>1.20920870190305</v>
      </c>
      <c r="M1255" s="8">
        <f>[1]Data!M1255</f>
        <v>34.187599651903099</v>
      </c>
      <c r="N1255" s="8">
        <f>[1]Data!N1255</f>
        <v>0.17910447761194001</v>
      </c>
      <c r="O1255" s="8">
        <f>[1]Data!O1255</f>
        <v>0</v>
      </c>
      <c r="P1255" s="8">
        <f>[1]Data!P1255</f>
        <v>0.20895522388059701</v>
      </c>
      <c r="Q1255" s="8">
        <f>[1]Data!Q1255</f>
        <v>1</v>
      </c>
      <c r="R1255" s="8">
        <f>[1]Data!R1255</f>
        <v>0.36363636363636398</v>
      </c>
      <c r="S1255" s="8">
        <f>[1]Data!S1255</f>
        <v>2.75</v>
      </c>
      <c r="T1255">
        <f t="shared" si="95"/>
        <v>0.47761194029850751</v>
      </c>
      <c r="U1255">
        <f t="shared" si="96"/>
        <v>2.09375</v>
      </c>
      <c r="V1255" s="4" t="str">
        <f t="shared" si="97"/>
        <v>2</v>
      </c>
      <c r="W1255" s="4" t="str">
        <f t="shared" si="98"/>
        <v>2</v>
      </c>
      <c r="X1255" s="4" t="str">
        <f t="shared" si="99"/>
        <v>2CVCTE2</v>
      </c>
      <c r="Y1255">
        <f>VLOOKUP(X1255,Sheet1!$J$5:$K$121,2,FALSE)</f>
        <v>0.36363636363636398</v>
      </c>
    </row>
    <row r="1256" spans="1:25" x14ac:dyDescent="0.25">
      <c r="A1256" s="8">
        <f>[1]Data!A1256</f>
        <v>121600</v>
      </c>
      <c r="B1256" s="8">
        <f>[1]Data!B1256</f>
        <v>2</v>
      </c>
      <c r="C1256" s="8">
        <f>[1]Data!C1256</f>
        <v>2</v>
      </c>
      <c r="D1256" s="8">
        <f>[1]Data!D1256</f>
        <v>3</v>
      </c>
      <c r="E1256" s="8" t="str">
        <f>[1]Data!E1256</f>
        <v>FAMILY</v>
      </c>
      <c r="F1256" s="8" t="str">
        <f>[1]Data!F1256</f>
        <v>North Hollywood</v>
      </c>
      <c r="G1256" s="8">
        <f>[1]Data!G1256</f>
        <v>1</v>
      </c>
      <c r="H1256" s="8">
        <f>[1]Data!H1256</f>
        <v>1</v>
      </c>
      <c r="I1256" s="8">
        <f>[1]Data!I1256</f>
        <v>5</v>
      </c>
      <c r="J1256" s="8">
        <f>[1]Data!J1256</f>
        <v>0</v>
      </c>
      <c r="K1256" s="8">
        <f>[1]Data!K1256</f>
        <v>5</v>
      </c>
      <c r="L1256" s="8">
        <f>[1]Data!L1256</f>
        <v>0</v>
      </c>
      <c r="M1256" s="8">
        <f>[1]Data!M1256</f>
        <v>5</v>
      </c>
      <c r="N1256" s="8">
        <f>[1]Data!N1256</f>
        <v>1</v>
      </c>
      <c r="O1256" s="8">
        <f>[1]Data!O1256</f>
        <v>1</v>
      </c>
      <c r="P1256" s="8">
        <f>[1]Data!P1256</f>
        <v>0</v>
      </c>
      <c r="Q1256" s="8">
        <f>[1]Data!Q1256</f>
        <v>0</v>
      </c>
      <c r="R1256" s="8">
        <f>[1]Data!R1256</f>
        <v>0</v>
      </c>
      <c r="S1256" s="8">
        <f>[1]Data!S1256</f>
        <v>0</v>
      </c>
      <c r="T1256">
        <f t="shared" si="95"/>
        <v>1</v>
      </c>
      <c r="U1256">
        <f t="shared" si="96"/>
        <v>1</v>
      </c>
      <c r="V1256" s="4" t="str">
        <f t="shared" si="97"/>
        <v>2</v>
      </c>
      <c r="W1256" s="4" t="str">
        <f t="shared" si="98"/>
        <v>2</v>
      </c>
      <c r="X1256" s="4" t="str">
        <f t="shared" si="99"/>
        <v>2FAMILY2</v>
      </c>
      <c r="Y1256">
        <f>VLOOKUP(X1256,Sheet1!$J$5:$K$121,2,FALSE)</f>
        <v>0</v>
      </c>
    </row>
    <row r="1257" spans="1:25" x14ac:dyDescent="0.25">
      <c r="A1257" s="8">
        <f>[1]Data!A1257</f>
        <v>122420</v>
      </c>
      <c r="B1257" s="8">
        <f>[1]Data!B1257</f>
        <v>2</v>
      </c>
      <c r="C1257" s="8">
        <f>[1]Data!C1257</f>
        <v>2</v>
      </c>
      <c r="D1257" s="8">
        <f>[1]Data!D1257</f>
        <v>3</v>
      </c>
      <c r="E1257" s="8" t="str">
        <f>[1]Data!E1257</f>
        <v>INDIV</v>
      </c>
      <c r="F1257" s="8" t="str">
        <f>[1]Data!F1257</f>
        <v>North Hollywood</v>
      </c>
      <c r="G1257" s="8">
        <f>[1]Data!G1257</f>
        <v>0</v>
      </c>
      <c r="H1257" s="8">
        <f>[1]Data!H1257</f>
        <v>0</v>
      </c>
      <c r="I1257" s="8">
        <f>[1]Data!I1257</f>
        <v>17</v>
      </c>
      <c r="J1257" s="8">
        <f>[1]Data!J1257</f>
        <v>0</v>
      </c>
      <c r="K1257" s="8">
        <f>[1]Data!K1257</f>
        <v>17</v>
      </c>
      <c r="L1257" s="8">
        <f>[1]Data!L1257</f>
        <v>0</v>
      </c>
      <c r="M1257" s="8">
        <f>[1]Data!M1257</f>
        <v>17</v>
      </c>
      <c r="N1257" s="8">
        <f>[1]Data!N1257</f>
        <v>4.8387096774193498E-2</v>
      </c>
      <c r="O1257" s="8">
        <f>[1]Data!O1257</f>
        <v>0</v>
      </c>
      <c r="P1257" s="8">
        <f>[1]Data!P1257</f>
        <v>0.17741935483870999</v>
      </c>
      <c r="Q1257" s="8">
        <f>[1]Data!Q1257</f>
        <v>1</v>
      </c>
      <c r="R1257" s="8">
        <f>[1]Data!R1257</f>
        <v>0.18181818181818199</v>
      </c>
      <c r="S1257" s="8">
        <f>[1]Data!S1257</f>
        <v>0</v>
      </c>
      <c r="T1257">
        <f t="shared" si="95"/>
        <v>0.22140762463343122</v>
      </c>
      <c r="U1257">
        <f t="shared" si="96"/>
        <v>0</v>
      </c>
      <c r="V1257" s="4" t="str">
        <f t="shared" si="97"/>
        <v>2</v>
      </c>
      <c r="W1257" s="4" t="str">
        <f t="shared" si="98"/>
        <v>2</v>
      </c>
      <c r="X1257" s="4" t="str">
        <f t="shared" si="99"/>
        <v>2INDIV2</v>
      </c>
      <c r="Y1257">
        <f>VLOOKUP(X1257,Sheet1!$J$5:$K$121,2,FALSE)</f>
        <v>0.18181818181818199</v>
      </c>
    </row>
    <row r="1258" spans="1:25" x14ac:dyDescent="0.25">
      <c r="A1258" s="8">
        <f>[1]Data!A1258</f>
        <v>143901</v>
      </c>
      <c r="B1258" s="8">
        <f>[1]Data!B1258</f>
        <v>2</v>
      </c>
      <c r="C1258" s="8">
        <f>[1]Data!C1258</f>
        <v>2</v>
      </c>
      <c r="D1258" s="8">
        <f>[1]Data!D1258</f>
        <v>3</v>
      </c>
      <c r="E1258" s="8" t="str">
        <f>[1]Data!E1258</f>
        <v>INDIV</v>
      </c>
      <c r="F1258" s="8" t="str">
        <f>[1]Data!F1258</f>
        <v>Studio City</v>
      </c>
      <c r="G1258" s="8">
        <f>[1]Data!G1258</f>
        <v>0</v>
      </c>
      <c r="H1258" s="8">
        <f>[1]Data!H1258</f>
        <v>0</v>
      </c>
      <c r="I1258" s="8">
        <f>[1]Data!I1258</f>
        <v>7.6159999999999997</v>
      </c>
      <c r="J1258" s="8">
        <f>[1]Data!J1258</f>
        <v>3.4662643399999999</v>
      </c>
      <c r="K1258" s="8">
        <f>[1]Data!K1258</f>
        <v>7.4662643400000004</v>
      </c>
      <c r="L1258" s="8">
        <f>[1]Data!L1258</f>
        <v>0.14997102057450601</v>
      </c>
      <c r="M1258" s="8">
        <f>[1]Data!M1258</f>
        <v>7.6162353605745103</v>
      </c>
      <c r="N1258" s="8">
        <f>[1]Data!N1258</f>
        <v>4.8387096774193498E-2</v>
      </c>
      <c r="O1258" s="8">
        <f>[1]Data!O1258</f>
        <v>0</v>
      </c>
      <c r="P1258" s="8">
        <f>[1]Data!P1258</f>
        <v>0.17741935483870999</v>
      </c>
      <c r="Q1258" s="8">
        <f>[1]Data!Q1258</f>
        <v>1</v>
      </c>
      <c r="R1258" s="8">
        <f>[1]Data!R1258</f>
        <v>0.18181818181818199</v>
      </c>
      <c r="S1258" s="8">
        <f>[1]Data!S1258</f>
        <v>0</v>
      </c>
      <c r="T1258">
        <f t="shared" si="95"/>
        <v>0.22140762463343122</v>
      </c>
      <c r="U1258">
        <f t="shared" si="96"/>
        <v>0</v>
      </c>
      <c r="V1258" s="4" t="str">
        <f t="shared" si="97"/>
        <v>2</v>
      </c>
      <c r="W1258" s="4" t="str">
        <f t="shared" si="98"/>
        <v>2</v>
      </c>
      <c r="X1258" s="4" t="str">
        <f t="shared" si="99"/>
        <v>2INDIV2</v>
      </c>
      <c r="Y1258">
        <f>VLOOKUP(X1258,Sheet1!$J$5:$K$121,2,FALSE)</f>
        <v>0.18181818181818199</v>
      </c>
    </row>
    <row r="1259" spans="1:25" x14ac:dyDescent="0.25">
      <c r="A1259" s="8">
        <f>[1]Data!A1259</f>
        <v>125402</v>
      </c>
      <c r="B1259" s="8">
        <f>[1]Data!B1259</f>
        <v>2</v>
      </c>
      <c r="C1259" s="8">
        <f>[1]Data!C1259</f>
        <v>2</v>
      </c>
      <c r="D1259" s="8">
        <f>[1]Data!D1259</f>
        <v>3</v>
      </c>
      <c r="E1259" s="8" t="str">
        <f>[1]Data!E1259</f>
        <v>INDIV</v>
      </c>
      <c r="F1259" s="8" t="str">
        <f>[1]Data!F1259</f>
        <v>North Hollywood</v>
      </c>
      <c r="G1259" s="8">
        <f>[1]Data!G1259</f>
        <v>0</v>
      </c>
      <c r="H1259" s="8">
        <f>[1]Data!H1259</f>
        <v>0</v>
      </c>
      <c r="I1259" s="8">
        <f>[1]Data!I1259</f>
        <v>8.5540000000000003</v>
      </c>
      <c r="J1259" s="8">
        <f>[1]Data!J1259</f>
        <v>5.4910515000000002</v>
      </c>
      <c r="K1259" s="8">
        <f>[1]Data!K1259</f>
        <v>8.4910514999999993</v>
      </c>
      <c r="L1259" s="8">
        <f>[1]Data!L1259</f>
        <v>6.2742575924596006E-2</v>
      </c>
      <c r="M1259" s="8">
        <f>[1]Data!M1259</f>
        <v>8.5537940759245892</v>
      </c>
      <c r="N1259" s="8">
        <f>[1]Data!N1259</f>
        <v>4.8387096774193498E-2</v>
      </c>
      <c r="O1259" s="8">
        <f>[1]Data!O1259</f>
        <v>0</v>
      </c>
      <c r="P1259" s="8">
        <f>[1]Data!P1259</f>
        <v>0.17741935483870999</v>
      </c>
      <c r="Q1259" s="8">
        <f>[1]Data!Q1259</f>
        <v>1</v>
      </c>
      <c r="R1259" s="8">
        <f>[1]Data!R1259</f>
        <v>0.18181818181818199</v>
      </c>
      <c r="S1259" s="8">
        <f>[1]Data!S1259</f>
        <v>0</v>
      </c>
      <c r="T1259">
        <f t="shared" si="95"/>
        <v>0.22140762463343122</v>
      </c>
      <c r="U1259">
        <f t="shared" si="96"/>
        <v>0</v>
      </c>
      <c r="V1259" s="4" t="str">
        <f t="shared" si="97"/>
        <v>2</v>
      </c>
      <c r="W1259" s="4" t="str">
        <f t="shared" si="98"/>
        <v>2</v>
      </c>
      <c r="X1259" s="4" t="str">
        <f t="shared" si="99"/>
        <v>2INDIV2</v>
      </c>
      <c r="Y1259">
        <f>VLOOKUP(X1259,Sheet1!$J$5:$K$121,2,FALSE)</f>
        <v>0.18181818181818199</v>
      </c>
    </row>
    <row r="1260" spans="1:25" x14ac:dyDescent="0.25">
      <c r="A1260" s="8">
        <f>[1]Data!A1260</f>
        <v>123901</v>
      </c>
      <c r="B1260" s="8">
        <f>[1]Data!B1260</f>
        <v>2</v>
      </c>
      <c r="C1260" s="8">
        <f>[1]Data!C1260</f>
        <v>2</v>
      </c>
      <c r="D1260" s="8">
        <f>[1]Data!D1260</f>
        <v>3</v>
      </c>
      <c r="E1260" s="8" t="str">
        <f>[1]Data!E1260</f>
        <v>INDIV</v>
      </c>
      <c r="F1260" s="8" t="str">
        <f>[1]Data!F1260</f>
        <v>North Hollywood</v>
      </c>
      <c r="G1260" s="8">
        <f>[1]Data!G1260</f>
        <v>0</v>
      </c>
      <c r="H1260" s="8">
        <f>[1]Data!H1260</f>
        <v>0</v>
      </c>
      <c r="I1260" s="8">
        <f>[1]Data!I1260</f>
        <v>17.780999999999999</v>
      </c>
      <c r="J1260" s="8">
        <f>[1]Data!J1260</f>
        <v>5.4065958900000002</v>
      </c>
      <c r="K1260" s="8">
        <f>[1]Data!K1260</f>
        <v>17.406595889999998</v>
      </c>
      <c r="L1260" s="8">
        <f>[1]Data!L1260</f>
        <v>0.37379720890484702</v>
      </c>
      <c r="M1260" s="8">
        <f>[1]Data!M1260</f>
        <v>17.780393098904799</v>
      </c>
      <c r="N1260" s="8">
        <f>[1]Data!N1260</f>
        <v>4.8387096774193498E-2</v>
      </c>
      <c r="O1260" s="8">
        <f>[1]Data!O1260</f>
        <v>0</v>
      </c>
      <c r="P1260" s="8">
        <f>[1]Data!P1260</f>
        <v>0.17741935483870999</v>
      </c>
      <c r="Q1260" s="8">
        <f>[1]Data!Q1260</f>
        <v>1</v>
      </c>
      <c r="R1260" s="8">
        <f>[1]Data!R1260</f>
        <v>0.18181818181818199</v>
      </c>
      <c r="S1260" s="8">
        <f>[1]Data!S1260</f>
        <v>0</v>
      </c>
      <c r="T1260">
        <f t="shared" si="95"/>
        <v>0.22140762463343122</v>
      </c>
      <c r="U1260">
        <f t="shared" si="96"/>
        <v>0</v>
      </c>
      <c r="V1260" s="4" t="str">
        <f t="shared" si="97"/>
        <v>2</v>
      </c>
      <c r="W1260" s="4" t="str">
        <f t="shared" si="98"/>
        <v>2</v>
      </c>
      <c r="X1260" s="4" t="str">
        <f t="shared" si="99"/>
        <v>2INDIV2</v>
      </c>
      <c r="Y1260">
        <f>VLOOKUP(X1260,Sheet1!$J$5:$K$121,2,FALSE)</f>
        <v>0.18181818181818199</v>
      </c>
    </row>
    <row r="1261" spans="1:25" x14ac:dyDescent="0.25">
      <c r="A1261" s="8">
        <f>[1]Data!A1261</f>
        <v>125100</v>
      </c>
      <c r="B1261" s="8">
        <f>[1]Data!B1261</f>
        <v>2</v>
      </c>
      <c r="C1261" s="8">
        <f>[1]Data!C1261</f>
        <v>2</v>
      </c>
      <c r="D1261" s="8">
        <f>[1]Data!D1261</f>
        <v>3</v>
      </c>
      <c r="E1261" s="8" t="str">
        <f>[1]Data!E1261</f>
        <v>INDIV</v>
      </c>
      <c r="F1261" s="8" t="str">
        <f>[1]Data!F1261</f>
        <v>Valley Village</v>
      </c>
      <c r="G1261" s="8">
        <f>[1]Data!G1261</f>
        <v>0</v>
      </c>
      <c r="H1261" s="8">
        <f>[1]Data!H1261</f>
        <v>0</v>
      </c>
      <c r="I1261" s="8">
        <f>[1]Data!I1261</f>
        <v>4.9260000000000002</v>
      </c>
      <c r="J1261" s="8">
        <f>[1]Data!J1261</f>
        <v>1.90487994</v>
      </c>
      <c r="K1261" s="8">
        <f>[1]Data!K1261</f>
        <v>4.9048799399999998</v>
      </c>
      <c r="L1261" s="8">
        <f>[1]Data!L1261</f>
        <v>2.0625322082585301E-2</v>
      </c>
      <c r="M1261" s="8">
        <f>[1]Data!M1261</f>
        <v>4.9255052620825897</v>
      </c>
      <c r="N1261" s="8">
        <f>[1]Data!N1261</f>
        <v>4.8387096774193498E-2</v>
      </c>
      <c r="O1261" s="8">
        <f>[1]Data!O1261</f>
        <v>0</v>
      </c>
      <c r="P1261" s="8">
        <f>[1]Data!P1261</f>
        <v>0.17741935483870999</v>
      </c>
      <c r="Q1261" s="8">
        <f>[1]Data!Q1261</f>
        <v>1</v>
      </c>
      <c r="R1261" s="8">
        <f>[1]Data!R1261</f>
        <v>0.18181818181818199</v>
      </c>
      <c r="S1261" s="8">
        <f>[1]Data!S1261</f>
        <v>0</v>
      </c>
      <c r="T1261">
        <f t="shared" si="95"/>
        <v>0.22140762463343122</v>
      </c>
      <c r="U1261">
        <f t="shared" si="96"/>
        <v>0</v>
      </c>
      <c r="V1261" s="4" t="str">
        <f t="shared" si="97"/>
        <v>2</v>
      </c>
      <c r="W1261" s="4" t="str">
        <f t="shared" si="98"/>
        <v>2</v>
      </c>
      <c r="X1261" s="4" t="str">
        <f t="shared" si="99"/>
        <v>2INDIV2</v>
      </c>
      <c r="Y1261">
        <f>VLOOKUP(X1261,Sheet1!$J$5:$K$121,2,FALSE)</f>
        <v>0.18181818181818199</v>
      </c>
    </row>
    <row r="1262" spans="1:25" x14ac:dyDescent="0.25">
      <c r="A1262" s="8">
        <f>[1]Data!A1262</f>
        <v>123410</v>
      </c>
      <c r="B1262" s="8">
        <f>[1]Data!B1262</f>
        <v>2</v>
      </c>
      <c r="C1262" s="8">
        <f>[1]Data!C1262</f>
        <v>2</v>
      </c>
      <c r="D1262" s="8">
        <f>[1]Data!D1262</f>
        <v>3</v>
      </c>
      <c r="E1262" s="8" t="str">
        <f>[1]Data!E1262</f>
        <v>INDIV</v>
      </c>
      <c r="F1262" s="8" t="str">
        <f>[1]Data!F1262</f>
        <v>North Hollywood</v>
      </c>
      <c r="G1262" s="8">
        <f>[1]Data!G1262</f>
        <v>0</v>
      </c>
      <c r="H1262" s="8">
        <f>[1]Data!H1262</f>
        <v>0</v>
      </c>
      <c r="I1262" s="8">
        <f>[1]Data!I1262</f>
        <v>9.7810000000000006</v>
      </c>
      <c r="J1262" s="8">
        <f>[1]Data!J1262</f>
        <v>5.4065958900000002</v>
      </c>
      <c r="K1262" s="8">
        <f>[1]Data!K1262</f>
        <v>9.4065958900000002</v>
      </c>
      <c r="L1262" s="8">
        <f>[1]Data!L1262</f>
        <v>0.37379720890484702</v>
      </c>
      <c r="M1262" s="8">
        <f>[1]Data!M1262</f>
        <v>9.7803930989048506</v>
      </c>
      <c r="N1262" s="8">
        <f>[1]Data!N1262</f>
        <v>4.8387096774193498E-2</v>
      </c>
      <c r="O1262" s="8">
        <f>[1]Data!O1262</f>
        <v>0</v>
      </c>
      <c r="P1262" s="8">
        <f>[1]Data!P1262</f>
        <v>0.17741935483870999</v>
      </c>
      <c r="Q1262" s="8">
        <f>[1]Data!Q1262</f>
        <v>1</v>
      </c>
      <c r="R1262" s="8">
        <f>[1]Data!R1262</f>
        <v>0.18181818181818199</v>
      </c>
      <c r="S1262" s="8">
        <f>[1]Data!S1262</f>
        <v>0</v>
      </c>
      <c r="T1262">
        <f t="shared" si="95"/>
        <v>0.22140762463343122</v>
      </c>
      <c r="U1262">
        <f t="shared" si="96"/>
        <v>0</v>
      </c>
      <c r="V1262" s="4" t="str">
        <f t="shared" si="97"/>
        <v>2</v>
      </c>
      <c r="W1262" s="4" t="str">
        <f t="shared" si="98"/>
        <v>2</v>
      </c>
      <c r="X1262" s="4" t="str">
        <f t="shared" si="99"/>
        <v>2INDIV2</v>
      </c>
      <c r="Y1262">
        <f>VLOOKUP(X1262,Sheet1!$J$5:$K$121,2,FALSE)</f>
        <v>0.18181818181818199</v>
      </c>
    </row>
    <row r="1263" spans="1:25" x14ac:dyDescent="0.25">
      <c r="A1263" s="8">
        <f>[1]Data!A1263</f>
        <v>124104</v>
      </c>
      <c r="B1263" s="8">
        <f>[1]Data!B1263</f>
        <v>2</v>
      </c>
      <c r="C1263" s="8">
        <f>[1]Data!C1263</f>
        <v>2</v>
      </c>
      <c r="D1263" s="8">
        <f>[1]Data!D1263</f>
        <v>3</v>
      </c>
      <c r="E1263" s="8" t="str">
        <f>[1]Data!E1263</f>
        <v>INDIV</v>
      </c>
      <c r="F1263" s="8" t="str">
        <f>[1]Data!F1263</f>
        <v>North Hollywood</v>
      </c>
      <c r="G1263" s="8">
        <f>[1]Data!G1263</f>
        <v>0</v>
      </c>
      <c r="H1263" s="8">
        <f>[1]Data!H1263</f>
        <v>0</v>
      </c>
      <c r="I1263" s="8">
        <f>[1]Data!I1263</f>
        <v>13.978999999999999</v>
      </c>
      <c r="J1263" s="8">
        <f>[1]Data!J1263</f>
        <v>9.2230506200000004</v>
      </c>
      <c r="K1263" s="8">
        <f>[1]Data!K1263</f>
        <v>13.22305062</v>
      </c>
      <c r="L1263" s="8">
        <f>[1]Data!L1263</f>
        <v>0.75577904513465</v>
      </c>
      <c r="M1263" s="8">
        <f>[1]Data!M1263</f>
        <v>13.9788296651347</v>
      </c>
      <c r="N1263" s="8">
        <f>[1]Data!N1263</f>
        <v>4.8387096774193498E-2</v>
      </c>
      <c r="O1263" s="8">
        <f>[1]Data!O1263</f>
        <v>0</v>
      </c>
      <c r="P1263" s="8">
        <f>[1]Data!P1263</f>
        <v>0.17741935483870999</v>
      </c>
      <c r="Q1263" s="8">
        <f>[1]Data!Q1263</f>
        <v>1</v>
      </c>
      <c r="R1263" s="8">
        <f>[1]Data!R1263</f>
        <v>0.18181818181818199</v>
      </c>
      <c r="S1263" s="8">
        <f>[1]Data!S1263</f>
        <v>0</v>
      </c>
      <c r="T1263">
        <f t="shared" si="95"/>
        <v>0.22140762463343122</v>
      </c>
      <c r="U1263">
        <f t="shared" si="96"/>
        <v>0</v>
      </c>
      <c r="V1263" s="4" t="str">
        <f t="shared" si="97"/>
        <v>2</v>
      </c>
      <c r="W1263" s="4" t="str">
        <f t="shared" si="98"/>
        <v>2</v>
      </c>
      <c r="X1263" s="4" t="str">
        <f t="shared" si="99"/>
        <v>2INDIV2</v>
      </c>
      <c r="Y1263">
        <f>VLOOKUP(X1263,Sheet1!$J$5:$K$121,2,FALSE)</f>
        <v>0.18181818181818199</v>
      </c>
    </row>
    <row r="1264" spans="1:25" x14ac:dyDescent="0.25">
      <c r="A1264" s="8">
        <f>[1]Data!A1264</f>
        <v>127104</v>
      </c>
      <c r="B1264" s="8">
        <f>[1]Data!B1264</f>
        <v>2</v>
      </c>
      <c r="C1264" s="8">
        <f>[1]Data!C1264</f>
        <v>2</v>
      </c>
      <c r="D1264" s="8">
        <f>[1]Data!D1264</f>
        <v>3</v>
      </c>
      <c r="E1264" s="8" t="str">
        <f>[1]Data!E1264</f>
        <v>INDIV</v>
      </c>
      <c r="F1264" s="8" t="str">
        <f>[1]Data!F1264</f>
        <v>Van Nuys</v>
      </c>
      <c r="G1264" s="8">
        <f>[1]Data!G1264</f>
        <v>0</v>
      </c>
      <c r="H1264" s="8">
        <f>[1]Data!H1264</f>
        <v>1</v>
      </c>
      <c r="I1264" s="8">
        <f>[1]Data!I1264</f>
        <v>0</v>
      </c>
      <c r="J1264" s="8">
        <f>[1]Data!J1264</f>
        <v>0</v>
      </c>
      <c r="K1264" s="8">
        <f>[1]Data!K1264</f>
        <v>0</v>
      </c>
      <c r="L1264" s="8">
        <f>[1]Data!L1264</f>
        <v>0</v>
      </c>
      <c r="M1264" s="8">
        <f>[1]Data!M1264</f>
        <v>0</v>
      </c>
      <c r="N1264" s="8">
        <f>[1]Data!N1264</f>
        <v>4.8387096774193498E-2</v>
      </c>
      <c r="O1264" s="8">
        <f>[1]Data!O1264</f>
        <v>0</v>
      </c>
      <c r="P1264" s="8">
        <f>[1]Data!P1264</f>
        <v>0.17741935483870999</v>
      </c>
      <c r="Q1264" s="8">
        <f>[1]Data!Q1264</f>
        <v>1</v>
      </c>
      <c r="R1264" s="8">
        <f>[1]Data!R1264</f>
        <v>0.18181818181818199</v>
      </c>
      <c r="S1264" s="8">
        <f>[1]Data!S1264</f>
        <v>5.5</v>
      </c>
      <c r="T1264">
        <f t="shared" si="95"/>
        <v>0.22140762463343122</v>
      </c>
      <c r="U1264">
        <f t="shared" si="96"/>
        <v>4.5165562913907253</v>
      </c>
      <c r="V1264" s="4" t="str">
        <f t="shared" si="97"/>
        <v>2</v>
      </c>
      <c r="W1264" s="4" t="str">
        <f t="shared" si="98"/>
        <v>2</v>
      </c>
      <c r="X1264" s="4" t="str">
        <f t="shared" si="99"/>
        <v>2INDIV2</v>
      </c>
      <c r="Y1264">
        <f>VLOOKUP(X1264,Sheet1!$J$5:$K$121,2,FALSE)</f>
        <v>0.18181818181818199</v>
      </c>
    </row>
    <row r="1265" spans="1:25" x14ac:dyDescent="0.25">
      <c r="A1265" s="8">
        <f>[1]Data!A1265</f>
        <v>124105</v>
      </c>
      <c r="B1265" s="8">
        <f>[1]Data!B1265</f>
        <v>2</v>
      </c>
      <c r="C1265" s="8">
        <f>[1]Data!C1265</f>
        <v>2</v>
      </c>
      <c r="D1265" s="8">
        <f>[1]Data!D1265</f>
        <v>3</v>
      </c>
      <c r="E1265" s="8" t="str">
        <f>[1]Data!E1265</f>
        <v>INDIV</v>
      </c>
      <c r="F1265" s="8" t="str">
        <f>[1]Data!F1265</f>
        <v>North Hollywood</v>
      </c>
      <c r="G1265" s="8">
        <f>[1]Data!G1265</f>
        <v>0</v>
      </c>
      <c r="H1265" s="8">
        <f>[1]Data!H1265</f>
        <v>1</v>
      </c>
      <c r="I1265" s="8">
        <f>[1]Data!I1265</f>
        <v>6.0949999999999998</v>
      </c>
      <c r="J1265" s="8">
        <f>[1]Data!J1265</f>
        <v>1.9836996600000001</v>
      </c>
      <c r="K1265" s="8">
        <f>[1]Data!K1265</f>
        <v>5.9836996600000001</v>
      </c>
      <c r="L1265" s="8">
        <f>[1]Data!L1265</f>
        <v>0.11117260138240601</v>
      </c>
      <c r="M1265" s="8">
        <f>[1]Data!M1265</f>
        <v>6.0948722613824096</v>
      </c>
      <c r="N1265" s="8">
        <f>[1]Data!N1265</f>
        <v>4.8387096774193498E-2</v>
      </c>
      <c r="O1265" s="8">
        <f>[1]Data!O1265</f>
        <v>0</v>
      </c>
      <c r="P1265" s="8">
        <f>[1]Data!P1265</f>
        <v>0.17741935483870999</v>
      </c>
      <c r="Q1265" s="8">
        <f>[1]Data!Q1265</f>
        <v>1</v>
      </c>
      <c r="R1265" s="8">
        <f>[1]Data!R1265</f>
        <v>0.18181818181818199</v>
      </c>
      <c r="S1265" s="8">
        <f>[1]Data!S1265</f>
        <v>5.5</v>
      </c>
      <c r="T1265">
        <f t="shared" si="95"/>
        <v>0.22140762463343122</v>
      </c>
      <c r="U1265">
        <f t="shared" si="96"/>
        <v>4.5165562913907253</v>
      </c>
      <c r="V1265" s="4" t="str">
        <f t="shared" si="97"/>
        <v>2</v>
      </c>
      <c r="W1265" s="4" t="str">
        <f t="shared" si="98"/>
        <v>2</v>
      </c>
      <c r="X1265" s="4" t="str">
        <f t="shared" si="99"/>
        <v>2INDIV2</v>
      </c>
      <c r="Y1265">
        <f>VLOOKUP(X1265,Sheet1!$J$5:$K$121,2,FALSE)</f>
        <v>0.18181818181818199</v>
      </c>
    </row>
    <row r="1266" spans="1:25" x14ac:dyDescent="0.25">
      <c r="A1266" s="8">
        <f>[1]Data!A1266</f>
        <v>125401</v>
      </c>
      <c r="B1266" s="8">
        <f>[1]Data!B1266</f>
        <v>2</v>
      </c>
      <c r="C1266" s="8">
        <f>[1]Data!C1266</f>
        <v>2</v>
      </c>
      <c r="D1266" s="8">
        <f>[1]Data!D1266</f>
        <v>3</v>
      </c>
      <c r="E1266" s="8" t="str">
        <f>[1]Data!E1266</f>
        <v>INDIV</v>
      </c>
      <c r="F1266" s="8" t="str">
        <f>[1]Data!F1266</f>
        <v>North Hollywood</v>
      </c>
      <c r="G1266" s="8">
        <f>[1]Data!G1266</f>
        <v>0</v>
      </c>
      <c r="H1266" s="8">
        <f>[1]Data!H1266</f>
        <v>0</v>
      </c>
      <c r="I1266" s="8">
        <f>[1]Data!I1266</f>
        <v>11.494</v>
      </c>
      <c r="J1266" s="8">
        <f>[1]Data!J1266</f>
        <v>5.1560284000000003</v>
      </c>
      <c r="K1266" s="8">
        <f>[1]Data!K1266</f>
        <v>11.1560284</v>
      </c>
      <c r="L1266" s="8">
        <f>[1]Data!L1266</f>
        <v>0.33761011780969502</v>
      </c>
      <c r="M1266" s="8">
        <f>[1]Data!M1266</f>
        <v>11.4936385178097</v>
      </c>
      <c r="N1266" s="8">
        <f>[1]Data!N1266</f>
        <v>4.8387096774193498E-2</v>
      </c>
      <c r="O1266" s="8">
        <f>[1]Data!O1266</f>
        <v>0</v>
      </c>
      <c r="P1266" s="8">
        <f>[1]Data!P1266</f>
        <v>0.17741935483870999</v>
      </c>
      <c r="Q1266" s="8">
        <f>[1]Data!Q1266</f>
        <v>1</v>
      </c>
      <c r="R1266" s="8">
        <f>[1]Data!R1266</f>
        <v>0.18181818181818199</v>
      </c>
      <c r="S1266" s="8">
        <f>[1]Data!S1266</f>
        <v>0</v>
      </c>
      <c r="T1266">
        <f t="shared" si="95"/>
        <v>0.22140762463343122</v>
      </c>
      <c r="U1266">
        <f t="shared" si="96"/>
        <v>0</v>
      </c>
      <c r="V1266" s="4" t="str">
        <f t="shared" si="97"/>
        <v>2</v>
      </c>
      <c r="W1266" s="4" t="str">
        <f t="shared" si="98"/>
        <v>2</v>
      </c>
      <c r="X1266" s="4" t="str">
        <f t="shared" si="99"/>
        <v>2INDIV2</v>
      </c>
      <c r="Y1266">
        <f>VLOOKUP(X1266,Sheet1!$J$5:$K$121,2,FALSE)</f>
        <v>0.18181818181818199</v>
      </c>
    </row>
    <row r="1267" spans="1:25" x14ac:dyDescent="0.25">
      <c r="A1267" s="8">
        <f>[1]Data!A1267</f>
        <v>128102</v>
      </c>
      <c r="B1267" s="8">
        <f>[1]Data!B1267</f>
        <v>2</v>
      </c>
      <c r="C1267" s="8">
        <f>[1]Data!C1267</f>
        <v>2</v>
      </c>
      <c r="D1267" s="8">
        <f>[1]Data!D1267</f>
        <v>3</v>
      </c>
      <c r="E1267" s="8" t="str">
        <f>[1]Data!E1267</f>
        <v>INDIV</v>
      </c>
      <c r="F1267" s="8" t="str">
        <f>[1]Data!F1267</f>
        <v>Van Nuys</v>
      </c>
      <c r="G1267" s="8">
        <f>[1]Data!G1267</f>
        <v>0</v>
      </c>
      <c r="H1267" s="8">
        <f>[1]Data!H1267</f>
        <v>0</v>
      </c>
      <c r="I1267" s="8">
        <f>[1]Data!I1267</f>
        <v>14.686</v>
      </c>
      <c r="J1267" s="8">
        <f>[1]Data!J1267</f>
        <v>3.4228962300000001</v>
      </c>
      <c r="K1267" s="8">
        <f>[1]Data!K1267</f>
        <v>14.422896229999999</v>
      </c>
      <c r="L1267" s="8">
        <f>[1]Data!L1267</f>
        <v>0.26262460752244199</v>
      </c>
      <c r="M1267" s="8">
        <f>[1]Data!M1267</f>
        <v>14.6855208375224</v>
      </c>
      <c r="N1267" s="8">
        <f>[1]Data!N1267</f>
        <v>4.8387096774193498E-2</v>
      </c>
      <c r="O1267" s="8">
        <f>[1]Data!O1267</f>
        <v>0</v>
      </c>
      <c r="P1267" s="8">
        <f>[1]Data!P1267</f>
        <v>0.17741935483870999</v>
      </c>
      <c r="Q1267" s="8">
        <f>[1]Data!Q1267</f>
        <v>1</v>
      </c>
      <c r="R1267" s="8">
        <f>[1]Data!R1267</f>
        <v>0.18181818181818199</v>
      </c>
      <c r="S1267" s="8">
        <f>[1]Data!S1267</f>
        <v>0</v>
      </c>
      <c r="T1267">
        <f t="shared" si="95"/>
        <v>0.22140762463343122</v>
      </c>
      <c r="U1267">
        <f t="shared" si="96"/>
        <v>0</v>
      </c>
      <c r="V1267" s="4" t="str">
        <f t="shared" si="97"/>
        <v>2</v>
      </c>
      <c r="W1267" s="4" t="str">
        <f t="shared" si="98"/>
        <v>2</v>
      </c>
      <c r="X1267" s="4" t="str">
        <f t="shared" si="99"/>
        <v>2INDIV2</v>
      </c>
      <c r="Y1267">
        <f>VLOOKUP(X1267,Sheet1!$J$5:$K$121,2,FALSE)</f>
        <v>0.18181818181818199</v>
      </c>
    </row>
    <row r="1268" spans="1:25" x14ac:dyDescent="0.25">
      <c r="A1268" s="8">
        <f>[1]Data!A1268</f>
        <v>124902</v>
      </c>
      <c r="B1268" s="8">
        <f>[1]Data!B1268</f>
        <v>2</v>
      </c>
      <c r="C1268" s="8">
        <f>[1]Data!C1268</f>
        <v>2</v>
      </c>
      <c r="D1268" s="8">
        <f>[1]Data!D1268</f>
        <v>3</v>
      </c>
      <c r="E1268" s="8" t="str">
        <f>[1]Data!E1268</f>
        <v>NON-HS</v>
      </c>
      <c r="F1268" s="8" t="str">
        <f>[1]Data!F1268</f>
        <v>Valley Village</v>
      </c>
      <c r="G1268" s="8">
        <f>[1]Data!G1268</f>
        <v>0</v>
      </c>
      <c r="H1268" s="8">
        <f>[1]Data!H1268</f>
        <v>1</v>
      </c>
      <c r="I1268" s="8">
        <f>[1]Data!I1268</f>
        <v>5.7240000000000002</v>
      </c>
      <c r="J1268" s="8">
        <f>[1]Data!J1268</f>
        <v>5.5698712199999996</v>
      </c>
      <c r="K1268" s="8">
        <f>[1]Data!K1268</f>
        <v>5.5698712199999996</v>
      </c>
      <c r="L1268" s="8">
        <f>[1]Data!L1268</f>
        <v>0.15328985522441699</v>
      </c>
      <c r="M1268" s="8">
        <f>[1]Data!M1268</f>
        <v>5.7231610752244197</v>
      </c>
      <c r="N1268" s="8">
        <f>[1]Data!N1268</f>
        <v>2.2140221402214E-2</v>
      </c>
      <c r="O1268" s="8">
        <f>[1]Data!O1268</f>
        <v>0</v>
      </c>
      <c r="P1268" s="8">
        <f>[1]Data!P1268</f>
        <v>0.10332103321033199</v>
      </c>
      <c r="Q1268" s="8">
        <f>[1]Data!Q1268</f>
        <v>1</v>
      </c>
      <c r="R1268" s="8">
        <f>[1]Data!R1268</f>
        <v>7.4074074074074098E-2</v>
      </c>
      <c r="S1268" s="8">
        <f>[1]Data!S1268</f>
        <v>13.5</v>
      </c>
      <c r="T1268">
        <f t="shared" si="95"/>
        <v>9.4574279076124104E-2</v>
      </c>
      <c r="U1268">
        <f t="shared" si="96"/>
        <v>10.573699421965317</v>
      </c>
      <c r="V1268" s="4" t="str">
        <f t="shared" si="97"/>
        <v>2</v>
      </c>
      <c r="W1268" s="4" t="str">
        <f t="shared" si="98"/>
        <v>2</v>
      </c>
      <c r="X1268" s="4" t="str">
        <f t="shared" si="99"/>
        <v>2NON-HS2</v>
      </c>
      <c r="Y1268">
        <f>VLOOKUP(X1268,Sheet1!$J$5:$K$121,2,FALSE)</f>
        <v>7.4074074074074098E-2</v>
      </c>
    </row>
    <row r="1269" spans="1:25" x14ac:dyDescent="0.25">
      <c r="A1269" s="8">
        <f>[1]Data!A1269</f>
        <v>121020</v>
      </c>
      <c r="B1269" s="8">
        <f>[1]Data!B1269</f>
        <v>2</v>
      </c>
      <c r="C1269" s="8">
        <f>[1]Data!C1269</f>
        <v>2</v>
      </c>
      <c r="D1269" s="8">
        <f>[1]Data!D1269</f>
        <v>3</v>
      </c>
      <c r="E1269" s="8" t="str">
        <f>[1]Data!E1269</f>
        <v>NON-HS</v>
      </c>
      <c r="F1269" s="8" t="str">
        <f>[1]Data!F1269</f>
        <v>North Hollywood</v>
      </c>
      <c r="G1269" s="8">
        <f>[1]Data!G1269</f>
        <v>0</v>
      </c>
      <c r="H1269" s="8">
        <f>[1]Data!H1269</f>
        <v>0</v>
      </c>
      <c r="I1269" s="8">
        <f>[1]Data!I1269</f>
        <v>0</v>
      </c>
      <c r="J1269" s="8">
        <f>[1]Data!J1269</f>
        <v>0</v>
      </c>
      <c r="K1269" s="8">
        <f>[1]Data!K1269</f>
        <v>0</v>
      </c>
      <c r="L1269" s="8">
        <f>[1]Data!L1269</f>
        <v>0</v>
      </c>
      <c r="M1269" s="8">
        <f>[1]Data!M1269</f>
        <v>0</v>
      </c>
      <c r="N1269" s="8">
        <f>[1]Data!N1269</f>
        <v>2.2140221402214E-2</v>
      </c>
      <c r="O1269" s="8">
        <f>[1]Data!O1269</f>
        <v>0</v>
      </c>
      <c r="P1269" s="8">
        <f>[1]Data!P1269</f>
        <v>0.10332103321033199</v>
      </c>
      <c r="Q1269" s="8">
        <f>[1]Data!Q1269</f>
        <v>1</v>
      </c>
      <c r="R1269" s="8">
        <f>[1]Data!R1269</f>
        <v>7.4074074074074098E-2</v>
      </c>
      <c r="S1269" s="8">
        <f>[1]Data!S1269</f>
        <v>0</v>
      </c>
      <c r="T1269">
        <f t="shared" si="95"/>
        <v>9.4574279076124104E-2</v>
      </c>
      <c r="U1269">
        <f t="shared" si="96"/>
        <v>0</v>
      </c>
      <c r="V1269" s="4" t="str">
        <f t="shared" si="97"/>
        <v>2</v>
      </c>
      <c r="W1269" s="4" t="str">
        <f t="shared" si="98"/>
        <v>2</v>
      </c>
      <c r="X1269" s="4" t="str">
        <f t="shared" si="99"/>
        <v>2NON-HS2</v>
      </c>
      <c r="Y1269">
        <f>VLOOKUP(X1269,Sheet1!$J$5:$K$121,2,FALSE)</f>
        <v>7.4074074074074098E-2</v>
      </c>
    </row>
    <row r="1270" spans="1:25" x14ac:dyDescent="0.25">
      <c r="A1270" s="8">
        <f>[1]Data!A1270</f>
        <v>124500</v>
      </c>
      <c r="B1270" s="8">
        <f>[1]Data!B1270</f>
        <v>2</v>
      </c>
      <c r="C1270" s="8">
        <f>[1]Data!C1270</f>
        <v>2</v>
      </c>
      <c r="D1270" s="8">
        <f>[1]Data!D1270</f>
        <v>3</v>
      </c>
      <c r="E1270" s="8" t="str">
        <f>[1]Data!E1270</f>
        <v>NON-HS</v>
      </c>
      <c r="F1270" s="8" t="str">
        <f>[1]Data!F1270</f>
        <v>Sherman Oaks</v>
      </c>
      <c r="G1270" s="8">
        <f>[1]Data!G1270</f>
        <v>0</v>
      </c>
      <c r="H1270" s="8">
        <f>[1]Data!H1270</f>
        <v>0</v>
      </c>
      <c r="I1270" s="8">
        <f>[1]Data!I1270</f>
        <v>0</v>
      </c>
      <c r="J1270" s="8">
        <f>[1]Data!J1270</f>
        <v>0</v>
      </c>
      <c r="K1270" s="8">
        <f>[1]Data!K1270</f>
        <v>0</v>
      </c>
      <c r="L1270" s="8">
        <f>[1]Data!L1270</f>
        <v>0</v>
      </c>
      <c r="M1270" s="8">
        <f>[1]Data!M1270</f>
        <v>0</v>
      </c>
      <c r="N1270" s="8">
        <f>[1]Data!N1270</f>
        <v>2.2140221402214E-2</v>
      </c>
      <c r="O1270" s="8">
        <f>[1]Data!O1270</f>
        <v>0</v>
      </c>
      <c r="P1270" s="8">
        <f>[1]Data!P1270</f>
        <v>0.10332103321033199</v>
      </c>
      <c r="Q1270" s="8">
        <f>[1]Data!Q1270</f>
        <v>1</v>
      </c>
      <c r="R1270" s="8">
        <f>[1]Data!R1270</f>
        <v>7.4074074074074098E-2</v>
      </c>
      <c r="S1270" s="8">
        <f>[1]Data!S1270</f>
        <v>0</v>
      </c>
      <c r="T1270">
        <f t="shared" si="95"/>
        <v>9.4574279076124104E-2</v>
      </c>
      <c r="U1270">
        <f t="shared" si="96"/>
        <v>0</v>
      </c>
      <c r="V1270" s="4" t="str">
        <f t="shared" si="97"/>
        <v>2</v>
      </c>
      <c r="W1270" s="4" t="str">
        <f t="shared" si="98"/>
        <v>2</v>
      </c>
      <c r="X1270" s="4" t="str">
        <f t="shared" si="99"/>
        <v>2NON-HS2</v>
      </c>
      <c r="Y1270">
        <f>VLOOKUP(X1270,Sheet1!$J$5:$K$121,2,FALSE)</f>
        <v>7.4074074074074098E-2</v>
      </c>
    </row>
    <row r="1271" spans="1:25" x14ac:dyDescent="0.25">
      <c r="A1271" s="8">
        <f>[1]Data!A1271</f>
        <v>124300</v>
      </c>
      <c r="B1271" s="8">
        <f>[1]Data!B1271</f>
        <v>2</v>
      </c>
      <c r="C1271" s="8">
        <f>[1]Data!C1271</f>
        <v>2</v>
      </c>
      <c r="D1271" s="8">
        <f>[1]Data!D1271</f>
        <v>3</v>
      </c>
      <c r="E1271" s="8" t="str">
        <f>[1]Data!E1271</f>
        <v>NON-HS</v>
      </c>
      <c r="F1271" s="8" t="str">
        <f>[1]Data!F1271</f>
        <v>North Hollywood</v>
      </c>
      <c r="G1271" s="8">
        <f>[1]Data!G1271</f>
        <v>0</v>
      </c>
      <c r="H1271" s="8">
        <f>[1]Data!H1271</f>
        <v>0</v>
      </c>
      <c r="I1271" s="8">
        <f>[1]Data!I1271</f>
        <v>9.8759999999999994</v>
      </c>
      <c r="J1271" s="8">
        <f>[1]Data!J1271</f>
        <v>7.3902955500000003</v>
      </c>
      <c r="K1271" s="8">
        <f>[1]Data!K1271</f>
        <v>9.3902955499999994</v>
      </c>
      <c r="L1271" s="8">
        <f>[1]Data!L1271</f>
        <v>0.484969810287253</v>
      </c>
      <c r="M1271" s="8">
        <f>[1]Data!M1271</f>
        <v>9.8752653602872495</v>
      </c>
      <c r="N1271" s="8">
        <f>[1]Data!N1271</f>
        <v>2.2140221402214E-2</v>
      </c>
      <c r="O1271" s="8">
        <f>[1]Data!O1271</f>
        <v>0</v>
      </c>
      <c r="P1271" s="8">
        <f>[1]Data!P1271</f>
        <v>0.10332103321033199</v>
      </c>
      <c r="Q1271" s="8">
        <f>[1]Data!Q1271</f>
        <v>1</v>
      </c>
      <c r="R1271" s="8">
        <f>[1]Data!R1271</f>
        <v>7.4074074074074098E-2</v>
      </c>
      <c r="S1271" s="8">
        <f>[1]Data!S1271</f>
        <v>0</v>
      </c>
      <c r="T1271">
        <f t="shared" si="95"/>
        <v>9.4574279076124104E-2</v>
      </c>
      <c r="U1271">
        <f t="shared" si="96"/>
        <v>0</v>
      </c>
      <c r="V1271" s="4" t="str">
        <f t="shared" si="97"/>
        <v>2</v>
      </c>
      <c r="W1271" s="4" t="str">
        <f t="shared" si="98"/>
        <v>2</v>
      </c>
      <c r="X1271" s="4" t="str">
        <f t="shared" si="99"/>
        <v>2NON-HS2</v>
      </c>
      <c r="Y1271">
        <f>VLOOKUP(X1271,Sheet1!$J$5:$K$121,2,FALSE)</f>
        <v>7.4074074074074098E-2</v>
      </c>
    </row>
    <row r="1272" spans="1:25" x14ac:dyDescent="0.25">
      <c r="A1272" s="8">
        <f>[1]Data!A1272</f>
        <v>124201</v>
      </c>
      <c r="B1272" s="8">
        <f>[1]Data!B1272</f>
        <v>2</v>
      </c>
      <c r="C1272" s="8">
        <f>[1]Data!C1272</f>
        <v>2</v>
      </c>
      <c r="D1272" s="8">
        <f>[1]Data!D1272</f>
        <v>3</v>
      </c>
      <c r="E1272" s="8" t="str">
        <f>[1]Data!E1272</f>
        <v>NON-HS</v>
      </c>
      <c r="F1272" s="8" t="str">
        <f>[1]Data!F1272</f>
        <v>North Hollywood</v>
      </c>
      <c r="G1272" s="8">
        <f>[1]Data!G1272</f>
        <v>1</v>
      </c>
      <c r="H1272" s="8">
        <f>[1]Data!H1272</f>
        <v>1</v>
      </c>
      <c r="I1272" s="8">
        <f>[1]Data!I1272</f>
        <v>9.093</v>
      </c>
      <c r="J1272" s="8">
        <f>[1]Data!J1272</f>
        <v>7.6842311499999996</v>
      </c>
      <c r="K1272" s="8">
        <f>[1]Data!K1272</f>
        <v>8.6842311500000005</v>
      </c>
      <c r="L1272" s="8">
        <f>[1]Data!L1272</f>
        <v>0.40850331443447002</v>
      </c>
      <c r="M1272" s="8">
        <f>[1]Data!M1272</f>
        <v>9.0927344644344696</v>
      </c>
      <c r="N1272" s="8">
        <f>[1]Data!N1272</f>
        <v>2.2140221402214E-2</v>
      </c>
      <c r="O1272" s="8">
        <f>[1]Data!O1272</f>
        <v>45.1666666666667</v>
      </c>
      <c r="P1272" s="8">
        <f>[1]Data!P1272</f>
        <v>0.10332103321033199</v>
      </c>
      <c r="Q1272" s="8">
        <f>[1]Data!Q1272</f>
        <v>1</v>
      </c>
      <c r="R1272" s="8">
        <f>[1]Data!R1272</f>
        <v>0</v>
      </c>
      <c r="S1272" s="8">
        <f>[1]Data!S1272</f>
        <v>0</v>
      </c>
      <c r="T1272">
        <f t="shared" si="95"/>
        <v>9.4574279076124104E-2</v>
      </c>
      <c r="U1272">
        <f t="shared" si="96"/>
        <v>10.573699421965317</v>
      </c>
      <c r="V1272" s="4" t="str">
        <f t="shared" si="97"/>
        <v>2</v>
      </c>
      <c r="W1272" s="4" t="str">
        <f t="shared" si="98"/>
        <v>2</v>
      </c>
      <c r="X1272" s="4" t="str">
        <f t="shared" si="99"/>
        <v>2NON-HS2</v>
      </c>
      <c r="Y1272">
        <f>VLOOKUP(X1272,Sheet1!$J$5:$K$121,2,FALSE)</f>
        <v>7.4074074074074098E-2</v>
      </c>
    </row>
    <row r="1273" spans="1:25" x14ac:dyDescent="0.25">
      <c r="A1273" s="8">
        <f>[1]Data!A1273</f>
        <v>125502</v>
      </c>
      <c r="B1273" s="8">
        <f>[1]Data!B1273</f>
        <v>2</v>
      </c>
      <c r="C1273" s="8">
        <f>[1]Data!C1273</f>
        <v>2</v>
      </c>
      <c r="D1273" s="8">
        <f>[1]Data!D1273</f>
        <v>3</v>
      </c>
      <c r="E1273" s="8" t="str">
        <f>[1]Data!E1273</f>
        <v>NON-HS</v>
      </c>
      <c r="F1273" s="8" t="str">
        <f>[1]Data!F1273</f>
        <v>North Hollywood</v>
      </c>
      <c r="G1273" s="8">
        <f>[1]Data!G1273</f>
        <v>0</v>
      </c>
      <c r="H1273" s="8">
        <f>[1]Data!H1273</f>
        <v>0</v>
      </c>
      <c r="I1273" s="8">
        <f>[1]Data!I1273</f>
        <v>1.8080000000000001</v>
      </c>
      <c r="J1273" s="8">
        <f>[1]Data!J1273</f>
        <v>1.73313217</v>
      </c>
      <c r="K1273" s="8">
        <f>[1]Data!K1273</f>
        <v>1.73313217</v>
      </c>
      <c r="L1273" s="8">
        <f>[1]Data!L1273</f>
        <v>7.4985510287253102E-2</v>
      </c>
      <c r="M1273" s="8">
        <f>[1]Data!M1273</f>
        <v>1.8081176802872501</v>
      </c>
      <c r="N1273" s="8">
        <f>[1]Data!N1273</f>
        <v>2.2140221402214E-2</v>
      </c>
      <c r="O1273" s="8">
        <f>[1]Data!O1273</f>
        <v>0</v>
      </c>
      <c r="P1273" s="8">
        <f>[1]Data!P1273</f>
        <v>0.10332103321033199</v>
      </c>
      <c r="Q1273" s="8">
        <f>[1]Data!Q1273</f>
        <v>1</v>
      </c>
      <c r="R1273" s="8">
        <f>[1]Data!R1273</f>
        <v>7.4074074074074098E-2</v>
      </c>
      <c r="S1273" s="8">
        <f>[1]Data!S1273</f>
        <v>0</v>
      </c>
      <c r="T1273">
        <f t="shared" si="95"/>
        <v>9.4574279076124104E-2</v>
      </c>
      <c r="U1273">
        <f t="shared" si="96"/>
        <v>0</v>
      </c>
      <c r="V1273" s="4" t="str">
        <f t="shared" si="97"/>
        <v>2</v>
      </c>
      <c r="W1273" s="4" t="str">
        <f t="shared" si="98"/>
        <v>2</v>
      </c>
      <c r="X1273" s="4" t="str">
        <f t="shared" si="99"/>
        <v>2NON-HS2</v>
      </c>
      <c r="Y1273">
        <f>VLOOKUP(X1273,Sheet1!$J$5:$K$121,2,FALSE)</f>
        <v>7.4074074074074098E-2</v>
      </c>
    </row>
    <row r="1274" spans="1:25" x14ac:dyDescent="0.25">
      <c r="A1274" s="8">
        <f>[1]Data!A1274</f>
        <v>124203</v>
      </c>
      <c r="B1274" s="8">
        <f>[1]Data!B1274</f>
        <v>2</v>
      </c>
      <c r="C1274" s="8">
        <f>[1]Data!C1274</f>
        <v>2</v>
      </c>
      <c r="D1274" s="8">
        <f>[1]Data!D1274</f>
        <v>3</v>
      </c>
      <c r="E1274" s="8" t="str">
        <f>[1]Data!E1274</f>
        <v>NON-HS</v>
      </c>
      <c r="F1274" s="8" t="str">
        <f>[1]Data!F1274</f>
        <v>North Hollywood</v>
      </c>
      <c r="G1274" s="8">
        <f>[1]Data!G1274</f>
        <v>0</v>
      </c>
      <c r="H1274" s="8">
        <f>[1]Data!H1274</f>
        <v>1</v>
      </c>
      <c r="I1274" s="8">
        <f>[1]Data!I1274</f>
        <v>3.6160000000000001</v>
      </c>
      <c r="J1274" s="8">
        <f>[1]Data!J1274</f>
        <v>3.4662643399999999</v>
      </c>
      <c r="K1274" s="8">
        <f>[1]Data!K1274</f>
        <v>3.4662643399999999</v>
      </c>
      <c r="L1274" s="8">
        <f>[1]Data!L1274</f>
        <v>0.14997102057450601</v>
      </c>
      <c r="M1274" s="8">
        <f>[1]Data!M1274</f>
        <v>3.6162353605745099</v>
      </c>
      <c r="N1274" s="8">
        <f>[1]Data!N1274</f>
        <v>2.2140221402214E-2</v>
      </c>
      <c r="O1274" s="8">
        <f>[1]Data!O1274</f>
        <v>0</v>
      </c>
      <c r="P1274" s="8">
        <f>[1]Data!P1274</f>
        <v>0.10332103321033199</v>
      </c>
      <c r="Q1274" s="8">
        <f>[1]Data!Q1274</f>
        <v>1</v>
      </c>
      <c r="R1274" s="8">
        <f>[1]Data!R1274</f>
        <v>7.4074074074074098E-2</v>
      </c>
      <c r="S1274" s="8">
        <f>[1]Data!S1274</f>
        <v>13.5</v>
      </c>
      <c r="T1274">
        <f t="shared" si="95"/>
        <v>9.4574279076124104E-2</v>
      </c>
      <c r="U1274">
        <f t="shared" si="96"/>
        <v>10.573699421965317</v>
      </c>
      <c r="V1274" s="4" t="str">
        <f t="shared" si="97"/>
        <v>2</v>
      </c>
      <c r="W1274" s="4" t="str">
        <f t="shared" si="98"/>
        <v>2</v>
      </c>
      <c r="X1274" s="4" t="str">
        <f t="shared" si="99"/>
        <v>2NON-HS2</v>
      </c>
      <c r="Y1274">
        <f>VLOOKUP(X1274,Sheet1!$J$5:$K$121,2,FALSE)</f>
        <v>7.4074074074074098E-2</v>
      </c>
    </row>
    <row r="1275" spans="1:25" x14ac:dyDescent="0.25">
      <c r="A1275" s="8">
        <f>[1]Data!A1275</f>
        <v>143800</v>
      </c>
      <c r="B1275" s="8">
        <f>[1]Data!B1275</f>
        <v>2</v>
      </c>
      <c r="C1275" s="8">
        <f>[1]Data!C1275</f>
        <v>2</v>
      </c>
      <c r="D1275" s="8">
        <f>[1]Data!D1275</f>
        <v>3</v>
      </c>
      <c r="E1275" s="8" t="str">
        <f>[1]Data!E1275</f>
        <v>NON-HS</v>
      </c>
      <c r="F1275" s="8" t="str">
        <f>[1]Data!F1275</f>
        <v>Studio City</v>
      </c>
      <c r="G1275" s="8">
        <f>[1]Data!G1275</f>
        <v>0</v>
      </c>
      <c r="H1275" s="8">
        <f>[1]Data!H1275</f>
        <v>0</v>
      </c>
      <c r="I1275" s="8">
        <f>[1]Data!I1275</f>
        <v>0</v>
      </c>
      <c r="J1275" s="8">
        <f>[1]Data!J1275</f>
        <v>0</v>
      </c>
      <c r="K1275" s="8">
        <f>[1]Data!K1275</f>
        <v>0</v>
      </c>
      <c r="L1275" s="8">
        <f>[1]Data!L1275</f>
        <v>0</v>
      </c>
      <c r="M1275" s="8">
        <f>[1]Data!M1275</f>
        <v>0</v>
      </c>
      <c r="N1275" s="8">
        <f>[1]Data!N1275</f>
        <v>2.2140221402214E-2</v>
      </c>
      <c r="O1275" s="8">
        <f>[1]Data!O1275</f>
        <v>0</v>
      </c>
      <c r="P1275" s="8">
        <f>[1]Data!P1275</f>
        <v>0.10332103321033199</v>
      </c>
      <c r="Q1275" s="8">
        <f>[1]Data!Q1275</f>
        <v>1</v>
      </c>
      <c r="R1275" s="8">
        <f>[1]Data!R1275</f>
        <v>7.4074074074074098E-2</v>
      </c>
      <c r="S1275" s="8">
        <f>[1]Data!S1275</f>
        <v>0</v>
      </c>
      <c r="T1275">
        <f t="shared" si="95"/>
        <v>9.4574279076124104E-2</v>
      </c>
      <c r="U1275">
        <f t="shared" si="96"/>
        <v>0</v>
      </c>
      <c r="V1275" s="4" t="str">
        <f t="shared" si="97"/>
        <v>2</v>
      </c>
      <c r="W1275" s="4" t="str">
        <f t="shared" si="98"/>
        <v>2</v>
      </c>
      <c r="X1275" s="4" t="str">
        <f t="shared" si="99"/>
        <v>2NON-HS2</v>
      </c>
      <c r="Y1275">
        <f>VLOOKUP(X1275,Sheet1!$J$5:$K$121,2,FALSE)</f>
        <v>7.4074074074074098E-2</v>
      </c>
    </row>
    <row r="1276" spans="1:25" x14ac:dyDescent="0.25">
      <c r="A1276" s="8">
        <f>[1]Data!A1276</f>
        <v>123602</v>
      </c>
      <c r="B1276" s="8">
        <f>[1]Data!B1276</f>
        <v>2</v>
      </c>
      <c r="C1276" s="8">
        <f>[1]Data!C1276</f>
        <v>2</v>
      </c>
      <c r="D1276" s="8">
        <f>[1]Data!D1276</f>
        <v>3</v>
      </c>
      <c r="E1276" s="8" t="str">
        <f>[1]Data!E1276</f>
        <v>NON-HS</v>
      </c>
      <c r="F1276" s="8" t="str">
        <f>[1]Data!F1276</f>
        <v>Van Nuys</v>
      </c>
      <c r="G1276" s="8">
        <f>[1]Data!G1276</f>
        <v>0</v>
      </c>
      <c r="H1276" s="8">
        <f>[1]Data!H1276</f>
        <v>0</v>
      </c>
      <c r="I1276" s="8">
        <f>[1]Data!I1276</f>
        <v>1</v>
      </c>
      <c r="J1276" s="8">
        <f>[1]Data!J1276</f>
        <v>0</v>
      </c>
      <c r="K1276" s="8">
        <f>[1]Data!K1276</f>
        <v>1</v>
      </c>
      <c r="L1276" s="8">
        <f>[1]Data!L1276</f>
        <v>0</v>
      </c>
      <c r="M1276" s="8">
        <f>[1]Data!M1276</f>
        <v>1</v>
      </c>
      <c r="N1276" s="8">
        <f>[1]Data!N1276</f>
        <v>2.2140221402214E-2</v>
      </c>
      <c r="O1276" s="8">
        <f>[1]Data!O1276</f>
        <v>0</v>
      </c>
      <c r="P1276" s="8">
        <f>[1]Data!P1276</f>
        <v>0.10332103321033199</v>
      </c>
      <c r="Q1276" s="8">
        <f>[1]Data!Q1276</f>
        <v>1</v>
      </c>
      <c r="R1276" s="8">
        <f>[1]Data!R1276</f>
        <v>7.4074074074074098E-2</v>
      </c>
      <c r="S1276" s="8">
        <f>[1]Data!S1276</f>
        <v>0</v>
      </c>
      <c r="T1276">
        <f t="shared" si="95"/>
        <v>9.4574279076124104E-2</v>
      </c>
      <c r="U1276">
        <f t="shared" si="96"/>
        <v>0</v>
      </c>
      <c r="V1276" s="4" t="str">
        <f t="shared" si="97"/>
        <v>2</v>
      </c>
      <c r="W1276" s="4" t="str">
        <f t="shared" si="98"/>
        <v>2</v>
      </c>
      <c r="X1276" s="4" t="str">
        <f t="shared" si="99"/>
        <v>2NON-HS2</v>
      </c>
      <c r="Y1276">
        <f>VLOOKUP(X1276,Sheet1!$J$5:$K$121,2,FALSE)</f>
        <v>7.4074074074074098E-2</v>
      </c>
    </row>
    <row r="1277" spans="1:25" x14ac:dyDescent="0.25">
      <c r="A1277" s="8">
        <f>[1]Data!A1277</f>
        <v>143200</v>
      </c>
      <c r="B1277" s="8">
        <f>[1]Data!B1277</f>
        <v>2</v>
      </c>
      <c r="C1277" s="8">
        <f>[1]Data!C1277</f>
        <v>2</v>
      </c>
      <c r="D1277" s="8">
        <f>[1]Data!D1277</f>
        <v>3</v>
      </c>
      <c r="E1277" s="8" t="str">
        <f>[1]Data!E1277</f>
        <v>NON-HS</v>
      </c>
      <c r="F1277" s="8" t="str">
        <f>[1]Data!F1277</f>
        <v>Studio City</v>
      </c>
      <c r="G1277" s="8">
        <f>[1]Data!G1277</f>
        <v>0</v>
      </c>
      <c r="H1277" s="8">
        <f>[1]Data!H1277</f>
        <v>0</v>
      </c>
      <c r="I1277" s="8">
        <f>[1]Data!I1277</f>
        <v>10.186999999999999</v>
      </c>
      <c r="J1277" s="8">
        <f>[1]Data!J1277</f>
        <v>8.7691791299999995</v>
      </c>
      <c r="K1277" s="8">
        <f>[1]Data!K1277</f>
        <v>9.7691791299999995</v>
      </c>
      <c r="L1277" s="8">
        <f>[1]Data!L1277</f>
        <v>0.416781072423698</v>
      </c>
      <c r="M1277" s="8">
        <f>[1]Data!M1277</f>
        <v>10.185960202423701</v>
      </c>
      <c r="N1277" s="8">
        <f>[1]Data!N1277</f>
        <v>2.2140221402214E-2</v>
      </c>
      <c r="O1277" s="8">
        <f>[1]Data!O1277</f>
        <v>0</v>
      </c>
      <c r="P1277" s="8">
        <f>[1]Data!P1277</f>
        <v>0.10332103321033199</v>
      </c>
      <c r="Q1277" s="8">
        <f>[1]Data!Q1277</f>
        <v>1</v>
      </c>
      <c r="R1277" s="8">
        <f>[1]Data!R1277</f>
        <v>7.4074074074074098E-2</v>
      </c>
      <c r="S1277" s="8">
        <f>[1]Data!S1277</f>
        <v>0</v>
      </c>
      <c r="T1277">
        <f t="shared" si="95"/>
        <v>9.4574279076124104E-2</v>
      </c>
      <c r="U1277">
        <f t="shared" si="96"/>
        <v>0</v>
      </c>
      <c r="V1277" s="4" t="str">
        <f t="shared" si="97"/>
        <v>2</v>
      </c>
      <c r="W1277" s="4" t="str">
        <f t="shared" si="98"/>
        <v>2</v>
      </c>
      <c r="X1277" s="4" t="str">
        <f t="shared" si="99"/>
        <v>2NON-HS2</v>
      </c>
      <c r="Y1277">
        <f>VLOOKUP(X1277,Sheet1!$J$5:$K$121,2,FALSE)</f>
        <v>7.4074074074074098E-2</v>
      </c>
    </row>
    <row r="1278" spans="1:25" x14ac:dyDescent="0.25">
      <c r="A1278" s="8">
        <f>[1]Data!A1278</f>
        <v>124103</v>
      </c>
      <c r="B1278" s="8">
        <f>[1]Data!B1278</f>
        <v>2</v>
      </c>
      <c r="C1278" s="8">
        <f>[1]Data!C1278</f>
        <v>2</v>
      </c>
      <c r="D1278" s="8">
        <f>[1]Data!D1278</f>
        <v>3</v>
      </c>
      <c r="E1278" s="8" t="str">
        <f>[1]Data!E1278</f>
        <v>NON-HS</v>
      </c>
      <c r="F1278" s="8" t="str">
        <f>[1]Data!F1278</f>
        <v>North Hollywood</v>
      </c>
      <c r="G1278" s="8">
        <f>[1]Data!G1278</f>
        <v>0</v>
      </c>
      <c r="H1278" s="8">
        <f>[1]Data!H1278</f>
        <v>0</v>
      </c>
      <c r="I1278" s="8">
        <f>[1]Data!I1278</f>
        <v>4.9029999999999996</v>
      </c>
      <c r="J1278" s="8">
        <f>[1]Data!J1278</f>
        <v>3.7168318299999998</v>
      </c>
      <c r="K1278" s="8">
        <f>[1]Data!K1278</f>
        <v>4.7168318300000003</v>
      </c>
      <c r="L1278" s="8">
        <f>[1]Data!L1278</f>
        <v>0.18615811166965901</v>
      </c>
      <c r="M1278" s="8">
        <f>[1]Data!M1278</f>
        <v>4.9029899416696603</v>
      </c>
      <c r="N1278" s="8">
        <f>[1]Data!N1278</f>
        <v>2.2140221402214E-2</v>
      </c>
      <c r="O1278" s="8">
        <f>[1]Data!O1278</f>
        <v>0</v>
      </c>
      <c r="P1278" s="8">
        <f>[1]Data!P1278</f>
        <v>0.10332103321033199</v>
      </c>
      <c r="Q1278" s="8">
        <f>[1]Data!Q1278</f>
        <v>1</v>
      </c>
      <c r="R1278" s="8">
        <f>[1]Data!R1278</f>
        <v>7.4074074074074098E-2</v>
      </c>
      <c r="S1278" s="8">
        <f>[1]Data!S1278</f>
        <v>0</v>
      </c>
      <c r="T1278">
        <f t="shared" si="95"/>
        <v>9.4574279076124104E-2</v>
      </c>
      <c r="U1278">
        <f t="shared" si="96"/>
        <v>0</v>
      </c>
      <c r="V1278" s="4" t="str">
        <f t="shared" si="97"/>
        <v>2</v>
      </c>
      <c r="W1278" s="4" t="str">
        <f t="shared" si="98"/>
        <v>2</v>
      </c>
      <c r="X1278" s="4" t="str">
        <f t="shared" si="99"/>
        <v>2NON-HS2</v>
      </c>
      <c r="Y1278">
        <f>VLOOKUP(X1278,Sheet1!$J$5:$K$121,2,FALSE)</f>
        <v>7.4074074074074098E-2</v>
      </c>
    </row>
    <row r="1279" spans="1:25" x14ac:dyDescent="0.25">
      <c r="A1279" s="8">
        <f>[1]Data!A1279</f>
        <v>102103</v>
      </c>
      <c r="B1279" s="8">
        <f>[1]Data!B1279</f>
        <v>2</v>
      </c>
      <c r="C1279" s="8">
        <f>[1]Data!C1279</f>
        <v>2</v>
      </c>
      <c r="D1279" s="8">
        <f>[1]Data!D1279</f>
        <v>5</v>
      </c>
      <c r="E1279" s="8" t="str">
        <f>[1]Data!E1279</f>
        <v>NON-HS</v>
      </c>
      <c r="F1279" s="8" t="str">
        <f>[1]Data!F1279</f>
        <v>Sun Valley</v>
      </c>
      <c r="G1279" s="8">
        <f>[1]Data!G1279</f>
        <v>0</v>
      </c>
      <c r="H1279" s="8">
        <f>[1]Data!H1279</f>
        <v>0</v>
      </c>
      <c r="I1279" s="8">
        <f>[1]Data!I1279</f>
        <v>8.093</v>
      </c>
      <c r="J1279" s="8">
        <f>[1]Data!J1279</f>
        <v>7.6842311499999996</v>
      </c>
      <c r="K1279" s="8">
        <f>[1]Data!K1279</f>
        <v>7.6842311499999996</v>
      </c>
      <c r="L1279" s="8">
        <f>[1]Data!L1279</f>
        <v>0.40850331443447002</v>
      </c>
      <c r="M1279" s="8">
        <f>[1]Data!M1279</f>
        <v>8.0927344644344696</v>
      </c>
      <c r="N1279" s="8">
        <f>[1]Data!N1279</f>
        <v>2.2140221402214E-2</v>
      </c>
      <c r="O1279" s="8">
        <f>[1]Data!O1279</f>
        <v>0</v>
      </c>
      <c r="P1279" s="8">
        <f>[1]Data!P1279</f>
        <v>0.10332103321033199</v>
      </c>
      <c r="Q1279" s="8">
        <f>[1]Data!Q1279</f>
        <v>1</v>
      </c>
      <c r="R1279" s="8">
        <f>[1]Data!R1279</f>
        <v>7.4074074074074098E-2</v>
      </c>
      <c r="S1279" s="8">
        <f>[1]Data!S1279</f>
        <v>0</v>
      </c>
      <c r="T1279">
        <f t="shared" si="95"/>
        <v>9.4574279076124104E-2</v>
      </c>
      <c r="U1279">
        <f t="shared" si="96"/>
        <v>0</v>
      </c>
      <c r="V1279" s="4" t="str">
        <f t="shared" si="97"/>
        <v>2</v>
      </c>
      <c r="W1279" s="4" t="str">
        <f t="shared" si="98"/>
        <v>2</v>
      </c>
      <c r="X1279" s="4" t="str">
        <f t="shared" si="99"/>
        <v>2NON-HS2</v>
      </c>
      <c r="Y1279">
        <f>VLOOKUP(X1279,Sheet1!$J$5:$K$121,2,FALSE)</f>
        <v>7.4074074074074098E-2</v>
      </c>
    </row>
    <row r="1280" spans="1:25" x14ac:dyDescent="0.25">
      <c r="A1280" s="8">
        <f>[1]Data!A1280</f>
        <v>124204</v>
      </c>
      <c r="B1280" s="8">
        <f>[1]Data!B1280</f>
        <v>2</v>
      </c>
      <c r="C1280" s="8">
        <f>[1]Data!C1280</f>
        <v>2</v>
      </c>
      <c r="D1280" s="8">
        <f>[1]Data!D1280</f>
        <v>3</v>
      </c>
      <c r="E1280" s="8" t="str">
        <f>[1]Data!E1280</f>
        <v>NON-HS</v>
      </c>
      <c r="F1280" s="8" t="str">
        <f>[1]Data!F1280</f>
        <v>North Hollywood</v>
      </c>
      <c r="G1280" s="8">
        <f>[1]Data!G1280</f>
        <v>0</v>
      </c>
      <c r="H1280" s="8">
        <f>[1]Data!H1280</f>
        <v>0</v>
      </c>
      <c r="I1280" s="8">
        <f>[1]Data!I1280</f>
        <v>6.9980000000000002</v>
      </c>
      <c r="J1280" s="8">
        <f>[1]Data!J1280</f>
        <v>5.7005314900000004</v>
      </c>
      <c r="K1280" s="8">
        <f>[1]Data!K1280</f>
        <v>6.7005314900000004</v>
      </c>
      <c r="L1280" s="8">
        <f>[1]Data!L1280</f>
        <v>0.29733071305206499</v>
      </c>
      <c r="M1280" s="8">
        <f>[1]Data!M1280</f>
        <v>6.9978622030520699</v>
      </c>
      <c r="N1280" s="8">
        <f>[1]Data!N1280</f>
        <v>2.2140221402214E-2</v>
      </c>
      <c r="O1280" s="8">
        <f>[1]Data!O1280</f>
        <v>0</v>
      </c>
      <c r="P1280" s="8">
        <f>[1]Data!P1280</f>
        <v>0.10332103321033199</v>
      </c>
      <c r="Q1280" s="8">
        <f>[1]Data!Q1280</f>
        <v>1</v>
      </c>
      <c r="R1280" s="8">
        <f>[1]Data!R1280</f>
        <v>7.4074074074074098E-2</v>
      </c>
      <c r="S1280" s="8">
        <f>[1]Data!S1280</f>
        <v>0</v>
      </c>
      <c r="T1280">
        <f t="shared" si="95"/>
        <v>9.4574279076124104E-2</v>
      </c>
      <c r="U1280">
        <f t="shared" si="96"/>
        <v>0</v>
      </c>
      <c r="V1280" s="4" t="str">
        <f t="shared" si="97"/>
        <v>2</v>
      </c>
      <c r="W1280" s="4" t="str">
        <f t="shared" si="98"/>
        <v>2</v>
      </c>
      <c r="X1280" s="4" t="str">
        <f t="shared" si="99"/>
        <v>2NON-HS2</v>
      </c>
      <c r="Y1280">
        <f>VLOOKUP(X1280,Sheet1!$J$5:$K$121,2,FALSE)</f>
        <v>7.4074074074074098E-2</v>
      </c>
    </row>
    <row r="1281" spans="1:25" x14ac:dyDescent="0.25">
      <c r="A1281" s="8">
        <f>[1]Data!A1281</f>
        <v>124903</v>
      </c>
      <c r="B1281" s="8">
        <f>[1]Data!B1281</f>
        <v>2</v>
      </c>
      <c r="C1281" s="8">
        <f>[1]Data!C1281</f>
        <v>2</v>
      </c>
      <c r="D1281" s="8">
        <f>[1]Data!D1281</f>
        <v>3</v>
      </c>
      <c r="E1281" s="8" t="str">
        <f>[1]Data!E1281</f>
        <v>NON-HS</v>
      </c>
      <c r="F1281" s="8" t="str">
        <f>[1]Data!F1281</f>
        <v>Valley Village</v>
      </c>
      <c r="G1281" s="8">
        <f>[1]Data!G1281</f>
        <v>0</v>
      </c>
      <c r="H1281" s="8">
        <f>[1]Data!H1281</f>
        <v>0</v>
      </c>
      <c r="I1281" s="8">
        <f>[1]Data!I1281</f>
        <v>3.9260000000000002</v>
      </c>
      <c r="J1281" s="8">
        <f>[1]Data!J1281</f>
        <v>1.90487994</v>
      </c>
      <c r="K1281" s="8">
        <f>[1]Data!K1281</f>
        <v>3.9048799399999998</v>
      </c>
      <c r="L1281" s="8">
        <f>[1]Data!L1281</f>
        <v>2.0625322082585301E-2</v>
      </c>
      <c r="M1281" s="8">
        <f>[1]Data!M1281</f>
        <v>3.9255052620825901</v>
      </c>
      <c r="N1281" s="8">
        <f>[1]Data!N1281</f>
        <v>2.2140221402214E-2</v>
      </c>
      <c r="O1281" s="8">
        <f>[1]Data!O1281</f>
        <v>0</v>
      </c>
      <c r="P1281" s="8">
        <f>[1]Data!P1281</f>
        <v>0.10332103321033199</v>
      </c>
      <c r="Q1281" s="8">
        <f>[1]Data!Q1281</f>
        <v>1</v>
      </c>
      <c r="R1281" s="8">
        <f>[1]Data!R1281</f>
        <v>7.4074074074074098E-2</v>
      </c>
      <c r="S1281" s="8">
        <f>[1]Data!S1281</f>
        <v>0</v>
      </c>
      <c r="T1281">
        <f t="shared" si="95"/>
        <v>9.4574279076124104E-2</v>
      </c>
      <c r="U1281">
        <f t="shared" si="96"/>
        <v>0</v>
      </c>
      <c r="V1281" s="4" t="str">
        <f t="shared" si="97"/>
        <v>2</v>
      </c>
      <c r="W1281" s="4" t="str">
        <f t="shared" si="98"/>
        <v>2</v>
      </c>
      <c r="X1281" s="4" t="str">
        <f t="shared" si="99"/>
        <v>2NON-HS2</v>
      </c>
      <c r="Y1281">
        <f>VLOOKUP(X1281,Sheet1!$J$5:$K$121,2,FALSE)</f>
        <v>7.4074074074074098E-2</v>
      </c>
    </row>
    <row r="1282" spans="1:25" x14ac:dyDescent="0.25">
      <c r="A1282" s="8">
        <f>[1]Data!A1282</f>
        <v>124000</v>
      </c>
      <c r="B1282" s="8">
        <f>[1]Data!B1282</f>
        <v>2</v>
      </c>
      <c r="C1282" s="8">
        <f>[1]Data!C1282</f>
        <v>2</v>
      </c>
      <c r="D1282" s="8">
        <f>[1]Data!D1282</f>
        <v>3</v>
      </c>
      <c r="E1282" s="8" t="str">
        <f>[1]Data!E1282</f>
        <v>NON-HS</v>
      </c>
      <c r="F1282" s="8" t="str">
        <f>[1]Data!F1282</f>
        <v>Valley Village</v>
      </c>
      <c r="G1282" s="8">
        <f>[1]Data!G1282</f>
        <v>0</v>
      </c>
      <c r="H1282" s="8">
        <f>[1]Data!H1282</f>
        <v>0</v>
      </c>
      <c r="I1282" s="8">
        <f>[1]Data!I1282</f>
        <v>9.42</v>
      </c>
      <c r="J1282" s="8">
        <f>[1]Data!J1282</f>
        <v>7.0609083400000001</v>
      </c>
      <c r="K1282" s="8">
        <f>[1]Data!K1282</f>
        <v>9.0609083399999992</v>
      </c>
      <c r="L1282" s="8">
        <f>[1]Data!L1282</f>
        <v>0.35823543989228002</v>
      </c>
      <c r="M1282" s="8">
        <f>[1]Data!M1282</f>
        <v>9.4191437798922806</v>
      </c>
      <c r="N1282" s="8">
        <f>[1]Data!N1282</f>
        <v>2.2140221402214E-2</v>
      </c>
      <c r="O1282" s="8">
        <f>[1]Data!O1282</f>
        <v>0</v>
      </c>
      <c r="P1282" s="8">
        <f>[1]Data!P1282</f>
        <v>0.10332103321033199</v>
      </c>
      <c r="Q1282" s="8">
        <f>[1]Data!Q1282</f>
        <v>1</v>
      </c>
      <c r="R1282" s="8">
        <f>[1]Data!R1282</f>
        <v>7.4074074074074098E-2</v>
      </c>
      <c r="S1282" s="8">
        <f>[1]Data!S1282</f>
        <v>0</v>
      </c>
      <c r="T1282">
        <f t="shared" si="95"/>
        <v>9.4574279076124104E-2</v>
      </c>
      <c r="U1282">
        <f t="shared" si="96"/>
        <v>0</v>
      </c>
      <c r="V1282" s="4" t="str">
        <f t="shared" si="97"/>
        <v>2</v>
      </c>
      <c r="W1282" s="4" t="str">
        <f t="shared" si="98"/>
        <v>2</v>
      </c>
      <c r="X1282" s="4" t="str">
        <f t="shared" si="99"/>
        <v>2NON-HS2</v>
      </c>
      <c r="Y1282">
        <f>VLOOKUP(X1282,Sheet1!$J$5:$K$121,2,FALSE)</f>
        <v>7.4074074074074098E-2</v>
      </c>
    </row>
    <row r="1283" spans="1:25" x14ac:dyDescent="0.25">
      <c r="A1283" s="8">
        <f>[1]Data!A1283</f>
        <v>143500</v>
      </c>
      <c r="B1283" s="8">
        <f>[1]Data!B1283</f>
        <v>2</v>
      </c>
      <c r="C1283" s="8">
        <f>[1]Data!C1283</f>
        <v>2</v>
      </c>
      <c r="D1283" s="8">
        <f>[1]Data!D1283</f>
        <v>3</v>
      </c>
      <c r="E1283" s="8" t="str">
        <f>[1]Data!E1283</f>
        <v>NON-HS</v>
      </c>
      <c r="F1283" s="8" t="str">
        <f>[1]Data!F1283</f>
        <v>Studio City</v>
      </c>
      <c r="G1283" s="8">
        <f>[1]Data!G1283</f>
        <v>0</v>
      </c>
      <c r="H1283" s="8">
        <f>[1]Data!H1283</f>
        <v>0</v>
      </c>
      <c r="I1283" s="8">
        <f>[1]Data!I1283</f>
        <v>1</v>
      </c>
      <c r="J1283" s="8">
        <f>[1]Data!J1283</f>
        <v>0</v>
      </c>
      <c r="K1283" s="8">
        <f>[1]Data!K1283</f>
        <v>1</v>
      </c>
      <c r="L1283" s="8">
        <f>[1]Data!L1283</f>
        <v>0</v>
      </c>
      <c r="M1283" s="8">
        <f>[1]Data!M1283</f>
        <v>1</v>
      </c>
      <c r="N1283" s="8">
        <f>[1]Data!N1283</f>
        <v>2.2140221402214E-2</v>
      </c>
      <c r="O1283" s="8">
        <f>[1]Data!O1283</f>
        <v>0</v>
      </c>
      <c r="P1283" s="8">
        <f>[1]Data!P1283</f>
        <v>0.10332103321033199</v>
      </c>
      <c r="Q1283" s="8">
        <f>[1]Data!Q1283</f>
        <v>1</v>
      </c>
      <c r="R1283" s="8">
        <f>[1]Data!R1283</f>
        <v>7.4074074074074098E-2</v>
      </c>
      <c r="S1283" s="8">
        <f>[1]Data!S1283</f>
        <v>0</v>
      </c>
      <c r="T1283">
        <f t="shared" ref="T1283:T1346" si="100">N1283+Y1283*(1-N1283)</f>
        <v>9.4574279076124104E-2</v>
      </c>
      <c r="U1283">
        <f t="shared" ref="U1283:U1346" si="101">IF(T1283="",0,1/T1283*H1283)</f>
        <v>0</v>
      </c>
      <c r="V1283" s="4" t="str">
        <f t="shared" ref="V1283:V1346" si="102">TEXT(C1283,"0")</f>
        <v>2</v>
      </c>
      <c r="W1283" s="4" t="str">
        <f t="shared" ref="W1283:W1346" si="103">TEXT(B1283,"0")</f>
        <v>2</v>
      </c>
      <c r="X1283" s="4" t="str">
        <f t="shared" ref="X1283:X1346" si="104">CONCATENATE(V1283,E1283,W1283)</f>
        <v>2NON-HS2</v>
      </c>
      <c r="Y1283">
        <f>VLOOKUP(X1283,Sheet1!$J$5:$K$121,2,FALSE)</f>
        <v>7.4074074074074098E-2</v>
      </c>
    </row>
    <row r="1284" spans="1:25" x14ac:dyDescent="0.25">
      <c r="A1284" s="8">
        <f>[1]Data!A1284</f>
        <v>127102</v>
      </c>
      <c r="B1284" s="8">
        <f>[1]Data!B1284</f>
        <v>2</v>
      </c>
      <c r="C1284" s="8">
        <f>[1]Data!C1284</f>
        <v>2</v>
      </c>
      <c r="D1284" s="8">
        <f>[1]Data!D1284</f>
        <v>3</v>
      </c>
      <c r="E1284" s="8" t="str">
        <f>[1]Data!E1284</f>
        <v>NON-HS</v>
      </c>
      <c r="F1284" s="8" t="str">
        <f>[1]Data!F1284</f>
        <v>Van Nuys</v>
      </c>
      <c r="G1284" s="8">
        <f>[1]Data!G1284</f>
        <v>0</v>
      </c>
      <c r="H1284" s="8">
        <f>[1]Data!H1284</f>
        <v>0</v>
      </c>
      <c r="I1284" s="8">
        <f>[1]Data!I1284</f>
        <v>3.9260000000000002</v>
      </c>
      <c r="J1284" s="8">
        <f>[1]Data!J1284</f>
        <v>1.90487994</v>
      </c>
      <c r="K1284" s="8">
        <f>[1]Data!K1284</f>
        <v>3.9048799399999998</v>
      </c>
      <c r="L1284" s="8">
        <f>[1]Data!L1284</f>
        <v>2.0625322082585301E-2</v>
      </c>
      <c r="M1284" s="8">
        <f>[1]Data!M1284</f>
        <v>3.9255052620825901</v>
      </c>
      <c r="N1284" s="8">
        <f>[1]Data!N1284</f>
        <v>2.2140221402214E-2</v>
      </c>
      <c r="O1284" s="8">
        <f>[1]Data!O1284</f>
        <v>0</v>
      </c>
      <c r="P1284" s="8">
        <f>[1]Data!P1284</f>
        <v>0.10332103321033199</v>
      </c>
      <c r="Q1284" s="8">
        <f>[1]Data!Q1284</f>
        <v>1</v>
      </c>
      <c r="R1284" s="8">
        <f>[1]Data!R1284</f>
        <v>7.4074074074074098E-2</v>
      </c>
      <c r="S1284" s="8">
        <f>[1]Data!S1284</f>
        <v>0</v>
      </c>
      <c r="T1284">
        <f t="shared" si="100"/>
        <v>9.4574279076124104E-2</v>
      </c>
      <c r="U1284">
        <f t="shared" si="101"/>
        <v>0</v>
      </c>
      <c r="V1284" s="4" t="str">
        <f t="shared" si="102"/>
        <v>2</v>
      </c>
      <c r="W1284" s="4" t="str">
        <f t="shared" si="103"/>
        <v>2</v>
      </c>
      <c r="X1284" s="4" t="str">
        <f t="shared" si="104"/>
        <v>2NON-HS2</v>
      </c>
      <c r="Y1284">
        <f>VLOOKUP(X1284,Sheet1!$J$5:$K$121,2,FALSE)</f>
        <v>7.4074074074074098E-2</v>
      </c>
    </row>
    <row r="1285" spans="1:25" x14ac:dyDescent="0.25">
      <c r="A1285" s="8">
        <f>[1]Data!A1285</f>
        <v>128101</v>
      </c>
      <c r="B1285" s="8">
        <f>[1]Data!B1285</f>
        <v>2</v>
      </c>
      <c r="C1285" s="8">
        <f>[1]Data!C1285</f>
        <v>2</v>
      </c>
      <c r="D1285" s="8">
        <f>[1]Data!D1285</f>
        <v>3</v>
      </c>
      <c r="E1285" s="8" t="str">
        <f>[1]Data!E1285</f>
        <v>NON-HS</v>
      </c>
      <c r="F1285" s="8" t="str">
        <f>[1]Data!F1285</f>
        <v>Van Nuys</v>
      </c>
      <c r="G1285" s="8">
        <f>[1]Data!G1285</f>
        <v>0</v>
      </c>
      <c r="H1285" s="8">
        <f>[1]Data!H1285</f>
        <v>0</v>
      </c>
      <c r="I1285" s="8">
        <f>[1]Data!I1285</f>
        <v>4.1900000000000004</v>
      </c>
      <c r="J1285" s="8">
        <f>[1]Data!J1285</f>
        <v>3.9673993200000002</v>
      </c>
      <c r="K1285" s="8">
        <f>[1]Data!K1285</f>
        <v>3.9673993200000002</v>
      </c>
      <c r="L1285" s="8">
        <f>[1]Data!L1285</f>
        <v>0.22234520276481101</v>
      </c>
      <c r="M1285" s="8">
        <f>[1]Data!M1285</f>
        <v>4.1897445227648102</v>
      </c>
      <c r="N1285" s="8">
        <f>[1]Data!N1285</f>
        <v>2.2140221402214E-2</v>
      </c>
      <c r="O1285" s="8">
        <f>[1]Data!O1285</f>
        <v>0</v>
      </c>
      <c r="P1285" s="8">
        <f>[1]Data!P1285</f>
        <v>0.10332103321033199</v>
      </c>
      <c r="Q1285" s="8">
        <f>[1]Data!Q1285</f>
        <v>1</v>
      </c>
      <c r="R1285" s="8">
        <f>[1]Data!R1285</f>
        <v>7.4074074074074098E-2</v>
      </c>
      <c r="S1285" s="8">
        <f>[1]Data!S1285</f>
        <v>0</v>
      </c>
      <c r="T1285">
        <f t="shared" si="100"/>
        <v>9.4574279076124104E-2</v>
      </c>
      <c r="U1285">
        <f t="shared" si="101"/>
        <v>0</v>
      </c>
      <c r="V1285" s="4" t="str">
        <f t="shared" si="102"/>
        <v>2</v>
      </c>
      <c r="W1285" s="4" t="str">
        <f t="shared" si="103"/>
        <v>2</v>
      </c>
      <c r="X1285" s="4" t="str">
        <f t="shared" si="104"/>
        <v>2NON-HS2</v>
      </c>
      <c r="Y1285">
        <f>VLOOKUP(X1285,Sheet1!$J$5:$K$121,2,FALSE)</f>
        <v>7.4074074074074098E-2</v>
      </c>
    </row>
    <row r="1286" spans="1:25" x14ac:dyDescent="0.25">
      <c r="A1286" s="8">
        <f>[1]Data!A1286</f>
        <v>122121</v>
      </c>
      <c r="B1286" s="8">
        <f>[1]Data!B1286</f>
        <v>2</v>
      </c>
      <c r="C1286" s="8">
        <f>[1]Data!C1286</f>
        <v>2</v>
      </c>
      <c r="D1286" s="8">
        <f>[1]Data!D1286</f>
        <v>3</v>
      </c>
      <c r="E1286" s="8" t="str">
        <f>[1]Data!E1286</f>
        <v>NON-HS</v>
      </c>
      <c r="F1286" s="8" t="str">
        <f>[1]Data!F1286</f>
        <v>Sun Valley</v>
      </c>
      <c r="G1286" s="8">
        <f>[1]Data!G1286</f>
        <v>0</v>
      </c>
      <c r="H1286" s="8">
        <f>[1]Data!H1286</f>
        <v>0</v>
      </c>
      <c r="I1286" s="8">
        <f>[1]Data!I1286</f>
        <v>0</v>
      </c>
      <c r="J1286" s="8">
        <f>[1]Data!J1286</f>
        <v>0</v>
      </c>
      <c r="K1286" s="8">
        <f>[1]Data!K1286</f>
        <v>0</v>
      </c>
      <c r="L1286" s="8">
        <f>[1]Data!L1286</f>
        <v>0</v>
      </c>
      <c r="M1286" s="8">
        <f>[1]Data!M1286</f>
        <v>0</v>
      </c>
      <c r="N1286" s="8">
        <f>[1]Data!N1286</f>
        <v>2.2140221402214E-2</v>
      </c>
      <c r="O1286" s="8">
        <f>[1]Data!O1286</f>
        <v>0</v>
      </c>
      <c r="P1286" s="8">
        <f>[1]Data!P1286</f>
        <v>0.10332103321033199</v>
      </c>
      <c r="Q1286" s="8">
        <f>[1]Data!Q1286</f>
        <v>1</v>
      </c>
      <c r="R1286" s="8">
        <f>[1]Data!R1286</f>
        <v>7.4074074074074098E-2</v>
      </c>
      <c r="S1286" s="8">
        <f>[1]Data!S1286</f>
        <v>0</v>
      </c>
      <c r="T1286">
        <f t="shared" si="100"/>
        <v>9.4574279076124104E-2</v>
      </c>
      <c r="U1286">
        <f t="shared" si="101"/>
        <v>0</v>
      </c>
      <c r="V1286" s="4" t="str">
        <f t="shared" si="102"/>
        <v>2</v>
      </c>
      <c r="W1286" s="4" t="str">
        <f t="shared" si="103"/>
        <v>2</v>
      </c>
      <c r="X1286" s="4" t="str">
        <f t="shared" si="104"/>
        <v>2NON-HS2</v>
      </c>
      <c r="Y1286">
        <f>VLOOKUP(X1286,Sheet1!$J$5:$K$121,2,FALSE)</f>
        <v>7.4074074074074098E-2</v>
      </c>
    </row>
    <row r="1287" spans="1:25" x14ac:dyDescent="0.25">
      <c r="A1287" s="8">
        <f>[1]Data!A1287</f>
        <v>102105</v>
      </c>
      <c r="B1287" s="8">
        <f>[1]Data!B1287</f>
        <v>2</v>
      </c>
      <c r="C1287" s="8">
        <f>[1]Data!C1287</f>
        <v>2</v>
      </c>
      <c r="D1287" s="8">
        <f>[1]Data!D1287</f>
        <v>5</v>
      </c>
      <c r="E1287" s="8" t="str">
        <f>[1]Data!E1287</f>
        <v>NON-HS</v>
      </c>
      <c r="F1287" s="8" t="str">
        <f>[1]Data!F1287</f>
        <v>Sun Valley</v>
      </c>
      <c r="G1287" s="8">
        <f>[1]Data!G1287</f>
        <v>0</v>
      </c>
      <c r="H1287" s="8">
        <f>[1]Data!H1287</f>
        <v>0</v>
      </c>
      <c r="I1287" s="8">
        <f>[1]Data!I1287</f>
        <v>9.8019999999999996</v>
      </c>
      <c r="J1287" s="8">
        <f>[1]Data!J1287</f>
        <v>9.2951754900000001</v>
      </c>
      <c r="K1287" s="8">
        <f>[1]Data!K1287</f>
        <v>9.2951754900000001</v>
      </c>
      <c r="L1287" s="8">
        <f>[1]Data!L1287</f>
        <v>0.505595132369838</v>
      </c>
      <c r="M1287" s="8">
        <f>[1]Data!M1287</f>
        <v>9.8007706223698392</v>
      </c>
      <c r="N1287" s="8">
        <f>[1]Data!N1287</f>
        <v>2.2140221402214E-2</v>
      </c>
      <c r="O1287" s="8">
        <f>[1]Data!O1287</f>
        <v>0</v>
      </c>
      <c r="P1287" s="8">
        <f>[1]Data!P1287</f>
        <v>0.10332103321033199</v>
      </c>
      <c r="Q1287" s="8">
        <f>[1]Data!Q1287</f>
        <v>1</v>
      </c>
      <c r="R1287" s="8">
        <f>[1]Data!R1287</f>
        <v>7.4074074074074098E-2</v>
      </c>
      <c r="S1287" s="8">
        <f>[1]Data!S1287</f>
        <v>0</v>
      </c>
      <c r="T1287">
        <f t="shared" si="100"/>
        <v>9.4574279076124104E-2</v>
      </c>
      <c r="U1287">
        <f t="shared" si="101"/>
        <v>0</v>
      </c>
      <c r="V1287" s="4" t="str">
        <f t="shared" si="102"/>
        <v>2</v>
      </c>
      <c r="W1287" s="4" t="str">
        <f t="shared" si="103"/>
        <v>2</v>
      </c>
      <c r="X1287" s="4" t="str">
        <f t="shared" si="104"/>
        <v>2NON-HS2</v>
      </c>
      <c r="Y1287">
        <f>VLOOKUP(X1287,Sheet1!$J$5:$K$121,2,FALSE)</f>
        <v>7.4074074074074098E-2</v>
      </c>
    </row>
    <row r="1288" spans="1:25" x14ac:dyDescent="0.25">
      <c r="A1288" s="8">
        <f>[1]Data!A1288</f>
        <v>143300</v>
      </c>
      <c r="B1288" s="8">
        <f>[1]Data!B1288</f>
        <v>2</v>
      </c>
      <c r="C1288" s="8">
        <f>[1]Data!C1288</f>
        <v>2</v>
      </c>
      <c r="D1288" s="8">
        <f>[1]Data!D1288</f>
        <v>3</v>
      </c>
      <c r="E1288" s="8" t="str">
        <f>[1]Data!E1288</f>
        <v>NON-HS</v>
      </c>
      <c r="F1288" s="8" t="str">
        <f>[1]Data!F1288</f>
        <v>Studio City</v>
      </c>
      <c r="G1288" s="8">
        <f>[1]Data!G1288</f>
        <v>0</v>
      </c>
      <c r="H1288" s="8">
        <f>[1]Data!H1288</f>
        <v>0</v>
      </c>
      <c r="I1288" s="8">
        <f>[1]Data!I1288</f>
        <v>10.885</v>
      </c>
      <c r="J1288" s="8">
        <f>[1]Data!J1288</f>
        <v>10.758514679999999</v>
      </c>
      <c r="K1288" s="8">
        <f>[1]Data!K1288</f>
        <v>10.758514679999999</v>
      </c>
      <c r="L1288" s="8">
        <f>[1]Data!L1288</f>
        <v>0.126351761526032</v>
      </c>
      <c r="M1288" s="8">
        <f>[1]Data!M1288</f>
        <v>10.884866441526</v>
      </c>
      <c r="N1288" s="8">
        <f>[1]Data!N1288</f>
        <v>2.2140221402214E-2</v>
      </c>
      <c r="O1288" s="8">
        <f>[1]Data!O1288</f>
        <v>0</v>
      </c>
      <c r="P1288" s="8">
        <f>[1]Data!P1288</f>
        <v>0.10332103321033199</v>
      </c>
      <c r="Q1288" s="8">
        <f>[1]Data!Q1288</f>
        <v>1</v>
      </c>
      <c r="R1288" s="8">
        <f>[1]Data!R1288</f>
        <v>7.4074074074074098E-2</v>
      </c>
      <c r="S1288" s="8">
        <f>[1]Data!S1288</f>
        <v>0</v>
      </c>
      <c r="T1288">
        <f t="shared" si="100"/>
        <v>9.4574279076124104E-2</v>
      </c>
      <c r="U1288">
        <f t="shared" si="101"/>
        <v>0</v>
      </c>
      <c r="V1288" s="4" t="str">
        <f t="shared" si="102"/>
        <v>2</v>
      </c>
      <c r="W1288" s="4" t="str">
        <f t="shared" si="103"/>
        <v>2</v>
      </c>
      <c r="X1288" s="4" t="str">
        <f t="shared" si="104"/>
        <v>2NON-HS2</v>
      </c>
      <c r="Y1288">
        <f>VLOOKUP(X1288,Sheet1!$J$5:$K$121,2,FALSE)</f>
        <v>7.4074074074074098E-2</v>
      </c>
    </row>
    <row r="1289" spans="1:25" x14ac:dyDescent="0.25">
      <c r="A1289" s="8">
        <f>[1]Data!A1289</f>
        <v>123203</v>
      </c>
      <c r="B1289" s="8">
        <f>[1]Data!B1289</f>
        <v>2</v>
      </c>
      <c r="C1289" s="8">
        <f>[1]Data!C1289</f>
        <v>2</v>
      </c>
      <c r="D1289" s="8">
        <f>[1]Data!D1289</f>
        <v>3</v>
      </c>
      <c r="E1289" s="8" t="str">
        <f>[1]Data!E1289</f>
        <v>NON-HS</v>
      </c>
      <c r="F1289" s="8" t="str">
        <f>[1]Data!F1289</f>
        <v>North Hollywood</v>
      </c>
      <c r="G1289" s="8">
        <f>[1]Data!G1289</f>
        <v>0</v>
      </c>
      <c r="H1289" s="8">
        <f>[1]Data!H1289</f>
        <v>0</v>
      </c>
      <c r="I1289" s="8">
        <f>[1]Data!I1289</f>
        <v>10.561999999999999</v>
      </c>
      <c r="J1289" s="8">
        <f>[1]Data!J1289</f>
        <v>9.2597238799999992</v>
      </c>
      <c r="K1289" s="8">
        <f>[1]Data!K1289</f>
        <v>10.259723879999999</v>
      </c>
      <c r="L1289" s="8">
        <f>[1]Data!L1289</f>
        <v>0.30239426612208298</v>
      </c>
      <c r="M1289" s="8">
        <f>[1]Data!M1289</f>
        <v>10.562118146122099</v>
      </c>
      <c r="N1289" s="8">
        <f>[1]Data!N1289</f>
        <v>2.2140221402214E-2</v>
      </c>
      <c r="O1289" s="8">
        <f>[1]Data!O1289</f>
        <v>0</v>
      </c>
      <c r="P1289" s="8">
        <f>[1]Data!P1289</f>
        <v>0.10332103321033199</v>
      </c>
      <c r="Q1289" s="8">
        <f>[1]Data!Q1289</f>
        <v>1</v>
      </c>
      <c r="R1289" s="8">
        <f>[1]Data!R1289</f>
        <v>7.4074074074074098E-2</v>
      </c>
      <c r="S1289" s="8">
        <f>[1]Data!S1289</f>
        <v>0</v>
      </c>
      <c r="T1289">
        <f t="shared" si="100"/>
        <v>9.4574279076124104E-2</v>
      </c>
      <c r="U1289">
        <f t="shared" si="101"/>
        <v>0</v>
      </c>
      <c r="V1289" s="4" t="str">
        <f t="shared" si="102"/>
        <v>2</v>
      </c>
      <c r="W1289" s="4" t="str">
        <f t="shared" si="103"/>
        <v>2</v>
      </c>
      <c r="X1289" s="4" t="str">
        <f t="shared" si="104"/>
        <v>2NON-HS2</v>
      </c>
      <c r="Y1289">
        <f>VLOOKUP(X1289,Sheet1!$J$5:$K$121,2,FALSE)</f>
        <v>7.4074074074074098E-2</v>
      </c>
    </row>
    <row r="1290" spans="1:25" x14ac:dyDescent="0.25">
      <c r="A1290" s="8">
        <f>[1]Data!A1290</f>
        <v>123700</v>
      </c>
      <c r="B1290" s="8">
        <f>[1]Data!B1290</f>
        <v>2</v>
      </c>
      <c r="C1290" s="8">
        <f>[1]Data!C1290</f>
        <v>2</v>
      </c>
      <c r="D1290" s="8">
        <f>[1]Data!D1290</f>
        <v>3</v>
      </c>
      <c r="E1290" s="8" t="str">
        <f>[1]Data!E1290</f>
        <v>NON-HS</v>
      </c>
      <c r="F1290" s="8" t="str">
        <f>[1]Data!F1290</f>
        <v>North Hollywood</v>
      </c>
      <c r="G1290" s="8">
        <f>[1]Data!G1290</f>
        <v>0</v>
      </c>
      <c r="H1290" s="8">
        <f>[1]Data!H1290</f>
        <v>0</v>
      </c>
      <c r="I1290" s="8">
        <f>[1]Data!I1290</f>
        <v>3.5910000000000002</v>
      </c>
      <c r="J1290" s="8">
        <f>[1]Data!J1290</f>
        <v>1.43919657</v>
      </c>
      <c r="K1290" s="8">
        <f>[1]Data!K1290</f>
        <v>3.43919657</v>
      </c>
      <c r="L1290" s="8">
        <f>[1]Data!L1290</f>
        <v>0.15145200614003601</v>
      </c>
      <c r="M1290" s="8">
        <f>[1]Data!M1290</f>
        <v>3.59064857614004</v>
      </c>
      <c r="N1290" s="8">
        <f>[1]Data!N1290</f>
        <v>2.2140221402214E-2</v>
      </c>
      <c r="O1290" s="8">
        <f>[1]Data!O1290</f>
        <v>0</v>
      </c>
      <c r="P1290" s="8">
        <f>[1]Data!P1290</f>
        <v>0.10332103321033199</v>
      </c>
      <c r="Q1290" s="8">
        <f>[1]Data!Q1290</f>
        <v>1</v>
      </c>
      <c r="R1290" s="8">
        <f>[1]Data!R1290</f>
        <v>7.4074074074074098E-2</v>
      </c>
      <c r="S1290" s="8">
        <f>[1]Data!S1290</f>
        <v>0</v>
      </c>
      <c r="T1290">
        <f t="shared" si="100"/>
        <v>9.4574279076124104E-2</v>
      </c>
      <c r="U1290">
        <f t="shared" si="101"/>
        <v>0</v>
      </c>
      <c r="V1290" s="4" t="str">
        <f t="shared" si="102"/>
        <v>2</v>
      </c>
      <c r="W1290" s="4" t="str">
        <f t="shared" si="103"/>
        <v>2</v>
      </c>
      <c r="X1290" s="4" t="str">
        <f t="shared" si="104"/>
        <v>2NON-HS2</v>
      </c>
      <c r="Y1290">
        <f>VLOOKUP(X1290,Sheet1!$J$5:$K$121,2,FALSE)</f>
        <v>7.4074074074074098E-2</v>
      </c>
    </row>
    <row r="1291" spans="1:25" x14ac:dyDescent="0.25">
      <c r="A1291" s="8">
        <f>[1]Data!A1291</f>
        <v>102104</v>
      </c>
      <c r="B1291" s="8">
        <f>[1]Data!B1291</f>
        <v>2</v>
      </c>
      <c r="C1291" s="8">
        <f>[1]Data!C1291</f>
        <v>2</v>
      </c>
      <c r="D1291" s="8">
        <f>[1]Data!D1291</f>
        <v>5</v>
      </c>
      <c r="E1291" s="8" t="str">
        <f>[1]Data!E1291</f>
        <v>NON-HS</v>
      </c>
      <c r="F1291" s="8" t="str">
        <f>[1]Data!F1291</f>
        <v>Sun Valley</v>
      </c>
      <c r="G1291" s="8">
        <f>[1]Data!G1291</f>
        <v>0</v>
      </c>
      <c r="H1291" s="8">
        <f>[1]Data!H1291</f>
        <v>0</v>
      </c>
      <c r="I1291" s="8">
        <f>[1]Data!I1291</f>
        <v>0</v>
      </c>
      <c r="J1291" s="8">
        <f>[1]Data!J1291</f>
        <v>0</v>
      </c>
      <c r="K1291" s="8">
        <f>[1]Data!K1291</f>
        <v>0</v>
      </c>
      <c r="L1291" s="8">
        <f>[1]Data!L1291</f>
        <v>0</v>
      </c>
      <c r="M1291" s="8">
        <f>[1]Data!M1291</f>
        <v>0</v>
      </c>
      <c r="N1291" s="8">
        <f>[1]Data!N1291</f>
        <v>2.2140221402214E-2</v>
      </c>
      <c r="O1291" s="8">
        <f>[1]Data!O1291</f>
        <v>0</v>
      </c>
      <c r="P1291" s="8">
        <f>[1]Data!P1291</f>
        <v>0.10332103321033199</v>
      </c>
      <c r="Q1291" s="8">
        <f>[1]Data!Q1291</f>
        <v>1</v>
      </c>
      <c r="R1291" s="8">
        <f>[1]Data!R1291</f>
        <v>7.4074074074074098E-2</v>
      </c>
      <c r="S1291" s="8">
        <f>[1]Data!S1291</f>
        <v>0</v>
      </c>
      <c r="T1291">
        <f t="shared" si="100"/>
        <v>9.4574279076124104E-2</v>
      </c>
      <c r="U1291">
        <f t="shared" si="101"/>
        <v>0</v>
      </c>
      <c r="V1291" s="4" t="str">
        <f t="shared" si="102"/>
        <v>2</v>
      </c>
      <c r="W1291" s="4" t="str">
        <f t="shared" si="103"/>
        <v>2</v>
      </c>
      <c r="X1291" s="4" t="str">
        <f t="shared" si="104"/>
        <v>2NON-HS2</v>
      </c>
      <c r="Y1291">
        <f>VLOOKUP(X1291,Sheet1!$J$5:$K$121,2,FALSE)</f>
        <v>7.4074074074074098E-2</v>
      </c>
    </row>
    <row r="1292" spans="1:25" x14ac:dyDescent="0.25">
      <c r="A1292" s="8">
        <f>[1]Data!A1292</f>
        <v>123420</v>
      </c>
      <c r="B1292" s="8">
        <f>[1]Data!B1292</f>
        <v>2</v>
      </c>
      <c r="C1292" s="8">
        <f>[1]Data!C1292</f>
        <v>2</v>
      </c>
      <c r="D1292" s="8">
        <f>[1]Data!D1292</f>
        <v>3</v>
      </c>
      <c r="E1292" s="8" t="str">
        <f>[1]Data!E1292</f>
        <v>NON-HS</v>
      </c>
      <c r="F1292" s="8" t="str">
        <f>[1]Data!F1292</f>
        <v>North Hollywood</v>
      </c>
      <c r="G1292" s="8">
        <f>[1]Data!G1292</f>
        <v>0</v>
      </c>
      <c r="H1292" s="8">
        <f>[1]Data!H1292</f>
        <v>0</v>
      </c>
      <c r="I1292" s="8">
        <f>[1]Data!I1292</f>
        <v>6.6589999999999998</v>
      </c>
      <c r="J1292" s="8">
        <f>[1]Data!J1292</f>
        <v>5.5428920499999998</v>
      </c>
      <c r="K1292" s="8">
        <f>[1]Data!K1292</f>
        <v>6.5428920499999998</v>
      </c>
      <c r="L1292" s="8">
        <f>[1]Data!L1292</f>
        <v>0.116236154452424</v>
      </c>
      <c r="M1292" s="8">
        <f>[1]Data!M1292</f>
        <v>6.6591282044524203</v>
      </c>
      <c r="N1292" s="8">
        <f>[1]Data!N1292</f>
        <v>2.2140221402214E-2</v>
      </c>
      <c r="O1292" s="8">
        <f>[1]Data!O1292</f>
        <v>0</v>
      </c>
      <c r="P1292" s="8">
        <f>[1]Data!P1292</f>
        <v>0.10332103321033199</v>
      </c>
      <c r="Q1292" s="8">
        <f>[1]Data!Q1292</f>
        <v>1</v>
      </c>
      <c r="R1292" s="8">
        <f>[1]Data!R1292</f>
        <v>7.4074074074074098E-2</v>
      </c>
      <c r="S1292" s="8">
        <f>[1]Data!S1292</f>
        <v>0</v>
      </c>
      <c r="T1292">
        <f t="shared" si="100"/>
        <v>9.4574279076124104E-2</v>
      </c>
      <c r="U1292">
        <f t="shared" si="101"/>
        <v>0</v>
      </c>
      <c r="V1292" s="4" t="str">
        <f t="shared" si="102"/>
        <v>2</v>
      </c>
      <c r="W1292" s="4" t="str">
        <f t="shared" si="103"/>
        <v>2</v>
      </c>
      <c r="X1292" s="4" t="str">
        <f t="shared" si="104"/>
        <v>2NON-HS2</v>
      </c>
      <c r="Y1292">
        <f>VLOOKUP(X1292,Sheet1!$J$5:$K$121,2,FALSE)</f>
        <v>7.4074074074074098E-2</v>
      </c>
    </row>
    <row r="1293" spans="1:25" x14ac:dyDescent="0.25">
      <c r="A1293" s="8">
        <f>[1]Data!A1293</f>
        <v>128220</v>
      </c>
      <c r="B1293" s="8">
        <f>[1]Data!B1293</f>
        <v>2</v>
      </c>
      <c r="C1293" s="8">
        <f>[1]Data!C1293</f>
        <v>2</v>
      </c>
      <c r="D1293" s="8">
        <f>[1]Data!D1293</f>
        <v>3</v>
      </c>
      <c r="E1293" s="8" t="str">
        <f>[1]Data!E1293</f>
        <v>NON-HS</v>
      </c>
      <c r="F1293" s="8" t="str">
        <f>[1]Data!F1293</f>
        <v>Van Nuys</v>
      </c>
      <c r="G1293" s="8">
        <f>[1]Data!G1293</f>
        <v>0</v>
      </c>
      <c r="H1293" s="8">
        <f>[1]Data!H1293</f>
        <v>0</v>
      </c>
      <c r="I1293" s="8">
        <f>[1]Data!I1293</f>
        <v>0</v>
      </c>
      <c r="J1293" s="8">
        <f>[1]Data!J1293</f>
        <v>0</v>
      </c>
      <c r="K1293" s="8">
        <f>[1]Data!K1293</f>
        <v>0</v>
      </c>
      <c r="L1293" s="8">
        <f>[1]Data!L1293</f>
        <v>0</v>
      </c>
      <c r="M1293" s="8">
        <f>[1]Data!M1293</f>
        <v>0</v>
      </c>
      <c r="N1293" s="8">
        <f>[1]Data!N1293</f>
        <v>2.2140221402214E-2</v>
      </c>
      <c r="O1293" s="8">
        <f>[1]Data!O1293</f>
        <v>0</v>
      </c>
      <c r="P1293" s="8">
        <f>[1]Data!P1293</f>
        <v>0.10332103321033199</v>
      </c>
      <c r="Q1293" s="8">
        <f>[1]Data!Q1293</f>
        <v>1</v>
      </c>
      <c r="R1293" s="8">
        <f>[1]Data!R1293</f>
        <v>7.4074074074074098E-2</v>
      </c>
      <c r="S1293" s="8">
        <f>[1]Data!S1293</f>
        <v>0</v>
      </c>
      <c r="T1293">
        <f t="shared" si="100"/>
        <v>9.4574279076124104E-2</v>
      </c>
      <c r="U1293">
        <f t="shared" si="101"/>
        <v>0</v>
      </c>
      <c r="V1293" s="4" t="str">
        <f t="shared" si="102"/>
        <v>2</v>
      </c>
      <c r="W1293" s="4" t="str">
        <f t="shared" si="103"/>
        <v>2</v>
      </c>
      <c r="X1293" s="4" t="str">
        <f t="shared" si="104"/>
        <v>2NON-HS2</v>
      </c>
      <c r="Y1293">
        <f>VLOOKUP(X1293,Sheet1!$J$5:$K$121,2,FALSE)</f>
        <v>7.4074074074074098E-2</v>
      </c>
    </row>
    <row r="1294" spans="1:25" x14ac:dyDescent="0.25">
      <c r="A1294" s="8">
        <f>[1]Data!A1294</f>
        <v>127920</v>
      </c>
      <c r="B1294" s="8">
        <f>[1]Data!B1294</f>
        <v>2</v>
      </c>
      <c r="C1294" s="8">
        <f>[1]Data!C1294</f>
        <v>2</v>
      </c>
      <c r="D1294" s="8">
        <f>[1]Data!D1294</f>
        <v>3</v>
      </c>
      <c r="E1294" s="8" t="str">
        <f>[1]Data!E1294</f>
        <v>NON-HS</v>
      </c>
      <c r="F1294" s="8" t="str">
        <f>[1]Data!F1294</f>
        <v>Van Nuys</v>
      </c>
      <c r="G1294" s="8">
        <f>[1]Data!G1294</f>
        <v>0</v>
      </c>
      <c r="H1294" s="8">
        <f>[1]Data!H1294</f>
        <v>0</v>
      </c>
      <c r="I1294" s="8">
        <f>[1]Data!I1294</f>
        <v>0</v>
      </c>
      <c r="J1294" s="8">
        <f>[1]Data!J1294</f>
        <v>0</v>
      </c>
      <c r="K1294" s="8">
        <f>[1]Data!K1294</f>
        <v>0</v>
      </c>
      <c r="L1294" s="8">
        <f>[1]Data!L1294</f>
        <v>0</v>
      </c>
      <c r="M1294" s="8">
        <f>[1]Data!M1294</f>
        <v>0</v>
      </c>
      <c r="N1294" s="8">
        <f>[1]Data!N1294</f>
        <v>2.2140221402214E-2</v>
      </c>
      <c r="O1294" s="8">
        <f>[1]Data!O1294</f>
        <v>0</v>
      </c>
      <c r="P1294" s="8">
        <f>[1]Data!P1294</f>
        <v>0.10332103321033199</v>
      </c>
      <c r="Q1294" s="8">
        <f>[1]Data!Q1294</f>
        <v>1</v>
      </c>
      <c r="R1294" s="8">
        <f>[1]Data!R1294</f>
        <v>7.4074074074074098E-2</v>
      </c>
      <c r="S1294" s="8">
        <f>[1]Data!S1294</f>
        <v>0</v>
      </c>
      <c r="T1294">
        <f t="shared" si="100"/>
        <v>9.4574279076124104E-2</v>
      </c>
      <c r="U1294">
        <f t="shared" si="101"/>
        <v>0</v>
      </c>
      <c r="V1294" s="4" t="str">
        <f t="shared" si="102"/>
        <v>2</v>
      </c>
      <c r="W1294" s="4" t="str">
        <f t="shared" si="103"/>
        <v>2</v>
      </c>
      <c r="X1294" s="4" t="str">
        <f t="shared" si="104"/>
        <v>2NON-HS2</v>
      </c>
      <c r="Y1294">
        <f>VLOOKUP(X1294,Sheet1!$J$5:$K$121,2,FALSE)</f>
        <v>7.4074074074074098E-2</v>
      </c>
    </row>
    <row r="1295" spans="1:25" x14ac:dyDescent="0.25">
      <c r="A1295" s="8">
        <f>[1]Data!A1295</f>
        <v>123104</v>
      </c>
      <c r="B1295" s="8">
        <f>[1]Data!B1295</f>
        <v>2</v>
      </c>
      <c r="C1295" s="8">
        <f>[1]Data!C1295</f>
        <v>2</v>
      </c>
      <c r="D1295" s="8">
        <f>[1]Data!D1295</f>
        <v>3</v>
      </c>
      <c r="E1295" s="8" t="str">
        <f>[1]Data!E1295</f>
        <v>NON-HS</v>
      </c>
      <c r="F1295" s="8" t="str">
        <f>[1]Data!F1295</f>
        <v>North Hollywood</v>
      </c>
      <c r="G1295" s="8">
        <f>[1]Data!G1295</f>
        <v>0</v>
      </c>
      <c r="H1295" s="8">
        <f>[1]Data!H1295</f>
        <v>0</v>
      </c>
      <c r="I1295" s="8">
        <f>[1]Data!I1295</f>
        <v>6.19</v>
      </c>
      <c r="J1295" s="8">
        <f>[1]Data!J1295</f>
        <v>3.9673993200000002</v>
      </c>
      <c r="K1295" s="8">
        <f>[1]Data!K1295</f>
        <v>5.9673993200000002</v>
      </c>
      <c r="L1295" s="8">
        <f>[1]Data!L1295</f>
        <v>0.22234520276481101</v>
      </c>
      <c r="M1295" s="8">
        <f>[1]Data!M1295</f>
        <v>6.1897445227648102</v>
      </c>
      <c r="N1295" s="8">
        <f>[1]Data!N1295</f>
        <v>2.2140221402214E-2</v>
      </c>
      <c r="O1295" s="8">
        <f>[1]Data!O1295</f>
        <v>0</v>
      </c>
      <c r="P1295" s="8">
        <f>[1]Data!P1295</f>
        <v>0.10332103321033199</v>
      </c>
      <c r="Q1295" s="8">
        <f>[1]Data!Q1295</f>
        <v>1</v>
      </c>
      <c r="R1295" s="8">
        <f>[1]Data!R1295</f>
        <v>7.4074074074074098E-2</v>
      </c>
      <c r="S1295" s="8">
        <f>[1]Data!S1295</f>
        <v>0</v>
      </c>
      <c r="T1295">
        <f t="shared" si="100"/>
        <v>9.4574279076124104E-2</v>
      </c>
      <c r="U1295">
        <f t="shared" si="101"/>
        <v>0</v>
      </c>
      <c r="V1295" s="4" t="str">
        <f t="shared" si="102"/>
        <v>2</v>
      </c>
      <c r="W1295" s="4" t="str">
        <f t="shared" si="103"/>
        <v>2</v>
      </c>
      <c r="X1295" s="4" t="str">
        <f t="shared" si="104"/>
        <v>2NON-HS2</v>
      </c>
      <c r="Y1295">
        <f>VLOOKUP(X1295,Sheet1!$J$5:$K$121,2,FALSE)</f>
        <v>7.4074074074074098E-2</v>
      </c>
    </row>
    <row r="1296" spans="1:25" x14ac:dyDescent="0.25">
      <c r="A1296" s="8">
        <f>[1]Data!A1296</f>
        <v>132501</v>
      </c>
      <c r="B1296" s="8">
        <f>[1]Data!B1296</f>
        <v>2</v>
      </c>
      <c r="C1296" s="8">
        <f>[1]Data!C1296</f>
        <v>3</v>
      </c>
      <c r="D1296" s="8">
        <f>[1]Data!D1296</f>
        <v>3</v>
      </c>
      <c r="E1296" s="8" t="str">
        <f>[1]Data!E1296</f>
        <v>CVCTE</v>
      </c>
      <c r="F1296" s="8" t="str">
        <f>[1]Data!F1296</f>
        <v>Reseda</v>
      </c>
      <c r="G1296" s="8">
        <f>[1]Data!G1296</f>
        <v>0</v>
      </c>
      <c r="H1296" s="8">
        <f>[1]Data!H1296</f>
        <v>1</v>
      </c>
      <c r="I1296" s="8">
        <f>[1]Data!I1296</f>
        <v>35.494</v>
      </c>
      <c r="J1296" s="8">
        <f>[1]Data!J1296</f>
        <v>21.148672439999999</v>
      </c>
      <c r="K1296" s="8">
        <f>[1]Data!K1296</f>
        <v>35.148672439999999</v>
      </c>
      <c r="L1296" s="8">
        <f>[1]Data!L1296</f>
        <v>0.34498402170556502</v>
      </c>
      <c r="M1296" s="8">
        <f>[1]Data!M1296</f>
        <v>35.493656461705598</v>
      </c>
      <c r="N1296" s="8">
        <f>[1]Data!N1296</f>
        <v>0.17910447761194001</v>
      </c>
      <c r="O1296" s="8">
        <f>[1]Data!O1296</f>
        <v>0</v>
      </c>
      <c r="P1296" s="8">
        <f>[1]Data!P1296</f>
        <v>0.134328358208955</v>
      </c>
      <c r="Q1296" s="8">
        <f>[1]Data!Q1296</f>
        <v>1</v>
      </c>
      <c r="R1296" s="8">
        <f>[1]Data!R1296</f>
        <v>0.76470588235294101</v>
      </c>
      <c r="S1296" s="8">
        <f>[1]Data!S1296</f>
        <v>1.3076923076923099</v>
      </c>
      <c r="T1296">
        <f t="shared" si="100"/>
        <v>0.80684811237927989</v>
      </c>
      <c r="U1296">
        <f t="shared" si="101"/>
        <v>1.2393906420021765</v>
      </c>
      <c r="V1296" s="4" t="str">
        <f t="shared" si="102"/>
        <v>3</v>
      </c>
      <c r="W1296" s="4" t="str">
        <f t="shared" si="103"/>
        <v>2</v>
      </c>
      <c r="X1296" s="4" t="str">
        <f t="shared" si="104"/>
        <v>3CVCTE2</v>
      </c>
      <c r="Y1296">
        <f>VLOOKUP(X1296,Sheet1!$J$5:$K$121,2,FALSE)</f>
        <v>0.76470588235294101</v>
      </c>
    </row>
    <row r="1297" spans="1:25" x14ac:dyDescent="0.25">
      <c r="A1297" s="8">
        <f>[1]Data!A1297</f>
        <v>134520</v>
      </c>
      <c r="B1297" s="8">
        <f>[1]Data!B1297</f>
        <v>2</v>
      </c>
      <c r="C1297" s="8">
        <f>[1]Data!C1297</f>
        <v>3</v>
      </c>
      <c r="D1297" s="8">
        <f>[1]Data!D1297</f>
        <v>3</v>
      </c>
      <c r="E1297" s="8" t="str">
        <f>[1]Data!E1297</f>
        <v>CVCTE</v>
      </c>
      <c r="F1297" s="8" t="str">
        <f>[1]Data!F1297</f>
        <v>Canoga Park</v>
      </c>
      <c r="G1297" s="8">
        <f>[1]Data!G1297</f>
        <v>0</v>
      </c>
      <c r="H1297" s="8">
        <f>[1]Data!H1297</f>
        <v>1</v>
      </c>
      <c r="I1297" s="8">
        <f>[1]Data!I1297</f>
        <v>36.350999999999999</v>
      </c>
      <c r="J1297" s="8">
        <f>[1]Data!J1297</f>
        <v>34.838339470000001</v>
      </c>
      <c r="K1297" s="8">
        <f>[1]Data!K1297</f>
        <v>34.838339470000001</v>
      </c>
      <c r="L1297" s="8">
        <f>[1]Data!L1297</f>
        <v>1.51304994696589</v>
      </c>
      <c r="M1297" s="8">
        <f>[1]Data!M1297</f>
        <v>36.351389416965901</v>
      </c>
      <c r="N1297" s="8">
        <f>[1]Data!N1297</f>
        <v>0.17910447761194001</v>
      </c>
      <c r="O1297" s="8">
        <f>[1]Data!O1297</f>
        <v>0</v>
      </c>
      <c r="P1297" s="8">
        <f>[1]Data!P1297</f>
        <v>0.134328358208955</v>
      </c>
      <c r="Q1297" s="8">
        <f>[1]Data!Q1297</f>
        <v>1</v>
      </c>
      <c r="R1297" s="8">
        <f>[1]Data!R1297</f>
        <v>0.76470588235294101</v>
      </c>
      <c r="S1297" s="8">
        <f>[1]Data!S1297</f>
        <v>1.3076923076923099</v>
      </c>
      <c r="T1297">
        <f t="shared" si="100"/>
        <v>0.80684811237927989</v>
      </c>
      <c r="U1297">
        <f t="shared" si="101"/>
        <v>1.2393906420021765</v>
      </c>
      <c r="V1297" s="4" t="str">
        <f t="shared" si="102"/>
        <v>3</v>
      </c>
      <c r="W1297" s="4" t="str">
        <f t="shared" si="103"/>
        <v>2</v>
      </c>
      <c r="X1297" s="4" t="str">
        <f t="shared" si="104"/>
        <v>3CVCTE2</v>
      </c>
      <c r="Y1297">
        <f>VLOOKUP(X1297,Sheet1!$J$5:$K$121,2,FALSE)</f>
        <v>0.76470588235294101</v>
      </c>
    </row>
    <row r="1298" spans="1:25" x14ac:dyDescent="0.25">
      <c r="A1298" s="8">
        <f>[1]Data!A1298</f>
        <v>139301</v>
      </c>
      <c r="B1298" s="8">
        <f>[1]Data!B1298</f>
        <v>2</v>
      </c>
      <c r="C1298" s="8">
        <f>[1]Data!C1298</f>
        <v>3</v>
      </c>
      <c r="D1298" s="8">
        <f>[1]Data!D1298</f>
        <v>3</v>
      </c>
      <c r="E1298" s="8" t="str">
        <f>[1]Data!E1298</f>
        <v>CVCTE</v>
      </c>
      <c r="F1298" s="8" t="str">
        <f>[1]Data!F1298</f>
        <v>Tarzana</v>
      </c>
      <c r="G1298" s="8">
        <f>[1]Data!G1298</f>
        <v>0</v>
      </c>
      <c r="H1298" s="8">
        <f>[1]Data!H1298</f>
        <v>1</v>
      </c>
      <c r="I1298" s="8">
        <f>[1]Data!I1298</f>
        <v>16.155999999999999</v>
      </c>
      <c r="J1298" s="8">
        <f>[1]Data!J1298</f>
        <v>13.649438460000001</v>
      </c>
      <c r="K1298" s="8">
        <f>[1]Data!K1298</f>
        <v>15.649438460000001</v>
      </c>
      <c r="L1298" s="8">
        <f>[1]Data!L1298</f>
        <v>0.50656637177737895</v>
      </c>
      <c r="M1298" s="8">
        <f>[1]Data!M1298</f>
        <v>16.156004831777398</v>
      </c>
      <c r="N1298" s="8">
        <f>[1]Data!N1298</f>
        <v>0.17910447761194001</v>
      </c>
      <c r="O1298" s="8">
        <f>[1]Data!O1298</f>
        <v>0</v>
      </c>
      <c r="P1298" s="8">
        <f>[1]Data!P1298</f>
        <v>0.134328358208955</v>
      </c>
      <c r="Q1298" s="8">
        <f>[1]Data!Q1298</f>
        <v>1</v>
      </c>
      <c r="R1298" s="8">
        <f>[1]Data!R1298</f>
        <v>0.76470588235294101</v>
      </c>
      <c r="S1298" s="8">
        <f>[1]Data!S1298</f>
        <v>1.3076923076923099</v>
      </c>
      <c r="T1298">
        <f t="shared" si="100"/>
        <v>0.80684811237927989</v>
      </c>
      <c r="U1298">
        <f t="shared" si="101"/>
        <v>1.2393906420021765</v>
      </c>
      <c r="V1298" s="4" t="str">
        <f t="shared" si="102"/>
        <v>3</v>
      </c>
      <c r="W1298" s="4" t="str">
        <f t="shared" si="103"/>
        <v>2</v>
      </c>
      <c r="X1298" s="4" t="str">
        <f t="shared" si="104"/>
        <v>3CVCTE2</v>
      </c>
      <c r="Y1298">
        <f>VLOOKUP(X1298,Sheet1!$J$5:$K$121,2,FALSE)</f>
        <v>0.76470588235294101</v>
      </c>
    </row>
    <row r="1299" spans="1:25" x14ac:dyDescent="0.25">
      <c r="A1299" s="8">
        <f>[1]Data!A1299</f>
        <v>134905</v>
      </c>
      <c r="B1299" s="8">
        <f>[1]Data!B1299</f>
        <v>2</v>
      </c>
      <c r="C1299" s="8">
        <f>[1]Data!C1299</f>
        <v>3</v>
      </c>
      <c r="D1299" s="8">
        <f>[1]Data!D1299</f>
        <v>3</v>
      </c>
      <c r="E1299" s="8" t="str">
        <f>[1]Data!E1299</f>
        <v>CVCTE</v>
      </c>
      <c r="F1299" s="8" t="str">
        <f>[1]Data!F1299</f>
        <v>Woodland Hills</v>
      </c>
      <c r="G1299" s="8">
        <f>[1]Data!G1299</f>
        <v>0</v>
      </c>
      <c r="H1299" s="8">
        <f>[1]Data!H1299</f>
        <v>0</v>
      </c>
      <c r="I1299" s="8">
        <f>[1]Data!I1299</f>
        <v>11.994999999999999</v>
      </c>
      <c r="J1299" s="8">
        <f>[1]Data!J1299</f>
        <v>11.401062980000001</v>
      </c>
      <c r="K1299" s="8">
        <f>[1]Data!K1299</f>
        <v>11.401062980000001</v>
      </c>
      <c r="L1299" s="8">
        <f>[1]Data!L1299</f>
        <v>0.59466142610412898</v>
      </c>
      <c r="M1299" s="8">
        <f>[1]Data!M1299</f>
        <v>11.995724406104101</v>
      </c>
      <c r="N1299" s="8">
        <f>[1]Data!N1299</f>
        <v>0.17910447761194001</v>
      </c>
      <c r="O1299" s="8">
        <f>[1]Data!O1299</f>
        <v>0</v>
      </c>
      <c r="P1299" s="8">
        <f>[1]Data!P1299</f>
        <v>0.134328358208955</v>
      </c>
      <c r="Q1299" s="8">
        <f>[1]Data!Q1299</f>
        <v>1</v>
      </c>
      <c r="R1299" s="8">
        <f>[1]Data!R1299</f>
        <v>0.76470588235294101</v>
      </c>
      <c r="S1299" s="8">
        <f>[1]Data!S1299</f>
        <v>0</v>
      </c>
      <c r="T1299">
        <f t="shared" si="100"/>
        <v>0.80684811237927989</v>
      </c>
      <c r="U1299">
        <f t="shared" si="101"/>
        <v>0</v>
      </c>
      <c r="V1299" s="4" t="str">
        <f t="shared" si="102"/>
        <v>3</v>
      </c>
      <c r="W1299" s="4" t="str">
        <f t="shared" si="103"/>
        <v>2</v>
      </c>
      <c r="X1299" s="4" t="str">
        <f t="shared" si="104"/>
        <v>3CVCTE2</v>
      </c>
      <c r="Y1299">
        <f>VLOOKUP(X1299,Sheet1!$J$5:$K$121,2,FALSE)</f>
        <v>0.76470588235294101</v>
      </c>
    </row>
    <row r="1300" spans="1:25" x14ac:dyDescent="0.25">
      <c r="A1300" s="8">
        <f>[1]Data!A1300</f>
        <v>132700</v>
      </c>
      <c r="B1300" s="8">
        <f>[1]Data!B1300</f>
        <v>2</v>
      </c>
      <c r="C1300" s="8">
        <f>[1]Data!C1300</f>
        <v>3</v>
      </c>
      <c r="D1300" s="8">
        <f>[1]Data!D1300</f>
        <v>3</v>
      </c>
      <c r="E1300" s="8" t="str">
        <f>[1]Data!E1300</f>
        <v>CVCTE</v>
      </c>
      <c r="F1300" s="8" t="str">
        <f>[1]Data!F1300</f>
        <v>Reseda</v>
      </c>
      <c r="G1300" s="8">
        <f>[1]Data!G1300</f>
        <v>0</v>
      </c>
      <c r="H1300" s="8">
        <f>[1]Data!H1300</f>
        <v>1</v>
      </c>
      <c r="I1300" s="8">
        <f>[1]Data!I1300</f>
        <v>16.672999999999998</v>
      </c>
      <c r="J1300" s="8">
        <f>[1]Data!J1300</f>
        <v>13.73495303</v>
      </c>
      <c r="K1300" s="8">
        <f>[1]Data!K1300</f>
        <v>15.73495303</v>
      </c>
      <c r="L1300" s="8">
        <f>[1]Data!L1300</f>
        <v>0.93784484314183103</v>
      </c>
      <c r="M1300" s="8">
        <f>[1]Data!M1300</f>
        <v>16.6727978731418</v>
      </c>
      <c r="N1300" s="8">
        <f>[1]Data!N1300</f>
        <v>0.17910447761194001</v>
      </c>
      <c r="O1300" s="8">
        <f>[1]Data!O1300</f>
        <v>0</v>
      </c>
      <c r="P1300" s="8">
        <f>[1]Data!P1300</f>
        <v>0.134328358208955</v>
      </c>
      <c r="Q1300" s="8">
        <f>[1]Data!Q1300</f>
        <v>1</v>
      </c>
      <c r="R1300" s="8">
        <f>[1]Data!R1300</f>
        <v>0.76470588235294101</v>
      </c>
      <c r="S1300" s="8">
        <f>[1]Data!S1300</f>
        <v>1.3076923076923099</v>
      </c>
      <c r="T1300">
        <f t="shared" si="100"/>
        <v>0.80684811237927989</v>
      </c>
      <c r="U1300">
        <f t="shared" si="101"/>
        <v>1.2393906420021765</v>
      </c>
      <c r="V1300" s="4" t="str">
        <f t="shared" si="102"/>
        <v>3</v>
      </c>
      <c r="W1300" s="4" t="str">
        <f t="shared" si="103"/>
        <v>2</v>
      </c>
      <c r="X1300" s="4" t="str">
        <f t="shared" si="104"/>
        <v>3CVCTE2</v>
      </c>
      <c r="Y1300">
        <f>VLOOKUP(X1300,Sheet1!$J$5:$K$121,2,FALSE)</f>
        <v>0.76470588235294101</v>
      </c>
    </row>
    <row r="1301" spans="1:25" x14ac:dyDescent="0.25">
      <c r="A1301" s="8">
        <f>[1]Data!A1301</f>
        <v>134303</v>
      </c>
      <c r="B1301" s="8">
        <f>[1]Data!B1301</f>
        <v>2</v>
      </c>
      <c r="C1301" s="8">
        <f>[1]Data!C1301</f>
        <v>3</v>
      </c>
      <c r="D1301" s="8">
        <f>[1]Data!D1301</f>
        <v>3</v>
      </c>
      <c r="E1301" s="8" t="str">
        <f>[1]Data!E1301</f>
        <v>CVCTE</v>
      </c>
      <c r="F1301" s="8" t="str">
        <f>[1]Data!F1301</f>
        <v>Canoga Park</v>
      </c>
      <c r="G1301" s="8">
        <f>[1]Data!G1301</f>
        <v>0</v>
      </c>
      <c r="H1301" s="8">
        <f>[1]Data!H1301</f>
        <v>0</v>
      </c>
      <c r="I1301" s="8">
        <f>[1]Data!I1301</f>
        <v>31.971</v>
      </c>
      <c r="J1301" s="8">
        <f>[1]Data!J1301</f>
        <v>20.932157530000001</v>
      </c>
      <c r="K1301" s="8">
        <f>[1]Data!K1301</f>
        <v>30.932157530000001</v>
      </c>
      <c r="L1301" s="8">
        <f>[1]Data!L1301</f>
        <v>1.03851922858169</v>
      </c>
      <c r="M1301" s="8">
        <f>[1]Data!M1301</f>
        <v>31.9706767585817</v>
      </c>
      <c r="N1301" s="8">
        <f>[1]Data!N1301</f>
        <v>0.17910447761194001</v>
      </c>
      <c r="O1301" s="8">
        <f>[1]Data!O1301</f>
        <v>0</v>
      </c>
      <c r="P1301" s="8">
        <f>[1]Data!P1301</f>
        <v>0.134328358208955</v>
      </c>
      <c r="Q1301" s="8">
        <f>[1]Data!Q1301</f>
        <v>1</v>
      </c>
      <c r="R1301" s="8">
        <f>[1]Data!R1301</f>
        <v>0.76470588235294101</v>
      </c>
      <c r="S1301" s="8">
        <f>[1]Data!S1301</f>
        <v>0</v>
      </c>
      <c r="T1301">
        <f t="shared" si="100"/>
        <v>0.80684811237927989</v>
      </c>
      <c r="U1301">
        <f t="shared" si="101"/>
        <v>0</v>
      </c>
      <c r="V1301" s="4" t="str">
        <f t="shared" si="102"/>
        <v>3</v>
      </c>
      <c r="W1301" s="4" t="str">
        <f t="shared" si="103"/>
        <v>2</v>
      </c>
      <c r="X1301" s="4" t="str">
        <f t="shared" si="104"/>
        <v>3CVCTE2</v>
      </c>
      <c r="Y1301">
        <f>VLOOKUP(X1301,Sheet1!$J$5:$K$121,2,FALSE)</f>
        <v>0.76470588235294101</v>
      </c>
    </row>
    <row r="1302" spans="1:25" x14ac:dyDescent="0.25">
      <c r="A1302" s="8">
        <f>[1]Data!A1302</f>
        <v>134903</v>
      </c>
      <c r="B1302" s="8">
        <f>[1]Data!B1302</f>
        <v>2</v>
      </c>
      <c r="C1302" s="8">
        <f>[1]Data!C1302</f>
        <v>3</v>
      </c>
      <c r="D1302" s="8">
        <f>[1]Data!D1302</f>
        <v>3</v>
      </c>
      <c r="E1302" s="8" t="str">
        <f>[1]Data!E1302</f>
        <v>CVCTE</v>
      </c>
      <c r="F1302" s="8" t="str">
        <f>[1]Data!F1302</f>
        <v>Woodland Hills</v>
      </c>
      <c r="G1302" s="8">
        <f>[1]Data!G1302</f>
        <v>0</v>
      </c>
      <c r="H1302" s="8">
        <f>[1]Data!H1302</f>
        <v>0</v>
      </c>
      <c r="I1302" s="8">
        <f>[1]Data!I1302</f>
        <v>18.276</v>
      </c>
      <c r="J1302" s="8">
        <f>[1]Data!J1302</f>
        <v>16.76145421</v>
      </c>
      <c r="K1302" s="8">
        <f>[1]Data!K1302</f>
        <v>17.76145421</v>
      </c>
      <c r="L1302" s="8">
        <f>[1]Data!L1302</f>
        <v>0.51336314420107698</v>
      </c>
      <c r="M1302" s="8">
        <f>[1]Data!M1302</f>
        <v>18.274817354201101</v>
      </c>
      <c r="N1302" s="8">
        <f>[1]Data!N1302</f>
        <v>0.17910447761194001</v>
      </c>
      <c r="O1302" s="8">
        <f>[1]Data!O1302</f>
        <v>0</v>
      </c>
      <c r="P1302" s="8">
        <f>[1]Data!P1302</f>
        <v>0.134328358208955</v>
      </c>
      <c r="Q1302" s="8">
        <f>[1]Data!Q1302</f>
        <v>1</v>
      </c>
      <c r="R1302" s="8">
        <f>[1]Data!R1302</f>
        <v>0.76470588235294101</v>
      </c>
      <c r="S1302" s="8">
        <f>[1]Data!S1302</f>
        <v>0</v>
      </c>
      <c r="T1302">
        <f t="shared" si="100"/>
        <v>0.80684811237927989</v>
      </c>
      <c r="U1302">
        <f t="shared" si="101"/>
        <v>0</v>
      </c>
      <c r="V1302" s="4" t="str">
        <f t="shared" si="102"/>
        <v>3</v>
      </c>
      <c r="W1302" s="4" t="str">
        <f t="shared" si="103"/>
        <v>2</v>
      </c>
      <c r="X1302" s="4" t="str">
        <f t="shared" si="104"/>
        <v>3CVCTE2</v>
      </c>
      <c r="Y1302">
        <f>VLOOKUP(X1302,Sheet1!$J$5:$K$121,2,FALSE)</f>
        <v>0.76470588235294101</v>
      </c>
    </row>
    <row r="1303" spans="1:25" x14ac:dyDescent="0.25">
      <c r="A1303" s="8">
        <f>[1]Data!A1303</f>
        <v>113233</v>
      </c>
      <c r="B1303" s="8">
        <f>[1]Data!B1303</f>
        <v>2</v>
      </c>
      <c r="C1303" s="8">
        <f>[1]Data!C1303</f>
        <v>3</v>
      </c>
      <c r="D1303" s="8">
        <f>[1]Data!D1303</f>
        <v>5</v>
      </c>
      <c r="E1303" s="8" t="str">
        <f>[1]Data!E1303</f>
        <v>CVCTE</v>
      </c>
      <c r="F1303" s="8" t="str">
        <f>[1]Data!F1303</f>
        <v>Canoga Park</v>
      </c>
      <c r="G1303" s="8">
        <f>[1]Data!G1303</f>
        <v>0</v>
      </c>
      <c r="H1303" s="8">
        <f>[1]Data!H1303</f>
        <v>1</v>
      </c>
      <c r="I1303" s="8">
        <f>[1]Data!I1303</f>
        <v>4.851</v>
      </c>
      <c r="J1303" s="8">
        <f>[1]Data!J1303</f>
        <v>3.8097598800000001</v>
      </c>
      <c r="K1303" s="8">
        <f>[1]Data!K1303</f>
        <v>4.8097598799999997</v>
      </c>
      <c r="L1303" s="8">
        <f>[1]Data!L1303</f>
        <v>4.1250644165170602E-2</v>
      </c>
      <c r="M1303" s="8">
        <f>[1]Data!M1303</f>
        <v>4.8510105241651704</v>
      </c>
      <c r="N1303" s="8">
        <f>[1]Data!N1303</f>
        <v>0.17910447761194001</v>
      </c>
      <c r="O1303" s="8">
        <f>[1]Data!O1303</f>
        <v>0</v>
      </c>
      <c r="P1303" s="8">
        <f>[1]Data!P1303</f>
        <v>0.134328358208955</v>
      </c>
      <c r="Q1303" s="8">
        <f>[1]Data!Q1303</f>
        <v>1</v>
      </c>
      <c r="R1303" s="8">
        <f>[1]Data!R1303</f>
        <v>0.76470588235294101</v>
      </c>
      <c r="S1303" s="8">
        <f>[1]Data!S1303</f>
        <v>1.3076923076923099</v>
      </c>
      <c r="T1303">
        <f t="shared" si="100"/>
        <v>0.80684811237927989</v>
      </c>
      <c r="U1303">
        <f t="shared" si="101"/>
        <v>1.2393906420021765</v>
      </c>
      <c r="V1303" s="4" t="str">
        <f t="shared" si="102"/>
        <v>3</v>
      </c>
      <c r="W1303" s="4" t="str">
        <f t="shared" si="103"/>
        <v>2</v>
      </c>
      <c r="X1303" s="4" t="str">
        <f t="shared" si="104"/>
        <v>3CVCTE2</v>
      </c>
      <c r="Y1303">
        <f>VLOOKUP(X1303,Sheet1!$J$5:$K$121,2,FALSE)</f>
        <v>0.76470588235294101</v>
      </c>
    </row>
    <row r="1304" spans="1:25" x14ac:dyDescent="0.25">
      <c r="A1304" s="8">
        <f>[1]Data!A1304</f>
        <v>134521</v>
      </c>
      <c r="B1304" s="8">
        <f>[1]Data!B1304</f>
        <v>2</v>
      </c>
      <c r="C1304" s="8">
        <f>[1]Data!C1304</f>
        <v>3</v>
      </c>
      <c r="D1304" s="8">
        <f>[1]Data!D1304</f>
        <v>3</v>
      </c>
      <c r="E1304" s="8" t="str">
        <f>[1]Data!E1304</f>
        <v>CVCTE</v>
      </c>
      <c r="F1304" s="8" t="str">
        <f>[1]Data!F1304</f>
        <v>Canoga Park</v>
      </c>
      <c r="G1304" s="8">
        <f>[1]Data!G1304</f>
        <v>0</v>
      </c>
      <c r="H1304" s="8">
        <f>[1]Data!H1304</f>
        <v>1</v>
      </c>
      <c r="I1304" s="8">
        <f>[1]Data!I1304</f>
        <v>36.746000000000002</v>
      </c>
      <c r="J1304" s="8">
        <f>[1]Data!J1304</f>
        <v>29.440216020000001</v>
      </c>
      <c r="K1304" s="8">
        <f>[1]Data!K1304</f>
        <v>35.440216020000001</v>
      </c>
      <c r="L1304" s="8">
        <f>[1]Data!L1304</f>
        <v>1.3053999035368</v>
      </c>
      <c r="M1304" s="8">
        <f>[1]Data!M1304</f>
        <v>36.745615923536803</v>
      </c>
      <c r="N1304" s="8">
        <f>[1]Data!N1304</f>
        <v>0.17910447761194001</v>
      </c>
      <c r="O1304" s="8">
        <f>[1]Data!O1304</f>
        <v>0</v>
      </c>
      <c r="P1304" s="8">
        <f>[1]Data!P1304</f>
        <v>0.134328358208955</v>
      </c>
      <c r="Q1304" s="8">
        <f>[1]Data!Q1304</f>
        <v>1</v>
      </c>
      <c r="R1304" s="8">
        <f>[1]Data!R1304</f>
        <v>0.76470588235294101</v>
      </c>
      <c r="S1304" s="8">
        <f>[1]Data!S1304</f>
        <v>1.3076923076923099</v>
      </c>
      <c r="T1304">
        <f t="shared" si="100"/>
        <v>0.80684811237927989</v>
      </c>
      <c r="U1304">
        <f t="shared" si="101"/>
        <v>1.2393906420021765</v>
      </c>
      <c r="V1304" s="4" t="str">
        <f t="shared" si="102"/>
        <v>3</v>
      </c>
      <c r="W1304" s="4" t="str">
        <f t="shared" si="103"/>
        <v>2</v>
      </c>
      <c r="X1304" s="4" t="str">
        <f t="shared" si="104"/>
        <v>3CVCTE2</v>
      </c>
      <c r="Y1304">
        <f>VLOOKUP(X1304,Sheet1!$J$5:$K$121,2,FALSE)</f>
        <v>0.76470588235294101</v>
      </c>
    </row>
    <row r="1305" spans="1:25" x14ac:dyDescent="0.25">
      <c r="A1305" s="8">
        <f>[1]Data!A1305</f>
        <v>133100</v>
      </c>
      <c r="B1305" s="8">
        <f>[1]Data!B1305</f>
        <v>2</v>
      </c>
      <c r="C1305" s="8">
        <f>[1]Data!C1305</f>
        <v>3</v>
      </c>
      <c r="D1305" s="8">
        <f>[1]Data!D1305</f>
        <v>3</v>
      </c>
      <c r="E1305" s="8" t="str">
        <f>[1]Data!E1305</f>
        <v>CVCTE</v>
      </c>
      <c r="F1305" s="8" t="str">
        <f>[1]Data!F1305</f>
        <v>Tarzana</v>
      </c>
      <c r="G1305" s="8">
        <f>[1]Data!G1305</f>
        <v>0</v>
      </c>
      <c r="H1305" s="8">
        <f>[1]Data!H1305</f>
        <v>1</v>
      </c>
      <c r="I1305" s="8">
        <f>[1]Data!I1305</f>
        <v>19.059000000000001</v>
      </c>
      <c r="J1305" s="8">
        <f>[1]Data!J1305</f>
        <v>17.366270289999999</v>
      </c>
      <c r="K1305" s="8">
        <f>[1]Data!K1305</f>
        <v>18.366270289999999</v>
      </c>
      <c r="L1305" s="8">
        <f>[1]Data!L1305</f>
        <v>0.69272448344703796</v>
      </c>
      <c r="M1305" s="8">
        <f>[1]Data!M1305</f>
        <v>19.058994773447001</v>
      </c>
      <c r="N1305" s="8">
        <f>[1]Data!N1305</f>
        <v>0.17910447761194001</v>
      </c>
      <c r="O1305" s="8">
        <f>[1]Data!O1305</f>
        <v>0</v>
      </c>
      <c r="P1305" s="8">
        <f>[1]Data!P1305</f>
        <v>0.134328358208955</v>
      </c>
      <c r="Q1305" s="8">
        <f>[1]Data!Q1305</f>
        <v>1</v>
      </c>
      <c r="R1305" s="8">
        <f>[1]Data!R1305</f>
        <v>0.76470588235294101</v>
      </c>
      <c r="S1305" s="8">
        <f>[1]Data!S1305</f>
        <v>1.3076923076923099</v>
      </c>
      <c r="T1305">
        <f t="shared" si="100"/>
        <v>0.80684811237927989</v>
      </c>
      <c r="U1305">
        <f t="shared" si="101"/>
        <v>1.2393906420021765</v>
      </c>
      <c r="V1305" s="4" t="str">
        <f t="shared" si="102"/>
        <v>3</v>
      </c>
      <c r="W1305" s="4" t="str">
        <f t="shared" si="103"/>
        <v>2</v>
      </c>
      <c r="X1305" s="4" t="str">
        <f t="shared" si="104"/>
        <v>3CVCTE2</v>
      </c>
      <c r="Y1305">
        <f>VLOOKUP(X1305,Sheet1!$J$5:$K$121,2,FALSE)</f>
        <v>0.76470588235294101</v>
      </c>
    </row>
    <row r="1306" spans="1:25" x14ac:dyDescent="0.25">
      <c r="A1306" s="8">
        <f>[1]Data!A1306</f>
        <v>132300</v>
      </c>
      <c r="B1306" s="8">
        <f>[1]Data!B1306</f>
        <v>2</v>
      </c>
      <c r="C1306" s="8">
        <f>[1]Data!C1306</f>
        <v>3</v>
      </c>
      <c r="D1306" s="8">
        <f>[1]Data!D1306</f>
        <v>3</v>
      </c>
      <c r="E1306" s="8" t="str">
        <f>[1]Data!E1306</f>
        <v>CVCTE</v>
      </c>
      <c r="F1306" s="8" t="str">
        <f>[1]Data!F1306</f>
        <v>Reseda</v>
      </c>
      <c r="G1306" s="8">
        <f>[1]Data!G1306</f>
        <v>0</v>
      </c>
      <c r="H1306" s="8">
        <f>[1]Data!H1306</f>
        <v>1</v>
      </c>
      <c r="I1306" s="8">
        <f>[1]Data!I1306</f>
        <v>18.853999999999999</v>
      </c>
      <c r="J1306" s="8">
        <f>[1]Data!J1306</f>
        <v>17.85329694</v>
      </c>
      <c r="K1306" s="8">
        <f>[1]Data!K1306</f>
        <v>17.85329694</v>
      </c>
      <c r="L1306" s="8">
        <f>[1]Data!L1306</f>
        <v>1.00055341244165</v>
      </c>
      <c r="M1306" s="8">
        <f>[1]Data!M1306</f>
        <v>18.8538503524417</v>
      </c>
      <c r="N1306" s="8">
        <f>[1]Data!N1306</f>
        <v>0.17910447761194001</v>
      </c>
      <c r="O1306" s="8">
        <f>[1]Data!O1306</f>
        <v>0</v>
      </c>
      <c r="P1306" s="8">
        <f>[1]Data!P1306</f>
        <v>0.134328358208955</v>
      </c>
      <c r="Q1306" s="8">
        <f>[1]Data!Q1306</f>
        <v>1</v>
      </c>
      <c r="R1306" s="8">
        <f>[1]Data!R1306</f>
        <v>0.76470588235294101</v>
      </c>
      <c r="S1306" s="8">
        <f>[1]Data!S1306</f>
        <v>1.3076923076923099</v>
      </c>
      <c r="T1306">
        <f t="shared" si="100"/>
        <v>0.80684811237927989</v>
      </c>
      <c r="U1306">
        <f t="shared" si="101"/>
        <v>1.2393906420021765</v>
      </c>
      <c r="V1306" s="4" t="str">
        <f t="shared" si="102"/>
        <v>3</v>
      </c>
      <c r="W1306" s="4" t="str">
        <f t="shared" si="103"/>
        <v>2</v>
      </c>
      <c r="X1306" s="4" t="str">
        <f t="shared" si="104"/>
        <v>3CVCTE2</v>
      </c>
      <c r="Y1306">
        <f>VLOOKUP(X1306,Sheet1!$J$5:$K$121,2,FALSE)</f>
        <v>0.76470588235294101</v>
      </c>
    </row>
    <row r="1307" spans="1:25" x14ac:dyDescent="0.25">
      <c r="A1307" s="8">
        <f>[1]Data!A1307</f>
        <v>113234</v>
      </c>
      <c r="B1307" s="8">
        <f>[1]Data!B1307</f>
        <v>2</v>
      </c>
      <c r="C1307" s="8">
        <f>[1]Data!C1307</f>
        <v>3</v>
      </c>
      <c r="D1307" s="8">
        <f>[1]Data!D1307</f>
        <v>3</v>
      </c>
      <c r="E1307" s="8" t="str">
        <f>[1]Data!E1307</f>
        <v>CVCTE</v>
      </c>
      <c r="F1307" s="8" t="str">
        <f>[1]Data!F1307</f>
        <v>Canoga Park</v>
      </c>
      <c r="G1307" s="8">
        <f>[1]Data!G1307</f>
        <v>0</v>
      </c>
      <c r="H1307" s="8">
        <f>[1]Data!H1307</f>
        <v>1</v>
      </c>
      <c r="I1307" s="8">
        <f>[1]Data!I1307</f>
        <v>8.093</v>
      </c>
      <c r="J1307" s="8">
        <f>[1]Data!J1307</f>
        <v>7.6842311499999996</v>
      </c>
      <c r="K1307" s="8">
        <f>[1]Data!K1307</f>
        <v>7.6842311499999996</v>
      </c>
      <c r="L1307" s="8">
        <f>[1]Data!L1307</f>
        <v>0.40850331443447002</v>
      </c>
      <c r="M1307" s="8">
        <f>[1]Data!M1307</f>
        <v>8.0927344644344696</v>
      </c>
      <c r="N1307" s="8">
        <f>[1]Data!N1307</f>
        <v>0.17910447761194001</v>
      </c>
      <c r="O1307" s="8">
        <f>[1]Data!O1307</f>
        <v>0</v>
      </c>
      <c r="P1307" s="8">
        <f>[1]Data!P1307</f>
        <v>0.134328358208955</v>
      </c>
      <c r="Q1307" s="8">
        <f>[1]Data!Q1307</f>
        <v>1</v>
      </c>
      <c r="R1307" s="8">
        <f>[1]Data!R1307</f>
        <v>0.76470588235294101</v>
      </c>
      <c r="S1307" s="8">
        <f>[1]Data!S1307</f>
        <v>1.3076923076923099</v>
      </c>
      <c r="T1307">
        <f t="shared" si="100"/>
        <v>0.80684811237927989</v>
      </c>
      <c r="U1307">
        <f t="shared" si="101"/>
        <v>1.2393906420021765</v>
      </c>
      <c r="V1307" s="4" t="str">
        <f t="shared" si="102"/>
        <v>3</v>
      </c>
      <c r="W1307" s="4" t="str">
        <f t="shared" si="103"/>
        <v>2</v>
      </c>
      <c r="X1307" s="4" t="str">
        <f t="shared" si="104"/>
        <v>3CVCTE2</v>
      </c>
      <c r="Y1307">
        <f>VLOOKUP(X1307,Sheet1!$J$5:$K$121,2,FALSE)</f>
        <v>0.76470588235294101</v>
      </c>
    </row>
    <row r="1308" spans="1:25" x14ac:dyDescent="0.25">
      <c r="A1308" s="8">
        <f>[1]Data!A1308</f>
        <v>131702</v>
      </c>
      <c r="B1308" s="8">
        <f>[1]Data!B1308</f>
        <v>2</v>
      </c>
      <c r="C1308" s="8">
        <f>[1]Data!C1308</f>
        <v>3</v>
      </c>
      <c r="D1308" s="8">
        <f>[1]Data!D1308</f>
        <v>3</v>
      </c>
      <c r="E1308" s="8" t="str">
        <f>[1]Data!E1308</f>
        <v>CVCTE</v>
      </c>
      <c r="F1308" s="8" t="str">
        <f>[1]Data!F1308</f>
        <v>Reseda</v>
      </c>
      <c r="G1308" s="8">
        <f>[1]Data!G1308</f>
        <v>0</v>
      </c>
      <c r="H1308" s="8">
        <f>[1]Data!H1308</f>
        <v>1</v>
      </c>
      <c r="I1308" s="8">
        <f>[1]Data!I1308</f>
        <v>17.16</v>
      </c>
      <c r="J1308" s="8">
        <f>[1]Data!J1308</f>
        <v>13.341394530000001</v>
      </c>
      <c r="K1308" s="8">
        <f>[1]Data!K1308</f>
        <v>16.341394529999999</v>
      </c>
      <c r="L1308" s="8">
        <f>[1]Data!L1308</f>
        <v>0.81848761443447005</v>
      </c>
      <c r="M1308" s="8">
        <f>[1]Data!M1308</f>
        <v>17.159882144434501</v>
      </c>
      <c r="N1308" s="8">
        <f>[1]Data!N1308</f>
        <v>0.17910447761194001</v>
      </c>
      <c r="O1308" s="8">
        <f>[1]Data!O1308</f>
        <v>0</v>
      </c>
      <c r="P1308" s="8">
        <f>[1]Data!P1308</f>
        <v>0.134328358208955</v>
      </c>
      <c r="Q1308" s="8">
        <f>[1]Data!Q1308</f>
        <v>1</v>
      </c>
      <c r="R1308" s="8">
        <f>[1]Data!R1308</f>
        <v>0.76470588235294101</v>
      </c>
      <c r="S1308" s="8">
        <f>[1]Data!S1308</f>
        <v>1.3076923076923099</v>
      </c>
      <c r="T1308">
        <f t="shared" si="100"/>
        <v>0.80684811237927989</v>
      </c>
      <c r="U1308">
        <f t="shared" si="101"/>
        <v>1.2393906420021765</v>
      </c>
      <c r="V1308" s="4" t="str">
        <f t="shared" si="102"/>
        <v>3</v>
      </c>
      <c r="W1308" s="4" t="str">
        <f t="shared" si="103"/>
        <v>2</v>
      </c>
      <c r="X1308" s="4" t="str">
        <f t="shared" si="104"/>
        <v>3CVCTE2</v>
      </c>
      <c r="Y1308">
        <f>VLOOKUP(X1308,Sheet1!$J$5:$K$121,2,FALSE)</f>
        <v>0.76470588235294101</v>
      </c>
    </row>
    <row r="1309" spans="1:25" x14ac:dyDescent="0.25">
      <c r="A1309" s="8">
        <f>[1]Data!A1309</f>
        <v>135114</v>
      </c>
      <c r="B1309" s="8">
        <f>[1]Data!B1309</f>
        <v>2</v>
      </c>
      <c r="C1309" s="8">
        <f>[1]Data!C1309</f>
        <v>3</v>
      </c>
      <c r="D1309" s="8">
        <f>[1]Data!D1309</f>
        <v>3</v>
      </c>
      <c r="E1309" s="8" t="str">
        <f>[1]Data!E1309</f>
        <v>CVCTE</v>
      </c>
      <c r="F1309" s="8" t="str">
        <f>[1]Data!F1309</f>
        <v>Woodland Hills</v>
      </c>
      <c r="G1309" s="8">
        <f>[1]Data!G1309</f>
        <v>1</v>
      </c>
      <c r="H1309" s="8">
        <f>[1]Data!H1309</f>
        <v>1</v>
      </c>
      <c r="I1309" s="8">
        <f>[1]Data!I1309</f>
        <v>12.4</v>
      </c>
      <c r="J1309" s="8">
        <f>[1]Data!J1309</f>
        <v>11.82337824</v>
      </c>
      <c r="K1309" s="8">
        <f>[1]Data!K1309</f>
        <v>11.82337824</v>
      </c>
      <c r="L1309" s="8">
        <f>[1]Data!L1309</f>
        <v>0.576488328994614</v>
      </c>
      <c r="M1309" s="8">
        <f>[1]Data!M1309</f>
        <v>12.3998665689946</v>
      </c>
      <c r="N1309" s="8">
        <f>[1]Data!N1309</f>
        <v>0.17910447761194001</v>
      </c>
      <c r="O1309" s="8">
        <f>[1]Data!O1309</f>
        <v>5.5833333333333304</v>
      </c>
      <c r="P1309" s="8">
        <f>[1]Data!P1309</f>
        <v>0.134328358208955</v>
      </c>
      <c r="Q1309" s="8">
        <f>[1]Data!Q1309</f>
        <v>1</v>
      </c>
      <c r="R1309" s="8">
        <f>[1]Data!R1309</f>
        <v>0</v>
      </c>
      <c r="S1309" s="8">
        <f>[1]Data!S1309</f>
        <v>0</v>
      </c>
      <c r="T1309">
        <f t="shared" si="100"/>
        <v>0.80684811237927989</v>
      </c>
      <c r="U1309">
        <f t="shared" si="101"/>
        <v>1.2393906420021765</v>
      </c>
      <c r="V1309" s="4" t="str">
        <f t="shared" si="102"/>
        <v>3</v>
      </c>
      <c r="W1309" s="4" t="str">
        <f t="shared" si="103"/>
        <v>2</v>
      </c>
      <c r="X1309" s="4" t="str">
        <f t="shared" si="104"/>
        <v>3CVCTE2</v>
      </c>
      <c r="Y1309">
        <f>VLOOKUP(X1309,Sheet1!$J$5:$K$121,2,FALSE)</f>
        <v>0.76470588235294101</v>
      </c>
    </row>
    <row r="1310" spans="1:25" x14ac:dyDescent="0.25">
      <c r="A1310" s="8">
        <f>[1]Data!A1310</f>
        <v>134201</v>
      </c>
      <c r="B1310" s="8">
        <f>[1]Data!B1310</f>
        <v>2</v>
      </c>
      <c r="C1310" s="8">
        <f>[1]Data!C1310</f>
        <v>3</v>
      </c>
      <c r="D1310" s="8">
        <f>[1]Data!D1310</f>
        <v>3</v>
      </c>
      <c r="E1310" s="8" t="str">
        <f>[1]Data!E1310</f>
        <v>CVCTE</v>
      </c>
      <c r="F1310" s="8" t="str">
        <f>[1]Data!F1310</f>
        <v>Canoga Park</v>
      </c>
      <c r="G1310" s="8">
        <f>[1]Data!G1310</f>
        <v>0</v>
      </c>
      <c r="H1310" s="8">
        <f>[1]Data!H1310</f>
        <v>0</v>
      </c>
      <c r="I1310" s="8">
        <f>[1]Data!I1310</f>
        <v>21.896000000000001</v>
      </c>
      <c r="J1310" s="8">
        <f>[1]Data!J1310</f>
        <v>20.818426299999999</v>
      </c>
      <c r="K1310" s="8">
        <f>[1]Data!K1310</f>
        <v>20.818426299999999</v>
      </c>
      <c r="L1310" s="8">
        <f>[1]Data!L1310</f>
        <v>1.07815025082585</v>
      </c>
      <c r="M1310" s="8">
        <f>[1]Data!M1310</f>
        <v>21.896576550825898</v>
      </c>
      <c r="N1310" s="8">
        <f>[1]Data!N1310</f>
        <v>0.17910447761194001</v>
      </c>
      <c r="O1310" s="8">
        <f>[1]Data!O1310</f>
        <v>0</v>
      </c>
      <c r="P1310" s="8">
        <f>[1]Data!P1310</f>
        <v>0.134328358208955</v>
      </c>
      <c r="Q1310" s="8">
        <f>[1]Data!Q1310</f>
        <v>1</v>
      </c>
      <c r="R1310" s="8">
        <f>[1]Data!R1310</f>
        <v>0.76470588235294101</v>
      </c>
      <c r="S1310" s="8">
        <f>[1]Data!S1310</f>
        <v>0</v>
      </c>
      <c r="T1310">
        <f t="shared" si="100"/>
        <v>0.80684811237927989</v>
      </c>
      <c r="U1310">
        <f t="shared" si="101"/>
        <v>0</v>
      </c>
      <c r="V1310" s="4" t="str">
        <f t="shared" si="102"/>
        <v>3</v>
      </c>
      <c r="W1310" s="4" t="str">
        <f t="shared" si="103"/>
        <v>2</v>
      </c>
      <c r="X1310" s="4" t="str">
        <f t="shared" si="104"/>
        <v>3CVCTE2</v>
      </c>
      <c r="Y1310">
        <f>VLOOKUP(X1310,Sheet1!$J$5:$K$121,2,FALSE)</f>
        <v>0.76470588235294101</v>
      </c>
    </row>
    <row r="1311" spans="1:25" x14ac:dyDescent="0.25">
      <c r="A1311" s="8">
        <f>[1]Data!A1311</f>
        <v>131800</v>
      </c>
      <c r="B1311" s="8">
        <f>[1]Data!B1311</f>
        <v>2</v>
      </c>
      <c r="C1311" s="8">
        <f>[1]Data!C1311</f>
        <v>3</v>
      </c>
      <c r="D1311" s="8">
        <f>[1]Data!D1311</f>
        <v>3</v>
      </c>
      <c r="E1311" s="8" t="str">
        <f>[1]Data!E1311</f>
        <v>CVCTE</v>
      </c>
      <c r="F1311" s="8" t="str">
        <f>[1]Data!F1311</f>
        <v>Reseda</v>
      </c>
      <c r="G1311" s="8">
        <f>[1]Data!G1311</f>
        <v>0</v>
      </c>
      <c r="H1311" s="8">
        <f>[1]Data!H1311</f>
        <v>1</v>
      </c>
      <c r="I1311" s="8">
        <f>[1]Data!I1311</f>
        <v>18.923999999999999</v>
      </c>
      <c r="J1311" s="8">
        <f>[1]Data!J1311</f>
        <v>16.483907550000001</v>
      </c>
      <c r="K1311" s="8">
        <f>[1]Data!K1311</f>
        <v>18.483907550000001</v>
      </c>
      <c r="L1311" s="8">
        <f>[1]Data!L1311</f>
        <v>0.44012235233393199</v>
      </c>
      <c r="M1311" s="8">
        <f>[1]Data!M1311</f>
        <v>18.924029902333899</v>
      </c>
      <c r="N1311" s="8">
        <f>[1]Data!N1311</f>
        <v>0.17910447761194001</v>
      </c>
      <c r="O1311" s="8">
        <f>[1]Data!O1311</f>
        <v>0</v>
      </c>
      <c r="P1311" s="8">
        <f>[1]Data!P1311</f>
        <v>0.134328358208955</v>
      </c>
      <c r="Q1311" s="8">
        <f>[1]Data!Q1311</f>
        <v>1</v>
      </c>
      <c r="R1311" s="8">
        <f>[1]Data!R1311</f>
        <v>0.76470588235294101</v>
      </c>
      <c r="S1311" s="8">
        <f>[1]Data!S1311</f>
        <v>1.3076923076923099</v>
      </c>
      <c r="T1311">
        <f t="shared" si="100"/>
        <v>0.80684811237927989</v>
      </c>
      <c r="U1311">
        <f t="shared" si="101"/>
        <v>1.2393906420021765</v>
      </c>
      <c r="V1311" s="4" t="str">
        <f t="shared" si="102"/>
        <v>3</v>
      </c>
      <c r="W1311" s="4" t="str">
        <f t="shared" si="103"/>
        <v>2</v>
      </c>
      <c r="X1311" s="4" t="str">
        <f t="shared" si="104"/>
        <v>3CVCTE2</v>
      </c>
      <c r="Y1311">
        <f>VLOOKUP(X1311,Sheet1!$J$5:$K$121,2,FALSE)</f>
        <v>0.76470588235294101</v>
      </c>
    </row>
    <row r="1312" spans="1:25" x14ac:dyDescent="0.25">
      <c r="A1312" s="8">
        <f>[1]Data!A1312</f>
        <v>113421</v>
      </c>
      <c r="B1312" s="8">
        <f>[1]Data!B1312</f>
        <v>2</v>
      </c>
      <c r="C1312" s="8">
        <f>[1]Data!C1312</f>
        <v>3</v>
      </c>
      <c r="D1312" s="8">
        <f>[1]Data!D1312</f>
        <v>3</v>
      </c>
      <c r="E1312" s="8" t="str">
        <f>[1]Data!E1312</f>
        <v>CVCTE</v>
      </c>
      <c r="F1312" s="8" t="str">
        <f>[1]Data!F1312</f>
        <v>Winnetka</v>
      </c>
      <c r="G1312" s="8">
        <f>[1]Data!G1312</f>
        <v>0</v>
      </c>
      <c r="H1312" s="8">
        <f>[1]Data!H1312</f>
        <v>1</v>
      </c>
      <c r="I1312" s="8">
        <f>[1]Data!I1312</f>
        <v>35.109000000000002</v>
      </c>
      <c r="J1312" s="8">
        <f>[1]Data!J1312</f>
        <v>33.178391130000001</v>
      </c>
      <c r="K1312" s="8">
        <f>[1]Data!K1312</f>
        <v>33.178391130000001</v>
      </c>
      <c r="L1312" s="8">
        <f>[1]Data!L1312</f>
        <v>1.93021362825853</v>
      </c>
      <c r="M1312" s="8">
        <f>[1]Data!M1312</f>
        <v>35.108604758258501</v>
      </c>
      <c r="N1312" s="8">
        <f>[1]Data!N1312</f>
        <v>0.17910447761194001</v>
      </c>
      <c r="O1312" s="8">
        <f>[1]Data!O1312</f>
        <v>0</v>
      </c>
      <c r="P1312" s="8">
        <f>[1]Data!P1312</f>
        <v>0.134328358208955</v>
      </c>
      <c r="Q1312" s="8">
        <f>[1]Data!Q1312</f>
        <v>1</v>
      </c>
      <c r="R1312" s="8">
        <f>[1]Data!R1312</f>
        <v>0.76470588235294101</v>
      </c>
      <c r="S1312" s="8">
        <f>[1]Data!S1312</f>
        <v>1.3076923076923099</v>
      </c>
      <c r="T1312">
        <f t="shared" si="100"/>
        <v>0.80684811237927989</v>
      </c>
      <c r="U1312">
        <f t="shared" si="101"/>
        <v>1.2393906420021765</v>
      </c>
      <c r="V1312" s="4" t="str">
        <f t="shared" si="102"/>
        <v>3</v>
      </c>
      <c r="W1312" s="4" t="str">
        <f t="shared" si="103"/>
        <v>2</v>
      </c>
      <c r="X1312" s="4" t="str">
        <f t="shared" si="104"/>
        <v>3CVCTE2</v>
      </c>
      <c r="Y1312">
        <f>VLOOKUP(X1312,Sheet1!$J$5:$K$121,2,FALSE)</f>
        <v>0.76470588235294101</v>
      </c>
    </row>
    <row r="1313" spans="1:25" x14ac:dyDescent="0.25">
      <c r="A1313" s="8">
        <f>[1]Data!A1313</f>
        <v>134800</v>
      </c>
      <c r="B1313" s="8">
        <f>[1]Data!B1313</f>
        <v>2</v>
      </c>
      <c r="C1313" s="8">
        <f>[1]Data!C1313</f>
        <v>3</v>
      </c>
      <c r="D1313" s="8">
        <f>[1]Data!D1313</f>
        <v>3</v>
      </c>
      <c r="E1313" s="8" t="str">
        <f>[1]Data!E1313</f>
        <v>CVCTE</v>
      </c>
      <c r="F1313" s="8" t="str">
        <f>[1]Data!F1313</f>
        <v>Winnetka</v>
      </c>
      <c r="G1313" s="8">
        <f>[1]Data!G1313</f>
        <v>0</v>
      </c>
      <c r="H1313" s="8">
        <f>[1]Data!H1313</f>
        <v>1</v>
      </c>
      <c r="I1313" s="8">
        <f>[1]Data!I1313</f>
        <v>3</v>
      </c>
      <c r="J1313" s="8">
        <f>[1]Data!J1313</f>
        <v>0</v>
      </c>
      <c r="K1313" s="8">
        <f>[1]Data!K1313</f>
        <v>3</v>
      </c>
      <c r="L1313" s="8">
        <f>[1]Data!L1313</f>
        <v>0</v>
      </c>
      <c r="M1313" s="8">
        <f>[1]Data!M1313</f>
        <v>3</v>
      </c>
      <c r="N1313" s="8">
        <f>[1]Data!N1313</f>
        <v>0.17910447761194001</v>
      </c>
      <c r="O1313" s="8">
        <f>[1]Data!O1313</f>
        <v>0</v>
      </c>
      <c r="P1313" s="8">
        <f>[1]Data!P1313</f>
        <v>0.134328358208955</v>
      </c>
      <c r="Q1313" s="8">
        <f>[1]Data!Q1313</f>
        <v>1</v>
      </c>
      <c r="R1313" s="8">
        <f>[1]Data!R1313</f>
        <v>0.76470588235294101</v>
      </c>
      <c r="S1313" s="8">
        <f>[1]Data!S1313</f>
        <v>1.3076923076923099</v>
      </c>
      <c r="T1313">
        <f t="shared" si="100"/>
        <v>0.80684811237927989</v>
      </c>
      <c r="U1313">
        <f t="shared" si="101"/>
        <v>1.2393906420021765</v>
      </c>
      <c r="V1313" s="4" t="str">
        <f t="shared" si="102"/>
        <v>3</v>
      </c>
      <c r="W1313" s="4" t="str">
        <f t="shared" si="103"/>
        <v>2</v>
      </c>
      <c r="X1313" s="4" t="str">
        <f t="shared" si="104"/>
        <v>3CVCTE2</v>
      </c>
      <c r="Y1313">
        <f>VLOOKUP(X1313,Sheet1!$J$5:$K$121,2,FALSE)</f>
        <v>0.76470588235294101</v>
      </c>
    </row>
    <row r="1314" spans="1:25" x14ac:dyDescent="0.25">
      <c r="A1314" s="8">
        <f>[1]Data!A1314</f>
        <v>131020</v>
      </c>
      <c r="B1314" s="8">
        <f>[1]Data!B1314</f>
        <v>2</v>
      </c>
      <c r="C1314" s="8">
        <f>[1]Data!C1314</f>
        <v>3</v>
      </c>
      <c r="D1314" s="8">
        <f>[1]Data!D1314</f>
        <v>3</v>
      </c>
      <c r="E1314" s="8" t="str">
        <f>[1]Data!E1314</f>
        <v>FAMILY</v>
      </c>
      <c r="F1314" s="8" t="str">
        <f>[1]Data!F1314</f>
        <v>Reseda</v>
      </c>
      <c r="G1314" s="8">
        <f>[1]Data!G1314</f>
        <v>1</v>
      </c>
      <c r="H1314" s="8">
        <f>[1]Data!H1314</f>
        <v>1</v>
      </c>
      <c r="I1314" s="8">
        <f>[1]Data!I1314</f>
        <v>9.6839999999999993</v>
      </c>
      <c r="J1314" s="8">
        <f>[1]Data!J1314</f>
        <v>9.1234277200000005</v>
      </c>
      <c r="K1314" s="8">
        <f>[1]Data!K1314</f>
        <v>9.1234277200000005</v>
      </c>
      <c r="L1314" s="8">
        <f>[1]Data!L1314</f>
        <v>0.55995532057450603</v>
      </c>
      <c r="M1314" s="8">
        <f>[1]Data!M1314</f>
        <v>9.68338304057451</v>
      </c>
      <c r="N1314" s="8">
        <f>[1]Data!N1314</f>
        <v>1</v>
      </c>
      <c r="O1314" s="8">
        <f>[1]Data!O1314</f>
        <v>1</v>
      </c>
      <c r="P1314" s="8">
        <f>[1]Data!P1314</f>
        <v>0</v>
      </c>
      <c r="Q1314" s="8">
        <f>[1]Data!Q1314</f>
        <v>0</v>
      </c>
      <c r="R1314" s="8">
        <f>[1]Data!R1314</f>
        <v>0</v>
      </c>
      <c r="S1314" s="8">
        <f>[1]Data!S1314</f>
        <v>0</v>
      </c>
      <c r="T1314">
        <f t="shared" si="100"/>
        <v>1</v>
      </c>
      <c r="U1314">
        <f t="shared" si="101"/>
        <v>1</v>
      </c>
      <c r="V1314" s="4" t="str">
        <f t="shared" si="102"/>
        <v>3</v>
      </c>
      <c r="W1314" s="4" t="str">
        <f t="shared" si="103"/>
        <v>2</v>
      </c>
      <c r="X1314" s="4" t="str">
        <f t="shared" si="104"/>
        <v>3FAMILY2</v>
      </c>
      <c r="Y1314">
        <f>VLOOKUP(X1314,Sheet1!$J$5:$K$121,2,FALSE)</f>
        <v>0</v>
      </c>
    </row>
    <row r="1315" spans="1:25" x14ac:dyDescent="0.25">
      <c r="A1315" s="8">
        <f>[1]Data!A1315</f>
        <v>137401</v>
      </c>
      <c r="B1315" s="8">
        <f>[1]Data!B1315</f>
        <v>2</v>
      </c>
      <c r="C1315" s="8">
        <f>[1]Data!C1315</f>
        <v>3</v>
      </c>
      <c r="D1315" s="8">
        <f>[1]Data!D1315</f>
        <v>3</v>
      </c>
      <c r="E1315" s="8" t="str">
        <f>[1]Data!E1315</f>
        <v>INDIV</v>
      </c>
      <c r="F1315" s="8" t="str">
        <f>[1]Data!F1315</f>
        <v>Woodland Hills</v>
      </c>
      <c r="G1315" s="8">
        <f>[1]Data!G1315</f>
        <v>0</v>
      </c>
      <c r="H1315" s="8">
        <f>[1]Data!H1315</f>
        <v>0</v>
      </c>
      <c r="I1315" s="8">
        <f>[1]Data!I1315</f>
        <v>2.5910000000000002</v>
      </c>
      <c r="J1315" s="8">
        <f>[1]Data!J1315</f>
        <v>1.43919657</v>
      </c>
      <c r="K1315" s="8">
        <f>[1]Data!K1315</f>
        <v>2.43919657</v>
      </c>
      <c r="L1315" s="8">
        <f>[1]Data!L1315</f>
        <v>0.15145200614003601</v>
      </c>
      <c r="M1315" s="8">
        <f>[1]Data!M1315</f>
        <v>2.59064857614004</v>
      </c>
      <c r="N1315" s="8">
        <f>[1]Data!N1315</f>
        <v>4.8387096774193498E-2</v>
      </c>
      <c r="O1315" s="8">
        <f>[1]Data!O1315</f>
        <v>0</v>
      </c>
      <c r="P1315" s="8">
        <f>[1]Data!P1315</f>
        <v>9.6774193548387094E-2</v>
      </c>
      <c r="Q1315" s="8">
        <f>[1]Data!Q1315</f>
        <v>1</v>
      </c>
      <c r="R1315" s="8">
        <f>[1]Data!R1315</f>
        <v>0.2</v>
      </c>
      <c r="S1315" s="8">
        <f>[1]Data!S1315</f>
        <v>0</v>
      </c>
      <c r="T1315">
        <f t="shared" si="100"/>
        <v>0.23870967741935481</v>
      </c>
      <c r="U1315">
        <f t="shared" si="101"/>
        <v>0</v>
      </c>
      <c r="V1315" s="4" t="str">
        <f t="shared" si="102"/>
        <v>3</v>
      </c>
      <c r="W1315" s="4" t="str">
        <f t="shared" si="103"/>
        <v>2</v>
      </c>
      <c r="X1315" s="4" t="str">
        <f t="shared" si="104"/>
        <v>3INDIV2</v>
      </c>
      <c r="Y1315">
        <f>VLOOKUP(X1315,Sheet1!$J$5:$K$121,2,FALSE)</f>
        <v>0.2</v>
      </c>
    </row>
    <row r="1316" spans="1:25" x14ac:dyDescent="0.25">
      <c r="A1316" s="8">
        <f>[1]Data!A1316</f>
        <v>139402</v>
      </c>
      <c r="B1316" s="8">
        <f>[1]Data!B1316</f>
        <v>2</v>
      </c>
      <c r="C1316" s="8">
        <f>[1]Data!C1316</f>
        <v>3</v>
      </c>
      <c r="D1316" s="8">
        <f>[1]Data!D1316</f>
        <v>3</v>
      </c>
      <c r="E1316" s="8" t="str">
        <f>[1]Data!E1316</f>
        <v>INDIV</v>
      </c>
      <c r="F1316" s="8" t="str">
        <f>[1]Data!F1316</f>
        <v>Tarzana</v>
      </c>
      <c r="G1316" s="8">
        <f>[1]Data!G1316</f>
        <v>0</v>
      </c>
      <c r="H1316" s="8">
        <f>[1]Data!H1316</f>
        <v>1</v>
      </c>
      <c r="I1316" s="8">
        <f>[1]Data!I1316</f>
        <v>17.925999999999998</v>
      </c>
      <c r="J1316" s="8">
        <f>[1]Data!J1316</f>
        <v>1.90487994</v>
      </c>
      <c r="K1316" s="8">
        <f>[1]Data!K1316</f>
        <v>17.904879940000001</v>
      </c>
      <c r="L1316" s="8">
        <f>[1]Data!L1316</f>
        <v>2.0625322082585301E-2</v>
      </c>
      <c r="M1316" s="8">
        <f>[1]Data!M1316</f>
        <v>17.925505262082599</v>
      </c>
      <c r="N1316" s="8">
        <f>[1]Data!N1316</f>
        <v>4.8387096774193498E-2</v>
      </c>
      <c r="O1316" s="8">
        <f>[1]Data!O1316</f>
        <v>0</v>
      </c>
      <c r="P1316" s="8">
        <f>[1]Data!P1316</f>
        <v>9.6774193548387094E-2</v>
      </c>
      <c r="Q1316" s="8">
        <f>[1]Data!Q1316</f>
        <v>1</v>
      </c>
      <c r="R1316" s="8">
        <f>[1]Data!R1316</f>
        <v>0.2</v>
      </c>
      <c r="S1316" s="8">
        <f>[1]Data!S1316</f>
        <v>5</v>
      </c>
      <c r="T1316">
        <f t="shared" si="100"/>
        <v>0.23870967741935481</v>
      </c>
      <c r="U1316">
        <f t="shared" si="101"/>
        <v>4.1891891891891895</v>
      </c>
      <c r="V1316" s="4" t="str">
        <f t="shared" si="102"/>
        <v>3</v>
      </c>
      <c r="W1316" s="4" t="str">
        <f t="shared" si="103"/>
        <v>2</v>
      </c>
      <c r="X1316" s="4" t="str">
        <f t="shared" si="104"/>
        <v>3INDIV2</v>
      </c>
      <c r="Y1316">
        <f>VLOOKUP(X1316,Sheet1!$J$5:$K$121,2,FALSE)</f>
        <v>0.2</v>
      </c>
    </row>
    <row r="1317" spans="1:25" x14ac:dyDescent="0.25">
      <c r="A1317" s="8">
        <f>[1]Data!A1317</f>
        <v>137402</v>
      </c>
      <c r="B1317" s="8">
        <f>[1]Data!B1317</f>
        <v>2</v>
      </c>
      <c r="C1317" s="8">
        <f>[1]Data!C1317</f>
        <v>3</v>
      </c>
      <c r="D1317" s="8">
        <f>[1]Data!D1317</f>
        <v>3</v>
      </c>
      <c r="E1317" s="8" t="str">
        <f>[1]Data!E1317</f>
        <v>INDIV</v>
      </c>
      <c r="F1317" s="8" t="str">
        <f>[1]Data!F1317</f>
        <v>Woodland Hills</v>
      </c>
      <c r="G1317" s="8">
        <f>[1]Data!G1317</f>
        <v>1</v>
      </c>
      <c r="H1317" s="8">
        <f>[1]Data!H1317</f>
        <v>1</v>
      </c>
      <c r="I1317" s="8">
        <f>[1]Data!I1317</f>
        <v>7.19</v>
      </c>
      <c r="J1317" s="8">
        <f>[1]Data!J1317</f>
        <v>3.9673993200000002</v>
      </c>
      <c r="K1317" s="8">
        <f>[1]Data!K1317</f>
        <v>6.9673993200000002</v>
      </c>
      <c r="L1317" s="8">
        <f>[1]Data!L1317</f>
        <v>0.22234520276481101</v>
      </c>
      <c r="M1317" s="8">
        <f>[1]Data!M1317</f>
        <v>7.1897445227648102</v>
      </c>
      <c r="N1317" s="8">
        <f>[1]Data!N1317</f>
        <v>4.8387096774193498E-2</v>
      </c>
      <c r="O1317" s="8">
        <f>[1]Data!O1317</f>
        <v>20.6666666666667</v>
      </c>
      <c r="P1317" s="8">
        <f>[1]Data!P1317</f>
        <v>9.6774193548387094E-2</v>
      </c>
      <c r="Q1317" s="8">
        <f>[1]Data!Q1317</f>
        <v>1</v>
      </c>
      <c r="R1317" s="8">
        <f>[1]Data!R1317</f>
        <v>0</v>
      </c>
      <c r="S1317" s="8">
        <f>[1]Data!S1317</f>
        <v>0</v>
      </c>
      <c r="T1317">
        <f t="shared" si="100"/>
        <v>0.23870967741935481</v>
      </c>
      <c r="U1317">
        <f t="shared" si="101"/>
        <v>4.1891891891891895</v>
      </c>
      <c r="V1317" s="4" t="str">
        <f t="shared" si="102"/>
        <v>3</v>
      </c>
      <c r="W1317" s="4" t="str">
        <f t="shared" si="103"/>
        <v>2</v>
      </c>
      <c r="X1317" s="4" t="str">
        <f t="shared" si="104"/>
        <v>3INDIV2</v>
      </c>
      <c r="Y1317">
        <f>VLOOKUP(X1317,Sheet1!$J$5:$K$121,2,FALSE)</f>
        <v>0.2</v>
      </c>
    </row>
    <row r="1318" spans="1:25" x14ac:dyDescent="0.25">
      <c r="A1318" s="8">
        <f>[1]Data!A1318</f>
        <v>134305</v>
      </c>
      <c r="B1318" s="8">
        <f>[1]Data!B1318</f>
        <v>2</v>
      </c>
      <c r="C1318" s="8">
        <f>[1]Data!C1318</f>
        <v>3</v>
      </c>
      <c r="D1318" s="8">
        <f>[1]Data!D1318</f>
        <v>3</v>
      </c>
      <c r="E1318" s="8" t="str">
        <f>[1]Data!E1318</f>
        <v>INDIV</v>
      </c>
      <c r="F1318" s="8" t="str">
        <f>[1]Data!F1318</f>
        <v>Canoga Park</v>
      </c>
      <c r="G1318" s="8">
        <f>[1]Data!G1318</f>
        <v>0</v>
      </c>
      <c r="H1318" s="8">
        <f>[1]Data!H1318</f>
        <v>0</v>
      </c>
      <c r="I1318" s="8">
        <f>[1]Data!I1318</f>
        <v>5.9260000000000002</v>
      </c>
      <c r="J1318" s="8">
        <f>[1]Data!J1318</f>
        <v>1.90487994</v>
      </c>
      <c r="K1318" s="8">
        <f>[1]Data!K1318</f>
        <v>5.9048799399999998</v>
      </c>
      <c r="L1318" s="8">
        <f>[1]Data!L1318</f>
        <v>2.0625322082585301E-2</v>
      </c>
      <c r="M1318" s="8">
        <f>[1]Data!M1318</f>
        <v>5.9255052620825897</v>
      </c>
      <c r="N1318" s="8">
        <f>[1]Data!N1318</f>
        <v>4.8387096774193498E-2</v>
      </c>
      <c r="O1318" s="8">
        <f>[1]Data!O1318</f>
        <v>0</v>
      </c>
      <c r="P1318" s="8">
        <f>[1]Data!P1318</f>
        <v>9.6774193548387094E-2</v>
      </c>
      <c r="Q1318" s="8">
        <f>[1]Data!Q1318</f>
        <v>1</v>
      </c>
      <c r="R1318" s="8">
        <f>[1]Data!R1318</f>
        <v>0.2</v>
      </c>
      <c r="S1318" s="8">
        <f>[1]Data!S1318</f>
        <v>0</v>
      </c>
      <c r="T1318">
        <f t="shared" si="100"/>
        <v>0.23870967741935481</v>
      </c>
      <c r="U1318">
        <f t="shared" si="101"/>
        <v>0</v>
      </c>
      <c r="V1318" s="4" t="str">
        <f t="shared" si="102"/>
        <v>3</v>
      </c>
      <c r="W1318" s="4" t="str">
        <f t="shared" si="103"/>
        <v>2</v>
      </c>
      <c r="X1318" s="4" t="str">
        <f t="shared" si="104"/>
        <v>3INDIV2</v>
      </c>
      <c r="Y1318">
        <f>VLOOKUP(X1318,Sheet1!$J$5:$K$121,2,FALSE)</f>
        <v>0.2</v>
      </c>
    </row>
    <row r="1319" spans="1:25" x14ac:dyDescent="0.25">
      <c r="A1319" s="8">
        <f>[1]Data!A1319</f>
        <v>137502</v>
      </c>
      <c r="B1319" s="8">
        <f>[1]Data!B1319</f>
        <v>2</v>
      </c>
      <c r="C1319" s="8">
        <f>[1]Data!C1319</f>
        <v>3</v>
      </c>
      <c r="D1319" s="8">
        <f>[1]Data!D1319</f>
        <v>3</v>
      </c>
      <c r="E1319" s="8" t="str">
        <f>[1]Data!E1319</f>
        <v>INDIV</v>
      </c>
      <c r="F1319" s="8" t="str">
        <f>[1]Data!F1319</f>
        <v>Woodland Hills</v>
      </c>
      <c r="G1319" s="8">
        <f>[1]Data!G1319</f>
        <v>0</v>
      </c>
      <c r="H1319" s="8">
        <f>[1]Data!H1319</f>
        <v>0</v>
      </c>
      <c r="I1319" s="8">
        <f>[1]Data!I1319</f>
        <v>10.811</v>
      </c>
      <c r="J1319" s="8">
        <f>[1]Data!J1319</f>
        <v>6.7251664800000004</v>
      </c>
      <c r="K1319" s="8">
        <f>[1]Data!K1319</f>
        <v>10.72516648</v>
      </c>
      <c r="L1319" s="8">
        <f>[1]Data!L1319</f>
        <v>8.5967727037702002E-2</v>
      </c>
      <c r="M1319" s="8">
        <f>[1]Data!M1319</f>
        <v>10.8111342070377</v>
      </c>
      <c r="N1319" s="8">
        <f>[1]Data!N1319</f>
        <v>4.8387096774193498E-2</v>
      </c>
      <c r="O1319" s="8">
        <f>[1]Data!O1319</f>
        <v>0</v>
      </c>
      <c r="P1319" s="8">
        <f>[1]Data!P1319</f>
        <v>9.6774193548387094E-2</v>
      </c>
      <c r="Q1319" s="8">
        <f>[1]Data!Q1319</f>
        <v>1</v>
      </c>
      <c r="R1319" s="8">
        <f>[1]Data!R1319</f>
        <v>0.2</v>
      </c>
      <c r="S1319" s="8">
        <f>[1]Data!S1319</f>
        <v>0</v>
      </c>
      <c r="T1319">
        <f t="shared" si="100"/>
        <v>0.23870967741935481</v>
      </c>
      <c r="U1319">
        <f t="shared" si="101"/>
        <v>0</v>
      </c>
      <c r="V1319" s="4" t="str">
        <f t="shared" si="102"/>
        <v>3</v>
      </c>
      <c r="W1319" s="4" t="str">
        <f t="shared" si="103"/>
        <v>2</v>
      </c>
      <c r="X1319" s="4" t="str">
        <f t="shared" si="104"/>
        <v>3INDIV2</v>
      </c>
      <c r="Y1319">
        <f>VLOOKUP(X1319,Sheet1!$J$5:$K$121,2,FALSE)</f>
        <v>0.2</v>
      </c>
    </row>
    <row r="1320" spans="1:25" x14ac:dyDescent="0.25">
      <c r="A1320" s="8">
        <f>[1]Data!A1320</f>
        <v>139401</v>
      </c>
      <c r="B1320" s="8">
        <f>[1]Data!B1320</f>
        <v>2</v>
      </c>
      <c r="C1320" s="8">
        <f>[1]Data!C1320</f>
        <v>3</v>
      </c>
      <c r="D1320" s="8">
        <f>[1]Data!D1320</f>
        <v>3</v>
      </c>
      <c r="E1320" s="8" t="str">
        <f>[1]Data!E1320</f>
        <v>INDIV</v>
      </c>
      <c r="F1320" s="8" t="str">
        <f>[1]Data!F1320</f>
        <v>Tarzana</v>
      </c>
      <c r="G1320" s="8">
        <f>[1]Data!G1320</f>
        <v>0</v>
      </c>
      <c r="H1320" s="8">
        <f>[1]Data!H1320</f>
        <v>0</v>
      </c>
      <c r="I1320" s="8">
        <f>[1]Data!I1320</f>
        <v>13.797000000000001</v>
      </c>
      <c r="J1320" s="8">
        <f>[1]Data!J1320</f>
        <v>9.6032194200000003</v>
      </c>
      <c r="K1320" s="8">
        <f>[1]Data!K1320</f>
        <v>13.60321942</v>
      </c>
      <c r="L1320" s="8">
        <f>[1]Data!L1320</f>
        <v>0.19367388971274699</v>
      </c>
      <c r="M1320" s="8">
        <f>[1]Data!M1320</f>
        <v>13.796893309712701</v>
      </c>
      <c r="N1320" s="8">
        <f>[1]Data!N1320</f>
        <v>4.8387096774193498E-2</v>
      </c>
      <c r="O1320" s="8">
        <f>[1]Data!O1320</f>
        <v>0</v>
      </c>
      <c r="P1320" s="8">
        <f>[1]Data!P1320</f>
        <v>9.6774193548387094E-2</v>
      </c>
      <c r="Q1320" s="8">
        <f>[1]Data!Q1320</f>
        <v>1</v>
      </c>
      <c r="R1320" s="8">
        <f>[1]Data!R1320</f>
        <v>0.2</v>
      </c>
      <c r="S1320" s="8">
        <f>[1]Data!S1320</f>
        <v>0</v>
      </c>
      <c r="T1320">
        <f t="shared" si="100"/>
        <v>0.23870967741935481</v>
      </c>
      <c r="U1320">
        <f t="shared" si="101"/>
        <v>0</v>
      </c>
      <c r="V1320" s="4" t="str">
        <f t="shared" si="102"/>
        <v>3</v>
      </c>
      <c r="W1320" s="4" t="str">
        <f t="shared" si="103"/>
        <v>2</v>
      </c>
      <c r="X1320" s="4" t="str">
        <f t="shared" si="104"/>
        <v>3INDIV2</v>
      </c>
      <c r="Y1320">
        <f>VLOOKUP(X1320,Sheet1!$J$5:$K$121,2,FALSE)</f>
        <v>0.2</v>
      </c>
    </row>
    <row r="1321" spans="1:25" x14ac:dyDescent="0.25">
      <c r="A1321" s="8">
        <f>[1]Data!A1321</f>
        <v>137301</v>
      </c>
      <c r="B1321" s="8">
        <f>[1]Data!B1321</f>
        <v>2</v>
      </c>
      <c r="C1321" s="8">
        <f>[1]Data!C1321</f>
        <v>3</v>
      </c>
      <c r="D1321" s="8">
        <f>[1]Data!D1321</f>
        <v>3</v>
      </c>
      <c r="E1321" s="8" t="str">
        <f>[1]Data!E1321</f>
        <v>NON-HS</v>
      </c>
      <c r="F1321" s="8" t="str">
        <f>[1]Data!F1321</f>
        <v>Woodland Hills</v>
      </c>
      <c r="G1321" s="8">
        <f>[1]Data!G1321</f>
        <v>0</v>
      </c>
      <c r="H1321" s="8">
        <f>[1]Data!H1321</f>
        <v>0</v>
      </c>
      <c r="I1321" s="8">
        <f>[1]Data!I1321</f>
        <v>1</v>
      </c>
      <c r="J1321" s="8">
        <f>[1]Data!J1321</f>
        <v>0</v>
      </c>
      <c r="K1321" s="8">
        <f>[1]Data!K1321</f>
        <v>1</v>
      </c>
      <c r="L1321" s="8">
        <f>[1]Data!L1321</f>
        <v>0</v>
      </c>
      <c r="M1321" s="8">
        <f>[1]Data!M1321</f>
        <v>1</v>
      </c>
      <c r="N1321" s="8">
        <f>[1]Data!N1321</f>
        <v>2.2140221402214E-2</v>
      </c>
      <c r="O1321" s="8">
        <f>[1]Data!O1321</f>
        <v>0</v>
      </c>
      <c r="P1321" s="8">
        <f>[1]Data!P1321</f>
        <v>0.12915129151291499</v>
      </c>
      <c r="Q1321" s="8">
        <f>[1]Data!Q1321</f>
        <v>1</v>
      </c>
      <c r="R1321" s="8">
        <f>[1]Data!R1321</f>
        <v>0.25714285714285701</v>
      </c>
      <c r="S1321" s="8">
        <f>[1]Data!S1321</f>
        <v>0</v>
      </c>
      <c r="T1321">
        <f t="shared" si="100"/>
        <v>0.27358987875593027</v>
      </c>
      <c r="U1321">
        <f t="shared" si="101"/>
        <v>0</v>
      </c>
      <c r="V1321" s="4" t="str">
        <f t="shared" si="102"/>
        <v>3</v>
      </c>
      <c r="W1321" s="4" t="str">
        <f t="shared" si="103"/>
        <v>2</v>
      </c>
      <c r="X1321" s="4" t="str">
        <f t="shared" si="104"/>
        <v>3NON-HS2</v>
      </c>
      <c r="Y1321">
        <f>VLOOKUP(X1321,Sheet1!$J$5:$K$121,2,FALSE)</f>
        <v>0.25714285714285701</v>
      </c>
    </row>
    <row r="1322" spans="1:25" x14ac:dyDescent="0.25">
      <c r="A1322" s="8">
        <f>[1]Data!A1322</f>
        <v>134901</v>
      </c>
      <c r="B1322" s="8">
        <f>[1]Data!B1322</f>
        <v>2</v>
      </c>
      <c r="C1322" s="8">
        <f>[1]Data!C1322</f>
        <v>3</v>
      </c>
      <c r="D1322" s="8">
        <f>[1]Data!D1322</f>
        <v>3</v>
      </c>
      <c r="E1322" s="8" t="str">
        <f>[1]Data!E1322</f>
        <v>NON-HS</v>
      </c>
      <c r="F1322" s="8" t="str">
        <f>[1]Data!F1322</f>
        <v>Tarzana</v>
      </c>
      <c r="G1322" s="8">
        <f>[1]Data!G1322</f>
        <v>0</v>
      </c>
      <c r="H1322" s="8">
        <f>[1]Data!H1322</f>
        <v>1</v>
      </c>
      <c r="I1322" s="8">
        <f>[1]Data!I1322</f>
        <v>7.2850000000000001</v>
      </c>
      <c r="J1322" s="8">
        <f>[1]Data!J1322</f>
        <v>5.9510989800000003</v>
      </c>
      <c r="K1322" s="8">
        <f>[1]Data!K1322</f>
        <v>6.9510989800000003</v>
      </c>
      <c r="L1322" s="8">
        <f>[1]Data!L1322</f>
        <v>0.33351780414721699</v>
      </c>
      <c r="M1322" s="8">
        <f>[1]Data!M1322</f>
        <v>7.2846167841472198</v>
      </c>
      <c r="N1322" s="8">
        <f>[1]Data!N1322</f>
        <v>2.2140221402214E-2</v>
      </c>
      <c r="O1322" s="8">
        <f>[1]Data!O1322</f>
        <v>0</v>
      </c>
      <c r="P1322" s="8">
        <f>[1]Data!P1322</f>
        <v>0.12915129151291499</v>
      </c>
      <c r="Q1322" s="8">
        <f>[1]Data!Q1322</f>
        <v>1</v>
      </c>
      <c r="R1322" s="8">
        <f>[1]Data!R1322</f>
        <v>0.25714285714285701</v>
      </c>
      <c r="S1322" s="8">
        <f>[1]Data!S1322</f>
        <v>3.8888888888888902</v>
      </c>
      <c r="T1322">
        <f t="shared" si="100"/>
        <v>0.27358987875593027</v>
      </c>
      <c r="U1322">
        <f t="shared" si="101"/>
        <v>3.6551059730250501</v>
      </c>
      <c r="V1322" s="4" t="str">
        <f t="shared" si="102"/>
        <v>3</v>
      </c>
      <c r="W1322" s="4" t="str">
        <f t="shared" si="103"/>
        <v>2</v>
      </c>
      <c r="X1322" s="4" t="str">
        <f t="shared" si="104"/>
        <v>3NON-HS2</v>
      </c>
      <c r="Y1322">
        <f>VLOOKUP(X1322,Sheet1!$J$5:$K$121,2,FALSE)</f>
        <v>0.25714285714285701</v>
      </c>
    </row>
    <row r="1323" spans="1:25" x14ac:dyDescent="0.25">
      <c r="A1323" s="8">
        <f>[1]Data!A1323</f>
        <v>137103</v>
      </c>
      <c r="B1323" s="8">
        <f>[1]Data!B1323</f>
        <v>2</v>
      </c>
      <c r="C1323" s="8">
        <f>[1]Data!C1323</f>
        <v>3</v>
      </c>
      <c r="D1323" s="8">
        <f>[1]Data!D1323</f>
        <v>3</v>
      </c>
      <c r="E1323" s="8" t="str">
        <f>[1]Data!E1323</f>
        <v>NON-HS</v>
      </c>
      <c r="F1323" s="8" t="str">
        <f>[1]Data!F1323</f>
        <v>Woodland Hills</v>
      </c>
      <c r="G1323" s="8">
        <f>[1]Data!G1323</f>
        <v>0</v>
      </c>
      <c r="H1323" s="8">
        <f>[1]Data!H1323</f>
        <v>0</v>
      </c>
      <c r="I1323" s="8">
        <f>[1]Data!I1323</f>
        <v>4.5170000000000003</v>
      </c>
      <c r="J1323" s="8">
        <f>[1]Data!J1323</f>
        <v>3.3440765099999998</v>
      </c>
      <c r="K1323" s="8">
        <f>[1]Data!K1323</f>
        <v>4.3440765099999998</v>
      </c>
      <c r="L1323" s="8">
        <f>[1]Data!L1323</f>
        <v>0.17207732822262101</v>
      </c>
      <c r="M1323" s="8">
        <f>[1]Data!M1323</f>
        <v>4.5161538382226203</v>
      </c>
      <c r="N1323" s="8">
        <f>[1]Data!N1323</f>
        <v>2.2140221402214E-2</v>
      </c>
      <c r="O1323" s="8">
        <f>[1]Data!O1323</f>
        <v>0</v>
      </c>
      <c r="P1323" s="8">
        <f>[1]Data!P1323</f>
        <v>0.12915129151291499</v>
      </c>
      <c r="Q1323" s="8">
        <f>[1]Data!Q1323</f>
        <v>1</v>
      </c>
      <c r="R1323" s="8">
        <f>[1]Data!R1323</f>
        <v>0.25714285714285701</v>
      </c>
      <c r="S1323" s="8">
        <f>[1]Data!S1323</f>
        <v>0</v>
      </c>
      <c r="T1323">
        <f t="shared" si="100"/>
        <v>0.27358987875593027</v>
      </c>
      <c r="U1323">
        <f t="shared" si="101"/>
        <v>0</v>
      </c>
      <c r="V1323" s="4" t="str">
        <f t="shared" si="102"/>
        <v>3</v>
      </c>
      <c r="W1323" s="4" t="str">
        <f t="shared" si="103"/>
        <v>2</v>
      </c>
      <c r="X1323" s="4" t="str">
        <f t="shared" si="104"/>
        <v>3NON-HS2</v>
      </c>
      <c r="Y1323">
        <f>VLOOKUP(X1323,Sheet1!$J$5:$K$121,2,FALSE)</f>
        <v>0.25714285714285701</v>
      </c>
    </row>
    <row r="1324" spans="1:25" x14ac:dyDescent="0.25">
      <c r="A1324" s="8">
        <f>[1]Data!A1324</f>
        <v>134001</v>
      </c>
      <c r="B1324" s="8">
        <f>[1]Data!B1324</f>
        <v>2</v>
      </c>
      <c r="C1324" s="8">
        <f>[1]Data!C1324</f>
        <v>3</v>
      </c>
      <c r="D1324" s="8">
        <f>[1]Data!D1324</f>
        <v>3</v>
      </c>
      <c r="E1324" s="8" t="str">
        <f>[1]Data!E1324</f>
        <v>NON-HS</v>
      </c>
      <c r="F1324" s="8" t="str">
        <f>[1]Data!F1324</f>
        <v>Winnetka</v>
      </c>
      <c r="G1324" s="8">
        <f>[1]Data!G1324</f>
        <v>0</v>
      </c>
      <c r="H1324" s="8">
        <f>[1]Data!H1324</f>
        <v>0</v>
      </c>
      <c r="I1324" s="8">
        <f>[1]Data!I1324</f>
        <v>6.7809999999999997</v>
      </c>
      <c r="J1324" s="8">
        <f>[1]Data!J1324</f>
        <v>5.4065958900000002</v>
      </c>
      <c r="K1324" s="8">
        <f>[1]Data!K1324</f>
        <v>6.4065958900000002</v>
      </c>
      <c r="L1324" s="8">
        <f>[1]Data!L1324</f>
        <v>0.37379720890484702</v>
      </c>
      <c r="M1324" s="8">
        <f>[1]Data!M1324</f>
        <v>6.7803930989048498</v>
      </c>
      <c r="N1324" s="8">
        <f>[1]Data!N1324</f>
        <v>2.2140221402214E-2</v>
      </c>
      <c r="O1324" s="8">
        <f>[1]Data!O1324</f>
        <v>0</v>
      </c>
      <c r="P1324" s="8">
        <f>[1]Data!P1324</f>
        <v>0.12915129151291499</v>
      </c>
      <c r="Q1324" s="8">
        <f>[1]Data!Q1324</f>
        <v>1</v>
      </c>
      <c r="R1324" s="8">
        <f>[1]Data!R1324</f>
        <v>0.25714285714285701</v>
      </c>
      <c r="S1324" s="8">
        <f>[1]Data!S1324</f>
        <v>0</v>
      </c>
      <c r="T1324">
        <f t="shared" si="100"/>
        <v>0.27358987875593027</v>
      </c>
      <c r="U1324">
        <f t="shared" si="101"/>
        <v>0</v>
      </c>
      <c r="V1324" s="4" t="str">
        <f t="shared" si="102"/>
        <v>3</v>
      </c>
      <c r="W1324" s="4" t="str">
        <f t="shared" si="103"/>
        <v>2</v>
      </c>
      <c r="X1324" s="4" t="str">
        <f t="shared" si="104"/>
        <v>3NON-HS2</v>
      </c>
      <c r="Y1324">
        <f>VLOOKUP(X1324,Sheet1!$J$5:$K$121,2,FALSE)</f>
        <v>0.25714285714285701</v>
      </c>
    </row>
    <row r="1325" spans="1:25" x14ac:dyDescent="0.25">
      <c r="A1325" s="8">
        <f>[1]Data!A1325</f>
        <v>113422</v>
      </c>
      <c r="B1325" s="8">
        <f>[1]Data!B1325</f>
        <v>2</v>
      </c>
      <c r="C1325" s="8">
        <f>[1]Data!C1325</f>
        <v>3</v>
      </c>
      <c r="D1325" s="8">
        <f>[1]Data!D1325</f>
        <v>3</v>
      </c>
      <c r="E1325" s="8" t="str">
        <f>[1]Data!E1325</f>
        <v>NON-HS</v>
      </c>
      <c r="F1325" s="8" t="str">
        <f>[1]Data!F1325</f>
        <v>Winnetka</v>
      </c>
      <c r="G1325" s="8">
        <f>[1]Data!G1325</f>
        <v>0</v>
      </c>
      <c r="H1325" s="8">
        <f>[1]Data!H1325</f>
        <v>1</v>
      </c>
      <c r="I1325" s="8">
        <f>[1]Data!I1325</f>
        <v>0</v>
      </c>
      <c r="J1325" s="8">
        <f>[1]Data!J1325</f>
        <v>0</v>
      </c>
      <c r="K1325" s="8">
        <f>[1]Data!K1325</f>
        <v>0</v>
      </c>
      <c r="L1325" s="8">
        <f>[1]Data!L1325</f>
        <v>0</v>
      </c>
      <c r="M1325" s="8">
        <f>[1]Data!M1325</f>
        <v>0</v>
      </c>
      <c r="N1325" s="8">
        <f>[1]Data!N1325</f>
        <v>2.2140221402214E-2</v>
      </c>
      <c r="O1325" s="8">
        <f>[1]Data!O1325</f>
        <v>0</v>
      </c>
      <c r="P1325" s="8">
        <f>[1]Data!P1325</f>
        <v>0.12915129151291499</v>
      </c>
      <c r="Q1325" s="8">
        <f>[1]Data!Q1325</f>
        <v>1</v>
      </c>
      <c r="R1325" s="8">
        <f>[1]Data!R1325</f>
        <v>0.25714285714285701</v>
      </c>
      <c r="S1325" s="8">
        <f>[1]Data!S1325</f>
        <v>3.8888888888888902</v>
      </c>
      <c r="T1325">
        <f t="shared" si="100"/>
        <v>0.27358987875593027</v>
      </c>
      <c r="U1325">
        <f t="shared" si="101"/>
        <v>3.6551059730250501</v>
      </c>
      <c r="V1325" s="4" t="str">
        <f t="shared" si="102"/>
        <v>3</v>
      </c>
      <c r="W1325" s="4" t="str">
        <f t="shared" si="103"/>
        <v>2</v>
      </c>
      <c r="X1325" s="4" t="str">
        <f t="shared" si="104"/>
        <v>3NON-HS2</v>
      </c>
      <c r="Y1325">
        <f>VLOOKUP(X1325,Sheet1!$J$5:$K$121,2,FALSE)</f>
        <v>0.25714285714285701</v>
      </c>
    </row>
    <row r="1326" spans="1:25" x14ac:dyDescent="0.25">
      <c r="A1326" s="8">
        <f>[1]Data!A1326</f>
        <v>139303</v>
      </c>
      <c r="B1326" s="8">
        <f>[1]Data!B1326</f>
        <v>2</v>
      </c>
      <c r="C1326" s="8">
        <f>[1]Data!C1326</f>
        <v>3</v>
      </c>
      <c r="D1326" s="8">
        <f>[1]Data!D1326</f>
        <v>3</v>
      </c>
      <c r="E1326" s="8" t="str">
        <f>[1]Data!E1326</f>
        <v>NON-HS</v>
      </c>
      <c r="F1326" s="8" t="str">
        <f>[1]Data!F1326</f>
        <v>Tarzana</v>
      </c>
      <c r="G1326" s="8">
        <f>[1]Data!G1326</f>
        <v>0</v>
      </c>
      <c r="H1326" s="8">
        <f>[1]Data!H1326</f>
        <v>0</v>
      </c>
      <c r="I1326" s="8">
        <f>[1]Data!I1326</f>
        <v>1</v>
      </c>
      <c r="J1326" s="8">
        <f>[1]Data!J1326</f>
        <v>0</v>
      </c>
      <c r="K1326" s="8">
        <f>[1]Data!K1326</f>
        <v>1</v>
      </c>
      <c r="L1326" s="8">
        <f>[1]Data!L1326</f>
        <v>0</v>
      </c>
      <c r="M1326" s="8">
        <f>[1]Data!M1326</f>
        <v>1</v>
      </c>
      <c r="N1326" s="8">
        <f>[1]Data!N1326</f>
        <v>2.2140221402214E-2</v>
      </c>
      <c r="O1326" s="8">
        <f>[1]Data!O1326</f>
        <v>0</v>
      </c>
      <c r="P1326" s="8">
        <f>[1]Data!P1326</f>
        <v>0.12915129151291499</v>
      </c>
      <c r="Q1326" s="8">
        <f>[1]Data!Q1326</f>
        <v>1</v>
      </c>
      <c r="R1326" s="8">
        <f>[1]Data!R1326</f>
        <v>0.25714285714285701</v>
      </c>
      <c r="S1326" s="8">
        <f>[1]Data!S1326</f>
        <v>0</v>
      </c>
      <c r="T1326">
        <f t="shared" si="100"/>
        <v>0.27358987875593027</v>
      </c>
      <c r="U1326">
        <f t="shared" si="101"/>
        <v>0</v>
      </c>
      <c r="V1326" s="4" t="str">
        <f t="shared" si="102"/>
        <v>3</v>
      </c>
      <c r="W1326" s="4" t="str">
        <f t="shared" si="103"/>
        <v>2</v>
      </c>
      <c r="X1326" s="4" t="str">
        <f t="shared" si="104"/>
        <v>3NON-HS2</v>
      </c>
      <c r="Y1326">
        <f>VLOOKUP(X1326,Sheet1!$J$5:$K$121,2,FALSE)</f>
        <v>0.25714285714285701</v>
      </c>
    </row>
    <row r="1327" spans="1:25" x14ac:dyDescent="0.25">
      <c r="A1327" s="8">
        <f>[1]Data!A1327</f>
        <v>137302</v>
      </c>
      <c r="B1327" s="8">
        <f>[1]Data!B1327</f>
        <v>2</v>
      </c>
      <c r="C1327" s="8">
        <f>[1]Data!C1327</f>
        <v>3</v>
      </c>
      <c r="D1327" s="8">
        <f>[1]Data!D1327</f>
        <v>3</v>
      </c>
      <c r="E1327" s="8" t="str">
        <f>[1]Data!E1327</f>
        <v>NON-HS</v>
      </c>
      <c r="F1327" s="8" t="str">
        <f>[1]Data!F1327</f>
        <v>Woodland Hills</v>
      </c>
      <c r="G1327" s="8">
        <f>[1]Data!G1327</f>
        <v>0</v>
      </c>
      <c r="H1327" s="8">
        <f>[1]Data!H1327</f>
        <v>0</v>
      </c>
      <c r="I1327" s="8">
        <f>[1]Data!I1327</f>
        <v>6.2850000000000001</v>
      </c>
      <c r="J1327" s="8">
        <f>[1]Data!J1327</f>
        <v>5.9510989800000003</v>
      </c>
      <c r="K1327" s="8">
        <f>[1]Data!K1327</f>
        <v>5.9510989800000003</v>
      </c>
      <c r="L1327" s="8">
        <f>[1]Data!L1327</f>
        <v>0.33351780414721699</v>
      </c>
      <c r="M1327" s="8">
        <f>[1]Data!M1327</f>
        <v>6.2846167841472198</v>
      </c>
      <c r="N1327" s="8">
        <f>[1]Data!N1327</f>
        <v>2.2140221402214E-2</v>
      </c>
      <c r="O1327" s="8">
        <f>[1]Data!O1327</f>
        <v>0</v>
      </c>
      <c r="P1327" s="8">
        <f>[1]Data!P1327</f>
        <v>0.12915129151291499</v>
      </c>
      <c r="Q1327" s="8">
        <f>[1]Data!Q1327</f>
        <v>1</v>
      </c>
      <c r="R1327" s="8">
        <f>[1]Data!R1327</f>
        <v>0.25714285714285701</v>
      </c>
      <c r="S1327" s="8">
        <f>[1]Data!S1327</f>
        <v>0</v>
      </c>
      <c r="T1327">
        <f t="shared" si="100"/>
        <v>0.27358987875593027</v>
      </c>
      <c r="U1327">
        <f t="shared" si="101"/>
        <v>0</v>
      </c>
      <c r="V1327" s="4" t="str">
        <f t="shared" si="102"/>
        <v>3</v>
      </c>
      <c r="W1327" s="4" t="str">
        <f t="shared" si="103"/>
        <v>2</v>
      </c>
      <c r="X1327" s="4" t="str">
        <f t="shared" si="104"/>
        <v>3NON-HS2</v>
      </c>
      <c r="Y1327">
        <f>VLOOKUP(X1327,Sheet1!$J$5:$K$121,2,FALSE)</f>
        <v>0.25714285714285701</v>
      </c>
    </row>
    <row r="1328" spans="1:25" x14ac:dyDescent="0.25">
      <c r="A1328" s="8">
        <f>[1]Data!A1328</f>
        <v>134710</v>
      </c>
      <c r="B1328" s="8">
        <f>[1]Data!B1328</f>
        <v>2</v>
      </c>
      <c r="C1328" s="8">
        <f>[1]Data!C1328</f>
        <v>3</v>
      </c>
      <c r="D1328" s="8">
        <f>[1]Data!D1328</f>
        <v>3</v>
      </c>
      <c r="E1328" s="8" t="str">
        <f>[1]Data!E1328</f>
        <v>NON-HS</v>
      </c>
      <c r="F1328" s="8" t="str">
        <f>[1]Data!F1328</f>
        <v>Winnetka</v>
      </c>
      <c r="G1328" s="8">
        <f>[1]Data!G1328</f>
        <v>0</v>
      </c>
      <c r="H1328" s="8">
        <f>[1]Data!H1328</f>
        <v>0</v>
      </c>
      <c r="I1328" s="8">
        <f>[1]Data!I1328</f>
        <v>0</v>
      </c>
      <c r="J1328" s="8">
        <f>[1]Data!J1328</f>
        <v>0</v>
      </c>
      <c r="K1328" s="8">
        <f>[1]Data!K1328</f>
        <v>0</v>
      </c>
      <c r="L1328" s="8">
        <f>[1]Data!L1328</f>
        <v>0</v>
      </c>
      <c r="M1328" s="8">
        <f>[1]Data!M1328</f>
        <v>0</v>
      </c>
      <c r="N1328" s="8">
        <f>[1]Data!N1328</f>
        <v>2.2140221402214E-2</v>
      </c>
      <c r="O1328" s="8">
        <f>[1]Data!O1328</f>
        <v>0</v>
      </c>
      <c r="P1328" s="8">
        <f>[1]Data!P1328</f>
        <v>0.12915129151291499</v>
      </c>
      <c r="Q1328" s="8">
        <f>[1]Data!Q1328</f>
        <v>1</v>
      </c>
      <c r="R1328" s="8">
        <f>[1]Data!R1328</f>
        <v>0.25714285714285701</v>
      </c>
      <c r="S1328" s="8">
        <f>[1]Data!S1328</f>
        <v>0</v>
      </c>
      <c r="T1328">
        <f t="shared" si="100"/>
        <v>0.27358987875593027</v>
      </c>
      <c r="U1328">
        <f t="shared" si="101"/>
        <v>0</v>
      </c>
      <c r="V1328" s="4" t="str">
        <f t="shared" si="102"/>
        <v>3</v>
      </c>
      <c r="W1328" s="4" t="str">
        <f t="shared" si="103"/>
        <v>2</v>
      </c>
      <c r="X1328" s="4" t="str">
        <f t="shared" si="104"/>
        <v>3NON-HS2</v>
      </c>
      <c r="Y1328">
        <f>VLOOKUP(X1328,Sheet1!$J$5:$K$121,2,FALSE)</f>
        <v>0.25714285714285701</v>
      </c>
    </row>
    <row r="1329" spans="1:25" x14ac:dyDescent="0.25">
      <c r="A1329" s="8">
        <f>[1]Data!A1329</f>
        <v>930401</v>
      </c>
      <c r="B1329" s="8">
        <f>[1]Data!B1329</f>
        <v>2</v>
      </c>
      <c r="C1329" s="8">
        <f>[1]Data!C1329</f>
        <v>3</v>
      </c>
      <c r="D1329" s="8">
        <f>[1]Data!D1329</f>
        <v>3</v>
      </c>
      <c r="E1329" s="8" t="str">
        <f>[1]Data!E1329</f>
        <v>NON-HS</v>
      </c>
      <c r="F1329" s="8" t="str">
        <f>[1]Data!F1329</f>
        <v>Woodland Hills</v>
      </c>
      <c r="G1329" s="8">
        <f>[1]Data!G1329</f>
        <v>0</v>
      </c>
      <c r="H1329" s="8">
        <f>[1]Data!H1329</f>
        <v>0</v>
      </c>
      <c r="I1329" s="8">
        <f>[1]Data!I1329</f>
        <v>2</v>
      </c>
      <c r="J1329" s="8">
        <f>[1]Data!J1329</f>
        <v>0</v>
      </c>
      <c r="K1329" s="8">
        <f>[1]Data!K1329</f>
        <v>2</v>
      </c>
      <c r="L1329" s="8">
        <f>[1]Data!L1329</f>
        <v>0</v>
      </c>
      <c r="M1329" s="8">
        <f>[1]Data!M1329</f>
        <v>2</v>
      </c>
      <c r="N1329" s="8">
        <f>[1]Data!N1329</f>
        <v>2.2140221402214E-2</v>
      </c>
      <c r="O1329" s="8">
        <f>[1]Data!O1329</f>
        <v>0</v>
      </c>
      <c r="P1329" s="8">
        <f>[1]Data!P1329</f>
        <v>0.12915129151291499</v>
      </c>
      <c r="Q1329" s="8">
        <f>[1]Data!Q1329</f>
        <v>1</v>
      </c>
      <c r="R1329" s="8">
        <f>[1]Data!R1329</f>
        <v>0.25714285714285701</v>
      </c>
      <c r="S1329" s="8">
        <f>[1]Data!S1329</f>
        <v>0</v>
      </c>
      <c r="T1329">
        <f t="shared" si="100"/>
        <v>0.27358987875593027</v>
      </c>
      <c r="U1329">
        <f t="shared" si="101"/>
        <v>0</v>
      </c>
      <c r="V1329" s="4" t="str">
        <f t="shared" si="102"/>
        <v>3</v>
      </c>
      <c r="W1329" s="4" t="str">
        <f t="shared" si="103"/>
        <v>2</v>
      </c>
      <c r="X1329" s="4" t="str">
        <f t="shared" si="104"/>
        <v>3NON-HS2</v>
      </c>
      <c r="Y1329">
        <f>VLOOKUP(X1329,Sheet1!$J$5:$K$121,2,FALSE)</f>
        <v>0.25714285714285701</v>
      </c>
    </row>
    <row r="1330" spans="1:25" x14ac:dyDescent="0.25">
      <c r="A1330" s="8">
        <f>[1]Data!A1330</f>
        <v>139801</v>
      </c>
      <c r="B1330" s="8">
        <f>[1]Data!B1330</f>
        <v>2</v>
      </c>
      <c r="C1330" s="8">
        <f>[1]Data!C1330</f>
        <v>3</v>
      </c>
      <c r="D1330" s="8">
        <f>[1]Data!D1330</f>
        <v>3</v>
      </c>
      <c r="E1330" s="8" t="str">
        <f>[1]Data!E1330</f>
        <v>NON-HS</v>
      </c>
      <c r="F1330" s="8" t="str">
        <f>[1]Data!F1330</f>
        <v>Tarzana</v>
      </c>
      <c r="G1330" s="8">
        <f>[1]Data!G1330</f>
        <v>0</v>
      </c>
      <c r="H1330" s="8">
        <f>[1]Data!H1330</f>
        <v>0</v>
      </c>
      <c r="I1330" s="8">
        <f>[1]Data!I1330</f>
        <v>0</v>
      </c>
      <c r="J1330" s="8">
        <f>[1]Data!J1330</f>
        <v>0</v>
      </c>
      <c r="K1330" s="8">
        <f>[1]Data!K1330</f>
        <v>0</v>
      </c>
      <c r="L1330" s="8">
        <f>[1]Data!L1330</f>
        <v>0</v>
      </c>
      <c r="M1330" s="8">
        <f>[1]Data!M1330</f>
        <v>0</v>
      </c>
      <c r="N1330" s="8">
        <f>[1]Data!N1330</f>
        <v>2.2140221402214E-2</v>
      </c>
      <c r="O1330" s="8">
        <f>[1]Data!O1330</f>
        <v>0</v>
      </c>
      <c r="P1330" s="8">
        <f>[1]Data!P1330</f>
        <v>0.12915129151291499</v>
      </c>
      <c r="Q1330" s="8">
        <f>[1]Data!Q1330</f>
        <v>1</v>
      </c>
      <c r="R1330" s="8">
        <f>[1]Data!R1330</f>
        <v>0.25714285714285701</v>
      </c>
      <c r="S1330" s="8">
        <f>[1]Data!S1330</f>
        <v>0</v>
      </c>
      <c r="T1330">
        <f t="shared" si="100"/>
        <v>0.27358987875593027</v>
      </c>
      <c r="U1330">
        <f t="shared" si="101"/>
        <v>0</v>
      </c>
      <c r="V1330" s="4" t="str">
        <f t="shared" si="102"/>
        <v>3</v>
      </c>
      <c r="W1330" s="4" t="str">
        <f t="shared" si="103"/>
        <v>2</v>
      </c>
      <c r="X1330" s="4" t="str">
        <f t="shared" si="104"/>
        <v>3NON-HS2</v>
      </c>
      <c r="Y1330">
        <f>VLOOKUP(X1330,Sheet1!$J$5:$K$121,2,FALSE)</f>
        <v>0.25714285714285701</v>
      </c>
    </row>
    <row r="1331" spans="1:25" x14ac:dyDescent="0.25">
      <c r="A1331" s="8">
        <f>[1]Data!A1331</f>
        <v>133000</v>
      </c>
      <c r="B1331" s="8">
        <f>[1]Data!B1331</f>
        <v>2</v>
      </c>
      <c r="C1331" s="8">
        <f>[1]Data!C1331</f>
        <v>3</v>
      </c>
      <c r="D1331" s="8">
        <f>[1]Data!D1331</f>
        <v>3</v>
      </c>
      <c r="E1331" s="8" t="str">
        <f>[1]Data!E1331</f>
        <v>NON-HS</v>
      </c>
      <c r="F1331" s="8" t="str">
        <f>[1]Data!F1331</f>
        <v>Reseda</v>
      </c>
      <c r="G1331" s="8">
        <f>[1]Data!G1331</f>
        <v>0</v>
      </c>
      <c r="H1331" s="8">
        <f>[1]Data!H1331</f>
        <v>0</v>
      </c>
      <c r="I1331" s="8">
        <f>[1]Data!I1331</f>
        <v>10.214</v>
      </c>
      <c r="J1331" s="8">
        <f>[1]Data!J1331</f>
        <v>9.5665461599999997</v>
      </c>
      <c r="K1331" s="8">
        <f>[1]Data!K1331</f>
        <v>9.5665461599999997</v>
      </c>
      <c r="L1331" s="8">
        <f>[1]Data!L1331</f>
        <v>0.64705866872531403</v>
      </c>
      <c r="M1331" s="8">
        <f>[1]Data!M1331</f>
        <v>10.2136048287253</v>
      </c>
      <c r="N1331" s="8">
        <f>[1]Data!N1331</f>
        <v>2.2140221402214E-2</v>
      </c>
      <c r="O1331" s="8">
        <f>[1]Data!O1331</f>
        <v>0</v>
      </c>
      <c r="P1331" s="8">
        <f>[1]Data!P1331</f>
        <v>0.12915129151291499</v>
      </c>
      <c r="Q1331" s="8">
        <f>[1]Data!Q1331</f>
        <v>1</v>
      </c>
      <c r="R1331" s="8">
        <f>[1]Data!R1331</f>
        <v>0.25714285714285701</v>
      </c>
      <c r="S1331" s="8">
        <f>[1]Data!S1331</f>
        <v>0</v>
      </c>
      <c r="T1331">
        <f t="shared" si="100"/>
        <v>0.27358987875593027</v>
      </c>
      <c r="U1331">
        <f t="shared" si="101"/>
        <v>0</v>
      </c>
      <c r="V1331" s="4" t="str">
        <f t="shared" si="102"/>
        <v>3</v>
      </c>
      <c r="W1331" s="4" t="str">
        <f t="shared" si="103"/>
        <v>2</v>
      </c>
      <c r="X1331" s="4" t="str">
        <f t="shared" si="104"/>
        <v>3NON-HS2</v>
      </c>
      <c r="Y1331">
        <f>VLOOKUP(X1331,Sheet1!$J$5:$K$121,2,FALSE)</f>
        <v>0.25714285714285701</v>
      </c>
    </row>
    <row r="1332" spans="1:25" x14ac:dyDescent="0.25">
      <c r="A1332" s="8">
        <f>[1]Data!A1332</f>
        <v>137501</v>
      </c>
      <c r="B1332" s="8">
        <f>[1]Data!B1332</f>
        <v>2</v>
      </c>
      <c r="C1332" s="8">
        <f>[1]Data!C1332</f>
        <v>3</v>
      </c>
      <c r="D1332" s="8">
        <f>[1]Data!D1332</f>
        <v>3</v>
      </c>
      <c r="E1332" s="8" t="str">
        <f>[1]Data!E1332</f>
        <v>NON-HS</v>
      </c>
      <c r="F1332" s="8" t="str">
        <f>[1]Data!F1332</f>
        <v>Woodland Hills</v>
      </c>
      <c r="G1332" s="8">
        <f>[1]Data!G1332</f>
        <v>0</v>
      </c>
      <c r="H1332" s="8">
        <f>[1]Data!H1332</f>
        <v>0</v>
      </c>
      <c r="I1332" s="8">
        <f>[1]Data!I1332</f>
        <v>5.0209999999999999</v>
      </c>
      <c r="J1332" s="8">
        <f>[1]Data!J1332</f>
        <v>3.8885795999999999</v>
      </c>
      <c r="K1332" s="8">
        <f>[1]Data!K1332</f>
        <v>4.8885795999999999</v>
      </c>
      <c r="L1332" s="8">
        <f>[1]Data!L1332</f>
        <v>0.131797923464991</v>
      </c>
      <c r="M1332" s="8">
        <f>[1]Data!M1332</f>
        <v>5.0203775234649903</v>
      </c>
      <c r="N1332" s="8">
        <f>[1]Data!N1332</f>
        <v>2.2140221402214E-2</v>
      </c>
      <c r="O1332" s="8">
        <f>[1]Data!O1332</f>
        <v>0</v>
      </c>
      <c r="P1332" s="8">
        <f>[1]Data!P1332</f>
        <v>0.12915129151291499</v>
      </c>
      <c r="Q1332" s="8">
        <f>[1]Data!Q1332</f>
        <v>1</v>
      </c>
      <c r="R1332" s="8">
        <f>[1]Data!R1332</f>
        <v>0.25714285714285701</v>
      </c>
      <c r="S1332" s="8">
        <f>[1]Data!S1332</f>
        <v>0</v>
      </c>
      <c r="T1332">
        <f t="shared" si="100"/>
        <v>0.27358987875593027</v>
      </c>
      <c r="U1332">
        <f t="shared" si="101"/>
        <v>0</v>
      </c>
      <c r="V1332" s="4" t="str">
        <f t="shared" si="102"/>
        <v>3</v>
      </c>
      <c r="W1332" s="4" t="str">
        <f t="shared" si="103"/>
        <v>2</v>
      </c>
      <c r="X1332" s="4" t="str">
        <f t="shared" si="104"/>
        <v>3NON-HS2</v>
      </c>
      <c r="Y1332">
        <f>VLOOKUP(X1332,Sheet1!$J$5:$K$121,2,FALSE)</f>
        <v>0.25714285714285701</v>
      </c>
    </row>
    <row r="1333" spans="1:25" x14ac:dyDescent="0.25">
      <c r="A1333" s="8">
        <f>[1]Data!A1333</f>
        <v>139703</v>
      </c>
      <c r="B1333" s="8">
        <f>[1]Data!B1333</f>
        <v>2</v>
      </c>
      <c r="C1333" s="8">
        <f>[1]Data!C1333</f>
        <v>3</v>
      </c>
      <c r="D1333" s="8">
        <f>[1]Data!D1333</f>
        <v>3</v>
      </c>
      <c r="E1333" s="8" t="str">
        <f>[1]Data!E1333</f>
        <v>NON-HS</v>
      </c>
      <c r="F1333" s="8" t="str">
        <f>[1]Data!F1333</f>
        <v>Encino</v>
      </c>
      <c r="G1333" s="8">
        <f>[1]Data!G1333</f>
        <v>0</v>
      </c>
      <c r="H1333" s="8">
        <f>[1]Data!H1333</f>
        <v>0</v>
      </c>
      <c r="I1333" s="8">
        <f>[1]Data!I1333</f>
        <v>3.181</v>
      </c>
      <c r="J1333" s="8">
        <f>[1]Data!J1333</f>
        <v>2.87839314</v>
      </c>
      <c r="K1333" s="8">
        <f>[1]Data!K1333</f>
        <v>2.87839314</v>
      </c>
      <c r="L1333" s="8">
        <f>[1]Data!L1333</f>
        <v>0.30290401228007202</v>
      </c>
      <c r="M1333" s="8">
        <f>[1]Data!M1333</f>
        <v>3.1812971522800702</v>
      </c>
      <c r="N1333" s="8">
        <f>[1]Data!N1333</f>
        <v>2.2140221402214E-2</v>
      </c>
      <c r="O1333" s="8">
        <f>[1]Data!O1333</f>
        <v>0</v>
      </c>
      <c r="P1333" s="8">
        <f>[1]Data!P1333</f>
        <v>0.12915129151291499</v>
      </c>
      <c r="Q1333" s="8">
        <f>[1]Data!Q1333</f>
        <v>1</v>
      </c>
      <c r="R1333" s="8">
        <f>[1]Data!R1333</f>
        <v>0.25714285714285701</v>
      </c>
      <c r="S1333" s="8">
        <f>[1]Data!S1333</f>
        <v>0</v>
      </c>
      <c r="T1333">
        <f t="shared" si="100"/>
        <v>0.27358987875593027</v>
      </c>
      <c r="U1333">
        <f t="shared" si="101"/>
        <v>0</v>
      </c>
      <c r="V1333" s="4" t="str">
        <f t="shared" si="102"/>
        <v>3</v>
      </c>
      <c r="W1333" s="4" t="str">
        <f t="shared" si="103"/>
        <v>2</v>
      </c>
      <c r="X1333" s="4" t="str">
        <f t="shared" si="104"/>
        <v>3NON-HS2</v>
      </c>
      <c r="Y1333">
        <f>VLOOKUP(X1333,Sheet1!$J$5:$K$121,2,FALSE)</f>
        <v>0.25714285714285701</v>
      </c>
    </row>
    <row r="1334" spans="1:25" x14ac:dyDescent="0.25">
      <c r="A1334" s="8">
        <f>[1]Data!A1334</f>
        <v>134522</v>
      </c>
      <c r="B1334" s="8">
        <f>[1]Data!B1334</f>
        <v>2</v>
      </c>
      <c r="C1334" s="8">
        <f>[1]Data!C1334</f>
        <v>3</v>
      </c>
      <c r="D1334" s="8">
        <f>[1]Data!D1334</f>
        <v>3</v>
      </c>
      <c r="E1334" s="8" t="str">
        <f>[1]Data!E1334</f>
        <v>NON-HS</v>
      </c>
      <c r="F1334" s="8" t="str">
        <f>[1]Data!F1334</f>
        <v>Canoga Park</v>
      </c>
      <c r="G1334" s="8">
        <f>[1]Data!G1334</f>
        <v>0</v>
      </c>
      <c r="H1334" s="8">
        <f>[1]Data!H1334</f>
        <v>0</v>
      </c>
      <c r="I1334" s="8">
        <f>[1]Data!I1334</f>
        <v>2.0950000000000002</v>
      </c>
      <c r="J1334" s="8">
        <f>[1]Data!J1334</f>
        <v>1.9836996600000001</v>
      </c>
      <c r="K1334" s="8">
        <f>[1]Data!K1334</f>
        <v>1.9836996600000001</v>
      </c>
      <c r="L1334" s="8">
        <f>[1]Data!L1334</f>
        <v>0.11117260138240601</v>
      </c>
      <c r="M1334" s="8">
        <f>[1]Data!M1334</f>
        <v>2.09487226138241</v>
      </c>
      <c r="N1334" s="8">
        <f>[1]Data!N1334</f>
        <v>2.2140221402214E-2</v>
      </c>
      <c r="O1334" s="8">
        <f>[1]Data!O1334</f>
        <v>0</v>
      </c>
      <c r="P1334" s="8">
        <f>[1]Data!P1334</f>
        <v>0.12915129151291499</v>
      </c>
      <c r="Q1334" s="8">
        <f>[1]Data!Q1334</f>
        <v>1</v>
      </c>
      <c r="R1334" s="8">
        <f>[1]Data!R1334</f>
        <v>0.25714285714285701</v>
      </c>
      <c r="S1334" s="8">
        <f>[1]Data!S1334</f>
        <v>0</v>
      </c>
      <c r="T1334">
        <f t="shared" si="100"/>
        <v>0.27358987875593027</v>
      </c>
      <c r="U1334">
        <f t="shared" si="101"/>
        <v>0</v>
      </c>
      <c r="V1334" s="4" t="str">
        <f t="shared" si="102"/>
        <v>3</v>
      </c>
      <c r="W1334" s="4" t="str">
        <f t="shared" si="103"/>
        <v>2</v>
      </c>
      <c r="X1334" s="4" t="str">
        <f t="shared" si="104"/>
        <v>3NON-HS2</v>
      </c>
      <c r="Y1334">
        <f>VLOOKUP(X1334,Sheet1!$J$5:$K$121,2,FALSE)</f>
        <v>0.25714285714285701</v>
      </c>
    </row>
    <row r="1335" spans="1:25" x14ac:dyDescent="0.25">
      <c r="A1335" s="8">
        <f>[1]Data!A1335</f>
        <v>138000</v>
      </c>
      <c r="B1335" s="8">
        <f>[1]Data!B1335</f>
        <v>2</v>
      </c>
      <c r="C1335" s="8">
        <f>[1]Data!C1335</f>
        <v>3</v>
      </c>
      <c r="D1335" s="8">
        <f>[1]Data!D1335</f>
        <v>3</v>
      </c>
      <c r="E1335" s="8" t="str">
        <f>[1]Data!E1335</f>
        <v>NON-HS</v>
      </c>
      <c r="F1335" s="8" t="str">
        <f>[1]Data!F1335</f>
        <v>Woodland Hills</v>
      </c>
      <c r="G1335" s="8">
        <f>[1]Data!G1335</f>
        <v>0</v>
      </c>
      <c r="H1335" s="8">
        <f>[1]Data!H1335</f>
        <v>0</v>
      </c>
      <c r="I1335" s="8">
        <f>[1]Data!I1335</f>
        <v>2.0950000000000002</v>
      </c>
      <c r="J1335" s="8">
        <f>[1]Data!J1335</f>
        <v>1.9836996600000001</v>
      </c>
      <c r="K1335" s="8">
        <f>[1]Data!K1335</f>
        <v>1.9836996600000001</v>
      </c>
      <c r="L1335" s="8">
        <f>[1]Data!L1335</f>
        <v>0.11117260138240601</v>
      </c>
      <c r="M1335" s="8">
        <f>[1]Data!M1335</f>
        <v>2.09487226138241</v>
      </c>
      <c r="N1335" s="8">
        <f>[1]Data!N1335</f>
        <v>2.2140221402214E-2</v>
      </c>
      <c r="O1335" s="8">
        <f>[1]Data!O1335</f>
        <v>0</v>
      </c>
      <c r="P1335" s="8">
        <f>[1]Data!P1335</f>
        <v>0.12915129151291499</v>
      </c>
      <c r="Q1335" s="8">
        <f>[1]Data!Q1335</f>
        <v>1</v>
      </c>
      <c r="R1335" s="8">
        <f>[1]Data!R1335</f>
        <v>0.25714285714285701</v>
      </c>
      <c r="S1335" s="8">
        <f>[1]Data!S1335</f>
        <v>0</v>
      </c>
      <c r="T1335">
        <f t="shared" si="100"/>
        <v>0.27358987875593027</v>
      </c>
      <c r="U1335">
        <f t="shared" si="101"/>
        <v>0</v>
      </c>
      <c r="V1335" s="4" t="str">
        <f t="shared" si="102"/>
        <v>3</v>
      </c>
      <c r="W1335" s="4" t="str">
        <f t="shared" si="103"/>
        <v>2</v>
      </c>
      <c r="X1335" s="4" t="str">
        <f t="shared" si="104"/>
        <v>3NON-HS2</v>
      </c>
      <c r="Y1335">
        <f>VLOOKUP(X1335,Sheet1!$J$5:$K$121,2,FALSE)</f>
        <v>0.25714285714285701</v>
      </c>
    </row>
    <row r="1336" spans="1:25" x14ac:dyDescent="0.25">
      <c r="A1336" s="8">
        <f>[1]Data!A1336</f>
        <v>137504</v>
      </c>
      <c r="B1336" s="8">
        <f>[1]Data!B1336</f>
        <v>2</v>
      </c>
      <c r="C1336" s="8">
        <f>[1]Data!C1336</f>
        <v>3</v>
      </c>
      <c r="D1336" s="8">
        <f>[1]Data!D1336</f>
        <v>3</v>
      </c>
      <c r="E1336" s="8" t="str">
        <f>[1]Data!E1336</f>
        <v>NON-HS</v>
      </c>
      <c r="F1336" s="8" t="str">
        <f>[1]Data!F1336</f>
        <v>Woodland Hills</v>
      </c>
      <c r="G1336" s="8">
        <f>[1]Data!G1336</f>
        <v>0</v>
      </c>
      <c r="H1336" s="8">
        <f>[1]Data!H1336</f>
        <v>1</v>
      </c>
      <c r="I1336" s="8">
        <f>[1]Data!I1336</f>
        <v>0</v>
      </c>
      <c r="J1336" s="8">
        <f>[1]Data!J1336</f>
        <v>0</v>
      </c>
      <c r="K1336" s="8">
        <f>[1]Data!K1336</f>
        <v>0</v>
      </c>
      <c r="L1336" s="8">
        <f>[1]Data!L1336</f>
        <v>0</v>
      </c>
      <c r="M1336" s="8">
        <f>[1]Data!M1336</f>
        <v>0</v>
      </c>
      <c r="N1336" s="8">
        <f>[1]Data!N1336</f>
        <v>2.2140221402214E-2</v>
      </c>
      <c r="O1336" s="8">
        <f>[1]Data!O1336</f>
        <v>0</v>
      </c>
      <c r="P1336" s="8">
        <f>[1]Data!P1336</f>
        <v>0.12915129151291499</v>
      </c>
      <c r="Q1336" s="8">
        <f>[1]Data!Q1336</f>
        <v>1</v>
      </c>
      <c r="R1336" s="8">
        <f>[1]Data!R1336</f>
        <v>0.25714285714285701</v>
      </c>
      <c r="S1336" s="8">
        <f>[1]Data!S1336</f>
        <v>3.8888888888888902</v>
      </c>
      <c r="T1336">
        <f t="shared" si="100"/>
        <v>0.27358987875593027</v>
      </c>
      <c r="U1336">
        <f t="shared" si="101"/>
        <v>3.6551059730250501</v>
      </c>
      <c r="V1336" s="4" t="str">
        <f t="shared" si="102"/>
        <v>3</v>
      </c>
      <c r="W1336" s="4" t="str">
        <f t="shared" si="103"/>
        <v>2</v>
      </c>
      <c r="X1336" s="4" t="str">
        <f t="shared" si="104"/>
        <v>3NON-HS2</v>
      </c>
      <c r="Y1336">
        <f>VLOOKUP(X1336,Sheet1!$J$5:$K$121,2,FALSE)</f>
        <v>0.25714285714285701</v>
      </c>
    </row>
    <row r="1337" spans="1:25" x14ac:dyDescent="0.25">
      <c r="A1337" s="8">
        <f>[1]Data!A1337</f>
        <v>134904</v>
      </c>
      <c r="B1337" s="8">
        <f>[1]Data!B1337</f>
        <v>2</v>
      </c>
      <c r="C1337" s="8">
        <f>[1]Data!C1337</f>
        <v>3</v>
      </c>
      <c r="D1337" s="8">
        <f>[1]Data!D1337</f>
        <v>3</v>
      </c>
      <c r="E1337" s="8" t="str">
        <f>[1]Data!E1337</f>
        <v>NON-HS</v>
      </c>
      <c r="F1337" s="8" t="str">
        <f>[1]Data!F1337</f>
        <v>Winnetka</v>
      </c>
      <c r="G1337" s="8">
        <f>[1]Data!G1337</f>
        <v>0</v>
      </c>
      <c r="H1337" s="8">
        <f>[1]Data!H1337</f>
        <v>0</v>
      </c>
      <c r="I1337" s="8">
        <f>[1]Data!I1337</f>
        <v>8.0410000000000004</v>
      </c>
      <c r="J1337" s="8">
        <f>[1]Data!J1337</f>
        <v>7.7771591999999998</v>
      </c>
      <c r="K1337" s="8">
        <f>[1]Data!K1337</f>
        <v>7.7771591999999998</v>
      </c>
      <c r="L1337" s="8">
        <f>[1]Data!L1337</f>
        <v>0.263595846929982</v>
      </c>
      <c r="M1337" s="8">
        <f>[1]Data!M1337</f>
        <v>8.0407550469299807</v>
      </c>
      <c r="N1337" s="8">
        <f>[1]Data!N1337</f>
        <v>2.2140221402214E-2</v>
      </c>
      <c r="O1337" s="8">
        <f>[1]Data!O1337</f>
        <v>0</v>
      </c>
      <c r="P1337" s="8">
        <f>[1]Data!P1337</f>
        <v>0.12915129151291499</v>
      </c>
      <c r="Q1337" s="8">
        <f>[1]Data!Q1337</f>
        <v>1</v>
      </c>
      <c r="R1337" s="8">
        <f>[1]Data!R1337</f>
        <v>0.25714285714285701</v>
      </c>
      <c r="S1337" s="8">
        <f>[1]Data!S1337</f>
        <v>0</v>
      </c>
      <c r="T1337">
        <f t="shared" si="100"/>
        <v>0.27358987875593027</v>
      </c>
      <c r="U1337">
        <f t="shared" si="101"/>
        <v>0</v>
      </c>
      <c r="V1337" s="4" t="str">
        <f t="shared" si="102"/>
        <v>3</v>
      </c>
      <c r="W1337" s="4" t="str">
        <f t="shared" si="103"/>
        <v>2</v>
      </c>
      <c r="X1337" s="4" t="str">
        <f t="shared" si="104"/>
        <v>3NON-HS2</v>
      </c>
      <c r="Y1337">
        <f>VLOOKUP(X1337,Sheet1!$J$5:$K$121,2,FALSE)</f>
        <v>0.25714285714285701</v>
      </c>
    </row>
    <row r="1338" spans="1:25" x14ac:dyDescent="0.25">
      <c r="A1338" s="8">
        <f>[1]Data!A1338</f>
        <v>134103</v>
      </c>
      <c r="B1338" s="8">
        <f>[1]Data!B1338</f>
        <v>2</v>
      </c>
      <c r="C1338" s="8">
        <f>[1]Data!C1338</f>
        <v>3</v>
      </c>
      <c r="D1338" s="8">
        <f>[1]Data!D1338</f>
        <v>3</v>
      </c>
      <c r="E1338" s="8" t="str">
        <f>[1]Data!E1338</f>
        <v>NON-HS</v>
      </c>
      <c r="F1338" s="8" t="str">
        <f>[1]Data!F1338</f>
        <v>Winnetka</v>
      </c>
      <c r="G1338" s="8">
        <f>[1]Data!G1338</f>
        <v>0</v>
      </c>
      <c r="H1338" s="8">
        <f>[1]Data!H1338</f>
        <v>0</v>
      </c>
      <c r="I1338" s="8">
        <f>[1]Data!I1338</f>
        <v>9.093</v>
      </c>
      <c r="J1338" s="8">
        <f>[1]Data!J1338</f>
        <v>7.6842311499999996</v>
      </c>
      <c r="K1338" s="8">
        <f>[1]Data!K1338</f>
        <v>8.6842311500000005</v>
      </c>
      <c r="L1338" s="8">
        <f>[1]Data!L1338</f>
        <v>0.40850331443447002</v>
      </c>
      <c r="M1338" s="8">
        <f>[1]Data!M1338</f>
        <v>9.0927344644344696</v>
      </c>
      <c r="N1338" s="8">
        <f>[1]Data!N1338</f>
        <v>2.2140221402214E-2</v>
      </c>
      <c r="O1338" s="8">
        <f>[1]Data!O1338</f>
        <v>0</v>
      </c>
      <c r="P1338" s="8">
        <f>[1]Data!P1338</f>
        <v>0.12915129151291499</v>
      </c>
      <c r="Q1338" s="8">
        <f>[1]Data!Q1338</f>
        <v>1</v>
      </c>
      <c r="R1338" s="8">
        <f>[1]Data!R1338</f>
        <v>0.25714285714285701</v>
      </c>
      <c r="S1338" s="8">
        <f>[1]Data!S1338</f>
        <v>0</v>
      </c>
      <c r="T1338">
        <f t="shared" si="100"/>
        <v>0.27358987875593027</v>
      </c>
      <c r="U1338">
        <f t="shared" si="101"/>
        <v>0</v>
      </c>
      <c r="V1338" s="4" t="str">
        <f t="shared" si="102"/>
        <v>3</v>
      </c>
      <c r="W1338" s="4" t="str">
        <f t="shared" si="103"/>
        <v>2</v>
      </c>
      <c r="X1338" s="4" t="str">
        <f t="shared" si="104"/>
        <v>3NON-HS2</v>
      </c>
      <c r="Y1338">
        <f>VLOOKUP(X1338,Sheet1!$J$5:$K$121,2,FALSE)</f>
        <v>0.25714285714285701</v>
      </c>
    </row>
    <row r="1339" spans="1:25" x14ac:dyDescent="0.25">
      <c r="A1339" s="8">
        <f>[1]Data!A1339</f>
        <v>137104</v>
      </c>
      <c r="B1339" s="8">
        <f>[1]Data!B1339</f>
        <v>2</v>
      </c>
      <c r="C1339" s="8">
        <f>[1]Data!C1339</f>
        <v>3</v>
      </c>
      <c r="D1339" s="8">
        <f>[1]Data!D1339</f>
        <v>3</v>
      </c>
      <c r="E1339" s="8" t="str">
        <f>[1]Data!E1339</f>
        <v>NON-HS</v>
      </c>
      <c r="F1339" s="8" t="str">
        <f>[1]Data!F1339</f>
        <v>Woodland Hills</v>
      </c>
      <c r="G1339" s="8">
        <f>[1]Data!G1339</f>
        <v>0</v>
      </c>
      <c r="H1339" s="8">
        <f>[1]Data!H1339</f>
        <v>1</v>
      </c>
      <c r="I1339" s="8">
        <f>[1]Data!I1339</f>
        <v>3.0950000000000002</v>
      </c>
      <c r="J1339" s="8">
        <f>[1]Data!J1339</f>
        <v>1.9836996600000001</v>
      </c>
      <c r="K1339" s="8">
        <f>[1]Data!K1339</f>
        <v>2.9836996600000001</v>
      </c>
      <c r="L1339" s="8">
        <f>[1]Data!L1339</f>
        <v>0.11117260138240601</v>
      </c>
      <c r="M1339" s="8">
        <f>[1]Data!M1339</f>
        <v>3.09487226138241</v>
      </c>
      <c r="N1339" s="8">
        <f>[1]Data!N1339</f>
        <v>2.2140221402214E-2</v>
      </c>
      <c r="O1339" s="8">
        <f>[1]Data!O1339</f>
        <v>0</v>
      </c>
      <c r="P1339" s="8">
        <f>[1]Data!P1339</f>
        <v>0.12915129151291499</v>
      </c>
      <c r="Q1339" s="8">
        <f>[1]Data!Q1339</f>
        <v>1</v>
      </c>
      <c r="R1339" s="8">
        <f>[1]Data!R1339</f>
        <v>0.25714285714285701</v>
      </c>
      <c r="S1339" s="8">
        <f>[1]Data!S1339</f>
        <v>3.8888888888888902</v>
      </c>
      <c r="T1339">
        <f t="shared" si="100"/>
        <v>0.27358987875593027</v>
      </c>
      <c r="U1339">
        <f t="shared" si="101"/>
        <v>3.6551059730250501</v>
      </c>
      <c r="V1339" s="4" t="str">
        <f t="shared" si="102"/>
        <v>3</v>
      </c>
      <c r="W1339" s="4" t="str">
        <f t="shared" si="103"/>
        <v>2</v>
      </c>
      <c r="X1339" s="4" t="str">
        <f t="shared" si="104"/>
        <v>3NON-HS2</v>
      </c>
      <c r="Y1339">
        <f>VLOOKUP(X1339,Sheet1!$J$5:$K$121,2,FALSE)</f>
        <v>0.25714285714285701</v>
      </c>
    </row>
    <row r="1340" spans="1:25" x14ac:dyDescent="0.25">
      <c r="A1340" s="8">
        <f>[1]Data!A1340</f>
        <v>131701</v>
      </c>
      <c r="B1340" s="8">
        <f>[1]Data!B1340</f>
        <v>2</v>
      </c>
      <c r="C1340" s="8">
        <f>[1]Data!C1340</f>
        <v>3</v>
      </c>
      <c r="D1340" s="8">
        <f>[1]Data!D1340</f>
        <v>3</v>
      </c>
      <c r="E1340" s="8" t="str">
        <f>[1]Data!E1340</f>
        <v>NON-HS</v>
      </c>
      <c r="F1340" s="8" t="str">
        <f>[1]Data!F1340</f>
        <v>Reseda</v>
      </c>
      <c r="G1340" s="8">
        <f>[1]Data!G1340</f>
        <v>0</v>
      </c>
      <c r="H1340" s="8">
        <f>[1]Data!H1340</f>
        <v>0</v>
      </c>
      <c r="I1340" s="8">
        <f>[1]Data!I1340</f>
        <v>0</v>
      </c>
      <c r="J1340" s="8">
        <f>[1]Data!J1340</f>
        <v>0</v>
      </c>
      <c r="K1340" s="8">
        <f>[1]Data!K1340</f>
        <v>0</v>
      </c>
      <c r="L1340" s="8">
        <f>[1]Data!L1340</f>
        <v>0</v>
      </c>
      <c r="M1340" s="8">
        <f>[1]Data!M1340</f>
        <v>0</v>
      </c>
      <c r="N1340" s="8">
        <f>[1]Data!N1340</f>
        <v>2.2140221402214E-2</v>
      </c>
      <c r="O1340" s="8">
        <f>[1]Data!O1340</f>
        <v>0</v>
      </c>
      <c r="P1340" s="8">
        <f>[1]Data!P1340</f>
        <v>0.12915129151291499</v>
      </c>
      <c r="Q1340" s="8">
        <f>[1]Data!Q1340</f>
        <v>1</v>
      </c>
      <c r="R1340" s="8">
        <f>[1]Data!R1340</f>
        <v>0.25714285714285701</v>
      </c>
      <c r="S1340" s="8">
        <f>[1]Data!S1340</f>
        <v>0</v>
      </c>
      <c r="T1340">
        <f t="shared" si="100"/>
        <v>0.27358987875593027</v>
      </c>
      <c r="U1340">
        <f t="shared" si="101"/>
        <v>0</v>
      </c>
      <c r="V1340" s="4" t="str">
        <f t="shared" si="102"/>
        <v>3</v>
      </c>
      <c r="W1340" s="4" t="str">
        <f t="shared" si="103"/>
        <v>2</v>
      </c>
      <c r="X1340" s="4" t="str">
        <f t="shared" si="104"/>
        <v>3NON-HS2</v>
      </c>
      <c r="Y1340">
        <f>VLOOKUP(X1340,Sheet1!$J$5:$K$121,2,FALSE)</f>
        <v>0.25714285714285701</v>
      </c>
    </row>
    <row r="1341" spans="1:25" x14ac:dyDescent="0.25">
      <c r="A1341" s="8">
        <f>[1]Data!A1341</f>
        <v>131600</v>
      </c>
      <c r="B1341" s="8">
        <f>[1]Data!B1341</f>
        <v>2</v>
      </c>
      <c r="C1341" s="8">
        <f>[1]Data!C1341</f>
        <v>3</v>
      </c>
      <c r="D1341" s="8">
        <f>[1]Data!D1341</f>
        <v>3</v>
      </c>
      <c r="E1341" s="8" t="str">
        <f>[1]Data!E1341</f>
        <v>NON-HS</v>
      </c>
      <c r="F1341" s="8" t="str">
        <f>[1]Data!F1341</f>
        <v>Reseda</v>
      </c>
      <c r="G1341" s="8">
        <f>[1]Data!G1341</f>
        <v>0</v>
      </c>
      <c r="H1341" s="8">
        <f>[1]Data!H1341</f>
        <v>0</v>
      </c>
      <c r="I1341" s="8">
        <f>[1]Data!I1341</f>
        <v>7.2850000000000001</v>
      </c>
      <c r="J1341" s="8">
        <f>[1]Data!J1341</f>
        <v>5.9510989800000003</v>
      </c>
      <c r="K1341" s="8">
        <f>[1]Data!K1341</f>
        <v>6.9510989800000003</v>
      </c>
      <c r="L1341" s="8">
        <f>[1]Data!L1341</f>
        <v>0.33351780414721699</v>
      </c>
      <c r="M1341" s="8">
        <f>[1]Data!M1341</f>
        <v>7.2846167841472198</v>
      </c>
      <c r="N1341" s="8">
        <f>[1]Data!N1341</f>
        <v>2.2140221402214E-2</v>
      </c>
      <c r="O1341" s="8">
        <f>[1]Data!O1341</f>
        <v>0</v>
      </c>
      <c r="P1341" s="8">
        <f>[1]Data!P1341</f>
        <v>0.12915129151291499</v>
      </c>
      <c r="Q1341" s="8">
        <f>[1]Data!Q1341</f>
        <v>1</v>
      </c>
      <c r="R1341" s="8">
        <f>[1]Data!R1341</f>
        <v>0.25714285714285701</v>
      </c>
      <c r="S1341" s="8">
        <f>[1]Data!S1341</f>
        <v>0</v>
      </c>
      <c r="T1341">
        <f t="shared" si="100"/>
        <v>0.27358987875593027</v>
      </c>
      <c r="U1341">
        <f t="shared" si="101"/>
        <v>0</v>
      </c>
      <c r="V1341" s="4" t="str">
        <f t="shared" si="102"/>
        <v>3</v>
      </c>
      <c r="W1341" s="4" t="str">
        <f t="shared" si="103"/>
        <v>2</v>
      </c>
      <c r="X1341" s="4" t="str">
        <f t="shared" si="104"/>
        <v>3NON-HS2</v>
      </c>
      <c r="Y1341">
        <f>VLOOKUP(X1341,Sheet1!$J$5:$K$121,2,FALSE)</f>
        <v>0.25714285714285701</v>
      </c>
    </row>
    <row r="1342" spans="1:25" x14ac:dyDescent="0.25">
      <c r="A1342" s="8">
        <f>[1]Data!A1342</f>
        <v>137201</v>
      </c>
      <c r="B1342" s="8">
        <f>[1]Data!B1342</f>
        <v>2</v>
      </c>
      <c r="C1342" s="8">
        <f>[1]Data!C1342</f>
        <v>3</v>
      </c>
      <c r="D1342" s="8">
        <f>[1]Data!D1342</f>
        <v>3</v>
      </c>
      <c r="E1342" s="8" t="str">
        <f>[1]Data!E1342</f>
        <v>NON-HS</v>
      </c>
      <c r="F1342" s="8" t="str">
        <f>[1]Data!F1342</f>
        <v>Woodland Hills</v>
      </c>
      <c r="G1342" s="8">
        <f>[1]Data!G1342</f>
        <v>0</v>
      </c>
      <c r="H1342" s="8">
        <f>[1]Data!H1342</f>
        <v>1</v>
      </c>
      <c r="I1342" s="8">
        <f>[1]Data!I1342</f>
        <v>1</v>
      </c>
      <c r="J1342" s="8">
        <f>[1]Data!J1342</f>
        <v>0</v>
      </c>
      <c r="K1342" s="8">
        <f>[1]Data!K1342</f>
        <v>1</v>
      </c>
      <c r="L1342" s="8">
        <f>[1]Data!L1342</f>
        <v>0</v>
      </c>
      <c r="M1342" s="8">
        <f>[1]Data!M1342</f>
        <v>1</v>
      </c>
      <c r="N1342" s="8">
        <f>[1]Data!N1342</f>
        <v>2.2140221402214E-2</v>
      </c>
      <c r="O1342" s="8">
        <f>[1]Data!O1342</f>
        <v>0</v>
      </c>
      <c r="P1342" s="8">
        <f>[1]Data!P1342</f>
        <v>0.12915129151291499</v>
      </c>
      <c r="Q1342" s="8">
        <f>[1]Data!Q1342</f>
        <v>1</v>
      </c>
      <c r="R1342" s="8">
        <f>[1]Data!R1342</f>
        <v>0.25714285714285701</v>
      </c>
      <c r="S1342" s="8">
        <f>[1]Data!S1342</f>
        <v>3.8888888888888902</v>
      </c>
      <c r="T1342">
        <f t="shared" si="100"/>
        <v>0.27358987875593027</v>
      </c>
      <c r="U1342">
        <f t="shared" si="101"/>
        <v>3.6551059730250501</v>
      </c>
      <c r="V1342" s="4" t="str">
        <f t="shared" si="102"/>
        <v>3</v>
      </c>
      <c r="W1342" s="4" t="str">
        <f t="shared" si="103"/>
        <v>2</v>
      </c>
      <c r="X1342" s="4" t="str">
        <f t="shared" si="104"/>
        <v>3NON-HS2</v>
      </c>
      <c r="Y1342">
        <f>VLOOKUP(X1342,Sheet1!$J$5:$K$121,2,FALSE)</f>
        <v>0.25714285714285701</v>
      </c>
    </row>
    <row r="1343" spans="1:25" x14ac:dyDescent="0.25">
      <c r="A1343" s="8">
        <f>[1]Data!A1343</f>
        <v>113235</v>
      </c>
      <c r="B1343" s="8">
        <f>[1]Data!B1343</f>
        <v>2</v>
      </c>
      <c r="C1343" s="8">
        <f>[1]Data!C1343</f>
        <v>3</v>
      </c>
      <c r="D1343" s="8">
        <f>[1]Data!D1343</f>
        <v>5</v>
      </c>
      <c r="E1343" s="8" t="str">
        <f>[1]Data!E1343</f>
        <v>NON-HS</v>
      </c>
      <c r="F1343" s="8" t="str">
        <f>[1]Data!F1343</f>
        <v>Chatsworth</v>
      </c>
      <c r="G1343" s="8">
        <f>[1]Data!G1343</f>
        <v>0</v>
      </c>
      <c r="H1343" s="8">
        <f>[1]Data!H1343</f>
        <v>1</v>
      </c>
      <c r="I1343" s="8">
        <f>[1]Data!I1343</f>
        <v>0</v>
      </c>
      <c r="J1343" s="8">
        <f>[1]Data!J1343</f>
        <v>0</v>
      </c>
      <c r="K1343" s="8">
        <f>[1]Data!K1343</f>
        <v>0</v>
      </c>
      <c r="L1343" s="8">
        <f>[1]Data!L1343</f>
        <v>0</v>
      </c>
      <c r="M1343" s="8">
        <f>[1]Data!M1343</f>
        <v>0</v>
      </c>
      <c r="N1343" s="8">
        <f>[1]Data!N1343</f>
        <v>2.2140221402214E-2</v>
      </c>
      <c r="O1343" s="8">
        <f>[1]Data!O1343</f>
        <v>0</v>
      </c>
      <c r="P1343" s="8">
        <f>[1]Data!P1343</f>
        <v>0.12915129151291499</v>
      </c>
      <c r="Q1343" s="8">
        <f>[1]Data!Q1343</f>
        <v>1</v>
      </c>
      <c r="R1343" s="8">
        <f>[1]Data!R1343</f>
        <v>0.25714285714285701</v>
      </c>
      <c r="S1343" s="8">
        <f>[1]Data!S1343</f>
        <v>3.8888888888888902</v>
      </c>
      <c r="T1343">
        <f t="shared" si="100"/>
        <v>0.27358987875593027</v>
      </c>
      <c r="U1343">
        <f t="shared" si="101"/>
        <v>3.6551059730250501</v>
      </c>
      <c r="V1343" s="4" t="str">
        <f t="shared" si="102"/>
        <v>3</v>
      </c>
      <c r="W1343" s="4" t="str">
        <f t="shared" si="103"/>
        <v>2</v>
      </c>
      <c r="X1343" s="4" t="str">
        <f t="shared" si="104"/>
        <v>3NON-HS2</v>
      </c>
      <c r="Y1343">
        <f>VLOOKUP(X1343,Sheet1!$J$5:$K$121,2,FALSE)</f>
        <v>0.25714285714285701</v>
      </c>
    </row>
    <row r="1344" spans="1:25" x14ac:dyDescent="0.25">
      <c r="A1344" s="8">
        <f>[1]Data!A1344</f>
        <v>134002</v>
      </c>
      <c r="B1344" s="8">
        <f>[1]Data!B1344</f>
        <v>2</v>
      </c>
      <c r="C1344" s="8">
        <f>[1]Data!C1344</f>
        <v>3</v>
      </c>
      <c r="D1344" s="8">
        <f>[1]Data!D1344</f>
        <v>3</v>
      </c>
      <c r="E1344" s="8" t="str">
        <f>[1]Data!E1344</f>
        <v>NON-HS</v>
      </c>
      <c r="F1344" s="8" t="str">
        <f>[1]Data!F1344</f>
        <v>Winnetka</v>
      </c>
      <c r="G1344" s="8">
        <f>[1]Data!G1344</f>
        <v>0</v>
      </c>
      <c r="H1344" s="8">
        <f>[1]Data!H1344</f>
        <v>1</v>
      </c>
      <c r="I1344" s="8">
        <f>[1]Data!I1344</f>
        <v>7.9240000000000004</v>
      </c>
      <c r="J1344" s="8">
        <f>[1]Data!J1344</f>
        <v>7.6054114300000002</v>
      </c>
      <c r="K1344" s="8">
        <f>[1]Data!K1344</f>
        <v>7.6054114300000002</v>
      </c>
      <c r="L1344" s="8">
        <f>[1]Data!L1344</f>
        <v>0.31795603513464998</v>
      </c>
      <c r="M1344" s="8">
        <f>[1]Data!M1344</f>
        <v>7.9233674651346497</v>
      </c>
      <c r="N1344" s="8">
        <f>[1]Data!N1344</f>
        <v>2.2140221402214E-2</v>
      </c>
      <c r="O1344" s="8">
        <f>[1]Data!O1344</f>
        <v>0</v>
      </c>
      <c r="P1344" s="8">
        <f>[1]Data!P1344</f>
        <v>0.12915129151291499</v>
      </c>
      <c r="Q1344" s="8">
        <f>[1]Data!Q1344</f>
        <v>1</v>
      </c>
      <c r="R1344" s="8">
        <f>[1]Data!R1344</f>
        <v>0.25714285714285701</v>
      </c>
      <c r="S1344" s="8">
        <f>[1]Data!S1344</f>
        <v>3.8888888888888902</v>
      </c>
      <c r="T1344">
        <f t="shared" si="100"/>
        <v>0.27358987875593027</v>
      </c>
      <c r="U1344">
        <f t="shared" si="101"/>
        <v>3.6551059730250501</v>
      </c>
      <c r="V1344" s="4" t="str">
        <f t="shared" si="102"/>
        <v>3</v>
      </c>
      <c r="W1344" s="4" t="str">
        <f t="shared" si="103"/>
        <v>2</v>
      </c>
      <c r="X1344" s="4" t="str">
        <f t="shared" si="104"/>
        <v>3NON-HS2</v>
      </c>
      <c r="Y1344">
        <f>VLOOKUP(X1344,Sheet1!$J$5:$K$121,2,FALSE)</f>
        <v>0.25714285714285701</v>
      </c>
    </row>
    <row r="1345" spans="1:25" x14ac:dyDescent="0.25">
      <c r="A1345" s="8">
        <f>[1]Data!A1345</f>
        <v>139302</v>
      </c>
      <c r="B1345" s="8">
        <f>[1]Data!B1345</f>
        <v>2</v>
      </c>
      <c r="C1345" s="8">
        <f>[1]Data!C1345</f>
        <v>3</v>
      </c>
      <c r="D1345" s="8">
        <f>[1]Data!D1345</f>
        <v>3</v>
      </c>
      <c r="E1345" s="8" t="str">
        <f>[1]Data!E1345</f>
        <v>NON-HS</v>
      </c>
      <c r="F1345" s="8" t="str">
        <f>[1]Data!F1345</f>
        <v>Tarzana</v>
      </c>
      <c r="G1345" s="8">
        <f>[1]Data!G1345</f>
        <v>0</v>
      </c>
      <c r="H1345" s="8">
        <f>[1]Data!H1345</f>
        <v>0</v>
      </c>
      <c r="I1345" s="8">
        <f>[1]Data!I1345</f>
        <v>4.0209999999999999</v>
      </c>
      <c r="J1345" s="8">
        <f>[1]Data!J1345</f>
        <v>3.8885795999999999</v>
      </c>
      <c r="K1345" s="8">
        <f>[1]Data!K1345</f>
        <v>3.8885795999999999</v>
      </c>
      <c r="L1345" s="8">
        <f>[1]Data!L1345</f>
        <v>0.131797923464991</v>
      </c>
      <c r="M1345" s="8">
        <f>[1]Data!M1345</f>
        <v>4.0203775234649903</v>
      </c>
      <c r="N1345" s="8">
        <f>[1]Data!N1345</f>
        <v>2.2140221402214E-2</v>
      </c>
      <c r="O1345" s="8">
        <f>[1]Data!O1345</f>
        <v>0</v>
      </c>
      <c r="P1345" s="8">
        <f>[1]Data!P1345</f>
        <v>0.12915129151291499</v>
      </c>
      <c r="Q1345" s="8">
        <f>[1]Data!Q1345</f>
        <v>1</v>
      </c>
      <c r="R1345" s="8">
        <f>[1]Data!R1345</f>
        <v>0.25714285714285701</v>
      </c>
      <c r="S1345" s="8">
        <f>[1]Data!S1345</f>
        <v>0</v>
      </c>
      <c r="T1345">
        <f t="shared" si="100"/>
        <v>0.27358987875593027</v>
      </c>
      <c r="U1345">
        <f t="shared" si="101"/>
        <v>0</v>
      </c>
      <c r="V1345" s="4" t="str">
        <f t="shared" si="102"/>
        <v>3</v>
      </c>
      <c r="W1345" s="4" t="str">
        <f t="shared" si="103"/>
        <v>2</v>
      </c>
      <c r="X1345" s="4" t="str">
        <f t="shared" si="104"/>
        <v>3NON-HS2</v>
      </c>
      <c r="Y1345">
        <f>VLOOKUP(X1345,Sheet1!$J$5:$K$121,2,FALSE)</f>
        <v>0.25714285714285701</v>
      </c>
    </row>
    <row r="1346" spans="1:25" x14ac:dyDescent="0.25">
      <c r="A1346" s="8">
        <f>[1]Data!A1346</f>
        <v>134101</v>
      </c>
      <c r="B1346" s="8">
        <f>[1]Data!B1346</f>
        <v>2</v>
      </c>
      <c r="C1346" s="8">
        <f>[1]Data!C1346</f>
        <v>3</v>
      </c>
      <c r="D1346" s="8">
        <f>[1]Data!D1346</f>
        <v>3</v>
      </c>
      <c r="E1346" s="8" t="str">
        <f>[1]Data!E1346</f>
        <v>NON-HS</v>
      </c>
      <c r="F1346" s="8" t="str">
        <f>[1]Data!F1346</f>
        <v>Winnetka</v>
      </c>
      <c r="G1346" s="8">
        <f>[1]Data!G1346</f>
        <v>0</v>
      </c>
      <c r="H1346" s="8">
        <f>[1]Data!H1346</f>
        <v>1</v>
      </c>
      <c r="I1346" s="8">
        <f>[1]Data!I1346</f>
        <v>0</v>
      </c>
      <c r="J1346" s="8">
        <f>[1]Data!J1346</f>
        <v>0</v>
      </c>
      <c r="K1346" s="8">
        <f>[1]Data!K1346</f>
        <v>0</v>
      </c>
      <c r="L1346" s="8">
        <f>[1]Data!L1346</f>
        <v>0</v>
      </c>
      <c r="M1346" s="8">
        <f>[1]Data!M1346</f>
        <v>0</v>
      </c>
      <c r="N1346" s="8">
        <f>[1]Data!N1346</f>
        <v>2.2140221402214E-2</v>
      </c>
      <c r="O1346" s="8">
        <f>[1]Data!O1346</f>
        <v>0</v>
      </c>
      <c r="P1346" s="8">
        <f>[1]Data!P1346</f>
        <v>0.12915129151291499</v>
      </c>
      <c r="Q1346" s="8">
        <f>[1]Data!Q1346</f>
        <v>1</v>
      </c>
      <c r="R1346" s="8">
        <f>[1]Data!R1346</f>
        <v>0.25714285714285701</v>
      </c>
      <c r="S1346" s="8">
        <f>[1]Data!S1346</f>
        <v>3.8888888888888902</v>
      </c>
      <c r="T1346">
        <f t="shared" si="100"/>
        <v>0.27358987875593027</v>
      </c>
      <c r="U1346">
        <f t="shared" si="101"/>
        <v>3.6551059730250501</v>
      </c>
      <c r="V1346" s="4" t="str">
        <f t="shared" si="102"/>
        <v>3</v>
      </c>
      <c r="W1346" s="4" t="str">
        <f t="shared" si="103"/>
        <v>2</v>
      </c>
      <c r="X1346" s="4" t="str">
        <f t="shared" si="104"/>
        <v>3NON-HS2</v>
      </c>
      <c r="Y1346">
        <f>VLOOKUP(X1346,Sheet1!$J$5:$K$121,2,FALSE)</f>
        <v>0.25714285714285701</v>
      </c>
    </row>
    <row r="1347" spans="1:25" x14ac:dyDescent="0.25">
      <c r="A1347" s="8">
        <f>[1]Data!A1347</f>
        <v>134104</v>
      </c>
      <c r="B1347" s="8">
        <f>[1]Data!B1347</f>
        <v>2</v>
      </c>
      <c r="C1347" s="8">
        <f>[1]Data!C1347</f>
        <v>3</v>
      </c>
      <c r="D1347" s="8">
        <f>[1]Data!D1347</f>
        <v>3</v>
      </c>
      <c r="E1347" s="8" t="str">
        <f>[1]Data!E1347</f>
        <v>NON-HS</v>
      </c>
      <c r="F1347" s="8" t="str">
        <f>[1]Data!F1347</f>
        <v>Winnetka</v>
      </c>
      <c r="G1347" s="8">
        <f>[1]Data!G1347</f>
        <v>0</v>
      </c>
      <c r="H1347" s="8">
        <f>[1]Data!H1347</f>
        <v>0</v>
      </c>
      <c r="I1347" s="8">
        <f>[1]Data!I1347</f>
        <v>2.8079999999999998</v>
      </c>
      <c r="J1347" s="8">
        <f>[1]Data!J1347</f>
        <v>1.73313217</v>
      </c>
      <c r="K1347" s="8">
        <f>[1]Data!K1347</f>
        <v>2.7331321700000002</v>
      </c>
      <c r="L1347" s="8">
        <f>[1]Data!L1347</f>
        <v>7.4985510287253102E-2</v>
      </c>
      <c r="M1347" s="8">
        <f>[1]Data!M1347</f>
        <v>2.8081176802872498</v>
      </c>
      <c r="N1347" s="8">
        <f>[1]Data!N1347</f>
        <v>2.2140221402214E-2</v>
      </c>
      <c r="O1347" s="8">
        <f>[1]Data!O1347</f>
        <v>0</v>
      </c>
      <c r="P1347" s="8">
        <f>[1]Data!P1347</f>
        <v>0.12915129151291499</v>
      </c>
      <c r="Q1347" s="8">
        <f>[1]Data!Q1347</f>
        <v>1</v>
      </c>
      <c r="R1347" s="8">
        <f>[1]Data!R1347</f>
        <v>0.25714285714285701</v>
      </c>
      <c r="S1347" s="8">
        <f>[1]Data!S1347</f>
        <v>0</v>
      </c>
      <c r="T1347">
        <f t="shared" ref="T1347:T1410" si="105">N1347+Y1347*(1-N1347)</f>
        <v>0.27358987875593027</v>
      </c>
      <c r="U1347">
        <f t="shared" ref="U1347:U1410" si="106">IF(T1347="",0,1/T1347*H1347)</f>
        <v>0</v>
      </c>
      <c r="V1347" s="4" t="str">
        <f t="shared" ref="V1347:V1410" si="107">TEXT(C1347,"0")</f>
        <v>3</v>
      </c>
      <c r="W1347" s="4" t="str">
        <f t="shared" ref="W1347:W1410" si="108">TEXT(B1347,"0")</f>
        <v>2</v>
      </c>
      <c r="X1347" s="4" t="str">
        <f t="shared" ref="X1347:X1410" si="109">CONCATENATE(V1347,E1347,W1347)</f>
        <v>3NON-HS2</v>
      </c>
      <c r="Y1347">
        <f>VLOOKUP(X1347,Sheet1!$J$5:$K$121,2,FALSE)</f>
        <v>0.25714285714285701</v>
      </c>
    </row>
    <row r="1348" spans="1:25" x14ac:dyDescent="0.25">
      <c r="A1348" s="8">
        <f>[1]Data!A1348</f>
        <v>134304</v>
      </c>
      <c r="B1348" s="8">
        <f>[1]Data!B1348</f>
        <v>2</v>
      </c>
      <c r="C1348" s="8">
        <f>[1]Data!C1348</f>
        <v>3</v>
      </c>
      <c r="D1348" s="8">
        <f>[1]Data!D1348</f>
        <v>3</v>
      </c>
      <c r="E1348" s="8" t="str">
        <f>[1]Data!E1348</f>
        <v>NON-HS</v>
      </c>
      <c r="F1348" s="8" t="str">
        <f>[1]Data!F1348</f>
        <v>Canoga Park</v>
      </c>
      <c r="G1348" s="8">
        <f>[1]Data!G1348</f>
        <v>0</v>
      </c>
      <c r="H1348" s="8">
        <f>[1]Data!H1348</f>
        <v>0</v>
      </c>
      <c r="I1348" s="8">
        <f>[1]Data!I1348</f>
        <v>1</v>
      </c>
      <c r="J1348" s="8">
        <f>[1]Data!J1348</f>
        <v>0</v>
      </c>
      <c r="K1348" s="8">
        <f>[1]Data!K1348</f>
        <v>1</v>
      </c>
      <c r="L1348" s="8">
        <f>[1]Data!L1348</f>
        <v>0</v>
      </c>
      <c r="M1348" s="8">
        <f>[1]Data!M1348</f>
        <v>1</v>
      </c>
      <c r="N1348" s="8">
        <f>[1]Data!N1348</f>
        <v>2.2140221402214E-2</v>
      </c>
      <c r="O1348" s="8">
        <f>[1]Data!O1348</f>
        <v>0</v>
      </c>
      <c r="P1348" s="8">
        <f>[1]Data!P1348</f>
        <v>0.12915129151291499</v>
      </c>
      <c r="Q1348" s="8">
        <f>[1]Data!Q1348</f>
        <v>1</v>
      </c>
      <c r="R1348" s="8">
        <f>[1]Data!R1348</f>
        <v>0.25714285714285701</v>
      </c>
      <c r="S1348" s="8">
        <f>[1]Data!S1348</f>
        <v>0</v>
      </c>
      <c r="T1348">
        <f t="shared" si="105"/>
        <v>0.27358987875593027</v>
      </c>
      <c r="U1348">
        <f t="shared" si="106"/>
        <v>0</v>
      </c>
      <c r="V1348" s="4" t="str">
        <f t="shared" si="107"/>
        <v>3</v>
      </c>
      <c r="W1348" s="4" t="str">
        <f t="shared" si="108"/>
        <v>2</v>
      </c>
      <c r="X1348" s="4" t="str">
        <f t="shared" si="109"/>
        <v>3NON-HS2</v>
      </c>
      <c r="Y1348">
        <f>VLOOKUP(X1348,Sheet1!$J$5:$K$121,2,FALSE)</f>
        <v>0.25714285714285701</v>
      </c>
    </row>
    <row r="1349" spans="1:25" x14ac:dyDescent="0.25">
      <c r="A1349" s="8">
        <f>[1]Data!A1349</f>
        <v>135111</v>
      </c>
      <c r="B1349" s="8">
        <f>[1]Data!B1349</f>
        <v>2</v>
      </c>
      <c r="C1349" s="8">
        <f>[1]Data!C1349</f>
        <v>3</v>
      </c>
      <c r="D1349" s="8">
        <f>[1]Data!D1349</f>
        <v>3</v>
      </c>
      <c r="E1349" s="8" t="str">
        <f>[1]Data!E1349</f>
        <v>NON-HS</v>
      </c>
      <c r="F1349" s="8" t="str">
        <f>[1]Data!F1349</f>
        <v>Woodland Hills</v>
      </c>
      <c r="G1349" s="8">
        <f>[1]Data!G1349</f>
        <v>0</v>
      </c>
      <c r="H1349" s="8">
        <f>[1]Data!H1349</f>
        <v>1</v>
      </c>
      <c r="I1349" s="8">
        <f>[1]Data!I1349</f>
        <v>6.2850000000000001</v>
      </c>
      <c r="J1349" s="8">
        <f>[1]Data!J1349</f>
        <v>5.9510989800000003</v>
      </c>
      <c r="K1349" s="8">
        <f>[1]Data!K1349</f>
        <v>5.9510989800000003</v>
      </c>
      <c r="L1349" s="8">
        <f>[1]Data!L1349</f>
        <v>0.33351780414721699</v>
      </c>
      <c r="M1349" s="8">
        <f>[1]Data!M1349</f>
        <v>6.2846167841472198</v>
      </c>
      <c r="N1349" s="8">
        <f>[1]Data!N1349</f>
        <v>2.2140221402214E-2</v>
      </c>
      <c r="O1349" s="8">
        <f>[1]Data!O1349</f>
        <v>0</v>
      </c>
      <c r="P1349" s="8">
        <f>[1]Data!P1349</f>
        <v>0.12915129151291499</v>
      </c>
      <c r="Q1349" s="8">
        <f>[1]Data!Q1349</f>
        <v>1</v>
      </c>
      <c r="R1349" s="8">
        <f>[1]Data!R1349</f>
        <v>0.25714285714285701</v>
      </c>
      <c r="S1349" s="8">
        <f>[1]Data!S1349</f>
        <v>3.8888888888888902</v>
      </c>
      <c r="T1349">
        <f t="shared" si="105"/>
        <v>0.27358987875593027</v>
      </c>
      <c r="U1349">
        <f t="shared" si="106"/>
        <v>3.6551059730250501</v>
      </c>
      <c r="V1349" s="4" t="str">
        <f t="shared" si="107"/>
        <v>3</v>
      </c>
      <c r="W1349" s="4" t="str">
        <f t="shared" si="108"/>
        <v>2</v>
      </c>
      <c r="X1349" s="4" t="str">
        <f t="shared" si="109"/>
        <v>3NON-HS2</v>
      </c>
      <c r="Y1349">
        <f>VLOOKUP(X1349,Sheet1!$J$5:$K$121,2,FALSE)</f>
        <v>0.25714285714285701</v>
      </c>
    </row>
    <row r="1350" spans="1:25" x14ac:dyDescent="0.25">
      <c r="A1350" s="8">
        <f>[1]Data!A1350</f>
        <v>137000</v>
      </c>
      <c r="B1350" s="8">
        <f>[1]Data!B1350</f>
        <v>2</v>
      </c>
      <c r="C1350" s="8">
        <f>[1]Data!C1350</f>
        <v>3</v>
      </c>
      <c r="D1350" s="8">
        <f>[1]Data!D1350</f>
        <v>3</v>
      </c>
      <c r="E1350" s="8" t="str">
        <f>[1]Data!E1350</f>
        <v>NON-HS</v>
      </c>
      <c r="F1350" s="8" t="str">
        <f>[1]Data!F1350</f>
        <v>Woodland Hills</v>
      </c>
      <c r="G1350" s="8">
        <f>[1]Data!G1350</f>
        <v>0</v>
      </c>
      <c r="H1350" s="8">
        <f>[1]Data!H1350</f>
        <v>0</v>
      </c>
      <c r="I1350" s="8">
        <f>[1]Data!I1350</f>
        <v>0</v>
      </c>
      <c r="J1350" s="8">
        <f>[1]Data!J1350</f>
        <v>0</v>
      </c>
      <c r="K1350" s="8">
        <f>[1]Data!K1350</f>
        <v>0</v>
      </c>
      <c r="L1350" s="8">
        <f>[1]Data!L1350</f>
        <v>0</v>
      </c>
      <c r="M1350" s="8">
        <f>[1]Data!M1350</f>
        <v>0</v>
      </c>
      <c r="N1350" s="8">
        <f>[1]Data!N1350</f>
        <v>2.2140221402214E-2</v>
      </c>
      <c r="O1350" s="8">
        <f>[1]Data!O1350</f>
        <v>0</v>
      </c>
      <c r="P1350" s="8">
        <f>[1]Data!P1350</f>
        <v>0.12915129151291499</v>
      </c>
      <c r="Q1350" s="8">
        <f>[1]Data!Q1350</f>
        <v>1</v>
      </c>
      <c r="R1350" s="8">
        <f>[1]Data!R1350</f>
        <v>0.25714285714285701</v>
      </c>
      <c r="S1350" s="8">
        <f>[1]Data!S1350</f>
        <v>0</v>
      </c>
      <c r="T1350">
        <f t="shared" si="105"/>
        <v>0.27358987875593027</v>
      </c>
      <c r="U1350">
        <f t="shared" si="106"/>
        <v>0</v>
      </c>
      <c r="V1350" s="4" t="str">
        <f t="shared" si="107"/>
        <v>3</v>
      </c>
      <c r="W1350" s="4" t="str">
        <f t="shared" si="108"/>
        <v>2</v>
      </c>
      <c r="X1350" s="4" t="str">
        <f t="shared" si="109"/>
        <v>3NON-HS2</v>
      </c>
      <c r="Y1350">
        <f>VLOOKUP(X1350,Sheet1!$J$5:$K$121,2,FALSE)</f>
        <v>0.25714285714285701</v>
      </c>
    </row>
    <row r="1351" spans="1:25" x14ac:dyDescent="0.25">
      <c r="A1351" s="8">
        <f>[1]Data!A1351</f>
        <v>134306</v>
      </c>
      <c r="B1351" s="8">
        <f>[1]Data!B1351</f>
        <v>2</v>
      </c>
      <c r="C1351" s="8">
        <f>[1]Data!C1351</f>
        <v>3</v>
      </c>
      <c r="D1351" s="8">
        <f>[1]Data!D1351</f>
        <v>3</v>
      </c>
      <c r="E1351" s="8" t="str">
        <f>[1]Data!E1351</f>
        <v>NON-HS</v>
      </c>
      <c r="F1351" s="8" t="str">
        <f>[1]Data!F1351</f>
        <v>Canoga Park</v>
      </c>
      <c r="G1351" s="8">
        <f>[1]Data!G1351</f>
        <v>0</v>
      </c>
      <c r="H1351" s="8">
        <f>[1]Data!H1351</f>
        <v>0</v>
      </c>
      <c r="I1351" s="8">
        <f>[1]Data!I1351</f>
        <v>9.5370000000000008</v>
      </c>
      <c r="J1351" s="8">
        <f>[1]Data!J1351</f>
        <v>7.2326561099999997</v>
      </c>
      <c r="K1351" s="8">
        <f>[1]Data!K1351</f>
        <v>9.2326561100000006</v>
      </c>
      <c r="L1351" s="8">
        <f>[1]Data!L1351</f>
        <v>0.30387525168761198</v>
      </c>
      <c r="M1351" s="8">
        <f>[1]Data!M1351</f>
        <v>9.5365313616876097</v>
      </c>
      <c r="N1351" s="8">
        <f>[1]Data!N1351</f>
        <v>2.2140221402214E-2</v>
      </c>
      <c r="O1351" s="8">
        <f>[1]Data!O1351</f>
        <v>0</v>
      </c>
      <c r="P1351" s="8">
        <f>[1]Data!P1351</f>
        <v>0.12915129151291499</v>
      </c>
      <c r="Q1351" s="8">
        <f>[1]Data!Q1351</f>
        <v>1</v>
      </c>
      <c r="R1351" s="8">
        <f>[1]Data!R1351</f>
        <v>0.25714285714285701</v>
      </c>
      <c r="S1351" s="8">
        <f>[1]Data!S1351</f>
        <v>0</v>
      </c>
      <c r="T1351">
        <f t="shared" si="105"/>
        <v>0.27358987875593027</v>
      </c>
      <c r="U1351">
        <f t="shared" si="106"/>
        <v>0</v>
      </c>
      <c r="V1351" s="4" t="str">
        <f t="shared" si="107"/>
        <v>3</v>
      </c>
      <c r="W1351" s="4" t="str">
        <f t="shared" si="108"/>
        <v>2</v>
      </c>
      <c r="X1351" s="4" t="str">
        <f t="shared" si="109"/>
        <v>3NON-HS2</v>
      </c>
      <c r="Y1351">
        <f>VLOOKUP(X1351,Sheet1!$J$5:$K$121,2,FALSE)</f>
        <v>0.25714285714285701</v>
      </c>
    </row>
    <row r="1352" spans="1:25" x14ac:dyDescent="0.25">
      <c r="A1352" s="8">
        <f>[1]Data!A1352</f>
        <v>135113</v>
      </c>
      <c r="B1352" s="8">
        <f>[1]Data!B1352</f>
        <v>2</v>
      </c>
      <c r="C1352" s="8">
        <f>[1]Data!C1352</f>
        <v>3</v>
      </c>
      <c r="D1352" s="8">
        <f>[1]Data!D1352</f>
        <v>3</v>
      </c>
      <c r="E1352" s="8" t="str">
        <f>[1]Data!E1352</f>
        <v>NON-HS</v>
      </c>
      <c r="F1352" s="8" t="str">
        <f>[1]Data!F1352</f>
        <v>Woodland Hills</v>
      </c>
      <c r="G1352" s="8">
        <f>[1]Data!G1352</f>
        <v>0</v>
      </c>
      <c r="H1352" s="8">
        <f>[1]Data!H1352</f>
        <v>0</v>
      </c>
      <c r="I1352" s="8">
        <f>[1]Data!I1352</f>
        <v>2.0950000000000002</v>
      </c>
      <c r="J1352" s="8">
        <f>[1]Data!J1352</f>
        <v>1.9836996600000001</v>
      </c>
      <c r="K1352" s="8">
        <f>[1]Data!K1352</f>
        <v>1.9836996600000001</v>
      </c>
      <c r="L1352" s="8">
        <f>[1]Data!L1352</f>
        <v>0.11117260138240601</v>
      </c>
      <c r="M1352" s="8">
        <f>[1]Data!M1352</f>
        <v>2.09487226138241</v>
      </c>
      <c r="N1352" s="8">
        <f>[1]Data!N1352</f>
        <v>2.2140221402214E-2</v>
      </c>
      <c r="O1352" s="8">
        <f>[1]Data!O1352</f>
        <v>0</v>
      </c>
      <c r="P1352" s="8">
        <f>[1]Data!P1352</f>
        <v>0.12915129151291499</v>
      </c>
      <c r="Q1352" s="8">
        <f>[1]Data!Q1352</f>
        <v>1</v>
      </c>
      <c r="R1352" s="8">
        <f>[1]Data!R1352</f>
        <v>0.25714285714285701</v>
      </c>
      <c r="S1352" s="8">
        <f>[1]Data!S1352</f>
        <v>0</v>
      </c>
      <c r="T1352">
        <f t="shared" si="105"/>
        <v>0.27358987875593027</v>
      </c>
      <c r="U1352">
        <f t="shared" si="106"/>
        <v>0</v>
      </c>
      <c r="V1352" s="4" t="str">
        <f t="shared" si="107"/>
        <v>3</v>
      </c>
      <c r="W1352" s="4" t="str">
        <f t="shared" si="108"/>
        <v>2</v>
      </c>
      <c r="X1352" s="4" t="str">
        <f t="shared" si="109"/>
        <v>3NON-HS2</v>
      </c>
      <c r="Y1352">
        <f>VLOOKUP(X1352,Sheet1!$J$5:$K$121,2,FALSE)</f>
        <v>0.25714285714285701</v>
      </c>
    </row>
    <row r="1353" spans="1:25" x14ac:dyDescent="0.25">
      <c r="A1353" s="8">
        <f>[1]Data!A1353</f>
        <v>139802</v>
      </c>
      <c r="B1353" s="8">
        <f>[1]Data!B1353</f>
        <v>2</v>
      </c>
      <c r="C1353" s="8">
        <f>[1]Data!C1353</f>
        <v>3</v>
      </c>
      <c r="D1353" s="8">
        <f>[1]Data!D1353</f>
        <v>3</v>
      </c>
      <c r="E1353" s="8" t="str">
        <f>[1]Data!E1353</f>
        <v>NON-HS</v>
      </c>
      <c r="F1353" s="8" t="str">
        <f>[1]Data!F1353</f>
        <v>Tarzana</v>
      </c>
      <c r="G1353" s="8">
        <f>[1]Data!G1353</f>
        <v>0</v>
      </c>
      <c r="H1353" s="8">
        <f>[1]Data!H1353</f>
        <v>0</v>
      </c>
      <c r="I1353" s="8">
        <f>[1]Data!I1353</f>
        <v>0</v>
      </c>
      <c r="J1353" s="8">
        <f>[1]Data!J1353</f>
        <v>0</v>
      </c>
      <c r="K1353" s="8">
        <f>[1]Data!K1353</f>
        <v>0</v>
      </c>
      <c r="L1353" s="8">
        <f>[1]Data!L1353</f>
        <v>0</v>
      </c>
      <c r="M1353" s="8">
        <f>[1]Data!M1353</f>
        <v>0</v>
      </c>
      <c r="N1353" s="8">
        <f>[1]Data!N1353</f>
        <v>2.2140221402214E-2</v>
      </c>
      <c r="O1353" s="8">
        <f>[1]Data!O1353</f>
        <v>0</v>
      </c>
      <c r="P1353" s="8">
        <f>[1]Data!P1353</f>
        <v>0.12915129151291499</v>
      </c>
      <c r="Q1353" s="8">
        <f>[1]Data!Q1353</f>
        <v>1</v>
      </c>
      <c r="R1353" s="8">
        <f>[1]Data!R1353</f>
        <v>0.25714285714285701</v>
      </c>
      <c r="S1353" s="8">
        <f>[1]Data!S1353</f>
        <v>0</v>
      </c>
      <c r="T1353">
        <f t="shared" si="105"/>
        <v>0.27358987875593027</v>
      </c>
      <c r="U1353">
        <f t="shared" si="106"/>
        <v>0</v>
      </c>
      <c r="V1353" s="4" t="str">
        <f t="shared" si="107"/>
        <v>3</v>
      </c>
      <c r="W1353" s="4" t="str">
        <f t="shared" si="108"/>
        <v>2</v>
      </c>
      <c r="X1353" s="4" t="str">
        <f t="shared" si="109"/>
        <v>3NON-HS2</v>
      </c>
      <c r="Y1353">
        <f>VLOOKUP(X1353,Sheet1!$J$5:$K$121,2,FALSE)</f>
        <v>0.25714285714285701</v>
      </c>
    </row>
    <row r="1354" spans="1:25" x14ac:dyDescent="0.25">
      <c r="A1354" s="8">
        <f>[1]Data!A1354</f>
        <v>132502</v>
      </c>
      <c r="B1354" s="8">
        <f>[1]Data!B1354</f>
        <v>2</v>
      </c>
      <c r="C1354" s="8">
        <f>[1]Data!C1354</f>
        <v>3</v>
      </c>
      <c r="D1354" s="8">
        <f>[1]Data!D1354</f>
        <v>3</v>
      </c>
      <c r="E1354" s="8" t="str">
        <f>[1]Data!E1354</f>
        <v>NON-HS</v>
      </c>
      <c r="F1354" s="8" t="str">
        <f>[1]Data!F1354</f>
        <v>Reseda</v>
      </c>
      <c r="G1354" s="8">
        <f>[1]Data!G1354</f>
        <v>0</v>
      </c>
      <c r="H1354" s="8">
        <f>[1]Data!H1354</f>
        <v>0</v>
      </c>
      <c r="I1354" s="8">
        <f>[1]Data!I1354</f>
        <v>9.6319999999999997</v>
      </c>
      <c r="J1354" s="8">
        <f>[1]Data!J1354</f>
        <v>9.2163557699999998</v>
      </c>
      <c r="K1354" s="8">
        <f>[1]Data!K1354</f>
        <v>9.2163557699999998</v>
      </c>
      <c r="L1354" s="8">
        <f>[1]Data!L1354</f>
        <v>0.41504785307001801</v>
      </c>
      <c r="M1354" s="8">
        <f>[1]Data!M1354</f>
        <v>9.6314036230700193</v>
      </c>
      <c r="N1354" s="8">
        <f>[1]Data!N1354</f>
        <v>2.2140221402214E-2</v>
      </c>
      <c r="O1354" s="8">
        <f>[1]Data!O1354</f>
        <v>0</v>
      </c>
      <c r="P1354" s="8">
        <f>[1]Data!P1354</f>
        <v>0.12915129151291499</v>
      </c>
      <c r="Q1354" s="8">
        <f>[1]Data!Q1354</f>
        <v>1</v>
      </c>
      <c r="R1354" s="8">
        <f>[1]Data!R1354</f>
        <v>0.25714285714285701</v>
      </c>
      <c r="S1354" s="8">
        <f>[1]Data!S1354</f>
        <v>0</v>
      </c>
      <c r="T1354">
        <f t="shared" si="105"/>
        <v>0.27358987875593027</v>
      </c>
      <c r="U1354">
        <f t="shared" si="106"/>
        <v>0</v>
      </c>
      <c r="V1354" s="4" t="str">
        <f t="shared" si="107"/>
        <v>3</v>
      </c>
      <c r="W1354" s="4" t="str">
        <f t="shared" si="108"/>
        <v>2</v>
      </c>
      <c r="X1354" s="4" t="str">
        <f t="shared" si="109"/>
        <v>3NON-HS2</v>
      </c>
      <c r="Y1354">
        <f>VLOOKUP(X1354,Sheet1!$J$5:$K$121,2,FALSE)</f>
        <v>0.25714285714285701</v>
      </c>
    </row>
    <row r="1355" spans="1:25" x14ac:dyDescent="0.25">
      <c r="A1355" s="8">
        <f>[1]Data!A1355</f>
        <v>134720</v>
      </c>
      <c r="B1355" s="8">
        <f>[1]Data!B1355</f>
        <v>2</v>
      </c>
      <c r="C1355" s="8">
        <f>[1]Data!C1355</f>
        <v>3</v>
      </c>
      <c r="D1355" s="8">
        <f>[1]Data!D1355</f>
        <v>3</v>
      </c>
      <c r="E1355" s="8" t="str">
        <f>[1]Data!E1355</f>
        <v>NON-HS</v>
      </c>
      <c r="F1355" s="8" t="str">
        <f>[1]Data!F1355</f>
        <v>Winnetka</v>
      </c>
      <c r="G1355" s="8">
        <f>[1]Data!G1355</f>
        <v>0</v>
      </c>
      <c r="H1355" s="8">
        <f>[1]Data!H1355</f>
        <v>0</v>
      </c>
      <c r="I1355" s="8">
        <f>[1]Data!I1355</f>
        <v>6.2850000000000001</v>
      </c>
      <c r="J1355" s="8">
        <f>[1]Data!J1355</f>
        <v>5.9510989800000003</v>
      </c>
      <c r="K1355" s="8">
        <f>[1]Data!K1355</f>
        <v>5.9510989800000003</v>
      </c>
      <c r="L1355" s="8">
        <f>[1]Data!L1355</f>
        <v>0.33351780414721699</v>
      </c>
      <c r="M1355" s="8">
        <f>[1]Data!M1355</f>
        <v>6.2846167841472198</v>
      </c>
      <c r="N1355" s="8">
        <f>[1]Data!N1355</f>
        <v>2.2140221402214E-2</v>
      </c>
      <c r="O1355" s="8">
        <f>[1]Data!O1355</f>
        <v>0</v>
      </c>
      <c r="P1355" s="8">
        <f>[1]Data!P1355</f>
        <v>0.12915129151291499</v>
      </c>
      <c r="Q1355" s="8">
        <f>[1]Data!Q1355</f>
        <v>1</v>
      </c>
      <c r="R1355" s="8">
        <f>[1]Data!R1355</f>
        <v>0.25714285714285701</v>
      </c>
      <c r="S1355" s="8">
        <f>[1]Data!S1355</f>
        <v>0</v>
      </c>
      <c r="T1355">
        <f t="shared" si="105"/>
        <v>0.27358987875593027</v>
      </c>
      <c r="U1355">
        <f t="shared" si="106"/>
        <v>0</v>
      </c>
      <c r="V1355" s="4" t="str">
        <f t="shared" si="107"/>
        <v>3</v>
      </c>
      <c r="W1355" s="4" t="str">
        <f t="shared" si="108"/>
        <v>2</v>
      </c>
      <c r="X1355" s="4" t="str">
        <f t="shared" si="109"/>
        <v>3NON-HS2</v>
      </c>
      <c r="Y1355">
        <f>VLOOKUP(X1355,Sheet1!$J$5:$K$121,2,FALSE)</f>
        <v>0.25714285714285701</v>
      </c>
    </row>
    <row r="1356" spans="1:25" x14ac:dyDescent="0.25">
      <c r="A1356" s="8">
        <f>[1]Data!A1356</f>
        <v>128601</v>
      </c>
      <c r="B1356" s="8">
        <f>[1]Data!B1356</f>
        <v>2</v>
      </c>
      <c r="C1356" s="8">
        <f>[1]Data!C1356</f>
        <v>4</v>
      </c>
      <c r="D1356" s="8">
        <f>[1]Data!D1356</f>
        <v>3</v>
      </c>
      <c r="E1356" s="8" t="str">
        <f>[1]Data!E1356</f>
        <v>CVCTE</v>
      </c>
      <c r="F1356" s="8" t="str">
        <f>[1]Data!F1356</f>
        <v>Van Nuys</v>
      </c>
      <c r="G1356" s="8">
        <f>[1]Data!G1356</f>
        <v>0</v>
      </c>
      <c r="H1356" s="8">
        <f>[1]Data!H1356</f>
        <v>1</v>
      </c>
      <c r="I1356" s="8">
        <f>[1]Data!I1356</f>
        <v>25.398</v>
      </c>
      <c r="J1356" s="8">
        <f>[1]Data!J1356</f>
        <v>25.103200919999999</v>
      </c>
      <c r="K1356" s="8">
        <f>[1]Data!K1356</f>
        <v>25.103200919999999</v>
      </c>
      <c r="L1356" s="8">
        <f>[1]Data!L1356</f>
        <v>0.29482077689407499</v>
      </c>
      <c r="M1356" s="8">
        <f>[1]Data!M1356</f>
        <v>25.398021696894101</v>
      </c>
      <c r="N1356" s="8">
        <f>[1]Data!N1356</f>
        <v>0.17910447761194001</v>
      </c>
      <c r="O1356" s="8">
        <f>[1]Data!O1356</f>
        <v>0</v>
      </c>
      <c r="P1356" s="8">
        <f>[1]Data!P1356</f>
        <v>2.2388059701492501E-2</v>
      </c>
      <c r="Q1356" s="8">
        <f>[1]Data!Q1356</f>
        <v>0.375</v>
      </c>
      <c r="R1356" s="8">
        <f>[1]Data!R1356</f>
        <v>0.6</v>
      </c>
      <c r="S1356" s="8">
        <f>[1]Data!S1356</f>
        <v>1.6666666666666701</v>
      </c>
      <c r="T1356">
        <f t="shared" si="105"/>
        <v>0.67164179104477595</v>
      </c>
      <c r="U1356">
        <f t="shared" si="106"/>
        <v>1.4888888888888894</v>
      </c>
      <c r="V1356" s="4" t="str">
        <f t="shared" si="107"/>
        <v>4</v>
      </c>
      <c r="W1356" s="4" t="str">
        <f t="shared" si="108"/>
        <v>2</v>
      </c>
      <c r="X1356" s="4" t="str">
        <f t="shared" si="109"/>
        <v>4CVCTE2</v>
      </c>
      <c r="Y1356">
        <f>VLOOKUP(X1356,Sheet1!$J$5:$K$121,2,FALSE)</f>
        <v>0.6</v>
      </c>
    </row>
    <row r="1357" spans="1:25" x14ac:dyDescent="0.25">
      <c r="A1357" s="8">
        <f>[1]Data!A1357</f>
        <v>128400</v>
      </c>
      <c r="B1357" s="8">
        <f>[1]Data!B1357</f>
        <v>2</v>
      </c>
      <c r="C1357" s="8">
        <f>[1]Data!C1357</f>
        <v>4</v>
      </c>
      <c r="D1357" s="8">
        <f>[1]Data!D1357</f>
        <v>3</v>
      </c>
      <c r="E1357" s="8" t="str">
        <f>[1]Data!E1357</f>
        <v>CVCTE</v>
      </c>
      <c r="F1357" s="8" t="str">
        <f>[1]Data!F1357</f>
        <v>Van Nuys</v>
      </c>
      <c r="G1357" s="8">
        <f>[1]Data!G1357</f>
        <v>0</v>
      </c>
      <c r="H1357" s="8">
        <f>[1]Data!H1357</f>
        <v>1</v>
      </c>
      <c r="I1357" s="8">
        <f>[1]Data!I1357</f>
        <v>62.661999999999999</v>
      </c>
      <c r="J1357" s="8">
        <f>[1]Data!J1357</f>
        <v>54.060285800000003</v>
      </c>
      <c r="K1357" s="8">
        <f>[1]Data!K1357</f>
        <v>60.060285800000003</v>
      </c>
      <c r="L1357" s="8">
        <f>[1]Data!L1357</f>
        <v>2.6024739335368001</v>
      </c>
      <c r="M1357" s="8">
        <f>[1]Data!M1357</f>
        <v>62.662759733536802</v>
      </c>
      <c r="N1357" s="8">
        <f>[1]Data!N1357</f>
        <v>0.17910447761194001</v>
      </c>
      <c r="O1357" s="8">
        <f>[1]Data!O1357</f>
        <v>0</v>
      </c>
      <c r="P1357" s="8">
        <f>[1]Data!P1357</f>
        <v>2.2388059701492501E-2</v>
      </c>
      <c r="Q1357" s="8">
        <f>[1]Data!Q1357</f>
        <v>0.375</v>
      </c>
      <c r="R1357" s="8">
        <f>[1]Data!R1357</f>
        <v>0.6</v>
      </c>
      <c r="S1357" s="8">
        <f>[1]Data!S1357</f>
        <v>1.6666666666666701</v>
      </c>
      <c r="T1357">
        <f t="shared" si="105"/>
        <v>0.67164179104477595</v>
      </c>
      <c r="U1357">
        <f t="shared" si="106"/>
        <v>1.4888888888888894</v>
      </c>
      <c r="V1357" s="4" t="str">
        <f t="shared" si="107"/>
        <v>4</v>
      </c>
      <c r="W1357" s="4" t="str">
        <f t="shared" si="108"/>
        <v>2</v>
      </c>
      <c r="X1357" s="4" t="str">
        <f t="shared" si="109"/>
        <v>4CVCTE2</v>
      </c>
      <c r="Y1357">
        <f>VLOOKUP(X1357,Sheet1!$J$5:$K$121,2,FALSE)</f>
        <v>0.6</v>
      </c>
    </row>
    <row r="1358" spans="1:25" x14ac:dyDescent="0.25">
      <c r="A1358" s="8">
        <f>[1]Data!A1358</f>
        <v>143700</v>
      </c>
      <c r="B1358" s="8">
        <f>[1]Data!B1358</f>
        <v>2</v>
      </c>
      <c r="C1358" s="8">
        <f>[1]Data!C1358</f>
        <v>4</v>
      </c>
      <c r="D1358" s="8">
        <f>[1]Data!D1358</f>
        <v>3</v>
      </c>
      <c r="E1358" s="8" t="str">
        <f>[1]Data!E1358</f>
        <v>CVCTE</v>
      </c>
      <c r="F1358" s="8" t="str">
        <f>[1]Data!F1358</f>
        <v>Hollywood Hills West</v>
      </c>
      <c r="G1358" s="8">
        <f>[1]Data!G1358</f>
        <v>0</v>
      </c>
      <c r="H1358" s="8">
        <f>[1]Data!H1358</f>
        <v>1</v>
      </c>
      <c r="I1358" s="8">
        <f>[1]Data!I1358</f>
        <v>27.620999999999999</v>
      </c>
      <c r="J1358" s="8">
        <f>[1]Data!J1358</f>
        <v>19.3885611</v>
      </c>
      <c r="K1358" s="8">
        <f>[1]Data!K1358</f>
        <v>27.3885611</v>
      </c>
      <c r="L1358" s="8">
        <f>[1]Data!L1358</f>
        <v>0.23294481064632</v>
      </c>
      <c r="M1358" s="8">
        <f>[1]Data!M1358</f>
        <v>27.621505910646299</v>
      </c>
      <c r="N1358" s="8">
        <f>[1]Data!N1358</f>
        <v>0.17910447761194001</v>
      </c>
      <c r="O1358" s="8">
        <f>[1]Data!O1358</f>
        <v>0</v>
      </c>
      <c r="P1358" s="8">
        <f>[1]Data!P1358</f>
        <v>2.2388059701492501E-2</v>
      </c>
      <c r="Q1358" s="8">
        <f>[1]Data!Q1358</f>
        <v>0.375</v>
      </c>
      <c r="R1358" s="8">
        <f>[1]Data!R1358</f>
        <v>0.6</v>
      </c>
      <c r="S1358" s="8">
        <f>[1]Data!S1358</f>
        <v>1.6666666666666701</v>
      </c>
      <c r="T1358">
        <f t="shared" si="105"/>
        <v>0.67164179104477595</v>
      </c>
      <c r="U1358">
        <f t="shared" si="106"/>
        <v>1.4888888888888894</v>
      </c>
      <c r="V1358" s="4" t="str">
        <f t="shared" si="107"/>
        <v>4</v>
      </c>
      <c r="W1358" s="4" t="str">
        <f t="shared" si="108"/>
        <v>2</v>
      </c>
      <c r="X1358" s="4" t="str">
        <f t="shared" si="109"/>
        <v>4CVCTE2</v>
      </c>
      <c r="Y1358">
        <f>VLOOKUP(X1358,Sheet1!$J$5:$K$121,2,FALSE)</f>
        <v>0.6</v>
      </c>
    </row>
    <row r="1359" spans="1:25" x14ac:dyDescent="0.25">
      <c r="A1359" s="8">
        <f>[1]Data!A1359</f>
        <v>195300</v>
      </c>
      <c r="B1359" s="8">
        <f>[1]Data!B1359</f>
        <v>4</v>
      </c>
      <c r="C1359" s="8">
        <f>[1]Data!C1359</f>
        <v>4</v>
      </c>
      <c r="D1359" s="8">
        <f>[1]Data!D1359</f>
        <v>3</v>
      </c>
      <c r="E1359" s="8" t="str">
        <f>[1]Data!E1359</f>
        <v>CVCTE</v>
      </c>
      <c r="F1359" s="8" t="str">
        <f>[1]Data!F1359</f>
        <v>Los Feliz</v>
      </c>
      <c r="G1359" s="8">
        <f>[1]Data!G1359</f>
        <v>1</v>
      </c>
      <c r="H1359" s="8">
        <f>[1]Data!H1359</f>
        <v>1</v>
      </c>
      <c r="I1359" s="8">
        <f>[1]Data!I1359</f>
        <v>26.129000000000001</v>
      </c>
      <c r="J1359" s="8">
        <f>[1]Data!J1359</f>
        <v>14.8706826</v>
      </c>
      <c r="K1359" s="8">
        <f>[1]Data!K1359</f>
        <v>25.870682599999999</v>
      </c>
      <c r="L1359" s="8">
        <f>[1]Data!L1359</f>
        <v>0.25728307531418299</v>
      </c>
      <c r="M1359" s="8">
        <f>[1]Data!M1359</f>
        <v>26.127965675314201</v>
      </c>
      <c r="N1359" s="8">
        <f>[1]Data!N1359</f>
        <v>0.164383561643836</v>
      </c>
      <c r="O1359" s="8">
        <f>[1]Data!O1359</f>
        <v>6.0833333333333304</v>
      </c>
      <c r="P1359" s="8">
        <f>[1]Data!P1359</f>
        <v>4.1095890410958902E-2</v>
      </c>
      <c r="Q1359" s="8">
        <f>[1]Data!Q1359</f>
        <v>0.375</v>
      </c>
      <c r="R1359" s="8">
        <f>[1]Data!R1359</f>
        <v>0</v>
      </c>
      <c r="S1359" s="8">
        <f>[1]Data!S1359</f>
        <v>0</v>
      </c>
      <c r="T1359">
        <f t="shared" si="105"/>
        <v>0.66575342465753429</v>
      </c>
      <c r="U1359">
        <f t="shared" si="106"/>
        <v>1.5020576131687242</v>
      </c>
      <c r="V1359" s="4" t="str">
        <f t="shared" si="107"/>
        <v>4</v>
      </c>
      <c r="W1359" s="4" t="str">
        <f t="shared" si="108"/>
        <v>4</v>
      </c>
      <c r="X1359" s="4" t="str">
        <f t="shared" si="109"/>
        <v>4CVCTE4</v>
      </c>
      <c r="Y1359">
        <f>VLOOKUP(X1359,Sheet1!$J$5:$K$121,2,FALSE)</f>
        <v>0.6</v>
      </c>
    </row>
    <row r="1360" spans="1:25" x14ac:dyDescent="0.25">
      <c r="A1360" s="8">
        <f>[1]Data!A1360</f>
        <v>214501</v>
      </c>
      <c r="B1360" s="8">
        <f>[1]Data!B1360</f>
        <v>4</v>
      </c>
      <c r="C1360" s="8">
        <f>[1]Data!C1360</f>
        <v>4</v>
      </c>
      <c r="D1360" s="8">
        <f>[1]Data!D1360</f>
        <v>3</v>
      </c>
      <c r="E1360" s="8" t="str">
        <f>[1]Data!E1360</f>
        <v>CVCTE</v>
      </c>
      <c r="F1360" s="8" t="str">
        <f>[1]Data!F1360</f>
        <v>Mid-City West</v>
      </c>
      <c r="G1360" s="8">
        <f>[1]Data!G1360</f>
        <v>0</v>
      </c>
      <c r="H1360" s="8">
        <f>[1]Data!H1360</f>
        <v>0</v>
      </c>
      <c r="I1360" s="8">
        <f>[1]Data!I1360</f>
        <v>13.554</v>
      </c>
      <c r="J1360" s="8">
        <f>[1]Data!J1360</f>
        <v>5.4910515000000002</v>
      </c>
      <c r="K1360" s="8">
        <f>[1]Data!K1360</f>
        <v>13.491051499999999</v>
      </c>
      <c r="L1360" s="8">
        <f>[1]Data!L1360</f>
        <v>6.2742575924596006E-2</v>
      </c>
      <c r="M1360" s="8">
        <f>[1]Data!M1360</f>
        <v>13.5537940759246</v>
      </c>
      <c r="N1360" s="8">
        <f>[1]Data!N1360</f>
        <v>0.164383561643836</v>
      </c>
      <c r="O1360" s="8">
        <f>[1]Data!O1360</f>
        <v>0</v>
      </c>
      <c r="P1360" s="8">
        <f>[1]Data!P1360</f>
        <v>4.1095890410958902E-2</v>
      </c>
      <c r="Q1360" s="8">
        <f>[1]Data!Q1360</f>
        <v>0.375</v>
      </c>
      <c r="R1360" s="8">
        <f>[1]Data!R1360</f>
        <v>0.6</v>
      </c>
      <c r="S1360" s="8">
        <f>[1]Data!S1360</f>
        <v>0</v>
      </c>
      <c r="T1360">
        <f t="shared" si="105"/>
        <v>0.66575342465753429</v>
      </c>
      <c r="U1360">
        <f t="shared" si="106"/>
        <v>0</v>
      </c>
      <c r="V1360" s="4" t="str">
        <f t="shared" si="107"/>
        <v>4</v>
      </c>
      <c r="W1360" s="4" t="str">
        <f t="shared" si="108"/>
        <v>4</v>
      </c>
      <c r="X1360" s="4" t="str">
        <f t="shared" si="109"/>
        <v>4CVCTE4</v>
      </c>
      <c r="Y1360">
        <f>VLOOKUP(X1360,Sheet1!$J$5:$K$121,2,FALSE)</f>
        <v>0.6</v>
      </c>
    </row>
    <row r="1361" spans="1:25" x14ac:dyDescent="0.25">
      <c r="A1361" s="8">
        <f>[1]Data!A1361</f>
        <v>980009</v>
      </c>
      <c r="B1361" s="8">
        <f>[1]Data!B1361</f>
        <v>4</v>
      </c>
      <c r="C1361" s="8">
        <f>[1]Data!C1361</f>
        <v>4</v>
      </c>
      <c r="D1361" s="8">
        <f>[1]Data!D1361</f>
        <v>3</v>
      </c>
      <c r="E1361" s="8" t="str">
        <f>[1]Data!E1361</f>
        <v>CVCTE</v>
      </c>
      <c r="F1361" s="8" t="str">
        <f>[1]Data!F1361</f>
        <v>Los Feliz</v>
      </c>
      <c r="G1361" s="8">
        <f>[1]Data!G1361</f>
        <v>0</v>
      </c>
      <c r="H1361" s="8">
        <f>[1]Data!H1361</f>
        <v>0</v>
      </c>
      <c r="I1361" s="8">
        <f>[1]Data!I1361</f>
        <v>69.054000000000002</v>
      </c>
      <c r="J1361" s="8">
        <f>[1]Data!J1361</f>
        <v>45.502288679999999</v>
      </c>
      <c r="K1361" s="8">
        <f>[1]Data!K1361</f>
        <v>68.502288680000007</v>
      </c>
      <c r="L1361" s="8">
        <f>[1]Data!L1361</f>
        <v>0.55185734833034095</v>
      </c>
      <c r="M1361" s="8">
        <f>[1]Data!M1361</f>
        <v>69.054146028330294</v>
      </c>
      <c r="N1361" s="8">
        <f>[1]Data!N1361</f>
        <v>0.164383561643836</v>
      </c>
      <c r="O1361" s="8">
        <f>[1]Data!O1361</f>
        <v>0</v>
      </c>
      <c r="P1361" s="8">
        <f>[1]Data!P1361</f>
        <v>4.1095890410958902E-2</v>
      </c>
      <c r="Q1361" s="8">
        <f>[1]Data!Q1361</f>
        <v>0.375</v>
      </c>
      <c r="R1361" s="8">
        <f>[1]Data!R1361</f>
        <v>0.6</v>
      </c>
      <c r="S1361" s="8">
        <f>[1]Data!S1361</f>
        <v>0</v>
      </c>
      <c r="T1361">
        <f t="shared" si="105"/>
        <v>0.66575342465753429</v>
      </c>
      <c r="U1361">
        <f t="shared" si="106"/>
        <v>0</v>
      </c>
      <c r="V1361" s="4" t="str">
        <f t="shared" si="107"/>
        <v>4</v>
      </c>
      <c r="W1361" s="4" t="str">
        <f t="shared" si="108"/>
        <v>4</v>
      </c>
      <c r="X1361" s="4" t="str">
        <f t="shared" si="109"/>
        <v>4CVCTE4</v>
      </c>
      <c r="Y1361">
        <f>VLOOKUP(X1361,Sheet1!$J$5:$K$121,2,FALSE)</f>
        <v>0.6</v>
      </c>
    </row>
    <row r="1362" spans="1:25" x14ac:dyDescent="0.25">
      <c r="A1362" s="8">
        <f>[1]Data!A1362</f>
        <v>189600</v>
      </c>
      <c r="B1362" s="8">
        <f>[1]Data!B1362</f>
        <v>11</v>
      </c>
      <c r="C1362" s="8">
        <f>[1]Data!C1362</f>
        <v>4</v>
      </c>
      <c r="D1362" s="8">
        <f>[1]Data!D1362</f>
        <v>3</v>
      </c>
      <c r="E1362" s="8" t="str">
        <f>[1]Data!E1362</f>
        <v>CVCTE</v>
      </c>
      <c r="F1362" s="8" t="str">
        <f>[1]Data!F1362</f>
        <v>Hollywood</v>
      </c>
      <c r="G1362" s="8">
        <f>[1]Data!G1362</f>
        <v>1</v>
      </c>
      <c r="H1362" s="8">
        <f>[1]Data!H1362</f>
        <v>1</v>
      </c>
      <c r="I1362" s="8">
        <f>[1]Data!I1362</f>
        <v>24.263999999999999</v>
      </c>
      <c r="J1362" s="8">
        <f>[1]Data!J1362</f>
        <v>13.6206817</v>
      </c>
      <c r="K1362" s="8">
        <f>[1]Data!K1362</f>
        <v>23.620681699999999</v>
      </c>
      <c r="L1362" s="8">
        <f>[1]Data!L1362</f>
        <v>0.64409669759425503</v>
      </c>
      <c r="M1362" s="8">
        <f>[1]Data!M1362</f>
        <v>24.264778397594299</v>
      </c>
      <c r="N1362" s="8">
        <f>[1]Data!N1362</f>
        <v>0.46666666666666701</v>
      </c>
      <c r="O1362" s="8">
        <f>[1]Data!O1362</f>
        <v>2.1428571428571401</v>
      </c>
      <c r="P1362" s="8">
        <f>[1]Data!P1362</f>
        <v>0.133333333333333</v>
      </c>
      <c r="Q1362" s="8">
        <f>[1]Data!Q1362</f>
        <v>0.25</v>
      </c>
      <c r="R1362" s="8">
        <f>[1]Data!R1362</f>
        <v>0</v>
      </c>
      <c r="S1362" s="8">
        <f>[1]Data!S1362</f>
        <v>0</v>
      </c>
      <c r="T1362">
        <f t="shared" si="105"/>
        <v>0.46666666666666701</v>
      </c>
      <c r="U1362">
        <f t="shared" si="106"/>
        <v>2.1428571428571415</v>
      </c>
      <c r="V1362" s="4" t="str">
        <f t="shared" si="107"/>
        <v>4</v>
      </c>
      <c r="W1362" s="4" t="str">
        <f t="shared" si="108"/>
        <v>11</v>
      </c>
      <c r="X1362" s="4" t="str">
        <f t="shared" si="109"/>
        <v>4CVCTE11</v>
      </c>
      <c r="Y1362">
        <f>VLOOKUP(X1362,Sheet1!$J$5:$K$121,2,FALSE)</f>
        <v>0</v>
      </c>
    </row>
    <row r="1363" spans="1:25" x14ac:dyDescent="0.25">
      <c r="A1363" s="8">
        <f>[1]Data!A1363</f>
        <v>191901</v>
      </c>
      <c r="B1363" s="8">
        <f>[1]Data!B1363</f>
        <v>11</v>
      </c>
      <c r="C1363" s="8">
        <f>[1]Data!C1363</f>
        <v>4</v>
      </c>
      <c r="D1363" s="8">
        <f>[1]Data!D1363</f>
        <v>3</v>
      </c>
      <c r="E1363" s="8" t="str">
        <f>[1]Data!E1363</f>
        <v>CVCTE</v>
      </c>
      <c r="F1363" s="8" t="str">
        <f>[1]Data!F1363</f>
        <v>Hollywood</v>
      </c>
      <c r="G1363" s="8">
        <f>[1]Data!G1363</f>
        <v>1</v>
      </c>
      <c r="H1363" s="8">
        <f>[1]Data!H1363</f>
        <v>1</v>
      </c>
      <c r="I1363" s="8">
        <f>[1]Data!I1363</f>
        <v>55.198</v>
      </c>
      <c r="J1363" s="8">
        <f>[1]Data!J1363</f>
        <v>32.119163460000003</v>
      </c>
      <c r="K1363" s="8">
        <f>[1]Data!K1363</f>
        <v>54.119163460000003</v>
      </c>
      <c r="L1363" s="8">
        <f>[1]Data!L1363</f>
        <v>1.07847514850987</v>
      </c>
      <c r="M1363" s="8">
        <f>[1]Data!M1363</f>
        <v>55.197638608509898</v>
      </c>
      <c r="N1363" s="8">
        <f>[1]Data!N1363</f>
        <v>0.46666666666666701</v>
      </c>
      <c r="O1363" s="8">
        <f>[1]Data!O1363</f>
        <v>2.1428571428571401</v>
      </c>
      <c r="P1363" s="8">
        <f>[1]Data!P1363</f>
        <v>0.133333333333333</v>
      </c>
      <c r="Q1363" s="8">
        <f>[1]Data!Q1363</f>
        <v>0.25</v>
      </c>
      <c r="R1363" s="8">
        <f>[1]Data!R1363</f>
        <v>0</v>
      </c>
      <c r="S1363" s="8">
        <f>[1]Data!S1363</f>
        <v>0</v>
      </c>
      <c r="T1363">
        <f t="shared" si="105"/>
        <v>0.46666666666666701</v>
      </c>
      <c r="U1363">
        <f t="shared" si="106"/>
        <v>2.1428571428571415</v>
      </c>
      <c r="V1363" s="4" t="str">
        <f t="shared" si="107"/>
        <v>4</v>
      </c>
      <c r="W1363" s="4" t="str">
        <f t="shared" si="108"/>
        <v>11</v>
      </c>
      <c r="X1363" s="4" t="str">
        <f t="shared" si="109"/>
        <v>4CVCTE11</v>
      </c>
      <c r="Y1363">
        <f>VLOOKUP(X1363,Sheet1!$J$5:$K$121,2,FALSE)</f>
        <v>0</v>
      </c>
    </row>
    <row r="1364" spans="1:25" x14ac:dyDescent="0.25">
      <c r="A1364" s="8">
        <f>[1]Data!A1364</f>
        <v>194101</v>
      </c>
      <c r="B1364" s="8">
        <f>[1]Data!B1364</f>
        <v>4</v>
      </c>
      <c r="C1364" s="8">
        <f>[1]Data!C1364</f>
        <v>4</v>
      </c>
      <c r="D1364" s="8">
        <f>[1]Data!D1364</f>
        <v>3</v>
      </c>
      <c r="E1364" s="8" t="str">
        <f>[1]Data!E1364</f>
        <v>FAMILY</v>
      </c>
      <c r="F1364" s="8" t="str">
        <f>[1]Data!F1364</f>
        <v>Hollywood Hills West</v>
      </c>
      <c r="G1364" s="8">
        <f>[1]Data!G1364</f>
        <v>1</v>
      </c>
      <c r="H1364" s="8">
        <f>[1]Data!H1364</f>
        <v>1</v>
      </c>
      <c r="I1364" s="8">
        <f>[1]Data!I1364</f>
        <v>7.3710000000000004</v>
      </c>
      <c r="J1364" s="8">
        <f>[1]Data!J1364</f>
        <v>6.8457924600000002</v>
      </c>
      <c r="K1364" s="8">
        <f>[1]Data!K1364</f>
        <v>6.8457924600000002</v>
      </c>
      <c r="L1364" s="8">
        <f>[1]Data!L1364</f>
        <v>0.52524921504488298</v>
      </c>
      <c r="M1364" s="8">
        <f>[1]Data!M1364</f>
        <v>7.3710416750448804</v>
      </c>
      <c r="N1364" s="8">
        <f>[1]Data!N1364</f>
        <v>1</v>
      </c>
      <c r="O1364" s="8">
        <f>[1]Data!O1364</f>
        <v>1</v>
      </c>
      <c r="P1364" s="8">
        <f>[1]Data!P1364</f>
        <v>0</v>
      </c>
      <c r="Q1364" s="8">
        <f>[1]Data!Q1364</f>
        <v>0</v>
      </c>
      <c r="R1364" s="8">
        <f>[1]Data!R1364</f>
        <v>0</v>
      </c>
      <c r="S1364" s="8">
        <f>[1]Data!S1364</f>
        <v>0</v>
      </c>
      <c r="T1364">
        <f t="shared" si="105"/>
        <v>1</v>
      </c>
      <c r="U1364">
        <f t="shared" si="106"/>
        <v>1</v>
      </c>
      <c r="V1364" s="4" t="str">
        <f t="shared" si="107"/>
        <v>4</v>
      </c>
      <c r="W1364" s="4" t="str">
        <f t="shared" si="108"/>
        <v>4</v>
      </c>
      <c r="X1364" s="4" t="str">
        <f t="shared" si="109"/>
        <v>4FAMILY4</v>
      </c>
      <c r="Y1364">
        <f>VLOOKUP(X1364,Sheet1!$J$5:$K$121,2,FALSE)</f>
        <v>0</v>
      </c>
    </row>
    <row r="1365" spans="1:25" x14ac:dyDescent="0.25">
      <c r="A1365" s="8">
        <f>[1]Data!A1365</f>
        <v>141304</v>
      </c>
      <c r="B1365" s="8">
        <f>[1]Data!B1365</f>
        <v>2</v>
      </c>
      <c r="C1365" s="8">
        <f>[1]Data!C1365</f>
        <v>4</v>
      </c>
      <c r="D1365" s="8">
        <f>[1]Data!D1365</f>
        <v>3</v>
      </c>
      <c r="E1365" s="8" t="str">
        <f>[1]Data!E1365</f>
        <v>INDIV</v>
      </c>
      <c r="F1365" s="8" t="str">
        <f>[1]Data!F1365</f>
        <v>Sherman Oaks</v>
      </c>
      <c r="G1365" s="8">
        <f>[1]Data!G1365</f>
        <v>0</v>
      </c>
      <c r="H1365" s="8">
        <f>[1]Data!H1365</f>
        <v>1</v>
      </c>
      <c r="I1365" s="8">
        <f>[1]Data!I1365</f>
        <v>4</v>
      </c>
      <c r="J1365" s="8">
        <f>[1]Data!J1365</f>
        <v>0</v>
      </c>
      <c r="K1365" s="8">
        <f>[1]Data!K1365</f>
        <v>4</v>
      </c>
      <c r="L1365" s="8">
        <f>[1]Data!L1365</f>
        <v>0</v>
      </c>
      <c r="M1365" s="8">
        <f>[1]Data!M1365</f>
        <v>4</v>
      </c>
      <c r="N1365" s="8">
        <f>[1]Data!N1365</f>
        <v>4.8387096774193498E-2</v>
      </c>
      <c r="O1365" s="8">
        <f>[1]Data!O1365</f>
        <v>0</v>
      </c>
      <c r="P1365" s="8">
        <f>[1]Data!P1365</f>
        <v>9.6774193548387094E-2</v>
      </c>
      <c r="Q1365" s="8">
        <f>[1]Data!Q1365</f>
        <v>0.375</v>
      </c>
      <c r="R1365" s="8">
        <f>[1]Data!R1365</f>
        <v>0.14285714285714299</v>
      </c>
      <c r="S1365" s="8">
        <f>[1]Data!S1365</f>
        <v>7</v>
      </c>
      <c r="T1365">
        <f t="shared" si="105"/>
        <v>0.18433179723502313</v>
      </c>
      <c r="U1365">
        <f t="shared" si="106"/>
        <v>5.4249999999999972</v>
      </c>
      <c r="V1365" s="4" t="str">
        <f t="shared" si="107"/>
        <v>4</v>
      </c>
      <c r="W1365" s="4" t="str">
        <f t="shared" si="108"/>
        <v>2</v>
      </c>
      <c r="X1365" s="4" t="str">
        <f t="shared" si="109"/>
        <v>4INDIV2</v>
      </c>
      <c r="Y1365">
        <f>VLOOKUP(X1365,Sheet1!$J$5:$K$121,2,FALSE)</f>
        <v>0.14285714285714299</v>
      </c>
    </row>
    <row r="1366" spans="1:25" x14ac:dyDescent="0.25">
      <c r="A1366" s="8">
        <f>[1]Data!A1366</f>
        <v>143100</v>
      </c>
      <c r="B1366" s="8">
        <f>[1]Data!B1366</f>
        <v>2</v>
      </c>
      <c r="C1366" s="8">
        <f>[1]Data!C1366</f>
        <v>4</v>
      </c>
      <c r="D1366" s="8">
        <f>[1]Data!D1366</f>
        <v>3</v>
      </c>
      <c r="E1366" s="8" t="str">
        <f>[1]Data!E1366</f>
        <v>INDIV</v>
      </c>
      <c r="F1366" s="8" t="str">
        <f>[1]Data!F1366</f>
        <v>North Hollywood</v>
      </c>
      <c r="G1366" s="8">
        <f>[1]Data!G1366</f>
        <v>0</v>
      </c>
      <c r="H1366" s="8">
        <f>[1]Data!H1366</f>
        <v>0</v>
      </c>
      <c r="I1366" s="8">
        <f>[1]Data!I1366</f>
        <v>14.42</v>
      </c>
      <c r="J1366" s="8">
        <f>[1]Data!J1366</f>
        <v>7.0609083400000001</v>
      </c>
      <c r="K1366" s="8">
        <f>[1]Data!K1366</f>
        <v>14.060908339999999</v>
      </c>
      <c r="L1366" s="8">
        <f>[1]Data!L1366</f>
        <v>0.35823543989228002</v>
      </c>
      <c r="M1366" s="8">
        <f>[1]Data!M1366</f>
        <v>14.4191437798923</v>
      </c>
      <c r="N1366" s="8">
        <f>[1]Data!N1366</f>
        <v>4.8387096774193498E-2</v>
      </c>
      <c r="O1366" s="8">
        <f>[1]Data!O1366</f>
        <v>0</v>
      </c>
      <c r="P1366" s="8">
        <f>[1]Data!P1366</f>
        <v>9.6774193548387094E-2</v>
      </c>
      <c r="Q1366" s="8">
        <f>[1]Data!Q1366</f>
        <v>0.375</v>
      </c>
      <c r="R1366" s="8">
        <f>[1]Data!R1366</f>
        <v>0.14285714285714299</v>
      </c>
      <c r="S1366" s="8">
        <f>[1]Data!S1366</f>
        <v>0</v>
      </c>
      <c r="T1366">
        <f t="shared" si="105"/>
        <v>0.18433179723502313</v>
      </c>
      <c r="U1366">
        <f t="shared" si="106"/>
        <v>0</v>
      </c>
      <c r="V1366" s="4" t="str">
        <f t="shared" si="107"/>
        <v>4</v>
      </c>
      <c r="W1366" s="4" t="str">
        <f t="shared" si="108"/>
        <v>2</v>
      </c>
      <c r="X1366" s="4" t="str">
        <f t="shared" si="109"/>
        <v>4INDIV2</v>
      </c>
      <c r="Y1366">
        <f>VLOOKUP(X1366,Sheet1!$J$5:$K$121,2,FALSE)</f>
        <v>0.14285714285714299</v>
      </c>
    </row>
    <row r="1367" spans="1:25" x14ac:dyDescent="0.25">
      <c r="A1367" s="8">
        <f>[1]Data!A1367</f>
        <v>141303</v>
      </c>
      <c r="B1367" s="8">
        <f>[1]Data!B1367</f>
        <v>2</v>
      </c>
      <c r="C1367" s="8">
        <f>[1]Data!C1367</f>
        <v>4</v>
      </c>
      <c r="D1367" s="8">
        <f>[1]Data!D1367</f>
        <v>3</v>
      </c>
      <c r="E1367" s="8" t="str">
        <f>[1]Data!E1367</f>
        <v>INDIV</v>
      </c>
      <c r="F1367" s="8" t="str">
        <f>[1]Data!F1367</f>
        <v>Sherman Oaks</v>
      </c>
      <c r="G1367" s="8">
        <f>[1]Data!G1367</f>
        <v>0</v>
      </c>
      <c r="H1367" s="8">
        <f>[1]Data!H1367</f>
        <v>0</v>
      </c>
      <c r="I1367" s="8">
        <f>[1]Data!I1367</f>
        <v>3.0950000000000002</v>
      </c>
      <c r="J1367" s="8">
        <f>[1]Data!J1367</f>
        <v>1.9836996600000001</v>
      </c>
      <c r="K1367" s="8">
        <f>[1]Data!K1367</f>
        <v>2.9836996600000001</v>
      </c>
      <c r="L1367" s="8">
        <f>[1]Data!L1367</f>
        <v>0.11117260138240601</v>
      </c>
      <c r="M1367" s="8">
        <f>[1]Data!M1367</f>
        <v>3.09487226138241</v>
      </c>
      <c r="N1367" s="8">
        <f>[1]Data!N1367</f>
        <v>4.8387096774193498E-2</v>
      </c>
      <c r="O1367" s="8">
        <f>[1]Data!O1367</f>
        <v>0</v>
      </c>
      <c r="P1367" s="8">
        <f>[1]Data!P1367</f>
        <v>9.6774193548387094E-2</v>
      </c>
      <c r="Q1367" s="8">
        <f>[1]Data!Q1367</f>
        <v>0.375</v>
      </c>
      <c r="R1367" s="8">
        <f>[1]Data!R1367</f>
        <v>0.14285714285714299</v>
      </c>
      <c r="S1367" s="8">
        <f>[1]Data!S1367</f>
        <v>0</v>
      </c>
      <c r="T1367">
        <f t="shared" si="105"/>
        <v>0.18433179723502313</v>
      </c>
      <c r="U1367">
        <f t="shared" si="106"/>
        <v>0</v>
      </c>
      <c r="V1367" s="4" t="str">
        <f t="shared" si="107"/>
        <v>4</v>
      </c>
      <c r="W1367" s="4" t="str">
        <f t="shared" si="108"/>
        <v>2</v>
      </c>
      <c r="X1367" s="4" t="str">
        <f t="shared" si="109"/>
        <v>4INDIV2</v>
      </c>
      <c r="Y1367">
        <f>VLOOKUP(X1367,Sheet1!$J$5:$K$121,2,FALSE)</f>
        <v>0.14285714285714299</v>
      </c>
    </row>
    <row r="1368" spans="1:25" x14ac:dyDescent="0.25">
      <c r="A1368" s="8">
        <f>[1]Data!A1368</f>
        <v>141202</v>
      </c>
      <c r="B1368" s="8">
        <f>[1]Data!B1368</f>
        <v>2</v>
      </c>
      <c r="C1368" s="8">
        <f>[1]Data!C1368</f>
        <v>4</v>
      </c>
      <c r="D1368" s="8">
        <f>[1]Data!D1368</f>
        <v>3</v>
      </c>
      <c r="E1368" s="8" t="str">
        <f>[1]Data!E1368</f>
        <v>INDIV</v>
      </c>
      <c r="F1368" s="8" t="str">
        <f>[1]Data!F1368</f>
        <v>Sherman Oaks</v>
      </c>
      <c r="G1368" s="8">
        <f>[1]Data!G1368</f>
        <v>0</v>
      </c>
      <c r="H1368" s="8">
        <f>[1]Data!H1368</f>
        <v>0</v>
      </c>
      <c r="I1368" s="8">
        <f>[1]Data!I1368</f>
        <v>1</v>
      </c>
      <c r="J1368" s="8">
        <f>[1]Data!J1368</f>
        <v>0</v>
      </c>
      <c r="K1368" s="8">
        <f>[1]Data!K1368</f>
        <v>1</v>
      </c>
      <c r="L1368" s="8">
        <f>[1]Data!L1368</f>
        <v>0</v>
      </c>
      <c r="M1368" s="8">
        <f>[1]Data!M1368</f>
        <v>1</v>
      </c>
      <c r="N1368" s="8">
        <f>[1]Data!N1368</f>
        <v>4.8387096774193498E-2</v>
      </c>
      <c r="O1368" s="8">
        <f>[1]Data!O1368</f>
        <v>0</v>
      </c>
      <c r="P1368" s="8">
        <f>[1]Data!P1368</f>
        <v>9.6774193548387094E-2</v>
      </c>
      <c r="Q1368" s="8">
        <f>[1]Data!Q1368</f>
        <v>0.375</v>
      </c>
      <c r="R1368" s="8">
        <f>[1]Data!R1368</f>
        <v>0.14285714285714299</v>
      </c>
      <c r="S1368" s="8">
        <f>[1]Data!S1368</f>
        <v>0</v>
      </c>
      <c r="T1368">
        <f t="shared" si="105"/>
        <v>0.18433179723502313</v>
      </c>
      <c r="U1368">
        <f t="shared" si="106"/>
        <v>0</v>
      </c>
      <c r="V1368" s="4" t="str">
        <f t="shared" si="107"/>
        <v>4</v>
      </c>
      <c r="W1368" s="4" t="str">
        <f t="shared" si="108"/>
        <v>2</v>
      </c>
      <c r="X1368" s="4" t="str">
        <f t="shared" si="109"/>
        <v>4INDIV2</v>
      </c>
      <c r="Y1368">
        <f>VLOOKUP(X1368,Sheet1!$J$5:$K$121,2,FALSE)</f>
        <v>0.14285714285714299</v>
      </c>
    </row>
    <row r="1369" spans="1:25" x14ac:dyDescent="0.25">
      <c r="A1369" s="8">
        <f>[1]Data!A1369</f>
        <v>141201</v>
      </c>
      <c r="B1369" s="8">
        <f>[1]Data!B1369</f>
        <v>2</v>
      </c>
      <c r="C1369" s="8">
        <f>[1]Data!C1369</f>
        <v>4</v>
      </c>
      <c r="D1369" s="8">
        <f>[1]Data!D1369</f>
        <v>3</v>
      </c>
      <c r="E1369" s="8" t="str">
        <f>[1]Data!E1369</f>
        <v>INDIV</v>
      </c>
      <c r="F1369" s="8" t="str">
        <f>[1]Data!F1369</f>
        <v>Sherman Oaks</v>
      </c>
      <c r="G1369" s="8">
        <f>[1]Data!G1369</f>
        <v>0</v>
      </c>
      <c r="H1369" s="8">
        <f>[1]Data!H1369</f>
        <v>1</v>
      </c>
      <c r="I1369" s="8">
        <f>[1]Data!I1369</f>
        <v>15.891999999999999</v>
      </c>
      <c r="J1369" s="8">
        <f>[1]Data!J1369</f>
        <v>8.3283571399999996</v>
      </c>
      <c r="K1369" s="8">
        <f>[1]Data!K1369</f>
        <v>15.32835714</v>
      </c>
      <c r="L1369" s="8">
        <f>[1]Data!L1369</f>
        <v>0.56404763423698401</v>
      </c>
      <c r="M1369" s="8">
        <f>[1]Data!M1369</f>
        <v>15.892404774237001</v>
      </c>
      <c r="N1369" s="8">
        <f>[1]Data!N1369</f>
        <v>4.8387096774193498E-2</v>
      </c>
      <c r="O1369" s="8">
        <f>[1]Data!O1369</f>
        <v>0</v>
      </c>
      <c r="P1369" s="8">
        <f>[1]Data!P1369</f>
        <v>9.6774193548387094E-2</v>
      </c>
      <c r="Q1369" s="8">
        <f>[1]Data!Q1369</f>
        <v>0.375</v>
      </c>
      <c r="R1369" s="8">
        <f>[1]Data!R1369</f>
        <v>0.14285714285714299</v>
      </c>
      <c r="S1369" s="8">
        <f>[1]Data!S1369</f>
        <v>7</v>
      </c>
      <c r="T1369">
        <f t="shared" si="105"/>
        <v>0.18433179723502313</v>
      </c>
      <c r="U1369">
        <f t="shared" si="106"/>
        <v>5.4249999999999972</v>
      </c>
      <c r="V1369" s="4" t="str">
        <f t="shared" si="107"/>
        <v>4</v>
      </c>
      <c r="W1369" s="4" t="str">
        <f t="shared" si="108"/>
        <v>2</v>
      </c>
      <c r="X1369" s="4" t="str">
        <f t="shared" si="109"/>
        <v>4INDIV2</v>
      </c>
      <c r="Y1369">
        <f>VLOOKUP(X1369,Sheet1!$J$5:$K$121,2,FALSE)</f>
        <v>0.14285714285714299</v>
      </c>
    </row>
    <row r="1370" spans="1:25" x14ac:dyDescent="0.25">
      <c r="A1370" s="8">
        <f>[1]Data!A1370</f>
        <v>124700</v>
      </c>
      <c r="B1370" s="8">
        <f>[1]Data!B1370</f>
        <v>2</v>
      </c>
      <c r="C1370" s="8">
        <f>[1]Data!C1370</f>
        <v>4</v>
      </c>
      <c r="D1370" s="8">
        <f>[1]Data!D1370</f>
        <v>3</v>
      </c>
      <c r="E1370" s="8" t="str">
        <f>[1]Data!E1370</f>
        <v>INDIV</v>
      </c>
      <c r="F1370" s="8" t="str">
        <f>[1]Data!F1370</f>
        <v>Sherman Oaks</v>
      </c>
      <c r="G1370" s="8">
        <f>[1]Data!G1370</f>
        <v>0</v>
      </c>
      <c r="H1370" s="8">
        <f>[1]Data!H1370</f>
        <v>0</v>
      </c>
      <c r="I1370" s="8">
        <f>[1]Data!I1370</f>
        <v>15.622999999999999</v>
      </c>
      <c r="J1370" s="8">
        <f>[1]Data!J1370</f>
        <v>8.1273495899999997</v>
      </c>
      <c r="K1370" s="8">
        <f>[1]Data!K1370</f>
        <v>15.12734959</v>
      </c>
      <c r="L1370" s="8">
        <f>[1]Data!L1370</f>
        <v>0.49560666258527802</v>
      </c>
      <c r="M1370" s="8">
        <f>[1]Data!M1370</f>
        <v>15.622956252585301</v>
      </c>
      <c r="N1370" s="8">
        <f>[1]Data!N1370</f>
        <v>4.8387096774193498E-2</v>
      </c>
      <c r="O1370" s="8">
        <f>[1]Data!O1370</f>
        <v>0</v>
      </c>
      <c r="P1370" s="8">
        <f>[1]Data!P1370</f>
        <v>9.6774193548387094E-2</v>
      </c>
      <c r="Q1370" s="8">
        <f>[1]Data!Q1370</f>
        <v>0.375</v>
      </c>
      <c r="R1370" s="8">
        <f>[1]Data!R1370</f>
        <v>0.14285714285714299</v>
      </c>
      <c r="S1370" s="8">
        <f>[1]Data!S1370</f>
        <v>0</v>
      </c>
      <c r="T1370">
        <f t="shared" si="105"/>
        <v>0.18433179723502313</v>
      </c>
      <c r="U1370">
        <f t="shared" si="106"/>
        <v>0</v>
      </c>
      <c r="V1370" s="4" t="str">
        <f t="shared" si="107"/>
        <v>4</v>
      </c>
      <c r="W1370" s="4" t="str">
        <f t="shared" si="108"/>
        <v>2</v>
      </c>
      <c r="X1370" s="4" t="str">
        <f t="shared" si="109"/>
        <v>4INDIV2</v>
      </c>
      <c r="Y1370">
        <f>VLOOKUP(X1370,Sheet1!$J$5:$K$121,2,FALSE)</f>
        <v>0.14285714285714299</v>
      </c>
    </row>
    <row r="1371" spans="1:25" x14ac:dyDescent="0.25">
      <c r="A1371" s="8">
        <f>[1]Data!A1371</f>
        <v>189905</v>
      </c>
      <c r="B1371" s="8">
        <f>[1]Data!B1371</f>
        <v>4</v>
      </c>
      <c r="C1371" s="8">
        <f>[1]Data!C1371</f>
        <v>4</v>
      </c>
      <c r="D1371" s="8">
        <f>[1]Data!D1371</f>
        <v>3</v>
      </c>
      <c r="E1371" s="8" t="str">
        <f>[1]Data!E1371</f>
        <v>INDIV</v>
      </c>
      <c r="F1371" s="8" t="str">
        <f>[1]Data!F1371</f>
        <v>Hollywood Hills West</v>
      </c>
      <c r="G1371" s="8">
        <f>[1]Data!G1371</f>
        <v>0</v>
      </c>
      <c r="H1371" s="8">
        <f>[1]Data!H1371</f>
        <v>0</v>
      </c>
      <c r="I1371" s="8">
        <f>[1]Data!I1371</f>
        <v>19.218</v>
      </c>
      <c r="J1371" s="8">
        <f>[1]Data!J1371</f>
        <v>10.72589962</v>
      </c>
      <c r="K1371" s="8">
        <f>[1]Data!K1371</f>
        <v>18.72589962</v>
      </c>
      <c r="L1371" s="8">
        <f>[1]Data!L1371</f>
        <v>0.49089997303411098</v>
      </c>
      <c r="M1371" s="8">
        <f>[1]Data!M1371</f>
        <v>19.2167995930341</v>
      </c>
      <c r="N1371" s="8">
        <f>[1]Data!N1371</f>
        <v>8.5106382978723402E-2</v>
      </c>
      <c r="O1371" s="8">
        <f>[1]Data!O1371</f>
        <v>0</v>
      </c>
      <c r="P1371" s="8">
        <f>[1]Data!P1371</f>
        <v>0.19148936170212799</v>
      </c>
      <c r="Q1371" s="8">
        <f>[1]Data!Q1371</f>
        <v>0.5625</v>
      </c>
      <c r="R1371" s="8">
        <f>[1]Data!R1371</f>
        <v>0.14285714285714299</v>
      </c>
      <c r="S1371" s="8">
        <f>[1]Data!S1371</f>
        <v>0</v>
      </c>
      <c r="T1371">
        <f t="shared" si="105"/>
        <v>0.21580547112462017</v>
      </c>
      <c r="U1371">
        <f t="shared" si="106"/>
        <v>0</v>
      </c>
      <c r="V1371" s="4" t="str">
        <f t="shared" si="107"/>
        <v>4</v>
      </c>
      <c r="W1371" s="4" t="str">
        <f t="shared" si="108"/>
        <v>4</v>
      </c>
      <c r="X1371" s="4" t="str">
        <f t="shared" si="109"/>
        <v>4INDIV4</v>
      </c>
      <c r="Y1371">
        <f>VLOOKUP(X1371,Sheet1!$J$5:$K$121,2,FALSE)</f>
        <v>0.14285714285714299</v>
      </c>
    </row>
    <row r="1372" spans="1:25" x14ac:dyDescent="0.25">
      <c r="A1372" s="8">
        <f>[1]Data!A1372</f>
        <v>189904</v>
      </c>
      <c r="B1372" s="8">
        <f>[1]Data!B1372</f>
        <v>4</v>
      </c>
      <c r="C1372" s="8">
        <f>[1]Data!C1372</f>
        <v>4</v>
      </c>
      <c r="D1372" s="8">
        <f>[1]Data!D1372</f>
        <v>3</v>
      </c>
      <c r="E1372" s="8" t="str">
        <f>[1]Data!E1372</f>
        <v>INDIV</v>
      </c>
      <c r="F1372" s="8" t="str">
        <f>[1]Data!F1372</f>
        <v>Hollywood Hills West</v>
      </c>
      <c r="G1372" s="8">
        <f>[1]Data!G1372</f>
        <v>0</v>
      </c>
      <c r="H1372" s="8">
        <f>[1]Data!H1372</f>
        <v>0</v>
      </c>
      <c r="I1372" s="8">
        <f>[1]Data!I1372</f>
        <v>12.58</v>
      </c>
      <c r="J1372" s="8">
        <f>[1]Data!J1372</f>
        <v>6.0507218800000002</v>
      </c>
      <c r="K1372" s="8">
        <f>[1]Data!K1372</f>
        <v>12.050721879999999</v>
      </c>
      <c r="L1372" s="8">
        <f>[1]Data!L1372</f>
        <v>0.52934152870736095</v>
      </c>
      <c r="M1372" s="8">
        <f>[1]Data!M1372</f>
        <v>12.580063408707399</v>
      </c>
      <c r="N1372" s="8">
        <f>[1]Data!N1372</f>
        <v>8.5106382978723402E-2</v>
      </c>
      <c r="O1372" s="8">
        <f>[1]Data!O1372</f>
        <v>0</v>
      </c>
      <c r="P1372" s="8">
        <f>[1]Data!P1372</f>
        <v>0.19148936170212799</v>
      </c>
      <c r="Q1372" s="8">
        <f>[1]Data!Q1372</f>
        <v>0.5625</v>
      </c>
      <c r="R1372" s="8">
        <f>[1]Data!R1372</f>
        <v>0.14285714285714299</v>
      </c>
      <c r="S1372" s="8">
        <f>[1]Data!S1372</f>
        <v>0</v>
      </c>
      <c r="T1372">
        <f t="shared" si="105"/>
        <v>0.21580547112462017</v>
      </c>
      <c r="U1372">
        <f t="shared" si="106"/>
        <v>0</v>
      </c>
      <c r="V1372" s="4" t="str">
        <f t="shared" si="107"/>
        <v>4</v>
      </c>
      <c r="W1372" s="4" t="str">
        <f t="shared" si="108"/>
        <v>4</v>
      </c>
      <c r="X1372" s="4" t="str">
        <f t="shared" si="109"/>
        <v>4INDIV4</v>
      </c>
      <c r="Y1372">
        <f>VLOOKUP(X1372,Sheet1!$J$5:$K$121,2,FALSE)</f>
        <v>0.14285714285714299</v>
      </c>
    </row>
    <row r="1373" spans="1:25" x14ac:dyDescent="0.25">
      <c r="A1373" s="8">
        <f>[1]Data!A1373</f>
        <v>212610</v>
      </c>
      <c r="B1373" s="8">
        <f>[1]Data!B1373</f>
        <v>4</v>
      </c>
      <c r="C1373" s="8">
        <f>[1]Data!C1373</f>
        <v>4</v>
      </c>
      <c r="D1373" s="8">
        <f>[1]Data!D1373</f>
        <v>2</v>
      </c>
      <c r="E1373" s="8" t="str">
        <f>[1]Data!E1373</f>
        <v>INDIV</v>
      </c>
      <c r="F1373" s="8" t="str">
        <f>[1]Data!F1373</f>
        <v>Miracle Mile</v>
      </c>
      <c r="G1373" s="8">
        <f>[1]Data!G1373</f>
        <v>0</v>
      </c>
      <c r="H1373" s="8">
        <f>[1]Data!H1373</f>
        <v>0</v>
      </c>
      <c r="I1373" s="8">
        <f>[1]Data!I1373</f>
        <v>14.102</v>
      </c>
      <c r="J1373" s="8">
        <f>[1]Data!J1373</f>
        <v>4.8536203599999999</v>
      </c>
      <c r="K1373" s="8">
        <f>[1]Data!K1373</f>
        <v>13.853620360000001</v>
      </c>
      <c r="L1373" s="8">
        <f>[1]Data!L1373</f>
        <v>0.247929448186715</v>
      </c>
      <c r="M1373" s="8">
        <f>[1]Data!M1373</f>
        <v>14.1015498081867</v>
      </c>
      <c r="N1373" s="8">
        <f>[1]Data!N1373</f>
        <v>8.5106382978723402E-2</v>
      </c>
      <c r="O1373" s="8">
        <f>[1]Data!O1373</f>
        <v>0</v>
      </c>
      <c r="P1373" s="8">
        <f>[1]Data!P1373</f>
        <v>0.19148936170212799</v>
      </c>
      <c r="Q1373" s="8">
        <f>[1]Data!Q1373</f>
        <v>0.5625</v>
      </c>
      <c r="R1373" s="8">
        <f>[1]Data!R1373</f>
        <v>0.14285714285714299</v>
      </c>
      <c r="S1373" s="8">
        <f>[1]Data!S1373</f>
        <v>0</v>
      </c>
      <c r="T1373">
        <f t="shared" si="105"/>
        <v>0.21580547112462017</v>
      </c>
      <c r="U1373">
        <f t="shared" si="106"/>
        <v>0</v>
      </c>
      <c r="V1373" s="4" t="str">
        <f t="shared" si="107"/>
        <v>4</v>
      </c>
      <c r="W1373" s="4" t="str">
        <f t="shared" si="108"/>
        <v>4</v>
      </c>
      <c r="X1373" s="4" t="str">
        <f t="shared" si="109"/>
        <v>4INDIV4</v>
      </c>
      <c r="Y1373">
        <f>VLOOKUP(X1373,Sheet1!$J$5:$K$121,2,FALSE)</f>
        <v>0.14285714285714299</v>
      </c>
    </row>
    <row r="1374" spans="1:25" x14ac:dyDescent="0.25">
      <c r="A1374" s="8">
        <f>[1]Data!A1374</f>
        <v>211000</v>
      </c>
      <c r="B1374" s="8">
        <f>[1]Data!B1374</f>
        <v>4</v>
      </c>
      <c r="C1374" s="8">
        <f>[1]Data!C1374</f>
        <v>4</v>
      </c>
      <c r="D1374" s="8">
        <f>[1]Data!D1374</f>
        <v>3</v>
      </c>
      <c r="E1374" s="8" t="str">
        <f>[1]Data!E1374</f>
        <v>INDIV</v>
      </c>
      <c r="F1374" s="8" t="str">
        <f>[1]Data!F1374</f>
        <v>Miracle Mile</v>
      </c>
      <c r="G1374" s="8">
        <f>[1]Data!G1374</f>
        <v>0</v>
      </c>
      <c r="H1374" s="8">
        <f>[1]Data!H1374</f>
        <v>0</v>
      </c>
      <c r="I1374" s="8">
        <f>[1]Data!I1374</f>
        <v>8.7769999999999992</v>
      </c>
      <c r="J1374" s="8">
        <f>[1]Data!J1374</f>
        <v>5.7146398200000004</v>
      </c>
      <c r="K1374" s="8">
        <f>[1]Data!K1374</f>
        <v>8.7146398200000004</v>
      </c>
      <c r="L1374" s="8">
        <f>[1]Data!L1374</f>
        <v>6.18759662477558E-2</v>
      </c>
      <c r="M1374" s="8">
        <f>[1]Data!M1374</f>
        <v>8.7765157862477494</v>
      </c>
      <c r="N1374" s="8">
        <f>[1]Data!N1374</f>
        <v>8.5106382978723402E-2</v>
      </c>
      <c r="O1374" s="8">
        <f>[1]Data!O1374</f>
        <v>0</v>
      </c>
      <c r="P1374" s="8">
        <f>[1]Data!P1374</f>
        <v>0.19148936170212799</v>
      </c>
      <c r="Q1374" s="8">
        <f>[1]Data!Q1374</f>
        <v>0.5625</v>
      </c>
      <c r="R1374" s="8">
        <f>[1]Data!R1374</f>
        <v>0.14285714285714299</v>
      </c>
      <c r="S1374" s="8">
        <f>[1]Data!S1374</f>
        <v>0</v>
      </c>
      <c r="T1374">
        <f t="shared" si="105"/>
        <v>0.21580547112462017</v>
      </c>
      <c r="U1374">
        <f t="shared" si="106"/>
        <v>0</v>
      </c>
      <c r="V1374" s="4" t="str">
        <f t="shared" si="107"/>
        <v>4</v>
      </c>
      <c r="W1374" s="4" t="str">
        <f t="shared" si="108"/>
        <v>4</v>
      </c>
      <c r="X1374" s="4" t="str">
        <f t="shared" si="109"/>
        <v>4INDIV4</v>
      </c>
      <c r="Y1374">
        <f>VLOOKUP(X1374,Sheet1!$J$5:$K$121,2,FALSE)</f>
        <v>0.14285714285714299</v>
      </c>
    </row>
    <row r="1375" spans="1:25" x14ac:dyDescent="0.25">
      <c r="A1375" s="8">
        <f>[1]Data!A1375</f>
        <v>189101</v>
      </c>
      <c r="B1375" s="8">
        <f>[1]Data!B1375</f>
        <v>4</v>
      </c>
      <c r="C1375" s="8">
        <f>[1]Data!C1375</f>
        <v>4</v>
      </c>
      <c r="D1375" s="8">
        <f>[1]Data!D1375</f>
        <v>3</v>
      </c>
      <c r="E1375" s="8" t="str">
        <f>[1]Data!E1375</f>
        <v>INDIV</v>
      </c>
      <c r="F1375" s="8" t="str">
        <f>[1]Data!F1375</f>
        <v>Los Feliz</v>
      </c>
      <c r="G1375" s="8">
        <f>[1]Data!G1375</f>
        <v>0</v>
      </c>
      <c r="H1375" s="8">
        <f>[1]Data!H1375</f>
        <v>0</v>
      </c>
      <c r="I1375" s="8">
        <f>[1]Data!I1375</f>
        <v>7.734</v>
      </c>
      <c r="J1375" s="8">
        <f>[1]Data!J1375</f>
        <v>3.63801211</v>
      </c>
      <c r="K1375" s="8">
        <f>[1]Data!K1375</f>
        <v>7.63801211</v>
      </c>
      <c r="L1375" s="8">
        <f>[1]Data!L1375</f>
        <v>9.5610832369838403E-2</v>
      </c>
      <c r="M1375" s="8">
        <f>[1]Data!M1375</f>
        <v>7.7336229423698404</v>
      </c>
      <c r="N1375" s="8">
        <f>[1]Data!N1375</f>
        <v>8.5106382978723402E-2</v>
      </c>
      <c r="O1375" s="8">
        <f>[1]Data!O1375</f>
        <v>0</v>
      </c>
      <c r="P1375" s="8">
        <f>[1]Data!P1375</f>
        <v>0.19148936170212799</v>
      </c>
      <c r="Q1375" s="8">
        <f>[1]Data!Q1375</f>
        <v>0.5625</v>
      </c>
      <c r="R1375" s="8">
        <f>[1]Data!R1375</f>
        <v>0.14285714285714299</v>
      </c>
      <c r="S1375" s="8">
        <f>[1]Data!S1375</f>
        <v>0</v>
      </c>
      <c r="T1375">
        <f t="shared" si="105"/>
        <v>0.21580547112462017</v>
      </c>
      <c r="U1375">
        <f t="shared" si="106"/>
        <v>0</v>
      </c>
      <c r="V1375" s="4" t="str">
        <f t="shared" si="107"/>
        <v>4</v>
      </c>
      <c r="W1375" s="4" t="str">
        <f t="shared" si="108"/>
        <v>4</v>
      </c>
      <c r="X1375" s="4" t="str">
        <f t="shared" si="109"/>
        <v>4INDIV4</v>
      </c>
      <c r="Y1375">
        <f>VLOOKUP(X1375,Sheet1!$J$5:$K$121,2,FALSE)</f>
        <v>0.14285714285714299</v>
      </c>
    </row>
    <row r="1376" spans="1:25" x14ac:dyDescent="0.25">
      <c r="A1376" s="8">
        <f>[1]Data!A1376</f>
        <v>195100</v>
      </c>
      <c r="B1376" s="8">
        <f>[1]Data!B1376</f>
        <v>4</v>
      </c>
      <c r="C1376" s="8">
        <f>[1]Data!C1376</f>
        <v>4</v>
      </c>
      <c r="D1376" s="8">
        <f>[1]Data!D1376</f>
        <v>1</v>
      </c>
      <c r="E1376" s="8" t="str">
        <f>[1]Data!E1376</f>
        <v>INDIV</v>
      </c>
      <c r="F1376" s="8" t="str">
        <f>[1]Data!F1376</f>
        <v>Silver Lake</v>
      </c>
      <c r="G1376" s="8">
        <f>[1]Data!G1376</f>
        <v>0</v>
      </c>
      <c r="H1376" s="8">
        <f>[1]Data!H1376</f>
        <v>0</v>
      </c>
      <c r="I1376" s="8">
        <f>[1]Data!I1376</f>
        <v>1.8080000000000001</v>
      </c>
      <c r="J1376" s="8">
        <f>[1]Data!J1376</f>
        <v>1.73313217</v>
      </c>
      <c r="K1376" s="8">
        <f>[1]Data!K1376</f>
        <v>1.73313217</v>
      </c>
      <c r="L1376" s="8">
        <f>[1]Data!L1376</f>
        <v>7.4985510287253102E-2</v>
      </c>
      <c r="M1376" s="8">
        <f>[1]Data!M1376</f>
        <v>1.8081176802872501</v>
      </c>
      <c r="N1376" s="8">
        <f>[1]Data!N1376</f>
        <v>8.5106382978723402E-2</v>
      </c>
      <c r="O1376" s="8">
        <f>[1]Data!O1376</f>
        <v>0</v>
      </c>
      <c r="P1376" s="8">
        <f>[1]Data!P1376</f>
        <v>0.19148936170212799</v>
      </c>
      <c r="Q1376" s="8">
        <f>[1]Data!Q1376</f>
        <v>0.5625</v>
      </c>
      <c r="R1376" s="8">
        <f>[1]Data!R1376</f>
        <v>0.14285714285714299</v>
      </c>
      <c r="S1376" s="8">
        <f>[1]Data!S1376</f>
        <v>0</v>
      </c>
      <c r="T1376">
        <f t="shared" si="105"/>
        <v>0.21580547112462017</v>
      </c>
      <c r="U1376">
        <f t="shared" si="106"/>
        <v>0</v>
      </c>
      <c r="V1376" s="4" t="str">
        <f t="shared" si="107"/>
        <v>4</v>
      </c>
      <c r="W1376" s="4" t="str">
        <f t="shared" si="108"/>
        <v>4</v>
      </c>
      <c r="X1376" s="4" t="str">
        <f t="shared" si="109"/>
        <v>4INDIV4</v>
      </c>
      <c r="Y1376">
        <f>VLOOKUP(X1376,Sheet1!$J$5:$K$121,2,FALSE)</f>
        <v>0.14285714285714299</v>
      </c>
    </row>
    <row r="1377" spans="1:25" x14ac:dyDescent="0.25">
      <c r="A1377" s="8">
        <f>[1]Data!A1377</f>
        <v>215101</v>
      </c>
      <c r="B1377" s="8">
        <f>[1]Data!B1377</f>
        <v>4</v>
      </c>
      <c r="C1377" s="8">
        <f>[1]Data!C1377</f>
        <v>4</v>
      </c>
      <c r="D1377" s="8">
        <f>[1]Data!D1377</f>
        <v>3</v>
      </c>
      <c r="E1377" s="8" t="str">
        <f>[1]Data!E1377</f>
        <v>INDIV</v>
      </c>
      <c r="F1377" s="8" t="str">
        <f>[1]Data!F1377</f>
        <v>Mid-City West</v>
      </c>
      <c r="G1377" s="8">
        <f>[1]Data!G1377</f>
        <v>0</v>
      </c>
      <c r="H1377" s="8">
        <f>[1]Data!H1377</f>
        <v>0</v>
      </c>
      <c r="I1377" s="8">
        <f>[1]Data!I1377</f>
        <v>11.776999999999999</v>
      </c>
      <c r="J1377" s="8">
        <f>[1]Data!J1377</f>
        <v>5.7146398200000004</v>
      </c>
      <c r="K1377" s="8">
        <f>[1]Data!K1377</f>
        <v>11.71463982</v>
      </c>
      <c r="L1377" s="8">
        <f>[1]Data!L1377</f>
        <v>6.18759662477558E-2</v>
      </c>
      <c r="M1377" s="8">
        <f>[1]Data!M1377</f>
        <v>11.776515786247799</v>
      </c>
      <c r="N1377" s="8">
        <f>[1]Data!N1377</f>
        <v>8.5106382978723402E-2</v>
      </c>
      <c r="O1377" s="8">
        <f>[1]Data!O1377</f>
        <v>0</v>
      </c>
      <c r="P1377" s="8">
        <f>[1]Data!P1377</f>
        <v>0.19148936170212799</v>
      </c>
      <c r="Q1377" s="8">
        <f>[1]Data!Q1377</f>
        <v>0.5625</v>
      </c>
      <c r="R1377" s="8">
        <f>[1]Data!R1377</f>
        <v>0.14285714285714299</v>
      </c>
      <c r="S1377" s="8">
        <f>[1]Data!S1377</f>
        <v>0</v>
      </c>
      <c r="T1377">
        <f t="shared" si="105"/>
        <v>0.21580547112462017</v>
      </c>
      <c r="U1377">
        <f t="shared" si="106"/>
        <v>0</v>
      </c>
      <c r="V1377" s="4" t="str">
        <f t="shared" si="107"/>
        <v>4</v>
      </c>
      <c r="W1377" s="4" t="str">
        <f t="shared" si="108"/>
        <v>4</v>
      </c>
      <c r="X1377" s="4" t="str">
        <f t="shared" si="109"/>
        <v>4INDIV4</v>
      </c>
      <c r="Y1377">
        <f>VLOOKUP(X1377,Sheet1!$J$5:$K$121,2,FALSE)</f>
        <v>0.14285714285714299</v>
      </c>
    </row>
    <row r="1378" spans="1:25" x14ac:dyDescent="0.25">
      <c r="A1378" s="8">
        <f>[1]Data!A1378</f>
        <v>215102</v>
      </c>
      <c r="B1378" s="8">
        <f>[1]Data!B1378</f>
        <v>4</v>
      </c>
      <c r="C1378" s="8">
        <f>[1]Data!C1378</f>
        <v>4</v>
      </c>
      <c r="D1378" s="8">
        <f>[1]Data!D1378</f>
        <v>3</v>
      </c>
      <c r="E1378" s="8" t="str">
        <f>[1]Data!E1378</f>
        <v>INDIV</v>
      </c>
      <c r="F1378" s="8" t="str">
        <f>[1]Data!F1378</f>
        <v>Mid-City West</v>
      </c>
      <c r="G1378" s="8">
        <f>[1]Data!G1378</f>
        <v>0</v>
      </c>
      <c r="H1378" s="8">
        <f>[1]Data!H1378</f>
        <v>0</v>
      </c>
      <c r="I1378" s="8">
        <f>[1]Data!I1378</f>
        <v>4</v>
      </c>
      <c r="J1378" s="8">
        <f>[1]Data!J1378</f>
        <v>0</v>
      </c>
      <c r="K1378" s="8">
        <f>[1]Data!K1378</f>
        <v>4</v>
      </c>
      <c r="L1378" s="8">
        <f>[1]Data!L1378</f>
        <v>0</v>
      </c>
      <c r="M1378" s="8">
        <f>[1]Data!M1378</f>
        <v>4</v>
      </c>
      <c r="N1378" s="8">
        <f>[1]Data!N1378</f>
        <v>8.5106382978723402E-2</v>
      </c>
      <c r="O1378" s="8">
        <f>[1]Data!O1378</f>
        <v>0</v>
      </c>
      <c r="P1378" s="8">
        <f>[1]Data!P1378</f>
        <v>0.19148936170212799</v>
      </c>
      <c r="Q1378" s="8">
        <f>[1]Data!Q1378</f>
        <v>0.5625</v>
      </c>
      <c r="R1378" s="8">
        <f>[1]Data!R1378</f>
        <v>0.14285714285714299</v>
      </c>
      <c r="S1378" s="8">
        <f>[1]Data!S1378</f>
        <v>0</v>
      </c>
      <c r="T1378">
        <f t="shared" si="105"/>
        <v>0.21580547112462017</v>
      </c>
      <c r="U1378">
        <f t="shared" si="106"/>
        <v>0</v>
      </c>
      <c r="V1378" s="4" t="str">
        <f t="shared" si="107"/>
        <v>4</v>
      </c>
      <c r="W1378" s="4" t="str">
        <f t="shared" si="108"/>
        <v>4</v>
      </c>
      <c r="X1378" s="4" t="str">
        <f t="shared" si="109"/>
        <v>4INDIV4</v>
      </c>
      <c r="Y1378">
        <f>VLOOKUP(X1378,Sheet1!$J$5:$K$121,2,FALSE)</f>
        <v>0.14285714285714299</v>
      </c>
    </row>
    <row r="1379" spans="1:25" x14ac:dyDescent="0.25">
      <c r="A1379" s="8">
        <f>[1]Data!A1379</f>
        <v>189800</v>
      </c>
      <c r="B1379" s="8">
        <f>[1]Data!B1379</f>
        <v>4</v>
      </c>
      <c r="C1379" s="8">
        <f>[1]Data!C1379</f>
        <v>4</v>
      </c>
      <c r="D1379" s="8">
        <f>[1]Data!D1379</f>
        <v>3</v>
      </c>
      <c r="E1379" s="8" t="str">
        <f>[1]Data!E1379</f>
        <v>INDIV</v>
      </c>
      <c r="F1379" s="8" t="str">
        <f>[1]Data!F1379</f>
        <v>Hollywood Hills West</v>
      </c>
      <c r="G1379" s="8">
        <f>[1]Data!G1379</f>
        <v>1</v>
      </c>
      <c r="H1379" s="8">
        <f>[1]Data!H1379</f>
        <v>1</v>
      </c>
      <c r="I1379" s="8">
        <f>[1]Data!I1379</f>
        <v>11</v>
      </c>
      <c r="J1379" s="8">
        <f>[1]Data!J1379</f>
        <v>0</v>
      </c>
      <c r="K1379" s="8">
        <f>[1]Data!K1379</f>
        <v>11</v>
      </c>
      <c r="L1379" s="8">
        <f>[1]Data!L1379</f>
        <v>0</v>
      </c>
      <c r="M1379" s="8">
        <f>[1]Data!M1379</f>
        <v>11</v>
      </c>
      <c r="N1379" s="8">
        <f>[1]Data!N1379</f>
        <v>8.5106382978723402E-2</v>
      </c>
      <c r="O1379" s="8">
        <f>[1]Data!O1379</f>
        <v>11.75</v>
      </c>
      <c r="P1379" s="8">
        <f>[1]Data!P1379</f>
        <v>0.19148936170212799</v>
      </c>
      <c r="Q1379" s="8">
        <f>[1]Data!Q1379</f>
        <v>0.5625</v>
      </c>
      <c r="R1379" s="8">
        <f>[1]Data!R1379</f>
        <v>0</v>
      </c>
      <c r="S1379" s="8">
        <f>[1]Data!S1379</f>
        <v>0</v>
      </c>
      <c r="T1379">
        <f t="shared" si="105"/>
        <v>0.21580547112462017</v>
      </c>
      <c r="U1379">
        <f t="shared" si="106"/>
        <v>4.6338028169014063</v>
      </c>
      <c r="V1379" s="4" t="str">
        <f t="shared" si="107"/>
        <v>4</v>
      </c>
      <c r="W1379" s="4" t="str">
        <f t="shared" si="108"/>
        <v>4</v>
      </c>
      <c r="X1379" s="4" t="str">
        <f t="shared" si="109"/>
        <v>4INDIV4</v>
      </c>
      <c r="Y1379">
        <f>VLOOKUP(X1379,Sheet1!$J$5:$K$121,2,FALSE)</f>
        <v>0.14285714285714299</v>
      </c>
    </row>
    <row r="1380" spans="1:25" x14ac:dyDescent="0.25">
      <c r="A1380" s="8">
        <f>[1]Data!A1380</f>
        <v>189300</v>
      </c>
      <c r="B1380" s="8">
        <f>[1]Data!B1380</f>
        <v>11</v>
      </c>
      <c r="C1380" s="8">
        <f>[1]Data!C1380</f>
        <v>4</v>
      </c>
      <c r="D1380" s="8">
        <f>[1]Data!D1380</f>
        <v>3</v>
      </c>
      <c r="E1380" s="8" t="str">
        <f>[1]Data!E1380</f>
        <v>INDIV</v>
      </c>
      <c r="F1380" s="8" t="str">
        <f>[1]Data!F1380</f>
        <v>Hollywood</v>
      </c>
      <c r="G1380" s="8">
        <f>[1]Data!G1380</f>
        <v>0</v>
      </c>
      <c r="H1380" s="8">
        <f>[1]Data!H1380</f>
        <v>0</v>
      </c>
      <c r="I1380" s="8">
        <f>[1]Data!I1380</f>
        <v>2</v>
      </c>
      <c r="J1380" s="8">
        <f>[1]Data!J1380</f>
        <v>0</v>
      </c>
      <c r="K1380" s="8">
        <f>[1]Data!K1380</f>
        <v>2</v>
      </c>
      <c r="L1380" s="8">
        <f>[1]Data!L1380</f>
        <v>0</v>
      </c>
      <c r="M1380" s="8">
        <f>[1]Data!M1380</f>
        <v>2</v>
      </c>
      <c r="N1380" s="8">
        <f>[1]Data!N1380</f>
        <v>0.2</v>
      </c>
      <c r="O1380" s="8">
        <f>[1]Data!O1380</f>
        <v>0</v>
      </c>
      <c r="P1380" s="8">
        <f>[1]Data!P1380</f>
        <v>0.2</v>
      </c>
      <c r="Q1380" s="8">
        <f>[1]Data!Q1380</f>
        <v>6.25E-2</v>
      </c>
      <c r="R1380" s="8">
        <f>[1]Data!R1380</f>
        <v>0</v>
      </c>
      <c r="S1380" s="8">
        <f>[1]Data!S1380</f>
        <v>0</v>
      </c>
      <c r="T1380">
        <f t="shared" si="105"/>
        <v>0.2</v>
      </c>
      <c r="U1380">
        <f t="shared" si="106"/>
        <v>0</v>
      </c>
      <c r="V1380" s="4" t="str">
        <f t="shared" si="107"/>
        <v>4</v>
      </c>
      <c r="W1380" s="4" t="str">
        <f t="shared" si="108"/>
        <v>11</v>
      </c>
      <c r="X1380" s="4" t="str">
        <f t="shared" si="109"/>
        <v>4INDIV11</v>
      </c>
      <c r="Y1380">
        <f>VLOOKUP(X1380,Sheet1!$J$5:$K$121,2,FALSE)</f>
        <v>0</v>
      </c>
    </row>
    <row r="1381" spans="1:25" x14ac:dyDescent="0.25">
      <c r="A1381" s="8">
        <f>[1]Data!A1381</f>
        <v>141700</v>
      </c>
      <c r="B1381" s="8">
        <f>[1]Data!B1381</f>
        <v>2</v>
      </c>
      <c r="C1381" s="8">
        <f>[1]Data!C1381</f>
        <v>4</v>
      </c>
      <c r="D1381" s="8">
        <f>[1]Data!D1381</f>
        <v>3</v>
      </c>
      <c r="E1381" s="8" t="str">
        <f>[1]Data!E1381</f>
        <v>NON-HS</v>
      </c>
      <c r="F1381" s="8" t="str">
        <f>[1]Data!F1381</f>
        <v>Sherman Oaks</v>
      </c>
      <c r="G1381" s="8">
        <f>[1]Data!G1381</f>
        <v>0</v>
      </c>
      <c r="H1381" s="8">
        <f>[1]Data!H1381</f>
        <v>0</v>
      </c>
      <c r="I1381" s="8">
        <f>[1]Data!I1381</f>
        <v>0</v>
      </c>
      <c r="J1381" s="8">
        <f>[1]Data!J1381</f>
        <v>0</v>
      </c>
      <c r="K1381" s="8">
        <f>[1]Data!K1381</f>
        <v>0</v>
      </c>
      <c r="L1381" s="8">
        <f>[1]Data!L1381</f>
        <v>0</v>
      </c>
      <c r="M1381" s="8">
        <f>[1]Data!M1381</f>
        <v>0</v>
      </c>
      <c r="N1381" s="8">
        <f>[1]Data!N1381</f>
        <v>2.2140221402214E-2</v>
      </c>
      <c r="O1381" s="8">
        <f>[1]Data!O1381</f>
        <v>0</v>
      </c>
      <c r="P1381" s="8">
        <f>[1]Data!P1381</f>
        <v>5.1660516605166101E-2</v>
      </c>
      <c r="Q1381" s="8">
        <f>[1]Data!Q1381</f>
        <v>0.31818181818181801</v>
      </c>
      <c r="R1381" s="8">
        <f>[1]Data!R1381</f>
        <v>9.3023255813953501E-2</v>
      </c>
      <c r="S1381" s="8">
        <f>[1]Data!S1381</f>
        <v>0</v>
      </c>
      <c r="T1381">
        <f t="shared" si="105"/>
        <v>0.11310392173689178</v>
      </c>
      <c r="U1381">
        <f t="shared" si="106"/>
        <v>0</v>
      </c>
      <c r="V1381" s="4" t="str">
        <f t="shared" si="107"/>
        <v>4</v>
      </c>
      <c r="W1381" s="4" t="str">
        <f t="shared" si="108"/>
        <v>2</v>
      </c>
      <c r="X1381" s="4" t="str">
        <f t="shared" si="109"/>
        <v>4NON-HS2</v>
      </c>
      <c r="Y1381">
        <f>VLOOKUP(X1381,Sheet1!$J$5:$K$121,2,FALSE)</f>
        <v>9.3023255813953501E-2</v>
      </c>
    </row>
    <row r="1382" spans="1:25" x14ac:dyDescent="0.25">
      <c r="A1382" s="8">
        <f>[1]Data!A1382</f>
        <v>141600</v>
      </c>
      <c r="B1382" s="8">
        <f>[1]Data!B1382</f>
        <v>2</v>
      </c>
      <c r="C1382" s="8">
        <f>[1]Data!C1382</f>
        <v>4</v>
      </c>
      <c r="D1382" s="8">
        <f>[1]Data!D1382</f>
        <v>3</v>
      </c>
      <c r="E1382" s="8" t="str">
        <f>[1]Data!E1382</f>
        <v>NON-HS</v>
      </c>
      <c r="F1382" s="8" t="str">
        <f>[1]Data!F1382</f>
        <v>Sherman Oaks</v>
      </c>
      <c r="G1382" s="8">
        <f>[1]Data!G1382</f>
        <v>0</v>
      </c>
      <c r="H1382" s="8">
        <f>[1]Data!H1382</f>
        <v>0</v>
      </c>
      <c r="I1382" s="8">
        <f>[1]Data!I1382</f>
        <v>0</v>
      </c>
      <c r="J1382" s="8">
        <f>[1]Data!J1382</f>
        <v>0</v>
      </c>
      <c r="K1382" s="8">
        <f>[1]Data!K1382</f>
        <v>0</v>
      </c>
      <c r="L1382" s="8">
        <f>[1]Data!L1382</f>
        <v>0</v>
      </c>
      <c r="M1382" s="8">
        <f>[1]Data!M1382</f>
        <v>0</v>
      </c>
      <c r="N1382" s="8">
        <f>[1]Data!N1382</f>
        <v>2.2140221402214E-2</v>
      </c>
      <c r="O1382" s="8">
        <f>[1]Data!O1382</f>
        <v>0</v>
      </c>
      <c r="P1382" s="8">
        <f>[1]Data!P1382</f>
        <v>5.1660516605166101E-2</v>
      </c>
      <c r="Q1382" s="8">
        <f>[1]Data!Q1382</f>
        <v>0.31818181818181801</v>
      </c>
      <c r="R1382" s="8">
        <f>[1]Data!R1382</f>
        <v>9.3023255813953501E-2</v>
      </c>
      <c r="S1382" s="8">
        <f>[1]Data!S1382</f>
        <v>0</v>
      </c>
      <c r="T1382">
        <f t="shared" si="105"/>
        <v>0.11310392173689178</v>
      </c>
      <c r="U1382">
        <f t="shared" si="106"/>
        <v>0</v>
      </c>
      <c r="V1382" s="4" t="str">
        <f t="shared" si="107"/>
        <v>4</v>
      </c>
      <c r="W1382" s="4" t="str">
        <f t="shared" si="108"/>
        <v>2</v>
      </c>
      <c r="X1382" s="4" t="str">
        <f t="shared" si="109"/>
        <v>4NON-HS2</v>
      </c>
      <c r="Y1382">
        <f>VLOOKUP(X1382,Sheet1!$J$5:$K$121,2,FALSE)</f>
        <v>9.3023255813953501E-2</v>
      </c>
    </row>
    <row r="1383" spans="1:25" x14ac:dyDescent="0.25">
      <c r="A1383" s="8">
        <f>[1]Data!A1383</f>
        <v>128500</v>
      </c>
      <c r="B1383" s="8">
        <f>[1]Data!B1383</f>
        <v>2</v>
      </c>
      <c r="C1383" s="8">
        <f>[1]Data!C1383</f>
        <v>4</v>
      </c>
      <c r="D1383" s="8">
        <f>[1]Data!D1383</f>
        <v>3</v>
      </c>
      <c r="E1383" s="8" t="str">
        <f>[1]Data!E1383</f>
        <v>NON-HS</v>
      </c>
      <c r="F1383" s="8" t="str">
        <f>[1]Data!F1383</f>
        <v>Sherman Oaks</v>
      </c>
      <c r="G1383" s="8">
        <f>[1]Data!G1383</f>
        <v>0</v>
      </c>
      <c r="H1383" s="8">
        <f>[1]Data!H1383</f>
        <v>0</v>
      </c>
      <c r="I1383" s="8">
        <f>[1]Data!I1383</f>
        <v>2.7029999999999998</v>
      </c>
      <c r="J1383" s="8">
        <f>[1]Data!J1383</f>
        <v>1.6812916200000001</v>
      </c>
      <c r="K1383" s="8">
        <f>[1]Data!K1383</f>
        <v>2.6812916200000001</v>
      </c>
      <c r="L1383" s="8">
        <f>[1]Data!L1383</f>
        <v>2.14919317594255E-2</v>
      </c>
      <c r="M1383" s="8">
        <f>[1]Data!M1383</f>
        <v>2.7027835517594299</v>
      </c>
      <c r="N1383" s="8">
        <f>[1]Data!N1383</f>
        <v>2.2140221402214E-2</v>
      </c>
      <c r="O1383" s="8">
        <f>[1]Data!O1383</f>
        <v>0</v>
      </c>
      <c r="P1383" s="8">
        <f>[1]Data!P1383</f>
        <v>5.1660516605166101E-2</v>
      </c>
      <c r="Q1383" s="8">
        <f>[1]Data!Q1383</f>
        <v>0.31818181818181801</v>
      </c>
      <c r="R1383" s="8">
        <f>[1]Data!R1383</f>
        <v>9.3023255813953501E-2</v>
      </c>
      <c r="S1383" s="8">
        <f>[1]Data!S1383</f>
        <v>0</v>
      </c>
      <c r="T1383">
        <f t="shared" si="105"/>
        <v>0.11310392173689178</v>
      </c>
      <c r="U1383">
        <f t="shared" si="106"/>
        <v>0</v>
      </c>
      <c r="V1383" s="4" t="str">
        <f t="shared" si="107"/>
        <v>4</v>
      </c>
      <c r="W1383" s="4" t="str">
        <f t="shared" si="108"/>
        <v>2</v>
      </c>
      <c r="X1383" s="4" t="str">
        <f t="shared" si="109"/>
        <v>4NON-HS2</v>
      </c>
      <c r="Y1383">
        <f>VLOOKUP(X1383,Sheet1!$J$5:$K$121,2,FALSE)</f>
        <v>9.3023255813953501E-2</v>
      </c>
    </row>
    <row r="1384" spans="1:25" x14ac:dyDescent="0.25">
      <c r="A1384" s="8">
        <f>[1]Data!A1384</f>
        <v>124600</v>
      </c>
      <c r="B1384" s="8">
        <f>[1]Data!B1384</f>
        <v>2</v>
      </c>
      <c r="C1384" s="8">
        <f>[1]Data!C1384</f>
        <v>4</v>
      </c>
      <c r="D1384" s="8">
        <f>[1]Data!D1384</f>
        <v>3</v>
      </c>
      <c r="E1384" s="8" t="str">
        <f>[1]Data!E1384</f>
        <v>NON-HS</v>
      </c>
      <c r="F1384" s="8" t="str">
        <f>[1]Data!F1384</f>
        <v>Sherman Oaks</v>
      </c>
      <c r="G1384" s="8">
        <f>[1]Data!G1384</f>
        <v>0</v>
      </c>
      <c r="H1384" s="8">
        <f>[1]Data!H1384</f>
        <v>0</v>
      </c>
      <c r="I1384" s="8">
        <f>[1]Data!I1384</f>
        <v>4.851</v>
      </c>
      <c r="J1384" s="8">
        <f>[1]Data!J1384</f>
        <v>3.8097598800000001</v>
      </c>
      <c r="K1384" s="8">
        <f>[1]Data!K1384</f>
        <v>4.8097598799999997</v>
      </c>
      <c r="L1384" s="8">
        <f>[1]Data!L1384</f>
        <v>4.1250644165170602E-2</v>
      </c>
      <c r="M1384" s="8">
        <f>[1]Data!M1384</f>
        <v>4.8510105241651704</v>
      </c>
      <c r="N1384" s="8">
        <f>[1]Data!N1384</f>
        <v>2.2140221402214E-2</v>
      </c>
      <c r="O1384" s="8">
        <f>[1]Data!O1384</f>
        <v>0</v>
      </c>
      <c r="P1384" s="8">
        <f>[1]Data!P1384</f>
        <v>5.1660516605166101E-2</v>
      </c>
      <c r="Q1384" s="8">
        <f>[1]Data!Q1384</f>
        <v>0.31818181818181801</v>
      </c>
      <c r="R1384" s="8">
        <f>[1]Data!R1384</f>
        <v>9.3023255813953501E-2</v>
      </c>
      <c r="S1384" s="8">
        <f>[1]Data!S1384</f>
        <v>0</v>
      </c>
      <c r="T1384">
        <f t="shared" si="105"/>
        <v>0.11310392173689178</v>
      </c>
      <c r="U1384">
        <f t="shared" si="106"/>
        <v>0</v>
      </c>
      <c r="V1384" s="4" t="str">
        <f t="shared" si="107"/>
        <v>4</v>
      </c>
      <c r="W1384" s="4" t="str">
        <f t="shared" si="108"/>
        <v>2</v>
      </c>
      <c r="X1384" s="4" t="str">
        <f t="shared" si="109"/>
        <v>4NON-HS2</v>
      </c>
      <c r="Y1384">
        <f>VLOOKUP(X1384,Sheet1!$J$5:$K$121,2,FALSE)</f>
        <v>9.3023255813953501E-2</v>
      </c>
    </row>
    <row r="1385" spans="1:25" x14ac:dyDescent="0.25">
      <c r="A1385" s="8">
        <f>[1]Data!A1385</f>
        <v>128910</v>
      </c>
      <c r="B1385" s="8">
        <f>[1]Data!B1385</f>
        <v>2</v>
      </c>
      <c r="C1385" s="8">
        <f>[1]Data!C1385</f>
        <v>4</v>
      </c>
      <c r="D1385" s="8">
        <f>[1]Data!D1385</f>
        <v>3</v>
      </c>
      <c r="E1385" s="8" t="str">
        <f>[1]Data!E1385</f>
        <v>NON-HS</v>
      </c>
      <c r="F1385" s="8" t="str">
        <f>[1]Data!F1385</f>
        <v>Sherman Oaks</v>
      </c>
      <c r="G1385" s="8">
        <f>[1]Data!G1385</f>
        <v>0</v>
      </c>
      <c r="H1385" s="8">
        <f>[1]Data!H1385</f>
        <v>0</v>
      </c>
      <c r="I1385" s="8">
        <f>[1]Data!I1385</f>
        <v>13.391999999999999</v>
      </c>
      <c r="J1385" s="8">
        <f>[1]Data!J1385</f>
        <v>10.73437206</v>
      </c>
      <c r="K1385" s="8">
        <f>[1]Data!K1385</f>
        <v>12.73437206</v>
      </c>
      <c r="L1385" s="8">
        <f>[1]Data!L1385</f>
        <v>0.65704713850987395</v>
      </c>
      <c r="M1385" s="8">
        <f>[1]Data!M1385</f>
        <v>13.391419198509899</v>
      </c>
      <c r="N1385" s="8">
        <f>[1]Data!N1385</f>
        <v>2.2140221402214E-2</v>
      </c>
      <c r="O1385" s="8">
        <f>[1]Data!O1385</f>
        <v>0</v>
      </c>
      <c r="P1385" s="8">
        <f>[1]Data!P1385</f>
        <v>5.1660516605166101E-2</v>
      </c>
      <c r="Q1385" s="8">
        <f>[1]Data!Q1385</f>
        <v>0.31818181818181801</v>
      </c>
      <c r="R1385" s="8">
        <f>[1]Data!R1385</f>
        <v>9.3023255813953501E-2</v>
      </c>
      <c r="S1385" s="8">
        <f>[1]Data!S1385</f>
        <v>0</v>
      </c>
      <c r="T1385">
        <f t="shared" si="105"/>
        <v>0.11310392173689178</v>
      </c>
      <c r="U1385">
        <f t="shared" si="106"/>
        <v>0</v>
      </c>
      <c r="V1385" s="4" t="str">
        <f t="shared" si="107"/>
        <v>4</v>
      </c>
      <c r="W1385" s="4" t="str">
        <f t="shared" si="108"/>
        <v>2</v>
      </c>
      <c r="X1385" s="4" t="str">
        <f t="shared" si="109"/>
        <v>4NON-HS2</v>
      </c>
      <c r="Y1385">
        <f>VLOOKUP(X1385,Sheet1!$J$5:$K$121,2,FALSE)</f>
        <v>9.3023255813953501E-2</v>
      </c>
    </row>
    <row r="1386" spans="1:25" x14ac:dyDescent="0.25">
      <c r="A1386" s="8">
        <f>[1]Data!A1386</f>
        <v>141101</v>
      </c>
      <c r="B1386" s="8">
        <f>[1]Data!B1386</f>
        <v>2</v>
      </c>
      <c r="C1386" s="8">
        <f>[1]Data!C1386</f>
        <v>4</v>
      </c>
      <c r="D1386" s="8">
        <f>[1]Data!D1386</f>
        <v>3</v>
      </c>
      <c r="E1386" s="8" t="str">
        <f>[1]Data!E1386</f>
        <v>NON-HS</v>
      </c>
      <c r="F1386" s="8" t="str">
        <f>[1]Data!F1386</f>
        <v>Sherman Oaks</v>
      </c>
      <c r="G1386" s="8">
        <f>[1]Data!G1386</f>
        <v>0</v>
      </c>
      <c r="H1386" s="8">
        <f>[1]Data!H1386</f>
        <v>0</v>
      </c>
      <c r="I1386" s="8">
        <f>[1]Data!I1386</f>
        <v>0</v>
      </c>
      <c r="J1386" s="8">
        <f>[1]Data!J1386</f>
        <v>0</v>
      </c>
      <c r="K1386" s="8">
        <f>[1]Data!K1386</f>
        <v>0</v>
      </c>
      <c r="L1386" s="8">
        <f>[1]Data!L1386</f>
        <v>0</v>
      </c>
      <c r="M1386" s="8">
        <f>[1]Data!M1386</f>
        <v>0</v>
      </c>
      <c r="N1386" s="8">
        <f>[1]Data!N1386</f>
        <v>2.2140221402214E-2</v>
      </c>
      <c r="O1386" s="8">
        <f>[1]Data!O1386</f>
        <v>0</v>
      </c>
      <c r="P1386" s="8">
        <f>[1]Data!P1386</f>
        <v>5.1660516605166101E-2</v>
      </c>
      <c r="Q1386" s="8">
        <f>[1]Data!Q1386</f>
        <v>0.31818181818181801</v>
      </c>
      <c r="R1386" s="8">
        <f>[1]Data!R1386</f>
        <v>9.3023255813953501E-2</v>
      </c>
      <c r="S1386" s="8">
        <f>[1]Data!S1386</f>
        <v>0</v>
      </c>
      <c r="T1386">
        <f t="shared" si="105"/>
        <v>0.11310392173689178</v>
      </c>
      <c r="U1386">
        <f t="shared" si="106"/>
        <v>0</v>
      </c>
      <c r="V1386" s="4" t="str">
        <f t="shared" si="107"/>
        <v>4</v>
      </c>
      <c r="W1386" s="4" t="str">
        <f t="shared" si="108"/>
        <v>2</v>
      </c>
      <c r="X1386" s="4" t="str">
        <f t="shared" si="109"/>
        <v>4NON-HS2</v>
      </c>
      <c r="Y1386">
        <f>VLOOKUP(X1386,Sheet1!$J$5:$K$121,2,FALSE)</f>
        <v>9.3023255813953501E-2</v>
      </c>
    </row>
    <row r="1387" spans="1:25" x14ac:dyDescent="0.25">
      <c r="A1387" s="8">
        <f>[1]Data!A1387</f>
        <v>128702</v>
      </c>
      <c r="B1387" s="8">
        <f>[1]Data!B1387</f>
        <v>2</v>
      </c>
      <c r="C1387" s="8">
        <f>[1]Data!C1387</f>
        <v>4</v>
      </c>
      <c r="D1387" s="8">
        <f>[1]Data!D1387</f>
        <v>3</v>
      </c>
      <c r="E1387" s="8" t="str">
        <f>[1]Data!E1387</f>
        <v>NON-HS</v>
      </c>
      <c r="F1387" s="8" t="str">
        <f>[1]Data!F1387</f>
        <v>Sherman Oaks</v>
      </c>
      <c r="G1387" s="8">
        <f>[1]Data!G1387</f>
        <v>0</v>
      </c>
      <c r="H1387" s="8">
        <f>[1]Data!H1387</f>
        <v>0</v>
      </c>
      <c r="I1387" s="8">
        <f>[1]Data!I1387</f>
        <v>0</v>
      </c>
      <c r="J1387" s="8">
        <f>[1]Data!J1387</f>
        <v>0</v>
      </c>
      <c r="K1387" s="8">
        <f>[1]Data!K1387</f>
        <v>0</v>
      </c>
      <c r="L1387" s="8">
        <f>[1]Data!L1387</f>
        <v>0</v>
      </c>
      <c r="M1387" s="8">
        <f>[1]Data!M1387</f>
        <v>0</v>
      </c>
      <c r="N1387" s="8">
        <f>[1]Data!N1387</f>
        <v>2.2140221402214E-2</v>
      </c>
      <c r="O1387" s="8">
        <f>[1]Data!O1387</f>
        <v>0</v>
      </c>
      <c r="P1387" s="8">
        <f>[1]Data!P1387</f>
        <v>5.1660516605166101E-2</v>
      </c>
      <c r="Q1387" s="8">
        <f>[1]Data!Q1387</f>
        <v>0.31818181818181801</v>
      </c>
      <c r="R1387" s="8">
        <f>[1]Data!R1387</f>
        <v>9.3023255813953501E-2</v>
      </c>
      <c r="S1387" s="8">
        <f>[1]Data!S1387</f>
        <v>0</v>
      </c>
      <c r="T1387">
        <f t="shared" si="105"/>
        <v>0.11310392173689178</v>
      </c>
      <c r="U1387">
        <f t="shared" si="106"/>
        <v>0</v>
      </c>
      <c r="V1387" s="4" t="str">
        <f t="shared" si="107"/>
        <v>4</v>
      </c>
      <c r="W1387" s="4" t="str">
        <f t="shared" si="108"/>
        <v>2</v>
      </c>
      <c r="X1387" s="4" t="str">
        <f t="shared" si="109"/>
        <v>4NON-HS2</v>
      </c>
      <c r="Y1387">
        <f>VLOOKUP(X1387,Sheet1!$J$5:$K$121,2,FALSE)</f>
        <v>9.3023255813953501E-2</v>
      </c>
    </row>
    <row r="1388" spans="1:25" x14ac:dyDescent="0.25">
      <c r="A1388" s="8">
        <f>[1]Data!A1388</f>
        <v>128802</v>
      </c>
      <c r="B1388" s="8">
        <f>[1]Data!B1388</f>
        <v>2</v>
      </c>
      <c r="C1388" s="8">
        <f>[1]Data!C1388</f>
        <v>4</v>
      </c>
      <c r="D1388" s="8">
        <f>[1]Data!D1388</f>
        <v>3</v>
      </c>
      <c r="E1388" s="8" t="str">
        <f>[1]Data!E1388</f>
        <v>NON-HS</v>
      </c>
      <c r="F1388" s="8" t="str">
        <f>[1]Data!F1388</f>
        <v>Sherman Oaks</v>
      </c>
      <c r="G1388" s="8">
        <f>[1]Data!G1388</f>
        <v>0</v>
      </c>
      <c r="H1388" s="8">
        <f>[1]Data!H1388</f>
        <v>1</v>
      </c>
      <c r="I1388" s="8">
        <f>[1]Data!I1388</f>
        <v>1.8080000000000001</v>
      </c>
      <c r="J1388" s="8">
        <f>[1]Data!J1388</f>
        <v>1.73313217</v>
      </c>
      <c r="K1388" s="8">
        <f>[1]Data!K1388</f>
        <v>1.73313217</v>
      </c>
      <c r="L1388" s="8">
        <f>[1]Data!L1388</f>
        <v>7.4985510287253102E-2</v>
      </c>
      <c r="M1388" s="8">
        <f>[1]Data!M1388</f>
        <v>1.8081176802872501</v>
      </c>
      <c r="N1388" s="8">
        <f>[1]Data!N1388</f>
        <v>2.2140221402214E-2</v>
      </c>
      <c r="O1388" s="8">
        <f>[1]Data!O1388</f>
        <v>0</v>
      </c>
      <c r="P1388" s="8">
        <f>[1]Data!P1388</f>
        <v>5.1660516605166101E-2</v>
      </c>
      <c r="Q1388" s="8">
        <f>[1]Data!Q1388</f>
        <v>0.31818181818181801</v>
      </c>
      <c r="R1388" s="8">
        <f>[1]Data!R1388</f>
        <v>9.3023255813953501E-2</v>
      </c>
      <c r="S1388" s="8">
        <f>[1]Data!S1388</f>
        <v>10.75</v>
      </c>
      <c r="T1388">
        <f t="shared" si="105"/>
        <v>0.11310392173689178</v>
      </c>
      <c r="U1388">
        <f t="shared" si="106"/>
        <v>8.8414264036418828</v>
      </c>
      <c r="V1388" s="4" t="str">
        <f t="shared" si="107"/>
        <v>4</v>
      </c>
      <c r="W1388" s="4" t="str">
        <f t="shared" si="108"/>
        <v>2</v>
      </c>
      <c r="X1388" s="4" t="str">
        <f t="shared" si="109"/>
        <v>4NON-HS2</v>
      </c>
      <c r="Y1388">
        <f>VLOOKUP(X1388,Sheet1!$J$5:$K$121,2,FALSE)</f>
        <v>9.3023255813953501E-2</v>
      </c>
    </row>
    <row r="1389" spans="1:25" x14ac:dyDescent="0.25">
      <c r="A1389" s="8">
        <f>[1]Data!A1389</f>
        <v>128801</v>
      </c>
      <c r="B1389" s="8">
        <f>[1]Data!B1389</f>
        <v>2</v>
      </c>
      <c r="C1389" s="8">
        <f>[1]Data!C1389</f>
        <v>4</v>
      </c>
      <c r="D1389" s="8">
        <f>[1]Data!D1389</f>
        <v>3</v>
      </c>
      <c r="E1389" s="8" t="str">
        <f>[1]Data!E1389</f>
        <v>NON-HS</v>
      </c>
      <c r="F1389" s="8" t="str">
        <f>[1]Data!F1389</f>
        <v>Sherman Oaks</v>
      </c>
      <c r="G1389" s="8">
        <f>[1]Data!G1389</f>
        <v>0</v>
      </c>
      <c r="H1389" s="8">
        <f>[1]Data!H1389</f>
        <v>0</v>
      </c>
      <c r="I1389" s="8">
        <f>[1]Data!I1389</f>
        <v>1</v>
      </c>
      <c r="J1389" s="8">
        <f>[1]Data!J1389</f>
        <v>0</v>
      </c>
      <c r="K1389" s="8">
        <f>[1]Data!K1389</f>
        <v>1</v>
      </c>
      <c r="L1389" s="8">
        <f>[1]Data!L1389</f>
        <v>0</v>
      </c>
      <c r="M1389" s="8">
        <f>[1]Data!M1389</f>
        <v>1</v>
      </c>
      <c r="N1389" s="8">
        <f>[1]Data!N1389</f>
        <v>2.2140221402214E-2</v>
      </c>
      <c r="O1389" s="8">
        <f>[1]Data!O1389</f>
        <v>0</v>
      </c>
      <c r="P1389" s="8">
        <f>[1]Data!P1389</f>
        <v>5.1660516605166101E-2</v>
      </c>
      <c r="Q1389" s="8">
        <f>[1]Data!Q1389</f>
        <v>0.31818181818181801</v>
      </c>
      <c r="R1389" s="8">
        <f>[1]Data!R1389</f>
        <v>9.3023255813953501E-2</v>
      </c>
      <c r="S1389" s="8">
        <f>[1]Data!S1389</f>
        <v>0</v>
      </c>
      <c r="T1389">
        <f t="shared" si="105"/>
        <v>0.11310392173689178</v>
      </c>
      <c r="U1389">
        <f t="shared" si="106"/>
        <v>0</v>
      </c>
      <c r="V1389" s="4" t="str">
        <f t="shared" si="107"/>
        <v>4</v>
      </c>
      <c r="W1389" s="4" t="str">
        <f t="shared" si="108"/>
        <v>2</v>
      </c>
      <c r="X1389" s="4" t="str">
        <f t="shared" si="109"/>
        <v>4NON-HS2</v>
      </c>
      <c r="Y1389">
        <f>VLOOKUP(X1389,Sheet1!$J$5:$K$121,2,FALSE)</f>
        <v>9.3023255813953501E-2</v>
      </c>
    </row>
    <row r="1390" spans="1:25" x14ac:dyDescent="0.25">
      <c r="A1390" s="8">
        <f>[1]Data!A1390</f>
        <v>141102</v>
      </c>
      <c r="B1390" s="8">
        <f>[1]Data!B1390</f>
        <v>2</v>
      </c>
      <c r="C1390" s="8">
        <f>[1]Data!C1390</f>
        <v>4</v>
      </c>
      <c r="D1390" s="8">
        <f>[1]Data!D1390</f>
        <v>3</v>
      </c>
      <c r="E1390" s="8" t="str">
        <f>[1]Data!E1390</f>
        <v>NON-HS</v>
      </c>
      <c r="F1390" s="8" t="str">
        <f>[1]Data!F1390</f>
        <v>Sherman Oaks</v>
      </c>
      <c r="G1390" s="8">
        <f>[1]Data!G1390</f>
        <v>0</v>
      </c>
      <c r="H1390" s="8">
        <f>[1]Data!H1390</f>
        <v>0</v>
      </c>
      <c r="I1390" s="8">
        <f>[1]Data!I1390</f>
        <v>1</v>
      </c>
      <c r="J1390" s="8">
        <f>[1]Data!J1390</f>
        <v>0</v>
      </c>
      <c r="K1390" s="8">
        <f>[1]Data!K1390</f>
        <v>1</v>
      </c>
      <c r="L1390" s="8">
        <f>[1]Data!L1390</f>
        <v>0</v>
      </c>
      <c r="M1390" s="8">
        <f>[1]Data!M1390</f>
        <v>1</v>
      </c>
      <c r="N1390" s="8">
        <f>[1]Data!N1390</f>
        <v>2.2140221402214E-2</v>
      </c>
      <c r="O1390" s="8">
        <f>[1]Data!O1390</f>
        <v>0</v>
      </c>
      <c r="P1390" s="8">
        <f>[1]Data!P1390</f>
        <v>5.1660516605166101E-2</v>
      </c>
      <c r="Q1390" s="8">
        <f>[1]Data!Q1390</f>
        <v>0.31818181818181801</v>
      </c>
      <c r="R1390" s="8">
        <f>[1]Data!R1390</f>
        <v>9.3023255813953501E-2</v>
      </c>
      <c r="S1390" s="8">
        <f>[1]Data!S1390</f>
        <v>0</v>
      </c>
      <c r="T1390">
        <f t="shared" si="105"/>
        <v>0.11310392173689178</v>
      </c>
      <c r="U1390">
        <f t="shared" si="106"/>
        <v>0</v>
      </c>
      <c r="V1390" s="4" t="str">
        <f t="shared" si="107"/>
        <v>4</v>
      </c>
      <c r="W1390" s="4" t="str">
        <f t="shared" si="108"/>
        <v>2</v>
      </c>
      <c r="X1390" s="4" t="str">
        <f t="shared" si="109"/>
        <v>4NON-HS2</v>
      </c>
      <c r="Y1390">
        <f>VLOOKUP(X1390,Sheet1!$J$5:$K$121,2,FALSE)</f>
        <v>9.3023255813953501E-2</v>
      </c>
    </row>
    <row r="1391" spans="1:25" x14ac:dyDescent="0.25">
      <c r="A1391" s="8">
        <f>[1]Data!A1391</f>
        <v>143902</v>
      </c>
      <c r="B1391" s="8">
        <f>[1]Data!B1391</f>
        <v>2</v>
      </c>
      <c r="C1391" s="8">
        <f>[1]Data!C1391</f>
        <v>4</v>
      </c>
      <c r="D1391" s="8">
        <f>[1]Data!D1391</f>
        <v>3</v>
      </c>
      <c r="E1391" s="8" t="str">
        <f>[1]Data!E1391</f>
        <v>NON-HS</v>
      </c>
      <c r="F1391" s="8" t="str">
        <f>[1]Data!F1391</f>
        <v>Studio City</v>
      </c>
      <c r="G1391" s="8">
        <f>[1]Data!G1391</f>
        <v>0</v>
      </c>
      <c r="H1391" s="8">
        <f>[1]Data!H1391</f>
        <v>0</v>
      </c>
      <c r="I1391" s="8">
        <f>[1]Data!I1391</f>
        <v>4.4059999999999997</v>
      </c>
      <c r="J1391" s="8">
        <f>[1]Data!J1391</f>
        <v>3.3625832400000002</v>
      </c>
      <c r="K1391" s="8">
        <f>[1]Data!K1391</f>
        <v>4.3625832400000002</v>
      </c>
      <c r="L1391" s="8">
        <f>[1]Data!L1391</f>
        <v>4.2983863518851001E-2</v>
      </c>
      <c r="M1391" s="8">
        <f>[1]Data!M1391</f>
        <v>4.4055671035188499</v>
      </c>
      <c r="N1391" s="8">
        <f>[1]Data!N1391</f>
        <v>2.2140221402214E-2</v>
      </c>
      <c r="O1391" s="8">
        <f>[1]Data!O1391</f>
        <v>0</v>
      </c>
      <c r="P1391" s="8">
        <f>[1]Data!P1391</f>
        <v>5.1660516605166101E-2</v>
      </c>
      <c r="Q1391" s="8">
        <f>[1]Data!Q1391</f>
        <v>0.31818181818181801</v>
      </c>
      <c r="R1391" s="8">
        <f>[1]Data!R1391</f>
        <v>9.3023255813953501E-2</v>
      </c>
      <c r="S1391" s="8">
        <f>[1]Data!S1391</f>
        <v>0</v>
      </c>
      <c r="T1391">
        <f t="shared" si="105"/>
        <v>0.11310392173689178</v>
      </c>
      <c r="U1391">
        <f t="shared" si="106"/>
        <v>0</v>
      </c>
      <c r="V1391" s="4" t="str">
        <f t="shared" si="107"/>
        <v>4</v>
      </c>
      <c r="W1391" s="4" t="str">
        <f t="shared" si="108"/>
        <v>2</v>
      </c>
      <c r="X1391" s="4" t="str">
        <f t="shared" si="109"/>
        <v>4NON-HS2</v>
      </c>
      <c r="Y1391">
        <f>VLOOKUP(X1391,Sheet1!$J$5:$K$121,2,FALSE)</f>
        <v>9.3023255813953501E-2</v>
      </c>
    </row>
    <row r="1392" spans="1:25" x14ac:dyDescent="0.25">
      <c r="A1392" s="8">
        <f>[1]Data!A1392</f>
        <v>141302</v>
      </c>
      <c r="B1392" s="8">
        <f>[1]Data!B1392</f>
        <v>2</v>
      </c>
      <c r="C1392" s="8">
        <f>[1]Data!C1392</f>
        <v>4</v>
      </c>
      <c r="D1392" s="8">
        <f>[1]Data!D1392</f>
        <v>3</v>
      </c>
      <c r="E1392" s="8" t="str">
        <f>[1]Data!E1392</f>
        <v>NON-HS</v>
      </c>
      <c r="F1392" s="8" t="str">
        <f>[1]Data!F1392</f>
        <v>Sherman Oaks</v>
      </c>
      <c r="G1392" s="8">
        <f>[1]Data!G1392</f>
        <v>0</v>
      </c>
      <c r="H1392" s="8">
        <f>[1]Data!H1392</f>
        <v>0</v>
      </c>
      <c r="I1392" s="8">
        <f>[1]Data!I1392</f>
        <v>6.8289999999999997</v>
      </c>
      <c r="J1392" s="8">
        <f>[1]Data!J1392</f>
        <v>5.6217117700000001</v>
      </c>
      <c r="K1392" s="8">
        <f>[1]Data!K1392</f>
        <v>6.6217117700000001</v>
      </c>
      <c r="L1392" s="8">
        <f>[1]Data!L1392</f>
        <v>0.20678343375224401</v>
      </c>
      <c r="M1392" s="8">
        <f>[1]Data!M1392</f>
        <v>6.8284952037522402</v>
      </c>
      <c r="N1392" s="8">
        <f>[1]Data!N1392</f>
        <v>2.2140221402214E-2</v>
      </c>
      <c r="O1392" s="8">
        <f>[1]Data!O1392</f>
        <v>0</v>
      </c>
      <c r="P1392" s="8">
        <f>[1]Data!P1392</f>
        <v>5.1660516605166101E-2</v>
      </c>
      <c r="Q1392" s="8">
        <f>[1]Data!Q1392</f>
        <v>0.31818181818181801</v>
      </c>
      <c r="R1392" s="8">
        <f>[1]Data!R1392</f>
        <v>9.3023255813953501E-2</v>
      </c>
      <c r="S1392" s="8">
        <f>[1]Data!S1392</f>
        <v>0</v>
      </c>
      <c r="T1392">
        <f t="shared" si="105"/>
        <v>0.11310392173689178</v>
      </c>
      <c r="U1392">
        <f t="shared" si="106"/>
        <v>0</v>
      </c>
      <c r="V1392" s="4" t="str">
        <f t="shared" si="107"/>
        <v>4</v>
      </c>
      <c r="W1392" s="4" t="str">
        <f t="shared" si="108"/>
        <v>2</v>
      </c>
      <c r="X1392" s="4" t="str">
        <f t="shared" si="109"/>
        <v>4NON-HS2</v>
      </c>
      <c r="Y1392">
        <f>VLOOKUP(X1392,Sheet1!$J$5:$K$121,2,FALSE)</f>
        <v>9.3023255813953501E-2</v>
      </c>
    </row>
    <row r="1393" spans="1:25" x14ac:dyDescent="0.25">
      <c r="A1393" s="8">
        <f>[1]Data!A1393</f>
        <v>128602</v>
      </c>
      <c r="B1393" s="8">
        <f>[1]Data!B1393</f>
        <v>2</v>
      </c>
      <c r="C1393" s="8">
        <f>[1]Data!C1393</f>
        <v>4</v>
      </c>
      <c r="D1393" s="8">
        <f>[1]Data!D1393</f>
        <v>3</v>
      </c>
      <c r="E1393" s="8" t="str">
        <f>[1]Data!E1393</f>
        <v>NON-HS</v>
      </c>
      <c r="F1393" s="8" t="str">
        <f>[1]Data!F1393</f>
        <v>Sherman Oaks</v>
      </c>
      <c r="G1393" s="8">
        <f>[1]Data!G1393</f>
        <v>0</v>
      </c>
      <c r="H1393" s="8">
        <f>[1]Data!H1393</f>
        <v>0</v>
      </c>
      <c r="I1393" s="8">
        <f>[1]Data!I1393</f>
        <v>2</v>
      </c>
      <c r="J1393" s="8">
        <f>[1]Data!J1393</f>
        <v>0</v>
      </c>
      <c r="K1393" s="8">
        <f>[1]Data!K1393</f>
        <v>2</v>
      </c>
      <c r="L1393" s="8">
        <f>[1]Data!L1393</f>
        <v>0</v>
      </c>
      <c r="M1393" s="8">
        <f>[1]Data!M1393</f>
        <v>2</v>
      </c>
      <c r="N1393" s="8">
        <f>[1]Data!N1393</f>
        <v>2.2140221402214E-2</v>
      </c>
      <c r="O1393" s="8">
        <f>[1]Data!O1393</f>
        <v>0</v>
      </c>
      <c r="P1393" s="8">
        <f>[1]Data!P1393</f>
        <v>5.1660516605166101E-2</v>
      </c>
      <c r="Q1393" s="8">
        <f>[1]Data!Q1393</f>
        <v>0.31818181818181801</v>
      </c>
      <c r="R1393" s="8">
        <f>[1]Data!R1393</f>
        <v>9.3023255813953501E-2</v>
      </c>
      <c r="S1393" s="8">
        <f>[1]Data!S1393</f>
        <v>0</v>
      </c>
      <c r="T1393">
        <f t="shared" si="105"/>
        <v>0.11310392173689178</v>
      </c>
      <c r="U1393">
        <f t="shared" si="106"/>
        <v>0</v>
      </c>
      <c r="V1393" s="4" t="str">
        <f t="shared" si="107"/>
        <v>4</v>
      </c>
      <c r="W1393" s="4" t="str">
        <f t="shared" si="108"/>
        <v>2</v>
      </c>
      <c r="X1393" s="4" t="str">
        <f t="shared" si="109"/>
        <v>4NON-HS2</v>
      </c>
      <c r="Y1393">
        <f>VLOOKUP(X1393,Sheet1!$J$5:$K$121,2,FALSE)</f>
        <v>9.3023255813953501E-2</v>
      </c>
    </row>
    <row r="1394" spans="1:25" x14ac:dyDescent="0.25">
      <c r="A1394" s="8">
        <f>[1]Data!A1394</f>
        <v>125600</v>
      </c>
      <c r="B1394" s="8">
        <f>[1]Data!B1394</f>
        <v>2</v>
      </c>
      <c r="C1394" s="8">
        <f>[1]Data!C1394</f>
        <v>4</v>
      </c>
      <c r="D1394" s="8">
        <f>[1]Data!D1394</f>
        <v>3</v>
      </c>
      <c r="E1394" s="8" t="str">
        <f>[1]Data!E1394</f>
        <v>NON-HS</v>
      </c>
      <c r="F1394" s="8" t="str">
        <f>[1]Data!F1394</f>
        <v>North Hollywood</v>
      </c>
      <c r="G1394" s="8">
        <f>[1]Data!G1394</f>
        <v>0</v>
      </c>
      <c r="H1394" s="8">
        <f>[1]Data!H1394</f>
        <v>0</v>
      </c>
      <c r="I1394" s="8">
        <f>[1]Data!I1394</f>
        <v>7.2320000000000002</v>
      </c>
      <c r="J1394" s="8">
        <f>[1]Data!J1394</f>
        <v>6.9325286799999999</v>
      </c>
      <c r="K1394" s="8">
        <f>[1]Data!K1394</f>
        <v>6.9325286799999999</v>
      </c>
      <c r="L1394" s="8">
        <f>[1]Data!L1394</f>
        <v>0.29994204114901302</v>
      </c>
      <c r="M1394" s="8">
        <f>[1]Data!M1394</f>
        <v>7.23247072114901</v>
      </c>
      <c r="N1394" s="8">
        <f>[1]Data!N1394</f>
        <v>2.2140221402214E-2</v>
      </c>
      <c r="O1394" s="8">
        <f>[1]Data!O1394</f>
        <v>0</v>
      </c>
      <c r="P1394" s="8">
        <f>[1]Data!P1394</f>
        <v>5.1660516605166101E-2</v>
      </c>
      <c r="Q1394" s="8">
        <f>[1]Data!Q1394</f>
        <v>0.31818181818181801</v>
      </c>
      <c r="R1394" s="8">
        <f>[1]Data!R1394</f>
        <v>9.3023255813953501E-2</v>
      </c>
      <c r="S1394" s="8">
        <f>[1]Data!S1394</f>
        <v>0</v>
      </c>
      <c r="T1394">
        <f t="shared" si="105"/>
        <v>0.11310392173689178</v>
      </c>
      <c r="U1394">
        <f t="shared" si="106"/>
        <v>0</v>
      </c>
      <c r="V1394" s="4" t="str">
        <f t="shared" si="107"/>
        <v>4</v>
      </c>
      <c r="W1394" s="4" t="str">
        <f t="shared" si="108"/>
        <v>2</v>
      </c>
      <c r="X1394" s="4" t="str">
        <f t="shared" si="109"/>
        <v>4NON-HS2</v>
      </c>
      <c r="Y1394">
        <f>VLOOKUP(X1394,Sheet1!$J$5:$K$121,2,FALSE)</f>
        <v>9.3023255813953501E-2</v>
      </c>
    </row>
    <row r="1395" spans="1:25" x14ac:dyDescent="0.25">
      <c r="A1395" s="8">
        <f>[1]Data!A1395</f>
        <v>192420</v>
      </c>
      <c r="B1395" s="8">
        <f>[1]Data!B1395</f>
        <v>4</v>
      </c>
      <c r="C1395" s="8">
        <f>[1]Data!C1395</f>
        <v>4</v>
      </c>
      <c r="D1395" s="8">
        <f>[1]Data!D1395</f>
        <v>2</v>
      </c>
      <c r="E1395" s="8" t="str">
        <f>[1]Data!E1395</f>
        <v>NON-HS</v>
      </c>
      <c r="F1395" s="8" t="str">
        <f>[1]Data!F1395</f>
        <v>Miracle Mile</v>
      </c>
      <c r="G1395" s="8">
        <f>[1]Data!G1395</f>
        <v>0</v>
      </c>
      <c r="H1395" s="8">
        <f>[1]Data!H1395</f>
        <v>0</v>
      </c>
      <c r="I1395" s="8">
        <f>[1]Data!I1395</f>
        <v>1</v>
      </c>
      <c r="J1395" s="8">
        <f>[1]Data!J1395</f>
        <v>0</v>
      </c>
      <c r="K1395" s="8">
        <f>[1]Data!K1395</f>
        <v>1</v>
      </c>
      <c r="L1395" s="8">
        <f>[1]Data!L1395</f>
        <v>0</v>
      </c>
      <c r="M1395" s="8">
        <f>[1]Data!M1395</f>
        <v>1</v>
      </c>
      <c r="N1395" s="8">
        <f>[1]Data!N1395</f>
        <v>2.6315789473684199E-2</v>
      </c>
      <c r="O1395" s="8">
        <f>[1]Data!O1395</f>
        <v>0</v>
      </c>
      <c r="P1395" s="8">
        <f>[1]Data!P1395</f>
        <v>0.17105263157894701</v>
      </c>
      <c r="Q1395" s="8">
        <f>[1]Data!Q1395</f>
        <v>0.59090909090909105</v>
      </c>
      <c r="R1395" s="8">
        <f>[1]Data!R1395</f>
        <v>9.3023255813953501E-2</v>
      </c>
      <c r="S1395" s="8">
        <f>[1]Data!S1395</f>
        <v>0</v>
      </c>
      <c r="T1395">
        <f t="shared" si="105"/>
        <v>0.11689106487148103</v>
      </c>
      <c r="U1395">
        <f t="shared" si="106"/>
        <v>0</v>
      </c>
      <c r="V1395" s="4" t="str">
        <f t="shared" si="107"/>
        <v>4</v>
      </c>
      <c r="W1395" s="4" t="str">
        <f t="shared" si="108"/>
        <v>4</v>
      </c>
      <c r="X1395" s="4" t="str">
        <f t="shared" si="109"/>
        <v>4NON-HS4</v>
      </c>
      <c r="Y1395">
        <f>VLOOKUP(X1395,Sheet1!$J$5:$K$121,2,FALSE)</f>
        <v>9.3023255813953501E-2</v>
      </c>
    </row>
    <row r="1396" spans="1:25" x14ac:dyDescent="0.25">
      <c r="A1396" s="8">
        <f>[1]Data!A1396</f>
        <v>194200</v>
      </c>
      <c r="B1396" s="8">
        <f>[1]Data!B1396</f>
        <v>4</v>
      </c>
      <c r="C1396" s="8">
        <f>[1]Data!C1396</f>
        <v>4</v>
      </c>
      <c r="D1396" s="8">
        <f>[1]Data!D1396</f>
        <v>3</v>
      </c>
      <c r="E1396" s="8" t="str">
        <f>[1]Data!E1396</f>
        <v>NON-HS</v>
      </c>
      <c r="F1396" s="8" t="str">
        <f>[1]Data!F1396</f>
        <v>Bel Air-Beverly Crest</v>
      </c>
      <c r="G1396" s="8">
        <f>[1]Data!G1396</f>
        <v>0</v>
      </c>
      <c r="H1396" s="8">
        <f>[1]Data!H1396</f>
        <v>0</v>
      </c>
      <c r="I1396" s="8">
        <f>[1]Data!I1396</f>
        <v>0</v>
      </c>
      <c r="J1396" s="8">
        <f>[1]Data!J1396</f>
        <v>0</v>
      </c>
      <c r="K1396" s="8">
        <f>[1]Data!K1396</f>
        <v>0</v>
      </c>
      <c r="L1396" s="8">
        <f>[1]Data!L1396</f>
        <v>0</v>
      </c>
      <c r="M1396" s="8">
        <f>[1]Data!M1396</f>
        <v>0</v>
      </c>
      <c r="N1396" s="8">
        <f>[1]Data!N1396</f>
        <v>2.6315789473684199E-2</v>
      </c>
      <c r="O1396" s="8">
        <f>[1]Data!O1396</f>
        <v>0</v>
      </c>
      <c r="P1396" s="8">
        <f>[1]Data!P1396</f>
        <v>0.17105263157894701</v>
      </c>
      <c r="Q1396" s="8">
        <f>[1]Data!Q1396</f>
        <v>0.59090909090909105</v>
      </c>
      <c r="R1396" s="8">
        <f>[1]Data!R1396</f>
        <v>9.3023255813953501E-2</v>
      </c>
      <c r="S1396" s="8">
        <f>[1]Data!S1396</f>
        <v>0</v>
      </c>
      <c r="T1396">
        <f t="shared" si="105"/>
        <v>0.11689106487148103</v>
      </c>
      <c r="U1396">
        <f t="shared" si="106"/>
        <v>0</v>
      </c>
      <c r="V1396" s="4" t="str">
        <f t="shared" si="107"/>
        <v>4</v>
      </c>
      <c r="W1396" s="4" t="str">
        <f t="shared" si="108"/>
        <v>4</v>
      </c>
      <c r="X1396" s="4" t="str">
        <f t="shared" si="109"/>
        <v>4NON-HS4</v>
      </c>
      <c r="Y1396">
        <f>VLOOKUP(X1396,Sheet1!$J$5:$K$121,2,FALSE)</f>
        <v>9.3023255813953501E-2</v>
      </c>
    </row>
    <row r="1397" spans="1:25" x14ac:dyDescent="0.25">
      <c r="A1397" s="8">
        <f>[1]Data!A1397</f>
        <v>216100</v>
      </c>
      <c r="B1397" s="8">
        <f>[1]Data!B1397</f>
        <v>4</v>
      </c>
      <c r="C1397" s="8">
        <f>[1]Data!C1397</f>
        <v>4</v>
      </c>
      <c r="D1397" s="8">
        <f>[1]Data!D1397</f>
        <v>2</v>
      </c>
      <c r="E1397" s="8" t="str">
        <f>[1]Data!E1397</f>
        <v>NON-HS</v>
      </c>
      <c r="F1397" s="8" t="str">
        <f>[1]Data!F1397</f>
        <v>Miracle Mile</v>
      </c>
      <c r="G1397" s="8">
        <f>[1]Data!G1397</f>
        <v>0</v>
      </c>
      <c r="H1397" s="8">
        <f>[1]Data!H1397</f>
        <v>0</v>
      </c>
      <c r="I1397" s="8">
        <f>[1]Data!I1397</f>
        <v>3.9260000000000002</v>
      </c>
      <c r="J1397" s="8">
        <f>[1]Data!J1397</f>
        <v>1.90487994</v>
      </c>
      <c r="K1397" s="8">
        <f>[1]Data!K1397</f>
        <v>3.9048799399999998</v>
      </c>
      <c r="L1397" s="8">
        <f>[1]Data!L1397</f>
        <v>2.0625322082585301E-2</v>
      </c>
      <c r="M1397" s="8">
        <f>[1]Data!M1397</f>
        <v>3.9255052620825901</v>
      </c>
      <c r="N1397" s="8">
        <f>[1]Data!N1397</f>
        <v>2.6315789473684199E-2</v>
      </c>
      <c r="O1397" s="8">
        <f>[1]Data!O1397</f>
        <v>0</v>
      </c>
      <c r="P1397" s="8">
        <f>[1]Data!P1397</f>
        <v>0.17105263157894701</v>
      </c>
      <c r="Q1397" s="8">
        <f>[1]Data!Q1397</f>
        <v>0.59090909090909105</v>
      </c>
      <c r="R1397" s="8">
        <f>[1]Data!R1397</f>
        <v>9.3023255813953501E-2</v>
      </c>
      <c r="S1397" s="8">
        <f>[1]Data!S1397</f>
        <v>0</v>
      </c>
      <c r="T1397">
        <f t="shared" si="105"/>
        <v>0.11689106487148103</v>
      </c>
      <c r="U1397">
        <f t="shared" si="106"/>
        <v>0</v>
      </c>
      <c r="V1397" s="4" t="str">
        <f t="shared" si="107"/>
        <v>4</v>
      </c>
      <c r="W1397" s="4" t="str">
        <f t="shared" si="108"/>
        <v>4</v>
      </c>
      <c r="X1397" s="4" t="str">
        <f t="shared" si="109"/>
        <v>4NON-HS4</v>
      </c>
      <c r="Y1397">
        <f>VLOOKUP(X1397,Sheet1!$J$5:$K$121,2,FALSE)</f>
        <v>9.3023255813953501E-2</v>
      </c>
    </row>
    <row r="1398" spans="1:25" x14ac:dyDescent="0.25">
      <c r="A1398" s="8">
        <f>[1]Data!A1398</f>
        <v>194300</v>
      </c>
      <c r="B1398" s="8">
        <f>[1]Data!B1398</f>
        <v>4</v>
      </c>
      <c r="C1398" s="8">
        <f>[1]Data!C1398</f>
        <v>4</v>
      </c>
      <c r="D1398" s="8">
        <f>[1]Data!D1398</f>
        <v>3</v>
      </c>
      <c r="E1398" s="8" t="str">
        <f>[1]Data!E1398</f>
        <v>NON-HS</v>
      </c>
      <c r="F1398" s="8" t="str">
        <f>[1]Data!F1398</f>
        <v>Bel Air-Beverly Crest</v>
      </c>
      <c r="G1398" s="8">
        <f>[1]Data!G1398</f>
        <v>0</v>
      </c>
      <c r="H1398" s="8">
        <f>[1]Data!H1398</f>
        <v>0</v>
      </c>
      <c r="I1398" s="8">
        <f>[1]Data!I1398</f>
        <v>0</v>
      </c>
      <c r="J1398" s="8">
        <f>[1]Data!J1398</f>
        <v>0</v>
      </c>
      <c r="K1398" s="8">
        <f>[1]Data!K1398</f>
        <v>0</v>
      </c>
      <c r="L1398" s="8">
        <f>[1]Data!L1398</f>
        <v>0</v>
      </c>
      <c r="M1398" s="8">
        <f>[1]Data!M1398</f>
        <v>0</v>
      </c>
      <c r="N1398" s="8">
        <f>[1]Data!N1398</f>
        <v>2.6315789473684199E-2</v>
      </c>
      <c r="O1398" s="8">
        <f>[1]Data!O1398</f>
        <v>0</v>
      </c>
      <c r="P1398" s="8">
        <f>[1]Data!P1398</f>
        <v>0.17105263157894701</v>
      </c>
      <c r="Q1398" s="8">
        <f>[1]Data!Q1398</f>
        <v>0.59090909090909105</v>
      </c>
      <c r="R1398" s="8">
        <f>[1]Data!R1398</f>
        <v>9.3023255813953501E-2</v>
      </c>
      <c r="S1398" s="8">
        <f>[1]Data!S1398</f>
        <v>0</v>
      </c>
      <c r="T1398">
        <f t="shared" si="105"/>
        <v>0.11689106487148103</v>
      </c>
      <c r="U1398">
        <f t="shared" si="106"/>
        <v>0</v>
      </c>
      <c r="V1398" s="4" t="str">
        <f t="shared" si="107"/>
        <v>4</v>
      </c>
      <c r="W1398" s="4" t="str">
        <f t="shared" si="108"/>
        <v>4</v>
      </c>
      <c r="X1398" s="4" t="str">
        <f t="shared" si="109"/>
        <v>4NON-HS4</v>
      </c>
      <c r="Y1398">
        <f>VLOOKUP(X1398,Sheet1!$J$5:$K$121,2,FALSE)</f>
        <v>9.3023255813953501E-2</v>
      </c>
    </row>
    <row r="1399" spans="1:25" x14ac:dyDescent="0.25">
      <c r="A1399" s="8">
        <f>[1]Data!A1399</f>
        <v>195202</v>
      </c>
      <c r="B1399" s="8">
        <f>[1]Data!B1399</f>
        <v>4</v>
      </c>
      <c r="C1399" s="8">
        <f>[1]Data!C1399</f>
        <v>4</v>
      </c>
      <c r="D1399" s="8">
        <f>[1]Data!D1399</f>
        <v>3</v>
      </c>
      <c r="E1399" s="8" t="str">
        <f>[1]Data!E1399</f>
        <v>NON-HS</v>
      </c>
      <c r="F1399" s="8" t="str">
        <f>[1]Data!F1399</f>
        <v>Los Feliz</v>
      </c>
      <c r="G1399" s="8">
        <f>[1]Data!G1399</f>
        <v>0</v>
      </c>
      <c r="H1399" s="8">
        <f>[1]Data!H1399</f>
        <v>0</v>
      </c>
      <c r="I1399" s="8">
        <f>[1]Data!I1399</f>
        <v>3.6859999999999999</v>
      </c>
      <c r="J1399" s="8">
        <f>[1]Data!J1399</f>
        <v>3.4228962300000001</v>
      </c>
      <c r="K1399" s="8">
        <f>[1]Data!K1399</f>
        <v>3.4228962300000001</v>
      </c>
      <c r="L1399" s="8">
        <f>[1]Data!L1399</f>
        <v>0.26262460752244199</v>
      </c>
      <c r="M1399" s="8">
        <f>[1]Data!M1399</f>
        <v>3.6855208375224402</v>
      </c>
      <c r="N1399" s="8">
        <f>[1]Data!N1399</f>
        <v>2.6315789473684199E-2</v>
      </c>
      <c r="O1399" s="8">
        <f>[1]Data!O1399</f>
        <v>0</v>
      </c>
      <c r="P1399" s="8">
        <f>[1]Data!P1399</f>
        <v>0.17105263157894701</v>
      </c>
      <c r="Q1399" s="8">
        <f>[1]Data!Q1399</f>
        <v>0.59090909090909105</v>
      </c>
      <c r="R1399" s="8">
        <f>[1]Data!R1399</f>
        <v>9.3023255813953501E-2</v>
      </c>
      <c r="S1399" s="8">
        <f>[1]Data!S1399</f>
        <v>0</v>
      </c>
      <c r="T1399">
        <f t="shared" si="105"/>
        <v>0.11689106487148103</v>
      </c>
      <c r="U1399">
        <f t="shared" si="106"/>
        <v>0</v>
      </c>
      <c r="V1399" s="4" t="str">
        <f t="shared" si="107"/>
        <v>4</v>
      </c>
      <c r="W1399" s="4" t="str">
        <f t="shared" si="108"/>
        <v>4</v>
      </c>
      <c r="X1399" s="4" t="str">
        <f t="shared" si="109"/>
        <v>4NON-HS4</v>
      </c>
      <c r="Y1399">
        <f>VLOOKUP(X1399,Sheet1!$J$5:$K$121,2,FALSE)</f>
        <v>9.3023255813953501E-2</v>
      </c>
    </row>
    <row r="1400" spans="1:25" x14ac:dyDescent="0.25">
      <c r="A1400" s="8">
        <f>[1]Data!A1400</f>
        <v>195201</v>
      </c>
      <c r="B1400" s="8">
        <f>[1]Data!B1400</f>
        <v>4</v>
      </c>
      <c r="C1400" s="8">
        <f>[1]Data!C1400</f>
        <v>4</v>
      </c>
      <c r="D1400" s="8">
        <f>[1]Data!D1400</f>
        <v>3</v>
      </c>
      <c r="E1400" s="8" t="str">
        <f>[1]Data!E1400</f>
        <v>NON-HS</v>
      </c>
      <c r="F1400" s="8" t="str">
        <f>[1]Data!F1400</f>
        <v>Los Feliz</v>
      </c>
      <c r="G1400" s="8">
        <f>[1]Data!G1400</f>
        <v>0</v>
      </c>
      <c r="H1400" s="8">
        <f>[1]Data!H1400</f>
        <v>0</v>
      </c>
      <c r="I1400" s="8">
        <f>[1]Data!I1400</f>
        <v>0</v>
      </c>
      <c r="J1400" s="8">
        <f>[1]Data!J1400</f>
        <v>0</v>
      </c>
      <c r="K1400" s="8">
        <f>[1]Data!K1400</f>
        <v>0</v>
      </c>
      <c r="L1400" s="8">
        <f>[1]Data!L1400</f>
        <v>0</v>
      </c>
      <c r="M1400" s="8">
        <f>[1]Data!M1400</f>
        <v>0</v>
      </c>
      <c r="N1400" s="8">
        <f>[1]Data!N1400</f>
        <v>2.6315789473684199E-2</v>
      </c>
      <c r="O1400" s="8">
        <f>[1]Data!O1400</f>
        <v>0</v>
      </c>
      <c r="P1400" s="8">
        <f>[1]Data!P1400</f>
        <v>0.17105263157894701</v>
      </c>
      <c r="Q1400" s="8">
        <f>[1]Data!Q1400</f>
        <v>0.59090909090909105</v>
      </c>
      <c r="R1400" s="8">
        <f>[1]Data!R1400</f>
        <v>9.3023255813953501E-2</v>
      </c>
      <c r="S1400" s="8">
        <f>[1]Data!S1400</f>
        <v>0</v>
      </c>
      <c r="T1400">
        <f t="shared" si="105"/>
        <v>0.11689106487148103</v>
      </c>
      <c r="U1400">
        <f t="shared" si="106"/>
        <v>0</v>
      </c>
      <c r="V1400" s="4" t="str">
        <f t="shared" si="107"/>
        <v>4</v>
      </c>
      <c r="W1400" s="4" t="str">
        <f t="shared" si="108"/>
        <v>4</v>
      </c>
      <c r="X1400" s="4" t="str">
        <f t="shared" si="109"/>
        <v>4NON-HS4</v>
      </c>
      <c r="Y1400">
        <f>VLOOKUP(X1400,Sheet1!$J$5:$K$121,2,FALSE)</f>
        <v>9.3023255813953501E-2</v>
      </c>
    </row>
    <row r="1401" spans="1:25" x14ac:dyDescent="0.25">
      <c r="A1401" s="8">
        <f>[1]Data!A1401</f>
        <v>194102</v>
      </c>
      <c r="B1401" s="8">
        <f>[1]Data!B1401</f>
        <v>4</v>
      </c>
      <c r="C1401" s="8">
        <f>[1]Data!C1401</f>
        <v>4</v>
      </c>
      <c r="D1401" s="8">
        <f>[1]Data!D1401</f>
        <v>3</v>
      </c>
      <c r="E1401" s="8" t="str">
        <f>[1]Data!E1401</f>
        <v>NON-HS</v>
      </c>
      <c r="F1401" s="8" t="str">
        <f>[1]Data!F1401</f>
        <v>Hollywood Hills West</v>
      </c>
      <c r="G1401" s="8">
        <f>[1]Data!G1401</f>
        <v>0</v>
      </c>
      <c r="H1401" s="8">
        <f>[1]Data!H1401</f>
        <v>0</v>
      </c>
      <c r="I1401" s="8">
        <f>[1]Data!I1401</f>
        <v>15.278</v>
      </c>
      <c r="J1401" s="8">
        <f>[1]Data!J1401</f>
        <v>14.0011907</v>
      </c>
      <c r="K1401" s="8">
        <f>[1]Data!K1401</f>
        <v>15.0011907</v>
      </c>
      <c r="L1401" s="8">
        <f>[1]Data!L1401</f>
        <v>0.277189391777379</v>
      </c>
      <c r="M1401" s="8">
        <f>[1]Data!M1401</f>
        <v>15.2783800917774</v>
      </c>
      <c r="N1401" s="8">
        <f>[1]Data!N1401</f>
        <v>2.6315789473684199E-2</v>
      </c>
      <c r="O1401" s="8">
        <f>[1]Data!O1401</f>
        <v>0</v>
      </c>
      <c r="P1401" s="8">
        <f>[1]Data!P1401</f>
        <v>0.17105263157894701</v>
      </c>
      <c r="Q1401" s="8">
        <f>[1]Data!Q1401</f>
        <v>0.59090909090909105</v>
      </c>
      <c r="R1401" s="8">
        <f>[1]Data!R1401</f>
        <v>9.3023255813953501E-2</v>
      </c>
      <c r="S1401" s="8">
        <f>[1]Data!S1401</f>
        <v>0</v>
      </c>
      <c r="T1401">
        <f t="shared" si="105"/>
        <v>0.11689106487148103</v>
      </c>
      <c r="U1401">
        <f t="shared" si="106"/>
        <v>0</v>
      </c>
      <c r="V1401" s="4" t="str">
        <f t="shared" si="107"/>
        <v>4</v>
      </c>
      <c r="W1401" s="4" t="str">
        <f t="shared" si="108"/>
        <v>4</v>
      </c>
      <c r="X1401" s="4" t="str">
        <f t="shared" si="109"/>
        <v>4NON-HS4</v>
      </c>
      <c r="Y1401">
        <f>VLOOKUP(X1401,Sheet1!$J$5:$K$121,2,FALSE)</f>
        <v>9.3023255813953501E-2</v>
      </c>
    </row>
    <row r="1402" spans="1:25" x14ac:dyDescent="0.25">
      <c r="A1402" s="8">
        <f>[1]Data!A1402</f>
        <v>211703</v>
      </c>
      <c r="B1402" s="8">
        <f>[1]Data!B1402</f>
        <v>4</v>
      </c>
      <c r="C1402" s="8">
        <f>[1]Data!C1402</f>
        <v>4</v>
      </c>
      <c r="D1402" s="8">
        <f>[1]Data!D1402</f>
        <v>2</v>
      </c>
      <c r="E1402" s="8" t="str">
        <f>[1]Data!E1402</f>
        <v>NON-HS</v>
      </c>
      <c r="F1402" s="8" t="str">
        <f>[1]Data!F1402</f>
        <v>Miracle Mile</v>
      </c>
      <c r="G1402" s="8">
        <f>[1]Data!G1402</f>
        <v>0</v>
      </c>
      <c r="H1402" s="8">
        <f>[1]Data!H1402</f>
        <v>0</v>
      </c>
      <c r="I1402" s="8">
        <f>[1]Data!I1402</f>
        <v>7.7770000000000001</v>
      </c>
      <c r="J1402" s="8">
        <f>[1]Data!J1402</f>
        <v>5.7146398200000004</v>
      </c>
      <c r="K1402" s="8">
        <f>[1]Data!K1402</f>
        <v>7.7146398200000004</v>
      </c>
      <c r="L1402" s="8">
        <f>[1]Data!L1402</f>
        <v>6.18759662477558E-2</v>
      </c>
      <c r="M1402" s="8">
        <f>[1]Data!M1402</f>
        <v>7.7765157862477601</v>
      </c>
      <c r="N1402" s="8">
        <f>[1]Data!N1402</f>
        <v>2.6315789473684199E-2</v>
      </c>
      <c r="O1402" s="8">
        <f>[1]Data!O1402</f>
        <v>0</v>
      </c>
      <c r="P1402" s="8">
        <f>[1]Data!P1402</f>
        <v>0.17105263157894701</v>
      </c>
      <c r="Q1402" s="8">
        <f>[1]Data!Q1402</f>
        <v>0.59090909090909105</v>
      </c>
      <c r="R1402" s="8">
        <f>[1]Data!R1402</f>
        <v>9.3023255813953501E-2</v>
      </c>
      <c r="S1402" s="8">
        <f>[1]Data!S1402</f>
        <v>0</v>
      </c>
      <c r="T1402">
        <f t="shared" si="105"/>
        <v>0.11689106487148103</v>
      </c>
      <c r="U1402">
        <f t="shared" si="106"/>
        <v>0</v>
      </c>
      <c r="V1402" s="4" t="str">
        <f t="shared" si="107"/>
        <v>4</v>
      </c>
      <c r="W1402" s="4" t="str">
        <f t="shared" si="108"/>
        <v>4</v>
      </c>
      <c r="X1402" s="4" t="str">
        <f t="shared" si="109"/>
        <v>4NON-HS4</v>
      </c>
      <c r="Y1402">
        <f>VLOOKUP(X1402,Sheet1!$J$5:$K$121,2,FALSE)</f>
        <v>9.3023255813953501E-2</v>
      </c>
    </row>
    <row r="1403" spans="1:25" x14ac:dyDescent="0.25">
      <c r="A1403" s="8">
        <f>[1]Data!A1403</f>
        <v>192300</v>
      </c>
      <c r="B1403" s="8">
        <f>[1]Data!B1403</f>
        <v>4</v>
      </c>
      <c r="C1403" s="8">
        <f>[1]Data!C1403</f>
        <v>4</v>
      </c>
      <c r="D1403" s="8">
        <f>[1]Data!D1403</f>
        <v>3</v>
      </c>
      <c r="E1403" s="8" t="str">
        <f>[1]Data!E1403</f>
        <v>NON-HS</v>
      </c>
      <c r="F1403" s="8" t="str">
        <f>[1]Data!F1403</f>
        <v>Miracle Mile</v>
      </c>
      <c r="G1403" s="8">
        <f>[1]Data!G1403</f>
        <v>0</v>
      </c>
      <c r="H1403" s="8">
        <f>[1]Data!H1403</f>
        <v>0</v>
      </c>
      <c r="I1403" s="8">
        <f>[1]Data!I1403</f>
        <v>5</v>
      </c>
      <c r="J1403" s="8">
        <f>[1]Data!J1403</f>
        <v>0</v>
      </c>
      <c r="K1403" s="8">
        <f>[1]Data!K1403</f>
        <v>5</v>
      </c>
      <c r="L1403" s="8">
        <f>[1]Data!L1403</f>
        <v>0</v>
      </c>
      <c r="M1403" s="8">
        <f>[1]Data!M1403</f>
        <v>5</v>
      </c>
      <c r="N1403" s="8">
        <f>[1]Data!N1403</f>
        <v>2.6315789473684199E-2</v>
      </c>
      <c r="O1403" s="8">
        <f>[1]Data!O1403</f>
        <v>0</v>
      </c>
      <c r="P1403" s="8">
        <f>[1]Data!P1403</f>
        <v>0.17105263157894701</v>
      </c>
      <c r="Q1403" s="8">
        <f>[1]Data!Q1403</f>
        <v>0.59090909090909105</v>
      </c>
      <c r="R1403" s="8">
        <f>[1]Data!R1403</f>
        <v>9.3023255813953501E-2</v>
      </c>
      <c r="S1403" s="8">
        <f>[1]Data!S1403</f>
        <v>0</v>
      </c>
      <c r="T1403">
        <f t="shared" si="105"/>
        <v>0.11689106487148103</v>
      </c>
      <c r="U1403">
        <f t="shared" si="106"/>
        <v>0</v>
      </c>
      <c r="V1403" s="4" t="str">
        <f t="shared" si="107"/>
        <v>4</v>
      </c>
      <c r="W1403" s="4" t="str">
        <f t="shared" si="108"/>
        <v>4</v>
      </c>
      <c r="X1403" s="4" t="str">
        <f t="shared" si="109"/>
        <v>4NON-HS4</v>
      </c>
      <c r="Y1403">
        <f>VLOOKUP(X1403,Sheet1!$J$5:$K$121,2,FALSE)</f>
        <v>9.3023255813953501E-2</v>
      </c>
    </row>
    <row r="1404" spans="1:25" x14ac:dyDescent="0.25">
      <c r="A1404" s="8">
        <f>[1]Data!A1404</f>
        <v>188202</v>
      </c>
      <c r="B1404" s="8">
        <f>[1]Data!B1404</f>
        <v>4</v>
      </c>
      <c r="C1404" s="8">
        <f>[1]Data!C1404</f>
        <v>4</v>
      </c>
      <c r="D1404" s="8">
        <f>[1]Data!D1404</f>
        <v>3</v>
      </c>
      <c r="E1404" s="8" t="str">
        <f>[1]Data!E1404</f>
        <v>NON-HS</v>
      </c>
      <c r="F1404" s="8" t="str">
        <f>[1]Data!F1404</f>
        <v>Los Feliz</v>
      </c>
      <c r="G1404" s="8">
        <f>[1]Data!G1404</f>
        <v>0</v>
      </c>
      <c r="H1404" s="8">
        <f>[1]Data!H1404</f>
        <v>0</v>
      </c>
      <c r="I1404" s="8">
        <f>[1]Data!I1404</f>
        <v>3</v>
      </c>
      <c r="J1404" s="8">
        <f>[1]Data!J1404</f>
        <v>0</v>
      </c>
      <c r="K1404" s="8">
        <f>[1]Data!K1404</f>
        <v>3</v>
      </c>
      <c r="L1404" s="8">
        <f>[1]Data!L1404</f>
        <v>0</v>
      </c>
      <c r="M1404" s="8">
        <f>[1]Data!M1404</f>
        <v>3</v>
      </c>
      <c r="N1404" s="8">
        <f>[1]Data!N1404</f>
        <v>2.6315789473684199E-2</v>
      </c>
      <c r="O1404" s="8">
        <f>[1]Data!O1404</f>
        <v>0</v>
      </c>
      <c r="P1404" s="8">
        <f>[1]Data!P1404</f>
        <v>0.17105263157894701</v>
      </c>
      <c r="Q1404" s="8">
        <f>[1]Data!Q1404</f>
        <v>0.59090909090909105</v>
      </c>
      <c r="R1404" s="8">
        <f>[1]Data!R1404</f>
        <v>9.3023255813953501E-2</v>
      </c>
      <c r="S1404" s="8">
        <f>[1]Data!S1404</f>
        <v>0</v>
      </c>
      <c r="T1404">
        <f t="shared" si="105"/>
        <v>0.11689106487148103</v>
      </c>
      <c r="U1404">
        <f t="shared" si="106"/>
        <v>0</v>
      </c>
      <c r="V1404" s="4" t="str">
        <f t="shared" si="107"/>
        <v>4</v>
      </c>
      <c r="W1404" s="4" t="str">
        <f t="shared" si="108"/>
        <v>4</v>
      </c>
      <c r="X1404" s="4" t="str">
        <f t="shared" si="109"/>
        <v>4NON-HS4</v>
      </c>
      <c r="Y1404">
        <f>VLOOKUP(X1404,Sheet1!$J$5:$K$121,2,FALSE)</f>
        <v>9.3023255813953501E-2</v>
      </c>
    </row>
    <row r="1405" spans="1:25" x14ac:dyDescent="0.25">
      <c r="A1405" s="8">
        <f>[1]Data!A1405</f>
        <v>188201</v>
      </c>
      <c r="B1405" s="8">
        <f>[1]Data!B1405</f>
        <v>4</v>
      </c>
      <c r="C1405" s="8">
        <f>[1]Data!C1405</f>
        <v>4</v>
      </c>
      <c r="D1405" s="8">
        <f>[1]Data!D1405</f>
        <v>3</v>
      </c>
      <c r="E1405" s="8" t="str">
        <f>[1]Data!E1405</f>
        <v>NON-HS</v>
      </c>
      <c r="F1405" s="8" t="str">
        <f>[1]Data!F1405</f>
        <v>Los Feliz</v>
      </c>
      <c r="G1405" s="8">
        <f>[1]Data!G1405</f>
        <v>0</v>
      </c>
      <c r="H1405" s="8">
        <f>[1]Data!H1405</f>
        <v>0</v>
      </c>
      <c r="I1405" s="8">
        <f>[1]Data!I1405</f>
        <v>5.399</v>
      </c>
      <c r="J1405" s="8">
        <f>[1]Data!J1405</f>
        <v>3.1723287400000002</v>
      </c>
      <c r="K1405" s="8">
        <f>[1]Data!K1405</f>
        <v>5.1723287400000002</v>
      </c>
      <c r="L1405" s="8">
        <f>[1]Data!L1405</f>
        <v>0.22643751642728899</v>
      </c>
      <c r="M1405" s="8">
        <f>[1]Data!M1405</f>
        <v>5.3987662564272902</v>
      </c>
      <c r="N1405" s="8">
        <f>[1]Data!N1405</f>
        <v>2.6315789473684199E-2</v>
      </c>
      <c r="O1405" s="8">
        <f>[1]Data!O1405</f>
        <v>0</v>
      </c>
      <c r="P1405" s="8">
        <f>[1]Data!P1405</f>
        <v>0.17105263157894701</v>
      </c>
      <c r="Q1405" s="8">
        <f>[1]Data!Q1405</f>
        <v>0.59090909090909105</v>
      </c>
      <c r="R1405" s="8">
        <f>[1]Data!R1405</f>
        <v>9.3023255813953501E-2</v>
      </c>
      <c r="S1405" s="8">
        <f>[1]Data!S1405</f>
        <v>0</v>
      </c>
      <c r="T1405">
        <f t="shared" si="105"/>
        <v>0.11689106487148103</v>
      </c>
      <c r="U1405">
        <f t="shared" si="106"/>
        <v>0</v>
      </c>
      <c r="V1405" s="4" t="str">
        <f t="shared" si="107"/>
        <v>4</v>
      </c>
      <c r="W1405" s="4" t="str">
        <f t="shared" si="108"/>
        <v>4</v>
      </c>
      <c r="X1405" s="4" t="str">
        <f t="shared" si="109"/>
        <v>4NON-HS4</v>
      </c>
      <c r="Y1405">
        <f>VLOOKUP(X1405,Sheet1!$J$5:$K$121,2,FALSE)</f>
        <v>9.3023255813953501E-2</v>
      </c>
    </row>
    <row r="1406" spans="1:25" x14ac:dyDescent="0.25">
      <c r="A1406" s="8">
        <f>[1]Data!A1406</f>
        <v>189202</v>
      </c>
      <c r="B1406" s="8">
        <f>[1]Data!B1406</f>
        <v>4</v>
      </c>
      <c r="C1406" s="8">
        <f>[1]Data!C1406</f>
        <v>4</v>
      </c>
      <c r="D1406" s="8">
        <f>[1]Data!D1406</f>
        <v>3</v>
      </c>
      <c r="E1406" s="8" t="str">
        <f>[1]Data!E1406</f>
        <v>NON-HS</v>
      </c>
      <c r="F1406" s="8" t="str">
        <f>[1]Data!F1406</f>
        <v>Los Feliz</v>
      </c>
      <c r="G1406" s="8">
        <f>[1]Data!G1406</f>
        <v>0</v>
      </c>
      <c r="H1406" s="8">
        <f>[1]Data!H1406</f>
        <v>0</v>
      </c>
      <c r="I1406" s="8">
        <f>[1]Data!I1406</f>
        <v>3.6160000000000001</v>
      </c>
      <c r="J1406" s="8">
        <f>[1]Data!J1406</f>
        <v>3.4662643399999999</v>
      </c>
      <c r="K1406" s="8">
        <f>[1]Data!K1406</f>
        <v>3.4662643399999999</v>
      </c>
      <c r="L1406" s="8">
        <f>[1]Data!L1406</f>
        <v>0.14997102057450601</v>
      </c>
      <c r="M1406" s="8">
        <f>[1]Data!M1406</f>
        <v>3.6162353605745099</v>
      </c>
      <c r="N1406" s="8">
        <f>[1]Data!N1406</f>
        <v>2.6315789473684199E-2</v>
      </c>
      <c r="O1406" s="8">
        <f>[1]Data!O1406</f>
        <v>0</v>
      </c>
      <c r="P1406" s="8">
        <f>[1]Data!P1406</f>
        <v>0.17105263157894701</v>
      </c>
      <c r="Q1406" s="8">
        <f>[1]Data!Q1406</f>
        <v>0.59090909090909105</v>
      </c>
      <c r="R1406" s="8">
        <f>[1]Data!R1406</f>
        <v>9.3023255813953501E-2</v>
      </c>
      <c r="S1406" s="8">
        <f>[1]Data!S1406</f>
        <v>0</v>
      </c>
      <c r="T1406">
        <f t="shared" si="105"/>
        <v>0.11689106487148103</v>
      </c>
      <c r="U1406">
        <f t="shared" si="106"/>
        <v>0</v>
      </c>
      <c r="V1406" s="4" t="str">
        <f t="shared" si="107"/>
        <v>4</v>
      </c>
      <c r="W1406" s="4" t="str">
        <f t="shared" si="108"/>
        <v>4</v>
      </c>
      <c r="X1406" s="4" t="str">
        <f t="shared" si="109"/>
        <v>4NON-HS4</v>
      </c>
      <c r="Y1406">
        <f>VLOOKUP(X1406,Sheet1!$J$5:$K$121,2,FALSE)</f>
        <v>9.3023255813953501E-2</v>
      </c>
    </row>
    <row r="1407" spans="1:25" x14ac:dyDescent="0.25">
      <c r="A1407" s="8">
        <f>[1]Data!A1407</f>
        <v>189201</v>
      </c>
      <c r="B1407" s="8">
        <f>[1]Data!B1407</f>
        <v>4</v>
      </c>
      <c r="C1407" s="8">
        <f>[1]Data!C1407</f>
        <v>4</v>
      </c>
      <c r="D1407" s="8">
        <f>[1]Data!D1407</f>
        <v>3</v>
      </c>
      <c r="E1407" s="8" t="str">
        <f>[1]Data!E1407</f>
        <v>NON-HS</v>
      </c>
      <c r="F1407" s="8" t="str">
        <f>[1]Data!F1407</f>
        <v>Los Feliz</v>
      </c>
      <c r="G1407" s="8">
        <f>[1]Data!G1407</f>
        <v>0</v>
      </c>
      <c r="H1407" s="8">
        <f>[1]Data!H1407</f>
        <v>0</v>
      </c>
      <c r="I1407" s="8">
        <f>[1]Data!I1407</f>
        <v>19.295999999999999</v>
      </c>
      <c r="J1407" s="8">
        <f>[1]Data!J1407</f>
        <v>12.897735989999999</v>
      </c>
      <c r="K1407" s="8">
        <f>[1]Data!K1407</f>
        <v>18.897735990000001</v>
      </c>
      <c r="L1407" s="8">
        <f>[1]Data!L1407</f>
        <v>0.39800509849192101</v>
      </c>
      <c r="M1407" s="8">
        <f>[1]Data!M1407</f>
        <v>19.295741088491901</v>
      </c>
      <c r="N1407" s="8">
        <f>[1]Data!N1407</f>
        <v>2.6315789473684199E-2</v>
      </c>
      <c r="O1407" s="8">
        <f>[1]Data!O1407</f>
        <v>0</v>
      </c>
      <c r="P1407" s="8">
        <f>[1]Data!P1407</f>
        <v>0.17105263157894701</v>
      </c>
      <c r="Q1407" s="8">
        <f>[1]Data!Q1407</f>
        <v>0.59090909090909105</v>
      </c>
      <c r="R1407" s="8">
        <f>[1]Data!R1407</f>
        <v>9.3023255813953501E-2</v>
      </c>
      <c r="S1407" s="8">
        <f>[1]Data!S1407</f>
        <v>0</v>
      </c>
      <c r="T1407">
        <f t="shared" si="105"/>
        <v>0.11689106487148103</v>
      </c>
      <c r="U1407">
        <f t="shared" si="106"/>
        <v>0</v>
      </c>
      <c r="V1407" s="4" t="str">
        <f t="shared" si="107"/>
        <v>4</v>
      </c>
      <c r="W1407" s="4" t="str">
        <f t="shared" si="108"/>
        <v>4</v>
      </c>
      <c r="X1407" s="4" t="str">
        <f t="shared" si="109"/>
        <v>4NON-HS4</v>
      </c>
      <c r="Y1407">
        <f>VLOOKUP(X1407,Sheet1!$J$5:$K$121,2,FALSE)</f>
        <v>9.3023255813953501E-2</v>
      </c>
    </row>
    <row r="1408" spans="1:25" x14ac:dyDescent="0.25">
      <c r="A1408" s="8">
        <f>[1]Data!A1408</f>
        <v>189702</v>
      </c>
      <c r="B1408" s="8">
        <f>[1]Data!B1408</f>
        <v>4</v>
      </c>
      <c r="C1408" s="8">
        <f>[1]Data!C1408</f>
        <v>4</v>
      </c>
      <c r="D1408" s="8">
        <f>[1]Data!D1408</f>
        <v>3</v>
      </c>
      <c r="E1408" s="8" t="str">
        <f>[1]Data!E1408</f>
        <v>NON-HS</v>
      </c>
      <c r="F1408" s="8" t="str">
        <f>[1]Data!F1408</f>
        <v>Hollywood Hills West</v>
      </c>
      <c r="G1408" s="8">
        <f>[1]Data!G1408</f>
        <v>0</v>
      </c>
      <c r="H1408" s="8">
        <f>[1]Data!H1408</f>
        <v>1</v>
      </c>
      <c r="I1408" s="8">
        <f>[1]Data!I1408</f>
        <v>12.108000000000001</v>
      </c>
      <c r="J1408" s="8">
        <f>[1]Data!J1408</f>
        <v>5.0438748599999998</v>
      </c>
      <c r="K1408" s="8">
        <f>[1]Data!K1408</f>
        <v>12.043874860000001</v>
      </c>
      <c r="L1408" s="8">
        <f>[1]Data!L1408</f>
        <v>6.4475795278276501E-2</v>
      </c>
      <c r="M1408" s="8">
        <f>[1]Data!M1408</f>
        <v>12.108350655278301</v>
      </c>
      <c r="N1408" s="8">
        <f>[1]Data!N1408</f>
        <v>2.6315789473684199E-2</v>
      </c>
      <c r="O1408" s="8">
        <f>[1]Data!O1408</f>
        <v>0</v>
      </c>
      <c r="P1408" s="8">
        <f>[1]Data!P1408</f>
        <v>0.17105263157894701</v>
      </c>
      <c r="Q1408" s="8">
        <f>[1]Data!Q1408</f>
        <v>0.59090909090909105</v>
      </c>
      <c r="R1408" s="8">
        <f>[1]Data!R1408</f>
        <v>9.3023255813953501E-2</v>
      </c>
      <c r="S1408" s="8">
        <f>[1]Data!S1408</f>
        <v>10.75</v>
      </c>
      <c r="T1408">
        <f t="shared" si="105"/>
        <v>0.11689106487148103</v>
      </c>
      <c r="U1408">
        <f t="shared" si="106"/>
        <v>8.5549738219895293</v>
      </c>
      <c r="V1408" s="4" t="str">
        <f t="shared" si="107"/>
        <v>4</v>
      </c>
      <c r="W1408" s="4" t="str">
        <f t="shared" si="108"/>
        <v>4</v>
      </c>
      <c r="X1408" s="4" t="str">
        <f t="shared" si="109"/>
        <v>4NON-HS4</v>
      </c>
      <c r="Y1408">
        <f>VLOOKUP(X1408,Sheet1!$J$5:$K$121,2,FALSE)</f>
        <v>9.3023255813953501E-2</v>
      </c>
    </row>
    <row r="1409" spans="1:25" x14ac:dyDescent="0.25">
      <c r="A1409" s="8">
        <f>[1]Data!A1409</f>
        <v>189902</v>
      </c>
      <c r="B1409" s="8">
        <f>[1]Data!B1409</f>
        <v>4</v>
      </c>
      <c r="C1409" s="8">
        <f>[1]Data!C1409</f>
        <v>4</v>
      </c>
      <c r="D1409" s="8">
        <f>[1]Data!D1409</f>
        <v>3</v>
      </c>
      <c r="E1409" s="8" t="str">
        <f>[1]Data!E1409</f>
        <v>NON-HS</v>
      </c>
      <c r="F1409" s="8" t="str">
        <f>[1]Data!F1409</f>
        <v>Hollywood Hills West</v>
      </c>
      <c r="G1409" s="8">
        <f>[1]Data!G1409</f>
        <v>0</v>
      </c>
      <c r="H1409" s="8">
        <f>[1]Data!H1409</f>
        <v>1</v>
      </c>
      <c r="I1409" s="8">
        <f>[1]Data!I1409</f>
        <v>9.734</v>
      </c>
      <c r="J1409" s="8">
        <f>[1]Data!J1409</f>
        <v>3.63801211</v>
      </c>
      <c r="K1409" s="8">
        <f>[1]Data!K1409</f>
        <v>9.63801211</v>
      </c>
      <c r="L1409" s="8">
        <f>[1]Data!L1409</f>
        <v>9.5610832369838403E-2</v>
      </c>
      <c r="M1409" s="8">
        <f>[1]Data!M1409</f>
        <v>9.7336229423698395</v>
      </c>
      <c r="N1409" s="8">
        <f>[1]Data!N1409</f>
        <v>2.6315789473684199E-2</v>
      </c>
      <c r="O1409" s="8">
        <f>[1]Data!O1409</f>
        <v>0</v>
      </c>
      <c r="P1409" s="8">
        <f>[1]Data!P1409</f>
        <v>0.17105263157894701</v>
      </c>
      <c r="Q1409" s="8">
        <f>[1]Data!Q1409</f>
        <v>0.59090909090909105</v>
      </c>
      <c r="R1409" s="8">
        <f>[1]Data!R1409</f>
        <v>9.3023255813953501E-2</v>
      </c>
      <c r="S1409" s="8">
        <f>[1]Data!S1409</f>
        <v>10.75</v>
      </c>
      <c r="T1409">
        <f t="shared" si="105"/>
        <v>0.11689106487148103</v>
      </c>
      <c r="U1409">
        <f t="shared" si="106"/>
        <v>8.5549738219895293</v>
      </c>
      <c r="V1409" s="4" t="str">
        <f t="shared" si="107"/>
        <v>4</v>
      </c>
      <c r="W1409" s="4" t="str">
        <f t="shared" si="108"/>
        <v>4</v>
      </c>
      <c r="X1409" s="4" t="str">
        <f t="shared" si="109"/>
        <v>4NON-HS4</v>
      </c>
      <c r="Y1409">
        <f>VLOOKUP(X1409,Sheet1!$J$5:$K$121,2,FALSE)</f>
        <v>9.3023255813953501E-2</v>
      </c>
    </row>
    <row r="1410" spans="1:25" x14ac:dyDescent="0.25">
      <c r="A1410" s="8">
        <f>[1]Data!A1410</f>
        <v>216200</v>
      </c>
      <c r="B1410" s="8">
        <f>[1]Data!B1410</f>
        <v>4</v>
      </c>
      <c r="C1410" s="8">
        <f>[1]Data!C1410</f>
        <v>4</v>
      </c>
      <c r="D1410" s="8">
        <f>[1]Data!D1410</f>
        <v>2</v>
      </c>
      <c r="E1410" s="8" t="str">
        <f>[1]Data!E1410</f>
        <v>NON-HS</v>
      </c>
      <c r="F1410" s="8" t="str">
        <f>[1]Data!F1410</f>
        <v>Mid-City West</v>
      </c>
      <c r="G1410" s="8">
        <f>[1]Data!G1410</f>
        <v>0</v>
      </c>
      <c r="H1410" s="8">
        <f>[1]Data!H1410</f>
        <v>0</v>
      </c>
      <c r="I1410" s="8">
        <f>[1]Data!I1410</f>
        <v>3.0950000000000002</v>
      </c>
      <c r="J1410" s="8">
        <f>[1]Data!J1410</f>
        <v>1.9836996600000001</v>
      </c>
      <c r="K1410" s="8">
        <f>[1]Data!K1410</f>
        <v>2.9836996600000001</v>
      </c>
      <c r="L1410" s="8">
        <f>[1]Data!L1410</f>
        <v>0.11117260138240601</v>
      </c>
      <c r="M1410" s="8">
        <f>[1]Data!M1410</f>
        <v>3.09487226138241</v>
      </c>
      <c r="N1410" s="8">
        <f>[1]Data!N1410</f>
        <v>2.6315789473684199E-2</v>
      </c>
      <c r="O1410" s="8">
        <f>[1]Data!O1410</f>
        <v>0</v>
      </c>
      <c r="P1410" s="8">
        <f>[1]Data!P1410</f>
        <v>0.17105263157894701</v>
      </c>
      <c r="Q1410" s="8">
        <f>[1]Data!Q1410</f>
        <v>0.59090909090909105</v>
      </c>
      <c r="R1410" s="8">
        <f>[1]Data!R1410</f>
        <v>9.3023255813953501E-2</v>
      </c>
      <c r="S1410" s="8">
        <f>[1]Data!S1410</f>
        <v>0</v>
      </c>
      <c r="T1410">
        <f t="shared" si="105"/>
        <v>0.11689106487148103</v>
      </c>
      <c r="U1410">
        <f t="shared" si="106"/>
        <v>0</v>
      </c>
      <c r="V1410" s="4" t="str">
        <f t="shared" si="107"/>
        <v>4</v>
      </c>
      <c r="W1410" s="4" t="str">
        <f t="shared" si="108"/>
        <v>4</v>
      </c>
      <c r="X1410" s="4" t="str">
        <f t="shared" si="109"/>
        <v>4NON-HS4</v>
      </c>
      <c r="Y1410">
        <f>VLOOKUP(X1410,Sheet1!$J$5:$K$121,2,FALSE)</f>
        <v>9.3023255813953501E-2</v>
      </c>
    </row>
    <row r="1411" spans="1:25" x14ac:dyDescent="0.25">
      <c r="A1411" s="8">
        <f>[1]Data!A1411</f>
        <v>212702</v>
      </c>
      <c r="B1411" s="8">
        <f>[1]Data!B1411</f>
        <v>4</v>
      </c>
      <c r="C1411" s="8">
        <f>[1]Data!C1411</f>
        <v>4</v>
      </c>
      <c r="D1411" s="8">
        <f>[1]Data!D1411</f>
        <v>2</v>
      </c>
      <c r="E1411" s="8" t="str">
        <f>[1]Data!E1411</f>
        <v>NON-HS</v>
      </c>
      <c r="F1411" s="8" t="str">
        <f>[1]Data!F1411</f>
        <v>Miracle Mile</v>
      </c>
      <c r="G1411" s="8">
        <f>[1]Data!G1411</f>
        <v>0</v>
      </c>
      <c r="H1411" s="8">
        <f>[1]Data!H1411</f>
        <v>0</v>
      </c>
      <c r="I1411" s="8">
        <f>[1]Data!I1411</f>
        <v>3.903</v>
      </c>
      <c r="J1411" s="8">
        <f>[1]Data!J1411</f>
        <v>3.7168318299999998</v>
      </c>
      <c r="K1411" s="8">
        <f>[1]Data!K1411</f>
        <v>3.7168318299999998</v>
      </c>
      <c r="L1411" s="8">
        <f>[1]Data!L1411</f>
        <v>0.18615811166965901</v>
      </c>
      <c r="M1411" s="8">
        <f>[1]Data!M1411</f>
        <v>3.9029899416696598</v>
      </c>
      <c r="N1411" s="8">
        <f>[1]Data!N1411</f>
        <v>2.6315789473684199E-2</v>
      </c>
      <c r="O1411" s="8">
        <f>[1]Data!O1411</f>
        <v>0</v>
      </c>
      <c r="P1411" s="8">
        <f>[1]Data!P1411</f>
        <v>0.17105263157894701</v>
      </c>
      <c r="Q1411" s="8">
        <f>[1]Data!Q1411</f>
        <v>0.59090909090909105</v>
      </c>
      <c r="R1411" s="8">
        <f>[1]Data!R1411</f>
        <v>9.3023255813953501E-2</v>
      </c>
      <c r="S1411" s="8">
        <f>[1]Data!S1411</f>
        <v>0</v>
      </c>
      <c r="T1411">
        <f t="shared" ref="T1411:T1474" si="110">N1411+Y1411*(1-N1411)</f>
        <v>0.11689106487148103</v>
      </c>
      <c r="U1411">
        <f t="shared" ref="U1411:U1474" si="111">IF(T1411="",0,1/T1411*H1411)</f>
        <v>0</v>
      </c>
      <c r="V1411" s="4" t="str">
        <f t="shared" ref="V1411:V1474" si="112">TEXT(C1411,"0")</f>
        <v>4</v>
      </c>
      <c r="W1411" s="4" t="str">
        <f t="shared" ref="W1411:W1474" si="113">TEXT(B1411,"0")</f>
        <v>4</v>
      </c>
      <c r="X1411" s="4" t="str">
        <f t="shared" ref="X1411:X1474" si="114">CONCATENATE(V1411,E1411,W1411)</f>
        <v>4NON-HS4</v>
      </c>
      <c r="Y1411">
        <f>VLOOKUP(X1411,Sheet1!$J$5:$K$121,2,FALSE)</f>
        <v>9.3023255813953501E-2</v>
      </c>
    </row>
    <row r="1412" spans="1:25" x14ac:dyDescent="0.25">
      <c r="A1412" s="8">
        <f>[1]Data!A1412</f>
        <v>211500</v>
      </c>
      <c r="B1412" s="8">
        <f>[1]Data!B1412</f>
        <v>4</v>
      </c>
      <c r="C1412" s="8">
        <f>[1]Data!C1412</f>
        <v>4</v>
      </c>
      <c r="D1412" s="8">
        <f>[1]Data!D1412</f>
        <v>3</v>
      </c>
      <c r="E1412" s="8" t="str">
        <f>[1]Data!E1412</f>
        <v>NON-HS</v>
      </c>
      <c r="F1412" s="8" t="str">
        <f>[1]Data!F1412</f>
        <v>Miracle Mile</v>
      </c>
      <c r="G1412" s="8">
        <f>[1]Data!G1412</f>
        <v>0</v>
      </c>
      <c r="H1412" s="8">
        <f>[1]Data!H1412</f>
        <v>0</v>
      </c>
      <c r="I1412" s="8">
        <f>[1]Data!I1412</f>
        <v>9.48</v>
      </c>
      <c r="J1412" s="8">
        <f>[1]Data!J1412</f>
        <v>7.39593144</v>
      </c>
      <c r="K1412" s="8">
        <f>[1]Data!K1412</f>
        <v>9.39593144</v>
      </c>
      <c r="L1412" s="8">
        <f>[1]Data!L1412</f>
        <v>8.3367898007181293E-2</v>
      </c>
      <c r="M1412" s="8">
        <f>[1]Data!M1412</f>
        <v>9.4792993380071806</v>
      </c>
      <c r="N1412" s="8">
        <f>[1]Data!N1412</f>
        <v>2.6315789473684199E-2</v>
      </c>
      <c r="O1412" s="8">
        <f>[1]Data!O1412</f>
        <v>0</v>
      </c>
      <c r="P1412" s="8">
        <f>[1]Data!P1412</f>
        <v>0.17105263157894701</v>
      </c>
      <c r="Q1412" s="8">
        <f>[1]Data!Q1412</f>
        <v>0.59090909090909105</v>
      </c>
      <c r="R1412" s="8">
        <f>[1]Data!R1412</f>
        <v>9.3023255813953501E-2</v>
      </c>
      <c r="S1412" s="8">
        <f>[1]Data!S1412</f>
        <v>0</v>
      </c>
      <c r="T1412">
        <f t="shared" si="110"/>
        <v>0.11689106487148103</v>
      </c>
      <c r="U1412">
        <f t="shared" si="111"/>
        <v>0</v>
      </c>
      <c r="V1412" s="4" t="str">
        <f t="shared" si="112"/>
        <v>4</v>
      </c>
      <c r="W1412" s="4" t="str">
        <f t="shared" si="113"/>
        <v>4</v>
      </c>
      <c r="X1412" s="4" t="str">
        <f t="shared" si="114"/>
        <v>4NON-HS4</v>
      </c>
      <c r="Y1412">
        <f>VLOOKUP(X1412,Sheet1!$J$5:$K$121,2,FALSE)</f>
        <v>9.3023255813953501E-2</v>
      </c>
    </row>
    <row r="1413" spans="1:25" x14ac:dyDescent="0.25">
      <c r="A1413" s="8">
        <f>[1]Data!A1413</f>
        <v>212620</v>
      </c>
      <c r="B1413" s="8">
        <f>[1]Data!B1413</f>
        <v>4</v>
      </c>
      <c r="C1413" s="8">
        <f>[1]Data!C1413</f>
        <v>4</v>
      </c>
      <c r="D1413" s="8">
        <f>[1]Data!D1413</f>
        <v>2</v>
      </c>
      <c r="E1413" s="8" t="str">
        <f>[1]Data!E1413</f>
        <v>NON-HS</v>
      </c>
      <c r="F1413" s="8" t="str">
        <f>[1]Data!F1413</f>
        <v>Miracle Mile</v>
      </c>
      <c r="G1413" s="8">
        <f>[1]Data!G1413</f>
        <v>0</v>
      </c>
      <c r="H1413" s="8">
        <f>[1]Data!H1413</f>
        <v>0</v>
      </c>
      <c r="I1413" s="8">
        <f>[1]Data!I1413</f>
        <v>2.8079999999999998</v>
      </c>
      <c r="J1413" s="8">
        <f>[1]Data!J1413</f>
        <v>1.73313217</v>
      </c>
      <c r="K1413" s="8">
        <f>[1]Data!K1413</f>
        <v>2.7331321700000002</v>
      </c>
      <c r="L1413" s="8">
        <f>[1]Data!L1413</f>
        <v>7.4985510287253102E-2</v>
      </c>
      <c r="M1413" s="8">
        <f>[1]Data!M1413</f>
        <v>2.8081176802872498</v>
      </c>
      <c r="N1413" s="8">
        <f>[1]Data!N1413</f>
        <v>2.6315789473684199E-2</v>
      </c>
      <c r="O1413" s="8">
        <f>[1]Data!O1413</f>
        <v>0</v>
      </c>
      <c r="P1413" s="8">
        <f>[1]Data!P1413</f>
        <v>0.17105263157894701</v>
      </c>
      <c r="Q1413" s="8">
        <f>[1]Data!Q1413</f>
        <v>0.59090909090909105</v>
      </c>
      <c r="R1413" s="8">
        <f>[1]Data!R1413</f>
        <v>9.3023255813953501E-2</v>
      </c>
      <c r="S1413" s="8">
        <f>[1]Data!S1413</f>
        <v>0</v>
      </c>
      <c r="T1413">
        <f t="shared" si="110"/>
        <v>0.11689106487148103</v>
      </c>
      <c r="U1413">
        <f t="shared" si="111"/>
        <v>0</v>
      </c>
      <c r="V1413" s="4" t="str">
        <f t="shared" si="112"/>
        <v>4</v>
      </c>
      <c r="W1413" s="4" t="str">
        <f t="shared" si="113"/>
        <v>4</v>
      </c>
      <c r="X1413" s="4" t="str">
        <f t="shared" si="114"/>
        <v>4NON-HS4</v>
      </c>
      <c r="Y1413">
        <f>VLOOKUP(X1413,Sheet1!$J$5:$K$121,2,FALSE)</f>
        <v>9.3023255813953501E-2</v>
      </c>
    </row>
    <row r="1414" spans="1:25" x14ac:dyDescent="0.25">
      <c r="A1414" s="8">
        <f>[1]Data!A1414</f>
        <v>214503</v>
      </c>
      <c r="B1414" s="8">
        <f>[1]Data!B1414</f>
        <v>4</v>
      </c>
      <c r="C1414" s="8">
        <f>[1]Data!C1414</f>
        <v>4</v>
      </c>
      <c r="D1414" s="8">
        <f>[1]Data!D1414</f>
        <v>3</v>
      </c>
      <c r="E1414" s="8" t="str">
        <f>[1]Data!E1414</f>
        <v>NON-HS</v>
      </c>
      <c r="F1414" s="8" t="str">
        <f>[1]Data!F1414</f>
        <v>Mid-City West</v>
      </c>
      <c r="G1414" s="8">
        <f>[1]Data!G1414</f>
        <v>0</v>
      </c>
      <c r="H1414" s="8">
        <f>[1]Data!H1414</f>
        <v>0</v>
      </c>
      <c r="I1414" s="8">
        <f>[1]Data!I1414</f>
        <v>2</v>
      </c>
      <c r="J1414" s="8">
        <f>[1]Data!J1414</f>
        <v>0</v>
      </c>
      <c r="K1414" s="8">
        <f>[1]Data!K1414</f>
        <v>2</v>
      </c>
      <c r="L1414" s="8">
        <f>[1]Data!L1414</f>
        <v>0</v>
      </c>
      <c r="M1414" s="8">
        <f>[1]Data!M1414</f>
        <v>2</v>
      </c>
      <c r="N1414" s="8">
        <f>[1]Data!N1414</f>
        <v>2.6315789473684199E-2</v>
      </c>
      <c r="O1414" s="8">
        <f>[1]Data!O1414</f>
        <v>0</v>
      </c>
      <c r="P1414" s="8">
        <f>[1]Data!P1414</f>
        <v>0.17105263157894701</v>
      </c>
      <c r="Q1414" s="8">
        <f>[1]Data!Q1414</f>
        <v>0.59090909090909105</v>
      </c>
      <c r="R1414" s="8">
        <f>[1]Data!R1414</f>
        <v>9.3023255813953501E-2</v>
      </c>
      <c r="S1414" s="8">
        <f>[1]Data!S1414</f>
        <v>0</v>
      </c>
      <c r="T1414">
        <f t="shared" si="110"/>
        <v>0.11689106487148103</v>
      </c>
      <c r="U1414">
        <f t="shared" si="111"/>
        <v>0</v>
      </c>
      <c r="V1414" s="4" t="str">
        <f t="shared" si="112"/>
        <v>4</v>
      </c>
      <c r="W1414" s="4" t="str">
        <f t="shared" si="113"/>
        <v>4</v>
      </c>
      <c r="X1414" s="4" t="str">
        <f t="shared" si="114"/>
        <v>4NON-HS4</v>
      </c>
      <c r="Y1414">
        <f>VLOOKUP(X1414,Sheet1!$J$5:$K$121,2,FALSE)</f>
        <v>9.3023255813953501E-2</v>
      </c>
    </row>
    <row r="1415" spans="1:25" x14ac:dyDescent="0.25">
      <c r="A1415" s="8">
        <f>[1]Data!A1415</f>
        <v>189903</v>
      </c>
      <c r="B1415" s="8">
        <f>[1]Data!B1415</f>
        <v>4</v>
      </c>
      <c r="C1415" s="8">
        <f>[1]Data!C1415</f>
        <v>4</v>
      </c>
      <c r="D1415" s="8">
        <f>[1]Data!D1415</f>
        <v>3</v>
      </c>
      <c r="E1415" s="8" t="str">
        <f>[1]Data!E1415</f>
        <v>NON-HS</v>
      </c>
      <c r="F1415" s="8" t="str">
        <f>[1]Data!F1415</f>
        <v>Hollywood Hills West</v>
      </c>
      <c r="G1415" s="8">
        <f>[1]Data!G1415</f>
        <v>0</v>
      </c>
      <c r="H1415" s="8">
        <f>[1]Data!H1415</f>
        <v>1</v>
      </c>
      <c r="I1415" s="8">
        <f>[1]Data!I1415</f>
        <v>3</v>
      </c>
      <c r="J1415" s="8">
        <f>[1]Data!J1415</f>
        <v>0</v>
      </c>
      <c r="K1415" s="8">
        <f>[1]Data!K1415</f>
        <v>3</v>
      </c>
      <c r="L1415" s="8">
        <f>[1]Data!L1415</f>
        <v>0</v>
      </c>
      <c r="M1415" s="8">
        <f>[1]Data!M1415</f>
        <v>3</v>
      </c>
      <c r="N1415" s="8">
        <f>[1]Data!N1415</f>
        <v>2.6315789473684199E-2</v>
      </c>
      <c r="O1415" s="8">
        <f>[1]Data!O1415</f>
        <v>0</v>
      </c>
      <c r="P1415" s="8">
        <f>[1]Data!P1415</f>
        <v>0.17105263157894701</v>
      </c>
      <c r="Q1415" s="8">
        <f>[1]Data!Q1415</f>
        <v>0.59090909090909105</v>
      </c>
      <c r="R1415" s="8">
        <f>[1]Data!R1415</f>
        <v>9.3023255813953501E-2</v>
      </c>
      <c r="S1415" s="8">
        <f>[1]Data!S1415</f>
        <v>10.75</v>
      </c>
      <c r="T1415">
        <f t="shared" si="110"/>
        <v>0.11689106487148103</v>
      </c>
      <c r="U1415">
        <f t="shared" si="111"/>
        <v>8.5549738219895293</v>
      </c>
      <c r="V1415" s="4" t="str">
        <f t="shared" si="112"/>
        <v>4</v>
      </c>
      <c r="W1415" s="4" t="str">
        <f t="shared" si="113"/>
        <v>4</v>
      </c>
      <c r="X1415" s="4" t="str">
        <f t="shared" si="114"/>
        <v>4NON-HS4</v>
      </c>
      <c r="Y1415">
        <f>VLOOKUP(X1415,Sheet1!$J$5:$K$121,2,FALSE)</f>
        <v>9.3023255813953501E-2</v>
      </c>
    </row>
    <row r="1416" spans="1:25" x14ac:dyDescent="0.25">
      <c r="A1416" s="8">
        <f>[1]Data!A1416</f>
        <v>192410</v>
      </c>
      <c r="B1416" s="8">
        <f>[1]Data!B1416</f>
        <v>4</v>
      </c>
      <c r="C1416" s="8">
        <f>[1]Data!C1416</f>
        <v>4</v>
      </c>
      <c r="D1416" s="8">
        <f>[1]Data!D1416</f>
        <v>3</v>
      </c>
      <c r="E1416" s="8" t="str">
        <f>[1]Data!E1416</f>
        <v>NON-HS</v>
      </c>
      <c r="F1416" s="8" t="str">
        <f>[1]Data!F1416</f>
        <v>Miracle Mile</v>
      </c>
      <c r="G1416" s="8">
        <f>[1]Data!G1416</f>
        <v>0</v>
      </c>
      <c r="H1416" s="8">
        <f>[1]Data!H1416</f>
        <v>0</v>
      </c>
      <c r="I1416" s="8">
        <f>[1]Data!I1416</f>
        <v>4</v>
      </c>
      <c r="J1416" s="8">
        <f>[1]Data!J1416</f>
        <v>0</v>
      </c>
      <c r="K1416" s="8">
        <f>[1]Data!K1416</f>
        <v>4</v>
      </c>
      <c r="L1416" s="8">
        <f>[1]Data!L1416</f>
        <v>0</v>
      </c>
      <c r="M1416" s="8">
        <f>[1]Data!M1416</f>
        <v>4</v>
      </c>
      <c r="N1416" s="8">
        <f>[1]Data!N1416</f>
        <v>2.6315789473684199E-2</v>
      </c>
      <c r="O1416" s="8">
        <f>[1]Data!O1416</f>
        <v>0</v>
      </c>
      <c r="P1416" s="8">
        <f>[1]Data!P1416</f>
        <v>0.17105263157894701</v>
      </c>
      <c r="Q1416" s="8">
        <f>[1]Data!Q1416</f>
        <v>0.59090909090909105</v>
      </c>
      <c r="R1416" s="8">
        <f>[1]Data!R1416</f>
        <v>9.3023255813953501E-2</v>
      </c>
      <c r="S1416" s="8">
        <f>[1]Data!S1416</f>
        <v>0</v>
      </c>
      <c r="T1416">
        <f t="shared" si="110"/>
        <v>0.11689106487148103</v>
      </c>
      <c r="U1416">
        <f t="shared" si="111"/>
        <v>0</v>
      </c>
      <c r="V1416" s="4" t="str">
        <f t="shared" si="112"/>
        <v>4</v>
      </c>
      <c r="W1416" s="4" t="str">
        <f t="shared" si="113"/>
        <v>4</v>
      </c>
      <c r="X1416" s="4" t="str">
        <f t="shared" si="114"/>
        <v>4NON-HS4</v>
      </c>
      <c r="Y1416">
        <f>VLOOKUP(X1416,Sheet1!$J$5:$K$121,2,FALSE)</f>
        <v>9.3023255813953501E-2</v>
      </c>
    </row>
    <row r="1417" spans="1:25" x14ac:dyDescent="0.25">
      <c r="A1417" s="8">
        <f>[1]Data!A1417</f>
        <v>189102</v>
      </c>
      <c r="B1417" s="8">
        <f>[1]Data!B1417</f>
        <v>4</v>
      </c>
      <c r="C1417" s="8">
        <f>[1]Data!C1417</f>
        <v>4</v>
      </c>
      <c r="D1417" s="8">
        <f>[1]Data!D1417</f>
        <v>3</v>
      </c>
      <c r="E1417" s="8" t="str">
        <f>[1]Data!E1417</f>
        <v>NON-HS</v>
      </c>
      <c r="F1417" s="8" t="str">
        <f>[1]Data!F1417</f>
        <v>Los Feliz</v>
      </c>
      <c r="G1417" s="8">
        <f>[1]Data!G1417</f>
        <v>0</v>
      </c>
      <c r="H1417" s="8">
        <f>[1]Data!H1417</f>
        <v>0</v>
      </c>
      <c r="I1417" s="8">
        <f>[1]Data!I1417</f>
        <v>5</v>
      </c>
      <c r="J1417" s="8">
        <f>[1]Data!J1417</f>
        <v>0</v>
      </c>
      <c r="K1417" s="8">
        <f>[1]Data!K1417</f>
        <v>5</v>
      </c>
      <c r="L1417" s="8">
        <f>[1]Data!L1417</f>
        <v>0</v>
      </c>
      <c r="M1417" s="8">
        <f>[1]Data!M1417</f>
        <v>5</v>
      </c>
      <c r="N1417" s="8">
        <f>[1]Data!N1417</f>
        <v>2.6315789473684199E-2</v>
      </c>
      <c r="O1417" s="8">
        <f>[1]Data!O1417</f>
        <v>0</v>
      </c>
      <c r="P1417" s="8">
        <f>[1]Data!P1417</f>
        <v>0.17105263157894701</v>
      </c>
      <c r="Q1417" s="8">
        <f>[1]Data!Q1417</f>
        <v>0.59090909090909105</v>
      </c>
      <c r="R1417" s="8">
        <f>[1]Data!R1417</f>
        <v>9.3023255813953501E-2</v>
      </c>
      <c r="S1417" s="8">
        <f>[1]Data!S1417</f>
        <v>0</v>
      </c>
      <c r="T1417">
        <f t="shared" si="110"/>
        <v>0.11689106487148103</v>
      </c>
      <c r="U1417">
        <f t="shared" si="111"/>
        <v>0</v>
      </c>
      <c r="V1417" s="4" t="str">
        <f t="shared" si="112"/>
        <v>4</v>
      </c>
      <c r="W1417" s="4" t="str">
        <f t="shared" si="113"/>
        <v>4</v>
      </c>
      <c r="X1417" s="4" t="str">
        <f t="shared" si="114"/>
        <v>4NON-HS4</v>
      </c>
      <c r="Y1417">
        <f>VLOOKUP(X1417,Sheet1!$J$5:$K$121,2,FALSE)</f>
        <v>9.3023255813953501E-2</v>
      </c>
    </row>
    <row r="1418" spans="1:25" x14ac:dyDescent="0.25">
      <c r="A1418" s="8">
        <f>[1]Data!A1418</f>
        <v>212701</v>
      </c>
      <c r="B1418" s="8">
        <f>[1]Data!B1418</f>
        <v>4</v>
      </c>
      <c r="C1418" s="8">
        <f>[1]Data!C1418</f>
        <v>4</v>
      </c>
      <c r="D1418" s="8">
        <f>[1]Data!D1418</f>
        <v>2</v>
      </c>
      <c r="E1418" s="8" t="str">
        <f>[1]Data!E1418</f>
        <v>NON-HS</v>
      </c>
      <c r="F1418" s="8" t="str">
        <f>[1]Data!F1418</f>
        <v>Miracle Mile</v>
      </c>
      <c r="G1418" s="8">
        <f>[1]Data!G1418</f>
        <v>0</v>
      </c>
      <c r="H1418" s="8">
        <f>[1]Data!H1418</f>
        <v>0</v>
      </c>
      <c r="I1418" s="8">
        <f>[1]Data!I1418</f>
        <v>3.903</v>
      </c>
      <c r="J1418" s="8">
        <f>[1]Data!J1418</f>
        <v>3.7168318299999998</v>
      </c>
      <c r="K1418" s="8">
        <f>[1]Data!K1418</f>
        <v>3.7168318299999998</v>
      </c>
      <c r="L1418" s="8">
        <f>[1]Data!L1418</f>
        <v>0.18615811166965901</v>
      </c>
      <c r="M1418" s="8">
        <f>[1]Data!M1418</f>
        <v>3.9029899416696598</v>
      </c>
      <c r="N1418" s="8">
        <f>[1]Data!N1418</f>
        <v>2.6315789473684199E-2</v>
      </c>
      <c r="O1418" s="8">
        <f>[1]Data!O1418</f>
        <v>0</v>
      </c>
      <c r="P1418" s="8">
        <f>[1]Data!P1418</f>
        <v>0.17105263157894701</v>
      </c>
      <c r="Q1418" s="8">
        <f>[1]Data!Q1418</f>
        <v>0.59090909090909105</v>
      </c>
      <c r="R1418" s="8">
        <f>[1]Data!R1418</f>
        <v>9.3023255813953501E-2</v>
      </c>
      <c r="S1418" s="8">
        <f>[1]Data!S1418</f>
        <v>0</v>
      </c>
      <c r="T1418">
        <f t="shared" si="110"/>
        <v>0.11689106487148103</v>
      </c>
      <c r="U1418">
        <f t="shared" si="111"/>
        <v>0</v>
      </c>
      <c r="V1418" s="4" t="str">
        <f t="shared" si="112"/>
        <v>4</v>
      </c>
      <c r="W1418" s="4" t="str">
        <f t="shared" si="113"/>
        <v>4</v>
      </c>
      <c r="X1418" s="4" t="str">
        <f t="shared" si="114"/>
        <v>4NON-HS4</v>
      </c>
      <c r="Y1418">
        <f>VLOOKUP(X1418,Sheet1!$J$5:$K$121,2,FALSE)</f>
        <v>9.3023255813953501E-2</v>
      </c>
    </row>
    <row r="1419" spans="1:25" x14ac:dyDescent="0.25">
      <c r="A1419" s="8">
        <f>[1]Data!A1419</f>
        <v>211701</v>
      </c>
      <c r="B1419" s="8">
        <f>[1]Data!B1419</f>
        <v>4</v>
      </c>
      <c r="C1419" s="8">
        <f>[1]Data!C1419</f>
        <v>4</v>
      </c>
      <c r="D1419" s="8">
        <f>[1]Data!D1419</f>
        <v>3</v>
      </c>
      <c r="E1419" s="8" t="str">
        <f>[1]Data!E1419</f>
        <v>NON-HS</v>
      </c>
      <c r="F1419" s="8" t="str">
        <f>[1]Data!F1419</f>
        <v>Miracle Mile</v>
      </c>
      <c r="G1419" s="8">
        <f>[1]Data!G1419</f>
        <v>0</v>
      </c>
      <c r="H1419" s="8">
        <f>[1]Data!H1419</f>
        <v>0</v>
      </c>
      <c r="I1419" s="8">
        <f>[1]Data!I1419</f>
        <v>2.9260000000000002</v>
      </c>
      <c r="J1419" s="8">
        <f>[1]Data!J1419</f>
        <v>1.90487994</v>
      </c>
      <c r="K1419" s="8">
        <f>[1]Data!K1419</f>
        <v>2.9048799399999998</v>
      </c>
      <c r="L1419" s="8">
        <f>[1]Data!L1419</f>
        <v>2.0625322082585301E-2</v>
      </c>
      <c r="M1419" s="8">
        <f>[1]Data!M1419</f>
        <v>2.9255052620825901</v>
      </c>
      <c r="N1419" s="8">
        <f>[1]Data!N1419</f>
        <v>2.6315789473684199E-2</v>
      </c>
      <c r="O1419" s="8">
        <f>[1]Data!O1419</f>
        <v>0</v>
      </c>
      <c r="P1419" s="8">
        <f>[1]Data!P1419</f>
        <v>0.17105263157894701</v>
      </c>
      <c r="Q1419" s="8">
        <f>[1]Data!Q1419</f>
        <v>0.59090909090909105</v>
      </c>
      <c r="R1419" s="8">
        <f>[1]Data!R1419</f>
        <v>9.3023255813953501E-2</v>
      </c>
      <c r="S1419" s="8">
        <f>[1]Data!S1419</f>
        <v>0</v>
      </c>
      <c r="T1419">
        <f t="shared" si="110"/>
        <v>0.11689106487148103</v>
      </c>
      <c r="U1419">
        <f t="shared" si="111"/>
        <v>0</v>
      </c>
      <c r="V1419" s="4" t="str">
        <f t="shared" si="112"/>
        <v>4</v>
      </c>
      <c r="W1419" s="4" t="str">
        <f t="shared" si="113"/>
        <v>4</v>
      </c>
      <c r="X1419" s="4" t="str">
        <f t="shared" si="114"/>
        <v>4NON-HS4</v>
      </c>
      <c r="Y1419">
        <f>VLOOKUP(X1419,Sheet1!$J$5:$K$121,2,FALSE)</f>
        <v>9.3023255813953501E-2</v>
      </c>
    </row>
    <row r="1420" spans="1:25" x14ac:dyDescent="0.25">
      <c r="A1420" s="8">
        <f>[1]Data!A1420</f>
        <v>214502</v>
      </c>
      <c r="B1420" s="8">
        <f>[1]Data!B1420</f>
        <v>4</v>
      </c>
      <c r="C1420" s="8">
        <f>[1]Data!C1420</f>
        <v>4</v>
      </c>
      <c r="D1420" s="8">
        <f>[1]Data!D1420</f>
        <v>3</v>
      </c>
      <c r="E1420" s="8" t="str">
        <f>[1]Data!E1420</f>
        <v>NON-HS</v>
      </c>
      <c r="F1420" s="8" t="str">
        <f>[1]Data!F1420</f>
        <v>Mid-City West</v>
      </c>
      <c r="G1420" s="8">
        <f>[1]Data!G1420</f>
        <v>0</v>
      </c>
      <c r="H1420" s="8">
        <f>[1]Data!H1420</f>
        <v>0</v>
      </c>
      <c r="I1420" s="8">
        <f>[1]Data!I1420</f>
        <v>2.9260000000000002</v>
      </c>
      <c r="J1420" s="8">
        <f>[1]Data!J1420</f>
        <v>1.90487994</v>
      </c>
      <c r="K1420" s="8">
        <f>[1]Data!K1420</f>
        <v>2.9048799399999998</v>
      </c>
      <c r="L1420" s="8">
        <f>[1]Data!L1420</f>
        <v>2.0625322082585301E-2</v>
      </c>
      <c r="M1420" s="8">
        <f>[1]Data!M1420</f>
        <v>2.9255052620825901</v>
      </c>
      <c r="N1420" s="8">
        <f>[1]Data!N1420</f>
        <v>2.6315789473684199E-2</v>
      </c>
      <c r="O1420" s="8">
        <f>[1]Data!O1420</f>
        <v>0</v>
      </c>
      <c r="P1420" s="8">
        <f>[1]Data!P1420</f>
        <v>0.17105263157894701</v>
      </c>
      <c r="Q1420" s="8">
        <f>[1]Data!Q1420</f>
        <v>0.59090909090909105</v>
      </c>
      <c r="R1420" s="8">
        <f>[1]Data!R1420</f>
        <v>9.3023255813953501E-2</v>
      </c>
      <c r="S1420" s="8">
        <f>[1]Data!S1420</f>
        <v>0</v>
      </c>
      <c r="T1420">
        <f t="shared" si="110"/>
        <v>0.11689106487148103</v>
      </c>
      <c r="U1420">
        <f t="shared" si="111"/>
        <v>0</v>
      </c>
      <c r="V1420" s="4" t="str">
        <f t="shared" si="112"/>
        <v>4</v>
      </c>
      <c r="W1420" s="4" t="str">
        <f t="shared" si="113"/>
        <v>4</v>
      </c>
      <c r="X1420" s="4" t="str">
        <f t="shared" si="114"/>
        <v>4NON-HS4</v>
      </c>
      <c r="Y1420">
        <f>VLOOKUP(X1420,Sheet1!$J$5:$K$121,2,FALSE)</f>
        <v>9.3023255813953501E-2</v>
      </c>
    </row>
    <row r="1421" spans="1:25" x14ac:dyDescent="0.25">
      <c r="A1421" s="8">
        <f>[1]Data!A1421</f>
        <v>261101</v>
      </c>
      <c r="B1421" s="8">
        <f>[1]Data!B1421</f>
        <v>5</v>
      </c>
      <c r="C1421" s="8">
        <f>[1]Data!C1421</f>
        <v>4</v>
      </c>
      <c r="D1421" s="8">
        <f>[1]Data!D1421</f>
        <v>3</v>
      </c>
      <c r="E1421" s="8" t="str">
        <f>[1]Data!E1421</f>
        <v>NON-HS</v>
      </c>
      <c r="F1421" s="8" t="str">
        <f>[1]Data!F1421</f>
        <v>Bel Air-Beverly Crest</v>
      </c>
      <c r="G1421" s="8">
        <f>[1]Data!G1421</f>
        <v>0</v>
      </c>
      <c r="H1421" s="8">
        <f>[1]Data!H1421</f>
        <v>0</v>
      </c>
      <c r="I1421" s="8">
        <f>[1]Data!I1421</f>
        <v>0</v>
      </c>
      <c r="J1421" s="8">
        <f>[1]Data!J1421</f>
        <v>0</v>
      </c>
      <c r="K1421" s="8">
        <f>[1]Data!K1421</f>
        <v>0</v>
      </c>
      <c r="L1421" s="8">
        <f>[1]Data!L1421</f>
        <v>0</v>
      </c>
      <c r="M1421" s="8">
        <f>[1]Data!M1421</f>
        <v>0</v>
      </c>
      <c r="N1421" s="8">
        <f>[1]Data!N1421</f>
        <v>3.2258064516128997E-2</v>
      </c>
      <c r="O1421" s="8">
        <f>[1]Data!O1421</f>
        <v>0</v>
      </c>
      <c r="P1421" s="8">
        <f>[1]Data!P1421</f>
        <v>1.0752688172042999E-2</v>
      </c>
      <c r="Q1421" s="8">
        <f>[1]Data!Q1421</f>
        <v>2.27272727272727E-2</v>
      </c>
      <c r="R1421" s="8">
        <f>[1]Data!R1421</f>
        <v>0</v>
      </c>
      <c r="S1421" s="8">
        <f>[1]Data!S1421</f>
        <v>0</v>
      </c>
      <c r="T1421">
        <f t="shared" si="110"/>
        <v>3.2258064516128997E-2</v>
      </c>
      <c r="U1421">
        <f t="shared" si="111"/>
        <v>0</v>
      </c>
      <c r="V1421" s="4" t="str">
        <f t="shared" si="112"/>
        <v>4</v>
      </c>
      <c r="W1421" s="4" t="str">
        <f t="shared" si="113"/>
        <v>5</v>
      </c>
      <c r="X1421" s="4" t="str">
        <f t="shared" si="114"/>
        <v>4NON-HS5</v>
      </c>
      <c r="Y1421">
        <f>VLOOKUP(X1421,Sheet1!$J$5:$K$121,2,FALSE)</f>
        <v>0</v>
      </c>
    </row>
    <row r="1422" spans="1:25" x14ac:dyDescent="0.25">
      <c r="A1422" s="8">
        <f>[1]Data!A1422</f>
        <v>189400</v>
      </c>
      <c r="B1422" s="8">
        <f>[1]Data!B1422</f>
        <v>11</v>
      </c>
      <c r="C1422" s="8">
        <f>[1]Data!C1422</f>
        <v>4</v>
      </c>
      <c r="D1422" s="8">
        <f>[1]Data!D1422</f>
        <v>3</v>
      </c>
      <c r="E1422" s="8" t="str">
        <f>[1]Data!E1422</f>
        <v>NON-HS</v>
      </c>
      <c r="F1422" s="8" t="str">
        <f>[1]Data!F1422</f>
        <v>Hollywood</v>
      </c>
      <c r="G1422" s="8">
        <f>[1]Data!G1422</f>
        <v>0</v>
      </c>
      <c r="H1422" s="8">
        <f>[1]Data!H1422</f>
        <v>0</v>
      </c>
      <c r="I1422" s="8">
        <f>[1]Data!I1422</f>
        <v>10.7</v>
      </c>
      <c r="J1422" s="8">
        <f>[1]Data!J1422</f>
        <v>10.061489310000001</v>
      </c>
      <c r="K1422" s="8">
        <f>[1]Data!K1422</f>
        <v>10.061489310000001</v>
      </c>
      <c r="L1422" s="8">
        <f>[1]Data!L1422</f>
        <v>0.63903314452423698</v>
      </c>
      <c r="M1422" s="8">
        <f>[1]Data!M1422</f>
        <v>10.700522454524201</v>
      </c>
      <c r="N1422" s="8">
        <f>[1]Data!N1422</f>
        <v>7.69230769230769E-2</v>
      </c>
      <c r="O1422" s="8">
        <f>[1]Data!O1422</f>
        <v>0</v>
      </c>
      <c r="P1422" s="8">
        <f>[1]Data!P1422</f>
        <v>0.230769230769231</v>
      </c>
      <c r="Q1422" s="8">
        <f>[1]Data!Q1422</f>
        <v>6.8181818181818205E-2</v>
      </c>
      <c r="R1422" s="8">
        <f>[1]Data!R1422</f>
        <v>9.3023255813953501E-2</v>
      </c>
      <c r="S1422" s="8">
        <f>[1]Data!S1422</f>
        <v>0</v>
      </c>
      <c r="T1422">
        <f t="shared" si="110"/>
        <v>0.16279069767441862</v>
      </c>
      <c r="U1422">
        <f t="shared" si="111"/>
        <v>0</v>
      </c>
      <c r="V1422" s="4" t="str">
        <f t="shared" si="112"/>
        <v>4</v>
      </c>
      <c r="W1422" s="4" t="str">
        <f t="shared" si="113"/>
        <v>11</v>
      </c>
      <c r="X1422" s="4" t="str">
        <f t="shared" si="114"/>
        <v>4NON-HS11</v>
      </c>
      <c r="Y1422">
        <f>VLOOKUP(X1422,Sheet1!$J$5:$K$121,2,FALSE)</f>
        <v>9.3023255813953501E-2</v>
      </c>
    </row>
    <row r="1423" spans="1:25" x14ac:dyDescent="0.25">
      <c r="A1423" s="8">
        <f>[1]Data!A1423</f>
        <v>189500</v>
      </c>
      <c r="B1423" s="8">
        <f>[1]Data!B1423</f>
        <v>11</v>
      </c>
      <c r="C1423" s="8">
        <f>[1]Data!C1423</f>
        <v>4</v>
      </c>
      <c r="D1423" s="8">
        <f>[1]Data!D1423</f>
        <v>3</v>
      </c>
      <c r="E1423" s="8" t="str">
        <f>[1]Data!E1423</f>
        <v>NON-HS</v>
      </c>
      <c r="F1423" s="8" t="str">
        <f>[1]Data!F1423</f>
        <v>Hollywood</v>
      </c>
      <c r="G1423" s="8">
        <f>[1]Data!G1423</f>
        <v>0</v>
      </c>
      <c r="H1423" s="8">
        <f>[1]Data!H1423</f>
        <v>0</v>
      </c>
      <c r="I1423" s="8">
        <f>[1]Data!I1423</f>
        <v>3.0950000000000002</v>
      </c>
      <c r="J1423" s="8">
        <f>[1]Data!J1423</f>
        <v>1.9836996600000001</v>
      </c>
      <c r="K1423" s="8">
        <f>[1]Data!K1423</f>
        <v>2.9836996600000001</v>
      </c>
      <c r="L1423" s="8">
        <f>[1]Data!L1423</f>
        <v>0.11117260138240601</v>
      </c>
      <c r="M1423" s="8">
        <f>[1]Data!M1423</f>
        <v>3.09487226138241</v>
      </c>
      <c r="N1423" s="8">
        <f>[1]Data!N1423</f>
        <v>7.69230769230769E-2</v>
      </c>
      <c r="O1423" s="8">
        <f>[1]Data!O1423</f>
        <v>0</v>
      </c>
      <c r="P1423" s="8">
        <f>[1]Data!P1423</f>
        <v>0.230769230769231</v>
      </c>
      <c r="Q1423" s="8">
        <f>[1]Data!Q1423</f>
        <v>6.8181818181818205E-2</v>
      </c>
      <c r="R1423" s="8">
        <f>[1]Data!R1423</f>
        <v>9.3023255813953501E-2</v>
      </c>
      <c r="S1423" s="8">
        <f>[1]Data!S1423</f>
        <v>0</v>
      </c>
      <c r="T1423">
        <f t="shared" si="110"/>
        <v>0.16279069767441862</v>
      </c>
      <c r="U1423">
        <f t="shared" si="111"/>
        <v>0</v>
      </c>
      <c r="V1423" s="4" t="str">
        <f t="shared" si="112"/>
        <v>4</v>
      </c>
      <c r="W1423" s="4" t="str">
        <f t="shared" si="113"/>
        <v>11</v>
      </c>
      <c r="X1423" s="4" t="str">
        <f t="shared" si="114"/>
        <v>4NON-HS11</v>
      </c>
      <c r="Y1423">
        <f>VLOOKUP(X1423,Sheet1!$J$5:$K$121,2,FALSE)</f>
        <v>9.3023255813953501E-2</v>
      </c>
    </row>
    <row r="1424" spans="1:25" x14ac:dyDescent="0.25">
      <c r="A1424" s="8">
        <f>[1]Data!A1424</f>
        <v>189701</v>
      </c>
      <c r="B1424" s="8">
        <f>[1]Data!B1424</f>
        <v>11</v>
      </c>
      <c r="C1424" s="8">
        <f>[1]Data!C1424</f>
        <v>4</v>
      </c>
      <c r="D1424" s="8">
        <f>[1]Data!D1424</f>
        <v>3</v>
      </c>
      <c r="E1424" s="8" t="str">
        <f>[1]Data!E1424</f>
        <v>NON-HS</v>
      </c>
      <c r="F1424" s="8" t="str">
        <f>[1]Data!F1424</f>
        <v>Hollywood</v>
      </c>
      <c r="G1424" s="8">
        <f>[1]Data!G1424</f>
        <v>0</v>
      </c>
      <c r="H1424" s="8">
        <f>[1]Data!H1424</f>
        <v>0</v>
      </c>
      <c r="I1424" s="8">
        <f>[1]Data!I1424</f>
        <v>9.9589999999999996</v>
      </c>
      <c r="J1424" s="8">
        <f>[1]Data!J1424</f>
        <v>8.8536347400000004</v>
      </c>
      <c r="K1424" s="8">
        <f>[1]Data!K1424</f>
        <v>9.8536347400000004</v>
      </c>
      <c r="L1424" s="8">
        <f>[1]Data!L1424</f>
        <v>0.10572643944344701</v>
      </c>
      <c r="M1424" s="8">
        <f>[1]Data!M1424</f>
        <v>9.9593611794434498</v>
      </c>
      <c r="N1424" s="8">
        <f>[1]Data!N1424</f>
        <v>7.69230769230769E-2</v>
      </c>
      <c r="O1424" s="8">
        <f>[1]Data!O1424</f>
        <v>0</v>
      </c>
      <c r="P1424" s="8">
        <f>[1]Data!P1424</f>
        <v>0.230769230769231</v>
      </c>
      <c r="Q1424" s="8">
        <f>[1]Data!Q1424</f>
        <v>6.8181818181818205E-2</v>
      </c>
      <c r="R1424" s="8">
        <f>[1]Data!R1424</f>
        <v>9.3023255813953501E-2</v>
      </c>
      <c r="S1424" s="8">
        <f>[1]Data!S1424</f>
        <v>0</v>
      </c>
      <c r="T1424">
        <f t="shared" si="110"/>
        <v>0.16279069767441862</v>
      </c>
      <c r="U1424">
        <f t="shared" si="111"/>
        <v>0</v>
      </c>
      <c r="V1424" s="4" t="str">
        <f t="shared" si="112"/>
        <v>4</v>
      </c>
      <c r="W1424" s="4" t="str">
        <f t="shared" si="113"/>
        <v>11</v>
      </c>
      <c r="X1424" s="4" t="str">
        <f t="shared" si="114"/>
        <v>4NON-HS11</v>
      </c>
      <c r="Y1424">
        <f>VLOOKUP(X1424,Sheet1!$J$5:$K$121,2,FALSE)</f>
        <v>9.3023255813953501E-2</v>
      </c>
    </row>
    <row r="1425" spans="1:25" x14ac:dyDescent="0.25">
      <c r="A1425" s="8">
        <f>[1]Data!A1425</f>
        <v>194500</v>
      </c>
      <c r="B1425" s="8">
        <f>[1]Data!B1425</f>
        <v>4</v>
      </c>
      <c r="C1425" s="8">
        <f>[1]Data!C1425</f>
        <v>5</v>
      </c>
      <c r="D1425" s="8">
        <f>[1]Data!D1425</f>
        <v>3</v>
      </c>
      <c r="E1425" s="8" t="str">
        <f>[1]Data!E1425</f>
        <v>CVCTE</v>
      </c>
      <c r="F1425" s="8" t="str">
        <f>[1]Data!F1425</f>
        <v>Mid-City West</v>
      </c>
      <c r="G1425" s="8">
        <f>[1]Data!G1425</f>
        <v>0</v>
      </c>
      <c r="H1425" s="8">
        <f>[1]Data!H1425</f>
        <v>0</v>
      </c>
      <c r="I1425" s="8">
        <f>[1]Data!I1425</f>
        <v>49.926000000000002</v>
      </c>
      <c r="J1425" s="8">
        <f>[1]Data!J1425</f>
        <v>24.473902020000001</v>
      </c>
      <c r="K1425" s="8">
        <f>[1]Data!K1425</f>
        <v>49.473902019999997</v>
      </c>
      <c r="L1425" s="8">
        <f>[1]Data!L1425</f>
        <v>0.45095696502693</v>
      </c>
      <c r="M1425" s="8">
        <f>[1]Data!M1425</f>
        <v>49.924858985026901</v>
      </c>
      <c r="N1425" s="8">
        <f>[1]Data!N1425</f>
        <v>0.164383561643836</v>
      </c>
      <c r="O1425" s="8">
        <f>[1]Data!O1425</f>
        <v>0</v>
      </c>
      <c r="P1425" s="8">
        <f>[1]Data!P1425</f>
        <v>2.7397260273972601E-2</v>
      </c>
      <c r="Q1425" s="8">
        <f>[1]Data!Q1425</f>
        <v>0.22222222222222199</v>
      </c>
      <c r="R1425" s="8">
        <f>[1]Data!R1425</f>
        <v>0.5</v>
      </c>
      <c r="S1425" s="8">
        <f>[1]Data!S1425</f>
        <v>0</v>
      </c>
      <c r="T1425">
        <f t="shared" si="110"/>
        <v>0.58219178082191791</v>
      </c>
      <c r="U1425">
        <f t="shared" si="111"/>
        <v>0</v>
      </c>
      <c r="V1425" s="4" t="str">
        <f t="shared" si="112"/>
        <v>5</v>
      </c>
      <c r="W1425" s="4" t="str">
        <f t="shared" si="113"/>
        <v>4</v>
      </c>
      <c r="X1425" s="4" t="str">
        <f t="shared" si="114"/>
        <v>5CVCTE4</v>
      </c>
      <c r="Y1425">
        <f>VLOOKUP(X1425,Sheet1!$J$5:$K$121,2,FALSE)</f>
        <v>0.5</v>
      </c>
    </row>
    <row r="1426" spans="1:25" x14ac:dyDescent="0.25">
      <c r="A1426" s="8">
        <f>[1]Data!A1426</f>
        <v>216300</v>
      </c>
      <c r="B1426" s="8">
        <f>[1]Data!B1426</f>
        <v>4</v>
      </c>
      <c r="C1426" s="8">
        <f>[1]Data!C1426</f>
        <v>5</v>
      </c>
      <c r="D1426" s="8">
        <f>[1]Data!D1426</f>
        <v>2</v>
      </c>
      <c r="E1426" s="8" t="str">
        <f>[1]Data!E1426</f>
        <v>CVCTE</v>
      </c>
      <c r="F1426" s="8" t="str">
        <f>[1]Data!F1426</f>
        <v>Mid-City West</v>
      </c>
      <c r="G1426" s="8">
        <f>[1]Data!G1426</f>
        <v>0</v>
      </c>
      <c r="H1426" s="8">
        <f>[1]Data!H1426</f>
        <v>1</v>
      </c>
      <c r="I1426" s="8">
        <f>[1]Data!I1426</f>
        <v>1</v>
      </c>
      <c r="J1426" s="8">
        <f>[1]Data!J1426</f>
        <v>0</v>
      </c>
      <c r="K1426" s="8">
        <f>[1]Data!K1426</f>
        <v>1</v>
      </c>
      <c r="L1426" s="8">
        <f>[1]Data!L1426</f>
        <v>0</v>
      </c>
      <c r="M1426" s="8">
        <f>[1]Data!M1426</f>
        <v>1</v>
      </c>
      <c r="N1426" s="8">
        <f>[1]Data!N1426</f>
        <v>0.164383561643836</v>
      </c>
      <c r="O1426" s="8">
        <f>[1]Data!O1426</f>
        <v>0</v>
      </c>
      <c r="P1426" s="8">
        <f>[1]Data!P1426</f>
        <v>2.7397260273972601E-2</v>
      </c>
      <c r="Q1426" s="8">
        <f>[1]Data!Q1426</f>
        <v>0.22222222222222199</v>
      </c>
      <c r="R1426" s="8">
        <f>[1]Data!R1426</f>
        <v>0.5</v>
      </c>
      <c r="S1426" s="8">
        <f>[1]Data!S1426</f>
        <v>2</v>
      </c>
      <c r="T1426">
        <f t="shared" si="110"/>
        <v>0.58219178082191791</v>
      </c>
      <c r="U1426">
        <f t="shared" si="111"/>
        <v>1.7176470588235291</v>
      </c>
      <c r="V1426" s="4" t="str">
        <f t="shared" si="112"/>
        <v>5</v>
      </c>
      <c r="W1426" s="4" t="str">
        <f t="shared" si="113"/>
        <v>4</v>
      </c>
      <c r="X1426" s="4" t="str">
        <f t="shared" si="114"/>
        <v>5CVCTE4</v>
      </c>
      <c r="Y1426">
        <f>VLOOKUP(X1426,Sheet1!$J$5:$K$121,2,FALSE)</f>
        <v>0.5</v>
      </c>
    </row>
    <row r="1427" spans="1:25" x14ac:dyDescent="0.25">
      <c r="A1427" s="8">
        <f>[1]Data!A1427</f>
        <v>217002</v>
      </c>
      <c r="B1427" s="8">
        <f>[1]Data!B1427</f>
        <v>5</v>
      </c>
      <c r="C1427" s="8">
        <f>[1]Data!C1427</f>
        <v>5</v>
      </c>
      <c r="D1427" s="8">
        <f>[1]Data!D1427</f>
        <v>2</v>
      </c>
      <c r="E1427" s="8" t="str">
        <f>[1]Data!E1427</f>
        <v>CVCTE</v>
      </c>
      <c r="F1427" s="8" t="str">
        <f>[1]Data!F1427</f>
        <v>Palms</v>
      </c>
      <c r="G1427" s="8">
        <f>[1]Data!G1427</f>
        <v>0</v>
      </c>
      <c r="H1427" s="8">
        <f>[1]Data!H1427</f>
        <v>0</v>
      </c>
      <c r="I1427" s="8">
        <f>[1]Data!I1427</f>
        <v>32.430999999999997</v>
      </c>
      <c r="J1427" s="8">
        <f>[1]Data!J1427</f>
        <v>20.292445780000001</v>
      </c>
      <c r="K1427" s="8">
        <f>[1]Data!K1427</f>
        <v>31.292445780000001</v>
      </c>
      <c r="L1427" s="8">
        <f>[1]Data!L1427</f>
        <v>1.1379586417594301</v>
      </c>
      <c r="M1427" s="8">
        <f>[1]Data!M1427</f>
        <v>32.430404421759398</v>
      </c>
      <c r="N1427" s="8">
        <f>[1]Data!N1427</f>
        <v>0.35</v>
      </c>
      <c r="O1427" s="8">
        <f>[1]Data!O1427</f>
        <v>0</v>
      </c>
      <c r="P1427" s="8">
        <f>[1]Data!P1427</f>
        <v>0.17499999999999999</v>
      </c>
      <c r="Q1427" s="8">
        <f>[1]Data!Q1427</f>
        <v>0.77777777777777801</v>
      </c>
      <c r="R1427" s="8">
        <f>[1]Data!R1427</f>
        <v>0</v>
      </c>
      <c r="S1427" s="8">
        <f>[1]Data!S1427</f>
        <v>0</v>
      </c>
      <c r="T1427">
        <f t="shared" si="110"/>
        <v>0.35</v>
      </c>
      <c r="U1427">
        <f t="shared" si="111"/>
        <v>0</v>
      </c>
      <c r="V1427" s="4" t="str">
        <f t="shared" si="112"/>
        <v>5</v>
      </c>
      <c r="W1427" s="4" t="str">
        <f t="shared" si="113"/>
        <v>5</v>
      </c>
      <c r="X1427" s="4" t="str">
        <f t="shared" si="114"/>
        <v>5CVCTE5</v>
      </c>
      <c r="Y1427">
        <f>VLOOKUP(X1427,Sheet1!$J$5:$K$121,2,FALSE)</f>
        <v>0</v>
      </c>
    </row>
    <row r="1428" spans="1:25" x14ac:dyDescent="0.25">
      <c r="A1428" s="8">
        <f>[1]Data!A1428</f>
        <v>265520</v>
      </c>
      <c r="B1428" s="8">
        <f>[1]Data!B1428</f>
        <v>5</v>
      </c>
      <c r="C1428" s="8">
        <f>[1]Data!C1428</f>
        <v>5</v>
      </c>
      <c r="D1428" s="8">
        <f>[1]Data!D1428</f>
        <v>3</v>
      </c>
      <c r="E1428" s="8" t="str">
        <f>[1]Data!E1428</f>
        <v>CVCTE</v>
      </c>
      <c r="F1428" s="8" t="str">
        <f>[1]Data!F1428</f>
        <v>Westwood</v>
      </c>
      <c r="G1428" s="8">
        <f>[1]Data!G1428</f>
        <v>1</v>
      </c>
      <c r="H1428" s="8">
        <f>[1]Data!H1428</f>
        <v>1</v>
      </c>
      <c r="I1428" s="8">
        <f>[1]Data!I1428</f>
        <v>45.119</v>
      </c>
      <c r="J1428" s="8">
        <f>[1]Data!J1428</f>
        <v>19.742809690000001</v>
      </c>
      <c r="K1428" s="8">
        <f>[1]Data!K1428</f>
        <v>44.742809690000001</v>
      </c>
      <c r="L1428" s="8">
        <f>[1]Data!L1428</f>
        <v>0.37611905879712698</v>
      </c>
      <c r="M1428" s="8">
        <f>[1]Data!M1428</f>
        <v>45.118928748797103</v>
      </c>
      <c r="N1428" s="8">
        <f>[1]Data!N1428</f>
        <v>0.35</v>
      </c>
      <c r="O1428" s="8">
        <f>[1]Data!O1428</f>
        <v>2.8571428571428599</v>
      </c>
      <c r="P1428" s="8">
        <f>[1]Data!P1428</f>
        <v>0.17499999999999999</v>
      </c>
      <c r="Q1428" s="8">
        <f>[1]Data!Q1428</f>
        <v>0.77777777777777801</v>
      </c>
      <c r="R1428" s="8">
        <f>[1]Data!R1428</f>
        <v>0</v>
      </c>
      <c r="S1428" s="8">
        <f>[1]Data!S1428</f>
        <v>0</v>
      </c>
      <c r="T1428">
        <f t="shared" si="110"/>
        <v>0.35</v>
      </c>
      <c r="U1428">
        <f t="shared" si="111"/>
        <v>2.8571428571428572</v>
      </c>
      <c r="V1428" s="4" t="str">
        <f t="shared" si="112"/>
        <v>5</v>
      </c>
      <c r="W1428" s="4" t="str">
        <f t="shared" si="113"/>
        <v>5</v>
      </c>
      <c r="X1428" s="4" t="str">
        <f t="shared" si="114"/>
        <v>5CVCTE5</v>
      </c>
      <c r="Y1428">
        <f>VLOOKUP(X1428,Sheet1!$J$5:$K$121,2,FALSE)</f>
        <v>0</v>
      </c>
    </row>
    <row r="1429" spans="1:25" x14ac:dyDescent="0.25">
      <c r="A1429" s="8">
        <f>[1]Data!A1429</f>
        <v>267200</v>
      </c>
      <c r="B1429" s="8">
        <f>[1]Data!B1429</f>
        <v>5</v>
      </c>
      <c r="C1429" s="8">
        <f>[1]Data!C1429</f>
        <v>5</v>
      </c>
      <c r="D1429" s="8">
        <f>[1]Data!D1429</f>
        <v>3</v>
      </c>
      <c r="E1429" s="8" t="str">
        <f>[1]Data!E1429</f>
        <v>CVCTE</v>
      </c>
      <c r="F1429" s="8" t="str">
        <f>[1]Data!F1429</f>
        <v>Westside</v>
      </c>
      <c r="G1429" s="8">
        <f>[1]Data!G1429</f>
        <v>1</v>
      </c>
      <c r="H1429" s="8">
        <f>[1]Data!H1429</f>
        <v>1</v>
      </c>
      <c r="I1429" s="8">
        <f>[1]Data!I1429</f>
        <v>39.988999999999997</v>
      </c>
      <c r="J1429" s="8">
        <f>[1]Data!J1429</f>
        <v>29.883118719999999</v>
      </c>
      <c r="K1429" s="8">
        <f>[1]Data!K1429</f>
        <v>38.883118719999999</v>
      </c>
      <c r="L1429" s="8">
        <f>[1]Data!L1429</f>
        <v>1.1056994826211901</v>
      </c>
      <c r="M1429" s="8">
        <f>[1]Data!M1429</f>
        <v>39.988818202621196</v>
      </c>
      <c r="N1429" s="8">
        <f>[1]Data!N1429</f>
        <v>0.35</v>
      </c>
      <c r="O1429" s="8">
        <f>[1]Data!O1429</f>
        <v>2.8571428571428599</v>
      </c>
      <c r="P1429" s="8">
        <f>[1]Data!P1429</f>
        <v>0.17499999999999999</v>
      </c>
      <c r="Q1429" s="8">
        <f>[1]Data!Q1429</f>
        <v>0.77777777777777801</v>
      </c>
      <c r="R1429" s="8">
        <f>[1]Data!R1429</f>
        <v>0</v>
      </c>
      <c r="S1429" s="8">
        <f>[1]Data!S1429</f>
        <v>0</v>
      </c>
      <c r="T1429">
        <f t="shared" si="110"/>
        <v>0.35</v>
      </c>
      <c r="U1429">
        <f t="shared" si="111"/>
        <v>2.8571428571428572</v>
      </c>
      <c r="V1429" s="4" t="str">
        <f t="shared" si="112"/>
        <v>5</v>
      </c>
      <c r="W1429" s="4" t="str">
        <f t="shared" si="113"/>
        <v>5</v>
      </c>
      <c r="X1429" s="4" t="str">
        <f t="shared" si="114"/>
        <v>5CVCTE5</v>
      </c>
      <c r="Y1429">
        <f>VLOOKUP(X1429,Sheet1!$J$5:$K$121,2,FALSE)</f>
        <v>0</v>
      </c>
    </row>
    <row r="1430" spans="1:25" x14ac:dyDescent="0.25">
      <c r="A1430" s="8">
        <f>[1]Data!A1430</f>
        <v>271100</v>
      </c>
      <c r="B1430" s="8">
        <f>[1]Data!B1430</f>
        <v>5</v>
      </c>
      <c r="C1430" s="8">
        <f>[1]Data!C1430</f>
        <v>5</v>
      </c>
      <c r="D1430" s="8">
        <f>[1]Data!D1430</f>
        <v>2</v>
      </c>
      <c r="E1430" s="8" t="str">
        <f>[1]Data!E1430</f>
        <v>CVCTE</v>
      </c>
      <c r="F1430" s="8" t="str">
        <f>[1]Data!F1430</f>
        <v>Westside</v>
      </c>
      <c r="G1430" s="8">
        <f>[1]Data!G1430</f>
        <v>0</v>
      </c>
      <c r="H1430" s="8">
        <f>[1]Data!H1430</f>
        <v>0</v>
      </c>
      <c r="I1430" s="8">
        <f>[1]Data!I1430</f>
        <v>37.363</v>
      </c>
      <c r="J1430" s="8">
        <f>[1]Data!J1430</f>
        <v>36.589059710000001</v>
      </c>
      <c r="K1430" s="8">
        <f>[1]Data!K1430</f>
        <v>36.589059710000001</v>
      </c>
      <c r="L1430" s="8">
        <f>[1]Data!L1430</f>
        <v>0.77362541962298004</v>
      </c>
      <c r="M1430" s="8">
        <f>[1]Data!M1430</f>
        <v>37.362685129623003</v>
      </c>
      <c r="N1430" s="8">
        <f>[1]Data!N1430</f>
        <v>0.35</v>
      </c>
      <c r="O1430" s="8">
        <f>[1]Data!O1430</f>
        <v>0</v>
      </c>
      <c r="P1430" s="8">
        <f>[1]Data!P1430</f>
        <v>0.17499999999999999</v>
      </c>
      <c r="Q1430" s="8">
        <f>[1]Data!Q1430</f>
        <v>0.77777777777777801</v>
      </c>
      <c r="R1430" s="8">
        <f>[1]Data!R1430</f>
        <v>0</v>
      </c>
      <c r="S1430" s="8">
        <f>[1]Data!S1430</f>
        <v>0</v>
      </c>
      <c r="T1430">
        <f t="shared" si="110"/>
        <v>0.35</v>
      </c>
      <c r="U1430">
        <f t="shared" si="111"/>
        <v>0</v>
      </c>
      <c r="V1430" s="4" t="str">
        <f t="shared" si="112"/>
        <v>5</v>
      </c>
      <c r="W1430" s="4" t="str">
        <f t="shared" si="113"/>
        <v>5</v>
      </c>
      <c r="X1430" s="4" t="str">
        <f t="shared" si="114"/>
        <v>5CVCTE5</v>
      </c>
      <c r="Y1430">
        <f>VLOOKUP(X1430,Sheet1!$J$5:$K$121,2,FALSE)</f>
        <v>0</v>
      </c>
    </row>
    <row r="1431" spans="1:25" x14ac:dyDescent="0.25">
      <c r="A1431" s="8">
        <f>[1]Data!A1431</f>
        <v>271702</v>
      </c>
      <c r="B1431" s="8">
        <f>[1]Data!B1431</f>
        <v>5</v>
      </c>
      <c r="C1431" s="8">
        <f>[1]Data!C1431</f>
        <v>5</v>
      </c>
      <c r="D1431" s="8">
        <f>[1]Data!D1431</f>
        <v>2</v>
      </c>
      <c r="E1431" s="8" t="str">
        <f>[1]Data!E1431</f>
        <v>CVCTE</v>
      </c>
      <c r="F1431" s="8" t="str">
        <f>[1]Data!F1431</f>
        <v>Mar Vista</v>
      </c>
      <c r="G1431" s="8">
        <f>[1]Data!G1431</f>
        <v>1</v>
      </c>
      <c r="H1431" s="8">
        <f>[1]Data!H1431</f>
        <v>1</v>
      </c>
      <c r="I1431" s="8">
        <f>[1]Data!I1431</f>
        <v>37.865000000000002</v>
      </c>
      <c r="J1431" s="8">
        <f>[1]Data!J1431</f>
        <v>34.593748069999997</v>
      </c>
      <c r="K1431" s="8">
        <f>[1]Data!K1431</f>
        <v>36.593748069999997</v>
      </c>
      <c r="L1431" s="8">
        <f>[1]Data!L1431</f>
        <v>1.2704587931956901</v>
      </c>
      <c r="M1431" s="8">
        <f>[1]Data!M1431</f>
        <v>37.864206863195697</v>
      </c>
      <c r="N1431" s="8">
        <f>[1]Data!N1431</f>
        <v>0.35</v>
      </c>
      <c r="O1431" s="8">
        <f>[1]Data!O1431</f>
        <v>2.8571428571428599</v>
      </c>
      <c r="P1431" s="8">
        <f>[1]Data!P1431</f>
        <v>0.17499999999999999</v>
      </c>
      <c r="Q1431" s="8">
        <f>[1]Data!Q1431</f>
        <v>0.77777777777777801</v>
      </c>
      <c r="R1431" s="8">
        <f>[1]Data!R1431</f>
        <v>0</v>
      </c>
      <c r="S1431" s="8">
        <f>[1]Data!S1431</f>
        <v>0</v>
      </c>
      <c r="T1431">
        <f t="shared" si="110"/>
        <v>0.35</v>
      </c>
      <c r="U1431">
        <f t="shared" si="111"/>
        <v>2.8571428571428572</v>
      </c>
      <c r="V1431" s="4" t="str">
        <f t="shared" si="112"/>
        <v>5</v>
      </c>
      <c r="W1431" s="4" t="str">
        <f t="shared" si="113"/>
        <v>5</v>
      </c>
      <c r="X1431" s="4" t="str">
        <f t="shared" si="114"/>
        <v>5CVCTE5</v>
      </c>
      <c r="Y1431">
        <f>VLOOKUP(X1431,Sheet1!$J$5:$K$121,2,FALSE)</f>
        <v>0</v>
      </c>
    </row>
    <row r="1432" spans="1:25" x14ac:dyDescent="0.25">
      <c r="A1432" s="8">
        <f>[1]Data!A1432</f>
        <v>271801</v>
      </c>
      <c r="B1432" s="8">
        <f>[1]Data!B1432</f>
        <v>5</v>
      </c>
      <c r="C1432" s="8">
        <f>[1]Data!C1432</f>
        <v>5</v>
      </c>
      <c r="D1432" s="8">
        <f>[1]Data!D1432</f>
        <v>2</v>
      </c>
      <c r="E1432" s="8" t="str">
        <f>[1]Data!E1432</f>
        <v>CVCTE</v>
      </c>
      <c r="F1432" s="8" t="str">
        <f>[1]Data!F1432</f>
        <v>Mar Vista</v>
      </c>
      <c r="G1432" s="8">
        <f>[1]Data!G1432</f>
        <v>1</v>
      </c>
      <c r="H1432" s="8">
        <f>[1]Data!H1432</f>
        <v>1</v>
      </c>
      <c r="I1432" s="8">
        <f>[1]Data!I1432</f>
        <v>5.6159999999999997</v>
      </c>
      <c r="J1432" s="8">
        <f>[1]Data!J1432</f>
        <v>3.4662643399999999</v>
      </c>
      <c r="K1432" s="8">
        <f>[1]Data!K1432</f>
        <v>5.4662643400000004</v>
      </c>
      <c r="L1432" s="8">
        <f>[1]Data!L1432</f>
        <v>0.14997102057450601</v>
      </c>
      <c r="M1432" s="8">
        <f>[1]Data!M1432</f>
        <v>5.6162353605745103</v>
      </c>
      <c r="N1432" s="8">
        <f>[1]Data!N1432</f>
        <v>0.35</v>
      </c>
      <c r="O1432" s="8">
        <f>[1]Data!O1432</f>
        <v>2.8571428571428599</v>
      </c>
      <c r="P1432" s="8">
        <f>[1]Data!P1432</f>
        <v>0.17499999999999999</v>
      </c>
      <c r="Q1432" s="8">
        <f>[1]Data!Q1432</f>
        <v>0.77777777777777801</v>
      </c>
      <c r="R1432" s="8">
        <f>[1]Data!R1432</f>
        <v>0</v>
      </c>
      <c r="S1432" s="8">
        <f>[1]Data!S1432</f>
        <v>0</v>
      </c>
      <c r="T1432">
        <f t="shared" si="110"/>
        <v>0.35</v>
      </c>
      <c r="U1432">
        <f t="shared" si="111"/>
        <v>2.8571428571428572</v>
      </c>
      <c r="V1432" s="4" t="str">
        <f t="shared" si="112"/>
        <v>5</v>
      </c>
      <c r="W1432" s="4" t="str">
        <f t="shared" si="113"/>
        <v>5</v>
      </c>
      <c r="X1432" s="4" t="str">
        <f t="shared" si="114"/>
        <v>5CVCTE5</v>
      </c>
      <c r="Y1432">
        <f>VLOOKUP(X1432,Sheet1!$J$5:$K$121,2,FALSE)</f>
        <v>0</v>
      </c>
    </row>
    <row r="1433" spans="1:25" x14ac:dyDescent="0.25">
      <c r="A1433" s="8">
        <f>[1]Data!A1433</f>
        <v>270100</v>
      </c>
      <c r="B1433" s="8">
        <f>[1]Data!B1433</f>
        <v>5</v>
      </c>
      <c r="C1433" s="8">
        <f>[1]Data!C1433</f>
        <v>5</v>
      </c>
      <c r="D1433" s="8">
        <f>[1]Data!D1433</f>
        <v>2</v>
      </c>
      <c r="E1433" s="8" t="str">
        <f>[1]Data!E1433</f>
        <v>CVCTE</v>
      </c>
      <c r="F1433" s="8" t="str">
        <f>[1]Data!F1433</f>
        <v>Palms</v>
      </c>
      <c r="G1433" s="8">
        <f>[1]Data!G1433</f>
        <v>1</v>
      </c>
      <c r="H1433" s="8">
        <f>[1]Data!H1433</f>
        <v>1</v>
      </c>
      <c r="I1433" s="8">
        <f>[1]Data!I1433</f>
        <v>38.857999999999997</v>
      </c>
      <c r="J1433" s="8">
        <f>[1]Data!J1433</f>
        <v>34.641190219999999</v>
      </c>
      <c r="K1433" s="8">
        <f>[1]Data!K1433</f>
        <v>37.641190219999999</v>
      </c>
      <c r="L1433" s="8">
        <f>[1]Data!L1433</f>
        <v>1.21759108962298</v>
      </c>
      <c r="M1433" s="8">
        <f>[1]Data!M1433</f>
        <v>38.858781309622998</v>
      </c>
      <c r="N1433" s="8">
        <f>[1]Data!N1433</f>
        <v>0.35</v>
      </c>
      <c r="O1433" s="8">
        <f>[1]Data!O1433</f>
        <v>2.8571428571428599</v>
      </c>
      <c r="P1433" s="8">
        <f>[1]Data!P1433</f>
        <v>0.17499999999999999</v>
      </c>
      <c r="Q1433" s="8">
        <f>[1]Data!Q1433</f>
        <v>0.77777777777777801</v>
      </c>
      <c r="R1433" s="8">
        <f>[1]Data!R1433</f>
        <v>0</v>
      </c>
      <c r="S1433" s="8">
        <f>[1]Data!S1433</f>
        <v>0</v>
      </c>
      <c r="T1433">
        <f t="shared" si="110"/>
        <v>0.35</v>
      </c>
      <c r="U1433">
        <f t="shared" si="111"/>
        <v>2.8571428571428572</v>
      </c>
      <c r="V1433" s="4" t="str">
        <f t="shared" si="112"/>
        <v>5</v>
      </c>
      <c r="W1433" s="4" t="str">
        <f t="shared" si="113"/>
        <v>5</v>
      </c>
      <c r="X1433" s="4" t="str">
        <f t="shared" si="114"/>
        <v>5CVCTE5</v>
      </c>
      <c r="Y1433">
        <f>VLOOKUP(X1433,Sheet1!$J$5:$K$121,2,FALSE)</f>
        <v>0</v>
      </c>
    </row>
    <row r="1434" spans="1:25" x14ac:dyDescent="0.25">
      <c r="A1434" s="8">
        <f>[1]Data!A1434</f>
        <v>139701</v>
      </c>
      <c r="B1434" s="8">
        <f>[1]Data!B1434</f>
        <v>2</v>
      </c>
      <c r="C1434" s="8">
        <f>[1]Data!C1434</f>
        <v>5</v>
      </c>
      <c r="D1434" s="8">
        <f>[1]Data!D1434</f>
        <v>3</v>
      </c>
      <c r="E1434" s="8" t="str">
        <f>[1]Data!E1434</f>
        <v>INDIV</v>
      </c>
      <c r="F1434" s="8" t="str">
        <f>[1]Data!F1434</f>
        <v>Encino</v>
      </c>
      <c r="G1434" s="8">
        <f>[1]Data!G1434</f>
        <v>0</v>
      </c>
      <c r="H1434" s="8">
        <f>[1]Data!H1434</f>
        <v>0</v>
      </c>
      <c r="I1434" s="8">
        <f>[1]Data!I1434</f>
        <v>9.0210000000000008</v>
      </c>
      <c r="J1434" s="8">
        <f>[1]Data!J1434</f>
        <v>3.8885795999999999</v>
      </c>
      <c r="K1434" s="8">
        <f>[1]Data!K1434</f>
        <v>8.8885795999999999</v>
      </c>
      <c r="L1434" s="8">
        <f>[1]Data!L1434</f>
        <v>0.131797923464991</v>
      </c>
      <c r="M1434" s="8">
        <f>[1]Data!M1434</f>
        <v>9.0203775234649903</v>
      </c>
      <c r="N1434" s="8">
        <f>[1]Data!N1434</f>
        <v>4.8387096774193498E-2</v>
      </c>
      <c r="O1434" s="8">
        <f>[1]Data!O1434</f>
        <v>0</v>
      </c>
      <c r="P1434" s="8">
        <f>[1]Data!P1434</f>
        <v>1.6129032258064498E-2</v>
      </c>
      <c r="Q1434" s="8">
        <f>[1]Data!Q1434</f>
        <v>0.11111111111111099</v>
      </c>
      <c r="R1434" s="8">
        <f>[1]Data!R1434</f>
        <v>0</v>
      </c>
      <c r="S1434" s="8">
        <f>[1]Data!S1434</f>
        <v>0</v>
      </c>
      <c r="T1434">
        <f t="shared" si="110"/>
        <v>4.8387096774193498E-2</v>
      </c>
      <c r="U1434">
        <f t="shared" si="111"/>
        <v>0</v>
      </c>
      <c r="V1434" s="4" t="str">
        <f t="shared" si="112"/>
        <v>5</v>
      </c>
      <c r="W1434" s="4" t="str">
        <f t="shared" si="113"/>
        <v>2</v>
      </c>
      <c r="X1434" s="4" t="str">
        <f t="shared" si="114"/>
        <v>5INDIV2</v>
      </c>
      <c r="Y1434">
        <f>VLOOKUP(X1434,Sheet1!$J$5:$K$121,2,FALSE)</f>
        <v>0</v>
      </c>
    </row>
    <row r="1435" spans="1:25" x14ac:dyDescent="0.25">
      <c r="A1435" s="8">
        <f>[1]Data!A1435</f>
        <v>191902</v>
      </c>
      <c r="B1435" s="8">
        <f>[1]Data!B1435</f>
        <v>4</v>
      </c>
      <c r="C1435" s="8">
        <f>[1]Data!C1435</f>
        <v>5</v>
      </c>
      <c r="D1435" s="8">
        <f>[1]Data!D1435</f>
        <v>3</v>
      </c>
      <c r="E1435" s="8" t="str">
        <f>[1]Data!E1435</f>
        <v>INDIV</v>
      </c>
      <c r="F1435" s="8" t="str">
        <f>[1]Data!F1435</f>
        <v>Miracle Mile</v>
      </c>
      <c r="G1435" s="8">
        <f>[1]Data!G1435</f>
        <v>0</v>
      </c>
      <c r="H1435" s="8">
        <f>[1]Data!H1435</f>
        <v>0</v>
      </c>
      <c r="I1435" s="8">
        <f>[1]Data!I1435</f>
        <v>24.838999999999999</v>
      </c>
      <c r="J1435" s="8">
        <f>[1]Data!J1435</f>
        <v>11.44215048</v>
      </c>
      <c r="K1435" s="8">
        <f>[1]Data!K1435</f>
        <v>24.442150479999999</v>
      </c>
      <c r="L1435" s="8">
        <f>[1]Data!L1435</f>
        <v>0.39626038007181302</v>
      </c>
      <c r="M1435" s="8">
        <f>[1]Data!M1435</f>
        <v>24.8384108600718</v>
      </c>
      <c r="N1435" s="8">
        <f>[1]Data!N1435</f>
        <v>8.5106382978723402E-2</v>
      </c>
      <c r="O1435" s="8">
        <f>[1]Data!O1435</f>
        <v>0</v>
      </c>
      <c r="P1435" s="8">
        <f>[1]Data!P1435</f>
        <v>8.5106382978723402E-2</v>
      </c>
      <c r="Q1435" s="8">
        <f>[1]Data!Q1435</f>
        <v>0.44444444444444398</v>
      </c>
      <c r="R1435" s="8">
        <f>[1]Data!R1435</f>
        <v>0.16666666666666699</v>
      </c>
      <c r="S1435" s="8">
        <f>[1]Data!S1435</f>
        <v>0</v>
      </c>
      <c r="T1435">
        <f t="shared" si="110"/>
        <v>0.23758865248226979</v>
      </c>
      <c r="U1435">
        <f t="shared" si="111"/>
        <v>0</v>
      </c>
      <c r="V1435" s="4" t="str">
        <f t="shared" si="112"/>
        <v>5</v>
      </c>
      <c r="W1435" s="4" t="str">
        <f t="shared" si="113"/>
        <v>4</v>
      </c>
      <c r="X1435" s="4" t="str">
        <f t="shared" si="114"/>
        <v>5INDIV4</v>
      </c>
      <c r="Y1435">
        <f>VLOOKUP(X1435,Sheet1!$J$5:$K$121,2,FALSE)</f>
        <v>0.16666666666666699</v>
      </c>
    </row>
    <row r="1436" spans="1:25" x14ac:dyDescent="0.25">
      <c r="A1436" s="8">
        <f>[1]Data!A1436</f>
        <v>192002</v>
      </c>
      <c r="B1436" s="8">
        <f>[1]Data!B1436</f>
        <v>4</v>
      </c>
      <c r="C1436" s="8">
        <f>[1]Data!C1436</f>
        <v>5</v>
      </c>
      <c r="D1436" s="8">
        <f>[1]Data!D1436</f>
        <v>3</v>
      </c>
      <c r="E1436" s="8" t="str">
        <f>[1]Data!E1436</f>
        <v>INDIV</v>
      </c>
      <c r="F1436" s="8" t="str">
        <f>[1]Data!F1436</f>
        <v>Mid-City West</v>
      </c>
      <c r="G1436" s="8">
        <f>[1]Data!G1436</f>
        <v>0</v>
      </c>
      <c r="H1436" s="8">
        <f>[1]Data!H1436</f>
        <v>0</v>
      </c>
      <c r="I1436" s="8">
        <f>[1]Data!I1436</f>
        <v>19.106999999999999</v>
      </c>
      <c r="J1436" s="8">
        <f>[1]Data!J1436</f>
        <v>4.7832730799999998</v>
      </c>
      <c r="K1436" s="8">
        <f>[1]Data!K1436</f>
        <v>18.783273080000001</v>
      </c>
      <c r="L1436" s="8">
        <f>[1]Data!L1436</f>
        <v>0.32352933436265702</v>
      </c>
      <c r="M1436" s="8">
        <f>[1]Data!M1436</f>
        <v>19.106802414362701</v>
      </c>
      <c r="N1436" s="8">
        <f>[1]Data!N1436</f>
        <v>8.5106382978723402E-2</v>
      </c>
      <c r="O1436" s="8">
        <f>[1]Data!O1436</f>
        <v>0</v>
      </c>
      <c r="P1436" s="8">
        <f>[1]Data!P1436</f>
        <v>8.5106382978723402E-2</v>
      </c>
      <c r="Q1436" s="8">
        <f>[1]Data!Q1436</f>
        <v>0.44444444444444398</v>
      </c>
      <c r="R1436" s="8">
        <f>[1]Data!R1436</f>
        <v>0.16666666666666699</v>
      </c>
      <c r="S1436" s="8">
        <f>[1]Data!S1436</f>
        <v>0</v>
      </c>
      <c r="T1436">
        <f t="shared" si="110"/>
        <v>0.23758865248226979</v>
      </c>
      <c r="U1436">
        <f t="shared" si="111"/>
        <v>0</v>
      </c>
      <c r="V1436" s="4" t="str">
        <f t="shared" si="112"/>
        <v>5</v>
      </c>
      <c r="W1436" s="4" t="str">
        <f t="shared" si="113"/>
        <v>4</v>
      </c>
      <c r="X1436" s="4" t="str">
        <f t="shared" si="114"/>
        <v>5INDIV4</v>
      </c>
      <c r="Y1436">
        <f>VLOOKUP(X1436,Sheet1!$J$5:$K$121,2,FALSE)</f>
        <v>0.16666666666666699</v>
      </c>
    </row>
    <row r="1437" spans="1:25" x14ac:dyDescent="0.25">
      <c r="A1437" s="8">
        <f>[1]Data!A1437</f>
        <v>214902</v>
      </c>
      <c r="B1437" s="8">
        <f>[1]Data!B1437</f>
        <v>4</v>
      </c>
      <c r="C1437" s="8">
        <f>[1]Data!C1437</f>
        <v>5</v>
      </c>
      <c r="D1437" s="8">
        <f>[1]Data!D1437</f>
        <v>3</v>
      </c>
      <c r="E1437" s="8" t="str">
        <f>[1]Data!E1437</f>
        <v>INDIV</v>
      </c>
      <c r="F1437" s="8" t="str">
        <f>[1]Data!F1437</f>
        <v>Mid-City West</v>
      </c>
      <c r="G1437" s="8">
        <f>[1]Data!G1437</f>
        <v>0</v>
      </c>
      <c r="H1437" s="8">
        <f>[1]Data!H1437</f>
        <v>0</v>
      </c>
      <c r="I1437" s="8">
        <f>[1]Data!I1437</f>
        <v>14.388999999999999</v>
      </c>
      <c r="J1437" s="8">
        <f>[1]Data!J1437</f>
        <v>5.1041878499999997</v>
      </c>
      <c r="K1437" s="8">
        <f>[1]Data!K1437</f>
        <v>14.104187850000001</v>
      </c>
      <c r="L1437" s="8">
        <f>[1]Data!L1437</f>
        <v>0.28411653928186698</v>
      </c>
      <c r="M1437" s="8">
        <f>[1]Data!M1437</f>
        <v>14.388304389281901</v>
      </c>
      <c r="N1437" s="8">
        <f>[1]Data!N1437</f>
        <v>8.5106382978723402E-2</v>
      </c>
      <c r="O1437" s="8">
        <f>[1]Data!O1437</f>
        <v>0</v>
      </c>
      <c r="P1437" s="8">
        <f>[1]Data!P1437</f>
        <v>8.5106382978723402E-2</v>
      </c>
      <c r="Q1437" s="8">
        <f>[1]Data!Q1437</f>
        <v>0.44444444444444398</v>
      </c>
      <c r="R1437" s="8">
        <f>[1]Data!R1437</f>
        <v>0.16666666666666699</v>
      </c>
      <c r="S1437" s="8">
        <f>[1]Data!S1437</f>
        <v>0</v>
      </c>
      <c r="T1437">
        <f t="shared" si="110"/>
        <v>0.23758865248226979</v>
      </c>
      <c r="U1437">
        <f t="shared" si="111"/>
        <v>0</v>
      </c>
      <c r="V1437" s="4" t="str">
        <f t="shared" si="112"/>
        <v>5</v>
      </c>
      <c r="W1437" s="4" t="str">
        <f t="shared" si="113"/>
        <v>4</v>
      </c>
      <c r="X1437" s="4" t="str">
        <f t="shared" si="114"/>
        <v>5INDIV4</v>
      </c>
      <c r="Y1437">
        <f>VLOOKUP(X1437,Sheet1!$J$5:$K$121,2,FALSE)</f>
        <v>0.16666666666666699</v>
      </c>
    </row>
    <row r="1438" spans="1:25" x14ac:dyDescent="0.25">
      <c r="A1438" s="8">
        <f>[1]Data!A1438</f>
        <v>214700</v>
      </c>
      <c r="B1438" s="8">
        <f>[1]Data!B1438</f>
        <v>4</v>
      </c>
      <c r="C1438" s="8">
        <f>[1]Data!C1438</f>
        <v>5</v>
      </c>
      <c r="D1438" s="8">
        <f>[1]Data!D1438</f>
        <v>3</v>
      </c>
      <c r="E1438" s="8" t="str">
        <f>[1]Data!E1438</f>
        <v>INDIV</v>
      </c>
      <c r="F1438" s="8" t="str">
        <f>[1]Data!F1438</f>
        <v>Mid-City West</v>
      </c>
      <c r="G1438" s="8">
        <f>[1]Data!G1438</f>
        <v>1</v>
      </c>
      <c r="H1438" s="8">
        <f>[1]Data!H1438</f>
        <v>1</v>
      </c>
      <c r="I1438" s="8">
        <f>[1]Data!I1438</f>
        <v>4.7030000000000003</v>
      </c>
      <c r="J1438" s="8">
        <f>[1]Data!J1438</f>
        <v>1.6812916200000001</v>
      </c>
      <c r="K1438" s="8">
        <f>[1]Data!K1438</f>
        <v>4.6812916199999997</v>
      </c>
      <c r="L1438" s="8">
        <f>[1]Data!L1438</f>
        <v>2.14919317594255E-2</v>
      </c>
      <c r="M1438" s="8">
        <f>[1]Data!M1438</f>
        <v>4.7027835517594196</v>
      </c>
      <c r="N1438" s="8">
        <f>[1]Data!N1438</f>
        <v>8.5106382978723402E-2</v>
      </c>
      <c r="O1438" s="8">
        <f>[1]Data!O1438</f>
        <v>11.75</v>
      </c>
      <c r="P1438" s="8">
        <f>[1]Data!P1438</f>
        <v>8.5106382978723402E-2</v>
      </c>
      <c r="Q1438" s="8">
        <f>[1]Data!Q1438</f>
        <v>0.44444444444444398</v>
      </c>
      <c r="R1438" s="8">
        <f>[1]Data!R1438</f>
        <v>0</v>
      </c>
      <c r="S1438" s="8">
        <f>[1]Data!S1438</f>
        <v>0</v>
      </c>
      <c r="T1438">
        <f t="shared" si="110"/>
        <v>0.23758865248226979</v>
      </c>
      <c r="U1438">
        <f t="shared" si="111"/>
        <v>4.2089552238805918</v>
      </c>
      <c r="V1438" s="4" t="str">
        <f t="shared" si="112"/>
        <v>5</v>
      </c>
      <c r="W1438" s="4" t="str">
        <f t="shared" si="113"/>
        <v>4</v>
      </c>
      <c r="X1438" s="4" t="str">
        <f t="shared" si="114"/>
        <v>5INDIV4</v>
      </c>
      <c r="Y1438">
        <f>VLOOKUP(X1438,Sheet1!$J$5:$K$121,2,FALSE)</f>
        <v>0.16666666666666699</v>
      </c>
    </row>
    <row r="1439" spans="1:25" x14ac:dyDescent="0.25">
      <c r="A1439" s="8">
        <f>[1]Data!A1439</f>
        <v>265202</v>
      </c>
      <c r="B1439" s="8">
        <f>[1]Data!B1439</f>
        <v>5</v>
      </c>
      <c r="C1439" s="8">
        <f>[1]Data!C1439</f>
        <v>5</v>
      </c>
      <c r="D1439" s="8">
        <f>[1]Data!D1439</f>
        <v>3</v>
      </c>
      <c r="E1439" s="8" t="str">
        <f>[1]Data!E1439</f>
        <v>INDIV</v>
      </c>
      <c r="F1439" s="8" t="str">
        <f>[1]Data!F1439</f>
        <v>Westwood</v>
      </c>
      <c r="G1439" s="8">
        <f>[1]Data!G1439</f>
        <v>1</v>
      </c>
      <c r="H1439" s="8">
        <f>[1]Data!H1439</f>
        <v>1</v>
      </c>
      <c r="I1439" s="8">
        <f>[1]Data!I1439</f>
        <v>38.180999999999997</v>
      </c>
      <c r="J1439" s="8">
        <f>[1]Data!J1439</f>
        <v>2.87839314</v>
      </c>
      <c r="K1439" s="8">
        <f>[1]Data!K1439</f>
        <v>37.87839314</v>
      </c>
      <c r="L1439" s="8">
        <f>[1]Data!L1439</f>
        <v>0.30290401228007202</v>
      </c>
      <c r="M1439" s="8">
        <f>[1]Data!M1439</f>
        <v>38.181297152280102</v>
      </c>
      <c r="N1439" s="8">
        <f>[1]Data!N1439</f>
        <v>7.69230769230769E-2</v>
      </c>
      <c r="O1439" s="8">
        <f>[1]Data!O1439</f>
        <v>13</v>
      </c>
      <c r="P1439" s="8">
        <f>[1]Data!P1439</f>
        <v>0.30769230769230799</v>
      </c>
      <c r="Q1439" s="8">
        <f>[1]Data!Q1439</f>
        <v>0.44444444444444398</v>
      </c>
      <c r="R1439" s="8">
        <f>[1]Data!R1439</f>
        <v>0</v>
      </c>
      <c r="S1439" s="8">
        <f>[1]Data!S1439</f>
        <v>0</v>
      </c>
      <c r="T1439">
        <f t="shared" si="110"/>
        <v>0.23076923076923106</v>
      </c>
      <c r="U1439">
        <f t="shared" si="111"/>
        <v>4.3333333333333277</v>
      </c>
      <c r="V1439" s="4" t="str">
        <f t="shared" si="112"/>
        <v>5</v>
      </c>
      <c r="W1439" s="4" t="str">
        <f t="shared" si="113"/>
        <v>5</v>
      </c>
      <c r="X1439" s="4" t="str">
        <f t="shared" si="114"/>
        <v>5INDIV5</v>
      </c>
      <c r="Y1439">
        <f>VLOOKUP(X1439,Sheet1!$J$5:$K$121,2,FALSE)</f>
        <v>0.16666666666666699</v>
      </c>
    </row>
    <row r="1440" spans="1:25" x14ac:dyDescent="0.25">
      <c r="A1440" s="8">
        <f>[1]Data!A1440</f>
        <v>265301</v>
      </c>
      <c r="B1440" s="8">
        <f>[1]Data!B1440</f>
        <v>5</v>
      </c>
      <c r="C1440" s="8">
        <f>[1]Data!C1440</f>
        <v>5</v>
      </c>
      <c r="D1440" s="8">
        <f>[1]Data!D1440</f>
        <v>3</v>
      </c>
      <c r="E1440" s="8" t="str">
        <f>[1]Data!E1440</f>
        <v>INDIV</v>
      </c>
      <c r="F1440" s="8" t="str">
        <f>[1]Data!F1440</f>
        <v>Westwood</v>
      </c>
      <c r="G1440" s="8">
        <f>[1]Data!G1440</f>
        <v>0</v>
      </c>
      <c r="H1440" s="8">
        <f>[1]Data!H1440</f>
        <v>0</v>
      </c>
      <c r="I1440" s="8">
        <f>[1]Data!I1440</f>
        <v>15.102</v>
      </c>
      <c r="J1440" s="8">
        <f>[1]Data!J1440</f>
        <v>4.8536203599999999</v>
      </c>
      <c r="K1440" s="8">
        <f>[1]Data!K1440</f>
        <v>14.853620360000001</v>
      </c>
      <c r="L1440" s="8">
        <f>[1]Data!L1440</f>
        <v>0.247929448186715</v>
      </c>
      <c r="M1440" s="8">
        <f>[1]Data!M1440</f>
        <v>15.1015498081867</v>
      </c>
      <c r="N1440" s="8">
        <f>[1]Data!N1440</f>
        <v>7.69230769230769E-2</v>
      </c>
      <c r="O1440" s="8">
        <f>[1]Data!O1440</f>
        <v>0</v>
      </c>
      <c r="P1440" s="8">
        <f>[1]Data!P1440</f>
        <v>0.30769230769230799</v>
      </c>
      <c r="Q1440" s="8">
        <f>[1]Data!Q1440</f>
        <v>0.44444444444444398</v>
      </c>
      <c r="R1440" s="8">
        <f>[1]Data!R1440</f>
        <v>0.16666666666666699</v>
      </c>
      <c r="S1440" s="8">
        <f>[1]Data!S1440</f>
        <v>0</v>
      </c>
      <c r="T1440">
        <f t="shared" si="110"/>
        <v>0.23076923076923106</v>
      </c>
      <c r="U1440">
        <f t="shared" si="111"/>
        <v>0</v>
      </c>
      <c r="V1440" s="4" t="str">
        <f t="shared" si="112"/>
        <v>5</v>
      </c>
      <c r="W1440" s="4" t="str">
        <f t="shared" si="113"/>
        <v>5</v>
      </c>
      <c r="X1440" s="4" t="str">
        <f t="shared" si="114"/>
        <v>5INDIV5</v>
      </c>
      <c r="Y1440">
        <f>VLOOKUP(X1440,Sheet1!$J$5:$K$121,2,FALSE)</f>
        <v>0.16666666666666699</v>
      </c>
    </row>
    <row r="1441" spans="1:25" x14ac:dyDescent="0.25">
      <c r="A1441" s="8">
        <f>[1]Data!A1441</f>
        <v>269904</v>
      </c>
      <c r="B1441" s="8">
        <f>[1]Data!B1441</f>
        <v>5</v>
      </c>
      <c r="C1441" s="8">
        <f>[1]Data!C1441</f>
        <v>5</v>
      </c>
      <c r="D1441" s="8">
        <f>[1]Data!D1441</f>
        <v>2</v>
      </c>
      <c r="E1441" s="8" t="str">
        <f>[1]Data!E1441</f>
        <v>INDIV</v>
      </c>
      <c r="F1441" s="8" t="str">
        <f>[1]Data!F1441</f>
        <v>Palms</v>
      </c>
      <c r="G1441" s="8">
        <f>[1]Data!G1441</f>
        <v>0</v>
      </c>
      <c r="H1441" s="8">
        <f>[1]Data!H1441</f>
        <v>0</v>
      </c>
      <c r="I1441" s="8">
        <f>[1]Data!I1441</f>
        <v>28.216999999999999</v>
      </c>
      <c r="J1441" s="8">
        <f>[1]Data!J1441</f>
        <v>16.66412776</v>
      </c>
      <c r="K1441" s="8">
        <f>[1]Data!K1441</f>
        <v>27.66412776</v>
      </c>
      <c r="L1441" s="8">
        <f>[1]Data!L1441</f>
        <v>0.55190932960502703</v>
      </c>
      <c r="M1441" s="8">
        <f>[1]Data!M1441</f>
        <v>28.216037089604999</v>
      </c>
      <c r="N1441" s="8">
        <f>[1]Data!N1441</f>
        <v>7.69230769230769E-2</v>
      </c>
      <c r="O1441" s="8">
        <f>[1]Data!O1441</f>
        <v>0</v>
      </c>
      <c r="P1441" s="8">
        <f>[1]Data!P1441</f>
        <v>0.30769230769230799</v>
      </c>
      <c r="Q1441" s="8">
        <f>[1]Data!Q1441</f>
        <v>0.44444444444444398</v>
      </c>
      <c r="R1441" s="8">
        <f>[1]Data!R1441</f>
        <v>0.16666666666666699</v>
      </c>
      <c r="S1441" s="8">
        <f>[1]Data!S1441</f>
        <v>0</v>
      </c>
      <c r="T1441">
        <f t="shared" si="110"/>
        <v>0.23076923076923106</v>
      </c>
      <c r="U1441">
        <f t="shared" si="111"/>
        <v>0</v>
      </c>
      <c r="V1441" s="4" t="str">
        <f t="shared" si="112"/>
        <v>5</v>
      </c>
      <c r="W1441" s="4" t="str">
        <f t="shared" si="113"/>
        <v>5</v>
      </c>
      <c r="X1441" s="4" t="str">
        <f t="shared" si="114"/>
        <v>5INDIV5</v>
      </c>
      <c r="Y1441">
        <f>VLOOKUP(X1441,Sheet1!$J$5:$K$121,2,FALSE)</f>
        <v>0.16666666666666699</v>
      </c>
    </row>
    <row r="1442" spans="1:25" x14ac:dyDescent="0.25">
      <c r="A1442" s="8">
        <f>[1]Data!A1442</f>
        <v>269907</v>
      </c>
      <c r="B1442" s="8">
        <f>[1]Data!B1442</f>
        <v>5</v>
      </c>
      <c r="C1442" s="8">
        <f>[1]Data!C1442</f>
        <v>5</v>
      </c>
      <c r="D1442" s="8">
        <f>[1]Data!D1442</f>
        <v>2</v>
      </c>
      <c r="E1442" s="8" t="str">
        <f>[1]Data!E1442</f>
        <v>INDIV</v>
      </c>
      <c r="F1442" s="8" t="str">
        <f>[1]Data!F1442</f>
        <v>Palms</v>
      </c>
      <c r="G1442" s="8">
        <f>[1]Data!G1442</f>
        <v>0</v>
      </c>
      <c r="H1442" s="8">
        <f>[1]Data!H1442</f>
        <v>1</v>
      </c>
      <c r="I1442" s="8">
        <f>[1]Data!I1442</f>
        <v>13.371</v>
      </c>
      <c r="J1442" s="8">
        <f>[1]Data!J1442</f>
        <v>6.8457924600000002</v>
      </c>
      <c r="K1442" s="8">
        <f>[1]Data!K1442</f>
        <v>12.84579246</v>
      </c>
      <c r="L1442" s="8">
        <f>[1]Data!L1442</f>
        <v>0.52524921504488298</v>
      </c>
      <c r="M1442" s="8">
        <f>[1]Data!M1442</f>
        <v>13.3710416750449</v>
      </c>
      <c r="N1442" s="8">
        <f>[1]Data!N1442</f>
        <v>7.69230769230769E-2</v>
      </c>
      <c r="O1442" s="8">
        <f>[1]Data!O1442</f>
        <v>0</v>
      </c>
      <c r="P1442" s="8">
        <f>[1]Data!P1442</f>
        <v>0.30769230769230799</v>
      </c>
      <c r="Q1442" s="8">
        <f>[1]Data!Q1442</f>
        <v>0.44444444444444398</v>
      </c>
      <c r="R1442" s="8">
        <f>[1]Data!R1442</f>
        <v>0.16666666666666699</v>
      </c>
      <c r="S1442" s="8">
        <f>[1]Data!S1442</f>
        <v>6</v>
      </c>
      <c r="T1442">
        <f t="shared" si="110"/>
        <v>0.23076923076923106</v>
      </c>
      <c r="U1442">
        <f t="shared" si="111"/>
        <v>4.3333333333333277</v>
      </c>
      <c r="V1442" s="4" t="str">
        <f t="shared" si="112"/>
        <v>5</v>
      </c>
      <c r="W1442" s="4" t="str">
        <f t="shared" si="113"/>
        <v>5</v>
      </c>
      <c r="X1442" s="4" t="str">
        <f t="shared" si="114"/>
        <v>5INDIV5</v>
      </c>
      <c r="Y1442">
        <f>VLOOKUP(X1442,Sheet1!$J$5:$K$121,2,FALSE)</f>
        <v>0.16666666666666699</v>
      </c>
    </row>
    <row r="1443" spans="1:25" x14ac:dyDescent="0.25">
      <c r="A1443" s="8">
        <f>[1]Data!A1443</f>
        <v>139200</v>
      </c>
      <c r="B1443" s="8">
        <f>[1]Data!B1443</f>
        <v>2</v>
      </c>
      <c r="C1443" s="8">
        <f>[1]Data!C1443</f>
        <v>5</v>
      </c>
      <c r="D1443" s="8">
        <f>[1]Data!D1443</f>
        <v>3</v>
      </c>
      <c r="E1443" s="8" t="str">
        <f>[1]Data!E1443</f>
        <v>NON-HS</v>
      </c>
      <c r="F1443" s="8" t="str">
        <f>[1]Data!F1443</f>
        <v>Encino</v>
      </c>
      <c r="G1443" s="8">
        <f>[1]Data!G1443</f>
        <v>0</v>
      </c>
      <c r="H1443" s="8">
        <f>[1]Data!H1443</f>
        <v>0</v>
      </c>
      <c r="I1443" s="8">
        <f>[1]Data!I1443</f>
        <v>0</v>
      </c>
      <c r="J1443" s="8">
        <f>[1]Data!J1443</f>
        <v>0</v>
      </c>
      <c r="K1443" s="8">
        <f>[1]Data!K1443</f>
        <v>0</v>
      </c>
      <c r="L1443" s="8">
        <f>[1]Data!L1443</f>
        <v>0</v>
      </c>
      <c r="M1443" s="8">
        <f>[1]Data!M1443</f>
        <v>0</v>
      </c>
      <c r="N1443" s="8">
        <f>[1]Data!N1443</f>
        <v>2.2140221402214E-2</v>
      </c>
      <c r="O1443" s="8">
        <f>[1]Data!O1443</f>
        <v>0</v>
      </c>
      <c r="P1443" s="8">
        <f>[1]Data!P1443</f>
        <v>3.6900369003690002E-2</v>
      </c>
      <c r="Q1443" s="8">
        <f>[1]Data!Q1443</f>
        <v>0.19607843137254899</v>
      </c>
      <c r="R1443" s="8">
        <f>[1]Data!R1443</f>
        <v>5.8823529411764698E-2</v>
      </c>
      <c r="S1443" s="8">
        <f>[1]Data!S1443</f>
        <v>0</v>
      </c>
      <c r="T1443">
        <f t="shared" si="110"/>
        <v>7.9661384849142591E-2</v>
      </c>
      <c r="U1443">
        <f t="shared" si="111"/>
        <v>0</v>
      </c>
      <c r="V1443" s="4" t="str">
        <f t="shared" si="112"/>
        <v>5</v>
      </c>
      <c r="W1443" s="4" t="str">
        <f t="shared" si="113"/>
        <v>2</v>
      </c>
      <c r="X1443" s="4" t="str">
        <f t="shared" si="114"/>
        <v>5NON-HS2</v>
      </c>
      <c r="Y1443">
        <f>VLOOKUP(X1443,Sheet1!$J$5:$K$121,2,FALSE)</f>
        <v>5.8823529411764698E-2</v>
      </c>
    </row>
    <row r="1444" spans="1:25" x14ac:dyDescent="0.25">
      <c r="A1444" s="8">
        <f>[1]Data!A1444</f>
        <v>141500</v>
      </c>
      <c r="B1444" s="8">
        <f>[1]Data!B1444</f>
        <v>2</v>
      </c>
      <c r="C1444" s="8">
        <f>[1]Data!C1444</f>
        <v>5</v>
      </c>
      <c r="D1444" s="8">
        <f>[1]Data!D1444</f>
        <v>3</v>
      </c>
      <c r="E1444" s="8" t="str">
        <f>[1]Data!E1444</f>
        <v>NON-HS</v>
      </c>
      <c r="F1444" s="8" t="str">
        <f>[1]Data!F1444</f>
        <v>Encino</v>
      </c>
      <c r="G1444" s="8">
        <f>[1]Data!G1444</f>
        <v>0</v>
      </c>
      <c r="H1444" s="8">
        <f>[1]Data!H1444</f>
        <v>0</v>
      </c>
      <c r="I1444" s="8">
        <f>[1]Data!I1444</f>
        <v>0</v>
      </c>
      <c r="J1444" s="8">
        <f>[1]Data!J1444</f>
        <v>0</v>
      </c>
      <c r="K1444" s="8">
        <f>[1]Data!K1444</f>
        <v>0</v>
      </c>
      <c r="L1444" s="8">
        <f>[1]Data!L1444</f>
        <v>0</v>
      </c>
      <c r="M1444" s="8">
        <f>[1]Data!M1444</f>
        <v>0</v>
      </c>
      <c r="N1444" s="8">
        <f>[1]Data!N1444</f>
        <v>2.2140221402214E-2</v>
      </c>
      <c r="O1444" s="8">
        <f>[1]Data!O1444</f>
        <v>0</v>
      </c>
      <c r="P1444" s="8">
        <f>[1]Data!P1444</f>
        <v>3.6900369003690002E-2</v>
      </c>
      <c r="Q1444" s="8">
        <f>[1]Data!Q1444</f>
        <v>0.19607843137254899</v>
      </c>
      <c r="R1444" s="8">
        <f>[1]Data!R1444</f>
        <v>5.8823529411764698E-2</v>
      </c>
      <c r="S1444" s="8">
        <f>[1]Data!S1444</f>
        <v>0</v>
      </c>
      <c r="T1444">
        <f t="shared" si="110"/>
        <v>7.9661384849142591E-2</v>
      </c>
      <c r="U1444">
        <f t="shared" si="111"/>
        <v>0</v>
      </c>
      <c r="V1444" s="4" t="str">
        <f t="shared" si="112"/>
        <v>5</v>
      </c>
      <c r="W1444" s="4" t="str">
        <f t="shared" si="113"/>
        <v>2</v>
      </c>
      <c r="X1444" s="4" t="str">
        <f t="shared" si="114"/>
        <v>5NON-HS2</v>
      </c>
      <c r="Y1444">
        <f>VLOOKUP(X1444,Sheet1!$J$5:$K$121,2,FALSE)</f>
        <v>5.8823529411764698E-2</v>
      </c>
    </row>
    <row r="1445" spans="1:25" x14ac:dyDescent="0.25">
      <c r="A1445" s="8">
        <f>[1]Data!A1445</f>
        <v>139502</v>
      </c>
      <c r="B1445" s="8">
        <f>[1]Data!B1445</f>
        <v>2</v>
      </c>
      <c r="C1445" s="8">
        <f>[1]Data!C1445</f>
        <v>5</v>
      </c>
      <c r="D1445" s="8">
        <f>[1]Data!D1445</f>
        <v>3</v>
      </c>
      <c r="E1445" s="8" t="str">
        <f>[1]Data!E1445</f>
        <v>NON-HS</v>
      </c>
      <c r="F1445" s="8" t="str">
        <f>[1]Data!F1445</f>
        <v>Encino</v>
      </c>
      <c r="G1445" s="8">
        <f>[1]Data!G1445</f>
        <v>0</v>
      </c>
      <c r="H1445" s="8">
        <f>[1]Data!H1445</f>
        <v>0</v>
      </c>
      <c r="I1445" s="8">
        <f>[1]Data!I1445</f>
        <v>2.9260000000000002</v>
      </c>
      <c r="J1445" s="8">
        <f>[1]Data!J1445</f>
        <v>1.90487994</v>
      </c>
      <c r="K1445" s="8">
        <f>[1]Data!K1445</f>
        <v>2.9048799399999998</v>
      </c>
      <c r="L1445" s="8">
        <f>[1]Data!L1445</f>
        <v>2.0625322082585301E-2</v>
      </c>
      <c r="M1445" s="8">
        <f>[1]Data!M1445</f>
        <v>2.9255052620825901</v>
      </c>
      <c r="N1445" s="8">
        <f>[1]Data!N1445</f>
        <v>2.2140221402214E-2</v>
      </c>
      <c r="O1445" s="8">
        <f>[1]Data!O1445</f>
        <v>0</v>
      </c>
      <c r="P1445" s="8">
        <f>[1]Data!P1445</f>
        <v>3.6900369003690002E-2</v>
      </c>
      <c r="Q1445" s="8">
        <f>[1]Data!Q1445</f>
        <v>0.19607843137254899</v>
      </c>
      <c r="R1445" s="8">
        <f>[1]Data!R1445</f>
        <v>5.8823529411764698E-2</v>
      </c>
      <c r="S1445" s="8">
        <f>[1]Data!S1445</f>
        <v>0</v>
      </c>
      <c r="T1445">
        <f t="shared" si="110"/>
        <v>7.9661384849142591E-2</v>
      </c>
      <c r="U1445">
        <f t="shared" si="111"/>
        <v>0</v>
      </c>
      <c r="V1445" s="4" t="str">
        <f t="shared" si="112"/>
        <v>5</v>
      </c>
      <c r="W1445" s="4" t="str">
        <f t="shared" si="113"/>
        <v>2</v>
      </c>
      <c r="X1445" s="4" t="str">
        <f t="shared" si="114"/>
        <v>5NON-HS2</v>
      </c>
      <c r="Y1445">
        <f>VLOOKUP(X1445,Sheet1!$J$5:$K$121,2,FALSE)</f>
        <v>5.8823529411764698E-2</v>
      </c>
    </row>
    <row r="1446" spans="1:25" x14ac:dyDescent="0.25">
      <c r="A1446" s="8">
        <f>[1]Data!A1446</f>
        <v>139702</v>
      </c>
      <c r="B1446" s="8">
        <f>[1]Data!B1446</f>
        <v>2</v>
      </c>
      <c r="C1446" s="8">
        <f>[1]Data!C1446</f>
        <v>5</v>
      </c>
      <c r="D1446" s="8">
        <f>[1]Data!D1446</f>
        <v>3</v>
      </c>
      <c r="E1446" s="8" t="str">
        <f>[1]Data!E1446</f>
        <v>NON-HS</v>
      </c>
      <c r="F1446" s="8" t="str">
        <f>[1]Data!F1446</f>
        <v>Encino</v>
      </c>
      <c r="G1446" s="8">
        <f>[1]Data!G1446</f>
        <v>0</v>
      </c>
      <c r="H1446" s="8">
        <f>[1]Data!H1446</f>
        <v>0</v>
      </c>
      <c r="I1446" s="8">
        <f>[1]Data!I1446</f>
        <v>0</v>
      </c>
      <c r="J1446" s="8">
        <f>[1]Data!J1446</f>
        <v>0</v>
      </c>
      <c r="K1446" s="8">
        <f>[1]Data!K1446</f>
        <v>0</v>
      </c>
      <c r="L1446" s="8">
        <f>[1]Data!L1446</f>
        <v>0</v>
      </c>
      <c r="M1446" s="8">
        <f>[1]Data!M1446</f>
        <v>0</v>
      </c>
      <c r="N1446" s="8">
        <f>[1]Data!N1446</f>
        <v>2.2140221402214E-2</v>
      </c>
      <c r="O1446" s="8">
        <f>[1]Data!O1446</f>
        <v>0</v>
      </c>
      <c r="P1446" s="8">
        <f>[1]Data!P1446</f>
        <v>3.6900369003690002E-2</v>
      </c>
      <c r="Q1446" s="8">
        <f>[1]Data!Q1446</f>
        <v>0.19607843137254899</v>
      </c>
      <c r="R1446" s="8">
        <f>[1]Data!R1446</f>
        <v>5.8823529411764698E-2</v>
      </c>
      <c r="S1446" s="8">
        <f>[1]Data!S1446</f>
        <v>0</v>
      </c>
      <c r="T1446">
        <f t="shared" si="110"/>
        <v>7.9661384849142591E-2</v>
      </c>
      <c r="U1446">
        <f t="shared" si="111"/>
        <v>0</v>
      </c>
      <c r="V1446" s="4" t="str">
        <f t="shared" si="112"/>
        <v>5</v>
      </c>
      <c r="W1446" s="4" t="str">
        <f t="shared" si="113"/>
        <v>2</v>
      </c>
      <c r="X1446" s="4" t="str">
        <f t="shared" si="114"/>
        <v>5NON-HS2</v>
      </c>
      <c r="Y1446">
        <f>VLOOKUP(X1446,Sheet1!$J$5:$K$121,2,FALSE)</f>
        <v>5.8823529411764698E-2</v>
      </c>
    </row>
    <row r="1447" spans="1:25" x14ac:dyDescent="0.25">
      <c r="A1447" s="8">
        <f>[1]Data!A1447</f>
        <v>141400</v>
      </c>
      <c r="B1447" s="8">
        <f>[1]Data!B1447</f>
        <v>2</v>
      </c>
      <c r="C1447" s="8">
        <f>[1]Data!C1447</f>
        <v>5</v>
      </c>
      <c r="D1447" s="8">
        <f>[1]Data!D1447</f>
        <v>3</v>
      </c>
      <c r="E1447" s="8" t="str">
        <f>[1]Data!E1447</f>
        <v>NON-HS</v>
      </c>
      <c r="F1447" s="8" t="str">
        <f>[1]Data!F1447</f>
        <v>Encino</v>
      </c>
      <c r="G1447" s="8">
        <f>[1]Data!G1447</f>
        <v>0</v>
      </c>
      <c r="H1447" s="8">
        <f>[1]Data!H1447</f>
        <v>0</v>
      </c>
      <c r="I1447" s="8">
        <f>[1]Data!I1447</f>
        <v>11.627000000000001</v>
      </c>
      <c r="J1447" s="8">
        <f>[1]Data!J1447</f>
        <v>9.2867030499999998</v>
      </c>
      <c r="K1447" s="8">
        <f>[1]Data!K1447</f>
        <v>11.28670305</v>
      </c>
      <c r="L1447" s="8">
        <f>[1]Data!L1447</f>
        <v>0.33944796689407503</v>
      </c>
      <c r="M1447" s="8">
        <f>[1]Data!M1447</f>
        <v>11.6261510168941</v>
      </c>
      <c r="N1447" s="8">
        <f>[1]Data!N1447</f>
        <v>2.2140221402214E-2</v>
      </c>
      <c r="O1447" s="8">
        <f>[1]Data!O1447</f>
        <v>0</v>
      </c>
      <c r="P1447" s="8">
        <f>[1]Data!P1447</f>
        <v>3.6900369003690002E-2</v>
      </c>
      <c r="Q1447" s="8">
        <f>[1]Data!Q1447</f>
        <v>0.19607843137254899</v>
      </c>
      <c r="R1447" s="8">
        <f>[1]Data!R1447</f>
        <v>5.8823529411764698E-2</v>
      </c>
      <c r="S1447" s="8">
        <f>[1]Data!S1447</f>
        <v>0</v>
      </c>
      <c r="T1447">
        <f t="shared" si="110"/>
        <v>7.9661384849142591E-2</v>
      </c>
      <c r="U1447">
        <f t="shared" si="111"/>
        <v>0</v>
      </c>
      <c r="V1447" s="4" t="str">
        <f t="shared" si="112"/>
        <v>5</v>
      </c>
      <c r="W1447" s="4" t="str">
        <f t="shared" si="113"/>
        <v>2</v>
      </c>
      <c r="X1447" s="4" t="str">
        <f t="shared" si="114"/>
        <v>5NON-HS2</v>
      </c>
      <c r="Y1447">
        <f>VLOOKUP(X1447,Sheet1!$J$5:$K$121,2,FALSE)</f>
        <v>5.8823529411764698E-2</v>
      </c>
    </row>
    <row r="1448" spans="1:25" x14ac:dyDescent="0.25">
      <c r="A1448" s="8">
        <f>[1]Data!A1448</f>
        <v>139001</v>
      </c>
      <c r="B1448" s="8">
        <f>[1]Data!B1448</f>
        <v>2</v>
      </c>
      <c r="C1448" s="8">
        <f>[1]Data!C1448</f>
        <v>5</v>
      </c>
      <c r="D1448" s="8">
        <f>[1]Data!D1448</f>
        <v>3</v>
      </c>
      <c r="E1448" s="8" t="str">
        <f>[1]Data!E1448</f>
        <v>NON-HS</v>
      </c>
      <c r="F1448" s="8" t="str">
        <f>[1]Data!F1448</f>
        <v>Encino</v>
      </c>
      <c r="G1448" s="8">
        <f>[1]Data!G1448</f>
        <v>0</v>
      </c>
      <c r="H1448" s="8">
        <f>[1]Data!H1448</f>
        <v>0</v>
      </c>
      <c r="I1448" s="8">
        <f>[1]Data!I1448</f>
        <v>0</v>
      </c>
      <c r="J1448" s="8">
        <f>[1]Data!J1448</f>
        <v>0</v>
      </c>
      <c r="K1448" s="8">
        <f>[1]Data!K1448</f>
        <v>0</v>
      </c>
      <c r="L1448" s="8">
        <f>[1]Data!L1448</f>
        <v>0</v>
      </c>
      <c r="M1448" s="8">
        <f>[1]Data!M1448</f>
        <v>0</v>
      </c>
      <c r="N1448" s="8">
        <f>[1]Data!N1448</f>
        <v>2.2140221402214E-2</v>
      </c>
      <c r="O1448" s="8">
        <f>[1]Data!O1448</f>
        <v>0</v>
      </c>
      <c r="P1448" s="8">
        <f>[1]Data!P1448</f>
        <v>3.6900369003690002E-2</v>
      </c>
      <c r="Q1448" s="8">
        <f>[1]Data!Q1448</f>
        <v>0.19607843137254899</v>
      </c>
      <c r="R1448" s="8">
        <f>[1]Data!R1448</f>
        <v>5.8823529411764698E-2</v>
      </c>
      <c r="S1448" s="8">
        <f>[1]Data!S1448</f>
        <v>0</v>
      </c>
      <c r="T1448">
        <f t="shared" si="110"/>
        <v>7.9661384849142591E-2</v>
      </c>
      <c r="U1448">
        <f t="shared" si="111"/>
        <v>0</v>
      </c>
      <c r="V1448" s="4" t="str">
        <f t="shared" si="112"/>
        <v>5</v>
      </c>
      <c r="W1448" s="4" t="str">
        <f t="shared" si="113"/>
        <v>2</v>
      </c>
      <c r="X1448" s="4" t="str">
        <f t="shared" si="114"/>
        <v>5NON-HS2</v>
      </c>
      <c r="Y1448">
        <f>VLOOKUP(X1448,Sheet1!$J$5:$K$121,2,FALSE)</f>
        <v>5.8823529411764698E-2</v>
      </c>
    </row>
    <row r="1449" spans="1:25" x14ac:dyDescent="0.25">
      <c r="A1449" s="8">
        <f>[1]Data!A1449</f>
        <v>132900</v>
      </c>
      <c r="B1449" s="8">
        <f>[1]Data!B1449</f>
        <v>2</v>
      </c>
      <c r="C1449" s="8">
        <f>[1]Data!C1449</f>
        <v>5</v>
      </c>
      <c r="D1449" s="8">
        <f>[1]Data!D1449</f>
        <v>3</v>
      </c>
      <c r="E1449" s="8" t="str">
        <f>[1]Data!E1449</f>
        <v>NON-HS</v>
      </c>
      <c r="F1449" s="8" t="str">
        <f>[1]Data!F1449</f>
        <v>Tarzana</v>
      </c>
      <c r="G1449" s="8">
        <f>[1]Data!G1449</f>
        <v>0</v>
      </c>
      <c r="H1449" s="8">
        <f>[1]Data!H1449</f>
        <v>0</v>
      </c>
      <c r="I1449" s="8">
        <f>[1]Data!I1449</f>
        <v>10.474</v>
      </c>
      <c r="J1449" s="8">
        <f>[1]Data!J1449</f>
        <v>9.9184982999999995</v>
      </c>
      <c r="K1449" s="8">
        <f>[1]Data!K1449</f>
        <v>9.9184982999999995</v>
      </c>
      <c r="L1449" s="8">
        <f>[1]Data!L1449</f>
        <v>0.55586300691202895</v>
      </c>
      <c r="M1449" s="8">
        <f>[1]Data!M1449</f>
        <v>10.474361306912</v>
      </c>
      <c r="N1449" s="8">
        <f>[1]Data!N1449</f>
        <v>2.2140221402214E-2</v>
      </c>
      <c r="O1449" s="8">
        <f>[1]Data!O1449</f>
        <v>0</v>
      </c>
      <c r="P1449" s="8">
        <f>[1]Data!P1449</f>
        <v>3.6900369003690002E-2</v>
      </c>
      <c r="Q1449" s="8">
        <f>[1]Data!Q1449</f>
        <v>0.19607843137254899</v>
      </c>
      <c r="R1449" s="8">
        <f>[1]Data!R1449</f>
        <v>5.8823529411764698E-2</v>
      </c>
      <c r="S1449" s="8">
        <f>[1]Data!S1449</f>
        <v>0</v>
      </c>
      <c r="T1449">
        <f t="shared" si="110"/>
        <v>7.9661384849142591E-2</v>
      </c>
      <c r="U1449">
        <f t="shared" si="111"/>
        <v>0</v>
      </c>
      <c r="V1449" s="4" t="str">
        <f t="shared" si="112"/>
        <v>5</v>
      </c>
      <c r="W1449" s="4" t="str">
        <f t="shared" si="113"/>
        <v>2</v>
      </c>
      <c r="X1449" s="4" t="str">
        <f t="shared" si="114"/>
        <v>5NON-HS2</v>
      </c>
      <c r="Y1449">
        <f>VLOOKUP(X1449,Sheet1!$J$5:$K$121,2,FALSE)</f>
        <v>5.8823529411764698E-2</v>
      </c>
    </row>
    <row r="1450" spans="1:25" x14ac:dyDescent="0.25">
      <c r="A1450" s="8">
        <f>[1]Data!A1450</f>
        <v>139503</v>
      </c>
      <c r="B1450" s="8">
        <f>[1]Data!B1450</f>
        <v>2</v>
      </c>
      <c r="C1450" s="8">
        <f>[1]Data!C1450</f>
        <v>5</v>
      </c>
      <c r="D1450" s="8">
        <f>[1]Data!D1450</f>
        <v>3</v>
      </c>
      <c r="E1450" s="8" t="str">
        <f>[1]Data!E1450</f>
        <v>NON-HS</v>
      </c>
      <c r="F1450" s="8" t="str">
        <f>[1]Data!F1450</f>
        <v>Encino</v>
      </c>
      <c r="G1450" s="8">
        <f>[1]Data!G1450</f>
        <v>0</v>
      </c>
      <c r="H1450" s="8">
        <f>[1]Data!H1450</f>
        <v>0</v>
      </c>
      <c r="I1450" s="8">
        <f>[1]Data!I1450</f>
        <v>0</v>
      </c>
      <c r="J1450" s="8">
        <f>[1]Data!J1450</f>
        <v>0</v>
      </c>
      <c r="K1450" s="8">
        <f>[1]Data!K1450</f>
        <v>0</v>
      </c>
      <c r="L1450" s="8">
        <f>[1]Data!L1450</f>
        <v>0</v>
      </c>
      <c r="M1450" s="8">
        <f>[1]Data!M1450</f>
        <v>0</v>
      </c>
      <c r="N1450" s="8">
        <f>[1]Data!N1450</f>
        <v>2.2140221402214E-2</v>
      </c>
      <c r="O1450" s="8">
        <f>[1]Data!O1450</f>
        <v>0</v>
      </c>
      <c r="P1450" s="8">
        <f>[1]Data!P1450</f>
        <v>3.6900369003690002E-2</v>
      </c>
      <c r="Q1450" s="8">
        <f>[1]Data!Q1450</f>
        <v>0.19607843137254899</v>
      </c>
      <c r="R1450" s="8">
        <f>[1]Data!R1450</f>
        <v>5.8823529411764698E-2</v>
      </c>
      <c r="S1450" s="8">
        <f>[1]Data!S1450</f>
        <v>0</v>
      </c>
      <c r="T1450">
        <f t="shared" si="110"/>
        <v>7.9661384849142591E-2</v>
      </c>
      <c r="U1450">
        <f t="shared" si="111"/>
        <v>0</v>
      </c>
      <c r="V1450" s="4" t="str">
        <f t="shared" si="112"/>
        <v>5</v>
      </c>
      <c r="W1450" s="4" t="str">
        <f t="shared" si="113"/>
        <v>2</v>
      </c>
      <c r="X1450" s="4" t="str">
        <f t="shared" si="114"/>
        <v>5NON-HS2</v>
      </c>
      <c r="Y1450">
        <f>VLOOKUP(X1450,Sheet1!$J$5:$K$121,2,FALSE)</f>
        <v>5.8823529411764698E-2</v>
      </c>
    </row>
    <row r="1451" spans="1:25" x14ac:dyDescent="0.25">
      <c r="A1451" s="8">
        <f>[1]Data!A1451</f>
        <v>139504</v>
      </c>
      <c r="B1451" s="8">
        <f>[1]Data!B1451</f>
        <v>2</v>
      </c>
      <c r="C1451" s="8">
        <f>[1]Data!C1451</f>
        <v>5</v>
      </c>
      <c r="D1451" s="8">
        <f>[1]Data!D1451</f>
        <v>3</v>
      </c>
      <c r="E1451" s="8" t="str">
        <f>[1]Data!E1451</f>
        <v>NON-HS</v>
      </c>
      <c r="F1451" s="8" t="str">
        <f>[1]Data!F1451</f>
        <v>Encino</v>
      </c>
      <c r="G1451" s="8">
        <f>[1]Data!G1451</f>
        <v>0</v>
      </c>
      <c r="H1451" s="8">
        <f>[1]Data!H1451</f>
        <v>0</v>
      </c>
      <c r="I1451" s="8">
        <f>[1]Data!I1451</f>
        <v>1</v>
      </c>
      <c r="J1451" s="8">
        <f>[1]Data!J1451</f>
        <v>0</v>
      </c>
      <c r="K1451" s="8">
        <f>[1]Data!K1451</f>
        <v>1</v>
      </c>
      <c r="L1451" s="8">
        <f>[1]Data!L1451</f>
        <v>0</v>
      </c>
      <c r="M1451" s="8">
        <f>[1]Data!M1451</f>
        <v>1</v>
      </c>
      <c r="N1451" s="8">
        <f>[1]Data!N1451</f>
        <v>2.2140221402214E-2</v>
      </c>
      <c r="O1451" s="8">
        <f>[1]Data!O1451</f>
        <v>0</v>
      </c>
      <c r="P1451" s="8">
        <f>[1]Data!P1451</f>
        <v>3.6900369003690002E-2</v>
      </c>
      <c r="Q1451" s="8">
        <f>[1]Data!Q1451</f>
        <v>0.19607843137254899</v>
      </c>
      <c r="R1451" s="8">
        <f>[1]Data!R1451</f>
        <v>5.8823529411764698E-2</v>
      </c>
      <c r="S1451" s="8">
        <f>[1]Data!S1451</f>
        <v>0</v>
      </c>
      <c r="T1451">
        <f t="shared" si="110"/>
        <v>7.9661384849142591E-2</v>
      </c>
      <c r="U1451">
        <f t="shared" si="111"/>
        <v>0</v>
      </c>
      <c r="V1451" s="4" t="str">
        <f t="shared" si="112"/>
        <v>5</v>
      </c>
      <c r="W1451" s="4" t="str">
        <f t="shared" si="113"/>
        <v>2</v>
      </c>
      <c r="X1451" s="4" t="str">
        <f t="shared" si="114"/>
        <v>5NON-HS2</v>
      </c>
      <c r="Y1451">
        <f>VLOOKUP(X1451,Sheet1!$J$5:$K$121,2,FALSE)</f>
        <v>5.8823529411764698E-2</v>
      </c>
    </row>
    <row r="1452" spans="1:25" x14ac:dyDescent="0.25">
      <c r="A1452" s="8">
        <f>[1]Data!A1452</f>
        <v>139600</v>
      </c>
      <c r="B1452" s="8">
        <f>[1]Data!B1452</f>
        <v>2</v>
      </c>
      <c r="C1452" s="8">
        <f>[1]Data!C1452</f>
        <v>5</v>
      </c>
      <c r="D1452" s="8">
        <f>[1]Data!D1452</f>
        <v>3</v>
      </c>
      <c r="E1452" s="8" t="str">
        <f>[1]Data!E1452</f>
        <v>NON-HS</v>
      </c>
      <c r="F1452" s="8" t="str">
        <f>[1]Data!F1452</f>
        <v>Encino</v>
      </c>
      <c r="G1452" s="8">
        <f>[1]Data!G1452</f>
        <v>0</v>
      </c>
      <c r="H1452" s="8">
        <f>[1]Data!H1452</f>
        <v>0</v>
      </c>
      <c r="I1452" s="8">
        <f>[1]Data!I1452</f>
        <v>6.9459999999999997</v>
      </c>
      <c r="J1452" s="8">
        <f>[1]Data!J1452</f>
        <v>5.7934595399999997</v>
      </c>
      <c r="K1452" s="8">
        <f>[1]Data!K1452</f>
        <v>6.7934595399999997</v>
      </c>
      <c r="L1452" s="8">
        <f>[1]Data!L1452</f>
        <v>0.152423245547576</v>
      </c>
      <c r="M1452" s="8">
        <f>[1]Data!M1452</f>
        <v>6.94588278554758</v>
      </c>
      <c r="N1452" s="8">
        <f>[1]Data!N1452</f>
        <v>2.2140221402214E-2</v>
      </c>
      <c r="O1452" s="8">
        <f>[1]Data!O1452</f>
        <v>0</v>
      </c>
      <c r="P1452" s="8">
        <f>[1]Data!P1452</f>
        <v>3.6900369003690002E-2</v>
      </c>
      <c r="Q1452" s="8">
        <f>[1]Data!Q1452</f>
        <v>0.19607843137254899</v>
      </c>
      <c r="R1452" s="8">
        <f>[1]Data!R1452</f>
        <v>5.8823529411764698E-2</v>
      </c>
      <c r="S1452" s="8">
        <f>[1]Data!S1452</f>
        <v>0</v>
      </c>
      <c r="T1452">
        <f t="shared" si="110"/>
        <v>7.9661384849142591E-2</v>
      </c>
      <c r="U1452">
        <f t="shared" si="111"/>
        <v>0</v>
      </c>
      <c r="V1452" s="4" t="str">
        <f t="shared" si="112"/>
        <v>5</v>
      </c>
      <c r="W1452" s="4" t="str">
        <f t="shared" si="113"/>
        <v>2</v>
      </c>
      <c r="X1452" s="4" t="str">
        <f t="shared" si="114"/>
        <v>5NON-HS2</v>
      </c>
      <c r="Y1452">
        <f>VLOOKUP(X1452,Sheet1!$J$5:$K$121,2,FALSE)</f>
        <v>5.8823529411764698E-2</v>
      </c>
    </row>
    <row r="1453" spans="1:25" x14ac:dyDescent="0.25">
      <c r="A1453" s="8">
        <f>[1]Data!A1453</f>
        <v>214400</v>
      </c>
      <c r="B1453" s="8">
        <f>[1]Data!B1453</f>
        <v>4</v>
      </c>
      <c r="C1453" s="8">
        <f>[1]Data!C1453</f>
        <v>5</v>
      </c>
      <c r="D1453" s="8">
        <f>[1]Data!D1453</f>
        <v>3</v>
      </c>
      <c r="E1453" s="8" t="str">
        <f>[1]Data!E1453</f>
        <v>NON-HS</v>
      </c>
      <c r="F1453" s="8" t="str">
        <f>[1]Data!F1453</f>
        <v>Mid-City West</v>
      </c>
      <c r="G1453" s="8">
        <f>[1]Data!G1453</f>
        <v>0</v>
      </c>
      <c r="H1453" s="8">
        <f>[1]Data!H1453</f>
        <v>0</v>
      </c>
      <c r="I1453" s="8">
        <f>[1]Data!I1453</f>
        <v>14.552</v>
      </c>
      <c r="J1453" s="8">
        <f>[1]Data!J1453</f>
        <v>11.191582990000001</v>
      </c>
      <c r="K1453" s="8">
        <f>[1]Data!K1453</f>
        <v>14.191582990000001</v>
      </c>
      <c r="L1453" s="8">
        <f>[1]Data!L1453</f>
        <v>0.36007328897666102</v>
      </c>
      <c r="M1453" s="8">
        <f>[1]Data!M1453</f>
        <v>14.551656278976701</v>
      </c>
      <c r="N1453" s="8">
        <f>[1]Data!N1453</f>
        <v>2.6315789473684199E-2</v>
      </c>
      <c r="O1453" s="8">
        <f>[1]Data!O1453</f>
        <v>0</v>
      </c>
      <c r="P1453" s="8">
        <f>[1]Data!P1453</f>
        <v>6.5789473684210495E-2</v>
      </c>
      <c r="Q1453" s="8">
        <f>[1]Data!Q1453</f>
        <v>0.19607843137254899</v>
      </c>
      <c r="R1453" s="8">
        <f>[1]Data!R1453</f>
        <v>5.8823529411764698E-2</v>
      </c>
      <c r="S1453" s="8">
        <f>[1]Data!S1453</f>
        <v>0</v>
      </c>
      <c r="T1453">
        <f t="shared" si="110"/>
        <v>8.3591331269349825E-2</v>
      </c>
      <c r="U1453">
        <f t="shared" si="111"/>
        <v>0</v>
      </c>
      <c r="V1453" s="4" t="str">
        <f t="shared" si="112"/>
        <v>5</v>
      </c>
      <c r="W1453" s="4" t="str">
        <f t="shared" si="113"/>
        <v>4</v>
      </c>
      <c r="X1453" s="4" t="str">
        <f t="shared" si="114"/>
        <v>5NON-HS4</v>
      </c>
      <c r="Y1453">
        <f>VLOOKUP(X1453,Sheet1!$J$5:$K$121,2,FALSE)</f>
        <v>5.8823529411764698E-2</v>
      </c>
    </row>
    <row r="1454" spans="1:25" x14ac:dyDescent="0.25">
      <c r="A1454" s="8">
        <f>[1]Data!A1454</f>
        <v>214600</v>
      </c>
      <c r="B1454" s="8">
        <f>[1]Data!B1454</f>
        <v>4</v>
      </c>
      <c r="C1454" s="8">
        <f>[1]Data!C1454</f>
        <v>5</v>
      </c>
      <c r="D1454" s="8">
        <f>[1]Data!D1454</f>
        <v>3</v>
      </c>
      <c r="E1454" s="8" t="str">
        <f>[1]Data!E1454</f>
        <v>NON-HS</v>
      </c>
      <c r="F1454" s="8" t="str">
        <f>[1]Data!F1454</f>
        <v>Mid-City West</v>
      </c>
      <c r="G1454" s="8">
        <f>[1]Data!G1454</f>
        <v>0</v>
      </c>
      <c r="H1454" s="8">
        <f>[1]Data!H1454</f>
        <v>0</v>
      </c>
      <c r="I1454" s="8">
        <f>[1]Data!I1454</f>
        <v>8</v>
      </c>
      <c r="J1454" s="8">
        <f>[1]Data!J1454</f>
        <v>0</v>
      </c>
      <c r="K1454" s="8">
        <f>[1]Data!K1454</f>
        <v>8</v>
      </c>
      <c r="L1454" s="8">
        <f>[1]Data!L1454</f>
        <v>0</v>
      </c>
      <c r="M1454" s="8">
        <f>[1]Data!M1454</f>
        <v>8</v>
      </c>
      <c r="N1454" s="8">
        <f>[1]Data!N1454</f>
        <v>2.6315789473684199E-2</v>
      </c>
      <c r="O1454" s="8">
        <f>[1]Data!O1454</f>
        <v>0</v>
      </c>
      <c r="P1454" s="8">
        <f>[1]Data!P1454</f>
        <v>6.5789473684210495E-2</v>
      </c>
      <c r="Q1454" s="8">
        <f>[1]Data!Q1454</f>
        <v>0.19607843137254899</v>
      </c>
      <c r="R1454" s="8">
        <f>[1]Data!R1454</f>
        <v>5.8823529411764698E-2</v>
      </c>
      <c r="S1454" s="8">
        <f>[1]Data!S1454</f>
        <v>0</v>
      </c>
      <c r="T1454">
        <f t="shared" si="110"/>
        <v>8.3591331269349825E-2</v>
      </c>
      <c r="U1454">
        <f t="shared" si="111"/>
        <v>0</v>
      </c>
      <c r="V1454" s="4" t="str">
        <f t="shared" si="112"/>
        <v>5</v>
      </c>
      <c r="W1454" s="4" t="str">
        <f t="shared" si="113"/>
        <v>4</v>
      </c>
      <c r="X1454" s="4" t="str">
        <f t="shared" si="114"/>
        <v>5NON-HS4</v>
      </c>
      <c r="Y1454">
        <f>VLOOKUP(X1454,Sheet1!$J$5:$K$121,2,FALSE)</f>
        <v>5.8823529411764698E-2</v>
      </c>
    </row>
    <row r="1455" spans="1:25" x14ac:dyDescent="0.25">
      <c r="A1455" s="8">
        <f>[1]Data!A1455</f>
        <v>214901</v>
      </c>
      <c r="B1455" s="8">
        <f>[1]Data!B1455</f>
        <v>4</v>
      </c>
      <c r="C1455" s="8">
        <f>[1]Data!C1455</f>
        <v>5</v>
      </c>
      <c r="D1455" s="8">
        <f>[1]Data!D1455</f>
        <v>3</v>
      </c>
      <c r="E1455" s="8" t="str">
        <f>[1]Data!E1455</f>
        <v>NON-HS</v>
      </c>
      <c r="F1455" s="8" t="str">
        <f>[1]Data!F1455</f>
        <v>Mid-City West</v>
      </c>
      <c r="G1455" s="8">
        <f>[1]Data!G1455</f>
        <v>0</v>
      </c>
      <c r="H1455" s="8">
        <f>[1]Data!H1455</f>
        <v>0</v>
      </c>
      <c r="I1455" s="8">
        <f>[1]Data!I1455</f>
        <v>0</v>
      </c>
      <c r="J1455" s="8">
        <f>[1]Data!J1455</f>
        <v>0</v>
      </c>
      <c r="K1455" s="8">
        <f>[1]Data!K1455</f>
        <v>0</v>
      </c>
      <c r="L1455" s="8">
        <f>[1]Data!L1455</f>
        <v>0</v>
      </c>
      <c r="M1455" s="8">
        <f>[1]Data!M1455</f>
        <v>0</v>
      </c>
      <c r="N1455" s="8">
        <f>[1]Data!N1455</f>
        <v>2.6315789473684199E-2</v>
      </c>
      <c r="O1455" s="8">
        <f>[1]Data!O1455</f>
        <v>0</v>
      </c>
      <c r="P1455" s="8">
        <f>[1]Data!P1455</f>
        <v>6.5789473684210495E-2</v>
      </c>
      <c r="Q1455" s="8">
        <f>[1]Data!Q1455</f>
        <v>0.19607843137254899</v>
      </c>
      <c r="R1455" s="8">
        <f>[1]Data!R1455</f>
        <v>5.8823529411764698E-2</v>
      </c>
      <c r="S1455" s="8">
        <f>[1]Data!S1455</f>
        <v>0</v>
      </c>
      <c r="T1455">
        <f t="shared" si="110"/>
        <v>8.3591331269349825E-2</v>
      </c>
      <c r="U1455">
        <f t="shared" si="111"/>
        <v>0</v>
      </c>
      <c r="V1455" s="4" t="str">
        <f t="shared" si="112"/>
        <v>5</v>
      </c>
      <c r="W1455" s="4" t="str">
        <f t="shared" si="113"/>
        <v>4</v>
      </c>
      <c r="X1455" s="4" t="str">
        <f t="shared" si="114"/>
        <v>5NON-HS4</v>
      </c>
      <c r="Y1455">
        <f>VLOOKUP(X1455,Sheet1!$J$5:$K$121,2,FALSE)</f>
        <v>5.8823529411764698E-2</v>
      </c>
    </row>
    <row r="1456" spans="1:25" x14ac:dyDescent="0.25">
      <c r="A1456" s="8">
        <f>[1]Data!A1456</f>
        <v>192001</v>
      </c>
      <c r="B1456" s="8">
        <f>[1]Data!B1456</f>
        <v>4</v>
      </c>
      <c r="C1456" s="8">
        <f>[1]Data!C1456</f>
        <v>5</v>
      </c>
      <c r="D1456" s="8">
        <f>[1]Data!D1456</f>
        <v>3</v>
      </c>
      <c r="E1456" s="8" t="str">
        <f>[1]Data!E1456</f>
        <v>NON-HS</v>
      </c>
      <c r="F1456" s="8" t="str">
        <f>[1]Data!F1456</f>
        <v>Mid-City West</v>
      </c>
      <c r="G1456" s="8">
        <f>[1]Data!G1456</f>
        <v>0</v>
      </c>
      <c r="H1456" s="8">
        <f>[1]Data!H1456</f>
        <v>0</v>
      </c>
      <c r="I1456" s="8">
        <f>[1]Data!I1456</f>
        <v>18.919</v>
      </c>
      <c r="J1456" s="8">
        <f>[1]Data!J1456</f>
        <v>11.769041339999999</v>
      </c>
      <c r="K1456" s="8">
        <f>[1]Data!K1456</f>
        <v>18.769041340000001</v>
      </c>
      <c r="L1456" s="8">
        <f>[1]Data!L1456</f>
        <v>0.15044352231597799</v>
      </c>
      <c r="M1456" s="8">
        <f>[1]Data!M1456</f>
        <v>18.919484862316001</v>
      </c>
      <c r="N1456" s="8">
        <f>[1]Data!N1456</f>
        <v>2.6315789473684199E-2</v>
      </c>
      <c r="O1456" s="8">
        <f>[1]Data!O1456</f>
        <v>0</v>
      </c>
      <c r="P1456" s="8">
        <f>[1]Data!P1456</f>
        <v>6.5789473684210495E-2</v>
      </c>
      <c r="Q1456" s="8">
        <f>[1]Data!Q1456</f>
        <v>0.19607843137254899</v>
      </c>
      <c r="R1456" s="8">
        <f>[1]Data!R1456</f>
        <v>5.8823529411764698E-2</v>
      </c>
      <c r="S1456" s="8">
        <f>[1]Data!S1456</f>
        <v>0</v>
      </c>
      <c r="T1456">
        <f t="shared" si="110"/>
        <v>8.3591331269349825E-2</v>
      </c>
      <c r="U1456">
        <f t="shared" si="111"/>
        <v>0</v>
      </c>
      <c r="V1456" s="4" t="str">
        <f t="shared" si="112"/>
        <v>5</v>
      </c>
      <c r="W1456" s="4" t="str">
        <f t="shared" si="113"/>
        <v>4</v>
      </c>
      <c r="X1456" s="4" t="str">
        <f t="shared" si="114"/>
        <v>5NON-HS4</v>
      </c>
      <c r="Y1456">
        <f>VLOOKUP(X1456,Sheet1!$J$5:$K$121,2,FALSE)</f>
        <v>5.8823529411764698E-2</v>
      </c>
    </row>
    <row r="1457" spans="1:25" x14ac:dyDescent="0.25">
      <c r="A1457" s="8">
        <f>[1]Data!A1457</f>
        <v>194401</v>
      </c>
      <c r="B1457" s="8">
        <f>[1]Data!B1457</f>
        <v>4</v>
      </c>
      <c r="C1457" s="8">
        <f>[1]Data!C1457</f>
        <v>5</v>
      </c>
      <c r="D1457" s="8">
        <f>[1]Data!D1457</f>
        <v>3</v>
      </c>
      <c r="E1457" s="8" t="str">
        <f>[1]Data!E1457</f>
        <v>NON-HS</v>
      </c>
      <c r="F1457" s="8" t="str">
        <f>[1]Data!F1457</f>
        <v>Mid-City West</v>
      </c>
      <c r="G1457" s="8">
        <f>[1]Data!G1457</f>
        <v>0</v>
      </c>
      <c r="H1457" s="8">
        <f>[1]Data!H1457</f>
        <v>0</v>
      </c>
      <c r="I1457" s="8">
        <f>[1]Data!I1457</f>
        <v>6.9260000000000002</v>
      </c>
      <c r="J1457" s="8">
        <f>[1]Data!J1457</f>
        <v>1.90487994</v>
      </c>
      <c r="K1457" s="8">
        <f>[1]Data!K1457</f>
        <v>6.9048799399999998</v>
      </c>
      <c r="L1457" s="8">
        <f>[1]Data!L1457</f>
        <v>2.0625322082585301E-2</v>
      </c>
      <c r="M1457" s="8">
        <f>[1]Data!M1457</f>
        <v>6.9255052620825897</v>
      </c>
      <c r="N1457" s="8">
        <f>[1]Data!N1457</f>
        <v>2.6315789473684199E-2</v>
      </c>
      <c r="O1457" s="8">
        <f>[1]Data!O1457</f>
        <v>0</v>
      </c>
      <c r="P1457" s="8">
        <f>[1]Data!P1457</f>
        <v>6.5789473684210495E-2</v>
      </c>
      <c r="Q1457" s="8">
        <f>[1]Data!Q1457</f>
        <v>0.19607843137254899</v>
      </c>
      <c r="R1457" s="8">
        <f>[1]Data!R1457</f>
        <v>5.8823529411764698E-2</v>
      </c>
      <c r="S1457" s="8">
        <f>[1]Data!S1457</f>
        <v>0</v>
      </c>
      <c r="T1457">
        <f t="shared" si="110"/>
        <v>8.3591331269349825E-2</v>
      </c>
      <c r="U1457">
        <f t="shared" si="111"/>
        <v>0</v>
      </c>
      <c r="V1457" s="4" t="str">
        <f t="shared" si="112"/>
        <v>5</v>
      </c>
      <c r="W1457" s="4" t="str">
        <f t="shared" si="113"/>
        <v>4</v>
      </c>
      <c r="X1457" s="4" t="str">
        <f t="shared" si="114"/>
        <v>5NON-HS4</v>
      </c>
      <c r="Y1457">
        <f>VLOOKUP(X1457,Sheet1!$J$5:$K$121,2,FALSE)</f>
        <v>5.8823529411764698E-2</v>
      </c>
    </row>
    <row r="1458" spans="1:25" x14ac:dyDescent="0.25">
      <c r="A1458" s="8">
        <f>[1]Data!A1458</f>
        <v>194402</v>
      </c>
      <c r="B1458" s="8">
        <f>[1]Data!B1458</f>
        <v>4</v>
      </c>
      <c r="C1458" s="8">
        <f>[1]Data!C1458</f>
        <v>5</v>
      </c>
      <c r="D1458" s="8">
        <f>[1]Data!D1458</f>
        <v>3</v>
      </c>
      <c r="E1458" s="8" t="str">
        <f>[1]Data!E1458</f>
        <v>NON-HS</v>
      </c>
      <c r="F1458" s="8" t="str">
        <f>[1]Data!F1458</f>
        <v>Mid-City West</v>
      </c>
      <c r="G1458" s="8">
        <f>[1]Data!G1458</f>
        <v>0</v>
      </c>
      <c r="H1458" s="8">
        <f>[1]Data!H1458</f>
        <v>0</v>
      </c>
      <c r="I1458" s="8">
        <f>[1]Data!I1458</f>
        <v>9.8510000000000009</v>
      </c>
      <c r="J1458" s="8">
        <f>[1]Data!J1458</f>
        <v>3.8097598800000001</v>
      </c>
      <c r="K1458" s="8">
        <f>[1]Data!K1458</f>
        <v>9.8097598799999997</v>
      </c>
      <c r="L1458" s="8">
        <f>[1]Data!L1458</f>
        <v>4.1250644165170602E-2</v>
      </c>
      <c r="M1458" s="8">
        <f>[1]Data!M1458</f>
        <v>9.8510105241651704</v>
      </c>
      <c r="N1458" s="8">
        <f>[1]Data!N1458</f>
        <v>2.6315789473684199E-2</v>
      </c>
      <c r="O1458" s="8">
        <f>[1]Data!O1458</f>
        <v>0</v>
      </c>
      <c r="P1458" s="8">
        <f>[1]Data!P1458</f>
        <v>6.5789473684210495E-2</v>
      </c>
      <c r="Q1458" s="8">
        <f>[1]Data!Q1458</f>
        <v>0.19607843137254899</v>
      </c>
      <c r="R1458" s="8">
        <f>[1]Data!R1458</f>
        <v>5.8823529411764698E-2</v>
      </c>
      <c r="S1458" s="8">
        <f>[1]Data!S1458</f>
        <v>0</v>
      </c>
      <c r="T1458">
        <f t="shared" si="110"/>
        <v>8.3591331269349825E-2</v>
      </c>
      <c r="U1458">
        <f t="shared" si="111"/>
        <v>0</v>
      </c>
      <c r="V1458" s="4" t="str">
        <f t="shared" si="112"/>
        <v>5</v>
      </c>
      <c r="W1458" s="4" t="str">
        <f t="shared" si="113"/>
        <v>4</v>
      </c>
      <c r="X1458" s="4" t="str">
        <f t="shared" si="114"/>
        <v>5NON-HS4</v>
      </c>
      <c r="Y1458">
        <f>VLOOKUP(X1458,Sheet1!$J$5:$K$121,2,FALSE)</f>
        <v>5.8823529411764698E-2</v>
      </c>
    </row>
    <row r="1459" spans="1:25" x14ac:dyDescent="0.25">
      <c r="A1459" s="8">
        <f>[1]Data!A1459</f>
        <v>216800</v>
      </c>
      <c r="B1459" s="8">
        <f>[1]Data!B1459</f>
        <v>4</v>
      </c>
      <c r="C1459" s="8">
        <f>[1]Data!C1459</f>
        <v>5</v>
      </c>
      <c r="D1459" s="8">
        <f>[1]Data!D1459</f>
        <v>2</v>
      </c>
      <c r="E1459" s="8" t="str">
        <f>[1]Data!E1459</f>
        <v>NON-HS</v>
      </c>
      <c r="F1459" s="8" t="str">
        <f>[1]Data!F1459</f>
        <v>Miracle Mile</v>
      </c>
      <c r="G1459" s="8">
        <f>[1]Data!G1459</f>
        <v>0</v>
      </c>
      <c r="H1459" s="8">
        <f>[1]Data!H1459</f>
        <v>1</v>
      </c>
      <c r="I1459" s="8">
        <f>[1]Data!I1459</f>
        <v>10.516999999999999</v>
      </c>
      <c r="J1459" s="8">
        <f>[1]Data!J1459</f>
        <v>3.3440765099999998</v>
      </c>
      <c r="K1459" s="8">
        <f>[1]Data!K1459</f>
        <v>10.344076510000001</v>
      </c>
      <c r="L1459" s="8">
        <f>[1]Data!L1459</f>
        <v>0.17207732822262101</v>
      </c>
      <c r="M1459" s="8">
        <f>[1]Data!M1459</f>
        <v>10.5161538382226</v>
      </c>
      <c r="N1459" s="8">
        <f>[1]Data!N1459</f>
        <v>2.6315789473684199E-2</v>
      </c>
      <c r="O1459" s="8">
        <f>[1]Data!O1459</f>
        <v>0</v>
      </c>
      <c r="P1459" s="8">
        <f>[1]Data!P1459</f>
        <v>6.5789473684210495E-2</v>
      </c>
      <c r="Q1459" s="8">
        <f>[1]Data!Q1459</f>
        <v>0.19607843137254899</v>
      </c>
      <c r="R1459" s="8">
        <f>[1]Data!R1459</f>
        <v>5.8823529411764698E-2</v>
      </c>
      <c r="S1459" s="8">
        <f>[1]Data!S1459</f>
        <v>17</v>
      </c>
      <c r="T1459">
        <f t="shared" si="110"/>
        <v>8.3591331269349825E-2</v>
      </c>
      <c r="U1459">
        <f t="shared" si="111"/>
        <v>11.962962962962965</v>
      </c>
      <c r="V1459" s="4" t="str">
        <f t="shared" si="112"/>
        <v>5</v>
      </c>
      <c r="W1459" s="4" t="str">
        <f t="shared" si="113"/>
        <v>4</v>
      </c>
      <c r="X1459" s="4" t="str">
        <f t="shared" si="114"/>
        <v>5NON-HS4</v>
      </c>
      <c r="Y1459">
        <f>VLOOKUP(X1459,Sheet1!$J$5:$K$121,2,FALSE)</f>
        <v>5.8823529411764698E-2</v>
      </c>
    </row>
    <row r="1460" spans="1:25" x14ac:dyDescent="0.25">
      <c r="A1460" s="8">
        <f>[1]Data!A1460</f>
        <v>214800</v>
      </c>
      <c r="B1460" s="8">
        <f>[1]Data!B1460</f>
        <v>4</v>
      </c>
      <c r="C1460" s="8">
        <f>[1]Data!C1460</f>
        <v>5</v>
      </c>
      <c r="D1460" s="8">
        <f>[1]Data!D1460</f>
        <v>3</v>
      </c>
      <c r="E1460" s="8" t="str">
        <f>[1]Data!E1460</f>
        <v>NON-HS</v>
      </c>
      <c r="F1460" s="8" t="str">
        <f>[1]Data!F1460</f>
        <v>Mid-City West</v>
      </c>
      <c r="G1460" s="8">
        <f>[1]Data!G1460</f>
        <v>0</v>
      </c>
      <c r="H1460" s="8">
        <f>[1]Data!H1460</f>
        <v>0</v>
      </c>
      <c r="I1460" s="8">
        <f>[1]Data!I1460</f>
        <v>6.9260000000000002</v>
      </c>
      <c r="J1460" s="8">
        <f>[1]Data!J1460</f>
        <v>1.90487994</v>
      </c>
      <c r="K1460" s="8">
        <f>[1]Data!K1460</f>
        <v>6.9048799399999998</v>
      </c>
      <c r="L1460" s="8">
        <f>[1]Data!L1460</f>
        <v>2.0625322082585301E-2</v>
      </c>
      <c r="M1460" s="8">
        <f>[1]Data!M1460</f>
        <v>6.9255052620825897</v>
      </c>
      <c r="N1460" s="8">
        <f>[1]Data!N1460</f>
        <v>2.6315789473684199E-2</v>
      </c>
      <c r="O1460" s="8">
        <f>[1]Data!O1460</f>
        <v>0</v>
      </c>
      <c r="P1460" s="8">
        <f>[1]Data!P1460</f>
        <v>6.5789473684210495E-2</v>
      </c>
      <c r="Q1460" s="8">
        <f>[1]Data!Q1460</f>
        <v>0.19607843137254899</v>
      </c>
      <c r="R1460" s="8">
        <f>[1]Data!R1460</f>
        <v>5.8823529411764698E-2</v>
      </c>
      <c r="S1460" s="8">
        <f>[1]Data!S1460</f>
        <v>0</v>
      </c>
      <c r="T1460">
        <f t="shared" si="110"/>
        <v>8.3591331269349825E-2</v>
      </c>
      <c r="U1460">
        <f t="shared" si="111"/>
        <v>0</v>
      </c>
      <c r="V1460" s="4" t="str">
        <f t="shared" si="112"/>
        <v>5</v>
      </c>
      <c r="W1460" s="4" t="str">
        <f t="shared" si="113"/>
        <v>4</v>
      </c>
      <c r="X1460" s="4" t="str">
        <f t="shared" si="114"/>
        <v>5NON-HS4</v>
      </c>
      <c r="Y1460">
        <f>VLOOKUP(X1460,Sheet1!$J$5:$K$121,2,FALSE)</f>
        <v>5.8823529411764698E-2</v>
      </c>
    </row>
    <row r="1461" spans="1:25" x14ac:dyDescent="0.25">
      <c r="A1461" s="8">
        <f>[1]Data!A1461</f>
        <v>214100</v>
      </c>
      <c r="B1461" s="8">
        <f>[1]Data!B1461</f>
        <v>4</v>
      </c>
      <c r="C1461" s="8">
        <f>[1]Data!C1461</f>
        <v>5</v>
      </c>
      <c r="D1461" s="8">
        <f>[1]Data!D1461</f>
        <v>3</v>
      </c>
      <c r="E1461" s="8" t="str">
        <f>[1]Data!E1461</f>
        <v>NON-HS</v>
      </c>
      <c r="F1461" s="8" t="str">
        <f>[1]Data!F1461</f>
        <v>Miracle Mile</v>
      </c>
      <c r="G1461" s="8">
        <f>[1]Data!G1461</f>
        <v>0</v>
      </c>
      <c r="H1461" s="8">
        <f>[1]Data!H1461</f>
        <v>0</v>
      </c>
      <c r="I1461" s="8">
        <f>[1]Data!I1461</f>
        <v>7.734</v>
      </c>
      <c r="J1461" s="8">
        <f>[1]Data!J1461</f>
        <v>3.63801211</v>
      </c>
      <c r="K1461" s="8">
        <f>[1]Data!K1461</f>
        <v>7.63801211</v>
      </c>
      <c r="L1461" s="8">
        <f>[1]Data!L1461</f>
        <v>9.5610832369838403E-2</v>
      </c>
      <c r="M1461" s="8">
        <f>[1]Data!M1461</f>
        <v>7.7336229423698404</v>
      </c>
      <c r="N1461" s="8">
        <f>[1]Data!N1461</f>
        <v>2.6315789473684199E-2</v>
      </c>
      <c r="O1461" s="8">
        <f>[1]Data!O1461</f>
        <v>0</v>
      </c>
      <c r="P1461" s="8">
        <f>[1]Data!P1461</f>
        <v>6.5789473684210495E-2</v>
      </c>
      <c r="Q1461" s="8">
        <f>[1]Data!Q1461</f>
        <v>0.19607843137254899</v>
      </c>
      <c r="R1461" s="8">
        <f>[1]Data!R1461</f>
        <v>5.8823529411764698E-2</v>
      </c>
      <c r="S1461" s="8">
        <f>[1]Data!S1461</f>
        <v>0</v>
      </c>
      <c r="T1461">
        <f t="shared" si="110"/>
        <v>8.3591331269349825E-2</v>
      </c>
      <c r="U1461">
        <f t="shared" si="111"/>
        <v>0</v>
      </c>
      <c r="V1461" s="4" t="str">
        <f t="shared" si="112"/>
        <v>5</v>
      </c>
      <c r="W1461" s="4" t="str">
        <f t="shared" si="113"/>
        <v>4</v>
      </c>
      <c r="X1461" s="4" t="str">
        <f t="shared" si="114"/>
        <v>5NON-HS4</v>
      </c>
      <c r="Y1461">
        <f>VLOOKUP(X1461,Sheet1!$J$5:$K$121,2,FALSE)</f>
        <v>5.8823529411764698E-2</v>
      </c>
    </row>
    <row r="1462" spans="1:25" x14ac:dyDescent="0.25">
      <c r="A1462" s="8">
        <f>[1]Data!A1462</f>
        <v>214000</v>
      </c>
      <c r="B1462" s="8">
        <f>[1]Data!B1462</f>
        <v>4</v>
      </c>
      <c r="C1462" s="8">
        <f>[1]Data!C1462</f>
        <v>5</v>
      </c>
      <c r="D1462" s="8">
        <f>[1]Data!D1462</f>
        <v>3</v>
      </c>
      <c r="E1462" s="8" t="str">
        <f>[1]Data!E1462</f>
        <v>NON-HS</v>
      </c>
      <c r="F1462" s="8" t="str">
        <f>[1]Data!F1462</f>
        <v>Mid-City West</v>
      </c>
      <c r="G1462" s="8">
        <f>[1]Data!G1462</f>
        <v>0</v>
      </c>
      <c r="H1462" s="8">
        <f>[1]Data!H1462</f>
        <v>0</v>
      </c>
      <c r="I1462" s="8">
        <f>[1]Data!I1462</f>
        <v>11.776999999999999</v>
      </c>
      <c r="J1462" s="8">
        <f>[1]Data!J1462</f>
        <v>5.7146398200000004</v>
      </c>
      <c r="K1462" s="8">
        <f>[1]Data!K1462</f>
        <v>11.71463982</v>
      </c>
      <c r="L1462" s="8">
        <f>[1]Data!L1462</f>
        <v>6.18759662477558E-2</v>
      </c>
      <c r="M1462" s="8">
        <f>[1]Data!M1462</f>
        <v>11.776515786247799</v>
      </c>
      <c r="N1462" s="8">
        <f>[1]Data!N1462</f>
        <v>2.6315789473684199E-2</v>
      </c>
      <c r="O1462" s="8">
        <f>[1]Data!O1462</f>
        <v>0</v>
      </c>
      <c r="P1462" s="8">
        <f>[1]Data!P1462</f>
        <v>6.5789473684210495E-2</v>
      </c>
      <c r="Q1462" s="8">
        <f>[1]Data!Q1462</f>
        <v>0.19607843137254899</v>
      </c>
      <c r="R1462" s="8">
        <f>[1]Data!R1462</f>
        <v>5.8823529411764698E-2</v>
      </c>
      <c r="S1462" s="8">
        <f>[1]Data!S1462</f>
        <v>0</v>
      </c>
      <c r="T1462">
        <f t="shared" si="110"/>
        <v>8.3591331269349825E-2</v>
      </c>
      <c r="U1462">
        <f t="shared" si="111"/>
        <v>0</v>
      </c>
      <c r="V1462" s="4" t="str">
        <f t="shared" si="112"/>
        <v>5</v>
      </c>
      <c r="W1462" s="4" t="str">
        <f t="shared" si="113"/>
        <v>4</v>
      </c>
      <c r="X1462" s="4" t="str">
        <f t="shared" si="114"/>
        <v>5NON-HS4</v>
      </c>
      <c r="Y1462">
        <f>VLOOKUP(X1462,Sheet1!$J$5:$K$121,2,FALSE)</f>
        <v>5.8823529411764698E-2</v>
      </c>
    </row>
    <row r="1463" spans="1:25" x14ac:dyDescent="0.25">
      <c r="A1463" s="8">
        <f>[1]Data!A1463</f>
        <v>216401</v>
      </c>
      <c r="B1463" s="8">
        <f>[1]Data!B1463</f>
        <v>5</v>
      </c>
      <c r="C1463" s="8">
        <f>[1]Data!C1463</f>
        <v>5</v>
      </c>
      <c r="D1463" s="8">
        <f>[1]Data!D1463</f>
        <v>3</v>
      </c>
      <c r="E1463" s="8" t="str">
        <f>[1]Data!E1463</f>
        <v>NON-HS</v>
      </c>
      <c r="F1463" s="8" t="str">
        <f>[1]Data!F1463</f>
        <v>Palms</v>
      </c>
      <c r="G1463" s="8">
        <f>[1]Data!G1463</f>
        <v>0</v>
      </c>
      <c r="H1463" s="8">
        <f>[1]Data!H1463</f>
        <v>0</v>
      </c>
      <c r="I1463" s="8">
        <f>[1]Data!I1463</f>
        <v>7.6289999999999996</v>
      </c>
      <c r="J1463" s="8">
        <f>[1]Data!J1463</f>
        <v>3.5861715599999999</v>
      </c>
      <c r="K1463" s="8">
        <f>[1]Data!K1463</f>
        <v>7.5861715600000004</v>
      </c>
      <c r="L1463" s="8">
        <f>[1]Data!L1463</f>
        <v>4.2117253842010802E-2</v>
      </c>
      <c r="M1463" s="8">
        <f>[1]Data!M1463</f>
        <v>7.6282888138420102</v>
      </c>
      <c r="N1463" s="8">
        <f>[1]Data!N1463</f>
        <v>3.2258064516128997E-2</v>
      </c>
      <c r="O1463" s="8">
        <f>[1]Data!O1463</f>
        <v>0</v>
      </c>
      <c r="P1463" s="8">
        <f>[1]Data!P1463</f>
        <v>0.33333333333333298</v>
      </c>
      <c r="Q1463" s="8">
        <f>[1]Data!Q1463</f>
        <v>0.60784313725490202</v>
      </c>
      <c r="R1463" s="8">
        <f>[1]Data!R1463</f>
        <v>5.8823529411764698E-2</v>
      </c>
      <c r="S1463" s="8">
        <f>[1]Data!S1463</f>
        <v>0</v>
      </c>
      <c r="T1463">
        <f t="shared" si="110"/>
        <v>8.918406072106258E-2</v>
      </c>
      <c r="U1463">
        <f t="shared" si="111"/>
        <v>0</v>
      </c>
      <c r="V1463" s="4" t="str">
        <f t="shared" si="112"/>
        <v>5</v>
      </c>
      <c r="W1463" s="4" t="str">
        <f t="shared" si="113"/>
        <v>5</v>
      </c>
      <c r="X1463" s="4" t="str">
        <f t="shared" si="114"/>
        <v>5NON-HS5</v>
      </c>
      <c r="Y1463">
        <f>VLOOKUP(X1463,Sheet1!$J$5:$K$121,2,FALSE)</f>
        <v>5.8823529411764698E-2</v>
      </c>
    </row>
    <row r="1464" spans="1:25" x14ac:dyDescent="0.25">
      <c r="A1464" s="8">
        <f>[1]Data!A1464</f>
        <v>216402</v>
      </c>
      <c r="B1464" s="8">
        <f>[1]Data!B1464</f>
        <v>5</v>
      </c>
      <c r="C1464" s="8">
        <f>[1]Data!C1464</f>
        <v>5</v>
      </c>
      <c r="D1464" s="8">
        <f>[1]Data!D1464</f>
        <v>3</v>
      </c>
      <c r="E1464" s="8" t="str">
        <f>[1]Data!E1464</f>
        <v>NON-HS</v>
      </c>
      <c r="F1464" s="8" t="str">
        <f>[1]Data!F1464</f>
        <v>Palms</v>
      </c>
      <c r="G1464" s="8">
        <f>[1]Data!G1464</f>
        <v>0</v>
      </c>
      <c r="H1464" s="8">
        <f>[1]Data!H1464</f>
        <v>0</v>
      </c>
      <c r="I1464" s="8">
        <f>[1]Data!I1464</f>
        <v>1</v>
      </c>
      <c r="J1464" s="8">
        <f>[1]Data!J1464</f>
        <v>0</v>
      </c>
      <c r="K1464" s="8">
        <f>[1]Data!K1464</f>
        <v>1</v>
      </c>
      <c r="L1464" s="8">
        <f>[1]Data!L1464</f>
        <v>0</v>
      </c>
      <c r="M1464" s="8">
        <f>[1]Data!M1464</f>
        <v>1</v>
      </c>
      <c r="N1464" s="8">
        <f>[1]Data!N1464</f>
        <v>3.2258064516128997E-2</v>
      </c>
      <c r="O1464" s="8">
        <f>[1]Data!O1464</f>
        <v>0</v>
      </c>
      <c r="P1464" s="8">
        <f>[1]Data!P1464</f>
        <v>0.33333333333333298</v>
      </c>
      <c r="Q1464" s="8">
        <f>[1]Data!Q1464</f>
        <v>0.60784313725490202</v>
      </c>
      <c r="R1464" s="8">
        <f>[1]Data!R1464</f>
        <v>5.8823529411764698E-2</v>
      </c>
      <c r="S1464" s="8">
        <f>[1]Data!S1464</f>
        <v>0</v>
      </c>
      <c r="T1464">
        <f t="shared" si="110"/>
        <v>8.918406072106258E-2</v>
      </c>
      <c r="U1464">
        <f t="shared" si="111"/>
        <v>0</v>
      </c>
      <c r="V1464" s="4" t="str">
        <f t="shared" si="112"/>
        <v>5</v>
      </c>
      <c r="W1464" s="4" t="str">
        <f t="shared" si="113"/>
        <v>5</v>
      </c>
      <c r="X1464" s="4" t="str">
        <f t="shared" si="114"/>
        <v>5NON-HS5</v>
      </c>
      <c r="Y1464">
        <f>VLOOKUP(X1464,Sheet1!$J$5:$K$121,2,FALSE)</f>
        <v>5.8823529411764698E-2</v>
      </c>
    </row>
    <row r="1465" spans="1:25" x14ac:dyDescent="0.25">
      <c r="A1465" s="8">
        <f>[1]Data!A1465</f>
        <v>217001</v>
      </c>
      <c r="B1465" s="8">
        <f>[1]Data!B1465</f>
        <v>5</v>
      </c>
      <c r="C1465" s="8">
        <f>[1]Data!C1465</f>
        <v>5</v>
      </c>
      <c r="D1465" s="8">
        <f>[1]Data!D1465</f>
        <v>2</v>
      </c>
      <c r="E1465" s="8" t="str">
        <f>[1]Data!E1465</f>
        <v>NON-HS</v>
      </c>
      <c r="F1465" s="8" t="str">
        <f>[1]Data!F1465</f>
        <v>Palms</v>
      </c>
      <c r="G1465" s="8">
        <f>[1]Data!G1465</f>
        <v>0</v>
      </c>
      <c r="H1465" s="8">
        <f>[1]Data!H1465</f>
        <v>0</v>
      </c>
      <c r="I1465" s="8">
        <f>[1]Data!I1465</f>
        <v>3.9260000000000002</v>
      </c>
      <c r="J1465" s="8">
        <f>[1]Data!J1465</f>
        <v>1.90487994</v>
      </c>
      <c r="K1465" s="8">
        <f>[1]Data!K1465</f>
        <v>3.9048799399999998</v>
      </c>
      <c r="L1465" s="8">
        <f>[1]Data!L1465</f>
        <v>2.0625322082585301E-2</v>
      </c>
      <c r="M1465" s="8">
        <f>[1]Data!M1465</f>
        <v>3.9255052620825901</v>
      </c>
      <c r="N1465" s="8">
        <f>[1]Data!N1465</f>
        <v>3.2258064516128997E-2</v>
      </c>
      <c r="O1465" s="8">
        <f>[1]Data!O1465</f>
        <v>0</v>
      </c>
      <c r="P1465" s="8">
        <f>[1]Data!P1465</f>
        <v>0.33333333333333298</v>
      </c>
      <c r="Q1465" s="8">
        <f>[1]Data!Q1465</f>
        <v>0.60784313725490202</v>
      </c>
      <c r="R1465" s="8">
        <f>[1]Data!R1465</f>
        <v>5.8823529411764698E-2</v>
      </c>
      <c r="S1465" s="8">
        <f>[1]Data!S1465</f>
        <v>0</v>
      </c>
      <c r="T1465">
        <f t="shared" si="110"/>
        <v>8.918406072106258E-2</v>
      </c>
      <c r="U1465">
        <f t="shared" si="111"/>
        <v>0</v>
      </c>
      <c r="V1465" s="4" t="str">
        <f t="shared" si="112"/>
        <v>5</v>
      </c>
      <c r="W1465" s="4" t="str">
        <f t="shared" si="113"/>
        <v>5</v>
      </c>
      <c r="X1465" s="4" t="str">
        <f t="shared" si="114"/>
        <v>5NON-HS5</v>
      </c>
      <c r="Y1465">
        <f>VLOOKUP(X1465,Sheet1!$J$5:$K$121,2,FALSE)</f>
        <v>5.8823529411764698E-2</v>
      </c>
    </row>
    <row r="1466" spans="1:25" x14ac:dyDescent="0.25">
      <c r="A1466" s="8">
        <f>[1]Data!A1466</f>
        <v>267901</v>
      </c>
      <c r="B1466" s="8">
        <f>[1]Data!B1466</f>
        <v>5</v>
      </c>
      <c r="C1466" s="8">
        <f>[1]Data!C1466</f>
        <v>5</v>
      </c>
      <c r="D1466" s="8">
        <f>[1]Data!D1466</f>
        <v>3</v>
      </c>
      <c r="E1466" s="8" t="str">
        <f>[1]Data!E1466</f>
        <v>NON-HS</v>
      </c>
      <c r="F1466" s="8" t="str">
        <f>[1]Data!F1466</f>
        <v>Westside</v>
      </c>
      <c r="G1466" s="8">
        <f>[1]Data!G1466</f>
        <v>0</v>
      </c>
      <c r="H1466" s="8">
        <f>[1]Data!H1466</f>
        <v>0</v>
      </c>
      <c r="I1466" s="8">
        <f>[1]Data!I1466</f>
        <v>0</v>
      </c>
      <c r="J1466" s="8">
        <f>[1]Data!J1466</f>
        <v>0</v>
      </c>
      <c r="K1466" s="8">
        <f>[1]Data!K1466</f>
        <v>0</v>
      </c>
      <c r="L1466" s="8">
        <f>[1]Data!L1466</f>
        <v>0</v>
      </c>
      <c r="M1466" s="8">
        <f>[1]Data!M1466</f>
        <v>0</v>
      </c>
      <c r="N1466" s="8">
        <f>[1]Data!N1466</f>
        <v>3.2258064516128997E-2</v>
      </c>
      <c r="O1466" s="8">
        <f>[1]Data!O1466</f>
        <v>0</v>
      </c>
      <c r="P1466" s="8">
        <f>[1]Data!P1466</f>
        <v>0.33333333333333298</v>
      </c>
      <c r="Q1466" s="8">
        <f>[1]Data!Q1466</f>
        <v>0.60784313725490202</v>
      </c>
      <c r="R1466" s="8">
        <f>[1]Data!R1466</f>
        <v>5.8823529411764698E-2</v>
      </c>
      <c r="S1466" s="8">
        <f>[1]Data!S1466</f>
        <v>0</v>
      </c>
      <c r="T1466">
        <f t="shared" si="110"/>
        <v>8.918406072106258E-2</v>
      </c>
      <c r="U1466">
        <f t="shared" si="111"/>
        <v>0</v>
      </c>
      <c r="V1466" s="4" t="str">
        <f t="shared" si="112"/>
        <v>5</v>
      </c>
      <c r="W1466" s="4" t="str">
        <f t="shared" si="113"/>
        <v>5</v>
      </c>
      <c r="X1466" s="4" t="str">
        <f t="shared" si="114"/>
        <v>5NON-HS5</v>
      </c>
      <c r="Y1466">
        <f>VLOOKUP(X1466,Sheet1!$J$5:$K$121,2,FALSE)</f>
        <v>5.8823529411764698E-2</v>
      </c>
    </row>
    <row r="1467" spans="1:25" x14ac:dyDescent="0.25">
      <c r="A1467" s="8">
        <f>[1]Data!A1467</f>
        <v>265303</v>
      </c>
      <c r="B1467" s="8">
        <f>[1]Data!B1467</f>
        <v>5</v>
      </c>
      <c r="C1467" s="8">
        <f>[1]Data!C1467</f>
        <v>5</v>
      </c>
      <c r="D1467" s="8">
        <f>[1]Data!D1467</f>
        <v>3</v>
      </c>
      <c r="E1467" s="8" t="str">
        <f>[1]Data!E1467</f>
        <v>NON-HS</v>
      </c>
      <c r="F1467" s="8" t="str">
        <f>[1]Data!F1467</f>
        <v>Westwood</v>
      </c>
      <c r="G1467" s="8">
        <f>[1]Data!G1467</f>
        <v>0</v>
      </c>
      <c r="H1467" s="8">
        <f>[1]Data!H1467</f>
        <v>0</v>
      </c>
      <c r="I1467" s="8">
        <f>[1]Data!I1467</f>
        <v>0</v>
      </c>
      <c r="J1467" s="8">
        <f>[1]Data!J1467</f>
        <v>0</v>
      </c>
      <c r="K1467" s="8">
        <f>[1]Data!K1467</f>
        <v>0</v>
      </c>
      <c r="L1467" s="8">
        <f>[1]Data!L1467</f>
        <v>0</v>
      </c>
      <c r="M1467" s="8">
        <f>[1]Data!M1467</f>
        <v>0</v>
      </c>
      <c r="N1467" s="8">
        <f>[1]Data!N1467</f>
        <v>3.2258064516128997E-2</v>
      </c>
      <c r="O1467" s="8">
        <f>[1]Data!O1467</f>
        <v>0</v>
      </c>
      <c r="P1467" s="8">
        <f>[1]Data!P1467</f>
        <v>0.33333333333333298</v>
      </c>
      <c r="Q1467" s="8">
        <f>[1]Data!Q1467</f>
        <v>0.60784313725490202</v>
      </c>
      <c r="R1467" s="8">
        <f>[1]Data!R1467</f>
        <v>5.8823529411764698E-2</v>
      </c>
      <c r="S1467" s="8">
        <f>[1]Data!S1467</f>
        <v>0</v>
      </c>
      <c r="T1467">
        <f t="shared" si="110"/>
        <v>8.918406072106258E-2</v>
      </c>
      <c r="U1467">
        <f t="shared" si="111"/>
        <v>0</v>
      </c>
      <c r="V1467" s="4" t="str">
        <f t="shared" si="112"/>
        <v>5</v>
      </c>
      <c r="W1467" s="4" t="str">
        <f t="shared" si="113"/>
        <v>5</v>
      </c>
      <c r="X1467" s="4" t="str">
        <f t="shared" si="114"/>
        <v>5NON-HS5</v>
      </c>
      <c r="Y1467">
        <f>VLOOKUP(X1467,Sheet1!$J$5:$K$121,2,FALSE)</f>
        <v>5.8823529411764698E-2</v>
      </c>
    </row>
    <row r="1468" spans="1:25" x14ac:dyDescent="0.25">
      <c r="A1468" s="8">
        <f>[1]Data!A1468</f>
        <v>265700</v>
      </c>
      <c r="B1468" s="8">
        <f>[1]Data!B1468</f>
        <v>5</v>
      </c>
      <c r="C1468" s="8">
        <f>[1]Data!C1468</f>
        <v>5</v>
      </c>
      <c r="D1468" s="8">
        <f>[1]Data!D1468</f>
        <v>3</v>
      </c>
      <c r="E1468" s="8" t="str">
        <f>[1]Data!E1468</f>
        <v>NON-HS</v>
      </c>
      <c r="F1468" s="8" t="str">
        <f>[1]Data!F1468</f>
        <v>Westwood</v>
      </c>
      <c r="G1468" s="8">
        <f>[1]Data!G1468</f>
        <v>0</v>
      </c>
      <c r="H1468" s="8">
        <f>[1]Data!H1468</f>
        <v>0</v>
      </c>
      <c r="I1468" s="8">
        <f>[1]Data!I1468</f>
        <v>5</v>
      </c>
      <c r="J1468" s="8">
        <f>[1]Data!J1468</f>
        <v>0</v>
      </c>
      <c r="K1468" s="8">
        <f>[1]Data!K1468</f>
        <v>5</v>
      </c>
      <c r="L1468" s="8">
        <f>[1]Data!L1468</f>
        <v>0</v>
      </c>
      <c r="M1468" s="8">
        <f>[1]Data!M1468</f>
        <v>5</v>
      </c>
      <c r="N1468" s="8">
        <f>[1]Data!N1468</f>
        <v>3.2258064516128997E-2</v>
      </c>
      <c r="O1468" s="8">
        <f>[1]Data!O1468</f>
        <v>0</v>
      </c>
      <c r="P1468" s="8">
        <f>[1]Data!P1468</f>
        <v>0.33333333333333298</v>
      </c>
      <c r="Q1468" s="8">
        <f>[1]Data!Q1468</f>
        <v>0.60784313725490202</v>
      </c>
      <c r="R1468" s="8">
        <f>[1]Data!R1468</f>
        <v>5.8823529411764698E-2</v>
      </c>
      <c r="S1468" s="8">
        <f>[1]Data!S1468</f>
        <v>0</v>
      </c>
      <c r="T1468">
        <f t="shared" si="110"/>
        <v>8.918406072106258E-2</v>
      </c>
      <c r="U1468">
        <f t="shared" si="111"/>
        <v>0</v>
      </c>
      <c r="V1468" s="4" t="str">
        <f t="shared" si="112"/>
        <v>5</v>
      </c>
      <c r="W1468" s="4" t="str">
        <f t="shared" si="113"/>
        <v>5</v>
      </c>
      <c r="X1468" s="4" t="str">
        <f t="shared" si="114"/>
        <v>5NON-HS5</v>
      </c>
      <c r="Y1468">
        <f>VLOOKUP(X1468,Sheet1!$J$5:$K$121,2,FALSE)</f>
        <v>5.8823529411764698E-2</v>
      </c>
    </row>
    <row r="1469" spans="1:25" x14ac:dyDescent="0.25">
      <c r="A1469" s="8">
        <f>[1]Data!A1469</f>
        <v>261102</v>
      </c>
      <c r="B1469" s="8">
        <f>[1]Data!B1469</f>
        <v>5</v>
      </c>
      <c r="C1469" s="8">
        <f>[1]Data!C1469</f>
        <v>5</v>
      </c>
      <c r="D1469" s="8">
        <f>[1]Data!D1469</f>
        <v>3</v>
      </c>
      <c r="E1469" s="8" t="str">
        <f>[1]Data!E1469</f>
        <v>NON-HS</v>
      </c>
      <c r="F1469" s="8" t="str">
        <f>[1]Data!F1469</f>
        <v>Bel Air-Beverly Crest</v>
      </c>
      <c r="G1469" s="8">
        <f>[1]Data!G1469</f>
        <v>0</v>
      </c>
      <c r="H1469" s="8">
        <f>[1]Data!H1469</f>
        <v>0</v>
      </c>
      <c r="I1469" s="8">
        <f>[1]Data!I1469</f>
        <v>5.9029999999999996</v>
      </c>
      <c r="J1469" s="8">
        <f>[1]Data!J1469</f>
        <v>3.7168318299999998</v>
      </c>
      <c r="K1469" s="8">
        <f>[1]Data!K1469</f>
        <v>5.7168318300000003</v>
      </c>
      <c r="L1469" s="8">
        <f>[1]Data!L1469</f>
        <v>0.18615811166965901</v>
      </c>
      <c r="M1469" s="8">
        <f>[1]Data!M1469</f>
        <v>5.9029899416696603</v>
      </c>
      <c r="N1469" s="8">
        <f>[1]Data!N1469</f>
        <v>3.2258064516128997E-2</v>
      </c>
      <c r="O1469" s="8">
        <f>[1]Data!O1469</f>
        <v>0</v>
      </c>
      <c r="P1469" s="8">
        <f>[1]Data!P1469</f>
        <v>0.33333333333333298</v>
      </c>
      <c r="Q1469" s="8">
        <f>[1]Data!Q1469</f>
        <v>0.60784313725490202</v>
      </c>
      <c r="R1469" s="8">
        <f>[1]Data!R1469</f>
        <v>5.8823529411764698E-2</v>
      </c>
      <c r="S1469" s="8">
        <f>[1]Data!S1469</f>
        <v>0</v>
      </c>
      <c r="T1469">
        <f t="shared" si="110"/>
        <v>8.918406072106258E-2</v>
      </c>
      <c r="U1469">
        <f t="shared" si="111"/>
        <v>0</v>
      </c>
      <c r="V1469" s="4" t="str">
        <f t="shared" si="112"/>
        <v>5</v>
      </c>
      <c r="W1469" s="4" t="str">
        <f t="shared" si="113"/>
        <v>5</v>
      </c>
      <c r="X1469" s="4" t="str">
        <f t="shared" si="114"/>
        <v>5NON-HS5</v>
      </c>
      <c r="Y1469">
        <f>VLOOKUP(X1469,Sheet1!$J$5:$K$121,2,FALSE)</f>
        <v>5.8823529411764698E-2</v>
      </c>
    </row>
    <row r="1470" spans="1:25" x14ac:dyDescent="0.25">
      <c r="A1470" s="8">
        <f>[1]Data!A1470</f>
        <v>261200</v>
      </c>
      <c r="B1470" s="8">
        <f>[1]Data!B1470</f>
        <v>5</v>
      </c>
      <c r="C1470" s="8">
        <f>[1]Data!C1470</f>
        <v>5</v>
      </c>
      <c r="D1470" s="8">
        <f>[1]Data!D1470</f>
        <v>3</v>
      </c>
      <c r="E1470" s="8" t="str">
        <f>[1]Data!E1470</f>
        <v>NON-HS</v>
      </c>
      <c r="F1470" s="8" t="str">
        <f>[1]Data!F1470</f>
        <v>Bel Air-Beverly Crest</v>
      </c>
      <c r="G1470" s="8">
        <f>[1]Data!G1470</f>
        <v>0</v>
      </c>
      <c r="H1470" s="8">
        <f>[1]Data!H1470</f>
        <v>1</v>
      </c>
      <c r="I1470" s="8">
        <f>[1]Data!I1470</f>
        <v>2.0950000000000002</v>
      </c>
      <c r="J1470" s="8">
        <f>[1]Data!J1470</f>
        <v>1.9836996600000001</v>
      </c>
      <c r="K1470" s="8">
        <f>[1]Data!K1470</f>
        <v>1.9836996600000001</v>
      </c>
      <c r="L1470" s="8">
        <f>[1]Data!L1470</f>
        <v>0.11117260138240601</v>
      </c>
      <c r="M1470" s="8">
        <f>[1]Data!M1470</f>
        <v>2.09487226138241</v>
      </c>
      <c r="N1470" s="8">
        <f>[1]Data!N1470</f>
        <v>3.2258064516128997E-2</v>
      </c>
      <c r="O1470" s="8">
        <f>[1]Data!O1470</f>
        <v>0</v>
      </c>
      <c r="P1470" s="8">
        <f>[1]Data!P1470</f>
        <v>0.33333333333333298</v>
      </c>
      <c r="Q1470" s="8">
        <f>[1]Data!Q1470</f>
        <v>0.60784313725490202</v>
      </c>
      <c r="R1470" s="8">
        <f>[1]Data!R1470</f>
        <v>5.8823529411764698E-2</v>
      </c>
      <c r="S1470" s="8">
        <f>[1]Data!S1470</f>
        <v>17</v>
      </c>
      <c r="T1470">
        <f t="shared" si="110"/>
        <v>8.918406072106258E-2</v>
      </c>
      <c r="U1470">
        <f t="shared" si="111"/>
        <v>11.212765957446813</v>
      </c>
      <c r="V1470" s="4" t="str">
        <f t="shared" si="112"/>
        <v>5</v>
      </c>
      <c r="W1470" s="4" t="str">
        <f t="shared" si="113"/>
        <v>5</v>
      </c>
      <c r="X1470" s="4" t="str">
        <f t="shared" si="114"/>
        <v>5NON-HS5</v>
      </c>
      <c r="Y1470">
        <f>VLOOKUP(X1470,Sheet1!$J$5:$K$121,2,FALSE)</f>
        <v>5.8823529411764698E-2</v>
      </c>
    </row>
    <row r="1471" spans="1:25" x14ac:dyDescent="0.25">
      <c r="A1471" s="8">
        <f>[1]Data!A1471</f>
        <v>262100</v>
      </c>
      <c r="B1471" s="8">
        <f>[1]Data!B1471</f>
        <v>5</v>
      </c>
      <c r="C1471" s="8">
        <f>[1]Data!C1471</f>
        <v>5</v>
      </c>
      <c r="D1471" s="8">
        <f>[1]Data!D1471</f>
        <v>3</v>
      </c>
      <c r="E1471" s="8" t="str">
        <f>[1]Data!E1471</f>
        <v>NON-HS</v>
      </c>
      <c r="F1471" s="8" t="str">
        <f>[1]Data!F1471</f>
        <v>Bel Air-Beverly Crest</v>
      </c>
      <c r="G1471" s="8">
        <f>[1]Data!G1471</f>
        <v>0</v>
      </c>
      <c r="H1471" s="8">
        <f>[1]Data!H1471</f>
        <v>0</v>
      </c>
      <c r="I1471" s="8">
        <f>[1]Data!I1471</f>
        <v>0</v>
      </c>
      <c r="J1471" s="8">
        <f>[1]Data!J1471</f>
        <v>0</v>
      </c>
      <c r="K1471" s="8">
        <f>[1]Data!K1471</f>
        <v>0</v>
      </c>
      <c r="L1471" s="8">
        <f>[1]Data!L1471</f>
        <v>0</v>
      </c>
      <c r="M1471" s="8">
        <f>[1]Data!M1471</f>
        <v>0</v>
      </c>
      <c r="N1471" s="8">
        <f>[1]Data!N1471</f>
        <v>3.2258064516128997E-2</v>
      </c>
      <c r="O1471" s="8">
        <f>[1]Data!O1471</f>
        <v>0</v>
      </c>
      <c r="P1471" s="8">
        <f>[1]Data!P1471</f>
        <v>0.33333333333333298</v>
      </c>
      <c r="Q1471" s="8">
        <f>[1]Data!Q1471</f>
        <v>0.60784313725490202</v>
      </c>
      <c r="R1471" s="8">
        <f>[1]Data!R1471</f>
        <v>5.8823529411764698E-2</v>
      </c>
      <c r="S1471" s="8">
        <f>[1]Data!S1471</f>
        <v>0</v>
      </c>
      <c r="T1471">
        <f t="shared" si="110"/>
        <v>8.918406072106258E-2</v>
      </c>
      <c r="U1471">
        <f t="shared" si="111"/>
        <v>0</v>
      </c>
      <c r="V1471" s="4" t="str">
        <f t="shared" si="112"/>
        <v>5</v>
      </c>
      <c r="W1471" s="4" t="str">
        <f t="shared" si="113"/>
        <v>5</v>
      </c>
      <c r="X1471" s="4" t="str">
        <f t="shared" si="114"/>
        <v>5NON-HS5</v>
      </c>
      <c r="Y1471">
        <f>VLOOKUP(X1471,Sheet1!$J$5:$K$121,2,FALSE)</f>
        <v>5.8823529411764698E-2</v>
      </c>
    </row>
    <row r="1472" spans="1:25" x14ac:dyDescent="0.25">
      <c r="A1472" s="8">
        <f>[1]Data!A1472</f>
        <v>265305</v>
      </c>
      <c r="B1472" s="8">
        <f>[1]Data!B1472</f>
        <v>5</v>
      </c>
      <c r="C1472" s="8">
        <f>[1]Data!C1472</f>
        <v>5</v>
      </c>
      <c r="D1472" s="8">
        <f>[1]Data!D1472</f>
        <v>3</v>
      </c>
      <c r="E1472" s="8" t="str">
        <f>[1]Data!E1472</f>
        <v>NON-HS</v>
      </c>
      <c r="F1472" s="8" t="str">
        <f>[1]Data!F1472</f>
        <v>Westwood</v>
      </c>
      <c r="G1472" s="8">
        <f>[1]Data!G1472</f>
        <v>0</v>
      </c>
      <c r="H1472" s="8">
        <f>[1]Data!H1472</f>
        <v>0</v>
      </c>
      <c r="I1472" s="8">
        <f>[1]Data!I1472</f>
        <v>11.116</v>
      </c>
      <c r="J1472" s="8">
        <f>[1]Data!J1472</f>
        <v>5.87227926</v>
      </c>
      <c r="K1472" s="8">
        <f>[1]Data!K1472</f>
        <v>10.872279259999999</v>
      </c>
      <c r="L1472" s="8">
        <f>[1]Data!L1472</f>
        <v>0.24297052484739701</v>
      </c>
      <c r="M1472" s="8">
        <f>[1]Data!M1472</f>
        <v>11.1152497848474</v>
      </c>
      <c r="N1472" s="8">
        <f>[1]Data!N1472</f>
        <v>3.2258064516128997E-2</v>
      </c>
      <c r="O1472" s="8">
        <f>[1]Data!O1472</f>
        <v>0</v>
      </c>
      <c r="P1472" s="8">
        <f>[1]Data!P1472</f>
        <v>0.33333333333333298</v>
      </c>
      <c r="Q1472" s="8">
        <f>[1]Data!Q1472</f>
        <v>0.60784313725490202</v>
      </c>
      <c r="R1472" s="8">
        <f>[1]Data!R1472</f>
        <v>5.8823529411764698E-2</v>
      </c>
      <c r="S1472" s="8">
        <f>[1]Data!S1472</f>
        <v>0</v>
      </c>
      <c r="T1472">
        <f t="shared" si="110"/>
        <v>8.918406072106258E-2</v>
      </c>
      <c r="U1472">
        <f t="shared" si="111"/>
        <v>0</v>
      </c>
      <c r="V1472" s="4" t="str">
        <f t="shared" si="112"/>
        <v>5</v>
      </c>
      <c r="W1472" s="4" t="str">
        <f t="shared" si="113"/>
        <v>5</v>
      </c>
      <c r="X1472" s="4" t="str">
        <f t="shared" si="114"/>
        <v>5NON-HS5</v>
      </c>
      <c r="Y1472">
        <f>VLOOKUP(X1472,Sheet1!$J$5:$K$121,2,FALSE)</f>
        <v>5.8823529411764698E-2</v>
      </c>
    </row>
    <row r="1473" spans="1:25" x14ac:dyDescent="0.25">
      <c r="A1473" s="8">
        <f>[1]Data!A1473</f>
        <v>265304</v>
      </c>
      <c r="B1473" s="8">
        <f>[1]Data!B1473</f>
        <v>5</v>
      </c>
      <c r="C1473" s="8">
        <f>[1]Data!C1473</f>
        <v>5</v>
      </c>
      <c r="D1473" s="8">
        <f>[1]Data!D1473</f>
        <v>3</v>
      </c>
      <c r="E1473" s="8" t="str">
        <f>[1]Data!E1473</f>
        <v>NON-HS</v>
      </c>
      <c r="F1473" s="8" t="str">
        <f>[1]Data!F1473</f>
        <v>Westwood</v>
      </c>
      <c r="G1473" s="8">
        <f>[1]Data!G1473</f>
        <v>0</v>
      </c>
      <c r="H1473" s="8">
        <f>[1]Data!H1473</f>
        <v>0</v>
      </c>
      <c r="I1473" s="8">
        <f>[1]Data!I1473</f>
        <v>2.9260000000000002</v>
      </c>
      <c r="J1473" s="8">
        <f>[1]Data!J1473</f>
        <v>1.90487994</v>
      </c>
      <c r="K1473" s="8">
        <f>[1]Data!K1473</f>
        <v>2.9048799399999998</v>
      </c>
      <c r="L1473" s="8">
        <f>[1]Data!L1473</f>
        <v>2.0625322082585301E-2</v>
      </c>
      <c r="M1473" s="8">
        <f>[1]Data!M1473</f>
        <v>2.9255052620825901</v>
      </c>
      <c r="N1473" s="8">
        <f>[1]Data!N1473</f>
        <v>3.2258064516128997E-2</v>
      </c>
      <c r="O1473" s="8">
        <f>[1]Data!O1473</f>
        <v>0</v>
      </c>
      <c r="P1473" s="8">
        <f>[1]Data!P1473</f>
        <v>0.33333333333333298</v>
      </c>
      <c r="Q1473" s="8">
        <f>[1]Data!Q1473</f>
        <v>0.60784313725490202</v>
      </c>
      <c r="R1473" s="8">
        <f>[1]Data!R1473</f>
        <v>5.8823529411764698E-2</v>
      </c>
      <c r="S1473" s="8">
        <f>[1]Data!S1473</f>
        <v>0</v>
      </c>
      <c r="T1473">
        <f t="shared" si="110"/>
        <v>8.918406072106258E-2</v>
      </c>
      <c r="U1473">
        <f t="shared" si="111"/>
        <v>0</v>
      </c>
      <c r="V1473" s="4" t="str">
        <f t="shared" si="112"/>
        <v>5</v>
      </c>
      <c r="W1473" s="4" t="str">
        <f t="shared" si="113"/>
        <v>5</v>
      </c>
      <c r="X1473" s="4" t="str">
        <f t="shared" si="114"/>
        <v>5NON-HS5</v>
      </c>
      <c r="Y1473">
        <f>VLOOKUP(X1473,Sheet1!$J$5:$K$121,2,FALSE)</f>
        <v>5.8823529411764698E-2</v>
      </c>
    </row>
    <row r="1474" spans="1:25" x14ac:dyDescent="0.25">
      <c r="A1474" s="8">
        <f>[1]Data!A1474</f>
        <v>265201</v>
      </c>
      <c r="B1474" s="8">
        <f>[1]Data!B1474</f>
        <v>5</v>
      </c>
      <c r="C1474" s="8">
        <f>[1]Data!C1474</f>
        <v>5</v>
      </c>
      <c r="D1474" s="8">
        <f>[1]Data!D1474</f>
        <v>3</v>
      </c>
      <c r="E1474" s="8" t="str">
        <f>[1]Data!E1474</f>
        <v>NON-HS</v>
      </c>
      <c r="F1474" s="8" t="str">
        <f>[1]Data!F1474</f>
        <v>Westwood</v>
      </c>
      <c r="G1474" s="8">
        <f>[1]Data!G1474</f>
        <v>0</v>
      </c>
      <c r="H1474" s="8">
        <f>[1]Data!H1474</f>
        <v>0</v>
      </c>
      <c r="I1474" s="8">
        <f>[1]Data!I1474</f>
        <v>4.181</v>
      </c>
      <c r="J1474" s="8">
        <f>[1]Data!J1474</f>
        <v>2.87839314</v>
      </c>
      <c r="K1474" s="8">
        <f>[1]Data!K1474</f>
        <v>3.87839314</v>
      </c>
      <c r="L1474" s="8">
        <f>[1]Data!L1474</f>
        <v>0.30290401228007202</v>
      </c>
      <c r="M1474" s="8">
        <f>[1]Data!M1474</f>
        <v>4.1812971522800702</v>
      </c>
      <c r="N1474" s="8">
        <f>[1]Data!N1474</f>
        <v>3.2258064516128997E-2</v>
      </c>
      <c r="O1474" s="8">
        <f>[1]Data!O1474</f>
        <v>0</v>
      </c>
      <c r="P1474" s="8">
        <f>[1]Data!P1474</f>
        <v>0.33333333333333298</v>
      </c>
      <c r="Q1474" s="8">
        <f>[1]Data!Q1474</f>
        <v>0.60784313725490202</v>
      </c>
      <c r="R1474" s="8">
        <f>[1]Data!R1474</f>
        <v>5.8823529411764698E-2</v>
      </c>
      <c r="S1474" s="8">
        <f>[1]Data!S1474</f>
        <v>0</v>
      </c>
      <c r="T1474">
        <f t="shared" si="110"/>
        <v>8.918406072106258E-2</v>
      </c>
      <c r="U1474">
        <f t="shared" si="111"/>
        <v>0</v>
      </c>
      <c r="V1474" s="4" t="str">
        <f t="shared" si="112"/>
        <v>5</v>
      </c>
      <c r="W1474" s="4" t="str">
        <f t="shared" si="113"/>
        <v>5</v>
      </c>
      <c r="X1474" s="4" t="str">
        <f t="shared" si="114"/>
        <v>5NON-HS5</v>
      </c>
      <c r="Y1474">
        <f>VLOOKUP(X1474,Sheet1!$J$5:$K$121,2,FALSE)</f>
        <v>5.8823529411764698E-2</v>
      </c>
    </row>
    <row r="1475" spans="1:25" x14ac:dyDescent="0.25">
      <c r="A1475" s="8">
        <f>[1]Data!A1475</f>
        <v>265420</v>
      </c>
      <c r="B1475" s="8">
        <f>[1]Data!B1475</f>
        <v>5</v>
      </c>
      <c r="C1475" s="8">
        <f>[1]Data!C1475</f>
        <v>5</v>
      </c>
      <c r="D1475" s="8">
        <f>[1]Data!D1475</f>
        <v>3</v>
      </c>
      <c r="E1475" s="8" t="str">
        <f>[1]Data!E1475</f>
        <v>NON-HS</v>
      </c>
      <c r="F1475" s="8" t="str">
        <f>[1]Data!F1475</f>
        <v>Westwood</v>
      </c>
      <c r="G1475" s="8">
        <f>[1]Data!G1475</f>
        <v>0</v>
      </c>
      <c r="H1475" s="8">
        <f>[1]Data!H1475</f>
        <v>0</v>
      </c>
      <c r="I1475" s="8">
        <f>[1]Data!I1475</f>
        <v>0</v>
      </c>
      <c r="J1475" s="8">
        <f>[1]Data!J1475</f>
        <v>0</v>
      </c>
      <c r="K1475" s="8">
        <f>[1]Data!K1475</f>
        <v>0</v>
      </c>
      <c r="L1475" s="8">
        <f>[1]Data!L1475</f>
        <v>0</v>
      </c>
      <c r="M1475" s="8">
        <f>[1]Data!M1475</f>
        <v>0</v>
      </c>
      <c r="N1475" s="8">
        <f>[1]Data!N1475</f>
        <v>3.2258064516128997E-2</v>
      </c>
      <c r="O1475" s="8">
        <f>[1]Data!O1475</f>
        <v>0</v>
      </c>
      <c r="P1475" s="8">
        <f>[1]Data!P1475</f>
        <v>0.33333333333333298</v>
      </c>
      <c r="Q1475" s="8">
        <f>[1]Data!Q1475</f>
        <v>0.60784313725490202</v>
      </c>
      <c r="R1475" s="8">
        <f>[1]Data!R1475</f>
        <v>5.8823529411764698E-2</v>
      </c>
      <c r="S1475" s="8">
        <f>[1]Data!S1475</f>
        <v>0</v>
      </c>
      <c r="T1475">
        <f t="shared" ref="T1475:T1538" si="115">N1475+Y1475*(1-N1475)</f>
        <v>8.918406072106258E-2</v>
      </c>
      <c r="U1475">
        <f t="shared" ref="U1475:U1538" si="116">IF(T1475="",0,1/T1475*H1475)</f>
        <v>0</v>
      </c>
      <c r="V1475" s="4" t="str">
        <f t="shared" ref="V1475:V1538" si="117">TEXT(C1475,"0")</f>
        <v>5</v>
      </c>
      <c r="W1475" s="4" t="str">
        <f t="shared" ref="W1475:W1538" si="118">TEXT(B1475,"0")</f>
        <v>5</v>
      </c>
      <c r="X1475" s="4" t="str">
        <f t="shared" ref="X1475:X1538" si="119">CONCATENATE(V1475,E1475,W1475)</f>
        <v>5NON-HS5</v>
      </c>
      <c r="Y1475">
        <f>VLOOKUP(X1475,Sheet1!$J$5:$K$121,2,FALSE)</f>
        <v>5.8823529411764698E-2</v>
      </c>
    </row>
    <row r="1476" spans="1:25" x14ac:dyDescent="0.25">
      <c r="A1476" s="8">
        <f>[1]Data!A1476</f>
        <v>265601</v>
      </c>
      <c r="B1476" s="8">
        <f>[1]Data!B1476</f>
        <v>5</v>
      </c>
      <c r="C1476" s="8">
        <f>[1]Data!C1476</f>
        <v>5</v>
      </c>
      <c r="D1476" s="8">
        <f>[1]Data!D1476</f>
        <v>3</v>
      </c>
      <c r="E1476" s="8" t="str">
        <f>[1]Data!E1476</f>
        <v>NON-HS</v>
      </c>
      <c r="F1476" s="8" t="str">
        <f>[1]Data!F1476</f>
        <v>Westwood</v>
      </c>
      <c r="G1476" s="8">
        <f>[1]Data!G1476</f>
        <v>0</v>
      </c>
      <c r="H1476" s="8">
        <f>[1]Data!H1476</f>
        <v>0</v>
      </c>
      <c r="I1476" s="8">
        <f>[1]Data!I1476</f>
        <v>16.126999999999999</v>
      </c>
      <c r="J1476" s="8">
        <f>[1]Data!J1476</f>
        <v>8.6718526800000006</v>
      </c>
      <c r="K1476" s="8">
        <f>[1]Data!K1476</f>
        <v>15.671852680000001</v>
      </c>
      <c r="L1476" s="8">
        <f>[1]Data!L1476</f>
        <v>0.45532725782764799</v>
      </c>
      <c r="M1476" s="8">
        <f>[1]Data!M1476</f>
        <v>16.127179937827599</v>
      </c>
      <c r="N1476" s="8">
        <f>[1]Data!N1476</f>
        <v>3.2258064516128997E-2</v>
      </c>
      <c r="O1476" s="8">
        <f>[1]Data!O1476</f>
        <v>0</v>
      </c>
      <c r="P1476" s="8">
        <f>[1]Data!P1476</f>
        <v>0.33333333333333298</v>
      </c>
      <c r="Q1476" s="8">
        <f>[1]Data!Q1476</f>
        <v>0.60784313725490202</v>
      </c>
      <c r="R1476" s="8">
        <f>[1]Data!R1476</f>
        <v>5.8823529411764698E-2</v>
      </c>
      <c r="S1476" s="8">
        <f>[1]Data!S1476</f>
        <v>0</v>
      </c>
      <c r="T1476">
        <f t="shared" si="115"/>
        <v>8.918406072106258E-2</v>
      </c>
      <c r="U1476">
        <f t="shared" si="116"/>
        <v>0</v>
      </c>
      <c r="V1476" s="4" t="str">
        <f t="shared" si="117"/>
        <v>5</v>
      </c>
      <c r="W1476" s="4" t="str">
        <f t="shared" si="118"/>
        <v>5</v>
      </c>
      <c r="X1476" s="4" t="str">
        <f t="shared" si="119"/>
        <v>5NON-HS5</v>
      </c>
      <c r="Y1476">
        <f>VLOOKUP(X1476,Sheet1!$J$5:$K$121,2,FALSE)</f>
        <v>5.8823529411764698E-2</v>
      </c>
    </row>
    <row r="1477" spans="1:25" x14ac:dyDescent="0.25">
      <c r="A1477" s="8">
        <f>[1]Data!A1477</f>
        <v>265602</v>
      </c>
      <c r="B1477" s="8">
        <f>[1]Data!B1477</f>
        <v>5</v>
      </c>
      <c r="C1477" s="8">
        <f>[1]Data!C1477</f>
        <v>5</v>
      </c>
      <c r="D1477" s="8">
        <f>[1]Data!D1477</f>
        <v>3</v>
      </c>
      <c r="E1477" s="8" t="str">
        <f>[1]Data!E1477</f>
        <v>NON-HS</v>
      </c>
      <c r="F1477" s="8" t="str">
        <f>[1]Data!F1477</f>
        <v>Westwood</v>
      </c>
      <c r="G1477" s="8">
        <f>[1]Data!G1477</f>
        <v>0</v>
      </c>
      <c r="H1477" s="8">
        <f>[1]Data!H1477</f>
        <v>0</v>
      </c>
      <c r="I1477" s="8">
        <f>[1]Data!I1477</f>
        <v>2.5910000000000002</v>
      </c>
      <c r="J1477" s="8">
        <f>[1]Data!J1477</f>
        <v>1.43919657</v>
      </c>
      <c r="K1477" s="8">
        <f>[1]Data!K1477</f>
        <v>2.43919657</v>
      </c>
      <c r="L1477" s="8">
        <f>[1]Data!L1477</f>
        <v>0.15145200614003601</v>
      </c>
      <c r="M1477" s="8">
        <f>[1]Data!M1477</f>
        <v>2.59064857614004</v>
      </c>
      <c r="N1477" s="8">
        <f>[1]Data!N1477</f>
        <v>3.2258064516128997E-2</v>
      </c>
      <c r="O1477" s="8">
        <f>[1]Data!O1477</f>
        <v>0</v>
      </c>
      <c r="P1477" s="8">
        <f>[1]Data!P1477</f>
        <v>0.33333333333333298</v>
      </c>
      <c r="Q1477" s="8">
        <f>[1]Data!Q1477</f>
        <v>0.60784313725490202</v>
      </c>
      <c r="R1477" s="8">
        <f>[1]Data!R1477</f>
        <v>5.8823529411764698E-2</v>
      </c>
      <c r="S1477" s="8">
        <f>[1]Data!S1477</f>
        <v>0</v>
      </c>
      <c r="T1477">
        <f t="shared" si="115"/>
        <v>8.918406072106258E-2</v>
      </c>
      <c r="U1477">
        <f t="shared" si="116"/>
        <v>0</v>
      </c>
      <c r="V1477" s="4" t="str">
        <f t="shared" si="117"/>
        <v>5</v>
      </c>
      <c r="W1477" s="4" t="str">
        <f t="shared" si="118"/>
        <v>5</v>
      </c>
      <c r="X1477" s="4" t="str">
        <f t="shared" si="119"/>
        <v>5NON-HS5</v>
      </c>
      <c r="Y1477">
        <f>VLOOKUP(X1477,Sheet1!$J$5:$K$121,2,FALSE)</f>
        <v>5.8823529411764698E-2</v>
      </c>
    </row>
    <row r="1478" spans="1:25" x14ac:dyDescent="0.25">
      <c r="A1478" s="8">
        <f>[1]Data!A1478</f>
        <v>267100</v>
      </c>
      <c r="B1478" s="8">
        <f>[1]Data!B1478</f>
        <v>5</v>
      </c>
      <c r="C1478" s="8">
        <f>[1]Data!C1478</f>
        <v>5</v>
      </c>
      <c r="D1478" s="8">
        <f>[1]Data!D1478</f>
        <v>3</v>
      </c>
      <c r="E1478" s="8" t="str">
        <f>[1]Data!E1478</f>
        <v>NON-HS</v>
      </c>
      <c r="F1478" s="8" t="str">
        <f>[1]Data!F1478</f>
        <v>Westside</v>
      </c>
      <c r="G1478" s="8">
        <f>[1]Data!G1478</f>
        <v>0</v>
      </c>
      <c r="H1478" s="8">
        <f>[1]Data!H1478</f>
        <v>0</v>
      </c>
      <c r="I1478" s="8">
        <f>[1]Data!I1478</f>
        <v>10.776999999999999</v>
      </c>
      <c r="J1478" s="8">
        <f>[1]Data!J1478</f>
        <v>5.7146398200000004</v>
      </c>
      <c r="K1478" s="8">
        <f>[1]Data!K1478</f>
        <v>10.71463982</v>
      </c>
      <c r="L1478" s="8">
        <f>[1]Data!L1478</f>
        <v>6.18759662477558E-2</v>
      </c>
      <c r="M1478" s="8">
        <f>[1]Data!M1478</f>
        <v>10.776515786247799</v>
      </c>
      <c r="N1478" s="8">
        <f>[1]Data!N1478</f>
        <v>3.2258064516128997E-2</v>
      </c>
      <c r="O1478" s="8">
        <f>[1]Data!O1478</f>
        <v>0</v>
      </c>
      <c r="P1478" s="8">
        <f>[1]Data!P1478</f>
        <v>0.33333333333333298</v>
      </c>
      <c r="Q1478" s="8">
        <f>[1]Data!Q1478</f>
        <v>0.60784313725490202</v>
      </c>
      <c r="R1478" s="8">
        <f>[1]Data!R1478</f>
        <v>5.8823529411764698E-2</v>
      </c>
      <c r="S1478" s="8">
        <f>[1]Data!S1478</f>
        <v>0</v>
      </c>
      <c r="T1478">
        <f t="shared" si="115"/>
        <v>8.918406072106258E-2</v>
      </c>
      <c r="U1478">
        <f t="shared" si="116"/>
        <v>0</v>
      </c>
      <c r="V1478" s="4" t="str">
        <f t="shared" si="117"/>
        <v>5</v>
      </c>
      <c r="W1478" s="4" t="str">
        <f t="shared" si="118"/>
        <v>5</v>
      </c>
      <c r="X1478" s="4" t="str">
        <f t="shared" si="119"/>
        <v>5NON-HS5</v>
      </c>
      <c r="Y1478">
        <f>VLOOKUP(X1478,Sheet1!$J$5:$K$121,2,FALSE)</f>
        <v>5.8823529411764698E-2</v>
      </c>
    </row>
    <row r="1479" spans="1:25" x14ac:dyDescent="0.25">
      <c r="A1479" s="8">
        <f>[1]Data!A1479</f>
        <v>265510</v>
      </c>
      <c r="B1479" s="8">
        <f>[1]Data!B1479</f>
        <v>5</v>
      </c>
      <c r="C1479" s="8">
        <f>[1]Data!C1479</f>
        <v>5</v>
      </c>
      <c r="D1479" s="8">
        <f>[1]Data!D1479</f>
        <v>3</v>
      </c>
      <c r="E1479" s="8" t="str">
        <f>[1]Data!E1479</f>
        <v>NON-HS</v>
      </c>
      <c r="F1479" s="8" t="str">
        <f>[1]Data!F1479</f>
        <v>Westwood</v>
      </c>
      <c r="G1479" s="8">
        <f>[1]Data!G1479</f>
        <v>0</v>
      </c>
      <c r="H1479" s="8">
        <f>[1]Data!H1479</f>
        <v>0</v>
      </c>
      <c r="I1479" s="8">
        <f>[1]Data!I1479</f>
        <v>12.585000000000001</v>
      </c>
      <c r="J1479" s="8">
        <f>[1]Data!J1479</f>
        <v>7.4477719899999997</v>
      </c>
      <c r="K1479" s="8">
        <f>[1]Data!K1479</f>
        <v>12.44777199</v>
      </c>
      <c r="L1479" s="8">
        <f>[1]Data!L1479</f>
        <v>0.13686147653500899</v>
      </c>
      <c r="M1479" s="8">
        <f>[1]Data!M1479</f>
        <v>12.584633466534999</v>
      </c>
      <c r="N1479" s="8">
        <f>[1]Data!N1479</f>
        <v>3.2258064516128997E-2</v>
      </c>
      <c r="O1479" s="8">
        <f>[1]Data!O1479</f>
        <v>0</v>
      </c>
      <c r="P1479" s="8">
        <f>[1]Data!P1479</f>
        <v>0.33333333333333298</v>
      </c>
      <c r="Q1479" s="8">
        <f>[1]Data!Q1479</f>
        <v>0.60784313725490202</v>
      </c>
      <c r="R1479" s="8">
        <f>[1]Data!R1479</f>
        <v>5.8823529411764698E-2</v>
      </c>
      <c r="S1479" s="8">
        <f>[1]Data!S1479</f>
        <v>0</v>
      </c>
      <c r="T1479">
        <f t="shared" si="115"/>
        <v>8.918406072106258E-2</v>
      </c>
      <c r="U1479">
        <f t="shared" si="116"/>
        <v>0</v>
      </c>
      <c r="V1479" s="4" t="str">
        <f t="shared" si="117"/>
        <v>5</v>
      </c>
      <c r="W1479" s="4" t="str">
        <f t="shared" si="118"/>
        <v>5</v>
      </c>
      <c r="X1479" s="4" t="str">
        <f t="shared" si="119"/>
        <v>5NON-HS5</v>
      </c>
      <c r="Y1479">
        <f>VLOOKUP(X1479,Sheet1!$J$5:$K$121,2,FALSE)</f>
        <v>5.8823529411764698E-2</v>
      </c>
    </row>
    <row r="1480" spans="1:25" x14ac:dyDescent="0.25">
      <c r="A1480" s="8">
        <f>[1]Data!A1480</f>
        <v>269800</v>
      </c>
      <c r="B1480" s="8">
        <f>[1]Data!B1480</f>
        <v>5</v>
      </c>
      <c r="C1480" s="8">
        <f>[1]Data!C1480</f>
        <v>5</v>
      </c>
      <c r="D1480" s="8">
        <f>[1]Data!D1480</f>
        <v>2</v>
      </c>
      <c r="E1480" s="8" t="str">
        <f>[1]Data!E1480</f>
        <v>NON-HS</v>
      </c>
      <c r="F1480" s="8" t="str">
        <f>[1]Data!F1480</f>
        <v>Palms</v>
      </c>
      <c r="G1480" s="8">
        <f>[1]Data!G1480</f>
        <v>0</v>
      </c>
      <c r="H1480" s="8">
        <f>[1]Data!H1480</f>
        <v>0</v>
      </c>
      <c r="I1480" s="8">
        <f>[1]Data!I1480</f>
        <v>18.277000000000001</v>
      </c>
      <c r="J1480" s="8">
        <f>[1]Data!J1480</f>
        <v>16.99915086</v>
      </c>
      <c r="K1480" s="8">
        <f>[1]Data!K1480</f>
        <v>17.99915086</v>
      </c>
      <c r="L1480" s="8">
        <f>[1]Data!L1480</f>
        <v>0.27704178771992799</v>
      </c>
      <c r="M1480" s="8">
        <f>[1]Data!M1480</f>
        <v>18.276192647719899</v>
      </c>
      <c r="N1480" s="8">
        <f>[1]Data!N1480</f>
        <v>3.2258064516128997E-2</v>
      </c>
      <c r="O1480" s="8">
        <f>[1]Data!O1480</f>
        <v>0</v>
      </c>
      <c r="P1480" s="8">
        <f>[1]Data!P1480</f>
        <v>0.33333333333333298</v>
      </c>
      <c r="Q1480" s="8">
        <f>[1]Data!Q1480</f>
        <v>0.60784313725490202</v>
      </c>
      <c r="R1480" s="8">
        <f>[1]Data!R1480</f>
        <v>5.8823529411764698E-2</v>
      </c>
      <c r="S1480" s="8">
        <f>[1]Data!S1480</f>
        <v>0</v>
      </c>
      <c r="T1480">
        <f t="shared" si="115"/>
        <v>8.918406072106258E-2</v>
      </c>
      <c r="U1480">
        <f t="shared" si="116"/>
        <v>0</v>
      </c>
      <c r="V1480" s="4" t="str">
        <f t="shared" si="117"/>
        <v>5</v>
      </c>
      <c r="W1480" s="4" t="str">
        <f t="shared" si="118"/>
        <v>5</v>
      </c>
      <c r="X1480" s="4" t="str">
        <f t="shared" si="119"/>
        <v>5NON-HS5</v>
      </c>
      <c r="Y1480">
        <f>VLOOKUP(X1480,Sheet1!$J$5:$K$121,2,FALSE)</f>
        <v>5.8823529411764698E-2</v>
      </c>
    </row>
    <row r="1481" spans="1:25" x14ac:dyDescent="0.25">
      <c r="A1481" s="8">
        <f>[1]Data!A1481</f>
        <v>265100</v>
      </c>
      <c r="B1481" s="8">
        <f>[1]Data!B1481</f>
        <v>5</v>
      </c>
      <c r="C1481" s="8">
        <f>[1]Data!C1481</f>
        <v>5</v>
      </c>
      <c r="D1481" s="8">
        <f>[1]Data!D1481</f>
        <v>3</v>
      </c>
      <c r="E1481" s="8" t="str">
        <f>[1]Data!E1481</f>
        <v>NON-HS</v>
      </c>
      <c r="F1481" s="8" t="str">
        <f>[1]Data!F1481</f>
        <v>Westwood</v>
      </c>
      <c r="G1481" s="8">
        <f>[1]Data!G1481</f>
        <v>0</v>
      </c>
      <c r="H1481" s="8">
        <f>[1]Data!H1481</f>
        <v>0</v>
      </c>
      <c r="I1481" s="8">
        <f>[1]Data!I1481</f>
        <v>2</v>
      </c>
      <c r="J1481" s="8">
        <f>[1]Data!J1481</f>
        <v>0</v>
      </c>
      <c r="K1481" s="8">
        <f>[1]Data!K1481</f>
        <v>2</v>
      </c>
      <c r="L1481" s="8">
        <f>[1]Data!L1481</f>
        <v>0</v>
      </c>
      <c r="M1481" s="8">
        <f>[1]Data!M1481</f>
        <v>2</v>
      </c>
      <c r="N1481" s="8">
        <f>[1]Data!N1481</f>
        <v>3.2258064516128997E-2</v>
      </c>
      <c r="O1481" s="8">
        <f>[1]Data!O1481</f>
        <v>0</v>
      </c>
      <c r="P1481" s="8">
        <f>[1]Data!P1481</f>
        <v>0.33333333333333298</v>
      </c>
      <c r="Q1481" s="8">
        <f>[1]Data!Q1481</f>
        <v>0.60784313725490202</v>
      </c>
      <c r="R1481" s="8">
        <f>[1]Data!R1481</f>
        <v>5.8823529411764698E-2</v>
      </c>
      <c r="S1481" s="8">
        <f>[1]Data!S1481</f>
        <v>0</v>
      </c>
      <c r="T1481">
        <f t="shared" si="115"/>
        <v>8.918406072106258E-2</v>
      </c>
      <c r="U1481">
        <f t="shared" si="116"/>
        <v>0</v>
      </c>
      <c r="V1481" s="4" t="str">
        <f t="shared" si="117"/>
        <v>5</v>
      </c>
      <c r="W1481" s="4" t="str">
        <f t="shared" si="118"/>
        <v>5</v>
      </c>
      <c r="X1481" s="4" t="str">
        <f t="shared" si="119"/>
        <v>5NON-HS5</v>
      </c>
      <c r="Y1481">
        <f>VLOOKUP(X1481,Sheet1!$J$5:$K$121,2,FALSE)</f>
        <v>5.8823529411764698E-2</v>
      </c>
    </row>
    <row r="1482" spans="1:25" x14ac:dyDescent="0.25">
      <c r="A1482" s="8">
        <f>[1]Data!A1482</f>
        <v>267800</v>
      </c>
      <c r="B1482" s="8">
        <f>[1]Data!B1482</f>
        <v>5</v>
      </c>
      <c r="C1482" s="8">
        <f>[1]Data!C1482</f>
        <v>5</v>
      </c>
      <c r="D1482" s="8">
        <f>[1]Data!D1482</f>
        <v>3</v>
      </c>
      <c r="E1482" s="8" t="str">
        <f>[1]Data!E1482</f>
        <v>NON-HS</v>
      </c>
      <c r="F1482" s="8" t="str">
        <f>[1]Data!F1482</f>
        <v>Westside</v>
      </c>
      <c r="G1482" s="8">
        <f>[1]Data!G1482</f>
        <v>0</v>
      </c>
      <c r="H1482" s="8">
        <f>[1]Data!H1482</f>
        <v>0</v>
      </c>
      <c r="I1482" s="8">
        <f>[1]Data!I1482</f>
        <v>20.594999999999999</v>
      </c>
      <c r="J1482" s="8">
        <f>[1]Data!J1482</f>
        <v>13.268210699999999</v>
      </c>
      <c r="K1482" s="8">
        <f>[1]Data!K1482</f>
        <v>20.268210700000001</v>
      </c>
      <c r="L1482" s="8">
        <f>[1]Data!L1482</f>
        <v>0.32633842285457798</v>
      </c>
      <c r="M1482" s="8">
        <f>[1]Data!M1482</f>
        <v>20.594549122854598</v>
      </c>
      <c r="N1482" s="8">
        <f>[1]Data!N1482</f>
        <v>3.2258064516128997E-2</v>
      </c>
      <c r="O1482" s="8">
        <f>[1]Data!O1482</f>
        <v>0</v>
      </c>
      <c r="P1482" s="8">
        <f>[1]Data!P1482</f>
        <v>0.33333333333333298</v>
      </c>
      <c r="Q1482" s="8">
        <f>[1]Data!Q1482</f>
        <v>0.60784313725490202</v>
      </c>
      <c r="R1482" s="8">
        <f>[1]Data!R1482</f>
        <v>5.8823529411764698E-2</v>
      </c>
      <c r="S1482" s="8">
        <f>[1]Data!S1482</f>
        <v>0</v>
      </c>
      <c r="T1482">
        <f t="shared" si="115"/>
        <v>8.918406072106258E-2</v>
      </c>
      <c r="U1482">
        <f t="shared" si="116"/>
        <v>0</v>
      </c>
      <c r="V1482" s="4" t="str">
        <f t="shared" si="117"/>
        <v>5</v>
      </c>
      <c r="W1482" s="4" t="str">
        <f t="shared" si="118"/>
        <v>5</v>
      </c>
      <c r="X1482" s="4" t="str">
        <f t="shared" si="119"/>
        <v>5NON-HS5</v>
      </c>
      <c r="Y1482">
        <f>VLOOKUP(X1482,Sheet1!$J$5:$K$121,2,FALSE)</f>
        <v>5.8823529411764698E-2</v>
      </c>
    </row>
    <row r="1483" spans="1:25" x14ac:dyDescent="0.25">
      <c r="A1483" s="8">
        <f>[1]Data!A1483</f>
        <v>269500</v>
      </c>
      <c r="B1483" s="8">
        <f>[1]Data!B1483</f>
        <v>5</v>
      </c>
      <c r="C1483" s="8">
        <f>[1]Data!C1483</f>
        <v>5</v>
      </c>
      <c r="D1483" s="8">
        <f>[1]Data!D1483</f>
        <v>2</v>
      </c>
      <c r="E1483" s="8" t="str">
        <f>[1]Data!E1483</f>
        <v>NON-HS</v>
      </c>
      <c r="F1483" s="8" t="str">
        <f>[1]Data!F1483</f>
        <v>Palms</v>
      </c>
      <c r="G1483" s="8">
        <f>[1]Data!G1483</f>
        <v>0</v>
      </c>
      <c r="H1483" s="8">
        <f>[1]Data!H1483</f>
        <v>0</v>
      </c>
      <c r="I1483" s="8">
        <f>[1]Data!I1483</f>
        <v>1.8080000000000001</v>
      </c>
      <c r="J1483" s="8">
        <f>[1]Data!J1483</f>
        <v>1.73313217</v>
      </c>
      <c r="K1483" s="8">
        <f>[1]Data!K1483</f>
        <v>1.73313217</v>
      </c>
      <c r="L1483" s="8">
        <f>[1]Data!L1483</f>
        <v>7.4985510287253102E-2</v>
      </c>
      <c r="M1483" s="8">
        <f>[1]Data!M1483</f>
        <v>1.8081176802872501</v>
      </c>
      <c r="N1483" s="8">
        <f>[1]Data!N1483</f>
        <v>3.2258064516128997E-2</v>
      </c>
      <c r="O1483" s="8">
        <f>[1]Data!O1483</f>
        <v>0</v>
      </c>
      <c r="P1483" s="8">
        <f>[1]Data!P1483</f>
        <v>0.33333333333333298</v>
      </c>
      <c r="Q1483" s="8">
        <f>[1]Data!Q1483</f>
        <v>0.60784313725490202</v>
      </c>
      <c r="R1483" s="8">
        <f>[1]Data!R1483</f>
        <v>5.8823529411764698E-2</v>
      </c>
      <c r="S1483" s="8">
        <f>[1]Data!S1483</f>
        <v>0</v>
      </c>
      <c r="T1483">
        <f t="shared" si="115"/>
        <v>8.918406072106258E-2</v>
      </c>
      <c r="U1483">
        <f t="shared" si="116"/>
        <v>0</v>
      </c>
      <c r="V1483" s="4" t="str">
        <f t="shared" si="117"/>
        <v>5</v>
      </c>
      <c r="W1483" s="4" t="str">
        <f t="shared" si="118"/>
        <v>5</v>
      </c>
      <c r="X1483" s="4" t="str">
        <f t="shared" si="119"/>
        <v>5NON-HS5</v>
      </c>
      <c r="Y1483">
        <f>VLOOKUP(X1483,Sheet1!$J$5:$K$121,2,FALSE)</f>
        <v>5.8823529411764698E-2</v>
      </c>
    </row>
    <row r="1484" spans="1:25" x14ac:dyDescent="0.25">
      <c r="A1484" s="8">
        <f>[1]Data!A1484</f>
        <v>269000</v>
      </c>
      <c r="B1484" s="8">
        <f>[1]Data!B1484</f>
        <v>5</v>
      </c>
      <c r="C1484" s="8">
        <f>[1]Data!C1484</f>
        <v>5</v>
      </c>
      <c r="D1484" s="8">
        <f>[1]Data!D1484</f>
        <v>2</v>
      </c>
      <c r="E1484" s="8" t="str">
        <f>[1]Data!E1484</f>
        <v>NON-HS</v>
      </c>
      <c r="F1484" s="8" t="str">
        <f>[1]Data!F1484</f>
        <v>Westside</v>
      </c>
      <c r="G1484" s="8">
        <f>[1]Data!G1484</f>
        <v>0</v>
      </c>
      <c r="H1484" s="8">
        <f>[1]Data!H1484</f>
        <v>0</v>
      </c>
      <c r="I1484" s="8">
        <f>[1]Data!I1484</f>
        <v>11.166</v>
      </c>
      <c r="J1484" s="8">
        <f>[1]Data!J1484</f>
        <v>10.818827669999999</v>
      </c>
      <c r="K1484" s="8">
        <f>[1]Data!K1484</f>
        <v>10.818827669999999</v>
      </c>
      <c r="L1484" s="8">
        <f>[1]Data!L1484</f>
        <v>0.34599250552962302</v>
      </c>
      <c r="M1484" s="8">
        <f>[1]Data!M1484</f>
        <v>11.1648201755296</v>
      </c>
      <c r="N1484" s="8">
        <f>[1]Data!N1484</f>
        <v>3.2258064516128997E-2</v>
      </c>
      <c r="O1484" s="8">
        <f>[1]Data!O1484</f>
        <v>0</v>
      </c>
      <c r="P1484" s="8">
        <f>[1]Data!P1484</f>
        <v>0.33333333333333298</v>
      </c>
      <c r="Q1484" s="8">
        <f>[1]Data!Q1484</f>
        <v>0.60784313725490202</v>
      </c>
      <c r="R1484" s="8">
        <f>[1]Data!R1484</f>
        <v>5.8823529411764698E-2</v>
      </c>
      <c r="S1484" s="8">
        <f>[1]Data!S1484</f>
        <v>0</v>
      </c>
      <c r="T1484">
        <f t="shared" si="115"/>
        <v>8.918406072106258E-2</v>
      </c>
      <c r="U1484">
        <f t="shared" si="116"/>
        <v>0</v>
      </c>
      <c r="V1484" s="4" t="str">
        <f t="shared" si="117"/>
        <v>5</v>
      </c>
      <c r="W1484" s="4" t="str">
        <f t="shared" si="118"/>
        <v>5</v>
      </c>
      <c r="X1484" s="4" t="str">
        <f t="shared" si="119"/>
        <v>5NON-HS5</v>
      </c>
      <c r="Y1484">
        <f>VLOOKUP(X1484,Sheet1!$J$5:$K$121,2,FALSE)</f>
        <v>5.8823529411764698E-2</v>
      </c>
    </row>
    <row r="1485" spans="1:25" x14ac:dyDescent="0.25">
      <c r="A1485" s="8">
        <f>[1]Data!A1485</f>
        <v>269300</v>
      </c>
      <c r="B1485" s="8">
        <f>[1]Data!B1485</f>
        <v>5</v>
      </c>
      <c r="C1485" s="8">
        <f>[1]Data!C1485</f>
        <v>5</v>
      </c>
      <c r="D1485" s="8">
        <f>[1]Data!D1485</f>
        <v>2</v>
      </c>
      <c r="E1485" s="8" t="str">
        <f>[1]Data!E1485</f>
        <v>NON-HS</v>
      </c>
      <c r="F1485" s="8" t="str">
        <f>[1]Data!F1485</f>
        <v>Westside</v>
      </c>
      <c r="G1485" s="8">
        <f>[1]Data!G1485</f>
        <v>0</v>
      </c>
      <c r="H1485" s="8">
        <f>[1]Data!H1485</f>
        <v>0</v>
      </c>
      <c r="I1485" s="8">
        <f>[1]Data!I1485</f>
        <v>3.5910000000000002</v>
      </c>
      <c r="J1485" s="8">
        <f>[1]Data!J1485</f>
        <v>1.43919657</v>
      </c>
      <c r="K1485" s="8">
        <f>[1]Data!K1485</f>
        <v>3.43919657</v>
      </c>
      <c r="L1485" s="8">
        <f>[1]Data!L1485</f>
        <v>0.15145200614003601</v>
      </c>
      <c r="M1485" s="8">
        <f>[1]Data!M1485</f>
        <v>3.59064857614004</v>
      </c>
      <c r="N1485" s="8">
        <f>[1]Data!N1485</f>
        <v>3.2258064516128997E-2</v>
      </c>
      <c r="O1485" s="8">
        <f>[1]Data!O1485</f>
        <v>0</v>
      </c>
      <c r="P1485" s="8">
        <f>[1]Data!P1485</f>
        <v>0.33333333333333298</v>
      </c>
      <c r="Q1485" s="8">
        <f>[1]Data!Q1485</f>
        <v>0.60784313725490202</v>
      </c>
      <c r="R1485" s="8">
        <f>[1]Data!R1485</f>
        <v>5.8823529411764698E-2</v>
      </c>
      <c r="S1485" s="8">
        <f>[1]Data!S1485</f>
        <v>0</v>
      </c>
      <c r="T1485">
        <f t="shared" si="115"/>
        <v>8.918406072106258E-2</v>
      </c>
      <c r="U1485">
        <f t="shared" si="116"/>
        <v>0</v>
      </c>
      <c r="V1485" s="4" t="str">
        <f t="shared" si="117"/>
        <v>5</v>
      </c>
      <c r="W1485" s="4" t="str">
        <f t="shared" si="118"/>
        <v>5</v>
      </c>
      <c r="X1485" s="4" t="str">
        <f t="shared" si="119"/>
        <v>5NON-HS5</v>
      </c>
      <c r="Y1485">
        <f>VLOOKUP(X1485,Sheet1!$J$5:$K$121,2,FALSE)</f>
        <v>5.8823529411764698E-2</v>
      </c>
    </row>
    <row r="1486" spans="1:25" x14ac:dyDescent="0.25">
      <c r="A1486" s="8">
        <f>[1]Data!A1486</f>
        <v>267902</v>
      </c>
      <c r="B1486" s="8">
        <f>[1]Data!B1486</f>
        <v>5</v>
      </c>
      <c r="C1486" s="8">
        <f>[1]Data!C1486</f>
        <v>5</v>
      </c>
      <c r="D1486" s="8">
        <f>[1]Data!D1486</f>
        <v>3</v>
      </c>
      <c r="E1486" s="8" t="str">
        <f>[1]Data!E1486</f>
        <v>NON-HS</v>
      </c>
      <c r="F1486" s="8" t="str">
        <f>[1]Data!F1486</f>
        <v>Westside</v>
      </c>
      <c r="G1486" s="8">
        <f>[1]Data!G1486</f>
        <v>0</v>
      </c>
      <c r="H1486" s="8">
        <f>[1]Data!H1486</f>
        <v>0</v>
      </c>
      <c r="I1486" s="8">
        <f>[1]Data!I1486</f>
        <v>2.5910000000000002</v>
      </c>
      <c r="J1486" s="8">
        <f>[1]Data!J1486</f>
        <v>1.43919657</v>
      </c>
      <c r="K1486" s="8">
        <f>[1]Data!K1486</f>
        <v>2.43919657</v>
      </c>
      <c r="L1486" s="8">
        <f>[1]Data!L1486</f>
        <v>0.15145200614003601</v>
      </c>
      <c r="M1486" s="8">
        <f>[1]Data!M1486</f>
        <v>2.59064857614004</v>
      </c>
      <c r="N1486" s="8">
        <f>[1]Data!N1486</f>
        <v>3.2258064516128997E-2</v>
      </c>
      <c r="O1486" s="8">
        <f>[1]Data!O1486</f>
        <v>0</v>
      </c>
      <c r="P1486" s="8">
        <f>[1]Data!P1486</f>
        <v>0.33333333333333298</v>
      </c>
      <c r="Q1486" s="8">
        <f>[1]Data!Q1486</f>
        <v>0.60784313725490202</v>
      </c>
      <c r="R1486" s="8">
        <f>[1]Data!R1486</f>
        <v>5.8823529411764698E-2</v>
      </c>
      <c r="S1486" s="8">
        <f>[1]Data!S1486</f>
        <v>0</v>
      </c>
      <c r="T1486">
        <f t="shared" si="115"/>
        <v>8.918406072106258E-2</v>
      </c>
      <c r="U1486">
        <f t="shared" si="116"/>
        <v>0</v>
      </c>
      <c r="V1486" s="4" t="str">
        <f t="shared" si="117"/>
        <v>5</v>
      </c>
      <c r="W1486" s="4" t="str">
        <f t="shared" si="118"/>
        <v>5</v>
      </c>
      <c r="X1486" s="4" t="str">
        <f t="shared" si="119"/>
        <v>5NON-HS5</v>
      </c>
      <c r="Y1486">
        <f>VLOOKUP(X1486,Sheet1!$J$5:$K$121,2,FALSE)</f>
        <v>5.8823529411764698E-2</v>
      </c>
    </row>
    <row r="1487" spans="1:25" x14ac:dyDescent="0.25">
      <c r="A1487" s="8">
        <f>[1]Data!A1487</f>
        <v>269903</v>
      </c>
      <c r="B1487" s="8">
        <f>[1]Data!B1487</f>
        <v>5</v>
      </c>
      <c r="C1487" s="8">
        <f>[1]Data!C1487</f>
        <v>5</v>
      </c>
      <c r="D1487" s="8">
        <f>[1]Data!D1487</f>
        <v>2</v>
      </c>
      <c r="E1487" s="8" t="str">
        <f>[1]Data!E1487</f>
        <v>NON-HS</v>
      </c>
      <c r="F1487" s="8" t="str">
        <f>[1]Data!F1487</f>
        <v>Palms</v>
      </c>
      <c r="G1487" s="8">
        <f>[1]Data!G1487</f>
        <v>0</v>
      </c>
      <c r="H1487" s="8">
        <f>[1]Data!H1487</f>
        <v>0</v>
      </c>
      <c r="I1487" s="8">
        <f>[1]Data!I1487</f>
        <v>15.462999999999999</v>
      </c>
      <c r="J1487" s="8">
        <f>[1]Data!J1487</f>
        <v>9.1375360499999996</v>
      </c>
      <c r="K1487" s="8">
        <f>[1]Data!K1487</f>
        <v>15.13753605</v>
      </c>
      <c r="L1487" s="8">
        <f>[1]Data!L1487</f>
        <v>0.32450057377019698</v>
      </c>
      <c r="M1487" s="8">
        <f>[1]Data!M1487</f>
        <v>15.462036623770199</v>
      </c>
      <c r="N1487" s="8">
        <f>[1]Data!N1487</f>
        <v>3.2258064516128997E-2</v>
      </c>
      <c r="O1487" s="8">
        <f>[1]Data!O1487</f>
        <v>0</v>
      </c>
      <c r="P1487" s="8">
        <f>[1]Data!P1487</f>
        <v>0.33333333333333298</v>
      </c>
      <c r="Q1487" s="8">
        <f>[1]Data!Q1487</f>
        <v>0.60784313725490202</v>
      </c>
      <c r="R1487" s="8">
        <f>[1]Data!R1487</f>
        <v>5.8823529411764698E-2</v>
      </c>
      <c r="S1487" s="8">
        <f>[1]Data!S1487</f>
        <v>0</v>
      </c>
      <c r="T1487">
        <f t="shared" si="115"/>
        <v>8.918406072106258E-2</v>
      </c>
      <c r="U1487">
        <f t="shared" si="116"/>
        <v>0</v>
      </c>
      <c r="V1487" s="4" t="str">
        <f t="shared" si="117"/>
        <v>5</v>
      </c>
      <c r="W1487" s="4" t="str">
        <f t="shared" si="118"/>
        <v>5</v>
      </c>
      <c r="X1487" s="4" t="str">
        <f t="shared" si="119"/>
        <v>5NON-HS5</v>
      </c>
      <c r="Y1487">
        <f>VLOOKUP(X1487,Sheet1!$J$5:$K$121,2,FALSE)</f>
        <v>5.8823529411764698E-2</v>
      </c>
    </row>
    <row r="1488" spans="1:25" x14ac:dyDescent="0.25">
      <c r="A1488" s="8">
        <f>[1]Data!A1488</f>
        <v>262200</v>
      </c>
      <c r="B1488" s="8">
        <f>[1]Data!B1488</f>
        <v>5</v>
      </c>
      <c r="C1488" s="8">
        <f>[1]Data!C1488</f>
        <v>5</v>
      </c>
      <c r="D1488" s="8">
        <f>[1]Data!D1488</f>
        <v>3</v>
      </c>
      <c r="E1488" s="8" t="str">
        <f>[1]Data!E1488</f>
        <v>NON-HS</v>
      </c>
      <c r="F1488" s="8" t="str">
        <f>[1]Data!F1488</f>
        <v>Bel Air-Beverly Crest</v>
      </c>
      <c r="G1488" s="8">
        <f>[1]Data!G1488</f>
        <v>0</v>
      </c>
      <c r="H1488" s="8">
        <f>[1]Data!H1488</f>
        <v>0</v>
      </c>
      <c r="I1488" s="8">
        <f>[1]Data!I1488</f>
        <v>0</v>
      </c>
      <c r="J1488" s="8">
        <f>[1]Data!J1488</f>
        <v>0</v>
      </c>
      <c r="K1488" s="8">
        <f>[1]Data!K1488</f>
        <v>0</v>
      </c>
      <c r="L1488" s="8">
        <f>[1]Data!L1488</f>
        <v>0</v>
      </c>
      <c r="M1488" s="8">
        <f>[1]Data!M1488</f>
        <v>0</v>
      </c>
      <c r="N1488" s="8">
        <f>[1]Data!N1488</f>
        <v>3.2258064516128997E-2</v>
      </c>
      <c r="O1488" s="8">
        <f>[1]Data!O1488</f>
        <v>0</v>
      </c>
      <c r="P1488" s="8">
        <f>[1]Data!P1488</f>
        <v>0.33333333333333298</v>
      </c>
      <c r="Q1488" s="8">
        <f>[1]Data!Q1488</f>
        <v>0.60784313725490202</v>
      </c>
      <c r="R1488" s="8">
        <f>[1]Data!R1488</f>
        <v>5.8823529411764698E-2</v>
      </c>
      <c r="S1488" s="8">
        <f>[1]Data!S1488</f>
        <v>0</v>
      </c>
      <c r="T1488">
        <f t="shared" si="115"/>
        <v>8.918406072106258E-2</v>
      </c>
      <c r="U1488">
        <f t="shared" si="116"/>
        <v>0</v>
      </c>
      <c r="V1488" s="4" t="str">
        <f t="shared" si="117"/>
        <v>5</v>
      </c>
      <c r="W1488" s="4" t="str">
        <f t="shared" si="118"/>
        <v>5</v>
      </c>
      <c r="X1488" s="4" t="str">
        <f t="shared" si="119"/>
        <v>5NON-HS5</v>
      </c>
      <c r="Y1488">
        <f>VLOOKUP(X1488,Sheet1!$J$5:$K$121,2,FALSE)</f>
        <v>5.8823529411764698E-2</v>
      </c>
    </row>
    <row r="1489" spans="1:25" x14ac:dyDescent="0.25">
      <c r="A1489" s="8">
        <f>[1]Data!A1489</f>
        <v>269905</v>
      </c>
      <c r="B1489" s="8">
        <f>[1]Data!B1489</f>
        <v>5</v>
      </c>
      <c r="C1489" s="8">
        <f>[1]Data!C1489</f>
        <v>5</v>
      </c>
      <c r="D1489" s="8">
        <f>[1]Data!D1489</f>
        <v>2</v>
      </c>
      <c r="E1489" s="8" t="str">
        <f>[1]Data!E1489</f>
        <v>NON-HS</v>
      </c>
      <c r="F1489" s="8" t="str">
        <f>[1]Data!F1489</f>
        <v>Palms</v>
      </c>
      <c r="G1489" s="8">
        <f>[1]Data!G1489</f>
        <v>0</v>
      </c>
      <c r="H1489" s="8">
        <f>[1]Data!H1489</f>
        <v>0</v>
      </c>
      <c r="I1489" s="8">
        <f>[1]Data!I1489</f>
        <v>23.664000000000001</v>
      </c>
      <c r="J1489" s="8">
        <f>[1]Data!J1489</f>
        <v>15.90450879</v>
      </c>
      <c r="K1489" s="8">
        <f>[1]Data!K1489</f>
        <v>22.904508790000001</v>
      </c>
      <c r="L1489" s="8">
        <f>[1]Data!L1489</f>
        <v>0.75920250951526003</v>
      </c>
      <c r="M1489" s="8">
        <f>[1]Data!M1489</f>
        <v>23.663711299515299</v>
      </c>
      <c r="N1489" s="8">
        <f>[1]Data!N1489</f>
        <v>3.2258064516128997E-2</v>
      </c>
      <c r="O1489" s="8">
        <f>[1]Data!O1489</f>
        <v>0</v>
      </c>
      <c r="P1489" s="8">
        <f>[1]Data!P1489</f>
        <v>0.33333333333333298</v>
      </c>
      <c r="Q1489" s="8">
        <f>[1]Data!Q1489</f>
        <v>0.60784313725490202</v>
      </c>
      <c r="R1489" s="8">
        <f>[1]Data!R1489</f>
        <v>5.8823529411764698E-2</v>
      </c>
      <c r="S1489" s="8">
        <f>[1]Data!S1489</f>
        <v>0</v>
      </c>
      <c r="T1489">
        <f t="shared" si="115"/>
        <v>8.918406072106258E-2</v>
      </c>
      <c r="U1489">
        <f t="shared" si="116"/>
        <v>0</v>
      </c>
      <c r="V1489" s="4" t="str">
        <f t="shared" si="117"/>
        <v>5</v>
      </c>
      <c r="W1489" s="4" t="str">
        <f t="shared" si="118"/>
        <v>5</v>
      </c>
      <c r="X1489" s="4" t="str">
        <f t="shared" si="119"/>
        <v>5NON-HS5</v>
      </c>
      <c r="Y1489">
        <f>VLOOKUP(X1489,Sheet1!$J$5:$K$121,2,FALSE)</f>
        <v>5.8823529411764698E-2</v>
      </c>
    </row>
    <row r="1490" spans="1:25" x14ac:dyDescent="0.25">
      <c r="A1490" s="8">
        <f>[1]Data!A1490</f>
        <v>269906</v>
      </c>
      <c r="B1490" s="8">
        <f>[1]Data!B1490</f>
        <v>5</v>
      </c>
      <c r="C1490" s="8">
        <f>[1]Data!C1490</f>
        <v>5</v>
      </c>
      <c r="D1490" s="8">
        <f>[1]Data!D1490</f>
        <v>2</v>
      </c>
      <c r="E1490" s="8" t="str">
        <f>[1]Data!E1490</f>
        <v>NON-HS</v>
      </c>
      <c r="F1490" s="8" t="str">
        <f>[1]Data!F1490</f>
        <v>Palms</v>
      </c>
      <c r="G1490" s="8">
        <f>[1]Data!G1490</f>
        <v>0</v>
      </c>
      <c r="H1490" s="8">
        <f>[1]Data!H1490</f>
        <v>0</v>
      </c>
      <c r="I1490" s="8">
        <f>[1]Data!I1490</f>
        <v>10.11</v>
      </c>
      <c r="J1490" s="8">
        <f>[1]Data!J1490</f>
        <v>8.6222927400000007</v>
      </c>
      <c r="K1490" s="8">
        <f>[1]Data!K1490</f>
        <v>9.6222927400000007</v>
      </c>
      <c r="L1490" s="8">
        <f>[1]Data!L1490</f>
        <v>0.48758113838420097</v>
      </c>
      <c r="M1490" s="8">
        <f>[1]Data!M1490</f>
        <v>10.109873878384199</v>
      </c>
      <c r="N1490" s="8">
        <f>[1]Data!N1490</f>
        <v>3.2258064516128997E-2</v>
      </c>
      <c r="O1490" s="8">
        <f>[1]Data!O1490</f>
        <v>0</v>
      </c>
      <c r="P1490" s="8">
        <f>[1]Data!P1490</f>
        <v>0.33333333333333298</v>
      </c>
      <c r="Q1490" s="8">
        <f>[1]Data!Q1490</f>
        <v>0.60784313725490202</v>
      </c>
      <c r="R1490" s="8">
        <f>[1]Data!R1490</f>
        <v>5.8823529411764698E-2</v>
      </c>
      <c r="S1490" s="8">
        <f>[1]Data!S1490</f>
        <v>0</v>
      </c>
      <c r="T1490">
        <f t="shared" si="115"/>
        <v>8.918406072106258E-2</v>
      </c>
      <c r="U1490">
        <f t="shared" si="116"/>
        <v>0</v>
      </c>
      <c r="V1490" s="4" t="str">
        <f t="shared" si="117"/>
        <v>5</v>
      </c>
      <c r="W1490" s="4" t="str">
        <f t="shared" si="118"/>
        <v>5</v>
      </c>
      <c r="X1490" s="4" t="str">
        <f t="shared" si="119"/>
        <v>5NON-HS5</v>
      </c>
      <c r="Y1490">
        <f>VLOOKUP(X1490,Sheet1!$J$5:$K$121,2,FALSE)</f>
        <v>5.8823529411764698E-2</v>
      </c>
    </row>
    <row r="1491" spans="1:25" x14ac:dyDescent="0.25">
      <c r="A1491" s="8">
        <f>[1]Data!A1491</f>
        <v>271701</v>
      </c>
      <c r="B1491" s="8">
        <f>[1]Data!B1491</f>
        <v>5</v>
      </c>
      <c r="C1491" s="8">
        <f>[1]Data!C1491</f>
        <v>5</v>
      </c>
      <c r="D1491" s="8">
        <f>[1]Data!D1491</f>
        <v>2</v>
      </c>
      <c r="E1491" s="8" t="str">
        <f>[1]Data!E1491</f>
        <v>NON-HS</v>
      </c>
      <c r="F1491" s="8" t="str">
        <f>[1]Data!F1491</f>
        <v>Mar Vista</v>
      </c>
      <c r="G1491" s="8">
        <f>[1]Data!G1491</f>
        <v>0</v>
      </c>
      <c r="H1491" s="8">
        <f>[1]Data!H1491</f>
        <v>1</v>
      </c>
      <c r="I1491" s="8">
        <f>[1]Data!I1491</f>
        <v>1</v>
      </c>
      <c r="J1491" s="8">
        <f>[1]Data!J1491</f>
        <v>0</v>
      </c>
      <c r="K1491" s="8">
        <f>[1]Data!K1491</f>
        <v>1</v>
      </c>
      <c r="L1491" s="8">
        <f>[1]Data!L1491</f>
        <v>0</v>
      </c>
      <c r="M1491" s="8">
        <f>[1]Data!M1491</f>
        <v>1</v>
      </c>
      <c r="N1491" s="8">
        <f>[1]Data!N1491</f>
        <v>3.2258064516128997E-2</v>
      </c>
      <c r="O1491" s="8">
        <f>[1]Data!O1491</f>
        <v>0</v>
      </c>
      <c r="P1491" s="8">
        <f>[1]Data!P1491</f>
        <v>0.33333333333333298</v>
      </c>
      <c r="Q1491" s="8">
        <f>[1]Data!Q1491</f>
        <v>0.60784313725490202</v>
      </c>
      <c r="R1491" s="8">
        <f>[1]Data!R1491</f>
        <v>5.8823529411764698E-2</v>
      </c>
      <c r="S1491" s="8">
        <f>[1]Data!S1491</f>
        <v>17</v>
      </c>
      <c r="T1491">
        <f t="shared" si="115"/>
        <v>8.918406072106258E-2</v>
      </c>
      <c r="U1491">
        <f t="shared" si="116"/>
        <v>11.212765957446813</v>
      </c>
      <c r="V1491" s="4" t="str">
        <f t="shared" si="117"/>
        <v>5</v>
      </c>
      <c r="W1491" s="4" t="str">
        <f t="shared" si="118"/>
        <v>5</v>
      </c>
      <c r="X1491" s="4" t="str">
        <f t="shared" si="119"/>
        <v>5NON-HS5</v>
      </c>
      <c r="Y1491">
        <f>VLOOKUP(X1491,Sheet1!$J$5:$K$121,2,FALSE)</f>
        <v>5.8823529411764698E-2</v>
      </c>
    </row>
    <row r="1492" spans="1:25" x14ac:dyDescent="0.25">
      <c r="A1492" s="8">
        <f>[1]Data!A1492</f>
        <v>271802</v>
      </c>
      <c r="B1492" s="8">
        <f>[1]Data!B1492</f>
        <v>5</v>
      </c>
      <c r="C1492" s="8">
        <f>[1]Data!C1492</f>
        <v>5</v>
      </c>
      <c r="D1492" s="8">
        <f>[1]Data!D1492</f>
        <v>2</v>
      </c>
      <c r="E1492" s="8" t="str">
        <f>[1]Data!E1492</f>
        <v>NON-HS</v>
      </c>
      <c r="F1492" s="8" t="str">
        <f>[1]Data!F1492</f>
        <v>Palms</v>
      </c>
      <c r="G1492" s="8">
        <f>[1]Data!G1492</f>
        <v>0</v>
      </c>
      <c r="H1492" s="8">
        <f>[1]Data!H1492</f>
        <v>0</v>
      </c>
      <c r="I1492" s="8">
        <f>[1]Data!I1492</f>
        <v>9.3019999999999996</v>
      </c>
      <c r="J1492" s="8">
        <f>[1]Data!J1492</f>
        <v>6.8891605699999996</v>
      </c>
      <c r="K1492" s="8">
        <f>[1]Data!K1492</f>
        <v>8.8891605699999996</v>
      </c>
      <c r="L1492" s="8">
        <f>[1]Data!L1492</f>
        <v>0.412595628096948</v>
      </c>
      <c r="M1492" s="8">
        <f>[1]Data!M1492</f>
        <v>9.3017561980969496</v>
      </c>
      <c r="N1492" s="8">
        <f>[1]Data!N1492</f>
        <v>3.2258064516128997E-2</v>
      </c>
      <c r="O1492" s="8">
        <f>[1]Data!O1492</f>
        <v>0</v>
      </c>
      <c r="P1492" s="8">
        <f>[1]Data!P1492</f>
        <v>0.33333333333333298</v>
      </c>
      <c r="Q1492" s="8">
        <f>[1]Data!Q1492</f>
        <v>0.60784313725490202</v>
      </c>
      <c r="R1492" s="8">
        <f>[1]Data!R1492</f>
        <v>5.8823529411764698E-2</v>
      </c>
      <c r="S1492" s="8">
        <f>[1]Data!S1492</f>
        <v>0</v>
      </c>
      <c r="T1492">
        <f t="shared" si="115"/>
        <v>8.918406072106258E-2</v>
      </c>
      <c r="U1492">
        <f t="shared" si="116"/>
        <v>0</v>
      </c>
      <c r="V1492" s="4" t="str">
        <f t="shared" si="117"/>
        <v>5</v>
      </c>
      <c r="W1492" s="4" t="str">
        <f t="shared" si="118"/>
        <v>5</v>
      </c>
      <c r="X1492" s="4" t="str">
        <f t="shared" si="119"/>
        <v>5NON-HS5</v>
      </c>
      <c r="Y1492">
        <f>VLOOKUP(X1492,Sheet1!$J$5:$K$121,2,FALSE)</f>
        <v>5.8823529411764698E-2</v>
      </c>
    </row>
    <row r="1493" spans="1:25" x14ac:dyDescent="0.25">
      <c r="A1493" s="8">
        <f>[1]Data!A1493</f>
        <v>269100</v>
      </c>
      <c r="B1493" s="8">
        <f>[1]Data!B1493</f>
        <v>5</v>
      </c>
      <c r="C1493" s="8">
        <f>[1]Data!C1493</f>
        <v>5</v>
      </c>
      <c r="D1493" s="8">
        <f>[1]Data!D1493</f>
        <v>2</v>
      </c>
      <c r="E1493" s="8" t="str">
        <f>[1]Data!E1493</f>
        <v>NON-HS</v>
      </c>
      <c r="F1493" s="8" t="str">
        <f>[1]Data!F1493</f>
        <v>Palms</v>
      </c>
      <c r="G1493" s="8">
        <f>[1]Data!G1493</f>
        <v>0</v>
      </c>
      <c r="H1493" s="8">
        <f>[1]Data!H1493</f>
        <v>0</v>
      </c>
      <c r="I1493" s="8">
        <f>[1]Data!I1493</f>
        <v>6.0209999999999999</v>
      </c>
      <c r="J1493" s="8">
        <f>[1]Data!J1493</f>
        <v>3.8885795999999999</v>
      </c>
      <c r="K1493" s="8">
        <f>[1]Data!K1493</f>
        <v>5.8885795999999999</v>
      </c>
      <c r="L1493" s="8">
        <f>[1]Data!L1493</f>
        <v>0.131797923464991</v>
      </c>
      <c r="M1493" s="8">
        <f>[1]Data!M1493</f>
        <v>6.0203775234649903</v>
      </c>
      <c r="N1493" s="8">
        <f>[1]Data!N1493</f>
        <v>3.2258064516128997E-2</v>
      </c>
      <c r="O1493" s="8">
        <f>[1]Data!O1493</f>
        <v>0</v>
      </c>
      <c r="P1493" s="8">
        <f>[1]Data!P1493</f>
        <v>0.33333333333333298</v>
      </c>
      <c r="Q1493" s="8">
        <f>[1]Data!Q1493</f>
        <v>0.60784313725490202</v>
      </c>
      <c r="R1493" s="8">
        <f>[1]Data!R1493</f>
        <v>5.8823529411764698E-2</v>
      </c>
      <c r="S1493" s="8">
        <f>[1]Data!S1493</f>
        <v>0</v>
      </c>
      <c r="T1493">
        <f t="shared" si="115"/>
        <v>8.918406072106258E-2</v>
      </c>
      <c r="U1493">
        <f t="shared" si="116"/>
        <v>0</v>
      </c>
      <c r="V1493" s="4" t="str">
        <f t="shared" si="117"/>
        <v>5</v>
      </c>
      <c r="W1493" s="4" t="str">
        <f t="shared" si="118"/>
        <v>5</v>
      </c>
      <c r="X1493" s="4" t="str">
        <f t="shared" si="119"/>
        <v>5NON-HS5</v>
      </c>
      <c r="Y1493">
        <f>VLOOKUP(X1493,Sheet1!$J$5:$K$121,2,FALSE)</f>
        <v>5.8823529411764698E-2</v>
      </c>
    </row>
    <row r="1494" spans="1:25" x14ac:dyDescent="0.25">
      <c r="A1494" s="8">
        <f>[1]Data!A1494</f>
        <v>117407</v>
      </c>
      <c r="B1494" s="8">
        <f>[1]Data!B1494</f>
        <v>2</v>
      </c>
      <c r="C1494" s="8">
        <f>[1]Data!C1494</f>
        <v>6</v>
      </c>
      <c r="D1494" s="8">
        <f>[1]Data!D1494</f>
        <v>3</v>
      </c>
      <c r="E1494" s="8" t="str">
        <f>[1]Data!E1494</f>
        <v>CVCTE</v>
      </c>
      <c r="F1494" s="8" t="str">
        <f>[1]Data!F1494</f>
        <v>North Hills</v>
      </c>
      <c r="G1494" s="8">
        <f>[1]Data!G1494</f>
        <v>0</v>
      </c>
      <c r="H1494" s="8">
        <f>[1]Data!H1494</f>
        <v>1</v>
      </c>
      <c r="I1494" s="8">
        <f>[1]Data!I1494</f>
        <v>9</v>
      </c>
      <c r="J1494" s="8">
        <f>[1]Data!J1494</f>
        <v>0</v>
      </c>
      <c r="K1494" s="8">
        <f>[1]Data!K1494</f>
        <v>9</v>
      </c>
      <c r="L1494" s="8">
        <f>[1]Data!L1494</f>
        <v>0</v>
      </c>
      <c r="M1494" s="8">
        <f>[1]Data!M1494</f>
        <v>9</v>
      </c>
      <c r="N1494" s="8">
        <f>[1]Data!N1494</f>
        <v>0.17910447761194001</v>
      </c>
      <c r="O1494" s="8">
        <f>[1]Data!O1494</f>
        <v>0</v>
      </c>
      <c r="P1494" s="8">
        <f>[1]Data!P1494</f>
        <v>0.21641791044776101</v>
      </c>
      <c r="Q1494" s="8">
        <f>[1]Data!Q1494</f>
        <v>1</v>
      </c>
      <c r="R1494" s="8">
        <f>[1]Data!R1494</f>
        <v>0.33333333333333298</v>
      </c>
      <c r="S1494" s="8">
        <f>[1]Data!S1494</f>
        <v>3</v>
      </c>
      <c r="T1494">
        <f t="shared" si="115"/>
        <v>0.45273631840795969</v>
      </c>
      <c r="U1494">
        <f t="shared" si="116"/>
        <v>2.2087912087912112</v>
      </c>
      <c r="V1494" s="4" t="str">
        <f t="shared" si="117"/>
        <v>6</v>
      </c>
      <c r="W1494" s="4" t="str">
        <f t="shared" si="118"/>
        <v>2</v>
      </c>
      <c r="X1494" s="4" t="str">
        <f t="shared" si="119"/>
        <v>6CVCTE2</v>
      </c>
      <c r="Y1494">
        <f>VLOOKUP(X1494,Sheet1!$J$5:$K$121,2,FALSE)</f>
        <v>0.33333333333333298</v>
      </c>
    </row>
    <row r="1495" spans="1:25" x14ac:dyDescent="0.25">
      <c r="A1495" s="8">
        <f>[1]Data!A1495</f>
        <v>120030</v>
      </c>
      <c r="B1495" s="8">
        <f>[1]Data!B1495</f>
        <v>2</v>
      </c>
      <c r="C1495" s="8">
        <f>[1]Data!C1495</f>
        <v>6</v>
      </c>
      <c r="D1495" s="8">
        <f>[1]Data!D1495</f>
        <v>3</v>
      </c>
      <c r="E1495" s="8" t="str">
        <f>[1]Data!E1495</f>
        <v>CVCTE</v>
      </c>
      <c r="F1495" s="8" t="str">
        <f>[1]Data!F1495</f>
        <v>Panorama City</v>
      </c>
      <c r="G1495" s="8">
        <f>[1]Data!G1495</f>
        <v>1</v>
      </c>
      <c r="H1495" s="8">
        <f>[1]Data!H1495</f>
        <v>1</v>
      </c>
      <c r="I1495" s="8">
        <f>[1]Data!I1495</f>
        <v>20.164999999999999</v>
      </c>
      <c r="J1495" s="8">
        <f>[1]Data!J1495</f>
        <v>13.498493870000001</v>
      </c>
      <c r="K1495" s="8">
        <f>[1]Data!K1495</f>
        <v>19.498493870000001</v>
      </c>
      <c r="L1495" s="8">
        <f>[1]Data!L1495</f>
        <v>0.66620300524236997</v>
      </c>
      <c r="M1495" s="8">
        <f>[1]Data!M1495</f>
        <v>20.164696875242399</v>
      </c>
      <c r="N1495" s="8">
        <f>[1]Data!N1495</f>
        <v>0.17910447761194001</v>
      </c>
      <c r="O1495" s="8">
        <f>[1]Data!O1495</f>
        <v>5.5833333333333304</v>
      </c>
      <c r="P1495" s="8">
        <f>[1]Data!P1495</f>
        <v>0.21641791044776101</v>
      </c>
      <c r="Q1495" s="8">
        <f>[1]Data!Q1495</f>
        <v>1</v>
      </c>
      <c r="R1495" s="8">
        <f>[1]Data!R1495</f>
        <v>0</v>
      </c>
      <c r="S1495" s="8">
        <f>[1]Data!S1495</f>
        <v>0</v>
      </c>
      <c r="T1495">
        <f t="shared" si="115"/>
        <v>0.45273631840795969</v>
      </c>
      <c r="U1495">
        <f t="shared" si="116"/>
        <v>2.2087912087912112</v>
      </c>
      <c r="V1495" s="4" t="str">
        <f t="shared" si="117"/>
        <v>6</v>
      </c>
      <c r="W1495" s="4" t="str">
        <f t="shared" si="118"/>
        <v>2</v>
      </c>
      <c r="X1495" s="4" t="str">
        <f t="shared" si="119"/>
        <v>6CVCTE2</v>
      </c>
      <c r="Y1495">
        <f>VLOOKUP(X1495,Sheet1!$J$5:$K$121,2,FALSE)</f>
        <v>0.33333333333333298</v>
      </c>
    </row>
    <row r="1496" spans="1:25" x14ac:dyDescent="0.25">
      <c r="A1496" s="8">
        <f>[1]Data!A1496</f>
        <v>120104</v>
      </c>
      <c r="B1496" s="8">
        <f>[1]Data!B1496</f>
        <v>2</v>
      </c>
      <c r="C1496" s="8">
        <f>[1]Data!C1496</f>
        <v>6</v>
      </c>
      <c r="D1496" s="8">
        <f>[1]Data!D1496</f>
        <v>3</v>
      </c>
      <c r="E1496" s="8" t="str">
        <f>[1]Data!E1496</f>
        <v>CVCTE</v>
      </c>
      <c r="F1496" s="8" t="str">
        <f>[1]Data!F1496</f>
        <v>Panorama City</v>
      </c>
      <c r="G1496" s="8">
        <f>[1]Data!G1496</f>
        <v>0</v>
      </c>
      <c r="H1496" s="8">
        <f>[1]Data!H1496</f>
        <v>1</v>
      </c>
      <c r="I1496" s="8">
        <f>[1]Data!I1496</f>
        <v>23.158999999999999</v>
      </c>
      <c r="J1496" s="8">
        <f>[1]Data!J1496</f>
        <v>16.827403090000001</v>
      </c>
      <c r="K1496" s="8">
        <f>[1]Data!K1496</f>
        <v>22.827403090000001</v>
      </c>
      <c r="L1496" s="8">
        <f>[1]Data!L1496</f>
        <v>0.33140197592459603</v>
      </c>
      <c r="M1496" s="8">
        <f>[1]Data!M1496</f>
        <v>23.1588050659246</v>
      </c>
      <c r="N1496" s="8">
        <f>[1]Data!N1496</f>
        <v>0.17910447761194001</v>
      </c>
      <c r="O1496" s="8">
        <f>[1]Data!O1496</f>
        <v>0</v>
      </c>
      <c r="P1496" s="8">
        <f>[1]Data!P1496</f>
        <v>0.21641791044776101</v>
      </c>
      <c r="Q1496" s="8">
        <f>[1]Data!Q1496</f>
        <v>1</v>
      </c>
      <c r="R1496" s="8">
        <f>[1]Data!R1496</f>
        <v>0.33333333333333298</v>
      </c>
      <c r="S1496" s="8">
        <f>[1]Data!S1496</f>
        <v>3</v>
      </c>
      <c r="T1496">
        <f t="shared" si="115"/>
        <v>0.45273631840795969</v>
      </c>
      <c r="U1496">
        <f t="shared" si="116"/>
        <v>2.2087912087912112</v>
      </c>
      <c r="V1496" s="4" t="str">
        <f t="shared" si="117"/>
        <v>6</v>
      </c>
      <c r="W1496" s="4" t="str">
        <f t="shared" si="118"/>
        <v>2</v>
      </c>
      <c r="X1496" s="4" t="str">
        <f t="shared" si="119"/>
        <v>6CVCTE2</v>
      </c>
      <c r="Y1496">
        <f>VLOOKUP(X1496,Sheet1!$J$5:$K$121,2,FALSE)</f>
        <v>0.33333333333333298</v>
      </c>
    </row>
    <row r="1497" spans="1:25" x14ac:dyDescent="0.25">
      <c r="A1497" s="8">
        <f>[1]Data!A1497</f>
        <v>119800</v>
      </c>
      <c r="B1497" s="8">
        <f>[1]Data!B1497</f>
        <v>2</v>
      </c>
      <c r="C1497" s="8">
        <f>[1]Data!C1497</f>
        <v>6</v>
      </c>
      <c r="D1497" s="8">
        <f>[1]Data!D1497</f>
        <v>3</v>
      </c>
      <c r="E1497" s="8" t="str">
        <f>[1]Data!E1497</f>
        <v>CVCTE</v>
      </c>
      <c r="F1497" s="8" t="str">
        <f>[1]Data!F1497</f>
        <v>Arleta</v>
      </c>
      <c r="G1497" s="8">
        <f>[1]Data!G1497</f>
        <v>0</v>
      </c>
      <c r="H1497" s="8">
        <f>[1]Data!H1497</f>
        <v>1</v>
      </c>
      <c r="I1497" s="8">
        <f>[1]Data!I1497</f>
        <v>20.212</v>
      </c>
      <c r="J1497" s="8">
        <f>[1]Data!J1497</f>
        <v>16.97217169</v>
      </c>
      <c r="K1497" s="8">
        <f>[1]Data!K1497</f>
        <v>19.97217169</v>
      </c>
      <c r="L1497" s="8">
        <f>[1]Data!L1497</f>
        <v>0.239988086947935</v>
      </c>
      <c r="M1497" s="8">
        <f>[1]Data!M1497</f>
        <v>20.2121597769479</v>
      </c>
      <c r="N1497" s="8">
        <f>[1]Data!N1497</f>
        <v>0.17910447761194001</v>
      </c>
      <c r="O1497" s="8">
        <f>[1]Data!O1497</f>
        <v>0</v>
      </c>
      <c r="P1497" s="8">
        <f>[1]Data!P1497</f>
        <v>0.21641791044776101</v>
      </c>
      <c r="Q1497" s="8">
        <f>[1]Data!Q1497</f>
        <v>1</v>
      </c>
      <c r="R1497" s="8">
        <f>[1]Data!R1497</f>
        <v>0.33333333333333298</v>
      </c>
      <c r="S1497" s="8">
        <f>[1]Data!S1497</f>
        <v>3</v>
      </c>
      <c r="T1497">
        <f t="shared" si="115"/>
        <v>0.45273631840795969</v>
      </c>
      <c r="U1497">
        <f t="shared" si="116"/>
        <v>2.2087912087912112</v>
      </c>
      <c r="V1497" s="4" t="str">
        <f t="shared" si="117"/>
        <v>6</v>
      </c>
      <c r="W1497" s="4" t="str">
        <f t="shared" si="118"/>
        <v>2</v>
      </c>
      <c r="X1497" s="4" t="str">
        <f t="shared" si="119"/>
        <v>6CVCTE2</v>
      </c>
      <c r="Y1497">
        <f>VLOOKUP(X1497,Sheet1!$J$5:$K$121,2,FALSE)</f>
        <v>0.33333333333333298</v>
      </c>
    </row>
    <row r="1498" spans="1:25" x14ac:dyDescent="0.25">
      <c r="A1498" s="8">
        <f>[1]Data!A1498</f>
        <v>119201</v>
      </c>
      <c r="B1498" s="8">
        <f>[1]Data!B1498</f>
        <v>2</v>
      </c>
      <c r="C1498" s="8">
        <f>[1]Data!C1498</f>
        <v>6</v>
      </c>
      <c r="D1498" s="8">
        <f>[1]Data!D1498</f>
        <v>3</v>
      </c>
      <c r="E1498" s="8" t="str">
        <f>[1]Data!E1498</f>
        <v>CVCTE</v>
      </c>
      <c r="F1498" s="8" t="str">
        <f>[1]Data!F1498</f>
        <v>Arleta</v>
      </c>
      <c r="G1498" s="8">
        <f>[1]Data!G1498</f>
        <v>0</v>
      </c>
      <c r="H1498" s="8">
        <f>[1]Data!H1498</f>
        <v>1</v>
      </c>
      <c r="I1498" s="8">
        <f>[1]Data!I1498</f>
        <v>16.210999999999999</v>
      </c>
      <c r="J1498" s="8">
        <f>[1]Data!J1498</f>
        <v>7.8559789200000001</v>
      </c>
      <c r="K1498" s="8">
        <f>[1]Data!K1498</f>
        <v>15.85597892</v>
      </c>
      <c r="L1498" s="8">
        <f>[1]Data!L1498</f>
        <v>0.35414312622980199</v>
      </c>
      <c r="M1498" s="8">
        <f>[1]Data!M1498</f>
        <v>16.210122046229799</v>
      </c>
      <c r="N1498" s="8">
        <f>[1]Data!N1498</f>
        <v>0.17910447761194001</v>
      </c>
      <c r="O1498" s="8">
        <f>[1]Data!O1498</f>
        <v>0</v>
      </c>
      <c r="P1498" s="8">
        <f>[1]Data!P1498</f>
        <v>0.21641791044776101</v>
      </c>
      <c r="Q1498" s="8">
        <f>[1]Data!Q1498</f>
        <v>1</v>
      </c>
      <c r="R1498" s="8">
        <f>[1]Data!R1498</f>
        <v>0.33333333333333298</v>
      </c>
      <c r="S1498" s="8">
        <f>[1]Data!S1498</f>
        <v>3</v>
      </c>
      <c r="T1498">
        <f t="shared" si="115"/>
        <v>0.45273631840795969</v>
      </c>
      <c r="U1498">
        <f t="shared" si="116"/>
        <v>2.2087912087912112</v>
      </c>
      <c r="V1498" s="4" t="str">
        <f t="shared" si="117"/>
        <v>6</v>
      </c>
      <c r="W1498" s="4" t="str">
        <f t="shared" si="118"/>
        <v>2</v>
      </c>
      <c r="X1498" s="4" t="str">
        <f t="shared" si="119"/>
        <v>6CVCTE2</v>
      </c>
      <c r="Y1498">
        <f>VLOOKUP(X1498,Sheet1!$J$5:$K$121,2,FALSE)</f>
        <v>0.33333333333333298</v>
      </c>
    </row>
    <row r="1499" spans="1:25" x14ac:dyDescent="0.25">
      <c r="A1499" s="8">
        <f>[1]Data!A1499</f>
        <v>127210</v>
      </c>
      <c r="B1499" s="8">
        <f>[1]Data!B1499</f>
        <v>2</v>
      </c>
      <c r="C1499" s="8">
        <f>[1]Data!C1499</f>
        <v>6</v>
      </c>
      <c r="D1499" s="8">
        <f>[1]Data!D1499</f>
        <v>3</v>
      </c>
      <c r="E1499" s="8" t="str">
        <f>[1]Data!E1499</f>
        <v>CVCTE</v>
      </c>
      <c r="F1499" s="8" t="str">
        <f>[1]Data!F1499</f>
        <v>Van Nuys</v>
      </c>
      <c r="G1499" s="8">
        <f>[1]Data!G1499</f>
        <v>0</v>
      </c>
      <c r="H1499" s="8">
        <f>[1]Data!H1499</f>
        <v>0</v>
      </c>
      <c r="I1499" s="8">
        <f>[1]Data!I1499</f>
        <v>29.768000000000001</v>
      </c>
      <c r="J1499" s="8">
        <f>[1]Data!J1499</f>
        <v>27.19465572</v>
      </c>
      <c r="K1499" s="8">
        <f>[1]Data!K1499</f>
        <v>29.19465572</v>
      </c>
      <c r="L1499" s="8">
        <f>[1]Data!L1499</f>
        <v>0.572766418707361</v>
      </c>
      <c r="M1499" s="8">
        <f>[1]Data!M1499</f>
        <v>29.767422138707399</v>
      </c>
      <c r="N1499" s="8">
        <f>[1]Data!N1499</f>
        <v>0.17910447761194001</v>
      </c>
      <c r="O1499" s="8">
        <f>[1]Data!O1499</f>
        <v>0</v>
      </c>
      <c r="P1499" s="8">
        <f>[1]Data!P1499</f>
        <v>0.21641791044776101</v>
      </c>
      <c r="Q1499" s="8">
        <f>[1]Data!Q1499</f>
        <v>1</v>
      </c>
      <c r="R1499" s="8">
        <f>[1]Data!R1499</f>
        <v>0.33333333333333298</v>
      </c>
      <c r="S1499" s="8">
        <f>[1]Data!S1499</f>
        <v>0</v>
      </c>
      <c r="T1499">
        <f t="shared" si="115"/>
        <v>0.45273631840795969</v>
      </c>
      <c r="U1499">
        <f t="shared" si="116"/>
        <v>0</v>
      </c>
      <c r="V1499" s="4" t="str">
        <f t="shared" si="117"/>
        <v>6</v>
      </c>
      <c r="W1499" s="4" t="str">
        <f t="shared" si="118"/>
        <v>2</v>
      </c>
      <c r="X1499" s="4" t="str">
        <f t="shared" si="119"/>
        <v>6CVCTE2</v>
      </c>
      <c r="Y1499">
        <f>VLOOKUP(X1499,Sheet1!$J$5:$K$121,2,FALSE)</f>
        <v>0.33333333333333298</v>
      </c>
    </row>
    <row r="1500" spans="1:25" x14ac:dyDescent="0.25">
      <c r="A1500" s="8">
        <f>[1]Data!A1500</f>
        <v>121900</v>
      </c>
      <c r="B1500" s="8">
        <f>[1]Data!B1500</f>
        <v>2</v>
      </c>
      <c r="C1500" s="8">
        <f>[1]Data!C1500</f>
        <v>6</v>
      </c>
      <c r="D1500" s="8">
        <f>[1]Data!D1500</f>
        <v>3</v>
      </c>
      <c r="E1500" s="8" t="str">
        <f>[1]Data!E1500</f>
        <v>CVCTE</v>
      </c>
      <c r="F1500" s="8" t="str">
        <f>[1]Data!F1500</f>
        <v>Sun Valley</v>
      </c>
      <c r="G1500" s="8">
        <f>[1]Data!G1500</f>
        <v>0</v>
      </c>
      <c r="H1500" s="8">
        <f>[1]Data!H1500</f>
        <v>0</v>
      </c>
      <c r="I1500" s="8">
        <f>[1]Data!I1500</f>
        <v>29.957000000000001</v>
      </c>
      <c r="J1500" s="8">
        <f>[1]Data!J1500</f>
        <v>22.944613950000001</v>
      </c>
      <c r="K1500" s="8">
        <f>[1]Data!K1500</f>
        <v>28.944613950000001</v>
      </c>
      <c r="L1500" s="8">
        <f>[1]Data!L1500</f>
        <v>1.0121615041472201</v>
      </c>
      <c r="M1500" s="8">
        <f>[1]Data!M1500</f>
        <v>29.956775454147198</v>
      </c>
      <c r="N1500" s="8">
        <f>[1]Data!N1500</f>
        <v>0.17910447761194001</v>
      </c>
      <c r="O1500" s="8">
        <f>[1]Data!O1500</f>
        <v>0</v>
      </c>
      <c r="P1500" s="8">
        <f>[1]Data!P1500</f>
        <v>0.21641791044776101</v>
      </c>
      <c r="Q1500" s="8">
        <f>[1]Data!Q1500</f>
        <v>1</v>
      </c>
      <c r="R1500" s="8">
        <f>[1]Data!R1500</f>
        <v>0.33333333333333298</v>
      </c>
      <c r="S1500" s="8">
        <f>[1]Data!S1500</f>
        <v>0</v>
      </c>
      <c r="T1500">
        <f t="shared" si="115"/>
        <v>0.45273631840795969</v>
      </c>
      <c r="U1500">
        <f t="shared" si="116"/>
        <v>0</v>
      </c>
      <c r="V1500" s="4" t="str">
        <f t="shared" si="117"/>
        <v>6</v>
      </c>
      <c r="W1500" s="4" t="str">
        <f t="shared" si="118"/>
        <v>2</v>
      </c>
      <c r="X1500" s="4" t="str">
        <f t="shared" si="119"/>
        <v>6CVCTE2</v>
      </c>
      <c r="Y1500">
        <f>VLOOKUP(X1500,Sheet1!$J$5:$K$121,2,FALSE)</f>
        <v>0.33333333333333298</v>
      </c>
    </row>
    <row r="1501" spans="1:25" x14ac:dyDescent="0.25">
      <c r="A1501" s="8">
        <f>[1]Data!A1501</f>
        <v>119002</v>
      </c>
      <c r="B1501" s="8">
        <f>[1]Data!B1501</f>
        <v>2</v>
      </c>
      <c r="C1501" s="8">
        <f>[1]Data!C1501</f>
        <v>6</v>
      </c>
      <c r="D1501" s="8">
        <f>[1]Data!D1501</f>
        <v>3</v>
      </c>
      <c r="E1501" s="8" t="str">
        <f>[1]Data!E1501</f>
        <v>CVCTE</v>
      </c>
      <c r="F1501" s="8" t="str">
        <f>[1]Data!F1501</f>
        <v>Arleta</v>
      </c>
      <c r="G1501" s="8">
        <f>[1]Data!G1501</f>
        <v>1</v>
      </c>
      <c r="H1501" s="8">
        <f>[1]Data!H1501</f>
        <v>1</v>
      </c>
      <c r="I1501" s="8">
        <f>[1]Data!I1501</f>
        <v>19.422000000000001</v>
      </c>
      <c r="J1501" s="8">
        <f>[1]Data!J1501</f>
        <v>17.991170790000002</v>
      </c>
      <c r="K1501" s="8">
        <f>[1]Data!K1501</f>
        <v>18.991170790000002</v>
      </c>
      <c r="L1501" s="8">
        <f>[1]Data!L1501</f>
        <v>0.43022701321364498</v>
      </c>
      <c r="M1501" s="8">
        <f>[1]Data!M1501</f>
        <v>19.421397803213601</v>
      </c>
      <c r="N1501" s="8">
        <f>[1]Data!N1501</f>
        <v>0.17910447761194001</v>
      </c>
      <c r="O1501" s="8">
        <f>[1]Data!O1501</f>
        <v>5.5833333333333304</v>
      </c>
      <c r="P1501" s="8">
        <f>[1]Data!P1501</f>
        <v>0.21641791044776101</v>
      </c>
      <c r="Q1501" s="8">
        <f>[1]Data!Q1501</f>
        <v>1</v>
      </c>
      <c r="R1501" s="8">
        <f>[1]Data!R1501</f>
        <v>0</v>
      </c>
      <c r="S1501" s="8">
        <f>[1]Data!S1501</f>
        <v>0</v>
      </c>
      <c r="T1501">
        <f t="shared" si="115"/>
        <v>0.45273631840795969</v>
      </c>
      <c r="U1501">
        <f t="shared" si="116"/>
        <v>2.2087912087912112</v>
      </c>
      <c r="V1501" s="4" t="str">
        <f t="shared" si="117"/>
        <v>6</v>
      </c>
      <c r="W1501" s="4" t="str">
        <f t="shared" si="118"/>
        <v>2</v>
      </c>
      <c r="X1501" s="4" t="str">
        <f t="shared" si="119"/>
        <v>6CVCTE2</v>
      </c>
      <c r="Y1501">
        <f>VLOOKUP(X1501,Sheet1!$J$5:$K$121,2,FALSE)</f>
        <v>0.33333333333333298</v>
      </c>
    </row>
    <row r="1502" spans="1:25" x14ac:dyDescent="0.25">
      <c r="A1502" s="8">
        <f>[1]Data!A1502</f>
        <v>127803</v>
      </c>
      <c r="B1502" s="8">
        <f>[1]Data!B1502</f>
        <v>2</v>
      </c>
      <c r="C1502" s="8">
        <f>[1]Data!C1502</f>
        <v>6</v>
      </c>
      <c r="D1502" s="8">
        <f>[1]Data!D1502</f>
        <v>3</v>
      </c>
      <c r="E1502" s="8" t="str">
        <f>[1]Data!E1502</f>
        <v>CVCTE</v>
      </c>
      <c r="F1502" s="8" t="str">
        <f>[1]Data!F1502</f>
        <v>Van Nuys</v>
      </c>
      <c r="G1502" s="8">
        <f>[1]Data!G1502</f>
        <v>1</v>
      </c>
      <c r="H1502" s="8">
        <f>[1]Data!H1502</f>
        <v>1</v>
      </c>
      <c r="I1502" s="8">
        <f>[1]Data!I1502</f>
        <v>21.622</v>
      </c>
      <c r="J1502" s="8">
        <f>[1]Data!J1502</f>
        <v>13.450332960000001</v>
      </c>
      <c r="K1502" s="8">
        <f>[1]Data!K1502</f>
        <v>21.450332960000001</v>
      </c>
      <c r="L1502" s="8">
        <f>[1]Data!L1502</f>
        <v>0.171935454075404</v>
      </c>
      <c r="M1502" s="8">
        <f>[1]Data!M1502</f>
        <v>21.6222684140754</v>
      </c>
      <c r="N1502" s="8">
        <f>[1]Data!N1502</f>
        <v>0.17910447761194001</v>
      </c>
      <c r="O1502" s="8">
        <f>[1]Data!O1502</f>
        <v>5.5833333333333304</v>
      </c>
      <c r="P1502" s="8">
        <f>[1]Data!P1502</f>
        <v>0.21641791044776101</v>
      </c>
      <c r="Q1502" s="8">
        <f>[1]Data!Q1502</f>
        <v>1</v>
      </c>
      <c r="R1502" s="8">
        <f>[1]Data!R1502</f>
        <v>0</v>
      </c>
      <c r="S1502" s="8">
        <f>[1]Data!S1502</f>
        <v>0</v>
      </c>
      <c r="T1502">
        <f t="shared" si="115"/>
        <v>0.45273631840795969</v>
      </c>
      <c r="U1502">
        <f t="shared" si="116"/>
        <v>2.2087912087912112</v>
      </c>
      <c r="V1502" s="4" t="str">
        <f t="shared" si="117"/>
        <v>6</v>
      </c>
      <c r="W1502" s="4" t="str">
        <f t="shared" si="118"/>
        <v>2</v>
      </c>
      <c r="X1502" s="4" t="str">
        <f t="shared" si="119"/>
        <v>6CVCTE2</v>
      </c>
      <c r="Y1502">
        <f>VLOOKUP(X1502,Sheet1!$J$5:$K$121,2,FALSE)</f>
        <v>0.33333333333333298</v>
      </c>
    </row>
    <row r="1503" spans="1:25" x14ac:dyDescent="0.25">
      <c r="A1503" s="8">
        <f>[1]Data!A1503</f>
        <v>117408</v>
      </c>
      <c r="B1503" s="8">
        <f>[1]Data!B1503</f>
        <v>2</v>
      </c>
      <c r="C1503" s="8">
        <f>[1]Data!C1503</f>
        <v>6</v>
      </c>
      <c r="D1503" s="8">
        <f>[1]Data!D1503</f>
        <v>3</v>
      </c>
      <c r="E1503" s="8" t="str">
        <f>[1]Data!E1503</f>
        <v>CVCTE</v>
      </c>
      <c r="F1503" s="8" t="str">
        <f>[1]Data!F1503</f>
        <v>North Hills</v>
      </c>
      <c r="G1503" s="8">
        <f>[1]Data!G1503</f>
        <v>0</v>
      </c>
      <c r="H1503" s="8">
        <f>[1]Data!H1503</f>
        <v>0</v>
      </c>
      <c r="I1503" s="8">
        <f>[1]Data!I1503</f>
        <v>57.393000000000001</v>
      </c>
      <c r="J1503" s="8">
        <f>[1]Data!J1503</f>
        <v>29.02913418</v>
      </c>
      <c r="K1503" s="8">
        <f>[1]Data!K1503</f>
        <v>57.02913418</v>
      </c>
      <c r="L1503" s="8">
        <f>[1]Data!L1503</f>
        <v>0.36362962055655301</v>
      </c>
      <c r="M1503" s="8">
        <f>[1]Data!M1503</f>
        <v>57.392763800556601</v>
      </c>
      <c r="N1503" s="8">
        <f>[1]Data!N1503</f>
        <v>0.17910447761194001</v>
      </c>
      <c r="O1503" s="8">
        <f>[1]Data!O1503</f>
        <v>0</v>
      </c>
      <c r="P1503" s="8">
        <f>[1]Data!P1503</f>
        <v>0.21641791044776101</v>
      </c>
      <c r="Q1503" s="8">
        <f>[1]Data!Q1503</f>
        <v>1</v>
      </c>
      <c r="R1503" s="8">
        <f>[1]Data!R1503</f>
        <v>0.33333333333333298</v>
      </c>
      <c r="S1503" s="8">
        <f>[1]Data!S1503</f>
        <v>0</v>
      </c>
      <c r="T1503">
        <f t="shared" si="115"/>
        <v>0.45273631840795969</v>
      </c>
      <c r="U1503">
        <f t="shared" si="116"/>
        <v>0</v>
      </c>
      <c r="V1503" s="4" t="str">
        <f t="shared" si="117"/>
        <v>6</v>
      </c>
      <c r="W1503" s="4" t="str">
        <f t="shared" si="118"/>
        <v>2</v>
      </c>
      <c r="X1503" s="4" t="str">
        <f t="shared" si="119"/>
        <v>6CVCTE2</v>
      </c>
      <c r="Y1503">
        <f>VLOOKUP(X1503,Sheet1!$J$5:$K$121,2,FALSE)</f>
        <v>0.33333333333333298</v>
      </c>
    </row>
    <row r="1504" spans="1:25" x14ac:dyDescent="0.25">
      <c r="A1504" s="8">
        <f>[1]Data!A1504</f>
        <v>128210</v>
      </c>
      <c r="B1504" s="8">
        <f>[1]Data!B1504</f>
        <v>2</v>
      </c>
      <c r="C1504" s="8">
        <f>[1]Data!C1504</f>
        <v>6</v>
      </c>
      <c r="D1504" s="8">
        <f>[1]Data!D1504</f>
        <v>3</v>
      </c>
      <c r="E1504" s="8" t="str">
        <f>[1]Data!E1504</f>
        <v>CVCTE</v>
      </c>
      <c r="F1504" s="8" t="str">
        <f>[1]Data!F1504</f>
        <v>Van Nuys</v>
      </c>
      <c r="G1504" s="8">
        <f>[1]Data!G1504</f>
        <v>0</v>
      </c>
      <c r="H1504" s="8">
        <f>[1]Data!H1504</f>
        <v>0</v>
      </c>
      <c r="I1504" s="8">
        <f>[1]Data!I1504</f>
        <v>47.017000000000003</v>
      </c>
      <c r="J1504" s="8">
        <f>[1]Data!J1504</f>
        <v>34.837799369999999</v>
      </c>
      <c r="K1504" s="8">
        <f>[1]Data!K1504</f>
        <v>45.837799369999999</v>
      </c>
      <c r="L1504" s="8">
        <f>[1]Data!L1504</f>
        <v>1.1796707791741501</v>
      </c>
      <c r="M1504" s="8">
        <f>[1]Data!M1504</f>
        <v>47.017470149174102</v>
      </c>
      <c r="N1504" s="8">
        <f>[1]Data!N1504</f>
        <v>0.17910447761194001</v>
      </c>
      <c r="O1504" s="8">
        <f>[1]Data!O1504</f>
        <v>0</v>
      </c>
      <c r="P1504" s="8">
        <f>[1]Data!P1504</f>
        <v>0.21641791044776101</v>
      </c>
      <c r="Q1504" s="8">
        <f>[1]Data!Q1504</f>
        <v>1</v>
      </c>
      <c r="R1504" s="8">
        <f>[1]Data!R1504</f>
        <v>0.33333333333333298</v>
      </c>
      <c r="S1504" s="8">
        <f>[1]Data!S1504</f>
        <v>0</v>
      </c>
      <c r="T1504">
        <f t="shared" si="115"/>
        <v>0.45273631840795969</v>
      </c>
      <c r="U1504">
        <f t="shared" si="116"/>
        <v>0</v>
      </c>
      <c r="V1504" s="4" t="str">
        <f t="shared" si="117"/>
        <v>6</v>
      </c>
      <c r="W1504" s="4" t="str">
        <f t="shared" si="118"/>
        <v>2</v>
      </c>
      <c r="X1504" s="4" t="str">
        <f t="shared" si="119"/>
        <v>6CVCTE2</v>
      </c>
      <c r="Y1504">
        <f>VLOOKUP(X1504,Sheet1!$J$5:$K$121,2,FALSE)</f>
        <v>0.33333333333333298</v>
      </c>
    </row>
    <row r="1505" spans="1:25" x14ac:dyDescent="0.25">
      <c r="A1505" s="8">
        <f>[1]Data!A1505</f>
        <v>120020</v>
      </c>
      <c r="B1505" s="8">
        <f>[1]Data!B1505</f>
        <v>2</v>
      </c>
      <c r="C1505" s="8">
        <f>[1]Data!C1505</f>
        <v>6</v>
      </c>
      <c r="D1505" s="8">
        <f>[1]Data!D1505</f>
        <v>3</v>
      </c>
      <c r="E1505" s="8" t="str">
        <f>[1]Data!E1505</f>
        <v>CVCTE</v>
      </c>
      <c r="F1505" s="8" t="str">
        <f>[1]Data!F1505</f>
        <v>Panorama City</v>
      </c>
      <c r="G1505" s="8">
        <f>[1]Data!G1505</f>
        <v>0</v>
      </c>
      <c r="H1505" s="8">
        <f>[1]Data!H1505</f>
        <v>0</v>
      </c>
      <c r="I1505" s="8">
        <f>[1]Data!I1505</f>
        <v>17.712</v>
      </c>
      <c r="J1505" s="8">
        <f>[1]Data!J1505</f>
        <v>16.11962467</v>
      </c>
      <c r="K1505" s="8">
        <f>[1]Data!K1505</f>
        <v>17.11962467</v>
      </c>
      <c r="L1505" s="8">
        <f>[1]Data!L1505</f>
        <v>0.59218873436265695</v>
      </c>
      <c r="M1505" s="8">
        <f>[1]Data!M1505</f>
        <v>17.711813404362701</v>
      </c>
      <c r="N1505" s="8">
        <f>[1]Data!N1505</f>
        <v>0.17910447761194001</v>
      </c>
      <c r="O1505" s="8">
        <f>[1]Data!O1505</f>
        <v>0</v>
      </c>
      <c r="P1505" s="8">
        <f>[1]Data!P1505</f>
        <v>0.21641791044776101</v>
      </c>
      <c r="Q1505" s="8">
        <f>[1]Data!Q1505</f>
        <v>1</v>
      </c>
      <c r="R1505" s="8">
        <f>[1]Data!R1505</f>
        <v>0.33333333333333298</v>
      </c>
      <c r="S1505" s="8">
        <f>[1]Data!S1505</f>
        <v>0</v>
      </c>
      <c r="T1505">
        <f t="shared" si="115"/>
        <v>0.45273631840795969</v>
      </c>
      <c r="U1505">
        <f t="shared" si="116"/>
        <v>0</v>
      </c>
      <c r="V1505" s="4" t="str">
        <f t="shared" si="117"/>
        <v>6</v>
      </c>
      <c r="W1505" s="4" t="str">
        <f t="shared" si="118"/>
        <v>2</v>
      </c>
      <c r="X1505" s="4" t="str">
        <f t="shared" si="119"/>
        <v>6CVCTE2</v>
      </c>
      <c r="Y1505">
        <f>VLOOKUP(X1505,Sheet1!$J$5:$K$121,2,FALSE)</f>
        <v>0.33333333333333298</v>
      </c>
    </row>
    <row r="1506" spans="1:25" x14ac:dyDescent="0.25">
      <c r="A1506" s="8">
        <f>[1]Data!A1506</f>
        <v>127910</v>
      </c>
      <c r="B1506" s="8">
        <f>[1]Data!B1506</f>
        <v>2</v>
      </c>
      <c r="C1506" s="8">
        <f>[1]Data!C1506</f>
        <v>6</v>
      </c>
      <c r="D1506" s="8">
        <f>[1]Data!D1506</f>
        <v>3</v>
      </c>
      <c r="E1506" s="8" t="str">
        <f>[1]Data!E1506</f>
        <v>CVCTE</v>
      </c>
      <c r="F1506" s="8" t="str">
        <f>[1]Data!F1506</f>
        <v>Van Nuys</v>
      </c>
      <c r="G1506" s="8">
        <f>[1]Data!G1506</f>
        <v>0</v>
      </c>
      <c r="H1506" s="8">
        <f>[1]Data!H1506</f>
        <v>0</v>
      </c>
      <c r="I1506" s="8">
        <f>[1]Data!I1506</f>
        <v>9.6289999999999996</v>
      </c>
      <c r="J1506" s="8">
        <f>[1]Data!J1506</f>
        <v>3.5861715599999999</v>
      </c>
      <c r="K1506" s="8">
        <f>[1]Data!K1506</f>
        <v>9.5861715600000004</v>
      </c>
      <c r="L1506" s="8">
        <f>[1]Data!L1506</f>
        <v>4.2117253842010802E-2</v>
      </c>
      <c r="M1506" s="8">
        <f>[1]Data!M1506</f>
        <v>9.6282888138420102</v>
      </c>
      <c r="N1506" s="8">
        <f>[1]Data!N1506</f>
        <v>0.17910447761194001</v>
      </c>
      <c r="O1506" s="8">
        <f>[1]Data!O1506</f>
        <v>0</v>
      </c>
      <c r="P1506" s="8">
        <f>[1]Data!P1506</f>
        <v>0.21641791044776101</v>
      </c>
      <c r="Q1506" s="8">
        <f>[1]Data!Q1506</f>
        <v>1</v>
      </c>
      <c r="R1506" s="8">
        <f>[1]Data!R1506</f>
        <v>0.33333333333333298</v>
      </c>
      <c r="S1506" s="8">
        <f>[1]Data!S1506</f>
        <v>0</v>
      </c>
      <c r="T1506">
        <f t="shared" si="115"/>
        <v>0.45273631840795969</v>
      </c>
      <c r="U1506">
        <f t="shared" si="116"/>
        <v>0</v>
      </c>
      <c r="V1506" s="4" t="str">
        <f t="shared" si="117"/>
        <v>6</v>
      </c>
      <c r="W1506" s="4" t="str">
        <f t="shared" si="118"/>
        <v>2</v>
      </c>
      <c r="X1506" s="4" t="str">
        <f t="shared" si="119"/>
        <v>6CVCTE2</v>
      </c>
      <c r="Y1506">
        <f>VLOOKUP(X1506,Sheet1!$J$5:$K$121,2,FALSE)</f>
        <v>0.33333333333333298</v>
      </c>
    </row>
    <row r="1507" spans="1:25" x14ac:dyDescent="0.25">
      <c r="A1507" s="8">
        <f>[1]Data!A1507</f>
        <v>122122</v>
      </c>
      <c r="B1507" s="8">
        <f>[1]Data!B1507</f>
        <v>2</v>
      </c>
      <c r="C1507" s="8">
        <f>[1]Data!C1507</f>
        <v>6</v>
      </c>
      <c r="D1507" s="8">
        <f>[1]Data!D1507</f>
        <v>3</v>
      </c>
      <c r="E1507" s="8" t="str">
        <f>[1]Data!E1507</f>
        <v>CVCTE</v>
      </c>
      <c r="F1507" s="8" t="str">
        <f>[1]Data!F1507</f>
        <v>Sun Valley</v>
      </c>
      <c r="G1507" s="8">
        <f>[1]Data!G1507</f>
        <v>0</v>
      </c>
      <c r="H1507" s="8">
        <f>[1]Data!H1507</f>
        <v>0</v>
      </c>
      <c r="I1507" s="8">
        <f>[1]Data!I1507</f>
        <v>97.873999999999995</v>
      </c>
      <c r="J1507" s="8">
        <f>[1]Data!J1507</f>
        <v>60.339891690000002</v>
      </c>
      <c r="K1507" s="8">
        <f>[1]Data!K1507</f>
        <v>95.339891690000002</v>
      </c>
      <c r="L1507" s="8">
        <f>[1]Data!L1507</f>
        <v>2.5341490906822299</v>
      </c>
      <c r="M1507" s="8">
        <f>[1]Data!M1507</f>
        <v>97.874040780682193</v>
      </c>
      <c r="N1507" s="8">
        <f>[1]Data!N1507</f>
        <v>0.17910447761194001</v>
      </c>
      <c r="O1507" s="8">
        <f>[1]Data!O1507</f>
        <v>0</v>
      </c>
      <c r="P1507" s="8">
        <f>[1]Data!P1507</f>
        <v>0.21641791044776101</v>
      </c>
      <c r="Q1507" s="8">
        <f>[1]Data!Q1507</f>
        <v>1</v>
      </c>
      <c r="R1507" s="8">
        <f>[1]Data!R1507</f>
        <v>0.33333333333333298</v>
      </c>
      <c r="S1507" s="8">
        <f>[1]Data!S1507</f>
        <v>0</v>
      </c>
      <c r="T1507">
        <f t="shared" si="115"/>
        <v>0.45273631840795969</v>
      </c>
      <c r="U1507">
        <f t="shared" si="116"/>
        <v>0</v>
      </c>
      <c r="V1507" s="4" t="str">
        <f t="shared" si="117"/>
        <v>6</v>
      </c>
      <c r="W1507" s="4" t="str">
        <f t="shared" si="118"/>
        <v>2</v>
      </c>
      <c r="X1507" s="4" t="str">
        <f t="shared" si="119"/>
        <v>6CVCTE2</v>
      </c>
      <c r="Y1507">
        <f>VLOOKUP(X1507,Sheet1!$J$5:$K$121,2,FALSE)</f>
        <v>0.33333333333333298</v>
      </c>
    </row>
    <row r="1508" spans="1:25" x14ac:dyDescent="0.25">
      <c r="A1508" s="8">
        <f>[1]Data!A1508</f>
        <v>117530</v>
      </c>
      <c r="B1508" s="8">
        <f>[1]Data!B1508</f>
        <v>2</v>
      </c>
      <c r="C1508" s="8">
        <f>[1]Data!C1508</f>
        <v>6</v>
      </c>
      <c r="D1508" s="8">
        <f>[1]Data!D1508</f>
        <v>3</v>
      </c>
      <c r="E1508" s="8" t="str">
        <f>[1]Data!E1508</f>
        <v>CVCTE</v>
      </c>
      <c r="F1508" s="8" t="str">
        <f>[1]Data!F1508</f>
        <v>North Hills</v>
      </c>
      <c r="G1508" s="8">
        <f>[1]Data!G1508</f>
        <v>0</v>
      </c>
      <c r="H1508" s="8">
        <f>[1]Data!H1508</f>
        <v>0</v>
      </c>
      <c r="I1508" s="8">
        <f>[1]Data!I1508</f>
        <v>70.838999999999999</v>
      </c>
      <c r="J1508" s="8">
        <f>[1]Data!J1508</f>
        <v>23.538082679999999</v>
      </c>
      <c r="K1508" s="8">
        <f>[1]Data!K1508</f>
        <v>70.538082680000002</v>
      </c>
      <c r="L1508" s="8">
        <f>[1]Data!L1508</f>
        <v>0.30088704463195698</v>
      </c>
      <c r="M1508" s="8">
        <f>[1]Data!M1508</f>
        <v>70.838969724631994</v>
      </c>
      <c r="N1508" s="8">
        <f>[1]Data!N1508</f>
        <v>0.17910447761194001</v>
      </c>
      <c r="O1508" s="8">
        <f>[1]Data!O1508</f>
        <v>0</v>
      </c>
      <c r="P1508" s="8">
        <f>[1]Data!P1508</f>
        <v>0.21641791044776101</v>
      </c>
      <c r="Q1508" s="8">
        <f>[1]Data!Q1508</f>
        <v>1</v>
      </c>
      <c r="R1508" s="8">
        <f>[1]Data!R1508</f>
        <v>0.33333333333333298</v>
      </c>
      <c r="S1508" s="8">
        <f>[1]Data!S1508</f>
        <v>0</v>
      </c>
      <c r="T1508">
        <f t="shared" si="115"/>
        <v>0.45273631840795969</v>
      </c>
      <c r="U1508">
        <f t="shared" si="116"/>
        <v>0</v>
      </c>
      <c r="V1508" s="4" t="str">
        <f t="shared" si="117"/>
        <v>6</v>
      </c>
      <c r="W1508" s="4" t="str">
        <f t="shared" si="118"/>
        <v>2</v>
      </c>
      <c r="X1508" s="4" t="str">
        <f t="shared" si="119"/>
        <v>6CVCTE2</v>
      </c>
      <c r="Y1508">
        <f>VLOOKUP(X1508,Sheet1!$J$5:$K$121,2,FALSE)</f>
        <v>0.33333333333333298</v>
      </c>
    </row>
    <row r="1509" spans="1:25" x14ac:dyDescent="0.25">
      <c r="A1509" s="8">
        <f>[1]Data!A1509</f>
        <v>119202</v>
      </c>
      <c r="B1509" s="8">
        <f>[1]Data!B1509</f>
        <v>2</v>
      </c>
      <c r="C1509" s="8">
        <f>[1]Data!C1509</f>
        <v>6</v>
      </c>
      <c r="D1509" s="8">
        <f>[1]Data!D1509</f>
        <v>3</v>
      </c>
      <c r="E1509" s="8" t="str">
        <f>[1]Data!E1509</f>
        <v>CVCTE</v>
      </c>
      <c r="F1509" s="8" t="str">
        <f>[1]Data!F1509</f>
        <v>Arleta</v>
      </c>
      <c r="G1509" s="8">
        <f>[1]Data!G1509</f>
        <v>0</v>
      </c>
      <c r="H1509" s="8">
        <f>[1]Data!H1509</f>
        <v>0</v>
      </c>
      <c r="I1509" s="8">
        <f>[1]Data!I1509</f>
        <v>2.0950000000000002</v>
      </c>
      <c r="J1509" s="8">
        <f>[1]Data!J1509</f>
        <v>1.9836996600000001</v>
      </c>
      <c r="K1509" s="8">
        <f>[1]Data!K1509</f>
        <v>1.9836996600000001</v>
      </c>
      <c r="L1509" s="8">
        <f>[1]Data!L1509</f>
        <v>0.11117260138240601</v>
      </c>
      <c r="M1509" s="8">
        <f>[1]Data!M1509</f>
        <v>2.09487226138241</v>
      </c>
      <c r="N1509" s="8">
        <f>[1]Data!N1509</f>
        <v>0.17910447761194001</v>
      </c>
      <c r="O1509" s="8">
        <f>[1]Data!O1509</f>
        <v>0</v>
      </c>
      <c r="P1509" s="8">
        <f>[1]Data!P1509</f>
        <v>0.21641791044776101</v>
      </c>
      <c r="Q1509" s="8">
        <f>[1]Data!Q1509</f>
        <v>1</v>
      </c>
      <c r="R1509" s="8">
        <f>[1]Data!R1509</f>
        <v>0.33333333333333298</v>
      </c>
      <c r="S1509" s="8">
        <f>[1]Data!S1509</f>
        <v>0</v>
      </c>
      <c r="T1509">
        <f t="shared" si="115"/>
        <v>0.45273631840795969</v>
      </c>
      <c r="U1509">
        <f t="shared" si="116"/>
        <v>0</v>
      </c>
      <c r="V1509" s="4" t="str">
        <f t="shared" si="117"/>
        <v>6</v>
      </c>
      <c r="W1509" s="4" t="str">
        <f t="shared" si="118"/>
        <v>2</v>
      </c>
      <c r="X1509" s="4" t="str">
        <f t="shared" si="119"/>
        <v>6CVCTE2</v>
      </c>
      <c r="Y1509">
        <f>VLOOKUP(X1509,Sheet1!$J$5:$K$121,2,FALSE)</f>
        <v>0.33333333333333298</v>
      </c>
    </row>
    <row r="1510" spans="1:25" x14ac:dyDescent="0.25">
      <c r="A1510" s="8">
        <f>[1]Data!A1510</f>
        <v>127220</v>
      </c>
      <c r="B1510" s="8">
        <f>[1]Data!B1510</f>
        <v>2</v>
      </c>
      <c r="C1510" s="8">
        <f>[1]Data!C1510</f>
        <v>6</v>
      </c>
      <c r="D1510" s="8">
        <f>[1]Data!D1510</f>
        <v>3</v>
      </c>
      <c r="E1510" s="8" t="str">
        <f>[1]Data!E1510</f>
        <v>CVCTE</v>
      </c>
      <c r="F1510" s="8" t="str">
        <f>[1]Data!F1510</f>
        <v>Van Nuys</v>
      </c>
      <c r="G1510" s="8">
        <f>[1]Data!G1510</f>
        <v>0</v>
      </c>
      <c r="H1510" s="8">
        <f>[1]Data!H1510</f>
        <v>0</v>
      </c>
      <c r="I1510" s="8">
        <f>[1]Data!I1510</f>
        <v>22.026</v>
      </c>
      <c r="J1510" s="8">
        <f>[1]Data!J1510</f>
        <v>16.552314419999998</v>
      </c>
      <c r="K1510" s="8">
        <f>[1]Data!K1510</f>
        <v>21.552314419999998</v>
      </c>
      <c r="L1510" s="8">
        <f>[1]Data!L1510</f>
        <v>0.47397285667863598</v>
      </c>
      <c r="M1510" s="8">
        <f>[1]Data!M1510</f>
        <v>22.026287276678602</v>
      </c>
      <c r="N1510" s="8">
        <f>[1]Data!N1510</f>
        <v>0.17910447761194001</v>
      </c>
      <c r="O1510" s="8">
        <f>[1]Data!O1510</f>
        <v>0</v>
      </c>
      <c r="P1510" s="8">
        <f>[1]Data!P1510</f>
        <v>0.21641791044776101</v>
      </c>
      <c r="Q1510" s="8">
        <f>[1]Data!Q1510</f>
        <v>1</v>
      </c>
      <c r="R1510" s="8">
        <f>[1]Data!R1510</f>
        <v>0.33333333333333298</v>
      </c>
      <c r="S1510" s="8">
        <f>[1]Data!S1510</f>
        <v>0</v>
      </c>
      <c r="T1510">
        <f t="shared" si="115"/>
        <v>0.45273631840795969</v>
      </c>
      <c r="U1510">
        <f t="shared" si="116"/>
        <v>0</v>
      </c>
      <c r="V1510" s="4" t="str">
        <f t="shared" si="117"/>
        <v>6</v>
      </c>
      <c r="W1510" s="4" t="str">
        <f t="shared" si="118"/>
        <v>2</v>
      </c>
      <c r="X1510" s="4" t="str">
        <f t="shared" si="119"/>
        <v>6CVCTE2</v>
      </c>
      <c r="Y1510">
        <f>VLOOKUP(X1510,Sheet1!$J$5:$K$121,2,FALSE)</f>
        <v>0.33333333333333298</v>
      </c>
    </row>
    <row r="1511" spans="1:25" x14ac:dyDescent="0.25">
      <c r="A1511" s="8">
        <f>[1]Data!A1511</f>
        <v>119001</v>
      </c>
      <c r="B1511" s="8">
        <f>[1]Data!B1511</f>
        <v>2</v>
      </c>
      <c r="C1511" s="8">
        <f>[1]Data!C1511</f>
        <v>6</v>
      </c>
      <c r="D1511" s="8">
        <f>[1]Data!D1511</f>
        <v>3</v>
      </c>
      <c r="E1511" s="8" t="str">
        <f>[1]Data!E1511</f>
        <v>CVCTE</v>
      </c>
      <c r="F1511" s="8" t="str">
        <f>[1]Data!F1511</f>
        <v>Arleta</v>
      </c>
      <c r="G1511" s="8">
        <f>[1]Data!G1511</f>
        <v>0</v>
      </c>
      <c r="H1511" s="8">
        <f>[1]Data!H1511</f>
        <v>1</v>
      </c>
      <c r="I1511" s="8">
        <f>[1]Data!I1511</f>
        <v>3.6859999999999999</v>
      </c>
      <c r="J1511" s="8">
        <f>[1]Data!J1511</f>
        <v>3.4228962300000001</v>
      </c>
      <c r="K1511" s="8">
        <f>[1]Data!K1511</f>
        <v>3.4228962300000001</v>
      </c>
      <c r="L1511" s="8">
        <f>[1]Data!L1511</f>
        <v>0.26262460752244199</v>
      </c>
      <c r="M1511" s="8">
        <f>[1]Data!M1511</f>
        <v>3.6855208375224402</v>
      </c>
      <c r="N1511" s="8">
        <f>[1]Data!N1511</f>
        <v>0.17910447761194001</v>
      </c>
      <c r="O1511" s="8">
        <f>[1]Data!O1511</f>
        <v>0</v>
      </c>
      <c r="P1511" s="8">
        <f>[1]Data!P1511</f>
        <v>0.21641791044776101</v>
      </c>
      <c r="Q1511" s="8">
        <f>[1]Data!Q1511</f>
        <v>1</v>
      </c>
      <c r="R1511" s="8">
        <f>[1]Data!R1511</f>
        <v>0.33333333333333298</v>
      </c>
      <c r="S1511" s="8">
        <f>[1]Data!S1511</f>
        <v>3</v>
      </c>
      <c r="T1511">
        <f t="shared" si="115"/>
        <v>0.45273631840795969</v>
      </c>
      <c r="U1511">
        <f t="shared" si="116"/>
        <v>2.2087912087912112</v>
      </c>
      <c r="V1511" s="4" t="str">
        <f t="shared" si="117"/>
        <v>6</v>
      </c>
      <c r="W1511" s="4" t="str">
        <f t="shared" si="118"/>
        <v>2</v>
      </c>
      <c r="X1511" s="4" t="str">
        <f t="shared" si="119"/>
        <v>6CVCTE2</v>
      </c>
      <c r="Y1511">
        <f>VLOOKUP(X1511,Sheet1!$J$5:$K$121,2,FALSE)</f>
        <v>0.33333333333333298</v>
      </c>
    </row>
    <row r="1512" spans="1:25" x14ac:dyDescent="0.25">
      <c r="A1512" s="8">
        <f>[1]Data!A1512</f>
        <v>127605</v>
      </c>
      <c r="B1512" s="8">
        <f>[1]Data!B1512</f>
        <v>2</v>
      </c>
      <c r="C1512" s="8">
        <f>[1]Data!C1512</f>
        <v>6</v>
      </c>
      <c r="D1512" s="8">
        <f>[1]Data!D1512</f>
        <v>3</v>
      </c>
      <c r="E1512" s="8" t="str">
        <f>[1]Data!E1512</f>
        <v>CVCTE</v>
      </c>
      <c r="F1512" s="8" t="str">
        <f>[1]Data!F1512</f>
        <v>Lake Balboa</v>
      </c>
      <c r="G1512" s="8">
        <f>[1]Data!G1512</f>
        <v>0</v>
      </c>
      <c r="H1512" s="8">
        <f>[1]Data!H1512</f>
        <v>1</v>
      </c>
      <c r="I1512" s="8">
        <f>[1]Data!I1512</f>
        <v>30.155000000000001</v>
      </c>
      <c r="J1512" s="8">
        <f>[1]Data!J1512</f>
        <v>23.502506740000001</v>
      </c>
      <c r="K1512" s="8">
        <f>[1]Data!K1512</f>
        <v>28.502506740000001</v>
      </c>
      <c r="L1512" s="8">
        <f>[1]Data!L1512</f>
        <v>1.65334448351885</v>
      </c>
      <c r="M1512" s="8">
        <f>[1]Data!M1512</f>
        <v>30.155851223518901</v>
      </c>
      <c r="N1512" s="8">
        <f>[1]Data!N1512</f>
        <v>0.17910447761194001</v>
      </c>
      <c r="O1512" s="8">
        <f>[1]Data!O1512</f>
        <v>0</v>
      </c>
      <c r="P1512" s="8">
        <f>[1]Data!P1512</f>
        <v>0.21641791044776101</v>
      </c>
      <c r="Q1512" s="8">
        <f>[1]Data!Q1512</f>
        <v>1</v>
      </c>
      <c r="R1512" s="8">
        <f>[1]Data!R1512</f>
        <v>0.33333333333333298</v>
      </c>
      <c r="S1512" s="8">
        <f>[1]Data!S1512</f>
        <v>3</v>
      </c>
      <c r="T1512">
        <f t="shared" si="115"/>
        <v>0.45273631840795969</v>
      </c>
      <c r="U1512">
        <f t="shared" si="116"/>
        <v>2.2087912087912112</v>
      </c>
      <c r="V1512" s="4" t="str">
        <f t="shared" si="117"/>
        <v>6</v>
      </c>
      <c r="W1512" s="4" t="str">
        <f t="shared" si="118"/>
        <v>2</v>
      </c>
      <c r="X1512" s="4" t="str">
        <f t="shared" si="119"/>
        <v>6CVCTE2</v>
      </c>
      <c r="Y1512">
        <f>VLOOKUP(X1512,Sheet1!$J$5:$K$121,2,FALSE)</f>
        <v>0.33333333333333298</v>
      </c>
    </row>
    <row r="1513" spans="1:25" x14ac:dyDescent="0.25">
      <c r="A1513" s="8">
        <f>[1]Data!A1513</f>
        <v>121222</v>
      </c>
      <c r="B1513" s="8">
        <f>[1]Data!B1513</f>
        <v>2</v>
      </c>
      <c r="C1513" s="8">
        <f>[1]Data!C1513</f>
        <v>6</v>
      </c>
      <c r="D1513" s="8">
        <f>[1]Data!D1513</f>
        <v>3</v>
      </c>
      <c r="E1513" s="8" t="str">
        <f>[1]Data!E1513</f>
        <v>CVCTE</v>
      </c>
      <c r="F1513" s="8" t="str">
        <f>[1]Data!F1513</f>
        <v>Sun Valley</v>
      </c>
      <c r="G1513" s="8">
        <f>[1]Data!G1513</f>
        <v>0</v>
      </c>
      <c r="H1513" s="8">
        <f>[1]Data!H1513</f>
        <v>0</v>
      </c>
      <c r="I1513" s="8">
        <f>[1]Data!I1513</f>
        <v>28.477</v>
      </c>
      <c r="J1513" s="8">
        <f>[1]Data!J1513</f>
        <v>26.86914818</v>
      </c>
      <c r="K1513" s="8">
        <f>[1]Data!K1513</f>
        <v>26.86914818</v>
      </c>
      <c r="L1513" s="8">
        <f>[1]Data!L1513</f>
        <v>1.60749177953321</v>
      </c>
      <c r="M1513" s="8">
        <f>[1]Data!M1513</f>
        <v>28.476639959533198</v>
      </c>
      <c r="N1513" s="8">
        <f>[1]Data!N1513</f>
        <v>0.17910447761194001</v>
      </c>
      <c r="O1513" s="8">
        <f>[1]Data!O1513</f>
        <v>0</v>
      </c>
      <c r="P1513" s="8">
        <f>[1]Data!P1513</f>
        <v>0.21641791044776101</v>
      </c>
      <c r="Q1513" s="8">
        <f>[1]Data!Q1513</f>
        <v>1</v>
      </c>
      <c r="R1513" s="8">
        <f>[1]Data!R1513</f>
        <v>0.33333333333333298</v>
      </c>
      <c r="S1513" s="8">
        <f>[1]Data!S1513</f>
        <v>0</v>
      </c>
      <c r="T1513">
        <f t="shared" si="115"/>
        <v>0.45273631840795969</v>
      </c>
      <c r="U1513">
        <f t="shared" si="116"/>
        <v>0</v>
      </c>
      <c r="V1513" s="4" t="str">
        <f t="shared" si="117"/>
        <v>6</v>
      </c>
      <c r="W1513" s="4" t="str">
        <f t="shared" si="118"/>
        <v>2</v>
      </c>
      <c r="X1513" s="4" t="str">
        <f t="shared" si="119"/>
        <v>6CVCTE2</v>
      </c>
      <c r="Y1513">
        <f>VLOOKUP(X1513,Sheet1!$J$5:$K$121,2,FALSE)</f>
        <v>0.33333333333333298</v>
      </c>
    </row>
    <row r="1514" spans="1:25" x14ac:dyDescent="0.25">
      <c r="A1514" s="8">
        <f>[1]Data!A1514</f>
        <v>127520</v>
      </c>
      <c r="B1514" s="8">
        <f>[1]Data!B1514</f>
        <v>2</v>
      </c>
      <c r="C1514" s="8">
        <f>[1]Data!C1514</f>
        <v>6</v>
      </c>
      <c r="D1514" s="8">
        <f>[1]Data!D1514</f>
        <v>3</v>
      </c>
      <c r="E1514" s="8" t="str">
        <f>[1]Data!E1514</f>
        <v>CVCTE</v>
      </c>
      <c r="F1514" s="8" t="str">
        <f>[1]Data!F1514</f>
        <v>North Hills</v>
      </c>
      <c r="G1514" s="8">
        <f>[1]Data!G1514</f>
        <v>0</v>
      </c>
      <c r="H1514" s="8">
        <f>[1]Data!H1514</f>
        <v>1</v>
      </c>
      <c r="I1514" s="8">
        <f>[1]Data!I1514</f>
        <v>51.731000000000002</v>
      </c>
      <c r="J1514" s="8">
        <f>[1]Data!J1514</f>
        <v>18.49420782</v>
      </c>
      <c r="K1514" s="8">
        <f>[1]Data!K1514</f>
        <v>51.49420782</v>
      </c>
      <c r="L1514" s="8">
        <f>[1]Data!L1514</f>
        <v>0.23641124935367999</v>
      </c>
      <c r="M1514" s="8">
        <f>[1]Data!M1514</f>
        <v>51.7306190693537</v>
      </c>
      <c r="N1514" s="8">
        <f>[1]Data!N1514</f>
        <v>0.17910447761194001</v>
      </c>
      <c r="O1514" s="8">
        <f>[1]Data!O1514</f>
        <v>0</v>
      </c>
      <c r="P1514" s="8">
        <f>[1]Data!P1514</f>
        <v>0.21641791044776101</v>
      </c>
      <c r="Q1514" s="8">
        <f>[1]Data!Q1514</f>
        <v>1</v>
      </c>
      <c r="R1514" s="8">
        <f>[1]Data!R1514</f>
        <v>0.33333333333333298</v>
      </c>
      <c r="S1514" s="8">
        <f>[1]Data!S1514</f>
        <v>3</v>
      </c>
      <c r="T1514">
        <f t="shared" si="115"/>
        <v>0.45273631840795969</v>
      </c>
      <c r="U1514">
        <f t="shared" si="116"/>
        <v>2.2087912087912112</v>
      </c>
      <c r="V1514" s="4" t="str">
        <f t="shared" si="117"/>
        <v>6</v>
      </c>
      <c r="W1514" s="4" t="str">
        <f t="shared" si="118"/>
        <v>2</v>
      </c>
      <c r="X1514" s="4" t="str">
        <f t="shared" si="119"/>
        <v>6CVCTE2</v>
      </c>
      <c r="Y1514">
        <f>VLOOKUP(X1514,Sheet1!$J$5:$K$121,2,FALSE)</f>
        <v>0.33333333333333298</v>
      </c>
    </row>
    <row r="1515" spans="1:25" x14ac:dyDescent="0.25">
      <c r="A1515" s="8">
        <f>[1]Data!A1515</f>
        <v>121010</v>
      </c>
      <c r="B1515" s="8">
        <f>[1]Data!B1515</f>
        <v>2</v>
      </c>
      <c r="C1515" s="8">
        <f>[1]Data!C1515</f>
        <v>6</v>
      </c>
      <c r="D1515" s="8">
        <f>[1]Data!D1515</f>
        <v>3</v>
      </c>
      <c r="E1515" s="8" t="str">
        <f>[1]Data!E1515</f>
        <v>CVCTE</v>
      </c>
      <c r="F1515" s="8" t="str">
        <f>[1]Data!F1515</f>
        <v>Sun Valley</v>
      </c>
      <c r="G1515" s="8">
        <f>[1]Data!G1515</f>
        <v>0</v>
      </c>
      <c r="H1515" s="8">
        <f>[1]Data!H1515</f>
        <v>0</v>
      </c>
      <c r="I1515" s="8">
        <f>[1]Data!I1515</f>
        <v>35.116999999999997</v>
      </c>
      <c r="J1515" s="8">
        <f>[1]Data!J1515</f>
        <v>26.081491079999999</v>
      </c>
      <c r="K1515" s="8">
        <f>[1]Data!K1515</f>
        <v>34.081491079999999</v>
      </c>
      <c r="L1515" s="8">
        <f>[1]Data!L1515</f>
        <v>1.0353981543267501</v>
      </c>
      <c r="M1515" s="8">
        <f>[1]Data!M1515</f>
        <v>35.116889234326798</v>
      </c>
      <c r="N1515" s="8">
        <f>[1]Data!N1515</f>
        <v>0.17910447761194001</v>
      </c>
      <c r="O1515" s="8">
        <f>[1]Data!O1515</f>
        <v>0</v>
      </c>
      <c r="P1515" s="8">
        <f>[1]Data!P1515</f>
        <v>0.21641791044776101</v>
      </c>
      <c r="Q1515" s="8">
        <f>[1]Data!Q1515</f>
        <v>1</v>
      </c>
      <c r="R1515" s="8">
        <f>[1]Data!R1515</f>
        <v>0.33333333333333298</v>
      </c>
      <c r="S1515" s="8">
        <f>[1]Data!S1515</f>
        <v>0</v>
      </c>
      <c r="T1515">
        <f t="shared" si="115"/>
        <v>0.45273631840795969</v>
      </c>
      <c r="U1515">
        <f t="shared" si="116"/>
        <v>0</v>
      </c>
      <c r="V1515" s="4" t="str">
        <f t="shared" si="117"/>
        <v>6</v>
      </c>
      <c r="W1515" s="4" t="str">
        <f t="shared" si="118"/>
        <v>2</v>
      </c>
      <c r="X1515" s="4" t="str">
        <f t="shared" si="119"/>
        <v>6CVCTE2</v>
      </c>
      <c r="Y1515">
        <f>VLOOKUP(X1515,Sheet1!$J$5:$K$121,2,FALSE)</f>
        <v>0.33333333333333298</v>
      </c>
    </row>
    <row r="1516" spans="1:25" x14ac:dyDescent="0.25">
      <c r="A1516" s="8">
        <f>[1]Data!A1516</f>
        <v>127400</v>
      </c>
      <c r="B1516" s="8">
        <f>[1]Data!B1516</f>
        <v>2</v>
      </c>
      <c r="C1516" s="8">
        <f>[1]Data!C1516</f>
        <v>6</v>
      </c>
      <c r="D1516" s="8">
        <f>[1]Data!D1516</f>
        <v>3</v>
      </c>
      <c r="E1516" s="8" t="str">
        <f>[1]Data!E1516</f>
        <v>CVCTE</v>
      </c>
      <c r="F1516" s="8" t="str">
        <f>[1]Data!F1516</f>
        <v>Lake Balboa</v>
      </c>
      <c r="G1516" s="8">
        <f>[1]Data!G1516</f>
        <v>0</v>
      </c>
      <c r="H1516" s="8">
        <f>[1]Data!H1516</f>
        <v>0</v>
      </c>
      <c r="I1516" s="8">
        <f>[1]Data!I1516</f>
        <v>35.220999999999997</v>
      </c>
      <c r="J1516" s="8">
        <f>[1]Data!J1516</f>
        <v>33.420486179999997</v>
      </c>
      <c r="K1516" s="8">
        <f>[1]Data!K1516</f>
        <v>33.420486179999997</v>
      </c>
      <c r="L1516" s="8">
        <f>[1]Data!L1516</f>
        <v>1.8002535538779201</v>
      </c>
      <c r="M1516" s="8">
        <f>[1]Data!M1516</f>
        <v>35.220739733877899</v>
      </c>
      <c r="N1516" s="8">
        <f>[1]Data!N1516</f>
        <v>0.17910447761194001</v>
      </c>
      <c r="O1516" s="8">
        <f>[1]Data!O1516</f>
        <v>0</v>
      </c>
      <c r="P1516" s="8">
        <f>[1]Data!P1516</f>
        <v>0.21641791044776101</v>
      </c>
      <c r="Q1516" s="8">
        <f>[1]Data!Q1516</f>
        <v>1</v>
      </c>
      <c r="R1516" s="8">
        <f>[1]Data!R1516</f>
        <v>0.33333333333333298</v>
      </c>
      <c r="S1516" s="8">
        <f>[1]Data!S1516</f>
        <v>0</v>
      </c>
      <c r="T1516">
        <f t="shared" si="115"/>
        <v>0.45273631840795969</v>
      </c>
      <c r="U1516">
        <f t="shared" si="116"/>
        <v>0</v>
      </c>
      <c r="V1516" s="4" t="str">
        <f t="shared" si="117"/>
        <v>6</v>
      </c>
      <c r="W1516" s="4" t="str">
        <f t="shared" si="118"/>
        <v>2</v>
      </c>
      <c r="X1516" s="4" t="str">
        <f t="shared" si="119"/>
        <v>6CVCTE2</v>
      </c>
      <c r="Y1516">
        <f>VLOOKUP(X1516,Sheet1!$J$5:$K$121,2,FALSE)</f>
        <v>0.33333333333333298</v>
      </c>
    </row>
    <row r="1517" spans="1:25" x14ac:dyDescent="0.25">
      <c r="A1517" s="8">
        <f>[1]Data!A1517</f>
        <v>980024</v>
      </c>
      <c r="B1517" s="8">
        <f>[1]Data!B1517</f>
        <v>2</v>
      </c>
      <c r="C1517" s="8">
        <f>[1]Data!C1517</f>
        <v>6</v>
      </c>
      <c r="D1517" s="8">
        <f>[1]Data!D1517</f>
        <v>3</v>
      </c>
      <c r="E1517" s="8" t="str">
        <f>[1]Data!E1517</f>
        <v>CVCTE</v>
      </c>
      <c r="F1517" s="8" t="str">
        <f>[1]Data!F1517</f>
        <v>Lake Balboa</v>
      </c>
      <c r="G1517" s="8">
        <f>[1]Data!G1517</f>
        <v>1</v>
      </c>
      <c r="H1517" s="8">
        <f>[1]Data!H1517</f>
        <v>1</v>
      </c>
      <c r="I1517" s="8">
        <f>[1]Data!I1517</f>
        <v>253.64699999999999</v>
      </c>
      <c r="J1517" s="8">
        <f>[1]Data!J1517</f>
        <v>227.01261133</v>
      </c>
      <c r="K1517" s="8">
        <f>[1]Data!K1517</f>
        <v>250.01261133</v>
      </c>
      <c r="L1517" s="8">
        <f>[1]Data!L1517</f>
        <v>3.6317295063554802</v>
      </c>
      <c r="M1517" s="8">
        <f>[1]Data!M1517</f>
        <v>253.64434083635501</v>
      </c>
      <c r="N1517" s="8">
        <f>[1]Data!N1517</f>
        <v>0.17910447761194001</v>
      </c>
      <c r="O1517" s="8">
        <f>[1]Data!O1517</f>
        <v>5.5833333333333304</v>
      </c>
      <c r="P1517" s="8">
        <f>[1]Data!P1517</f>
        <v>0.21641791044776101</v>
      </c>
      <c r="Q1517" s="8">
        <f>[1]Data!Q1517</f>
        <v>1</v>
      </c>
      <c r="R1517" s="8">
        <f>[1]Data!R1517</f>
        <v>0</v>
      </c>
      <c r="S1517" s="8">
        <f>[1]Data!S1517</f>
        <v>0</v>
      </c>
      <c r="T1517">
        <f t="shared" si="115"/>
        <v>0.45273631840795969</v>
      </c>
      <c r="U1517">
        <f t="shared" si="116"/>
        <v>2.2087912087912112</v>
      </c>
      <c r="V1517" s="4" t="str">
        <f t="shared" si="117"/>
        <v>6</v>
      </c>
      <c r="W1517" s="4" t="str">
        <f t="shared" si="118"/>
        <v>2</v>
      </c>
      <c r="X1517" s="4" t="str">
        <f t="shared" si="119"/>
        <v>6CVCTE2</v>
      </c>
      <c r="Y1517">
        <f>VLOOKUP(X1517,Sheet1!$J$5:$K$121,2,FALSE)</f>
        <v>0.33333333333333298</v>
      </c>
    </row>
    <row r="1518" spans="1:25" x14ac:dyDescent="0.25">
      <c r="A1518" s="8">
        <f>[1]Data!A1518</f>
        <v>127606</v>
      </c>
      <c r="B1518" s="8">
        <f>[1]Data!B1518</f>
        <v>2</v>
      </c>
      <c r="C1518" s="8">
        <f>[1]Data!C1518</f>
        <v>6</v>
      </c>
      <c r="D1518" s="8">
        <f>[1]Data!D1518</f>
        <v>3</v>
      </c>
      <c r="E1518" s="8" t="str">
        <f>[1]Data!E1518</f>
        <v>CVCTE</v>
      </c>
      <c r="F1518" s="8" t="str">
        <f>[1]Data!F1518</f>
        <v>Lake Balboa</v>
      </c>
      <c r="G1518" s="8">
        <f>[1]Data!G1518</f>
        <v>0</v>
      </c>
      <c r="H1518" s="8">
        <f>[1]Data!H1518</f>
        <v>1</v>
      </c>
      <c r="I1518" s="8">
        <f>[1]Data!I1518</f>
        <v>18.853999999999999</v>
      </c>
      <c r="J1518" s="8">
        <f>[1]Data!J1518</f>
        <v>16.61334617</v>
      </c>
      <c r="K1518" s="8">
        <f>[1]Data!K1518</f>
        <v>17.61334617</v>
      </c>
      <c r="L1518" s="8">
        <f>[1]Data!L1518</f>
        <v>1.2407488554218999</v>
      </c>
      <c r="M1518" s="8">
        <f>[1]Data!M1518</f>
        <v>18.854095025421898</v>
      </c>
      <c r="N1518" s="8">
        <f>[1]Data!N1518</f>
        <v>0.17910447761194001</v>
      </c>
      <c r="O1518" s="8">
        <f>[1]Data!O1518</f>
        <v>0</v>
      </c>
      <c r="P1518" s="8">
        <f>[1]Data!P1518</f>
        <v>0.21641791044776101</v>
      </c>
      <c r="Q1518" s="8">
        <f>[1]Data!Q1518</f>
        <v>1</v>
      </c>
      <c r="R1518" s="8">
        <f>[1]Data!R1518</f>
        <v>0.33333333333333298</v>
      </c>
      <c r="S1518" s="8">
        <f>[1]Data!S1518</f>
        <v>3</v>
      </c>
      <c r="T1518">
        <f t="shared" si="115"/>
        <v>0.45273631840795969</v>
      </c>
      <c r="U1518">
        <f t="shared" si="116"/>
        <v>2.2087912087912112</v>
      </c>
      <c r="V1518" s="4" t="str">
        <f t="shared" si="117"/>
        <v>6</v>
      </c>
      <c r="W1518" s="4" t="str">
        <f t="shared" si="118"/>
        <v>2</v>
      </c>
      <c r="X1518" s="4" t="str">
        <f t="shared" si="119"/>
        <v>6CVCTE2</v>
      </c>
      <c r="Y1518">
        <f>VLOOKUP(X1518,Sheet1!$J$5:$K$121,2,FALSE)</f>
        <v>0.33333333333333298</v>
      </c>
    </row>
    <row r="1519" spans="1:25" x14ac:dyDescent="0.25">
      <c r="A1519" s="8">
        <f>[1]Data!A1519</f>
        <v>127806</v>
      </c>
      <c r="B1519" s="8">
        <f>[1]Data!B1519</f>
        <v>2</v>
      </c>
      <c r="C1519" s="8">
        <f>[1]Data!C1519</f>
        <v>6</v>
      </c>
      <c r="D1519" s="8">
        <f>[1]Data!D1519</f>
        <v>3</v>
      </c>
      <c r="E1519" s="8" t="str">
        <f>[1]Data!E1519</f>
        <v>CVCTE</v>
      </c>
      <c r="F1519" s="8" t="str">
        <f>[1]Data!F1519</f>
        <v>Van Nuys</v>
      </c>
      <c r="G1519" s="8">
        <f>[1]Data!G1519</f>
        <v>0</v>
      </c>
      <c r="H1519" s="8">
        <f>[1]Data!H1519</f>
        <v>0</v>
      </c>
      <c r="I1519" s="8">
        <f>[1]Data!I1519</f>
        <v>33.905999999999999</v>
      </c>
      <c r="J1519" s="8">
        <f>[1]Data!J1519</f>
        <v>31.91603812</v>
      </c>
      <c r="K1519" s="8">
        <f>[1]Data!K1519</f>
        <v>32.916038120000003</v>
      </c>
      <c r="L1519" s="8">
        <f>[1]Data!L1519</f>
        <v>0.98942035384201099</v>
      </c>
      <c r="M1519" s="8">
        <f>[1]Data!M1519</f>
        <v>33.905458473842003</v>
      </c>
      <c r="N1519" s="8">
        <f>[1]Data!N1519</f>
        <v>0.17910447761194001</v>
      </c>
      <c r="O1519" s="8">
        <f>[1]Data!O1519</f>
        <v>0</v>
      </c>
      <c r="P1519" s="8">
        <f>[1]Data!P1519</f>
        <v>0.21641791044776101</v>
      </c>
      <c r="Q1519" s="8">
        <f>[1]Data!Q1519</f>
        <v>1</v>
      </c>
      <c r="R1519" s="8">
        <f>[1]Data!R1519</f>
        <v>0.33333333333333298</v>
      </c>
      <c r="S1519" s="8">
        <f>[1]Data!S1519</f>
        <v>0</v>
      </c>
      <c r="T1519">
        <f t="shared" si="115"/>
        <v>0.45273631840795969</v>
      </c>
      <c r="U1519">
        <f t="shared" si="116"/>
        <v>0</v>
      </c>
      <c r="V1519" s="4" t="str">
        <f t="shared" si="117"/>
        <v>6</v>
      </c>
      <c r="W1519" s="4" t="str">
        <f t="shared" si="118"/>
        <v>2</v>
      </c>
      <c r="X1519" s="4" t="str">
        <f t="shared" si="119"/>
        <v>6CVCTE2</v>
      </c>
      <c r="Y1519">
        <f>VLOOKUP(X1519,Sheet1!$J$5:$K$121,2,FALSE)</f>
        <v>0.33333333333333298</v>
      </c>
    </row>
    <row r="1520" spans="1:25" x14ac:dyDescent="0.25">
      <c r="A1520" s="8">
        <f>[1]Data!A1520</f>
        <v>127300</v>
      </c>
      <c r="B1520" s="8">
        <f>[1]Data!B1520</f>
        <v>2</v>
      </c>
      <c r="C1520" s="8">
        <f>[1]Data!C1520</f>
        <v>6</v>
      </c>
      <c r="D1520" s="8">
        <f>[1]Data!D1520</f>
        <v>3</v>
      </c>
      <c r="E1520" s="8" t="str">
        <f>[1]Data!E1520</f>
        <v>CVCTE</v>
      </c>
      <c r="F1520" s="8" t="str">
        <f>[1]Data!F1520</f>
        <v>Van Nuys</v>
      </c>
      <c r="G1520" s="8">
        <f>[1]Data!G1520</f>
        <v>0</v>
      </c>
      <c r="H1520" s="8">
        <f>[1]Data!H1520</f>
        <v>0</v>
      </c>
      <c r="I1520" s="8">
        <f>[1]Data!I1520</f>
        <v>50.994999999999997</v>
      </c>
      <c r="J1520" s="8">
        <f>[1]Data!J1520</f>
        <v>44.001595829999999</v>
      </c>
      <c r="K1520" s="8">
        <f>[1]Data!K1520</f>
        <v>50.001595829999999</v>
      </c>
      <c r="L1520" s="8">
        <f>[1]Data!L1520</f>
        <v>0.99408979897666105</v>
      </c>
      <c r="M1520" s="8">
        <f>[1]Data!M1520</f>
        <v>50.995685628976702</v>
      </c>
      <c r="N1520" s="8">
        <f>[1]Data!N1520</f>
        <v>0.17910447761194001</v>
      </c>
      <c r="O1520" s="8">
        <f>[1]Data!O1520</f>
        <v>0</v>
      </c>
      <c r="P1520" s="8">
        <f>[1]Data!P1520</f>
        <v>0.21641791044776101</v>
      </c>
      <c r="Q1520" s="8">
        <f>[1]Data!Q1520</f>
        <v>1</v>
      </c>
      <c r="R1520" s="8">
        <f>[1]Data!R1520</f>
        <v>0.33333333333333298</v>
      </c>
      <c r="S1520" s="8">
        <f>[1]Data!S1520</f>
        <v>0</v>
      </c>
      <c r="T1520">
        <f t="shared" si="115"/>
        <v>0.45273631840795969</v>
      </c>
      <c r="U1520">
        <f t="shared" si="116"/>
        <v>0</v>
      </c>
      <c r="V1520" s="4" t="str">
        <f t="shared" si="117"/>
        <v>6</v>
      </c>
      <c r="W1520" s="4" t="str">
        <f t="shared" si="118"/>
        <v>2</v>
      </c>
      <c r="X1520" s="4" t="str">
        <f t="shared" si="119"/>
        <v>6CVCTE2</v>
      </c>
      <c r="Y1520">
        <f>VLOOKUP(X1520,Sheet1!$J$5:$K$121,2,FALSE)</f>
        <v>0.33333333333333298</v>
      </c>
    </row>
    <row r="1521" spans="1:25" x14ac:dyDescent="0.25">
      <c r="A1521" s="8">
        <f>[1]Data!A1521</f>
        <v>121102</v>
      </c>
      <c r="B1521" s="8">
        <f>[1]Data!B1521</f>
        <v>2</v>
      </c>
      <c r="C1521" s="8">
        <f>[1]Data!C1521</f>
        <v>6</v>
      </c>
      <c r="D1521" s="8">
        <f>[1]Data!D1521</f>
        <v>3</v>
      </c>
      <c r="E1521" s="8" t="str">
        <f>[1]Data!E1521</f>
        <v>CVCTE</v>
      </c>
      <c r="F1521" s="8" t="str">
        <f>[1]Data!F1521</f>
        <v>Sun Valley</v>
      </c>
      <c r="G1521" s="8">
        <f>[1]Data!G1521</f>
        <v>1</v>
      </c>
      <c r="H1521" s="8">
        <f>[1]Data!H1521</f>
        <v>1</v>
      </c>
      <c r="I1521" s="8">
        <f>[1]Data!I1521</f>
        <v>57.58</v>
      </c>
      <c r="J1521" s="8">
        <f>[1]Data!J1521</f>
        <v>52.283429480000002</v>
      </c>
      <c r="K1521" s="8">
        <f>[1]Data!K1521</f>
        <v>55.283429480000002</v>
      </c>
      <c r="L1521" s="8">
        <f>[1]Data!L1521</f>
        <v>2.2963217097127502</v>
      </c>
      <c r="M1521" s="8">
        <f>[1]Data!M1521</f>
        <v>57.579751189712802</v>
      </c>
      <c r="N1521" s="8">
        <f>[1]Data!N1521</f>
        <v>0.17910447761194001</v>
      </c>
      <c r="O1521" s="8">
        <f>[1]Data!O1521</f>
        <v>5.5833333333333304</v>
      </c>
      <c r="P1521" s="8">
        <f>[1]Data!P1521</f>
        <v>0.21641791044776101</v>
      </c>
      <c r="Q1521" s="8">
        <f>[1]Data!Q1521</f>
        <v>1</v>
      </c>
      <c r="R1521" s="8">
        <f>[1]Data!R1521</f>
        <v>0</v>
      </c>
      <c r="S1521" s="8">
        <f>[1]Data!S1521</f>
        <v>0</v>
      </c>
      <c r="T1521">
        <f t="shared" si="115"/>
        <v>0.45273631840795969</v>
      </c>
      <c r="U1521">
        <f t="shared" si="116"/>
        <v>2.2087912087912112</v>
      </c>
      <c r="V1521" s="4" t="str">
        <f t="shared" si="117"/>
        <v>6</v>
      </c>
      <c r="W1521" s="4" t="str">
        <f t="shared" si="118"/>
        <v>2</v>
      </c>
      <c r="X1521" s="4" t="str">
        <f t="shared" si="119"/>
        <v>6CVCTE2</v>
      </c>
      <c r="Y1521">
        <f>VLOOKUP(X1521,Sheet1!$J$5:$K$121,2,FALSE)</f>
        <v>0.33333333333333298</v>
      </c>
    </row>
    <row r="1522" spans="1:25" x14ac:dyDescent="0.25">
      <c r="A1522" s="8">
        <f>[1]Data!A1522</f>
        <v>121210</v>
      </c>
      <c r="B1522" s="8">
        <f>[1]Data!B1522</f>
        <v>2</v>
      </c>
      <c r="C1522" s="8">
        <f>[1]Data!C1522</f>
        <v>6</v>
      </c>
      <c r="D1522" s="8">
        <f>[1]Data!D1522</f>
        <v>3</v>
      </c>
      <c r="E1522" s="8" t="str">
        <f>[1]Data!E1522</f>
        <v>CVCTE</v>
      </c>
      <c r="F1522" s="8" t="str">
        <f>[1]Data!F1522</f>
        <v>Sun Valley</v>
      </c>
      <c r="G1522" s="8">
        <f>[1]Data!G1522</f>
        <v>0</v>
      </c>
      <c r="H1522" s="8">
        <f>[1]Data!H1522</f>
        <v>0</v>
      </c>
      <c r="I1522" s="8">
        <f>[1]Data!I1522</f>
        <v>25.138000000000002</v>
      </c>
      <c r="J1522" s="8">
        <f>[1]Data!J1522</f>
        <v>23.804395920000001</v>
      </c>
      <c r="K1522" s="8">
        <f>[1]Data!K1522</f>
        <v>23.804395920000001</v>
      </c>
      <c r="L1522" s="8">
        <f>[1]Data!L1522</f>
        <v>1.33407121658887</v>
      </c>
      <c r="M1522" s="8">
        <f>[1]Data!M1522</f>
        <v>25.138467136588901</v>
      </c>
      <c r="N1522" s="8">
        <f>[1]Data!N1522</f>
        <v>0.17910447761194001</v>
      </c>
      <c r="O1522" s="8">
        <f>[1]Data!O1522</f>
        <v>0</v>
      </c>
      <c r="P1522" s="8">
        <f>[1]Data!P1522</f>
        <v>0.21641791044776101</v>
      </c>
      <c r="Q1522" s="8">
        <f>[1]Data!Q1522</f>
        <v>1</v>
      </c>
      <c r="R1522" s="8">
        <f>[1]Data!R1522</f>
        <v>0.33333333333333298</v>
      </c>
      <c r="S1522" s="8">
        <f>[1]Data!S1522</f>
        <v>0</v>
      </c>
      <c r="T1522">
        <f t="shared" si="115"/>
        <v>0.45273631840795969</v>
      </c>
      <c r="U1522">
        <f t="shared" si="116"/>
        <v>0</v>
      </c>
      <c r="V1522" s="4" t="str">
        <f t="shared" si="117"/>
        <v>6</v>
      </c>
      <c r="W1522" s="4" t="str">
        <f t="shared" si="118"/>
        <v>2</v>
      </c>
      <c r="X1522" s="4" t="str">
        <f t="shared" si="119"/>
        <v>6CVCTE2</v>
      </c>
      <c r="Y1522">
        <f>VLOOKUP(X1522,Sheet1!$J$5:$K$121,2,FALSE)</f>
        <v>0.33333333333333298</v>
      </c>
    </row>
    <row r="1523" spans="1:25" x14ac:dyDescent="0.25">
      <c r="A1523" s="8">
        <f>[1]Data!A1523</f>
        <v>128303</v>
      </c>
      <c r="B1523" s="8">
        <f>[1]Data!B1523</f>
        <v>2</v>
      </c>
      <c r="C1523" s="8">
        <f>[1]Data!C1523</f>
        <v>6</v>
      </c>
      <c r="D1523" s="8">
        <f>[1]Data!D1523</f>
        <v>3</v>
      </c>
      <c r="E1523" s="8" t="str">
        <f>[1]Data!E1523</f>
        <v>FAMILY</v>
      </c>
      <c r="F1523" s="8" t="str">
        <f>[1]Data!F1523</f>
        <v>Van Nuys</v>
      </c>
      <c r="G1523" s="8">
        <f>[1]Data!G1523</f>
        <v>1</v>
      </c>
      <c r="H1523" s="8">
        <f>[1]Data!H1523</f>
        <v>1</v>
      </c>
      <c r="I1523" s="8">
        <f>[1]Data!I1523</f>
        <v>8.7240000000000002</v>
      </c>
      <c r="J1523" s="8">
        <f>[1]Data!J1523</f>
        <v>5.5698712199999996</v>
      </c>
      <c r="K1523" s="8">
        <f>[1]Data!K1523</f>
        <v>8.5698712199999996</v>
      </c>
      <c r="L1523" s="8">
        <f>[1]Data!L1523</f>
        <v>0.15328985522441699</v>
      </c>
      <c r="M1523" s="8">
        <f>[1]Data!M1523</f>
        <v>8.7231610752244197</v>
      </c>
      <c r="N1523" s="8">
        <f>[1]Data!N1523</f>
        <v>1</v>
      </c>
      <c r="O1523" s="8">
        <f>[1]Data!O1523</f>
        <v>1</v>
      </c>
      <c r="P1523" s="8">
        <f>[1]Data!P1523</f>
        <v>0</v>
      </c>
      <c r="Q1523" s="8">
        <f>[1]Data!Q1523</f>
        <v>0</v>
      </c>
      <c r="R1523" s="8">
        <f>[1]Data!R1523</f>
        <v>0</v>
      </c>
      <c r="S1523" s="8">
        <f>[1]Data!S1523</f>
        <v>0</v>
      </c>
      <c r="T1523">
        <f t="shared" si="115"/>
        <v>1</v>
      </c>
      <c r="U1523">
        <f t="shared" si="116"/>
        <v>1</v>
      </c>
      <c r="V1523" s="4" t="str">
        <f t="shared" si="117"/>
        <v>6</v>
      </c>
      <c r="W1523" s="4" t="str">
        <f t="shared" si="118"/>
        <v>2</v>
      </c>
      <c r="X1523" s="4" t="str">
        <f t="shared" si="119"/>
        <v>6FAMILY2</v>
      </c>
      <c r="Y1523">
        <f>VLOOKUP(X1523,Sheet1!$J$5:$K$121,2,FALSE)</f>
        <v>0</v>
      </c>
    </row>
    <row r="1524" spans="1:25" x14ac:dyDescent="0.25">
      <c r="A1524" s="8">
        <f>[1]Data!A1524</f>
        <v>121802</v>
      </c>
      <c r="B1524" s="8">
        <f>[1]Data!B1524</f>
        <v>2</v>
      </c>
      <c r="C1524" s="8">
        <f>[1]Data!C1524</f>
        <v>6</v>
      </c>
      <c r="D1524" s="8">
        <f>[1]Data!D1524</f>
        <v>3</v>
      </c>
      <c r="E1524" s="8" t="str">
        <f>[1]Data!E1524</f>
        <v>FAMILY</v>
      </c>
      <c r="F1524" s="8" t="str">
        <f>[1]Data!F1524</f>
        <v>North Hollywood</v>
      </c>
      <c r="G1524" s="8">
        <f>[1]Data!G1524</f>
        <v>1</v>
      </c>
      <c r="H1524" s="8">
        <f>[1]Data!H1524</f>
        <v>1</v>
      </c>
      <c r="I1524" s="8">
        <f>[1]Data!I1524</f>
        <v>41.444000000000003</v>
      </c>
      <c r="J1524" s="8">
        <f>[1]Data!J1524</f>
        <v>32.404123730000002</v>
      </c>
      <c r="K1524" s="8">
        <f>[1]Data!K1524</f>
        <v>39.404123730000002</v>
      </c>
      <c r="L1524" s="8">
        <f>[1]Data!L1524</f>
        <v>2.0395823871813299</v>
      </c>
      <c r="M1524" s="8">
        <f>[1]Data!M1524</f>
        <v>41.4437061171813</v>
      </c>
      <c r="N1524" s="8">
        <f>[1]Data!N1524</f>
        <v>1</v>
      </c>
      <c r="O1524" s="8">
        <f>[1]Data!O1524</f>
        <v>1</v>
      </c>
      <c r="P1524" s="8">
        <f>[1]Data!P1524</f>
        <v>0</v>
      </c>
      <c r="Q1524" s="8">
        <f>[1]Data!Q1524</f>
        <v>0</v>
      </c>
      <c r="R1524" s="8">
        <f>[1]Data!R1524</f>
        <v>0</v>
      </c>
      <c r="S1524" s="8">
        <f>[1]Data!S1524</f>
        <v>0</v>
      </c>
      <c r="T1524">
        <f t="shared" si="115"/>
        <v>1</v>
      </c>
      <c r="U1524">
        <f t="shared" si="116"/>
        <v>1</v>
      </c>
      <c r="V1524" s="4" t="str">
        <f t="shared" si="117"/>
        <v>6</v>
      </c>
      <c r="W1524" s="4" t="str">
        <f t="shared" si="118"/>
        <v>2</v>
      </c>
      <c r="X1524" s="4" t="str">
        <f t="shared" si="119"/>
        <v>6FAMILY2</v>
      </c>
      <c r="Y1524">
        <f>VLOOKUP(X1524,Sheet1!$J$5:$K$121,2,FALSE)</f>
        <v>0</v>
      </c>
    </row>
    <row r="1525" spans="1:25" x14ac:dyDescent="0.25">
      <c r="A1525" s="8">
        <f>[1]Data!A1525</f>
        <v>119900</v>
      </c>
      <c r="B1525" s="8">
        <f>[1]Data!B1525</f>
        <v>2</v>
      </c>
      <c r="C1525" s="8">
        <f>[1]Data!C1525</f>
        <v>6</v>
      </c>
      <c r="D1525" s="8">
        <f>[1]Data!D1525</f>
        <v>3</v>
      </c>
      <c r="E1525" s="8" t="str">
        <f>[1]Data!E1525</f>
        <v>FAMILY</v>
      </c>
      <c r="F1525" s="8" t="str">
        <f>[1]Data!F1525</f>
        <v>Panorama City</v>
      </c>
      <c r="G1525" s="8">
        <f>[1]Data!G1525</f>
        <v>1</v>
      </c>
      <c r="H1525" s="8">
        <f>[1]Data!H1525</f>
        <v>1</v>
      </c>
      <c r="I1525" s="8">
        <f>[1]Data!I1525</f>
        <v>9.8019999999999996</v>
      </c>
      <c r="J1525" s="8">
        <f>[1]Data!J1525</f>
        <v>9.2951754900000001</v>
      </c>
      <c r="K1525" s="8">
        <f>[1]Data!K1525</f>
        <v>9.2951754900000001</v>
      </c>
      <c r="L1525" s="8">
        <f>[1]Data!L1525</f>
        <v>0.505595132369838</v>
      </c>
      <c r="M1525" s="8">
        <f>[1]Data!M1525</f>
        <v>9.8007706223698392</v>
      </c>
      <c r="N1525" s="8">
        <f>[1]Data!N1525</f>
        <v>1</v>
      </c>
      <c r="O1525" s="8">
        <f>[1]Data!O1525</f>
        <v>1</v>
      </c>
      <c r="P1525" s="8">
        <f>[1]Data!P1525</f>
        <v>0</v>
      </c>
      <c r="Q1525" s="8">
        <f>[1]Data!Q1525</f>
        <v>0</v>
      </c>
      <c r="R1525" s="8">
        <f>[1]Data!R1525</f>
        <v>0</v>
      </c>
      <c r="S1525" s="8">
        <f>[1]Data!S1525</f>
        <v>0</v>
      </c>
      <c r="T1525">
        <f t="shared" si="115"/>
        <v>1</v>
      </c>
      <c r="U1525">
        <f t="shared" si="116"/>
        <v>1</v>
      </c>
      <c r="V1525" s="4" t="str">
        <f t="shared" si="117"/>
        <v>6</v>
      </c>
      <c r="W1525" s="4" t="str">
        <f t="shared" si="118"/>
        <v>2</v>
      </c>
      <c r="X1525" s="4" t="str">
        <f t="shared" si="119"/>
        <v>6FAMILY2</v>
      </c>
      <c r="Y1525">
        <f>VLOOKUP(X1525,Sheet1!$J$5:$K$121,2,FALSE)</f>
        <v>0</v>
      </c>
    </row>
    <row r="1526" spans="1:25" x14ac:dyDescent="0.25">
      <c r="A1526" s="8">
        <f>[1]Data!A1526</f>
        <v>119700</v>
      </c>
      <c r="B1526" s="8">
        <f>[1]Data!B1526</f>
        <v>2</v>
      </c>
      <c r="C1526" s="8">
        <f>[1]Data!C1526</f>
        <v>6</v>
      </c>
      <c r="D1526" s="8">
        <f>[1]Data!D1526</f>
        <v>3</v>
      </c>
      <c r="E1526" s="8" t="str">
        <f>[1]Data!E1526</f>
        <v>INDIV</v>
      </c>
      <c r="F1526" s="8" t="str">
        <f>[1]Data!F1526</f>
        <v>Arleta</v>
      </c>
      <c r="G1526" s="8">
        <f>[1]Data!G1526</f>
        <v>0</v>
      </c>
      <c r="H1526" s="8">
        <f>[1]Data!H1526</f>
        <v>0</v>
      </c>
      <c r="I1526" s="8">
        <f>[1]Data!I1526</f>
        <v>9.1159999999999997</v>
      </c>
      <c r="J1526" s="8">
        <f>[1]Data!J1526</f>
        <v>5.87227926</v>
      </c>
      <c r="K1526" s="8">
        <f>[1]Data!K1526</f>
        <v>8.8722792599999991</v>
      </c>
      <c r="L1526" s="8">
        <f>[1]Data!L1526</f>
        <v>0.24297052484739701</v>
      </c>
      <c r="M1526" s="8">
        <f>[1]Data!M1526</f>
        <v>9.1152497848473999</v>
      </c>
      <c r="N1526" s="8">
        <f>[1]Data!N1526</f>
        <v>4.8387096774193498E-2</v>
      </c>
      <c r="O1526" s="8">
        <f>[1]Data!O1526</f>
        <v>0</v>
      </c>
      <c r="P1526" s="8">
        <f>[1]Data!P1526</f>
        <v>0.12903225806451599</v>
      </c>
      <c r="Q1526" s="8">
        <f>[1]Data!Q1526</f>
        <v>1</v>
      </c>
      <c r="R1526" s="8">
        <f>[1]Data!R1526</f>
        <v>0</v>
      </c>
      <c r="S1526" s="8">
        <f>[1]Data!S1526</f>
        <v>0</v>
      </c>
      <c r="T1526">
        <f t="shared" si="115"/>
        <v>4.8387096774193498E-2</v>
      </c>
      <c r="U1526">
        <f t="shared" si="116"/>
        <v>0</v>
      </c>
      <c r="V1526" s="4" t="str">
        <f t="shared" si="117"/>
        <v>6</v>
      </c>
      <c r="W1526" s="4" t="str">
        <f t="shared" si="118"/>
        <v>2</v>
      </c>
      <c r="X1526" s="4" t="str">
        <f t="shared" si="119"/>
        <v>6INDIV2</v>
      </c>
      <c r="Y1526">
        <f>VLOOKUP(X1526,Sheet1!$J$5:$K$121,2,FALSE)</f>
        <v>0</v>
      </c>
    </row>
    <row r="1527" spans="1:25" x14ac:dyDescent="0.25">
      <c r="A1527" s="8">
        <f>[1]Data!A1527</f>
        <v>122120</v>
      </c>
      <c r="B1527" s="8">
        <f>[1]Data!B1527</f>
        <v>2</v>
      </c>
      <c r="C1527" s="8">
        <f>[1]Data!C1527</f>
        <v>6</v>
      </c>
      <c r="D1527" s="8">
        <f>[1]Data!D1527</f>
        <v>3</v>
      </c>
      <c r="E1527" s="8" t="str">
        <f>[1]Data!E1527</f>
        <v>INDIV</v>
      </c>
      <c r="F1527" s="8" t="str">
        <f>[1]Data!F1527</f>
        <v>Sun Valley</v>
      </c>
      <c r="G1527" s="8">
        <f>[1]Data!G1527</f>
        <v>0</v>
      </c>
      <c r="H1527" s="8">
        <f>[1]Data!H1527</f>
        <v>0</v>
      </c>
      <c r="I1527" s="8">
        <f>[1]Data!I1527</f>
        <v>16.187000000000001</v>
      </c>
      <c r="J1527" s="8">
        <f>[1]Data!J1527</f>
        <v>9.6679308099999997</v>
      </c>
      <c r="K1527" s="8">
        <f>[1]Data!K1527</f>
        <v>15.66793081</v>
      </c>
      <c r="L1527" s="8">
        <f>[1]Data!L1527</f>
        <v>0.519675915816876</v>
      </c>
      <c r="M1527" s="8">
        <f>[1]Data!M1527</f>
        <v>16.187606725816899</v>
      </c>
      <c r="N1527" s="8">
        <f>[1]Data!N1527</f>
        <v>4.8387096774193498E-2</v>
      </c>
      <c r="O1527" s="8">
        <f>[1]Data!O1527</f>
        <v>0</v>
      </c>
      <c r="P1527" s="8">
        <f>[1]Data!P1527</f>
        <v>0.12903225806451599</v>
      </c>
      <c r="Q1527" s="8">
        <f>[1]Data!Q1527</f>
        <v>1</v>
      </c>
      <c r="R1527" s="8">
        <f>[1]Data!R1527</f>
        <v>0</v>
      </c>
      <c r="S1527" s="8">
        <f>[1]Data!S1527</f>
        <v>0</v>
      </c>
      <c r="T1527">
        <f t="shared" si="115"/>
        <v>4.8387096774193498E-2</v>
      </c>
      <c r="U1527">
        <f t="shared" si="116"/>
        <v>0</v>
      </c>
      <c r="V1527" s="4" t="str">
        <f t="shared" si="117"/>
        <v>6</v>
      </c>
      <c r="W1527" s="4" t="str">
        <f t="shared" si="118"/>
        <v>2</v>
      </c>
      <c r="X1527" s="4" t="str">
        <f t="shared" si="119"/>
        <v>6INDIV2</v>
      </c>
      <c r="Y1527">
        <f>VLOOKUP(X1527,Sheet1!$J$5:$K$121,2,FALSE)</f>
        <v>0</v>
      </c>
    </row>
    <row r="1528" spans="1:25" x14ac:dyDescent="0.25">
      <c r="A1528" s="8">
        <f>[1]Data!A1528</f>
        <v>120107</v>
      </c>
      <c r="B1528" s="8">
        <f>[1]Data!B1528</f>
        <v>2</v>
      </c>
      <c r="C1528" s="8">
        <f>[1]Data!C1528</f>
        <v>6</v>
      </c>
      <c r="D1528" s="8">
        <f>[1]Data!D1528</f>
        <v>3</v>
      </c>
      <c r="E1528" s="8" t="str">
        <f>[1]Data!E1528</f>
        <v>INDIV</v>
      </c>
      <c r="F1528" s="8" t="str">
        <f>[1]Data!F1528</f>
        <v>Panorama City</v>
      </c>
      <c r="G1528" s="8">
        <f>[1]Data!G1528</f>
        <v>0</v>
      </c>
      <c r="H1528" s="8">
        <f>[1]Data!H1528</f>
        <v>0</v>
      </c>
      <c r="I1528" s="8">
        <f>[1]Data!I1528</f>
        <v>7</v>
      </c>
      <c r="J1528" s="8">
        <f>[1]Data!J1528</f>
        <v>0</v>
      </c>
      <c r="K1528" s="8">
        <f>[1]Data!K1528</f>
        <v>7</v>
      </c>
      <c r="L1528" s="8">
        <f>[1]Data!L1528</f>
        <v>0</v>
      </c>
      <c r="M1528" s="8">
        <f>[1]Data!M1528</f>
        <v>7</v>
      </c>
      <c r="N1528" s="8">
        <f>[1]Data!N1528</f>
        <v>4.8387096774193498E-2</v>
      </c>
      <c r="O1528" s="8">
        <f>[1]Data!O1528</f>
        <v>0</v>
      </c>
      <c r="P1528" s="8">
        <f>[1]Data!P1528</f>
        <v>0.12903225806451599</v>
      </c>
      <c r="Q1528" s="8">
        <f>[1]Data!Q1528</f>
        <v>1</v>
      </c>
      <c r="R1528" s="8">
        <f>[1]Data!R1528</f>
        <v>0</v>
      </c>
      <c r="S1528" s="8">
        <f>[1]Data!S1528</f>
        <v>0</v>
      </c>
      <c r="T1528">
        <f t="shared" si="115"/>
        <v>4.8387096774193498E-2</v>
      </c>
      <c r="U1528">
        <f t="shared" si="116"/>
        <v>0</v>
      </c>
      <c r="V1528" s="4" t="str">
        <f t="shared" si="117"/>
        <v>6</v>
      </c>
      <c r="W1528" s="4" t="str">
        <f t="shared" si="118"/>
        <v>2</v>
      </c>
      <c r="X1528" s="4" t="str">
        <f t="shared" si="119"/>
        <v>6INDIV2</v>
      </c>
      <c r="Y1528">
        <f>VLOOKUP(X1528,Sheet1!$J$5:$K$121,2,FALSE)</f>
        <v>0</v>
      </c>
    </row>
    <row r="1529" spans="1:25" x14ac:dyDescent="0.25">
      <c r="A1529" s="8">
        <f>[1]Data!A1529</f>
        <v>132002</v>
      </c>
      <c r="B1529" s="8">
        <f>[1]Data!B1529</f>
        <v>2</v>
      </c>
      <c r="C1529" s="8">
        <f>[1]Data!C1529</f>
        <v>6</v>
      </c>
      <c r="D1529" s="8">
        <f>[1]Data!D1529</f>
        <v>3</v>
      </c>
      <c r="E1529" s="8" t="str">
        <f>[1]Data!E1529</f>
        <v>INDIV</v>
      </c>
      <c r="F1529" s="8" t="str">
        <f>[1]Data!F1529</f>
        <v>Lake Balboa</v>
      </c>
      <c r="G1529" s="8">
        <f>[1]Data!G1529</f>
        <v>0</v>
      </c>
      <c r="H1529" s="8">
        <f>[1]Data!H1529</f>
        <v>0</v>
      </c>
      <c r="I1529" s="8">
        <f>[1]Data!I1529</f>
        <v>6.5910000000000002</v>
      </c>
      <c r="J1529" s="8">
        <f>[1]Data!J1529</f>
        <v>1.43919657</v>
      </c>
      <c r="K1529" s="8">
        <f>[1]Data!K1529</f>
        <v>6.43919657</v>
      </c>
      <c r="L1529" s="8">
        <f>[1]Data!L1529</f>
        <v>0.15145200614003601</v>
      </c>
      <c r="M1529" s="8">
        <f>[1]Data!M1529</f>
        <v>6.5906485761400404</v>
      </c>
      <c r="N1529" s="8">
        <f>[1]Data!N1529</f>
        <v>4.8387096774193498E-2</v>
      </c>
      <c r="O1529" s="8">
        <f>[1]Data!O1529</f>
        <v>0</v>
      </c>
      <c r="P1529" s="8">
        <f>[1]Data!P1529</f>
        <v>0.12903225806451599</v>
      </c>
      <c r="Q1529" s="8">
        <f>[1]Data!Q1529</f>
        <v>1</v>
      </c>
      <c r="R1529" s="8">
        <f>[1]Data!R1529</f>
        <v>0</v>
      </c>
      <c r="S1529" s="8">
        <f>[1]Data!S1529</f>
        <v>0</v>
      </c>
      <c r="T1529">
        <f t="shared" si="115"/>
        <v>4.8387096774193498E-2</v>
      </c>
      <c r="U1529">
        <f t="shared" si="116"/>
        <v>0</v>
      </c>
      <c r="V1529" s="4" t="str">
        <f t="shared" si="117"/>
        <v>6</v>
      </c>
      <c r="W1529" s="4" t="str">
        <f t="shared" si="118"/>
        <v>2</v>
      </c>
      <c r="X1529" s="4" t="str">
        <f t="shared" si="119"/>
        <v>6INDIV2</v>
      </c>
      <c r="Y1529">
        <f>VLOOKUP(X1529,Sheet1!$J$5:$K$121,2,FALSE)</f>
        <v>0</v>
      </c>
    </row>
    <row r="1530" spans="1:25" x14ac:dyDescent="0.25">
      <c r="A1530" s="8">
        <f>[1]Data!A1530</f>
        <v>131100</v>
      </c>
      <c r="B1530" s="8">
        <f>[1]Data!B1530</f>
        <v>2</v>
      </c>
      <c r="C1530" s="8">
        <f>[1]Data!C1530</f>
        <v>6</v>
      </c>
      <c r="D1530" s="8">
        <f>[1]Data!D1530</f>
        <v>3</v>
      </c>
      <c r="E1530" s="8" t="str">
        <f>[1]Data!E1530</f>
        <v>INDIV</v>
      </c>
      <c r="F1530" s="8" t="str">
        <f>[1]Data!F1530</f>
        <v>Lake Balboa</v>
      </c>
      <c r="G1530" s="8">
        <f>[1]Data!G1530</f>
        <v>1</v>
      </c>
      <c r="H1530" s="8">
        <f>[1]Data!H1530</f>
        <v>1</v>
      </c>
      <c r="I1530" s="8">
        <f>[1]Data!I1530</f>
        <v>3</v>
      </c>
      <c r="J1530" s="8">
        <f>[1]Data!J1530</f>
        <v>0</v>
      </c>
      <c r="K1530" s="8">
        <f>[1]Data!K1530</f>
        <v>3</v>
      </c>
      <c r="L1530" s="8">
        <f>[1]Data!L1530</f>
        <v>0</v>
      </c>
      <c r="M1530" s="8">
        <f>[1]Data!M1530</f>
        <v>3</v>
      </c>
      <c r="N1530" s="8">
        <f>[1]Data!N1530</f>
        <v>4.8387096774193498E-2</v>
      </c>
      <c r="O1530" s="8">
        <f>[1]Data!O1530</f>
        <v>20.6666666666667</v>
      </c>
      <c r="P1530" s="8">
        <f>[1]Data!P1530</f>
        <v>0.12903225806451599</v>
      </c>
      <c r="Q1530" s="8">
        <f>[1]Data!Q1530</f>
        <v>1</v>
      </c>
      <c r="R1530" s="8">
        <f>[1]Data!R1530</f>
        <v>0</v>
      </c>
      <c r="S1530" s="8">
        <f>[1]Data!S1530</f>
        <v>0</v>
      </c>
      <c r="T1530">
        <f t="shared" si="115"/>
        <v>4.8387096774193498E-2</v>
      </c>
      <c r="U1530">
        <f t="shared" si="116"/>
        <v>20.666666666666689</v>
      </c>
      <c r="V1530" s="4" t="str">
        <f t="shared" si="117"/>
        <v>6</v>
      </c>
      <c r="W1530" s="4" t="str">
        <f t="shared" si="118"/>
        <v>2</v>
      </c>
      <c r="X1530" s="4" t="str">
        <f t="shared" si="119"/>
        <v>6INDIV2</v>
      </c>
      <c r="Y1530">
        <f>VLOOKUP(X1530,Sheet1!$J$5:$K$121,2,FALSE)</f>
        <v>0</v>
      </c>
    </row>
    <row r="1531" spans="1:25" x14ac:dyDescent="0.25">
      <c r="A1531" s="8">
        <f>[1]Data!A1531</f>
        <v>980008</v>
      </c>
      <c r="B1531" s="8">
        <f>[1]Data!B1531</f>
        <v>2</v>
      </c>
      <c r="C1531" s="8">
        <f>[1]Data!C1531</f>
        <v>6</v>
      </c>
      <c r="D1531" s="8">
        <f>[1]Data!D1531</f>
        <v>3</v>
      </c>
      <c r="E1531" s="8" t="str">
        <f>[1]Data!E1531</f>
        <v>INDIV</v>
      </c>
      <c r="F1531" s="8" t="str">
        <f>[1]Data!F1531</f>
        <v>Lake Balboa</v>
      </c>
      <c r="G1531" s="8">
        <f>[1]Data!G1531</f>
        <v>0</v>
      </c>
      <c r="H1531" s="8">
        <f>[1]Data!H1531</f>
        <v>0</v>
      </c>
      <c r="I1531" s="8">
        <f>[1]Data!I1531</f>
        <v>4.1900000000000004</v>
      </c>
      <c r="J1531" s="8">
        <f>[1]Data!J1531</f>
        <v>3.9673993200000002</v>
      </c>
      <c r="K1531" s="8">
        <f>[1]Data!K1531</f>
        <v>3.9673993200000002</v>
      </c>
      <c r="L1531" s="8">
        <f>[1]Data!L1531</f>
        <v>0.22234520276481101</v>
      </c>
      <c r="M1531" s="8">
        <f>[1]Data!M1531</f>
        <v>4.1897445227648102</v>
      </c>
      <c r="N1531" s="8">
        <f>[1]Data!N1531</f>
        <v>4.8387096774193498E-2</v>
      </c>
      <c r="O1531" s="8">
        <f>[1]Data!O1531</f>
        <v>0</v>
      </c>
      <c r="P1531" s="8">
        <f>[1]Data!P1531</f>
        <v>0.12903225806451599</v>
      </c>
      <c r="Q1531" s="8">
        <f>[1]Data!Q1531</f>
        <v>1</v>
      </c>
      <c r="R1531" s="8">
        <f>[1]Data!R1531</f>
        <v>0</v>
      </c>
      <c r="S1531" s="8">
        <f>[1]Data!S1531</f>
        <v>0</v>
      </c>
      <c r="T1531">
        <f t="shared" si="115"/>
        <v>4.8387096774193498E-2</v>
      </c>
      <c r="U1531">
        <f t="shared" si="116"/>
        <v>0</v>
      </c>
      <c r="V1531" s="4" t="str">
        <f t="shared" si="117"/>
        <v>6</v>
      </c>
      <c r="W1531" s="4" t="str">
        <f t="shared" si="118"/>
        <v>2</v>
      </c>
      <c r="X1531" s="4" t="str">
        <f t="shared" si="119"/>
        <v>6INDIV2</v>
      </c>
      <c r="Y1531">
        <f>VLOOKUP(X1531,Sheet1!$J$5:$K$121,2,FALSE)</f>
        <v>0</v>
      </c>
    </row>
    <row r="1532" spans="1:25" x14ac:dyDescent="0.25">
      <c r="A1532" s="8">
        <f>[1]Data!A1532</f>
        <v>117520</v>
      </c>
      <c r="B1532" s="8">
        <f>[1]Data!B1532</f>
        <v>2</v>
      </c>
      <c r="C1532" s="8">
        <f>[1]Data!C1532</f>
        <v>6</v>
      </c>
      <c r="D1532" s="8">
        <f>[1]Data!D1532</f>
        <v>3</v>
      </c>
      <c r="E1532" s="8" t="str">
        <f>[1]Data!E1532</f>
        <v>INDIV</v>
      </c>
      <c r="F1532" s="8" t="str">
        <f>[1]Data!F1532</f>
        <v>North Hills</v>
      </c>
      <c r="G1532" s="8">
        <f>[1]Data!G1532</f>
        <v>0</v>
      </c>
      <c r="H1532" s="8">
        <f>[1]Data!H1532</f>
        <v>0</v>
      </c>
      <c r="I1532" s="8">
        <f>[1]Data!I1532</f>
        <v>20.289000000000001</v>
      </c>
      <c r="J1532" s="8">
        <f>[1]Data!J1532</f>
        <v>7.6616662199999999</v>
      </c>
      <c r="K1532" s="8">
        <f>[1]Data!K1532</f>
        <v>19.661666220000001</v>
      </c>
      <c r="L1532" s="8">
        <f>[1]Data!L1532</f>
        <v>0.62643334664272898</v>
      </c>
      <c r="M1532" s="8">
        <f>[1]Data!M1532</f>
        <v>20.2880995666427</v>
      </c>
      <c r="N1532" s="8">
        <f>[1]Data!N1532</f>
        <v>4.8387096774193498E-2</v>
      </c>
      <c r="O1532" s="8">
        <f>[1]Data!O1532</f>
        <v>0</v>
      </c>
      <c r="P1532" s="8">
        <f>[1]Data!P1532</f>
        <v>0.12903225806451599</v>
      </c>
      <c r="Q1532" s="8">
        <f>[1]Data!Q1532</f>
        <v>1</v>
      </c>
      <c r="R1532" s="8">
        <f>[1]Data!R1532</f>
        <v>0</v>
      </c>
      <c r="S1532" s="8">
        <f>[1]Data!S1532</f>
        <v>0</v>
      </c>
      <c r="T1532">
        <f t="shared" si="115"/>
        <v>4.8387096774193498E-2</v>
      </c>
      <c r="U1532">
        <f t="shared" si="116"/>
        <v>0</v>
      </c>
      <c r="V1532" s="4" t="str">
        <f t="shared" si="117"/>
        <v>6</v>
      </c>
      <c r="W1532" s="4" t="str">
        <f t="shared" si="118"/>
        <v>2</v>
      </c>
      <c r="X1532" s="4" t="str">
        <f t="shared" si="119"/>
        <v>6INDIV2</v>
      </c>
      <c r="Y1532">
        <f>VLOOKUP(X1532,Sheet1!$J$5:$K$121,2,FALSE)</f>
        <v>0</v>
      </c>
    </row>
    <row r="1533" spans="1:25" x14ac:dyDescent="0.25">
      <c r="A1533" s="8">
        <f>[1]Data!A1533</f>
        <v>120108</v>
      </c>
      <c r="B1533" s="8">
        <f>[1]Data!B1533</f>
        <v>2</v>
      </c>
      <c r="C1533" s="8">
        <f>[1]Data!C1533</f>
        <v>6</v>
      </c>
      <c r="D1533" s="8">
        <f>[1]Data!D1533</f>
        <v>3</v>
      </c>
      <c r="E1533" s="8" t="str">
        <f>[1]Data!E1533</f>
        <v>INDIV</v>
      </c>
      <c r="F1533" s="8" t="str">
        <f>[1]Data!F1533</f>
        <v>Panorama City</v>
      </c>
      <c r="G1533" s="8">
        <f>[1]Data!G1533</f>
        <v>0</v>
      </c>
      <c r="H1533" s="8">
        <f>[1]Data!H1533</f>
        <v>0</v>
      </c>
      <c r="I1533" s="8">
        <f>[1]Data!I1533</f>
        <v>19.513000000000002</v>
      </c>
      <c r="J1533" s="8">
        <f>[1]Data!J1533</f>
        <v>8.14585632</v>
      </c>
      <c r="K1533" s="8">
        <f>[1]Data!K1533</f>
        <v>19.14585632</v>
      </c>
      <c r="L1533" s="8">
        <f>[1]Data!L1533</f>
        <v>0.36651319788150799</v>
      </c>
      <c r="M1533" s="8">
        <f>[1]Data!M1533</f>
        <v>19.512369517881499</v>
      </c>
      <c r="N1533" s="8">
        <f>[1]Data!N1533</f>
        <v>4.8387096774193498E-2</v>
      </c>
      <c r="O1533" s="8">
        <f>[1]Data!O1533</f>
        <v>0</v>
      </c>
      <c r="P1533" s="8">
        <f>[1]Data!P1533</f>
        <v>0.12903225806451599</v>
      </c>
      <c r="Q1533" s="8">
        <f>[1]Data!Q1533</f>
        <v>1</v>
      </c>
      <c r="R1533" s="8">
        <f>[1]Data!R1533</f>
        <v>0</v>
      </c>
      <c r="S1533" s="8">
        <f>[1]Data!S1533</f>
        <v>0</v>
      </c>
      <c r="T1533">
        <f t="shared" si="115"/>
        <v>4.8387096774193498E-2</v>
      </c>
      <c r="U1533">
        <f t="shared" si="116"/>
        <v>0</v>
      </c>
      <c r="V1533" s="4" t="str">
        <f t="shared" si="117"/>
        <v>6</v>
      </c>
      <c r="W1533" s="4" t="str">
        <f t="shared" si="118"/>
        <v>2</v>
      </c>
      <c r="X1533" s="4" t="str">
        <f t="shared" si="119"/>
        <v>6INDIV2</v>
      </c>
      <c r="Y1533">
        <f>VLOOKUP(X1533,Sheet1!$J$5:$K$121,2,FALSE)</f>
        <v>0</v>
      </c>
    </row>
    <row r="1534" spans="1:25" x14ac:dyDescent="0.25">
      <c r="A1534" s="8">
        <f>[1]Data!A1534</f>
        <v>119400</v>
      </c>
      <c r="B1534" s="8">
        <f>[1]Data!B1534</f>
        <v>2</v>
      </c>
      <c r="C1534" s="8">
        <f>[1]Data!C1534</f>
        <v>6</v>
      </c>
      <c r="D1534" s="8">
        <f>[1]Data!D1534</f>
        <v>3</v>
      </c>
      <c r="E1534" s="8" t="str">
        <f>[1]Data!E1534</f>
        <v>NON-HS</v>
      </c>
      <c r="F1534" s="8" t="str">
        <f>[1]Data!F1534</f>
        <v>Arleta</v>
      </c>
      <c r="G1534" s="8">
        <f>[1]Data!G1534</f>
        <v>0</v>
      </c>
      <c r="H1534" s="8">
        <f>[1]Data!H1534</f>
        <v>0</v>
      </c>
      <c r="I1534" s="8">
        <f>[1]Data!I1534</f>
        <v>0</v>
      </c>
      <c r="J1534" s="8">
        <f>[1]Data!J1534</f>
        <v>0</v>
      </c>
      <c r="K1534" s="8">
        <f>[1]Data!K1534</f>
        <v>0</v>
      </c>
      <c r="L1534" s="8">
        <f>[1]Data!L1534</f>
        <v>0</v>
      </c>
      <c r="M1534" s="8">
        <f>[1]Data!M1534</f>
        <v>0</v>
      </c>
      <c r="N1534" s="8">
        <f>[1]Data!N1534</f>
        <v>2.2140221402214E-2</v>
      </c>
      <c r="O1534" s="8">
        <f>[1]Data!O1534</f>
        <v>0</v>
      </c>
      <c r="P1534" s="8">
        <f>[1]Data!P1534</f>
        <v>9.5940959409594101E-2</v>
      </c>
      <c r="Q1534" s="8">
        <f>[1]Data!Q1534</f>
        <v>1</v>
      </c>
      <c r="R1534" s="8">
        <f>[1]Data!R1534</f>
        <v>0</v>
      </c>
      <c r="S1534" s="8">
        <f>[1]Data!S1534</f>
        <v>0</v>
      </c>
      <c r="T1534">
        <f t="shared" si="115"/>
        <v>2.2140221402214E-2</v>
      </c>
      <c r="U1534">
        <f t="shared" si="116"/>
        <v>0</v>
      </c>
      <c r="V1534" s="4" t="str">
        <f t="shared" si="117"/>
        <v>6</v>
      </c>
      <c r="W1534" s="4" t="str">
        <f t="shared" si="118"/>
        <v>2</v>
      </c>
      <c r="X1534" s="4" t="str">
        <f t="shared" si="119"/>
        <v>6NON-HS2</v>
      </c>
      <c r="Y1534">
        <f>VLOOKUP(X1534,Sheet1!$J$5:$K$121,2,FALSE)</f>
        <v>0</v>
      </c>
    </row>
    <row r="1535" spans="1:25" x14ac:dyDescent="0.25">
      <c r="A1535" s="8">
        <f>[1]Data!A1535</f>
        <v>127712</v>
      </c>
      <c r="B1535" s="8">
        <f>[1]Data!B1535</f>
        <v>2</v>
      </c>
      <c r="C1535" s="8">
        <f>[1]Data!C1535</f>
        <v>6</v>
      </c>
      <c r="D1535" s="8">
        <f>[1]Data!D1535</f>
        <v>3</v>
      </c>
      <c r="E1535" s="8" t="str">
        <f>[1]Data!E1535</f>
        <v>NON-HS</v>
      </c>
      <c r="F1535" s="8" t="str">
        <f>[1]Data!F1535</f>
        <v>Van Nuys</v>
      </c>
      <c r="G1535" s="8">
        <f>[1]Data!G1535</f>
        <v>1</v>
      </c>
      <c r="H1535" s="8">
        <f>[1]Data!H1535</f>
        <v>1</v>
      </c>
      <c r="I1535" s="8">
        <f>[1]Data!I1535</f>
        <v>0</v>
      </c>
      <c r="J1535" s="8">
        <f>[1]Data!J1535</f>
        <v>0</v>
      </c>
      <c r="K1535" s="8">
        <f>[1]Data!K1535</f>
        <v>0</v>
      </c>
      <c r="L1535" s="8">
        <f>[1]Data!L1535</f>
        <v>0</v>
      </c>
      <c r="M1535" s="8">
        <f>[1]Data!M1535</f>
        <v>0</v>
      </c>
      <c r="N1535" s="8">
        <f>[1]Data!N1535</f>
        <v>2.2140221402214E-2</v>
      </c>
      <c r="O1535" s="8">
        <f>[1]Data!O1535</f>
        <v>45.1666666666667</v>
      </c>
      <c r="P1535" s="8">
        <f>[1]Data!P1535</f>
        <v>9.5940959409594101E-2</v>
      </c>
      <c r="Q1535" s="8">
        <f>[1]Data!Q1535</f>
        <v>1</v>
      </c>
      <c r="R1535" s="8">
        <f>[1]Data!R1535</f>
        <v>0</v>
      </c>
      <c r="S1535" s="8">
        <f>[1]Data!S1535</f>
        <v>0</v>
      </c>
      <c r="T1535">
        <f t="shared" si="115"/>
        <v>2.2140221402214E-2</v>
      </c>
      <c r="U1535">
        <f t="shared" si="116"/>
        <v>45.166666666666714</v>
      </c>
      <c r="V1535" s="4" t="str">
        <f t="shared" si="117"/>
        <v>6</v>
      </c>
      <c r="W1535" s="4" t="str">
        <f t="shared" si="118"/>
        <v>2</v>
      </c>
      <c r="X1535" s="4" t="str">
        <f t="shared" si="119"/>
        <v>6NON-HS2</v>
      </c>
      <c r="Y1535">
        <f>VLOOKUP(X1535,Sheet1!$J$5:$K$121,2,FALSE)</f>
        <v>0</v>
      </c>
    </row>
    <row r="1536" spans="1:25" x14ac:dyDescent="0.25">
      <c r="A1536" s="8">
        <f>[1]Data!A1536</f>
        <v>121221</v>
      </c>
      <c r="B1536" s="8">
        <f>[1]Data!B1536</f>
        <v>2</v>
      </c>
      <c r="C1536" s="8">
        <f>[1]Data!C1536</f>
        <v>6</v>
      </c>
      <c r="D1536" s="8">
        <f>[1]Data!D1536</f>
        <v>3</v>
      </c>
      <c r="E1536" s="8" t="str">
        <f>[1]Data!E1536</f>
        <v>NON-HS</v>
      </c>
      <c r="F1536" s="8" t="str">
        <f>[1]Data!F1536</f>
        <v>Sun Valley</v>
      </c>
      <c r="G1536" s="8">
        <f>[1]Data!G1536</f>
        <v>0</v>
      </c>
      <c r="H1536" s="8">
        <f>[1]Data!H1536</f>
        <v>0</v>
      </c>
      <c r="I1536" s="8">
        <f>[1]Data!I1536</f>
        <v>9.6839999999999993</v>
      </c>
      <c r="J1536" s="8">
        <f>[1]Data!J1536</f>
        <v>9.1234277200000005</v>
      </c>
      <c r="K1536" s="8">
        <f>[1]Data!K1536</f>
        <v>9.1234277200000005</v>
      </c>
      <c r="L1536" s="8">
        <f>[1]Data!L1536</f>
        <v>0.55995532057450603</v>
      </c>
      <c r="M1536" s="8">
        <f>[1]Data!M1536</f>
        <v>9.68338304057451</v>
      </c>
      <c r="N1536" s="8">
        <f>[1]Data!N1536</f>
        <v>2.2140221402214E-2</v>
      </c>
      <c r="O1536" s="8">
        <f>[1]Data!O1536</f>
        <v>0</v>
      </c>
      <c r="P1536" s="8">
        <f>[1]Data!P1536</f>
        <v>9.5940959409594101E-2</v>
      </c>
      <c r="Q1536" s="8">
        <f>[1]Data!Q1536</f>
        <v>1</v>
      </c>
      <c r="R1536" s="8">
        <f>[1]Data!R1536</f>
        <v>0</v>
      </c>
      <c r="S1536" s="8">
        <f>[1]Data!S1536</f>
        <v>0</v>
      </c>
      <c r="T1536">
        <f t="shared" si="115"/>
        <v>2.2140221402214E-2</v>
      </c>
      <c r="U1536">
        <f t="shared" si="116"/>
        <v>0</v>
      </c>
      <c r="V1536" s="4" t="str">
        <f t="shared" si="117"/>
        <v>6</v>
      </c>
      <c r="W1536" s="4" t="str">
        <f t="shared" si="118"/>
        <v>2</v>
      </c>
      <c r="X1536" s="4" t="str">
        <f t="shared" si="119"/>
        <v>6NON-HS2</v>
      </c>
      <c r="Y1536">
        <f>VLOOKUP(X1536,Sheet1!$J$5:$K$121,2,FALSE)</f>
        <v>0</v>
      </c>
    </row>
    <row r="1537" spans="1:25" x14ac:dyDescent="0.25">
      <c r="A1537" s="8">
        <f>[1]Data!A1537</f>
        <v>131900</v>
      </c>
      <c r="B1537" s="8">
        <f>[1]Data!B1537</f>
        <v>2</v>
      </c>
      <c r="C1537" s="8">
        <f>[1]Data!C1537</f>
        <v>6</v>
      </c>
      <c r="D1537" s="8">
        <f>[1]Data!D1537</f>
        <v>3</v>
      </c>
      <c r="E1537" s="8" t="str">
        <f>[1]Data!E1537</f>
        <v>NON-HS</v>
      </c>
      <c r="F1537" s="8" t="str">
        <f>[1]Data!F1537</f>
        <v>Lake Balboa</v>
      </c>
      <c r="G1537" s="8">
        <f>[1]Data!G1537</f>
        <v>0</v>
      </c>
      <c r="H1537" s="8">
        <f>[1]Data!H1537</f>
        <v>0</v>
      </c>
      <c r="I1537" s="8">
        <f>[1]Data!I1537</f>
        <v>0</v>
      </c>
      <c r="J1537" s="8">
        <f>[1]Data!J1537</f>
        <v>0</v>
      </c>
      <c r="K1537" s="8">
        <f>[1]Data!K1537</f>
        <v>0</v>
      </c>
      <c r="L1537" s="8">
        <f>[1]Data!L1537</f>
        <v>0</v>
      </c>
      <c r="M1537" s="8">
        <f>[1]Data!M1537</f>
        <v>0</v>
      </c>
      <c r="N1537" s="8">
        <f>[1]Data!N1537</f>
        <v>2.2140221402214E-2</v>
      </c>
      <c r="O1537" s="8">
        <f>[1]Data!O1537</f>
        <v>0</v>
      </c>
      <c r="P1537" s="8">
        <f>[1]Data!P1537</f>
        <v>9.5940959409594101E-2</v>
      </c>
      <c r="Q1537" s="8">
        <f>[1]Data!Q1537</f>
        <v>1</v>
      </c>
      <c r="R1537" s="8">
        <f>[1]Data!R1537</f>
        <v>0</v>
      </c>
      <c r="S1537" s="8">
        <f>[1]Data!S1537</f>
        <v>0</v>
      </c>
      <c r="T1537">
        <f t="shared" si="115"/>
        <v>2.2140221402214E-2</v>
      </c>
      <c r="U1537">
        <f t="shared" si="116"/>
        <v>0</v>
      </c>
      <c r="V1537" s="4" t="str">
        <f t="shared" si="117"/>
        <v>6</v>
      </c>
      <c r="W1537" s="4" t="str">
        <f t="shared" si="118"/>
        <v>2</v>
      </c>
      <c r="X1537" s="4" t="str">
        <f t="shared" si="119"/>
        <v>6NON-HS2</v>
      </c>
      <c r="Y1537">
        <f>VLOOKUP(X1537,Sheet1!$J$5:$K$121,2,FALSE)</f>
        <v>0</v>
      </c>
    </row>
    <row r="1538" spans="1:25" x14ac:dyDescent="0.25">
      <c r="A1538" s="8">
        <f>[1]Data!A1538</f>
        <v>120300</v>
      </c>
      <c r="B1538" s="8">
        <f>[1]Data!B1538</f>
        <v>2</v>
      </c>
      <c r="C1538" s="8">
        <f>[1]Data!C1538</f>
        <v>6</v>
      </c>
      <c r="D1538" s="8">
        <f>[1]Data!D1538</f>
        <v>3</v>
      </c>
      <c r="E1538" s="8" t="str">
        <f>[1]Data!E1538</f>
        <v>NON-HS</v>
      </c>
      <c r="F1538" s="8" t="str">
        <f>[1]Data!F1538</f>
        <v>Panorama City</v>
      </c>
      <c r="G1538" s="8">
        <f>[1]Data!G1538</f>
        <v>0</v>
      </c>
      <c r="H1538" s="8">
        <f>[1]Data!H1538</f>
        <v>0</v>
      </c>
      <c r="I1538" s="8">
        <f>[1]Data!I1538</f>
        <v>12.718</v>
      </c>
      <c r="J1538" s="8">
        <f>[1]Data!J1538</f>
        <v>10.111049250000001</v>
      </c>
      <c r="K1538" s="8">
        <f>[1]Data!K1538</f>
        <v>12.111049250000001</v>
      </c>
      <c r="L1538" s="8">
        <f>[1]Data!L1538</f>
        <v>0.606779263967684</v>
      </c>
      <c r="M1538" s="8">
        <f>[1]Data!M1538</f>
        <v>12.717828513967699</v>
      </c>
      <c r="N1538" s="8">
        <f>[1]Data!N1538</f>
        <v>2.2140221402214E-2</v>
      </c>
      <c r="O1538" s="8">
        <f>[1]Data!O1538</f>
        <v>0</v>
      </c>
      <c r="P1538" s="8">
        <f>[1]Data!P1538</f>
        <v>9.5940959409594101E-2</v>
      </c>
      <c r="Q1538" s="8">
        <f>[1]Data!Q1538</f>
        <v>1</v>
      </c>
      <c r="R1538" s="8">
        <f>[1]Data!R1538</f>
        <v>0</v>
      </c>
      <c r="S1538" s="8">
        <f>[1]Data!S1538</f>
        <v>0</v>
      </c>
      <c r="T1538">
        <f t="shared" si="115"/>
        <v>2.2140221402214E-2</v>
      </c>
      <c r="U1538">
        <f t="shared" si="116"/>
        <v>0</v>
      </c>
      <c r="V1538" s="4" t="str">
        <f t="shared" si="117"/>
        <v>6</v>
      </c>
      <c r="W1538" s="4" t="str">
        <f t="shared" si="118"/>
        <v>2</v>
      </c>
      <c r="X1538" s="4" t="str">
        <f t="shared" si="119"/>
        <v>6NON-HS2</v>
      </c>
      <c r="Y1538">
        <f>VLOOKUP(X1538,Sheet1!$J$5:$K$121,2,FALSE)</f>
        <v>0</v>
      </c>
    </row>
    <row r="1539" spans="1:25" x14ac:dyDescent="0.25">
      <c r="A1539" s="8">
        <f>[1]Data!A1539</f>
        <v>119340</v>
      </c>
      <c r="B1539" s="8">
        <f>[1]Data!B1539</f>
        <v>2</v>
      </c>
      <c r="C1539" s="8">
        <f>[1]Data!C1539</f>
        <v>6</v>
      </c>
      <c r="D1539" s="8">
        <f>[1]Data!D1539</f>
        <v>3</v>
      </c>
      <c r="E1539" s="8" t="str">
        <f>[1]Data!E1539</f>
        <v>NON-HS</v>
      </c>
      <c r="F1539" s="8" t="str">
        <f>[1]Data!F1539</f>
        <v>Panorama City</v>
      </c>
      <c r="G1539" s="8">
        <f>[1]Data!G1539</f>
        <v>0</v>
      </c>
      <c r="H1539" s="8">
        <f>[1]Data!H1539</f>
        <v>0</v>
      </c>
      <c r="I1539" s="8">
        <f>[1]Data!I1539</f>
        <v>1.591</v>
      </c>
      <c r="J1539" s="8">
        <f>[1]Data!J1539</f>
        <v>1.43919657</v>
      </c>
      <c r="K1539" s="8">
        <f>[1]Data!K1539</f>
        <v>1.43919657</v>
      </c>
      <c r="L1539" s="8">
        <f>[1]Data!L1539</f>
        <v>0.15145200614003601</v>
      </c>
      <c r="M1539" s="8">
        <f>[1]Data!M1539</f>
        <v>1.59064857614004</v>
      </c>
      <c r="N1539" s="8">
        <f>[1]Data!N1539</f>
        <v>2.2140221402214E-2</v>
      </c>
      <c r="O1539" s="8">
        <f>[1]Data!O1539</f>
        <v>0</v>
      </c>
      <c r="P1539" s="8">
        <f>[1]Data!P1539</f>
        <v>9.5940959409594101E-2</v>
      </c>
      <c r="Q1539" s="8">
        <f>[1]Data!Q1539</f>
        <v>1</v>
      </c>
      <c r="R1539" s="8">
        <f>[1]Data!R1539</f>
        <v>0</v>
      </c>
      <c r="S1539" s="8">
        <f>[1]Data!S1539</f>
        <v>0</v>
      </c>
      <c r="T1539">
        <f t="shared" ref="T1539:T1602" si="120">N1539+Y1539*(1-N1539)</f>
        <v>2.2140221402214E-2</v>
      </c>
      <c r="U1539">
        <f t="shared" ref="U1539:U1602" si="121">IF(T1539="",0,1/T1539*H1539)</f>
        <v>0</v>
      </c>
      <c r="V1539" s="4" t="str">
        <f t="shared" ref="V1539:V1602" si="122">TEXT(C1539,"0")</f>
        <v>6</v>
      </c>
      <c r="W1539" s="4" t="str">
        <f t="shared" ref="W1539:W1602" si="123">TEXT(B1539,"0")</f>
        <v>2</v>
      </c>
      <c r="X1539" s="4" t="str">
        <f t="shared" ref="X1539:X1602" si="124">CONCATENATE(V1539,E1539,W1539)</f>
        <v>6NON-HS2</v>
      </c>
      <c r="Y1539">
        <f>VLOOKUP(X1539,Sheet1!$J$5:$K$121,2,FALSE)</f>
        <v>0</v>
      </c>
    </row>
    <row r="1540" spans="1:25" x14ac:dyDescent="0.25">
      <c r="A1540" s="8">
        <f>[1]Data!A1540</f>
        <v>120010</v>
      </c>
      <c r="B1540" s="8">
        <f>[1]Data!B1540</f>
        <v>2</v>
      </c>
      <c r="C1540" s="8">
        <f>[1]Data!C1540</f>
        <v>6</v>
      </c>
      <c r="D1540" s="8">
        <f>[1]Data!D1540</f>
        <v>3</v>
      </c>
      <c r="E1540" s="8" t="str">
        <f>[1]Data!E1540</f>
        <v>NON-HS</v>
      </c>
      <c r="F1540" s="8" t="str">
        <f>[1]Data!F1540</f>
        <v>Panorama City</v>
      </c>
      <c r="G1540" s="8">
        <f>[1]Data!G1540</f>
        <v>0</v>
      </c>
      <c r="H1540" s="8">
        <f>[1]Data!H1540</f>
        <v>0</v>
      </c>
      <c r="I1540" s="8">
        <f>[1]Data!I1540</f>
        <v>7.2759999999999998</v>
      </c>
      <c r="J1540" s="8">
        <f>[1]Data!J1540</f>
        <v>4.8620928000000001</v>
      </c>
      <c r="K1540" s="8">
        <f>[1]Data!K1540</f>
        <v>6.8620928000000001</v>
      </c>
      <c r="L1540" s="8">
        <f>[1]Data!L1540</f>
        <v>0.414076613662478</v>
      </c>
      <c r="M1540" s="8">
        <f>[1]Data!M1540</f>
        <v>7.2761694136624797</v>
      </c>
      <c r="N1540" s="8">
        <f>[1]Data!N1540</f>
        <v>2.2140221402214E-2</v>
      </c>
      <c r="O1540" s="8">
        <f>[1]Data!O1540</f>
        <v>0</v>
      </c>
      <c r="P1540" s="8">
        <f>[1]Data!P1540</f>
        <v>9.5940959409594101E-2</v>
      </c>
      <c r="Q1540" s="8">
        <f>[1]Data!Q1540</f>
        <v>1</v>
      </c>
      <c r="R1540" s="8">
        <f>[1]Data!R1540</f>
        <v>0</v>
      </c>
      <c r="S1540" s="8">
        <f>[1]Data!S1540</f>
        <v>0</v>
      </c>
      <c r="T1540">
        <f t="shared" si="120"/>
        <v>2.2140221402214E-2</v>
      </c>
      <c r="U1540">
        <f t="shared" si="121"/>
        <v>0</v>
      </c>
      <c r="V1540" s="4" t="str">
        <f t="shared" si="122"/>
        <v>6</v>
      </c>
      <c r="W1540" s="4" t="str">
        <f t="shared" si="123"/>
        <v>2</v>
      </c>
      <c r="X1540" s="4" t="str">
        <f t="shared" si="124"/>
        <v>6NON-HS2</v>
      </c>
      <c r="Y1540">
        <f>VLOOKUP(X1540,Sheet1!$J$5:$K$121,2,FALSE)</f>
        <v>0</v>
      </c>
    </row>
    <row r="1541" spans="1:25" x14ac:dyDescent="0.25">
      <c r="A1541" s="8">
        <f>[1]Data!A1541</f>
        <v>119341</v>
      </c>
      <c r="B1541" s="8">
        <f>[1]Data!B1541</f>
        <v>2</v>
      </c>
      <c r="C1541" s="8">
        <f>[1]Data!C1541</f>
        <v>6</v>
      </c>
      <c r="D1541" s="8">
        <f>[1]Data!D1541</f>
        <v>3</v>
      </c>
      <c r="E1541" s="8" t="str">
        <f>[1]Data!E1541</f>
        <v>NON-HS</v>
      </c>
      <c r="F1541" s="8" t="str">
        <f>[1]Data!F1541</f>
        <v>Panorama City</v>
      </c>
      <c r="G1541" s="8">
        <f>[1]Data!G1541</f>
        <v>0</v>
      </c>
      <c r="H1541" s="8">
        <f>[1]Data!H1541</f>
        <v>0</v>
      </c>
      <c r="I1541" s="8">
        <f>[1]Data!I1541</f>
        <v>7.8289999999999997</v>
      </c>
      <c r="J1541" s="8">
        <f>[1]Data!J1541</f>
        <v>5.6217117700000001</v>
      </c>
      <c r="K1541" s="8">
        <f>[1]Data!K1541</f>
        <v>7.6217117700000001</v>
      </c>
      <c r="L1541" s="8">
        <f>[1]Data!L1541</f>
        <v>0.20678343375224401</v>
      </c>
      <c r="M1541" s="8">
        <f>[1]Data!M1541</f>
        <v>7.8284952037522402</v>
      </c>
      <c r="N1541" s="8">
        <f>[1]Data!N1541</f>
        <v>2.2140221402214E-2</v>
      </c>
      <c r="O1541" s="8">
        <f>[1]Data!O1541</f>
        <v>0</v>
      </c>
      <c r="P1541" s="8">
        <f>[1]Data!P1541</f>
        <v>9.5940959409594101E-2</v>
      </c>
      <c r="Q1541" s="8">
        <f>[1]Data!Q1541</f>
        <v>1</v>
      </c>
      <c r="R1541" s="8">
        <f>[1]Data!R1541</f>
        <v>0</v>
      </c>
      <c r="S1541" s="8">
        <f>[1]Data!S1541</f>
        <v>0</v>
      </c>
      <c r="T1541">
        <f t="shared" si="120"/>
        <v>2.2140221402214E-2</v>
      </c>
      <c r="U1541">
        <f t="shared" si="121"/>
        <v>0</v>
      </c>
      <c r="V1541" s="4" t="str">
        <f t="shared" si="122"/>
        <v>6</v>
      </c>
      <c r="W1541" s="4" t="str">
        <f t="shared" si="123"/>
        <v>2</v>
      </c>
      <c r="X1541" s="4" t="str">
        <f t="shared" si="124"/>
        <v>6NON-HS2</v>
      </c>
      <c r="Y1541">
        <f>VLOOKUP(X1541,Sheet1!$J$5:$K$121,2,FALSE)</f>
        <v>0</v>
      </c>
    </row>
    <row r="1542" spans="1:25" x14ac:dyDescent="0.25">
      <c r="A1542" s="8">
        <f>[1]Data!A1542</f>
        <v>120106</v>
      </c>
      <c r="B1542" s="8">
        <f>[1]Data!B1542</f>
        <v>2</v>
      </c>
      <c r="C1542" s="8">
        <f>[1]Data!C1542</f>
        <v>6</v>
      </c>
      <c r="D1542" s="8">
        <f>[1]Data!D1542</f>
        <v>3</v>
      </c>
      <c r="E1542" s="8" t="str">
        <f>[1]Data!E1542</f>
        <v>NON-HS</v>
      </c>
      <c r="F1542" s="8" t="str">
        <f>[1]Data!F1542</f>
        <v>Panorama City</v>
      </c>
      <c r="G1542" s="8">
        <f>[1]Data!G1542</f>
        <v>0</v>
      </c>
      <c r="H1542" s="8">
        <f>[1]Data!H1542</f>
        <v>0</v>
      </c>
      <c r="I1542" s="8">
        <f>[1]Data!I1542</f>
        <v>2.0950000000000002</v>
      </c>
      <c r="J1542" s="8">
        <f>[1]Data!J1542</f>
        <v>1.9836996600000001</v>
      </c>
      <c r="K1542" s="8">
        <f>[1]Data!K1542</f>
        <v>1.9836996600000001</v>
      </c>
      <c r="L1542" s="8">
        <f>[1]Data!L1542</f>
        <v>0.11117260138240601</v>
      </c>
      <c r="M1542" s="8">
        <f>[1]Data!M1542</f>
        <v>2.09487226138241</v>
      </c>
      <c r="N1542" s="8">
        <f>[1]Data!N1542</f>
        <v>2.2140221402214E-2</v>
      </c>
      <c r="O1542" s="8">
        <f>[1]Data!O1542</f>
        <v>0</v>
      </c>
      <c r="P1542" s="8">
        <f>[1]Data!P1542</f>
        <v>9.5940959409594101E-2</v>
      </c>
      <c r="Q1542" s="8">
        <f>[1]Data!Q1542</f>
        <v>1</v>
      </c>
      <c r="R1542" s="8">
        <f>[1]Data!R1542</f>
        <v>0</v>
      </c>
      <c r="S1542" s="8">
        <f>[1]Data!S1542</f>
        <v>0</v>
      </c>
      <c r="T1542">
        <f t="shared" si="120"/>
        <v>2.2140221402214E-2</v>
      </c>
      <c r="U1542">
        <f t="shared" si="121"/>
        <v>0</v>
      </c>
      <c r="V1542" s="4" t="str">
        <f t="shared" si="122"/>
        <v>6</v>
      </c>
      <c r="W1542" s="4" t="str">
        <f t="shared" si="123"/>
        <v>2</v>
      </c>
      <c r="X1542" s="4" t="str">
        <f t="shared" si="124"/>
        <v>6NON-HS2</v>
      </c>
      <c r="Y1542">
        <f>VLOOKUP(X1542,Sheet1!$J$5:$K$121,2,FALSE)</f>
        <v>0</v>
      </c>
    </row>
    <row r="1543" spans="1:25" x14ac:dyDescent="0.25">
      <c r="A1543" s="8">
        <f>[1]Data!A1543</f>
        <v>127604</v>
      </c>
      <c r="B1543" s="8">
        <f>[1]Data!B1543</f>
        <v>2</v>
      </c>
      <c r="C1543" s="8">
        <f>[1]Data!C1543</f>
        <v>6</v>
      </c>
      <c r="D1543" s="8">
        <f>[1]Data!D1543</f>
        <v>3</v>
      </c>
      <c r="E1543" s="8" t="str">
        <f>[1]Data!E1543</f>
        <v>NON-HS</v>
      </c>
      <c r="F1543" s="8" t="str">
        <f>[1]Data!F1543</f>
        <v>Lake Balboa</v>
      </c>
      <c r="G1543" s="8">
        <f>[1]Data!G1543</f>
        <v>0</v>
      </c>
      <c r="H1543" s="8">
        <f>[1]Data!H1543</f>
        <v>0</v>
      </c>
      <c r="I1543" s="8">
        <f>[1]Data!I1543</f>
        <v>1</v>
      </c>
      <c r="J1543" s="8">
        <f>[1]Data!J1543</f>
        <v>0</v>
      </c>
      <c r="K1543" s="8">
        <f>[1]Data!K1543</f>
        <v>1</v>
      </c>
      <c r="L1543" s="8">
        <f>[1]Data!L1543</f>
        <v>0</v>
      </c>
      <c r="M1543" s="8">
        <f>[1]Data!M1543</f>
        <v>1</v>
      </c>
      <c r="N1543" s="8">
        <f>[1]Data!N1543</f>
        <v>2.2140221402214E-2</v>
      </c>
      <c r="O1543" s="8">
        <f>[1]Data!O1543</f>
        <v>0</v>
      </c>
      <c r="P1543" s="8">
        <f>[1]Data!P1543</f>
        <v>9.5940959409594101E-2</v>
      </c>
      <c r="Q1543" s="8">
        <f>[1]Data!Q1543</f>
        <v>1</v>
      </c>
      <c r="R1543" s="8">
        <f>[1]Data!R1543</f>
        <v>0</v>
      </c>
      <c r="S1543" s="8">
        <f>[1]Data!S1543</f>
        <v>0</v>
      </c>
      <c r="T1543">
        <f t="shared" si="120"/>
        <v>2.2140221402214E-2</v>
      </c>
      <c r="U1543">
        <f t="shared" si="121"/>
        <v>0</v>
      </c>
      <c r="V1543" s="4" t="str">
        <f t="shared" si="122"/>
        <v>6</v>
      </c>
      <c r="W1543" s="4" t="str">
        <f t="shared" si="123"/>
        <v>2</v>
      </c>
      <c r="X1543" s="4" t="str">
        <f t="shared" si="124"/>
        <v>6NON-HS2</v>
      </c>
      <c r="Y1543">
        <f>VLOOKUP(X1543,Sheet1!$J$5:$K$121,2,FALSE)</f>
        <v>0</v>
      </c>
    </row>
    <row r="1544" spans="1:25" x14ac:dyDescent="0.25">
      <c r="A1544" s="8">
        <f>[1]Data!A1544</f>
        <v>127711</v>
      </c>
      <c r="B1544" s="8">
        <f>[1]Data!B1544</f>
        <v>2</v>
      </c>
      <c r="C1544" s="8">
        <f>[1]Data!C1544</f>
        <v>6</v>
      </c>
      <c r="D1544" s="8">
        <f>[1]Data!D1544</f>
        <v>3</v>
      </c>
      <c r="E1544" s="8" t="str">
        <f>[1]Data!E1544</f>
        <v>NON-HS</v>
      </c>
      <c r="F1544" s="8" t="str">
        <f>[1]Data!F1544</f>
        <v>Van Nuys</v>
      </c>
      <c r="G1544" s="8">
        <f>[1]Data!G1544</f>
        <v>0</v>
      </c>
      <c r="H1544" s="8">
        <f>[1]Data!H1544</f>
        <v>0</v>
      </c>
      <c r="I1544" s="8">
        <f>[1]Data!I1544</f>
        <v>9.7970000000000006</v>
      </c>
      <c r="J1544" s="8">
        <f>[1]Data!J1544</f>
        <v>9.6032194200000003</v>
      </c>
      <c r="K1544" s="8">
        <f>[1]Data!K1544</f>
        <v>9.6032194200000003</v>
      </c>
      <c r="L1544" s="8">
        <f>[1]Data!L1544</f>
        <v>0.19367388971274699</v>
      </c>
      <c r="M1544" s="8">
        <f>[1]Data!M1544</f>
        <v>9.7968933097127504</v>
      </c>
      <c r="N1544" s="8">
        <f>[1]Data!N1544</f>
        <v>2.2140221402214E-2</v>
      </c>
      <c r="O1544" s="8">
        <f>[1]Data!O1544</f>
        <v>0</v>
      </c>
      <c r="P1544" s="8">
        <f>[1]Data!P1544</f>
        <v>9.5940959409594101E-2</v>
      </c>
      <c r="Q1544" s="8">
        <f>[1]Data!Q1544</f>
        <v>1</v>
      </c>
      <c r="R1544" s="8">
        <f>[1]Data!R1544</f>
        <v>0</v>
      </c>
      <c r="S1544" s="8">
        <f>[1]Data!S1544</f>
        <v>0</v>
      </c>
      <c r="T1544">
        <f t="shared" si="120"/>
        <v>2.2140221402214E-2</v>
      </c>
      <c r="U1544">
        <f t="shared" si="121"/>
        <v>0</v>
      </c>
      <c r="V1544" s="4" t="str">
        <f t="shared" si="122"/>
        <v>6</v>
      </c>
      <c r="W1544" s="4" t="str">
        <f t="shared" si="123"/>
        <v>2</v>
      </c>
      <c r="X1544" s="4" t="str">
        <f t="shared" si="124"/>
        <v>6NON-HS2</v>
      </c>
      <c r="Y1544">
        <f>VLOOKUP(X1544,Sheet1!$J$5:$K$121,2,FALSE)</f>
        <v>0</v>
      </c>
    </row>
    <row r="1545" spans="1:25" x14ac:dyDescent="0.25">
      <c r="A1545" s="8">
        <f>[1]Data!A1545</f>
        <v>120103</v>
      </c>
      <c r="B1545" s="8">
        <f>[1]Data!B1545</f>
        <v>2</v>
      </c>
      <c r="C1545" s="8">
        <f>[1]Data!C1545</f>
        <v>6</v>
      </c>
      <c r="D1545" s="8">
        <f>[1]Data!D1545</f>
        <v>3</v>
      </c>
      <c r="E1545" s="8" t="str">
        <f>[1]Data!E1545</f>
        <v>NON-HS</v>
      </c>
      <c r="F1545" s="8" t="str">
        <f>[1]Data!F1545</f>
        <v>Panorama City</v>
      </c>
      <c r="G1545" s="8">
        <f>[1]Data!G1545</f>
        <v>0</v>
      </c>
      <c r="H1545" s="8">
        <f>[1]Data!H1545</f>
        <v>0</v>
      </c>
      <c r="I1545" s="8">
        <f>[1]Data!I1545</f>
        <v>5.2939999999999996</v>
      </c>
      <c r="J1545" s="8">
        <f>[1]Data!J1545</f>
        <v>3.1204881900000001</v>
      </c>
      <c r="K1545" s="8">
        <f>[1]Data!K1545</f>
        <v>5.1204881899999997</v>
      </c>
      <c r="L1545" s="8">
        <f>[1]Data!L1545</f>
        <v>0.172943937899461</v>
      </c>
      <c r="M1545" s="8">
        <f>[1]Data!M1545</f>
        <v>5.29343212789946</v>
      </c>
      <c r="N1545" s="8">
        <f>[1]Data!N1545</f>
        <v>2.2140221402214E-2</v>
      </c>
      <c r="O1545" s="8">
        <f>[1]Data!O1545</f>
        <v>0</v>
      </c>
      <c r="P1545" s="8">
        <f>[1]Data!P1545</f>
        <v>9.5940959409594101E-2</v>
      </c>
      <c r="Q1545" s="8">
        <f>[1]Data!Q1545</f>
        <v>1</v>
      </c>
      <c r="R1545" s="8">
        <f>[1]Data!R1545</f>
        <v>0</v>
      </c>
      <c r="S1545" s="8">
        <f>[1]Data!S1545</f>
        <v>0</v>
      </c>
      <c r="T1545">
        <f t="shared" si="120"/>
        <v>2.2140221402214E-2</v>
      </c>
      <c r="U1545">
        <f t="shared" si="121"/>
        <v>0</v>
      </c>
      <c r="V1545" s="4" t="str">
        <f t="shared" si="122"/>
        <v>6</v>
      </c>
      <c r="W1545" s="4" t="str">
        <f t="shared" si="123"/>
        <v>2</v>
      </c>
      <c r="X1545" s="4" t="str">
        <f t="shared" si="124"/>
        <v>6NON-HS2</v>
      </c>
      <c r="Y1545">
        <f>VLOOKUP(X1545,Sheet1!$J$5:$K$121,2,FALSE)</f>
        <v>0</v>
      </c>
    </row>
    <row r="1546" spans="1:25" x14ac:dyDescent="0.25">
      <c r="A1546" s="8">
        <f>[1]Data!A1546</f>
        <v>119320</v>
      </c>
      <c r="B1546" s="8">
        <f>[1]Data!B1546</f>
        <v>2</v>
      </c>
      <c r="C1546" s="8">
        <f>[1]Data!C1546</f>
        <v>6</v>
      </c>
      <c r="D1546" s="8">
        <f>[1]Data!D1546</f>
        <v>3</v>
      </c>
      <c r="E1546" s="8" t="str">
        <f>[1]Data!E1546</f>
        <v>NON-HS</v>
      </c>
      <c r="F1546" s="8" t="str">
        <f>[1]Data!F1546</f>
        <v>Panorama City</v>
      </c>
      <c r="G1546" s="8">
        <f>[1]Data!G1546</f>
        <v>0</v>
      </c>
      <c r="H1546" s="8">
        <f>[1]Data!H1546</f>
        <v>0</v>
      </c>
      <c r="I1546" s="8">
        <f>[1]Data!I1546</f>
        <v>3.181</v>
      </c>
      <c r="J1546" s="8">
        <f>[1]Data!J1546</f>
        <v>2.87839314</v>
      </c>
      <c r="K1546" s="8">
        <f>[1]Data!K1546</f>
        <v>2.87839314</v>
      </c>
      <c r="L1546" s="8">
        <f>[1]Data!L1546</f>
        <v>0.30290401228007202</v>
      </c>
      <c r="M1546" s="8">
        <f>[1]Data!M1546</f>
        <v>3.1812971522800702</v>
      </c>
      <c r="N1546" s="8">
        <f>[1]Data!N1546</f>
        <v>2.2140221402214E-2</v>
      </c>
      <c r="O1546" s="8">
        <f>[1]Data!O1546</f>
        <v>0</v>
      </c>
      <c r="P1546" s="8">
        <f>[1]Data!P1546</f>
        <v>9.5940959409594101E-2</v>
      </c>
      <c r="Q1546" s="8">
        <f>[1]Data!Q1546</f>
        <v>1</v>
      </c>
      <c r="R1546" s="8">
        <f>[1]Data!R1546</f>
        <v>0</v>
      </c>
      <c r="S1546" s="8">
        <f>[1]Data!S1546</f>
        <v>0</v>
      </c>
      <c r="T1546">
        <f t="shared" si="120"/>
        <v>2.2140221402214E-2</v>
      </c>
      <c r="U1546">
        <f t="shared" si="121"/>
        <v>0</v>
      </c>
      <c r="V1546" s="4" t="str">
        <f t="shared" si="122"/>
        <v>6</v>
      </c>
      <c r="W1546" s="4" t="str">
        <f t="shared" si="123"/>
        <v>2</v>
      </c>
      <c r="X1546" s="4" t="str">
        <f t="shared" si="124"/>
        <v>6NON-HS2</v>
      </c>
      <c r="Y1546">
        <f>VLOOKUP(X1546,Sheet1!$J$5:$K$121,2,FALSE)</f>
        <v>0</v>
      </c>
    </row>
    <row r="1547" spans="1:25" x14ac:dyDescent="0.25">
      <c r="A1547" s="8">
        <f>[1]Data!A1547</f>
        <v>127805</v>
      </c>
      <c r="B1547" s="8">
        <f>[1]Data!B1547</f>
        <v>2</v>
      </c>
      <c r="C1547" s="8">
        <f>[1]Data!C1547</f>
        <v>6</v>
      </c>
      <c r="D1547" s="8">
        <f>[1]Data!D1547</f>
        <v>3</v>
      </c>
      <c r="E1547" s="8" t="str">
        <f>[1]Data!E1547</f>
        <v>NON-HS</v>
      </c>
      <c r="F1547" s="8" t="str">
        <f>[1]Data!F1547</f>
        <v>Van Nuys</v>
      </c>
      <c r="G1547" s="8">
        <f>[1]Data!G1547</f>
        <v>0</v>
      </c>
      <c r="H1547" s="8">
        <f>[1]Data!H1547</f>
        <v>0</v>
      </c>
      <c r="I1547" s="8">
        <f>[1]Data!I1547</f>
        <v>2.9260000000000002</v>
      </c>
      <c r="J1547" s="8">
        <f>[1]Data!J1547</f>
        <v>1.90487994</v>
      </c>
      <c r="K1547" s="8">
        <f>[1]Data!K1547</f>
        <v>2.9048799399999998</v>
      </c>
      <c r="L1547" s="8">
        <f>[1]Data!L1547</f>
        <v>2.0625322082585301E-2</v>
      </c>
      <c r="M1547" s="8">
        <f>[1]Data!M1547</f>
        <v>2.9255052620825901</v>
      </c>
      <c r="N1547" s="8">
        <f>[1]Data!N1547</f>
        <v>2.2140221402214E-2</v>
      </c>
      <c r="O1547" s="8">
        <f>[1]Data!O1547</f>
        <v>0</v>
      </c>
      <c r="P1547" s="8">
        <f>[1]Data!P1547</f>
        <v>9.5940959409594101E-2</v>
      </c>
      <c r="Q1547" s="8">
        <f>[1]Data!Q1547</f>
        <v>1</v>
      </c>
      <c r="R1547" s="8">
        <f>[1]Data!R1547</f>
        <v>0</v>
      </c>
      <c r="S1547" s="8">
        <f>[1]Data!S1547</f>
        <v>0</v>
      </c>
      <c r="T1547">
        <f t="shared" si="120"/>
        <v>2.2140221402214E-2</v>
      </c>
      <c r="U1547">
        <f t="shared" si="121"/>
        <v>0</v>
      </c>
      <c r="V1547" s="4" t="str">
        <f t="shared" si="122"/>
        <v>6</v>
      </c>
      <c r="W1547" s="4" t="str">
        <f t="shared" si="123"/>
        <v>2</v>
      </c>
      <c r="X1547" s="4" t="str">
        <f t="shared" si="124"/>
        <v>6NON-HS2</v>
      </c>
      <c r="Y1547">
        <f>VLOOKUP(X1547,Sheet1!$J$5:$K$121,2,FALSE)</f>
        <v>0</v>
      </c>
    </row>
    <row r="1548" spans="1:25" x14ac:dyDescent="0.25">
      <c r="A1548" s="8">
        <f>[1]Data!A1548</f>
        <v>132001</v>
      </c>
      <c r="B1548" s="8">
        <f>[1]Data!B1548</f>
        <v>2</v>
      </c>
      <c r="C1548" s="8">
        <f>[1]Data!C1548</f>
        <v>6</v>
      </c>
      <c r="D1548" s="8">
        <f>[1]Data!D1548</f>
        <v>3</v>
      </c>
      <c r="E1548" s="8" t="str">
        <f>[1]Data!E1548</f>
        <v>NON-HS</v>
      </c>
      <c r="F1548" s="8" t="str">
        <f>[1]Data!F1548</f>
        <v>Lake Balboa</v>
      </c>
      <c r="G1548" s="8">
        <f>[1]Data!G1548</f>
        <v>0</v>
      </c>
      <c r="H1548" s="8">
        <f>[1]Data!H1548</f>
        <v>0</v>
      </c>
      <c r="I1548" s="8">
        <f>[1]Data!I1548</f>
        <v>4.1900000000000004</v>
      </c>
      <c r="J1548" s="8">
        <f>[1]Data!J1548</f>
        <v>3.9673993200000002</v>
      </c>
      <c r="K1548" s="8">
        <f>[1]Data!K1548</f>
        <v>3.9673993200000002</v>
      </c>
      <c r="L1548" s="8">
        <f>[1]Data!L1548</f>
        <v>0.22234520276481101</v>
      </c>
      <c r="M1548" s="8">
        <f>[1]Data!M1548</f>
        <v>4.1897445227648102</v>
      </c>
      <c r="N1548" s="8">
        <f>[1]Data!N1548</f>
        <v>2.2140221402214E-2</v>
      </c>
      <c r="O1548" s="8">
        <f>[1]Data!O1548</f>
        <v>0</v>
      </c>
      <c r="P1548" s="8">
        <f>[1]Data!P1548</f>
        <v>9.5940959409594101E-2</v>
      </c>
      <c r="Q1548" s="8">
        <f>[1]Data!Q1548</f>
        <v>1</v>
      </c>
      <c r="R1548" s="8">
        <f>[1]Data!R1548</f>
        <v>0</v>
      </c>
      <c r="S1548" s="8">
        <f>[1]Data!S1548</f>
        <v>0</v>
      </c>
      <c r="T1548">
        <f t="shared" si="120"/>
        <v>2.2140221402214E-2</v>
      </c>
      <c r="U1548">
        <f t="shared" si="121"/>
        <v>0</v>
      </c>
      <c r="V1548" s="4" t="str">
        <f t="shared" si="122"/>
        <v>6</v>
      </c>
      <c r="W1548" s="4" t="str">
        <f t="shared" si="123"/>
        <v>2</v>
      </c>
      <c r="X1548" s="4" t="str">
        <f t="shared" si="124"/>
        <v>6NON-HS2</v>
      </c>
      <c r="Y1548">
        <f>VLOOKUP(X1548,Sheet1!$J$5:$K$121,2,FALSE)</f>
        <v>0</v>
      </c>
    </row>
    <row r="1549" spans="1:25" x14ac:dyDescent="0.25">
      <c r="A1549" s="8">
        <f>[1]Data!A1549</f>
        <v>132102</v>
      </c>
      <c r="B1549" s="8">
        <f>[1]Data!B1549</f>
        <v>2</v>
      </c>
      <c r="C1549" s="8">
        <f>[1]Data!C1549</f>
        <v>6</v>
      </c>
      <c r="D1549" s="8">
        <f>[1]Data!D1549</f>
        <v>3</v>
      </c>
      <c r="E1549" s="8" t="str">
        <f>[1]Data!E1549</f>
        <v>NON-HS</v>
      </c>
      <c r="F1549" s="8" t="str">
        <f>[1]Data!F1549</f>
        <v>Lake Balboa</v>
      </c>
      <c r="G1549" s="8">
        <f>[1]Data!G1549</f>
        <v>0</v>
      </c>
      <c r="H1549" s="8">
        <f>[1]Data!H1549</f>
        <v>0</v>
      </c>
      <c r="I1549" s="8">
        <f>[1]Data!I1549</f>
        <v>12.057</v>
      </c>
      <c r="J1549" s="8">
        <f>[1]Data!J1549</f>
        <v>10.268688689999999</v>
      </c>
      <c r="K1549" s="8">
        <f>[1]Data!K1549</f>
        <v>11.268688689999999</v>
      </c>
      <c r="L1549" s="8">
        <f>[1]Data!L1549</f>
        <v>0.78787382256732497</v>
      </c>
      <c r="M1549" s="8">
        <f>[1]Data!M1549</f>
        <v>12.0565625125673</v>
      </c>
      <c r="N1549" s="8">
        <f>[1]Data!N1549</f>
        <v>2.2140221402214E-2</v>
      </c>
      <c r="O1549" s="8">
        <f>[1]Data!O1549</f>
        <v>0</v>
      </c>
      <c r="P1549" s="8">
        <f>[1]Data!P1549</f>
        <v>9.5940959409594101E-2</v>
      </c>
      <c r="Q1549" s="8">
        <f>[1]Data!Q1549</f>
        <v>1</v>
      </c>
      <c r="R1549" s="8">
        <f>[1]Data!R1549</f>
        <v>0</v>
      </c>
      <c r="S1549" s="8">
        <f>[1]Data!S1549</f>
        <v>0</v>
      </c>
      <c r="T1549">
        <f t="shared" si="120"/>
        <v>2.2140221402214E-2</v>
      </c>
      <c r="U1549">
        <f t="shared" si="121"/>
        <v>0</v>
      </c>
      <c r="V1549" s="4" t="str">
        <f t="shared" si="122"/>
        <v>6</v>
      </c>
      <c r="W1549" s="4" t="str">
        <f t="shared" si="123"/>
        <v>2</v>
      </c>
      <c r="X1549" s="4" t="str">
        <f t="shared" si="124"/>
        <v>6NON-HS2</v>
      </c>
      <c r="Y1549">
        <f>VLOOKUP(X1549,Sheet1!$J$5:$K$121,2,FALSE)</f>
        <v>0</v>
      </c>
    </row>
    <row r="1550" spans="1:25" x14ac:dyDescent="0.25">
      <c r="A1550" s="8">
        <f>[1]Data!A1550</f>
        <v>120105</v>
      </c>
      <c r="B1550" s="8">
        <f>[1]Data!B1550</f>
        <v>2</v>
      </c>
      <c r="C1550" s="8">
        <f>[1]Data!C1550</f>
        <v>6</v>
      </c>
      <c r="D1550" s="8">
        <f>[1]Data!D1550</f>
        <v>3</v>
      </c>
      <c r="E1550" s="8" t="str">
        <f>[1]Data!E1550</f>
        <v>NON-HS</v>
      </c>
      <c r="F1550" s="8" t="str">
        <f>[1]Data!F1550</f>
        <v>Panorama City</v>
      </c>
      <c r="G1550" s="8">
        <f>[1]Data!G1550</f>
        <v>0</v>
      </c>
      <c r="H1550" s="8">
        <f>[1]Data!H1550</f>
        <v>0</v>
      </c>
      <c r="I1550" s="8">
        <f>[1]Data!I1550</f>
        <v>6.1159999999999997</v>
      </c>
      <c r="J1550" s="8">
        <f>[1]Data!J1550</f>
        <v>5.87227926</v>
      </c>
      <c r="K1550" s="8">
        <f>[1]Data!K1550</f>
        <v>5.87227926</v>
      </c>
      <c r="L1550" s="8">
        <f>[1]Data!L1550</f>
        <v>0.24297052484739701</v>
      </c>
      <c r="M1550" s="8">
        <f>[1]Data!M1550</f>
        <v>6.1152497848473999</v>
      </c>
      <c r="N1550" s="8">
        <f>[1]Data!N1550</f>
        <v>2.2140221402214E-2</v>
      </c>
      <c r="O1550" s="8">
        <f>[1]Data!O1550</f>
        <v>0</v>
      </c>
      <c r="P1550" s="8">
        <f>[1]Data!P1550</f>
        <v>9.5940959409594101E-2</v>
      </c>
      <c r="Q1550" s="8">
        <f>[1]Data!Q1550</f>
        <v>1</v>
      </c>
      <c r="R1550" s="8">
        <f>[1]Data!R1550</f>
        <v>0</v>
      </c>
      <c r="S1550" s="8">
        <f>[1]Data!S1550</f>
        <v>0</v>
      </c>
      <c r="T1550">
        <f t="shared" si="120"/>
        <v>2.2140221402214E-2</v>
      </c>
      <c r="U1550">
        <f t="shared" si="121"/>
        <v>0</v>
      </c>
      <c r="V1550" s="4" t="str">
        <f t="shared" si="122"/>
        <v>6</v>
      </c>
      <c r="W1550" s="4" t="str">
        <f t="shared" si="123"/>
        <v>2</v>
      </c>
      <c r="X1550" s="4" t="str">
        <f t="shared" si="124"/>
        <v>6NON-HS2</v>
      </c>
      <c r="Y1550">
        <f>VLOOKUP(X1550,Sheet1!$J$5:$K$121,2,FALSE)</f>
        <v>0</v>
      </c>
    </row>
    <row r="1551" spans="1:25" x14ac:dyDescent="0.25">
      <c r="A1551" s="8">
        <f>[1]Data!A1551</f>
        <v>121101</v>
      </c>
      <c r="B1551" s="8">
        <f>[1]Data!B1551</f>
        <v>2</v>
      </c>
      <c r="C1551" s="8">
        <f>[1]Data!C1551</f>
        <v>6</v>
      </c>
      <c r="D1551" s="8">
        <f>[1]Data!D1551</f>
        <v>5</v>
      </c>
      <c r="E1551" s="8" t="str">
        <f>[1]Data!E1551</f>
        <v>NON-HS</v>
      </c>
      <c r="F1551" s="8" t="str">
        <f>[1]Data!F1551</f>
        <v>Sun Valley</v>
      </c>
      <c r="G1551" s="8">
        <f>[1]Data!G1551</f>
        <v>0</v>
      </c>
      <c r="H1551" s="8">
        <f>[1]Data!H1551</f>
        <v>0</v>
      </c>
      <c r="I1551" s="8">
        <f>[1]Data!I1551</f>
        <v>11.967000000000001</v>
      </c>
      <c r="J1551" s="8">
        <f>[1]Data!J1551</f>
        <v>9.6820391400000005</v>
      </c>
      <c r="K1551" s="8">
        <f>[1]Data!K1551</f>
        <v>11.682039140000001</v>
      </c>
      <c r="L1551" s="8">
        <f>[1]Data!L1551</f>
        <v>0.284221169012567</v>
      </c>
      <c r="M1551" s="8">
        <f>[1]Data!M1551</f>
        <v>11.966260309012601</v>
      </c>
      <c r="N1551" s="8">
        <f>[1]Data!N1551</f>
        <v>2.2140221402214E-2</v>
      </c>
      <c r="O1551" s="8">
        <f>[1]Data!O1551</f>
        <v>0</v>
      </c>
      <c r="P1551" s="8">
        <f>[1]Data!P1551</f>
        <v>9.5940959409594101E-2</v>
      </c>
      <c r="Q1551" s="8">
        <f>[1]Data!Q1551</f>
        <v>1</v>
      </c>
      <c r="R1551" s="8">
        <f>[1]Data!R1551</f>
        <v>0</v>
      </c>
      <c r="S1551" s="8">
        <f>[1]Data!S1551</f>
        <v>0</v>
      </c>
      <c r="T1551">
        <f t="shared" si="120"/>
        <v>2.2140221402214E-2</v>
      </c>
      <c r="U1551">
        <f t="shared" si="121"/>
        <v>0</v>
      </c>
      <c r="V1551" s="4" t="str">
        <f t="shared" si="122"/>
        <v>6</v>
      </c>
      <c r="W1551" s="4" t="str">
        <f t="shared" si="123"/>
        <v>2</v>
      </c>
      <c r="X1551" s="4" t="str">
        <f t="shared" si="124"/>
        <v>6NON-HS2</v>
      </c>
      <c r="Y1551">
        <f>VLOOKUP(X1551,Sheet1!$J$5:$K$121,2,FALSE)</f>
        <v>0</v>
      </c>
    </row>
    <row r="1552" spans="1:25" x14ac:dyDescent="0.25">
      <c r="A1552" s="8">
        <f>[1]Data!A1552</f>
        <v>121801</v>
      </c>
      <c r="B1552" s="8">
        <f>[1]Data!B1552</f>
        <v>2</v>
      </c>
      <c r="C1552" s="8">
        <f>[1]Data!C1552</f>
        <v>6</v>
      </c>
      <c r="D1552" s="8">
        <f>[1]Data!D1552</f>
        <v>3</v>
      </c>
      <c r="E1552" s="8" t="str">
        <f>[1]Data!E1552</f>
        <v>NON-HS</v>
      </c>
      <c r="F1552" s="8" t="str">
        <f>[1]Data!F1552</f>
        <v>North Hollywood</v>
      </c>
      <c r="G1552" s="8">
        <f>[1]Data!G1552</f>
        <v>0</v>
      </c>
      <c r="H1552" s="8">
        <f>[1]Data!H1552</f>
        <v>0</v>
      </c>
      <c r="I1552" s="8">
        <f>[1]Data!I1552</f>
        <v>2</v>
      </c>
      <c r="J1552" s="8">
        <f>[1]Data!J1552</f>
        <v>0</v>
      </c>
      <c r="K1552" s="8">
        <f>[1]Data!K1552</f>
        <v>2</v>
      </c>
      <c r="L1552" s="8">
        <f>[1]Data!L1552</f>
        <v>0</v>
      </c>
      <c r="M1552" s="8">
        <f>[1]Data!M1552</f>
        <v>2</v>
      </c>
      <c r="N1552" s="8">
        <f>[1]Data!N1552</f>
        <v>2.2140221402214E-2</v>
      </c>
      <c r="O1552" s="8">
        <f>[1]Data!O1552</f>
        <v>0</v>
      </c>
      <c r="P1552" s="8">
        <f>[1]Data!P1552</f>
        <v>9.5940959409594101E-2</v>
      </c>
      <c r="Q1552" s="8">
        <f>[1]Data!Q1552</f>
        <v>1</v>
      </c>
      <c r="R1552" s="8">
        <f>[1]Data!R1552</f>
        <v>0</v>
      </c>
      <c r="S1552" s="8">
        <f>[1]Data!S1552</f>
        <v>0</v>
      </c>
      <c r="T1552">
        <f t="shared" si="120"/>
        <v>2.2140221402214E-2</v>
      </c>
      <c r="U1552">
        <f t="shared" si="121"/>
        <v>0</v>
      </c>
      <c r="V1552" s="4" t="str">
        <f t="shared" si="122"/>
        <v>6</v>
      </c>
      <c r="W1552" s="4" t="str">
        <f t="shared" si="123"/>
        <v>2</v>
      </c>
      <c r="X1552" s="4" t="str">
        <f t="shared" si="124"/>
        <v>6NON-HS2</v>
      </c>
      <c r="Y1552">
        <f>VLOOKUP(X1552,Sheet1!$J$5:$K$121,2,FALSE)</f>
        <v>0</v>
      </c>
    </row>
    <row r="1553" spans="1:25" x14ac:dyDescent="0.25">
      <c r="A1553" s="8">
        <f>[1]Data!A1553</f>
        <v>120400</v>
      </c>
      <c r="B1553" s="8">
        <f>[1]Data!B1553</f>
        <v>2</v>
      </c>
      <c r="C1553" s="8">
        <f>[1]Data!C1553</f>
        <v>6</v>
      </c>
      <c r="D1553" s="8">
        <f>[1]Data!D1553</f>
        <v>3</v>
      </c>
      <c r="E1553" s="8" t="str">
        <f>[1]Data!E1553</f>
        <v>NON-HS</v>
      </c>
      <c r="F1553" s="8" t="str">
        <f>[1]Data!F1553</f>
        <v>Panorama City</v>
      </c>
      <c r="G1553" s="8">
        <f>[1]Data!G1553</f>
        <v>0</v>
      </c>
      <c r="H1553" s="8">
        <f>[1]Data!H1553</f>
        <v>0</v>
      </c>
      <c r="I1553" s="8">
        <f>[1]Data!I1553</f>
        <v>5.7770000000000001</v>
      </c>
      <c r="J1553" s="8">
        <f>[1]Data!J1553</f>
        <v>5.7146398200000004</v>
      </c>
      <c r="K1553" s="8">
        <f>[1]Data!K1553</f>
        <v>5.7146398200000004</v>
      </c>
      <c r="L1553" s="8">
        <f>[1]Data!L1553</f>
        <v>6.18759662477558E-2</v>
      </c>
      <c r="M1553" s="8">
        <f>[1]Data!M1553</f>
        <v>5.7765157862477601</v>
      </c>
      <c r="N1553" s="8">
        <f>[1]Data!N1553</f>
        <v>2.2140221402214E-2</v>
      </c>
      <c r="O1553" s="8">
        <f>[1]Data!O1553</f>
        <v>0</v>
      </c>
      <c r="P1553" s="8">
        <f>[1]Data!P1553</f>
        <v>9.5940959409594101E-2</v>
      </c>
      <c r="Q1553" s="8">
        <f>[1]Data!Q1553</f>
        <v>1</v>
      </c>
      <c r="R1553" s="8">
        <f>[1]Data!R1553</f>
        <v>0</v>
      </c>
      <c r="S1553" s="8">
        <f>[1]Data!S1553</f>
        <v>0</v>
      </c>
      <c r="T1553">
        <f t="shared" si="120"/>
        <v>2.2140221402214E-2</v>
      </c>
      <c r="U1553">
        <f t="shared" si="121"/>
        <v>0</v>
      </c>
      <c r="V1553" s="4" t="str">
        <f t="shared" si="122"/>
        <v>6</v>
      </c>
      <c r="W1553" s="4" t="str">
        <f t="shared" si="123"/>
        <v>2</v>
      </c>
      <c r="X1553" s="4" t="str">
        <f t="shared" si="124"/>
        <v>6NON-HS2</v>
      </c>
      <c r="Y1553">
        <f>VLOOKUP(X1553,Sheet1!$J$5:$K$121,2,FALSE)</f>
        <v>0</v>
      </c>
    </row>
    <row r="1554" spans="1:25" x14ac:dyDescent="0.25">
      <c r="A1554" s="8">
        <f>[1]Data!A1554</f>
        <v>128302</v>
      </c>
      <c r="B1554" s="8">
        <f>[1]Data!B1554</f>
        <v>2</v>
      </c>
      <c r="C1554" s="8">
        <f>[1]Data!C1554</f>
        <v>6</v>
      </c>
      <c r="D1554" s="8">
        <f>[1]Data!D1554</f>
        <v>3</v>
      </c>
      <c r="E1554" s="8" t="str">
        <f>[1]Data!E1554</f>
        <v>NON-HS</v>
      </c>
      <c r="F1554" s="8" t="str">
        <f>[1]Data!F1554</f>
        <v>Van Nuys</v>
      </c>
      <c r="G1554" s="8">
        <f>[1]Data!G1554</f>
        <v>0</v>
      </c>
      <c r="H1554" s="8">
        <f>[1]Data!H1554</f>
        <v>0</v>
      </c>
      <c r="I1554" s="8">
        <f>[1]Data!I1554</f>
        <v>11.785</v>
      </c>
      <c r="J1554" s="8">
        <f>[1]Data!J1554</f>
        <v>11.29738188</v>
      </c>
      <c r="K1554" s="8">
        <f>[1]Data!K1554</f>
        <v>11.29738188</v>
      </c>
      <c r="L1554" s="8">
        <f>[1]Data!L1554</f>
        <v>0.487674269048474</v>
      </c>
      <c r="M1554" s="8">
        <f>[1]Data!M1554</f>
        <v>11.785056149048501</v>
      </c>
      <c r="N1554" s="8">
        <f>[1]Data!N1554</f>
        <v>2.2140221402214E-2</v>
      </c>
      <c r="O1554" s="8">
        <f>[1]Data!O1554</f>
        <v>0</v>
      </c>
      <c r="P1554" s="8">
        <f>[1]Data!P1554</f>
        <v>9.5940959409594101E-2</v>
      </c>
      <c r="Q1554" s="8">
        <f>[1]Data!Q1554</f>
        <v>1</v>
      </c>
      <c r="R1554" s="8">
        <f>[1]Data!R1554</f>
        <v>0</v>
      </c>
      <c r="S1554" s="8">
        <f>[1]Data!S1554</f>
        <v>0</v>
      </c>
      <c r="T1554">
        <f t="shared" si="120"/>
        <v>2.2140221402214E-2</v>
      </c>
      <c r="U1554">
        <f t="shared" si="121"/>
        <v>0</v>
      </c>
      <c r="V1554" s="4" t="str">
        <f t="shared" si="122"/>
        <v>6</v>
      </c>
      <c r="W1554" s="4" t="str">
        <f t="shared" si="123"/>
        <v>2</v>
      </c>
      <c r="X1554" s="4" t="str">
        <f t="shared" si="124"/>
        <v>6NON-HS2</v>
      </c>
      <c r="Y1554">
        <f>VLOOKUP(X1554,Sheet1!$J$5:$K$121,2,FALSE)</f>
        <v>0</v>
      </c>
    </row>
    <row r="1555" spans="1:25" x14ac:dyDescent="0.25">
      <c r="A1555" s="8">
        <f>[1]Data!A1555</f>
        <v>127804</v>
      </c>
      <c r="B1555" s="8">
        <f>[1]Data!B1555</f>
        <v>2</v>
      </c>
      <c r="C1555" s="8">
        <f>[1]Data!C1555</f>
        <v>6</v>
      </c>
      <c r="D1555" s="8">
        <f>[1]Data!D1555</f>
        <v>3</v>
      </c>
      <c r="E1555" s="8" t="str">
        <f>[1]Data!E1555</f>
        <v>NON-HS</v>
      </c>
      <c r="F1555" s="8" t="str">
        <f>[1]Data!F1555</f>
        <v>Van Nuys</v>
      </c>
      <c r="G1555" s="8">
        <f>[1]Data!G1555</f>
        <v>0</v>
      </c>
      <c r="H1555" s="8">
        <f>[1]Data!H1555</f>
        <v>0</v>
      </c>
      <c r="I1555" s="8">
        <f>[1]Data!I1555</f>
        <v>0</v>
      </c>
      <c r="J1555" s="8">
        <f>[1]Data!J1555</f>
        <v>0</v>
      </c>
      <c r="K1555" s="8">
        <f>[1]Data!K1555</f>
        <v>0</v>
      </c>
      <c r="L1555" s="8">
        <f>[1]Data!L1555</f>
        <v>0</v>
      </c>
      <c r="M1555" s="8">
        <f>[1]Data!M1555</f>
        <v>0</v>
      </c>
      <c r="N1555" s="8">
        <f>[1]Data!N1555</f>
        <v>2.2140221402214E-2</v>
      </c>
      <c r="O1555" s="8">
        <f>[1]Data!O1555</f>
        <v>0</v>
      </c>
      <c r="P1555" s="8">
        <f>[1]Data!P1555</f>
        <v>9.5940959409594101E-2</v>
      </c>
      <c r="Q1555" s="8">
        <f>[1]Data!Q1555</f>
        <v>1</v>
      </c>
      <c r="R1555" s="8">
        <f>[1]Data!R1555</f>
        <v>0</v>
      </c>
      <c r="S1555" s="8">
        <f>[1]Data!S1555</f>
        <v>0</v>
      </c>
      <c r="T1555">
        <f t="shared" si="120"/>
        <v>2.2140221402214E-2</v>
      </c>
      <c r="U1555">
        <f t="shared" si="121"/>
        <v>0</v>
      </c>
      <c r="V1555" s="4" t="str">
        <f t="shared" si="122"/>
        <v>6</v>
      </c>
      <c r="W1555" s="4" t="str">
        <f t="shared" si="123"/>
        <v>2</v>
      </c>
      <c r="X1555" s="4" t="str">
        <f t="shared" si="124"/>
        <v>6NON-HS2</v>
      </c>
      <c r="Y1555">
        <f>VLOOKUP(X1555,Sheet1!$J$5:$K$121,2,FALSE)</f>
        <v>0</v>
      </c>
    </row>
    <row r="1556" spans="1:25" x14ac:dyDescent="0.25">
      <c r="A1556" s="8">
        <f>[1]Data!A1556</f>
        <v>119310</v>
      </c>
      <c r="B1556" s="8">
        <f>[1]Data!B1556</f>
        <v>2</v>
      </c>
      <c r="C1556" s="8">
        <f>[1]Data!C1556</f>
        <v>6</v>
      </c>
      <c r="D1556" s="8">
        <f>[1]Data!D1556</f>
        <v>3</v>
      </c>
      <c r="E1556" s="8" t="str">
        <f>[1]Data!E1556</f>
        <v>NON-HS</v>
      </c>
      <c r="F1556" s="8" t="str">
        <f>[1]Data!F1556</f>
        <v>Panorama City</v>
      </c>
      <c r="G1556" s="8">
        <f>[1]Data!G1556</f>
        <v>1</v>
      </c>
      <c r="H1556" s="8">
        <f>[1]Data!H1556</f>
        <v>1</v>
      </c>
      <c r="I1556" s="8">
        <f>[1]Data!I1556</f>
        <v>1.591</v>
      </c>
      <c r="J1556" s="8">
        <f>[1]Data!J1556</f>
        <v>1.43919657</v>
      </c>
      <c r="K1556" s="8">
        <f>[1]Data!K1556</f>
        <v>1.43919657</v>
      </c>
      <c r="L1556" s="8">
        <f>[1]Data!L1556</f>
        <v>0.15145200614003601</v>
      </c>
      <c r="M1556" s="8">
        <f>[1]Data!M1556</f>
        <v>1.59064857614004</v>
      </c>
      <c r="N1556" s="8">
        <f>[1]Data!N1556</f>
        <v>2.2140221402214E-2</v>
      </c>
      <c r="O1556" s="8">
        <f>[1]Data!O1556</f>
        <v>45.1666666666667</v>
      </c>
      <c r="P1556" s="8">
        <f>[1]Data!P1556</f>
        <v>9.5940959409594101E-2</v>
      </c>
      <c r="Q1556" s="8">
        <f>[1]Data!Q1556</f>
        <v>1</v>
      </c>
      <c r="R1556" s="8">
        <f>[1]Data!R1556</f>
        <v>0</v>
      </c>
      <c r="S1556" s="8">
        <f>[1]Data!S1556</f>
        <v>0</v>
      </c>
      <c r="T1556">
        <f t="shared" si="120"/>
        <v>2.2140221402214E-2</v>
      </c>
      <c r="U1556">
        <f t="shared" si="121"/>
        <v>45.166666666666714</v>
      </c>
      <c r="V1556" s="4" t="str">
        <f t="shared" si="122"/>
        <v>6</v>
      </c>
      <c r="W1556" s="4" t="str">
        <f t="shared" si="123"/>
        <v>2</v>
      </c>
      <c r="X1556" s="4" t="str">
        <f t="shared" si="124"/>
        <v>6NON-HS2</v>
      </c>
      <c r="Y1556">
        <f>VLOOKUP(X1556,Sheet1!$J$5:$K$121,2,FALSE)</f>
        <v>0</v>
      </c>
    </row>
    <row r="1557" spans="1:25" x14ac:dyDescent="0.25">
      <c r="A1557" s="8">
        <f>[1]Data!A1557</f>
        <v>119342</v>
      </c>
      <c r="B1557" s="8">
        <f>[1]Data!B1557</f>
        <v>2</v>
      </c>
      <c r="C1557" s="8">
        <f>[1]Data!C1557</f>
        <v>6</v>
      </c>
      <c r="D1557" s="8">
        <f>[1]Data!D1557</f>
        <v>3</v>
      </c>
      <c r="E1557" s="8" t="str">
        <f>[1]Data!E1557</f>
        <v>NON-HS</v>
      </c>
      <c r="F1557" s="8" t="str">
        <f>[1]Data!F1557</f>
        <v>Panorama City</v>
      </c>
      <c r="G1557" s="8">
        <f>[1]Data!G1557</f>
        <v>0</v>
      </c>
      <c r="H1557" s="8">
        <f>[1]Data!H1557</f>
        <v>0</v>
      </c>
      <c r="I1557" s="8">
        <f>[1]Data!I1557</f>
        <v>0</v>
      </c>
      <c r="J1557" s="8">
        <f>[1]Data!J1557</f>
        <v>0</v>
      </c>
      <c r="K1557" s="8">
        <f>[1]Data!K1557</f>
        <v>0</v>
      </c>
      <c r="L1557" s="8">
        <f>[1]Data!L1557</f>
        <v>0</v>
      </c>
      <c r="M1557" s="8">
        <f>[1]Data!M1557</f>
        <v>0</v>
      </c>
      <c r="N1557" s="8">
        <f>[1]Data!N1557</f>
        <v>2.2140221402214E-2</v>
      </c>
      <c r="O1557" s="8">
        <f>[1]Data!O1557</f>
        <v>0</v>
      </c>
      <c r="P1557" s="8">
        <f>[1]Data!P1557</f>
        <v>9.5940959409594101E-2</v>
      </c>
      <c r="Q1557" s="8">
        <f>[1]Data!Q1557</f>
        <v>1</v>
      </c>
      <c r="R1557" s="8">
        <f>[1]Data!R1557</f>
        <v>0</v>
      </c>
      <c r="S1557" s="8">
        <f>[1]Data!S1557</f>
        <v>0</v>
      </c>
      <c r="T1557">
        <f t="shared" si="120"/>
        <v>2.2140221402214E-2</v>
      </c>
      <c r="U1557">
        <f t="shared" si="121"/>
        <v>0</v>
      </c>
      <c r="V1557" s="4" t="str">
        <f t="shared" si="122"/>
        <v>6</v>
      </c>
      <c r="W1557" s="4" t="str">
        <f t="shared" si="123"/>
        <v>2</v>
      </c>
      <c r="X1557" s="4" t="str">
        <f t="shared" si="124"/>
        <v>6NON-HS2</v>
      </c>
      <c r="Y1557">
        <f>VLOOKUP(X1557,Sheet1!$J$5:$K$121,2,FALSE)</f>
        <v>0</v>
      </c>
    </row>
    <row r="1558" spans="1:25" x14ac:dyDescent="0.25">
      <c r="A1558" s="8">
        <f>[1]Data!A1558</f>
        <v>127603</v>
      </c>
      <c r="B1558" s="8">
        <f>[1]Data!B1558</f>
        <v>2</v>
      </c>
      <c r="C1558" s="8">
        <f>[1]Data!C1558</f>
        <v>6</v>
      </c>
      <c r="D1558" s="8">
        <f>[1]Data!D1558</f>
        <v>3</v>
      </c>
      <c r="E1558" s="8" t="str">
        <f>[1]Data!E1558</f>
        <v>NON-HS</v>
      </c>
      <c r="F1558" s="8" t="str">
        <f>[1]Data!F1558</f>
        <v>Lake Balboa</v>
      </c>
      <c r="G1558" s="8">
        <f>[1]Data!G1558</f>
        <v>0</v>
      </c>
      <c r="H1558" s="8">
        <f>[1]Data!H1558</f>
        <v>0</v>
      </c>
      <c r="I1558" s="8">
        <f>[1]Data!I1558</f>
        <v>0</v>
      </c>
      <c r="J1558" s="8">
        <f>[1]Data!J1558</f>
        <v>0</v>
      </c>
      <c r="K1558" s="8">
        <f>[1]Data!K1558</f>
        <v>0</v>
      </c>
      <c r="L1558" s="8">
        <f>[1]Data!L1558</f>
        <v>0</v>
      </c>
      <c r="M1558" s="8">
        <f>[1]Data!M1558</f>
        <v>0</v>
      </c>
      <c r="N1558" s="8">
        <f>[1]Data!N1558</f>
        <v>2.2140221402214E-2</v>
      </c>
      <c r="O1558" s="8">
        <f>[1]Data!O1558</f>
        <v>0</v>
      </c>
      <c r="P1558" s="8">
        <f>[1]Data!P1558</f>
        <v>9.5940959409594101E-2</v>
      </c>
      <c r="Q1558" s="8">
        <f>[1]Data!Q1558</f>
        <v>1</v>
      </c>
      <c r="R1558" s="8">
        <f>[1]Data!R1558</f>
        <v>0</v>
      </c>
      <c r="S1558" s="8">
        <f>[1]Data!S1558</f>
        <v>0</v>
      </c>
      <c r="T1558">
        <f t="shared" si="120"/>
        <v>2.2140221402214E-2</v>
      </c>
      <c r="U1558">
        <f t="shared" si="121"/>
        <v>0</v>
      </c>
      <c r="V1558" s="4" t="str">
        <f t="shared" si="122"/>
        <v>6</v>
      </c>
      <c r="W1558" s="4" t="str">
        <f t="shared" si="123"/>
        <v>2</v>
      </c>
      <c r="X1558" s="4" t="str">
        <f t="shared" si="124"/>
        <v>6NON-HS2</v>
      </c>
      <c r="Y1558">
        <f>VLOOKUP(X1558,Sheet1!$J$5:$K$121,2,FALSE)</f>
        <v>0</v>
      </c>
    </row>
    <row r="1559" spans="1:25" x14ac:dyDescent="0.25">
      <c r="A1559" s="8">
        <f>[1]Data!A1559</f>
        <v>132101</v>
      </c>
      <c r="B1559" s="8">
        <f>[1]Data!B1559</f>
        <v>2</v>
      </c>
      <c r="C1559" s="8">
        <f>[1]Data!C1559</f>
        <v>6</v>
      </c>
      <c r="D1559" s="8">
        <f>[1]Data!D1559</f>
        <v>3</v>
      </c>
      <c r="E1559" s="8" t="str">
        <f>[1]Data!E1559</f>
        <v>NON-HS</v>
      </c>
      <c r="F1559" s="8" t="str">
        <f>[1]Data!F1559</f>
        <v>Lake Balboa</v>
      </c>
      <c r="G1559" s="8">
        <f>[1]Data!G1559</f>
        <v>0</v>
      </c>
      <c r="H1559" s="8">
        <f>[1]Data!H1559</f>
        <v>0</v>
      </c>
      <c r="I1559" s="8">
        <f>[1]Data!I1559</f>
        <v>1</v>
      </c>
      <c r="J1559" s="8">
        <f>[1]Data!J1559</f>
        <v>0</v>
      </c>
      <c r="K1559" s="8">
        <f>[1]Data!K1559</f>
        <v>1</v>
      </c>
      <c r="L1559" s="8">
        <f>[1]Data!L1559</f>
        <v>0</v>
      </c>
      <c r="M1559" s="8">
        <f>[1]Data!M1559</f>
        <v>1</v>
      </c>
      <c r="N1559" s="8">
        <f>[1]Data!N1559</f>
        <v>2.2140221402214E-2</v>
      </c>
      <c r="O1559" s="8">
        <f>[1]Data!O1559</f>
        <v>0</v>
      </c>
      <c r="P1559" s="8">
        <f>[1]Data!P1559</f>
        <v>9.5940959409594101E-2</v>
      </c>
      <c r="Q1559" s="8">
        <f>[1]Data!Q1559</f>
        <v>1</v>
      </c>
      <c r="R1559" s="8">
        <f>[1]Data!R1559</f>
        <v>0</v>
      </c>
      <c r="S1559" s="8">
        <f>[1]Data!S1559</f>
        <v>0</v>
      </c>
      <c r="T1559">
        <f t="shared" si="120"/>
        <v>2.2140221402214E-2</v>
      </c>
      <c r="U1559">
        <f t="shared" si="121"/>
        <v>0</v>
      </c>
      <c r="V1559" s="4" t="str">
        <f t="shared" si="122"/>
        <v>6</v>
      </c>
      <c r="W1559" s="4" t="str">
        <f t="shared" si="123"/>
        <v>2</v>
      </c>
      <c r="X1559" s="4" t="str">
        <f t="shared" si="124"/>
        <v>6NON-HS2</v>
      </c>
      <c r="Y1559">
        <f>VLOOKUP(X1559,Sheet1!$J$5:$K$121,2,FALSE)</f>
        <v>0</v>
      </c>
    </row>
    <row r="1560" spans="1:25" x14ac:dyDescent="0.25">
      <c r="A1560" s="8">
        <f>[1]Data!A1560</f>
        <v>104404</v>
      </c>
      <c r="B1560" s="8">
        <f>[1]Data!B1560</f>
        <v>2</v>
      </c>
      <c r="C1560" s="8">
        <f>[1]Data!C1560</f>
        <v>7</v>
      </c>
      <c r="D1560" s="8">
        <f>[1]Data!D1560</f>
        <v>3</v>
      </c>
      <c r="E1560" s="8" t="str">
        <f>[1]Data!E1560</f>
        <v>CVCTE</v>
      </c>
      <c r="F1560" s="8" t="str">
        <f>[1]Data!F1560</f>
        <v>Pacoima</v>
      </c>
      <c r="G1560" s="8">
        <f>[1]Data!G1560</f>
        <v>0</v>
      </c>
      <c r="H1560" s="8">
        <f>[1]Data!H1560</f>
        <v>1</v>
      </c>
      <c r="I1560" s="8">
        <f>[1]Data!I1560</f>
        <v>13.795</v>
      </c>
      <c r="J1560" s="8">
        <f>[1]Data!J1560</f>
        <v>12.04518897</v>
      </c>
      <c r="K1560" s="8">
        <f>[1]Data!K1560</f>
        <v>13.04518897</v>
      </c>
      <c r="L1560" s="8">
        <f>[1]Data!L1560</f>
        <v>0.75020574590664302</v>
      </c>
      <c r="M1560" s="8">
        <f>[1]Data!M1560</f>
        <v>13.7953947159066</v>
      </c>
      <c r="N1560" s="8">
        <f>[1]Data!N1560</f>
        <v>0.17910447761194001</v>
      </c>
      <c r="O1560" s="8">
        <f>[1]Data!O1560</f>
        <v>0</v>
      </c>
      <c r="P1560" s="8">
        <f>[1]Data!P1560</f>
        <v>0.20895522388059701</v>
      </c>
      <c r="Q1560" s="8">
        <f>[1]Data!Q1560</f>
        <v>1</v>
      </c>
      <c r="R1560" s="8">
        <f>[1]Data!R1560</f>
        <v>0.40909090909090901</v>
      </c>
      <c r="S1560" s="8">
        <f>[1]Data!S1560</f>
        <v>2.4444444444444402</v>
      </c>
      <c r="T1560">
        <f t="shared" si="120"/>
        <v>0.51492537313432807</v>
      </c>
      <c r="U1560">
        <f t="shared" si="121"/>
        <v>1.9420289855072475</v>
      </c>
      <c r="V1560" s="4" t="str">
        <f t="shared" si="122"/>
        <v>7</v>
      </c>
      <c r="W1560" s="4" t="str">
        <f t="shared" si="123"/>
        <v>2</v>
      </c>
      <c r="X1560" s="4" t="str">
        <f t="shared" si="124"/>
        <v>7CVCTE2</v>
      </c>
      <c r="Y1560">
        <f>VLOOKUP(X1560,Sheet1!$J$5:$K$121,2,FALSE)</f>
        <v>0.40909090909090901</v>
      </c>
    </row>
    <row r="1561" spans="1:25" x14ac:dyDescent="0.25">
      <c r="A1561" s="8">
        <f>[1]Data!A1561</f>
        <v>104204</v>
      </c>
      <c r="B1561" s="8">
        <f>[1]Data!B1561</f>
        <v>2</v>
      </c>
      <c r="C1561" s="8">
        <f>[1]Data!C1561</f>
        <v>7</v>
      </c>
      <c r="D1561" s="8">
        <f>[1]Data!D1561</f>
        <v>3</v>
      </c>
      <c r="E1561" s="8" t="str">
        <f>[1]Data!E1561</f>
        <v>CVCTE</v>
      </c>
      <c r="F1561" s="8" t="str">
        <f>[1]Data!F1561</f>
        <v>Foothill Trails</v>
      </c>
      <c r="G1561" s="8">
        <f>[1]Data!G1561</f>
        <v>0</v>
      </c>
      <c r="H1561" s="8">
        <f>[1]Data!H1561</f>
        <v>0</v>
      </c>
      <c r="I1561" s="8">
        <f>[1]Data!I1561</f>
        <v>16.568999999999999</v>
      </c>
      <c r="J1561" s="8">
        <f>[1]Data!J1561</f>
        <v>11.902197960000001</v>
      </c>
      <c r="K1561" s="8">
        <f>[1]Data!K1561</f>
        <v>15.902197960000001</v>
      </c>
      <c r="L1561" s="8">
        <f>[1]Data!L1561</f>
        <v>0.66703560829443398</v>
      </c>
      <c r="M1561" s="8">
        <f>[1]Data!M1561</f>
        <v>16.569233568294401</v>
      </c>
      <c r="N1561" s="8">
        <f>[1]Data!N1561</f>
        <v>0.17910447761194001</v>
      </c>
      <c r="O1561" s="8">
        <f>[1]Data!O1561</f>
        <v>0</v>
      </c>
      <c r="P1561" s="8">
        <f>[1]Data!P1561</f>
        <v>0.20895522388059701</v>
      </c>
      <c r="Q1561" s="8">
        <f>[1]Data!Q1561</f>
        <v>1</v>
      </c>
      <c r="R1561" s="8">
        <f>[1]Data!R1561</f>
        <v>0.40909090909090901</v>
      </c>
      <c r="S1561" s="8">
        <f>[1]Data!S1561</f>
        <v>0</v>
      </c>
      <c r="T1561">
        <f t="shared" si="120"/>
        <v>0.51492537313432807</v>
      </c>
      <c r="U1561">
        <f t="shared" si="121"/>
        <v>0</v>
      </c>
      <c r="V1561" s="4" t="str">
        <f t="shared" si="122"/>
        <v>7</v>
      </c>
      <c r="W1561" s="4" t="str">
        <f t="shared" si="123"/>
        <v>2</v>
      </c>
      <c r="X1561" s="4" t="str">
        <f t="shared" si="124"/>
        <v>7CVCTE2</v>
      </c>
      <c r="Y1561">
        <f>VLOOKUP(X1561,Sheet1!$J$5:$K$121,2,FALSE)</f>
        <v>0.40909090909090901</v>
      </c>
    </row>
    <row r="1562" spans="1:25" x14ac:dyDescent="0.25">
      <c r="A1562" s="8">
        <f>[1]Data!A1562</f>
        <v>109400</v>
      </c>
      <c r="B1562" s="8">
        <f>[1]Data!B1562</f>
        <v>2</v>
      </c>
      <c r="C1562" s="8">
        <f>[1]Data!C1562</f>
        <v>7</v>
      </c>
      <c r="D1562" s="8">
        <f>[1]Data!D1562</f>
        <v>3</v>
      </c>
      <c r="E1562" s="8" t="str">
        <f>[1]Data!E1562</f>
        <v>CVCTE</v>
      </c>
      <c r="F1562" s="8" t="str">
        <f>[1]Data!F1562</f>
        <v>Mission Hills</v>
      </c>
      <c r="G1562" s="8">
        <f>[1]Data!G1562</f>
        <v>0</v>
      </c>
      <c r="H1562" s="8">
        <f>[1]Data!H1562</f>
        <v>0</v>
      </c>
      <c r="I1562" s="8">
        <f>[1]Data!I1562</f>
        <v>24.81</v>
      </c>
      <c r="J1562" s="8">
        <f>[1]Data!J1562</f>
        <v>23.095358640000001</v>
      </c>
      <c r="K1562" s="8">
        <f>[1]Data!K1562</f>
        <v>24.095358640000001</v>
      </c>
      <c r="L1562" s="8">
        <f>[1]Data!L1562</f>
        <v>0.71434355249551196</v>
      </c>
      <c r="M1562" s="8">
        <f>[1]Data!M1562</f>
        <v>24.8097021924955</v>
      </c>
      <c r="N1562" s="8">
        <f>[1]Data!N1562</f>
        <v>0.17910447761194001</v>
      </c>
      <c r="O1562" s="8">
        <f>[1]Data!O1562</f>
        <v>0</v>
      </c>
      <c r="P1562" s="8">
        <f>[1]Data!P1562</f>
        <v>0.20895522388059701</v>
      </c>
      <c r="Q1562" s="8">
        <f>[1]Data!Q1562</f>
        <v>1</v>
      </c>
      <c r="R1562" s="8">
        <f>[1]Data!R1562</f>
        <v>0.40909090909090901</v>
      </c>
      <c r="S1562" s="8">
        <f>[1]Data!S1562</f>
        <v>0</v>
      </c>
      <c r="T1562">
        <f t="shared" si="120"/>
        <v>0.51492537313432807</v>
      </c>
      <c r="U1562">
        <f t="shared" si="121"/>
        <v>0</v>
      </c>
      <c r="V1562" s="4" t="str">
        <f t="shared" si="122"/>
        <v>7</v>
      </c>
      <c r="W1562" s="4" t="str">
        <f t="shared" si="123"/>
        <v>2</v>
      </c>
      <c r="X1562" s="4" t="str">
        <f t="shared" si="124"/>
        <v>7CVCTE2</v>
      </c>
      <c r="Y1562">
        <f>VLOOKUP(X1562,Sheet1!$J$5:$K$121,2,FALSE)</f>
        <v>0.40909090909090901</v>
      </c>
    </row>
    <row r="1563" spans="1:25" x14ac:dyDescent="0.25">
      <c r="A1563" s="8">
        <f>[1]Data!A1563</f>
        <v>106510</v>
      </c>
      <c r="B1563" s="8">
        <f>[1]Data!B1563</f>
        <v>2</v>
      </c>
      <c r="C1563" s="8">
        <f>[1]Data!C1563</f>
        <v>7</v>
      </c>
      <c r="D1563" s="8">
        <f>[1]Data!D1563</f>
        <v>3</v>
      </c>
      <c r="E1563" s="8" t="str">
        <f>[1]Data!E1563</f>
        <v>CVCTE</v>
      </c>
      <c r="F1563" s="8" t="str">
        <f>[1]Data!F1563</f>
        <v>Sylmar</v>
      </c>
      <c r="G1563" s="8">
        <f>[1]Data!G1563</f>
        <v>0</v>
      </c>
      <c r="H1563" s="8">
        <f>[1]Data!H1563</f>
        <v>1</v>
      </c>
      <c r="I1563" s="8">
        <f>[1]Data!I1563</f>
        <v>12.282</v>
      </c>
      <c r="J1563" s="8">
        <f>[1]Data!J1563</f>
        <v>11.651630470000001</v>
      </c>
      <c r="K1563" s="8">
        <f>[1]Data!K1563</f>
        <v>11.651630470000001</v>
      </c>
      <c r="L1563" s="8">
        <f>[1]Data!L1563</f>
        <v>0.63084851719928203</v>
      </c>
      <c r="M1563" s="8">
        <f>[1]Data!M1563</f>
        <v>12.282478987199299</v>
      </c>
      <c r="N1563" s="8">
        <f>[1]Data!N1563</f>
        <v>0.17910447761194001</v>
      </c>
      <c r="O1563" s="8">
        <f>[1]Data!O1563</f>
        <v>0</v>
      </c>
      <c r="P1563" s="8">
        <f>[1]Data!P1563</f>
        <v>0.20895522388059701</v>
      </c>
      <c r="Q1563" s="8">
        <f>[1]Data!Q1563</f>
        <v>1</v>
      </c>
      <c r="R1563" s="8">
        <f>[1]Data!R1563</f>
        <v>0.40909090909090901</v>
      </c>
      <c r="S1563" s="8">
        <f>[1]Data!S1563</f>
        <v>2.4444444444444402</v>
      </c>
      <c r="T1563">
        <f t="shared" si="120"/>
        <v>0.51492537313432807</v>
      </c>
      <c r="U1563">
        <f t="shared" si="121"/>
        <v>1.9420289855072475</v>
      </c>
      <c r="V1563" s="4" t="str">
        <f t="shared" si="122"/>
        <v>7</v>
      </c>
      <c r="W1563" s="4" t="str">
        <f t="shared" si="123"/>
        <v>2</v>
      </c>
      <c r="X1563" s="4" t="str">
        <f t="shared" si="124"/>
        <v>7CVCTE2</v>
      </c>
      <c r="Y1563">
        <f>VLOOKUP(X1563,Sheet1!$J$5:$K$121,2,FALSE)</f>
        <v>0.40909090909090901</v>
      </c>
    </row>
    <row r="1564" spans="1:25" x14ac:dyDescent="0.25">
      <c r="A1564" s="8">
        <f>[1]Data!A1564</f>
        <v>104201</v>
      </c>
      <c r="B1564" s="8">
        <f>[1]Data!B1564</f>
        <v>2</v>
      </c>
      <c r="C1564" s="8">
        <f>[1]Data!C1564</f>
        <v>7</v>
      </c>
      <c r="D1564" s="8">
        <f>[1]Data!D1564</f>
        <v>3</v>
      </c>
      <c r="E1564" s="8" t="str">
        <f>[1]Data!E1564</f>
        <v>CVCTE</v>
      </c>
      <c r="F1564" s="8" t="str">
        <f>[1]Data!F1564</f>
        <v>Pacoima</v>
      </c>
      <c r="G1564" s="8">
        <f>[1]Data!G1564</f>
        <v>0</v>
      </c>
      <c r="H1564" s="8">
        <f>[1]Data!H1564</f>
        <v>0</v>
      </c>
      <c r="I1564" s="8">
        <f>[1]Data!I1564</f>
        <v>24.114000000000001</v>
      </c>
      <c r="J1564" s="8">
        <f>[1]Data!J1564</f>
        <v>16.304243280000001</v>
      </c>
      <c r="K1564" s="8">
        <f>[1]Data!K1564</f>
        <v>23.304243280000001</v>
      </c>
      <c r="L1564" s="8">
        <f>[1]Data!L1564</f>
        <v>0.81033699373429102</v>
      </c>
      <c r="M1564" s="8">
        <f>[1]Data!M1564</f>
        <v>24.114580273734301</v>
      </c>
      <c r="N1564" s="8">
        <f>[1]Data!N1564</f>
        <v>0.17910447761194001</v>
      </c>
      <c r="O1564" s="8">
        <f>[1]Data!O1564</f>
        <v>0</v>
      </c>
      <c r="P1564" s="8">
        <f>[1]Data!P1564</f>
        <v>0.20895522388059701</v>
      </c>
      <c r="Q1564" s="8">
        <f>[1]Data!Q1564</f>
        <v>1</v>
      </c>
      <c r="R1564" s="8">
        <f>[1]Data!R1564</f>
        <v>0.40909090909090901</v>
      </c>
      <c r="S1564" s="8">
        <f>[1]Data!S1564</f>
        <v>0</v>
      </c>
      <c r="T1564">
        <f t="shared" si="120"/>
        <v>0.51492537313432807</v>
      </c>
      <c r="U1564">
        <f t="shared" si="121"/>
        <v>0</v>
      </c>
      <c r="V1564" s="4" t="str">
        <f t="shared" si="122"/>
        <v>7</v>
      </c>
      <c r="W1564" s="4" t="str">
        <f t="shared" si="123"/>
        <v>2</v>
      </c>
      <c r="X1564" s="4" t="str">
        <f t="shared" si="124"/>
        <v>7CVCTE2</v>
      </c>
      <c r="Y1564">
        <f>VLOOKUP(X1564,Sheet1!$J$5:$K$121,2,FALSE)</f>
        <v>0.40909090909090901</v>
      </c>
    </row>
    <row r="1565" spans="1:25" x14ac:dyDescent="0.25">
      <c r="A1565" s="8">
        <f>[1]Data!A1565</f>
        <v>104822</v>
      </c>
      <c r="B1565" s="8">
        <f>[1]Data!B1565</f>
        <v>2</v>
      </c>
      <c r="C1565" s="8">
        <f>[1]Data!C1565</f>
        <v>7</v>
      </c>
      <c r="D1565" s="8">
        <f>[1]Data!D1565</f>
        <v>3</v>
      </c>
      <c r="E1565" s="8" t="str">
        <f>[1]Data!E1565</f>
        <v>CVCTE</v>
      </c>
      <c r="F1565" s="8" t="str">
        <f>[1]Data!F1565</f>
        <v>Pacoima</v>
      </c>
      <c r="G1565" s="8">
        <f>[1]Data!G1565</f>
        <v>0</v>
      </c>
      <c r="H1565" s="8">
        <f>[1]Data!H1565</f>
        <v>0</v>
      </c>
      <c r="I1565" s="8">
        <f>[1]Data!I1565</f>
        <v>25.738</v>
      </c>
      <c r="J1565" s="8">
        <f>[1]Data!J1565</f>
        <v>18.146692439999999</v>
      </c>
      <c r="K1565" s="8">
        <f>[1]Data!K1565</f>
        <v>25.146692439999999</v>
      </c>
      <c r="L1565" s="8">
        <f>[1]Data!L1565</f>
        <v>0.59070774879712795</v>
      </c>
      <c r="M1565" s="8">
        <f>[1]Data!M1565</f>
        <v>25.7374001887971</v>
      </c>
      <c r="N1565" s="8">
        <f>[1]Data!N1565</f>
        <v>0.17910447761194001</v>
      </c>
      <c r="O1565" s="8">
        <f>[1]Data!O1565</f>
        <v>0</v>
      </c>
      <c r="P1565" s="8">
        <f>[1]Data!P1565</f>
        <v>0.20895522388059701</v>
      </c>
      <c r="Q1565" s="8">
        <f>[1]Data!Q1565</f>
        <v>1</v>
      </c>
      <c r="R1565" s="8">
        <f>[1]Data!R1565</f>
        <v>0.40909090909090901</v>
      </c>
      <c r="S1565" s="8">
        <f>[1]Data!S1565</f>
        <v>0</v>
      </c>
      <c r="T1565">
        <f t="shared" si="120"/>
        <v>0.51492537313432807</v>
      </c>
      <c r="U1565">
        <f t="shared" si="121"/>
        <v>0</v>
      </c>
      <c r="V1565" s="4" t="str">
        <f t="shared" si="122"/>
        <v>7</v>
      </c>
      <c r="W1565" s="4" t="str">
        <f t="shared" si="123"/>
        <v>2</v>
      </c>
      <c r="X1565" s="4" t="str">
        <f t="shared" si="124"/>
        <v>7CVCTE2</v>
      </c>
      <c r="Y1565">
        <f>VLOOKUP(X1565,Sheet1!$J$5:$K$121,2,FALSE)</f>
        <v>0.40909090909090901</v>
      </c>
    </row>
    <row r="1566" spans="1:25" x14ac:dyDescent="0.25">
      <c r="A1566" s="8">
        <f>[1]Data!A1566</f>
        <v>106112</v>
      </c>
      <c r="B1566" s="8">
        <f>[1]Data!B1566</f>
        <v>2</v>
      </c>
      <c r="C1566" s="8">
        <f>[1]Data!C1566</f>
        <v>7</v>
      </c>
      <c r="D1566" s="8">
        <f>[1]Data!D1566</f>
        <v>3</v>
      </c>
      <c r="E1566" s="8" t="str">
        <f>[1]Data!E1566</f>
        <v>CVCTE</v>
      </c>
      <c r="F1566" s="8" t="str">
        <f>[1]Data!F1566</f>
        <v>Sylmar</v>
      </c>
      <c r="G1566" s="8">
        <f>[1]Data!G1566</f>
        <v>0</v>
      </c>
      <c r="H1566" s="8">
        <f>[1]Data!H1566</f>
        <v>0</v>
      </c>
      <c r="I1566" s="8">
        <f>[1]Data!I1566</f>
        <v>12.781000000000001</v>
      </c>
      <c r="J1566" s="8">
        <f>[1]Data!J1566</f>
        <v>5.4065958900000002</v>
      </c>
      <c r="K1566" s="8">
        <f>[1]Data!K1566</f>
        <v>12.40659589</v>
      </c>
      <c r="L1566" s="8">
        <f>[1]Data!L1566</f>
        <v>0.37379720890484702</v>
      </c>
      <c r="M1566" s="8">
        <f>[1]Data!M1566</f>
        <v>12.780393098904799</v>
      </c>
      <c r="N1566" s="8">
        <f>[1]Data!N1566</f>
        <v>0.17910447761194001</v>
      </c>
      <c r="O1566" s="8">
        <f>[1]Data!O1566</f>
        <v>0</v>
      </c>
      <c r="P1566" s="8">
        <f>[1]Data!P1566</f>
        <v>0.20895522388059701</v>
      </c>
      <c r="Q1566" s="8">
        <f>[1]Data!Q1566</f>
        <v>1</v>
      </c>
      <c r="R1566" s="8">
        <f>[1]Data!R1566</f>
        <v>0.40909090909090901</v>
      </c>
      <c r="S1566" s="8">
        <f>[1]Data!S1566</f>
        <v>0</v>
      </c>
      <c r="T1566">
        <f t="shared" si="120"/>
        <v>0.51492537313432807</v>
      </c>
      <c r="U1566">
        <f t="shared" si="121"/>
        <v>0</v>
      </c>
      <c r="V1566" s="4" t="str">
        <f t="shared" si="122"/>
        <v>7</v>
      </c>
      <c r="W1566" s="4" t="str">
        <f t="shared" si="123"/>
        <v>2</v>
      </c>
      <c r="X1566" s="4" t="str">
        <f t="shared" si="124"/>
        <v>7CVCTE2</v>
      </c>
      <c r="Y1566">
        <f>VLOOKUP(X1566,Sheet1!$J$5:$K$121,2,FALSE)</f>
        <v>0.40909090909090901</v>
      </c>
    </row>
    <row r="1567" spans="1:25" x14ac:dyDescent="0.25">
      <c r="A1567" s="8">
        <f>[1]Data!A1567</f>
        <v>109604</v>
      </c>
      <c r="B1567" s="8">
        <f>[1]Data!B1567</f>
        <v>2</v>
      </c>
      <c r="C1567" s="8">
        <f>[1]Data!C1567</f>
        <v>7</v>
      </c>
      <c r="D1567" s="8">
        <f>[1]Data!D1567</f>
        <v>3</v>
      </c>
      <c r="E1567" s="8" t="str">
        <f>[1]Data!E1567</f>
        <v>CVCTE</v>
      </c>
      <c r="F1567" s="8" t="str">
        <f>[1]Data!F1567</f>
        <v>Mission Hills</v>
      </c>
      <c r="G1567" s="8">
        <f>[1]Data!G1567</f>
        <v>0</v>
      </c>
      <c r="H1567" s="8">
        <f>[1]Data!H1567</f>
        <v>0</v>
      </c>
      <c r="I1567" s="8">
        <f>[1]Data!I1567</f>
        <v>34.066000000000003</v>
      </c>
      <c r="J1567" s="8">
        <f>[1]Data!J1567</f>
        <v>19.575135960000001</v>
      </c>
      <c r="K1567" s="8">
        <f>[1]Data!K1567</f>
        <v>33.575135959999997</v>
      </c>
      <c r="L1567" s="8">
        <f>[1]Data!L1567</f>
        <v>0.49026513037702002</v>
      </c>
      <c r="M1567" s="8">
        <f>[1]Data!M1567</f>
        <v>34.065401090377001</v>
      </c>
      <c r="N1567" s="8">
        <f>[1]Data!N1567</f>
        <v>0.17910447761194001</v>
      </c>
      <c r="O1567" s="8">
        <f>[1]Data!O1567</f>
        <v>0</v>
      </c>
      <c r="P1567" s="8">
        <f>[1]Data!P1567</f>
        <v>0.20895522388059701</v>
      </c>
      <c r="Q1567" s="8">
        <f>[1]Data!Q1567</f>
        <v>1</v>
      </c>
      <c r="R1567" s="8">
        <f>[1]Data!R1567</f>
        <v>0.40909090909090901</v>
      </c>
      <c r="S1567" s="8">
        <f>[1]Data!S1567</f>
        <v>0</v>
      </c>
      <c r="T1567">
        <f t="shared" si="120"/>
        <v>0.51492537313432807</v>
      </c>
      <c r="U1567">
        <f t="shared" si="121"/>
        <v>0</v>
      </c>
      <c r="V1567" s="4" t="str">
        <f t="shared" si="122"/>
        <v>7</v>
      </c>
      <c r="W1567" s="4" t="str">
        <f t="shared" si="123"/>
        <v>2</v>
      </c>
      <c r="X1567" s="4" t="str">
        <f t="shared" si="124"/>
        <v>7CVCTE2</v>
      </c>
      <c r="Y1567">
        <f>VLOOKUP(X1567,Sheet1!$J$5:$K$121,2,FALSE)</f>
        <v>0.40909090909090901</v>
      </c>
    </row>
    <row r="1568" spans="1:25" x14ac:dyDescent="0.25">
      <c r="A1568" s="8">
        <f>[1]Data!A1568</f>
        <v>104403</v>
      </c>
      <c r="B1568" s="8">
        <f>[1]Data!B1568</f>
        <v>2</v>
      </c>
      <c r="C1568" s="8">
        <f>[1]Data!C1568</f>
        <v>7</v>
      </c>
      <c r="D1568" s="8">
        <f>[1]Data!D1568</f>
        <v>3</v>
      </c>
      <c r="E1568" s="8" t="str">
        <f>[1]Data!E1568</f>
        <v>CVCTE</v>
      </c>
      <c r="F1568" s="8" t="str">
        <f>[1]Data!F1568</f>
        <v>Pacoima</v>
      </c>
      <c r="G1568" s="8">
        <f>[1]Data!G1568</f>
        <v>0</v>
      </c>
      <c r="H1568" s="8">
        <f>[1]Data!H1568</f>
        <v>1</v>
      </c>
      <c r="I1568" s="8">
        <f>[1]Data!I1568</f>
        <v>20.465</v>
      </c>
      <c r="J1568" s="8">
        <f>[1]Data!J1568</f>
        <v>12.97655571</v>
      </c>
      <c r="K1568" s="8">
        <f>[1]Data!K1568</f>
        <v>19.97655571</v>
      </c>
      <c r="L1568" s="8">
        <f>[1]Data!L1568</f>
        <v>0.48855237779174099</v>
      </c>
      <c r="M1568" s="8">
        <f>[1]Data!M1568</f>
        <v>20.465108087791702</v>
      </c>
      <c r="N1568" s="8">
        <f>[1]Data!N1568</f>
        <v>0.17910447761194001</v>
      </c>
      <c r="O1568" s="8">
        <f>[1]Data!O1568</f>
        <v>0</v>
      </c>
      <c r="P1568" s="8">
        <f>[1]Data!P1568</f>
        <v>0.20895522388059701</v>
      </c>
      <c r="Q1568" s="8">
        <f>[1]Data!Q1568</f>
        <v>1</v>
      </c>
      <c r="R1568" s="8">
        <f>[1]Data!R1568</f>
        <v>0.40909090909090901</v>
      </c>
      <c r="S1568" s="8">
        <f>[1]Data!S1568</f>
        <v>2.4444444444444402</v>
      </c>
      <c r="T1568">
        <f t="shared" si="120"/>
        <v>0.51492537313432807</v>
      </c>
      <c r="U1568">
        <f t="shared" si="121"/>
        <v>1.9420289855072475</v>
      </c>
      <c r="V1568" s="4" t="str">
        <f t="shared" si="122"/>
        <v>7</v>
      </c>
      <c r="W1568" s="4" t="str">
        <f t="shared" si="123"/>
        <v>2</v>
      </c>
      <c r="X1568" s="4" t="str">
        <f t="shared" si="124"/>
        <v>7CVCTE2</v>
      </c>
      <c r="Y1568">
        <f>VLOOKUP(X1568,Sheet1!$J$5:$K$121,2,FALSE)</f>
        <v>0.40909090909090901</v>
      </c>
    </row>
    <row r="1569" spans="1:25" x14ac:dyDescent="0.25">
      <c r="A1569" s="8">
        <f>[1]Data!A1569</f>
        <v>104401</v>
      </c>
      <c r="B1569" s="8">
        <f>[1]Data!B1569</f>
        <v>2</v>
      </c>
      <c r="C1569" s="8">
        <f>[1]Data!C1569</f>
        <v>7</v>
      </c>
      <c r="D1569" s="8">
        <f>[1]Data!D1569</f>
        <v>3</v>
      </c>
      <c r="E1569" s="8" t="str">
        <f>[1]Data!E1569</f>
        <v>CVCTE</v>
      </c>
      <c r="F1569" s="8" t="str">
        <f>[1]Data!F1569</f>
        <v>Pacoima</v>
      </c>
      <c r="G1569" s="8">
        <f>[1]Data!G1569</f>
        <v>0</v>
      </c>
      <c r="H1569" s="8">
        <f>[1]Data!H1569</f>
        <v>0</v>
      </c>
      <c r="I1569" s="8">
        <f>[1]Data!I1569</f>
        <v>1.9259999999999999</v>
      </c>
      <c r="J1569" s="8">
        <f>[1]Data!J1569</f>
        <v>1.90487994</v>
      </c>
      <c r="K1569" s="8">
        <f>[1]Data!K1569</f>
        <v>1.90487994</v>
      </c>
      <c r="L1569" s="8">
        <f>[1]Data!L1569</f>
        <v>2.0625322082585301E-2</v>
      </c>
      <c r="M1569" s="8">
        <f>[1]Data!M1569</f>
        <v>1.9255052620825901</v>
      </c>
      <c r="N1569" s="8">
        <f>[1]Data!N1569</f>
        <v>0.17910447761194001</v>
      </c>
      <c r="O1569" s="8">
        <f>[1]Data!O1569</f>
        <v>0</v>
      </c>
      <c r="P1569" s="8">
        <f>[1]Data!P1569</f>
        <v>0.20895522388059701</v>
      </c>
      <c r="Q1569" s="8">
        <f>[1]Data!Q1569</f>
        <v>1</v>
      </c>
      <c r="R1569" s="8">
        <f>[1]Data!R1569</f>
        <v>0.40909090909090901</v>
      </c>
      <c r="S1569" s="8">
        <f>[1]Data!S1569</f>
        <v>0</v>
      </c>
      <c r="T1569">
        <f t="shared" si="120"/>
        <v>0.51492537313432807</v>
      </c>
      <c r="U1569">
        <f t="shared" si="121"/>
        <v>0</v>
      </c>
      <c r="V1569" s="4" t="str">
        <f t="shared" si="122"/>
        <v>7</v>
      </c>
      <c r="W1569" s="4" t="str">
        <f t="shared" si="123"/>
        <v>2</v>
      </c>
      <c r="X1569" s="4" t="str">
        <f t="shared" si="124"/>
        <v>7CVCTE2</v>
      </c>
      <c r="Y1569">
        <f>VLOOKUP(X1569,Sheet1!$J$5:$K$121,2,FALSE)</f>
        <v>0.40909090909090901</v>
      </c>
    </row>
    <row r="1570" spans="1:25" x14ac:dyDescent="0.25">
      <c r="A1570" s="8">
        <f>[1]Data!A1570</f>
        <v>106113</v>
      </c>
      <c r="B1570" s="8">
        <f>[1]Data!B1570</f>
        <v>2</v>
      </c>
      <c r="C1570" s="8">
        <f>[1]Data!C1570</f>
        <v>7</v>
      </c>
      <c r="D1570" s="8">
        <f>[1]Data!D1570</f>
        <v>3</v>
      </c>
      <c r="E1570" s="8" t="str">
        <f>[1]Data!E1570</f>
        <v>CVCTE</v>
      </c>
      <c r="F1570" s="8" t="str">
        <f>[1]Data!F1570</f>
        <v>Sylmar</v>
      </c>
      <c r="G1570" s="8">
        <f>[1]Data!G1570</f>
        <v>0</v>
      </c>
      <c r="H1570" s="8">
        <f>[1]Data!H1570</f>
        <v>1</v>
      </c>
      <c r="I1570" s="8">
        <f>[1]Data!I1570</f>
        <v>49.881</v>
      </c>
      <c r="J1570" s="8">
        <f>[1]Data!J1570</f>
        <v>39.20107488</v>
      </c>
      <c r="K1570" s="8">
        <f>[1]Data!K1570</f>
        <v>48.20107488</v>
      </c>
      <c r="L1570" s="8">
        <f>[1]Data!L1570</f>
        <v>1.6801683518491899</v>
      </c>
      <c r="M1570" s="8">
        <f>[1]Data!M1570</f>
        <v>49.881243231849197</v>
      </c>
      <c r="N1570" s="8">
        <f>[1]Data!N1570</f>
        <v>0.17910447761194001</v>
      </c>
      <c r="O1570" s="8">
        <f>[1]Data!O1570</f>
        <v>0</v>
      </c>
      <c r="P1570" s="8">
        <f>[1]Data!P1570</f>
        <v>0.20895522388059701</v>
      </c>
      <c r="Q1570" s="8">
        <f>[1]Data!Q1570</f>
        <v>1</v>
      </c>
      <c r="R1570" s="8">
        <f>[1]Data!R1570</f>
        <v>0.40909090909090901</v>
      </c>
      <c r="S1570" s="8">
        <f>[1]Data!S1570</f>
        <v>2.4444444444444402</v>
      </c>
      <c r="T1570">
        <f t="shared" si="120"/>
        <v>0.51492537313432807</v>
      </c>
      <c r="U1570">
        <f t="shared" si="121"/>
        <v>1.9420289855072475</v>
      </c>
      <c r="V1570" s="4" t="str">
        <f t="shared" si="122"/>
        <v>7</v>
      </c>
      <c r="W1570" s="4" t="str">
        <f t="shared" si="123"/>
        <v>2</v>
      </c>
      <c r="X1570" s="4" t="str">
        <f t="shared" si="124"/>
        <v>7CVCTE2</v>
      </c>
      <c r="Y1570">
        <f>VLOOKUP(X1570,Sheet1!$J$5:$K$121,2,FALSE)</f>
        <v>0.40909090909090901</v>
      </c>
    </row>
    <row r="1571" spans="1:25" x14ac:dyDescent="0.25">
      <c r="A1571" s="8">
        <f>[1]Data!A1571</f>
        <v>106020</v>
      </c>
      <c r="B1571" s="8">
        <f>[1]Data!B1571</f>
        <v>2</v>
      </c>
      <c r="C1571" s="8">
        <f>[1]Data!C1571</f>
        <v>7</v>
      </c>
      <c r="D1571" s="8">
        <f>[1]Data!D1571</f>
        <v>3</v>
      </c>
      <c r="E1571" s="8" t="str">
        <f>[1]Data!E1571</f>
        <v>CVCTE</v>
      </c>
      <c r="F1571" s="8" t="str">
        <f>[1]Data!F1571</f>
        <v>Sylmar</v>
      </c>
      <c r="G1571" s="8">
        <f>[1]Data!G1571</f>
        <v>0</v>
      </c>
      <c r="H1571" s="8">
        <f>[1]Data!H1571</f>
        <v>0</v>
      </c>
      <c r="I1571" s="8">
        <f>[1]Data!I1571</f>
        <v>43.392000000000003</v>
      </c>
      <c r="J1571" s="8">
        <f>[1]Data!J1571</f>
        <v>40.910404630000002</v>
      </c>
      <c r="K1571" s="8">
        <f>[1]Data!K1571</f>
        <v>40.910404630000002</v>
      </c>
      <c r="L1571" s="8">
        <f>[1]Data!L1571</f>
        <v>2.48104708872531</v>
      </c>
      <c r="M1571" s="8">
        <f>[1]Data!M1571</f>
        <v>43.3914517187253</v>
      </c>
      <c r="N1571" s="8">
        <f>[1]Data!N1571</f>
        <v>0.17910447761194001</v>
      </c>
      <c r="O1571" s="8">
        <f>[1]Data!O1571</f>
        <v>0</v>
      </c>
      <c r="P1571" s="8">
        <f>[1]Data!P1571</f>
        <v>0.20895522388059701</v>
      </c>
      <c r="Q1571" s="8">
        <f>[1]Data!Q1571</f>
        <v>1</v>
      </c>
      <c r="R1571" s="8">
        <f>[1]Data!R1571</f>
        <v>0.40909090909090901</v>
      </c>
      <c r="S1571" s="8">
        <f>[1]Data!S1571</f>
        <v>0</v>
      </c>
      <c r="T1571">
        <f t="shared" si="120"/>
        <v>0.51492537313432807</v>
      </c>
      <c r="U1571">
        <f t="shared" si="121"/>
        <v>0</v>
      </c>
      <c r="V1571" s="4" t="str">
        <f t="shared" si="122"/>
        <v>7</v>
      </c>
      <c r="W1571" s="4" t="str">
        <f t="shared" si="123"/>
        <v>2</v>
      </c>
      <c r="X1571" s="4" t="str">
        <f t="shared" si="124"/>
        <v>7CVCTE2</v>
      </c>
      <c r="Y1571">
        <f>VLOOKUP(X1571,Sheet1!$J$5:$K$121,2,FALSE)</f>
        <v>0.40909090909090901</v>
      </c>
    </row>
    <row r="1572" spans="1:25" x14ac:dyDescent="0.25">
      <c r="A1572" s="8">
        <f>[1]Data!A1572</f>
        <v>103101</v>
      </c>
      <c r="B1572" s="8">
        <f>[1]Data!B1572</f>
        <v>2</v>
      </c>
      <c r="C1572" s="8">
        <f>[1]Data!C1572</f>
        <v>7</v>
      </c>
      <c r="D1572" s="8">
        <f>[1]Data!D1572</f>
        <v>5</v>
      </c>
      <c r="E1572" s="8" t="str">
        <f>[1]Data!E1572</f>
        <v>CVCTE</v>
      </c>
      <c r="F1572" s="8" t="str">
        <f>[1]Data!F1572</f>
        <v>Sunland-Tujunga</v>
      </c>
      <c r="G1572" s="8">
        <f>[1]Data!G1572</f>
        <v>0</v>
      </c>
      <c r="H1572" s="8">
        <f>[1]Data!H1572</f>
        <v>0</v>
      </c>
      <c r="I1572" s="8">
        <f>[1]Data!I1572</f>
        <v>6.7809999999999997</v>
      </c>
      <c r="J1572" s="8">
        <f>[1]Data!J1572</f>
        <v>5.4065958900000002</v>
      </c>
      <c r="K1572" s="8">
        <f>[1]Data!K1572</f>
        <v>6.4065958900000002</v>
      </c>
      <c r="L1572" s="8">
        <f>[1]Data!L1572</f>
        <v>0.37379720890484702</v>
      </c>
      <c r="M1572" s="8">
        <f>[1]Data!M1572</f>
        <v>6.7803930989048498</v>
      </c>
      <c r="N1572" s="8">
        <f>[1]Data!N1572</f>
        <v>0.17910447761194001</v>
      </c>
      <c r="O1572" s="8">
        <f>[1]Data!O1572</f>
        <v>0</v>
      </c>
      <c r="P1572" s="8">
        <f>[1]Data!P1572</f>
        <v>0.20895522388059701</v>
      </c>
      <c r="Q1572" s="8">
        <f>[1]Data!Q1572</f>
        <v>1</v>
      </c>
      <c r="R1572" s="8">
        <f>[1]Data!R1572</f>
        <v>0.40909090909090901</v>
      </c>
      <c r="S1572" s="8">
        <f>[1]Data!S1572</f>
        <v>0</v>
      </c>
      <c r="T1572">
        <f t="shared" si="120"/>
        <v>0.51492537313432807</v>
      </c>
      <c r="U1572">
        <f t="shared" si="121"/>
        <v>0</v>
      </c>
      <c r="V1572" s="4" t="str">
        <f t="shared" si="122"/>
        <v>7</v>
      </c>
      <c r="W1572" s="4" t="str">
        <f t="shared" si="123"/>
        <v>2</v>
      </c>
      <c r="X1572" s="4" t="str">
        <f t="shared" si="124"/>
        <v>7CVCTE2</v>
      </c>
      <c r="Y1572">
        <f>VLOOKUP(X1572,Sheet1!$J$5:$K$121,2,FALSE)</f>
        <v>0.40909090909090901</v>
      </c>
    </row>
    <row r="1573" spans="1:25" x14ac:dyDescent="0.25">
      <c r="A1573" s="8">
        <f>[1]Data!A1573</f>
        <v>106520</v>
      </c>
      <c r="B1573" s="8">
        <f>[1]Data!B1573</f>
        <v>2</v>
      </c>
      <c r="C1573" s="8">
        <f>[1]Data!C1573</f>
        <v>7</v>
      </c>
      <c r="D1573" s="8">
        <f>[1]Data!D1573</f>
        <v>3</v>
      </c>
      <c r="E1573" s="8" t="str">
        <f>[1]Data!E1573</f>
        <v>CVCTE</v>
      </c>
      <c r="F1573" s="8" t="str">
        <f>[1]Data!F1573</f>
        <v>Sylmar</v>
      </c>
      <c r="G1573" s="8">
        <f>[1]Data!G1573</f>
        <v>0</v>
      </c>
      <c r="H1573" s="8">
        <f>[1]Data!H1573</f>
        <v>1</v>
      </c>
      <c r="I1573" s="8">
        <f>[1]Data!I1573</f>
        <v>44.462000000000003</v>
      </c>
      <c r="J1573" s="8">
        <f>[1]Data!J1573</f>
        <v>41.906298700000001</v>
      </c>
      <c r="K1573" s="8">
        <f>[1]Data!K1573</f>
        <v>41.906298700000001</v>
      </c>
      <c r="L1573" s="8">
        <f>[1]Data!L1573</f>
        <v>2.5558368794075399</v>
      </c>
      <c r="M1573" s="8">
        <f>[1]Data!M1573</f>
        <v>44.462135579407501</v>
      </c>
      <c r="N1573" s="8">
        <f>[1]Data!N1573</f>
        <v>0.17910447761194001</v>
      </c>
      <c r="O1573" s="8">
        <f>[1]Data!O1573</f>
        <v>0</v>
      </c>
      <c r="P1573" s="8">
        <f>[1]Data!P1573</f>
        <v>0.20895522388059701</v>
      </c>
      <c r="Q1573" s="8">
        <f>[1]Data!Q1573</f>
        <v>1</v>
      </c>
      <c r="R1573" s="8">
        <f>[1]Data!R1573</f>
        <v>0.40909090909090901</v>
      </c>
      <c r="S1573" s="8">
        <f>[1]Data!S1573</f>
        <v>2.4444444444444402</v>
      </c>
      <c r="T1573">
        <f t="shared" si="120"/>
        <v>0.51492537313432807</v>
      </c>
      <c r="U1573">
        <f t="shared" si="121"/>
        <v>1.9420289855072475</v>
      </c>
      <c r="V1573" s="4" t="str">
        <f t="shared" si="122"/>
        <v>7</v>
      </c>
      <c r="W1573" s="4" t="str">
        <f t="shared" si="123"/>
        <v>2</v>
      </c>
      <c r="X1573" s="4" t="str">
        <f t="shared" si="124"/>
        <v>7CVCTE2</v>
      </c>
      <c r="Y1573">
        <f>VLOOKUP(X1573,Sheet1!$J$5:$K$121,2,FALSE)</f>
        <v>0.40909090909090901</v>
      </c>
    </row>
    <row r="1574" spans="1:25" x14ac:dyDescent="0.25">
      <c r="A1574" s="8">
        <f>[1]Data!A1574</f>
        <v>103200</v>
      </c>
      <c r="B1574" s="8">
        <f>[1]Data!B1574</f>
        <v>2</v>
      </c>
      <c r="C1574" s="8">
        <f>[1]Data!C1574</f>
        <v>7</v>
      </c>
      <c r="D1574" s="8">
        <f>[1]Data!D1574</f>
        <v>5</v>
      </c>
      <c r="E1574" s="8" t="str">
        <f>[1]Data!E1574</f>
        <v>CVCTE</v>
      </c>
      <c r="F1574" s="8" t="str">
        <f>[1]Data!F1574</f>
        <v>Foothill Trails</v>
      </c>
      <c r="G1574" s="8">
        <f>[1]Data!G1574</f>
        <v>0</v>
      </c>
      <c r="H1574" s="8">
        <f>[1]Data!H1574</f>
        <v>1</v>
      </c>
      <c r="I1574" s="8">
        <f>[1]Data!I1574</f>
        <v>55.271000000000001</v>
      </c>
      <c r="J1574" s="8">
        <f>[1]Data!J1574</f>
        <v>31.97229291</v>
      </c>
      <c r="K1574" s="8">
        <f>[1]Data!K1574</f>
        <v>53.97229291</v>
      </c>
      <c r="L1574" s="8">
        <f>[1]Data!L1574</f>
        <v>1.29789766535009</v>
      </c>
      <c r="M1574" s="8">
        <f>[1]Data!M1574</f>
        <v>55.270190575350099</v>
      </c>
      <c r="N1574" s="8">
        <f>[1]Data!N1574</f>
        <v>0.17910447761194001</v>
      </c>
      <c r="O1574" s="8">
        <f>[1]Data!O1574</f>
        <v>0</v>
      </c>
      <c r="P1574" s="8">
        <f>[1]Data!P1574</f>
        <v>0.20895522388059701</v>
      </c>
      <c r="Q1574" s="8">
        <f>[1]Data!Q1574</f>
        <v>1</v>
      </c>
      <c r="R1574" s="8">
        <f>[1]Data!R1574</f>
        <v>0.40909090909090901</v>
      </c>
      <c r="S1574" s="8">
        <f>[1]Data!S1574</f>
        <v>2.4444444444444402</v>
      </c>
      <c r="T1574">
        <f t="shared" si="120"/>
        <v>0.51492537313432807</v>
      </c>
      <c r="U1574">
        <f t="shared" si="121"/>
        <v>1.9420289855072475</v>
      </c>
      <c r="V1574" s="4" t="str">
        <f t="shared" si="122"/>
        <v>7</v>
      </c>
      <c r="W1574" s="4" t="str">
        <f t="shared" si="123"/>
        <v>2</v>
      </c>
      <c r="X1574" s="4" t="str">
        <f t="shared" si="124"/>
        <v>7CVCTE2</v>
      </c>
      <c r="Y1574">
        <f>VLOOKUP(X1574,Sheet1!$J$5:$K$121,2,FALSE)</f>
        <v>0.40909090909090901</v>
      </c>
    </row>
    <row r="1575" spans="1:25" x14ac:dyDescent="0.25">
      <c r="A1575" s="8">
        <f>[1]Data!A1575</f>
        <v>117101</v>
      </c>
      <c r="B1575" s="8">
        <f>[1]Data!B1575</f>
        <v>2</v>
      </c>
      <c r="C1575" s="8">
        <f>[1]Data!C1575</f>
        <v>7</v>
      </c>
      <c r="D1575" s="8">
        <f>[1]Data!D1575</f>
        <v>3</v>
      </c>
      <c r="E1575" s="8" t="str">
        <f>[1]Data!E1575</f>
        <v>CVCTE</v>
      </c>
      <c r="F1575" s="8" t="str">
        <f>[1]Data!F1575</f>
        <v>North Hills</v>
      </c>
      <c r="G1575" s="8">
        <f>[1]Data!G1575</f>
        <v>1</v>
      </c>
      <c r="H1575" s="8">
        <f>[1]Data!H1575</f>
        <v>1</v>
      </c>
      <c r="I1575" s="8">
        <f>[1]Data!I1575</f>
        <v>16.274000000000001</v>
      </c>
      <c r="J1575" s="8">
        <f>[1]Data!J1575</f>
        <v>15.86270253</v>
      </c>
      <c r="K1575" s="8">
        <f>[1]Data!K1575</f>
        <v>15.86270253</v>
      </c>
      <c r="L1575" s="8">
        <f>[1]Data!L1575</f>
        <v>0.41046830080789898</v>
      </c>
      <c r="M1575" s="8">
        <f>[1]Data!M1575</f>
        <v>16.273170830807899</v>
      </c>
      <c r="N1575" s="8">
        <f>[1]Data!N1575</f>
        <v>0.17910447761194001</v>
      </c>
      <c r="O1575" s="8">
        <f>[1]Data!O1575</f>
        <v>5.5833333333333304</v>
      </c>
      <c r="P1575" s="8">
        <f>[1]Data!P1575</f>
        <v>0.20895522388059701</v>
      </c>
      <c r="Q1575" s="8">
        <f>[1]Data!Q1575</f>
        <v>1</v>
      </c>
      <c r="R1575" s="8">
        <f>[1]Data!R1575</f>
        <v>0</v>
      </c>
      <c r="S1575" s="8">
        <f>[1]Data!S1575</f>
        <v>0</v>
      </c>
      <c r="T1575">
        <f t="shared" si="120"/>
        <v>0.51492537313432807</v>
      </c>
      <c r="U1575">
        <f t="shared" si="121"/>
        <v>1.9420289855072475</v>
      </c>
      <c r="V1575" s="4" t="str">
        <f t="shared" si="122"/>
        <v>7</v>
      </c>
      <c r="W1575" s="4" t="str">
        <f t="shared" si="123"/>
        <v>2</v>
      </c>
      <c r="X1575" s="4" t="str">
        <f t="shared" si="124"/>
        <v>7CVCTE2</v>
      </c>
      <c r="Y1575">
        <f>VLOOKUP(X1575,Sheet1!$J$5:$K$121,2,FALSE)</f>
        <v>0.40909090909090901</v>
      </c>
    </row>
    <row r="1576" spans="1:25" x14ac:dyDescent="0.25">
      <c r="A1576" s="8">
        <f>[1]Data!A1576</f>
        <v>109100</v>
      </c>
      <c r="B1576" s="8">
        <f>[1]Data!B1576</f>
        <v>2</v>
      </c>
      <c r="C1576" s="8">
        <f>[1]Data!C1576</f>
        <v>7</v>
      </c>
      <c r="D1576" s="8">
        <f>[1]Data!D1576</f>
        <v>3</v>
      </c>
      <c r="E1576" s="8" t="str">
        <f>[1]Data!E1576</f>
        <v>CVCTE</v>
      </c>
      <c r="F1576" s="8" t="str">
        <f>[1]Data!F1576</f>
        <v>Mission Hills</v>
      </c>
      <c r="G1576" s="8">
        <f>[1]Data!G1576</f>
        <v>1</v>
      </c>
      <c r="H1576" s="8">
        <f>[1]Data!H1576</f>
        <v>1</v>
      </c>
      <c r="I1576" s="8">
        <f>[1]Data!I1576</f>
        <v>35.436</v>
      </c>
      <c r="J1576" s="8">
        <f>[1]Data!J1576</f>
        <v>21.92719254</v>
      </c>
      <c r="K1576" s="8">
        <f>[1]Data!K1576</f>
        <v>34.92719254</v>
      </c>
      <c r="L1576" s="8">
        <f>[1]Data!L1576</f>
        <v>0.50915723310592498</v>
      </c>
      <c r="M1576" s="8">
        <f>[1]Data!M1576</f>
        <v>35.436349773105903</v>
      </c>
      <c r="N1576" s="8">
        <f>[1]Data!N1576</f>
        <v>0.17910447761194001</v>
      </c>
      <c r="O1576" s="8">
        <f>[1]Data!O1576</f>
        <v>5.5833333333333304</v>
      </c>
      <c r="P1576" s="8">
        <f>[1]Data!P1576</f>
        <v>0.20895522388059701</v>
      </c>
      <c r="Q1576" s="8">
        <f>[1]Data!Q1576</f>
        <v>1</v>
      </c>
      <c r="R1576" s="8">
        <f>[1]Data!R1576</f>
        <v>0</v>
      </c>
      <c r="S1576" s="8">
        <f>[1]Data!S1576</f>
        <v>0</v>
      </c>
      <c r="T1576">
        <f t="shared" si="120"/>
        <v>0.51492537313432807</v>
      </c>
      <c r="U1576">
        <f t="shared" si="121"/>
        <v>1.9420289855072475</v>
      </c>
      <c r="V1576" s="4" t="str">
        <f t="shared" si="122"/>
        <v>7</v>
      </c>
      <c r="W1576" s="4" t="str">
        <f t="shared" si="123"/>
        <v>2</v>
      </c>
      <c r="X1576" s="4" t="str">
        <f t="shared" si="124"/>
        <v>7CVCTE2</v>
      </c>
      <c r="Y1576">
        <f>VLOOKUP(X1576,Sheet1!$J$5:$K$121,2,FALSE)</f>
        <v>0.40909090909090901</v>
      </c>
    </row>
    <row r="1577" spans="1:25" x14ac:dyDescent="0.25">
      <c r="A1577" s="8">
        <f>[1]Data!A1577</f>
        <v>109603</v>
      </c>
      <c r="B1577" s="8">
        <f>[1]Data!B1577</f>
        <v>2</v>
      </c>
      <c r="C1577" s="8">
        <f>[1]Data!C1577</f>
        <v>7</v>
      </c>
      <c r="D1577" s="8">
        <f>[1]Data!D1577</f>
        <v>3</v>
      </c>
      <c r="E1577" s="8" t="str">
        <f>[1]Data!E1577</f>
        <v>CVCTE</v>
      </c>
      <c r="F1577" s="8" t="str">
        <f>[1]Data!F1577</f>
        <v>Mission Hills</v>
      </c>
      <c r="G1577" s="8">
        <f>[1]Data!G1577</f>
        <v>0</v>
      </c>
      <c r="H1577" s="8">
        <f>[1]Data!H1577</f>
        <v>1</v>
      </c>
      <c r="I1577" s="8">
        <f>[1]Data!I1577</f>
        <v>50.078000000000003</v>
      </c>
      <c r="J1577" s="8">
        <f>[1]Data!J1577</f>
        <v>44.21954839</v>
      </c>
      <c r="K1577" s="8">
        <f>[1]Data!K1577</f>
        <v>47.21954839</v>
      </c>
      <c r="L1577" s="8">
        <f>[1]Data!L1577</f>
        <v>2.8588774872531402</v>
      </c>
      <c r="M1577" s="8">
        <f>[1]Data!M1577</f>
        <v>50.078425877253103</v>
      </c>
      <c r="N1577" s="8">
        <f>[1]Data!N1577</f>
        <v>0.17910447761194001</v>
      </c>
      <c r="O1577" s="8">
        <f>[1]Data!O1577</f>
        <v>0</v>
      </c>
      <c r="P1577" s="8">
        <f>[1]Data!P1577</f>
        <v>0.20895522388059701</v>
      </c>
      <c r="Q1577" s="8">
        <f>[1]Data!Q1577</f>
        <v>1</v>
      </c>
      <c r="R1577" s="8">
        <f>[1]Data!R1577</f>
        <v>0.40909090909090901</v>
      </c>
      <c r="S1577" s="8">
        <f>[1]Data!S1577</f>
        <v>2.4444444444444402</v>
      </c>
      <c r="T1577">
        <f t="shared" si="120"/>
        <v>0.51492537313432807</v>
      </c>
      <c r="U1577">
        <f t="shared" si="121"/>
        <v>1.9420289855072475</v>
      </c>
      <c r="V1577" s="4" t="str">
        <f t="shared" si="122"/>
        <v>7</v>
      </c>
      <c r="W1577" s="4" t="str">
        <f t="shared" si="123"/>
        <v>2</v>
      </c>
      <c r="X1577" s="4" t="str">
        <f t="shared" si="124"/>
        <v>7CVCTE2</v>
      </c>
      <c r="Y1577">
        <f>VLOOKUP(X1577,Sheet1!$J$5:$K$121,2,FALSE)</f>
        <v>0.40909090909090901</v>
      </c>
    </row>
    <row r="1578" spans="1:25" x14ac:dyDescent="0.25">
      <c r="A1578" s="8">
        <f>[1]Data!A1578</f>
        <v>104620</v>
      </c>
      <c r="B1578" s="8">
        <f>[1]Data!B1578</f>
        <v>2</v>
      </c>
      <c r="C1578" s="8">
        <f>[1]Data!C1578</f>
        <v>7</v>
      </c>
      <c r="D1578" s="8">
        <f>[1]Data!D1578</f>
        <v>3</v>
      </c>
      <c r="E1578" s="8" t="str">
        <f>[1]Data!E1578</f>
        <v>CVCTE</v>
      </c>
      <c r="F1578" s="8" t="str">
        <f>[1]Data!F1578</f>
        <v>Pacoima</v>
      </c>
      <c r="G1578" s="8">
        <f>[1]Data!G1578</f>
        <v>0</v>
      </c>
      <c r="H1578" s="8">
        <f>[1]Data!H1578</f>
        <v>0</v>
      </c>
      <c r="I1578" s="8">
        <f>[1]Data!I1578</f>
        <v>19.28</v>
      </c>
      <c r="J1578" s="8">
        <f>[1]Data!J1578</f>
        <v>16.11221119</v>
      </c>
      <c r="K1578" s="8">
        <f>[1]Data!K1578</f>
        <v>18.11221119</v>
      </c>
      <c r="L1578" s="8">
        <f>[1]Data!L1578</f>
        <v>1.1683746732316</v>
      </c>
      <c r="M1578" s="8">
        <f>[1]Data!M1578</f>
        <v>19.2805858632316</v>
      </c>
      <c r="N1578" s="8">
        <f>[1]Data!N1578</f>
        <v>0.17910447761194001</v>
      </c>
      <c r="O1578" s="8">
        <f>[1]Data!O1578</f>
        <v>0</v>
      </c>
      <c r="P1578" s="8">
        <f>[1]Data!P1578</f>
        <v>0.20895522388059701</v>
      </c>
      <c r="Q1578" s="8">
        <f>[1]Data!Q1578</f>
        <v>1</v>
      </c>
      <c r="R1578" s="8">
        <f>[1]Data!R1578</f>
        <v>0.40909090909090901</v>
      </c>
      <c r="S1578" s="8">
        <f>[1]Data!S1578</f>
        <v>0</v>
      </c>
      <c r="T1578">
        <f t="shared" si="120"/>
        <v>0.51492537313432807</v>
      </c>
      <c r="U1578">
        <f t="shared" si="121"/>
        <v>0</v>
      </c>
      <c r="V1578" s="4" t="str">
        <f t="shared" si="122"/>
        <v>7</v>
      </c>
      <c r="W1578" s="4" t="str">
        <f t="shared" si="123"/>
        <v>2</v>
      </c>
      <c r="X1578" s="4" t="str">
        <f t="shared" si="124"/>
        <v>7CVCTE2</v>
      </c>
      <c r="Y1578">
        <f>VLOOKUP(X1578,Sheet1!$J$5:$K$121,2,FALSE)</f>
        <v>0.40909090909090901</v>
      </c>
    </row>
    <row r="1579" spans="1:25" x14ac:dyDescent="0.25">
      <c r="A1579" s="8">
        <f>[1]Data!A1579</f>
        <v>109500</v>
      </c>
      <c r="B1579" s="8">
        <f>[1]Data!B1579</f>
        <v>2</v>
      </c>
      <c r="C1579" s="8">
        <f>[1]Data!C1579</f>
        <v>7</v>
      </c>
      <c r="D1579" s="8">
        <f>[1]Data!D1579</f>
        <v>3</v>
      </c>
      <c r="E1579" s="8" t="str">
        <f>[1]Data!E1579</f>
        <v>CVCTE</v>
      </c>
      <c r="F1579" s="8" t="str">
        <f>[1]Data!F1579</f>
        <v>Mission Hills</v>
      </c>
      <c r="G1579" s="8">
        <f>[1]Data!G1579</f>
        <v>0</v>
      </c>
      <c r="H1579" s="8">
        <f>[1]Data!H1579</f>
        <v>0</v>
      </c>
      <c r="I1579" s="8">
        <f>[1]Data!I1579</f>
        <v>81.167000000000002</v>
      </c>
      <c r="J1579" s="8">
        <f>[1]Data!J1579</f>
        <v>60.338475539999997</v>
      </c>
      <c r="K1579" s="8">
        <f>[1]Data!K1579</f>
        <v>78.338475540000005</v>
      </c>
      <c r="L1579" s="8">
        <f>[1]Data!L1579</f>
        <v>2.8283561981148999</v>
      </c>
      <c r="M1579" s="8">
        <f>[1]Data!M1579</f>
        <v>81.166831738114894</v>
      </c>
      <c r="N1579" s="8">
        <f>[1]Data!N1579</f>
        <v>0.17910447761194001</v>
      </c>
      <c r="O1579" s="8">
        <f>[1]Data!O1579</f>
        <v>0</v>
      </c>
      <c r="P1579" s="8">
        <f>[1]Data!P1579</f>
        <v>0.20895522388059701</v>
      </c>
      <c r="Q1579" s="8">
        <f>[1]Data!Q1579</f>
        <v>1</v>
      </c>
      <c r="R1579" s="8">
        <f>[1]Data!R1579</f>
        <v>0.40909090909090901</v>
      </c>
      <c r="S1579" s="8">
        <f>[1]Data!S1579</f>
        <v>0</v>
      </c>
      <c r="T1579">
        <f t="shared" si="120"/>
        <v>0.51492537313432807</v>
      </c>
      <c r="U1579">
        <f t="shared" si="121"/>
        <v>0</v>
      </c>
      <c r="V1579" s="4" t="str">
        <f t="shared" si="122"/>
        <v>7</v>
      </c>
      <c r="W1579" s="4" t="str">
        <f t="shared" si="123"/>
        <v>2</v>
      </c>
      <c r="X1579" s="4" t="str">
        <f t="shared" si="124"/>
        <v>7CVCTE2</v>
      </c>
      <c r="Y1579">
        <f>VLOOKUP(X1579,Sheet1!$J$5:$K$121,2,FALSE)</f>
        <v>0.40909090909090901</v>
      </c>
    </row>
    <row r="1580" spans="1:25" x14ac:dyDescent="0.25">
      <c r="A1580" s="8">
        <f>[1]Data!A1580</f>
        <v>101400</v>
      </c>
      <c r="B1580" s="8">
        <f>[1]Data!B1580</f>
        <v>2</v>
      </c>
      <c r="C1580" s="8">
        <f>[1]Data!C1580</f>
        <v>7</v>
      </c>
      <c r="D1580" s="8">
        <f>[1]Data!D1580</f>
        <v>5</v>
      </c>
      <c r="E1580" s="8" t="str">
        <f>[1]Data!E1580</f>
        <v>CVCTE</v>
      </c>
      <c r="F1580" s="8" t="str">
        <f>[1]Data!F1580</f>
        <v>Sunland-Tujunga</v>
      </c>
      <c r="G1580" s="8">
        <f>[1]Data!G1580</f>
        <v>1</v>
      </c>
      <c r="H1580" s="8">
        <f>[1]Data!H1580</f>
        <v>1</v>
      </c>
      <c r="I1580" s="8">
        <f>[1]Data!I1580</f>
        <v>11.994999999999999</v>
      </c>
      <c r="J1580" s="8">
        <f>[1]Data!J1580</f>
        <v>11.401062980000001</v>
      </c>
      <c r="K1580" s="8">
        <f>[1]Data!K1580</f>
        <v>11.401062980000001</v>
      </c>
      <c r="L1580" s="8">
        <f>[1]Data!L1580</f>
        <v>0.59466142610412898</v>
      </c>
      <c r="M1580" s="8">
        <f>[1]Data!M1580</f>
        <v>11.995724406104101</v>
      </c>
      <c r="N1580" s="8">
        <f>[1]Data!N1580</f>
        <v>0.17910447761194001</v>
      </c>
      <c r="O1580" s="8">
        <f>[1]Data!O1580</f>
        <v>5.5833333333333304</v>
      </c>
      <c r="P1580" s="8">
        <f>[1]Data!P1580</f>
        <v>0.20895522388059701</v>
      </c>
      <c r="Q1580" s="8">
        <f>[1]Data!Q1580</f>
        <v>1</v>
      </c>
      <c r="R1580" s="8">
        <f>[1]Data!R1580</f>
        <v>0</v>
      </c>
      <c r="S1580" s="8">
        <f>[1]Data!S1580</f>
        <v>0</v>
      </c>
      <c r="T1580">
        <f t="shared" si="120"/>
        <v>0.51492537313432807</v>
      </c>
      <c r="U1580">
        <f t="shared" si="121"/>
        <v>1.9420289855072475</v>
      </c>
      <c r="V1580" s="4" t="str">
        <f t="shared" si="122"/>
        <v>7</v>
      </c>
      <c r="W1580" s="4" t="str">
        <f t="shared" si="123"/>
        <v>2</v>
      </c>
      <c r="X1580" s="4" t="str">
        <f t="shared" si="124"/>
        <v>7CVCTE2</v>
      </c>
      <c r="Y1580">
        <f>VLOOKUP(X1580,Sheet1!$J$5:$K$121,2,FALSE)</f>
        <v>0.40909090909090901</v>
      </c>
    </row>
    <row r="1581" spans="1:25" x14ac:dyDescent="0.25">
      <c r="A1581" s="8">
        <f>[1]Data!A1581</f>
        <v>106114</v>
      </c>
      <c r="B1581" s="8">
        <f>[1]Data!B1581</f>
        <v>2</v>
      </c>
      <c r="C1581" s="8">
        <f>[1]Data!C1581</f>
        <v>7</v>
      </c>
      <c r="D1581" s="8">
        <f>[1]Data!D1581</f>
        <v>3</v>
      </c>
      <c r="E1581" s="8" t="str">
        <f>[1]Data!E1581</f>
        <v>CVCTE</v>
      </c>
      <c r="F1581" s="8" t="str">
        <f>[1]Data!F1581</f>
        <v>Sylmar</v>
      </c>
      <c r="G1581" s="8">
        <f>[1]Data!G1581</f>
        <v>0</v>
      </c>
      <c r="H1581" s="8">
        <f>[1]Data!H1581</f>
        <v>1</v>
      </c>
      <c r="I1581" s="8">
        <f>[1]Data!I1581</f>
        <v>22.036000000000001</v>
      </c>
      <c r="J1581" s="8">
        <f>[1]Data!J1581</f>
        <v>19.178222179999999</v>
      </c>
      <c r="K1581" s="8">
        <f>[1]Data!K1581</f>
        <v>21.178222179999999</v>
      </c>
      <c r="L1581" s="8">
        <f>[1]Data!L1581</f>
        <v>0.85825727303411103</v>
      </c>
      <c r="M1581" s="8">
        <f>[1]Data!M1581</f>
        <v>22.036479453034101</v>
      </c>
      <c r="N1581" s="8">
        <f>[1]Data!N1581</f>
        <v>0.17910447761194001</v>
      </c>
      <c r="O1581" s="8">
        <f>[1]Data!O1581</f>
        <v>0</v>
      </c>
      <c r="P1581" s="8">
        <f>[1]Data!P1581</f>
        <v>0.20895522388059701</v>
      </c>
      <c r="Q1581" s="8">
        <f>[1]Data!Q1581</f>
        <v>1</v>
      </c>
      <c r="R1581" s="8">
        <f>[1]Data!R1581</f>
        <v>0.40909090909090901</v>
      </c>
      <c r="S1581" s="8">
        <f>[1]Data!S1581</f>
        <v>2.4444444444444402</v>
      </c>
      <c r="T1581">
        <f t="shared" si="120"/>
        <v>0.51492537313432807</v>
      </c>
      <c r="U1581">
        <f t="shared" si="121"/>
        <v>1.9420289855072475</v>
      </c>
      <c r="V1581" s="4" t="str">
        <f t="shared" si="122"/>
        <v>7</v>
      </c>
      <c r="W1581" s="4" t="str">
        <f t="shared" si="123"/>
        <v>2</v>
      </c>
      <c r="X1581" s="4" t="str">
        <f t="shared" si="124"/>
        <v>7CVCTE2</v>
      </c>
      <c r="Y1581">
        <f>VLOOKUP(X1581,Sheet1!$J$5:$K$121,2,FALSE)</f>
        <v>0.40909090909090901</v>
      </c>
    </row>
    <row r="1582" spans="1:25" x14ac:dyDescent="0.25">
      <c r="A1582" s="8">
        <f>[1]Data!A1582</f>
        <v>106406</v>
      </c>
      <c r="B1582" s="8">
        <f>[1]Data!B1582</f>
        <v>2</v>
      </c>
      <c r="C1582" s="8">
        <f>[1]Data!C1582</f>
        <v>7</v>
      </c>
      <c r="D1582" s="8">
        <f>[1]Data!D1582</f>
        <v>3</v>
      </c>
      <c r="E1582" s="8" t="str">
        <f>[1]Data!E1582</f>
        <v>CVCTE</v>
      </c>
      <c r="F1582" s="8" t="str">
        <f>[1]Data!F1582</f>
        <v>Sylmar</v>
      </c>
      <c r="G1582" s="8">
        <f>[1]Data!G1582</f>
        <v>0</v>
      </c>
      <c r="H1582" s="8">
        <f>[1]Data!H1582</f>
        <v>0</v>
      </c>
      <c r="I1582" s="8">
        <f>[1]Data!I1582</f>
        <v>9.3789999999999996</v>
      </c>
      <c r="J1582" s="8">
        <f>[1]Data!J1582</f>
        <v>7.9347986400000003</v>
      </c>
      <c r="K1582" s="8">
        <f>[1]Data!K1582</f>
        <v>8.9347986400000003</v>
      </c>
      <c r="L1582" s="8">
        <f>[1]Data!L1582</f>
        <v>0.44469040552962302</v>
      </c>
      <c r="M1582" s="8">
        <f>[1]Data!M1582</f>
        <v>9.3794890455296205</v>
      </c>
      <c r="N1582" s="8">
        <f>[1]Data!N1582</f>
        <v>0.17910447761194001</v>
      </c>
      <c r="O1582" s="8">
        <f>[1]Data!O1582</f>
        <v>0</v>
      </c>
      <c r="P1582" s="8">
        <f>[1]Data!P1582</f>
        <v>0.20895522388059701</v>
      </c>
      <c r="Q1582" s="8">
        <f>[1]Data!Q1582</f>
        <v>1</v>
      </c>
      <c r="R1582" s="8">
        <f>[1]Data!R1582</f>
        <v>0.40909090909090901</v>
      </c>
      <c r="S1582" s="8">
        <f>[1]Data!S1582</f>
        <v>0</v>
      </c>
      <c r="T1582">
        <f t="shared" si="120"/>
        <v>0.51492537313432807</v>
      </c>
      <c r="U1582">
        <f t="shared" si="121"/>
        <v>0</v>
      </c>
      <c r="V1582" s="4" t="str">
        <f t="shared" si="122"/>
        <v>7</v>
      </c>
      <c r="W1582" s="4" t="str">
        <f t="shared" si="123"/>
        <v>2</v>
      </c>
      <c r="X1582" s="4" t="str">
        <f t="shared" si="124"/>
        <v>7CVCTE2</v>
      </c>
      <c r="Y1582">
        <f>VLOOKUP(X1582,Sheet1!$J$5:$K$121,2,FALSE)</f>
        <v>0.40909090909090901</v>
      </c>
    </row>
    <row r="1583" spans="1:25" x14ac:dyDescent="0.25">
      <c r="A1583" s="8">
        <f>[1]Data!A1583</f>
        <v>104103</v>
      </c>
      <c r="B1583" s="8">
        <f>[1]Data!B1583</f>
        <v>2</v>
      </c>
      <c r="C1583" s="8">
        <f>[1]Data!C1583</f>
        <v>7</v>
      </c>
      <c r="D1583" s="8">
        <f>[1]Data!D1583</f>
        <v>3</v>
      </c>
      <c r="E1583" s="8" t="str">
        <f>[1]Data!E1583</f>
        <v>CVCTE</v>
      </c>
      <c r="F1583" s="8" t="str">
        <f>[1]Data!F1583</f>
        <v>Foothill Trails</v>
      </c>
      <c r="G1583" s="8">
        <f>[1]Data!G1583</f>
        <v>1</v>
      </c>
      <c r="H1583" s="8">
        <f>[1]Data!H1583</f>
        <v>1</v>
      </c>
      <c r="I1583" s="8">
        <f>[1]Data!I1583</f>
        <v>33.106000000000002</v>
      </c>
      <c r="J1583" s="8">
        <f>[1]Data!J1583</f>
        <v>22.858559280000001</v>
      </c>
      <c r="K1583" s="8">
        <f>[1]Data!K1583</f>
        <v>32.858559280000001</v>
      </c>
      <c r="L1583" s="8">
        <f>[1]Data!L1583</f>
        <v>0.247503864991023</v>
      </c>
      <c r="M1583" s="8">
        <f>[1]Data!M1583</f>
        <v>33.106063144990998</v>
      </c>
      <c r="N1583" s="8">
        <f>[1]Data!N1583</f>
        <v>0.17910447761194001</v>
      </c>
      <c r="O1583" s="8">
        <f>[1]Data!O1583</f>
        <v>5.5833333333333304</v>
      </c>
      <c r="P1583" s="8">
        <f>[1]Data!P1583</f>
        <v>0.20895522388059701</v>
      </c>
      <c r="Q1583" s="8">
        <f>[1]Data!Q1583</f>
        <v>1</v>
      </c>
      <c r="R1583" s="8">
        <f>[1]Data!R1583</f>
        <v>0</v>
      </c>
      <c r="S1583" s="8">
        <f>[1]Data!S1583</f>
        <v>0</v>
      </c>
      <c r="T1583">
        <f t="shared" si="120"/>
        <v>0.51492537313432807</v>
      </c>
      <c r="U1583">
        <f t="shared" si="121"/>
        <v>1.9420289855072475</v>
      </c>
      <c r="V1583" s="4" t="str">
        <f t="shared" si="122"/>
        <v>7</v>
      </c>
      <c r="W1583" s="4" t="str">
        <f t="shared" si="123"/>
        <v>2</v>
      </c>
      <c r="X1583" s="4" t="str">
        <f t="shared" si="124"/>
        <v>7CVCTE2</v>
      </c>
      <c r="Y1583">
        <f>VLOOKUP(X1583,Sheet1!$J$5:$K$121,2,FALSE)</f>
        <v>0.40909090909090901</v>
      </c>
    </row>
    <row r="1584" spans="1:25" x14ac:dyDescent="0.25">
      <c r="A1584" s="8">
        <f>[1]Data!A1584</f>
        <v>101110</v>
      </c>
      <c r="B1584" s="8">
        <f>[1]Data!B1584</f>
        <v>2</v>
      </c>
      <c r="C1584" s="8">
        <f>[1]Data!C1584</f>
        <v>7</v>
      </c>
      <c r="D1584" s="8">
        <f>[1]Data!D1584</f>
        <v>5</v>
      </c>
      <c r="E1584" s="8" t="str">
        <f>[1]Data!E1584</f>
        <v>CVCTE</v>
      </c>
      <c r="F1584" s="8" t="str">
        <f>[1]Data!F1584</f>
        <v>Sunland-Tujunga</v>
      </c>
      <c r="G1584" s="8">
        <f>[1]Data!G1584</f>
        <v>1</v>
      </c>
      <c r="H1584" s="8">
        <f>[1]Data!H1584</f>
        <v>1</v>
      </c>
      <c r="I1584" s="8">
        <f>[1]Data!I1584</f>
        <v>1</v>
      </c>
      <c r="J1584" s="8">
        <f>[1]Data!J1584</f>
        <v>0</v>
      </c>
      <c r="K1584" s="8">
        <f>[1]Data!K1584</f>
        <v>1</v>
      </c>
      <c r="L1584" s="8">
        <f>[1]Data!L1584</f>
        <v>0</v>
      </c>
      <c r="M1584" s="8">
        <f>[1]Data!M1584</f>
        <v>1</v>
      </c>
      <c r="N1584" s="8">
        <f>[1]Data!N1584</f>
        <v>0.17910447761194001</v>
      </c>
      <c r="O1584" s="8">
        <f>[1]Data!O1584</f>
        <v>5.5833333333333304</v>
      </c>
      <c r="P1584" s="8">
        <f>[1]Data!P1584</f>
        <v>0.20895522388059701</v>
      </c>
      <c r="Q1584" s="8">
        <f>[1]Data!Q1584</f>
        <v>1</v>
      </c>
      <c r="R1584" s="8">
        <f>[1]Data!R1584</f>
        <v>0</v>
      </c>
      <c r="S1584" s="8">
        <f>[1]Data!S1584</f>
        <v>0</v>
      </c>
      <c r="T1584">
        <f t="shared" si="120"/>
        <v>0.51492537313432807</v>
      </c>
      <c r="U1584">
        <f t="shared" si="121"/>
        <v>1.9420289855072475</v>
      </c>
      <c r="V1584" s="4" t="str">
        <f t="shared" si="122"/>
        <v>7</v>
      </c>
      <c r="W1584" s="4" t="str">
        <f t="shared" si="123"/>
        <v>2</v>
      </c>
      <c r="X1584" s="4" t="str">
        <f t="shared" si="124"/>
        <v>7CVCTE2</v>
      </c>
      <c r="Y1584">
        <f>VLOOKUP(X1584,Sheet1!$J$5:$K$121,2,FALSE)</f>
        <v>0.40909090909090901</v>
      </c>
    </row>
    <row r="1585" spans="1:25" x14ac:dyDescent="0.25">
      <c r="A1585" s="8">
        <f>[1]Data!A1585</f>
        <v>104703</v>
      </c>
      <c r="B1585" s="8">
        <f>[1]Data!B1585</f>
        <v>2</v>
      </c>
      <c r="C1585" s="8">
        <f>[1]Data!C1585</f>
        <v>7</v>
      </c>
      <c r="D1585" s="8">
        <f>[1]Data!D1585</f>
        <v>3</v>
      </c>
      <c r="E1585" s="8" t="str">
        <f>[1]Data!E1585</f>
        <v>CVCTE</v>
      </c>
      <c r="F1585" s="8" t="str">
        <f>[1]Data!F1585</f>
        <v>Pacoima</v>
      </c>
      <c r="G1585" s="8">
        <f>[1]Data!G1585</f>
        <v>1</v>
      </c>
      <c r="H1585" s="8">
        <f>[1]Data!H1585</f>
        <v>1</v>
      </c>
      <c r="I1585" s="8">
        <f>[1]Data!I1585</f>
        <v>61.689</v>
      </c>
      <c r="J1585" s="8">
        <f>[1]Data!J1585</f>
        <v>52.601345010000003</v>
      </c>
      <c r="K1585" s="8">
        <f>[1]Data!K1585</f>
        <v>58.601345010000003</v>
      </c>
      <c r="L1585" s="8">
        <f>[1]Data!L1585</f>
        <v>3.0880785864811502</v>
      </c>
      <c r="M1585" s="8">
        <f>[1]Data!M1585</f>
        <v>61.689423596481099</v>
      </c>
      <c r="N1585" s="8">
        <f>[1]Data!N1585</f>
        <v>0.17910447761194001</v>
      </c>
      <c r="O1585" s="8">
        <f>[1]Data!O1585</f>
        <v>5.5833333333333304</v>
      </c>
      <c r="P1585" s="8">
        <f>[1]Data!P1585</f>
        <v>0.20895522388059701</v>
      </c>
      <c r="Q1585" s="8">
        <f>[1]Data!Q1585</f>
        <v>1</v>
      </c>
      <c r="R1585" s="8">
        <f>[1]Data!R1585</f>
        <v>0</v>
      </c>
      <c r="S1585" s="8">
        <f>[1]Data!S1585</f>
        <v>0</v>
      </c>
      <c r="T1585">
        <f t="shared" si="120"/>
        <v>0.51492537313432807</v>
      </c>
      <c r="U1585">
        <f t="shared" si="121"/>
        <v>1.9420289855072475</v>
      </c>
      <c r="V1585" s="4" t="str">
        <f t="shared" si="122"/>
        <v>7</v>
      </c>
      <c r="W1585" s="4" t="str">
        <f t="shared" si="123"/>
        <v>2</v>
      </c>
      <c r="X1585" s="4" t="str">
        <f t="shared" si="124"/>
        <v>7CVCTE2</v>
      </c>
      <c r="Y1585">
        <f>VLOOKUP(X1585,Sheet1!$J$5:$K$121,2,FALSE)</f>
        <v>0.40909090909090901</v>
      </c>
    </row>
    <row r="1586" spans="1:25" x14ac:dyDescent="0.25">
      <c r="A1586" s="8">
        <f>[1]Data!A1586</f>
        <v>103102</v>
      </c>
      <c r="B1586" s="8">
        <f>[1]Data!B1586</f>
        <v>2</v>
      </c>
      <c r="C1586" s="8">
        <f>[1]Data!C1586</f>
        <v>7</v>
      </c>
      <c r="D1586" s="8">
        <f>[1]Data!D1586</f>
        <v>5</v>
      </c>
      <c r="E1586" s="8" t="str">
        <f>[1]Data!E1586</f>
        <v>CVCTE</v>
      </c>
      <c r="F1586" s="8" t="str">
        <f>[1]Data!F1586</f>
        <v>Sunland-Tujunga</v>
      </c>
      <c r="G1586" s="8">
        <f>[1]Data!G1586</f>
        <v>0</v>
      </c>
      <c r="H1586" s="8">
        <f>[1]Data!H1586</f>
        <v>1</v>
      </c>
      <c r="I1586" s="8">
        <f>[1]Data!I1586</f>
        <v>12.4</v>
      </c>
      <c r="J1586" s="8">
        <f>[1]Data!J1586</f>
        <v>11.82337824</v>
      </c>
      <c r="K1586" s="8">
        <f>[1]Data!K1586</f>
        <v>11.82337824</v>
      </c>
      <c r="L1586" s="8">
        <f>[1]Data!L1586</f>
        <v>0.576488328994614</v>
      </c>
      <c r="M1586" s="8">
        <f>[1]Data!M1586</f>
        <v>12.3998665689946</v>
      </c>
      <c r="N1586" s="8">
        <f>[1]Data!N1586</f>
        <v>0.17910447761194001</v>
      </c>
      <c r="O1586" s="8">
        <f>[1]Data!O1586</f>
        <v>0</v>
      </c>
      <c r="P1586" s="8">
        <f>[1]Data!P1586</f>
        <v>0.20895522388059701</v>
      </c>
      <c r="Q1586" s="8">
        <f>[1]Data!Q1586</f>
        <v>1</v>
      </c>
      <c r="R1586" s="8">
        <f>[1]Data!R1586</f>
        <v>0.40909090909090901</v>
      </c>
      <c r="S1586" s="8">
        <f>[1]Data!S1586</f>
        <v>2.4444444444444402</v>
      </c>
      <c r="T1586">
        <f t="shared" si="120"/>
        <v>0.51492537313432807</v>
      </c>
      <c r="U1586">
        <f t="shared" si="121"/>
        <v>1.9420289855072475</v>
      </c>
      <c r="V1586" s="4" t="str">
        <f t="shared" si="122"/>
        <v>7</v>
      </c>
      <c r="W1586" s="4" t="str">
        <f t="shared" si="123"/>
        <v>2</v>
      </c>
      <c r="X1586" s="4" t="str">
        <f t="shared" si="124"/>
        <v>7CVCTE2</v>
      </c>
      <c r="Y1586">
        <f>VLOOKUP(X1586,Sheet1!$J$5:$K$121,2,FALSE)</f>
        <v>0.40909090909090901</v>
      </c>
    </row>
    <row r="1587" spans="1:25" x14ac:dyDescent="0.25">
      <c r="A1587" s="8">
        <f>[1]Data!A1587</f>
        <v>103400</v>
      </c>
      <c r="B1587" s="8">
        <f>[1]Data!B1587</f>
        <v>2</v>
      </c>
      <c r="C1587" s="8">
        <f>[1]Data!C1587</f>
        <v>7</v>
      </c>
      <c r="D1587" s="8">
        <f>[1]Data!D1587</f>
        <v>5</v>
      </c>
      <c r="E1587" s="8" t="str">
        <f>[1]Data!E1587</f>
        <v>CVCTE</v>
      </c>
      <c r="F1587" s="8" t="str">
        <f>[1]Data!F1587</f>
        <v>Sunland-Tujunga</v>
      </c>
      <c r="G1587" s="8">
        <f>[1]Data!G1587</f>
        <v>0</v>
      </c>
      <c r="H1587" s="8">
        <f>[1]Data!H1587</f>
        <v>0</v>
      </c>
      <c r="I1587" s="8">
        <f>[1]Data!I1587</f>
        <v>17.795000000000002</v>
      </c>
      <c r="J1587" s="8">
        <f>[1]Data!J1587</f>
        <v>15.30375091</v>
      </c>
      <c r="K1587" s="8">
        <f>[1]Data!K1587</f>
        <v>17.303750910000002</v>
      </c>
      <c r="L1587" s="8">
        <f>[1]Data!L1587</f>
        <v>0.491004602764812</v>
      </c>
      <c r="M1587" s="8">
        <f>[1]Data!M1587</f>
        <v>17.794755512764802</v>
      </c>
      <c r="N1587" s="8">
        <f>[1]Data!N1587</f>
        <v>0.17910447761194001</v>
      </c>
      <c r="O1587" s="8">
        <f>[1]Data!O1587</f>
        <v>0</v>
      </c>
      <c r="P1587" s="8">
        <f>[1]Data!P1587</f>
        <v>0.20895522388059701</v>
      </c>
      <c r="Q1587" s="8">
        <f>[1]Data!Q1587</f>
        <v>1</v>
      </c>
      <c r="R1587" s="8">
        <f>[1]Data!R1587</f>
        <v>0.40909090909090901</v>
      </c>
      <c r="S1587" s="8">
        <f>[1]Data!S1587</f>
        <v>0</v>
      </c>
      <c r="T1587">
        <f t="shared" si="120"/>
        <v>0.51492537313432807</v>
      </c>
      <c r="U1587">
        <f t="shared" si="121"/>
        <v>0</v>
      </c>
      <c r="V1587" s="4" t="str">
        <f t="shared" si="122"/>
        <v>7</v>
      </c>
      <c r="W1587" s="4" t="str">
        <f t="shared" si="123"/>
        <v>2</v>
      </c>
      <c r="X1587" s="4" t="str">
        <f t="shared" si="124"/>
        <v>7CVCTE2</v>
      </c>
      <c r="Y1587">
        <f>VLOOKUP(X1587,Sheet1!$J$5:$K$121,2,FALSE)</f>
        <v>0.40909090909090901</v>
      </c>
    </row>
    <row r="1588" spans="1:25" x14ac:dyDescent="0.25">
      <c r="A1588" s="8">
        <f>[1]Data!A1588</f>
        <v>106604</v>
      </c>
      <c r="B1588" s="8">
        <f>[1]Data!B1588</f>
        <v>2</v>
      </c>
      <c r="C1588" s="8">
        <f>[1]Data!C1588</f>
        <v>7</v>
      </c>
      <c r="D1588" s="8">
        <f>[1]Data!D1588</f>
        <v>3</v>
      </c>
      <c r="E1588" s="8" t="str">
        <f>[1]Data!E1588</f>
        <v>FAMILY</v>
      </c>
      <c r="F1588" s="8" t="str">
        <f>[1]Data!F1588</f>
        <v>Sylmar</v>
      </c>
      <c r="G1588" s="8">
        <f>[1]Data!G1588</f>
        <v>1</v>
      </c>
      <c r="H1588" s="8">
        <f>[1]Data!H1588</f>
        <v>1</v>
      </c>
      <c r="I1588" s="8">
        <f>[1]Data!I1588</f>
        <v>14.673</v>
      </c>
      <c r="J1588" s="8">
        <f>[1]Data!J1588</f>
        <v>13.73495303</v>
      </c>
      <c r="K1588" s="8">
        <f>[1]Data!K1588</f>
        <v>13.73495303</v>
      </c>
      <c r="L1588" s="8">
        <f>[1]Data!L1588</f>
        <v>0.93784484314183103</v>
      </c>
      <c r="M1588" s="8">
        <f>[1]Data!M1588</f>
        <v>14.6727978731418</v>
      </c>
      <c r="N1588" s="8">
        <f>[1]Data!N1588</f>
        <v>1</v>
      </c>
      <c r="O1588" s="8">
        <f>[1]Data!O1588</f>
        <v>1</v>
      </c>
      <c r="P1588" s="8">
        <f>[1]Data!P1588</f>
        <v>0</v>
      </c>
      <c r="Q1588" s="8">
        <f>[1]Data!Q1588</f>
        <v>0</v>
      </c>
      <c r="R1588" s="8">
        <f>[1]Data!R1588</f>
        <v>0</v>
      </c>
      <c r="S1588" s="8">
        <f>[1]Data!S1588</f>
        <v>0</v>
      </c>
      <c r="T1588">
        <f t="shared" si="120"/>
        <v>1</v>
      </c>
      <c r="U1588">
        <f t="shared" si="121"/>
        <v>1</v>
      </c>
      <c r="V1588" s="4" t="str">
        <f t="shared" si="122"/>
        <v>7</v>
      </c>
      <c r="W1588" s="4" t="str">
        <f t="shared" si="123"/>
        <v>2</v>
      </c>
      <c r="X1588" s="4" t="str">
        <f t="shared" si="124"/>
        <v>7FAMILY2</v>
      </c>
      <c r="Y1588">
        <f>VLOOKUP(X1588,Sheet1!$J$5:$K$121,2,FALSE)</f>
        <v>0</v>
      </c>
    </row>
    <row r="1589" spans="1:25" x14ac:dyDescent="0.25">
      <c r="A1589" s="8">
        <f>[1]Data!A1589</f>
        <v>980021</v>
      </c>
      <c r="B1589" s="8">
        <f>[1]Data!B1589</f>
        <v>2</v>
      </c>
      <c r="C1589" s="8">
        <f>[1]Data!C1589</f>
        <v>7</v>
      </c>
      <c r="D1589" s="8">
        <f>[1]Data!D1589</f>
        <v>3</v>
      </c>
      <c r="E1589" s="8" t="str">
        <f>[1]Data!E1589</f>
        <v>FAMILY</v>
      </c>
      <c r="F1589" s="8" t="str">
        <f>[1]Data!F1589</f>
        <v>Pacoima</v>
      </c>
      <c r="G1589" s="8">
        <f>[1]Data!G1589</f>
        <v>1</v>
      </c>
      <c r="H1589" s="8">
        <f>[1]Data!H1589</f>
        <v>1</v>
      </c>
      <c r="I1589" s="8">
        <f>[1]Data!I1589</f>
        <v>62.676000000000002</v>
      </c>
      <c r="J1589" s="8">
        <f>[1]Data!J1589</f>
        <v>42.595214349999999</v>
      </c>
      <c r="K1589" s="8">
        <f>[1]Data!K1589</f>
        <v>60.595214349999999</v>
      </c>
      <c r="L1589" s="8">
        <f>[1]Data!L1589</f>
        <v>2.0803232851885101</v>
      </c>
      <c r="M1589" s="8">
        <f>[1]Data!M1589</f>
        <v>62.675537635188498</v>
      </c>
      <c r="N1589" s="8">
        <f>[1]Data!N1589</f>
        <v>1</v>
      </c>
      <c r="O1589" s="8">
        <f>[1]Data!O1589</f>
        <v>1</v>
      </c>
      <c r="P1589" s="8">
        <f>[1]Data!P1589</f>
        <v>0</v>
      </c>
      <c r="Q1589" s="8">
        <f>[1]Data!Q1589</f>
        <v>0</v>
      </c>
      <c r="R1589" s="8">
        <f>[1]Data!R1589</f>
        <v>0</v>
      </c>
      <c r="S1589" s="8">
        <f>[1]Data!S1589</f>
        <v>0</v>
      </c>
      <c r="T1589">
        <f t="shared" si="120"/>
        <v>1</v>
      </c>
      <c r="U1589">
        <f t="shared" si="121"/>
        <v>1</v>
      </c>
      <c r="V1589" s="4" t="str">
        <f t="shared" si="122"/>
        <v>7</v>
      </c>
      <c r="W1589" s="4" t="str">
        <f t="shared" si="123"/>
        <v>2</v>
      </c>
      <c r="X1589" s="4" t="str">
        <f t="shared" si="124"/>
        <v>7FAMILY2</v>
      </c>
      <c r="Y1589">
        <f>VLOOKUP(X1589,Sheet1!$J$5:$K$121,2,FALSE)</f>
        <v>0</v>
      </c>
    </row>
    <row r="1590" spans="1:25" x14ac:dyDescent="0.25">
      <c r="A1590" s="8">
        <f>[1]Data!A1590</f>
        <v>103300</v>
      </c>
      <c r="B1590" s="8">
        <f>[1]Data!B1590</f>
        <v>2</v>
      </c>
      <c r="C1590" s="8">
        <f>[1]Data!C1590</f>
        <v>7</v>
      </c>
      <c r="D1590" s="8">
        <f>[1]Data!D1590</f>
        <v>5</v>
      </c>
      <c r="E1590" s="8" t="str">
        <f>[1]Data!E1590</f>
        <v>INDIV</v>
      </c>
      <c r="F1590" s="8" t="str">
        <f>[1]Data!F1590</f>
        <v>Foothill Trails</v>
      </c>
      <c r="G1590" s="8">
        <f>[1]Data!G1590</f>
        <v>0</v>
      </c>
      <c r="H1590" s="8">
        <f>[1]Data!H1590</f>
        <v>1</v>
      </c>
      <c r="I1590" s="8">
        <f>[1]Data!I1590</f>
        <v>14.775</v>
      </c>
      <c r="J1590" s="8">
        <f>[1]Data!J1590</f>
        <v>11.41517131</v>
      </c>
      <c r="K1590" s="8">
        <f>[1]Data!K1590</f>
        <v>14.41517131</v>
      </c>
      <c r="L1590" s="8">
        <f>[1]Data!L1590</f>
        <v>0.35920667929981998</v>
      </c>
      <c r="M1590" s="8">
        <f>[1]Data!M1590</f>
        <v>14.774377989299801</v>
      </c>
      <c r="N1590" s="8">
        <f>[1]Data!N1590</f>
        <v>4.8387096774193498E-2</v>
      </c>
      <c r="O1590" s="8">
        <f>[1]Data!O1590</f>
        <v>0</v>
      </c>
      <c r="P1590" s="8">
        <f>[1]Data!P1590</f>
        <v>0.14516129032258099</v>
      </c>
      <c r="Q1590" s="8">
        <f>[1]Data!Q1590</f>
        <v>1</v>
      </c>
      <c r="R1590" s="8">
        <f>[1]Data!R1590</f>
        <v>0.22222222222222199</v>
      </c>
      <c r="S1590" s="8">
        <f>[1]Data!S1590</f>
        <v>4.5</v>
      </c>
      <c r="T1590">
        <f t="shared" si="120"/>
        <v>0.25985663082437249</v>
      </c>
      <c r="U1590">
        <f t="shared" si="121"/>
        <v>3.8482758620689697</v>
      </c>
      <c r="V1590" s="4" t="str">
        <f t="shared" si="122"/>
        <v>7</v>
      </c>
      <c r="W1590" s="4" t="str">
        <f t="shared" si="123"/>
        <v>2</v>
      </c>
      <c r="X1590" s="4" t="str">
        <f t="shared" si="124"/>
        <v>7INDIV2</v>
      </c>
      <c r="Y1590">
        <f>VLOOKUP(X1590,Sheet1!$J$5:$K$121,2,FALSE)</f>
        <v>0.22222222222222199</v>
      </c>
    </row>
    <row r="1591" spans="1:25" x14ac:dyDescent="0.25">
      <c r="A1591" s="8">
        <f>[1]Data!A1591</f>
        <v>101300</v>
      </c>
      <c r="B1591" s="8">
        <f>[1]Data!B1591</f>
        <v>2</v>
      </c>
      <c r="C1591" s="8">
        <f>[1]Data!C1591</f>
        <v>7</v>
      </c>
      <c r="D1591" s="8">
        <f>[1]Data!D1591</f>
        <v>5</v>
      </c>
      <c r="E1591" s="8" t="str">
        <f>[1]Data!E1591</f>
        <v>INDIV</v>
      </c>
      <c r="F1591" s="8" t="str">
        <f>[1]Data!F1591</f>
        <v>Sunland-Tujunga</v>
      </c>
      <c r="G1591" s="8">
        <f>[1]Data!G1591</f>
        <v>0</v>
      </c>
      <c r="H1591" s="8">
        <f>[1]Data!H1591</f>
        <v>1</v>
      </c>
      <c r="I1591" s="8">
        <f>[1]Data!I1591</f>
        <v>20.108000000000001</v>
      </c>
      <c r="J1591" s="8">
        <f>[1]Data!J1591</f>
        <v>5.0438748599999998</v>
      </c>
      <c r="K1591" s="8">
        <f>[1]Data!K1591</f>
        <v>20.043874859999999</v>
      </c>
      <c r="L1591" s="8">
        <f>[1]Data!L1591</f>
        <v>6.4475795278276501E-2</v>
      </c>
      <c r="M1591" s="8">
        <f>[1]Data!M1591</f>
        <v>20.108350655278301</v>
      </c>
      <c r="N1591" s="8">
        <f>[1]Data!N1591</f>
        <v>4.8387096774193498E-2</v>
      </c>
      <c r="O1591" s="8">
        <f>[1]Data!O1591</f>
        <v>0</v>
      </c>
      <c r="P1591" s="8">
        <f>[1]Data!P1591</f>
        <v>0.14516129032258099</v>
      </c>
      <c r="Q1591" s="8">
        <f>[1]Data!Q1591</f>
        <v>1</v>
      </c>
      <c r="R1591" s="8">
        <f>[1]Data!R1591</f>
        <v>0.22222222222222199</v>
      </c>
      <c r="S1591" s="8">
        <f>[1]Data!S1591</f>
        <v>4.5</v>
      </c>
      <c r="T1591">
        <f t="shared" si="120"/>
        <v>0.25985663082437249</v>
      </c>
      <c r="U1591">
        <f t="shared" si="121"/>
        <v>3.8482758620689697</v>
      </c>
      <c r="V1591" s="4" t="str">
        <f t="shared" si="122"/>
        <v>7</v>
      </c>
      <c r="W1591" s="4" t="str">
        <f t="shared" si="123"/>
        <v>2</v>
      </c>
      <c r="X1591" s="4" t="str">
        <f t="shared" si="124"/>
        <v>7INDIV2</v>
      </c>
      <c r="Y1591">
        <f>VLOOKUP(X1591,Sheet1!$J$5:$K$121,2,FALSE)</f>
        <v>0.22222222222222199</v>
      </c>
    </row>
    <row r="1592" spans="1:25" x14ac:dyDescent="0.25">
      <c r="A1592" s="8">
        <f>[1]Data!A1592</f>
        <v>101220</v>
      </c>
      <c r="B1592" s="8">
        <f>[1]Data!B1592</f>
        <v>2</v>
      </c>
      <c r="C1592" s="8">
        <f>[1]Data!C1592</f>
        <v>7</v>
      </c>
      <c r="D1592" s="8">
        <f>[1]Data!D1592</f>
        <v>5</v>
      </c>
      <c r="E1592" s="8" t="str">
        <f>[1]Data!E1592</f>
        <v>INDIV</v>
      </c>
      <c r="F1592" s="8" t="str">
        <f>[1]Data!F1592</f>
        <v>Sunland-Tujunga</v>
      </c>
      <c r="G1592" s="8">
        <f>[1]Data!G1592</f>
        <v>0</v>
      </c>
      <c r="H1592" s="8">
        <f>[1]Data!H1592</f>
        <v>0</v>
      </c>
      <c r="I1592" s="8">
        <f>[1]Data!I1592</f>
        <v>34</v>
      </c>
      <c r="J1592" s="8">
        <f>[1]Data!J1592</f>
        <v>0</v>
      </c>
      <c r="K1592" s="8">
        <f>[1]Data!K1592</f>
        <v>34</v>
      </c>
      <c r="L1592" s="8">
        <f>[1]Data!L1592</f>
        <v>0</v>
      </c>
      <c r="M1592" s="8">
        <f>[1]Data!M1592</f>
        <v>34</v>
      </c>
      <c r="N1592" s="8">
        <f>[1]Data!N1592</f>
        <v>4.8387096774193498E-2</v>
      </c>
      <c r="O1592" s="8">
        <f>[1]Data!O1592</f>
        <v>0</v>
      </c>
      <c r="P1592" s="8">
        <f>[1]Data!P1592</f>
        <v>0.14516129032258099</v>
      </c>
      <c r="Q1592" s="8">
        <f>[1]Data!Q1592</f>
        <v>1</v>
      </c>
      <c r="R1592" s="8">
        <f>[1]Data!R1592</f>
        <v>0.22222222222222199</v>
      </c>
      <c r="S1592" s="8">
        <f>[1]Data!S1592</f>
        <v>0</v>
      </c>
      <c r="T1592">
        <f t="shared" si="120"/>
        <v>0.25985663082437249</v>
      </c>
      <c r="U1592">
        <f t="shared" si="121"/>
        <v>0</v>
      </c>
      <c r="V1592" s="4" t="str">
        <f t="shared" si="122"/>
        <v>7</v>
      </c>
      <c r="W1592" s="4" t="str">
        <f t="shared" si="123"/>
        <v>2</v>
      </c>
      <c r="X1592" s="4" t="str">
        <f t="shared" si="124"/>
        <v>7INDIV2</v>
      </c>
      <c r="Y1592">
        <f>VLOOKUP(X1592,Sheet1!$J$5:$K$121,2,FALSE)</f>
        <v>0.22222222222222199</v>
      </c>
    </row>
    <row r="1593" spans="1:25" x14ac:dyDescent="0.25">
      <c r="A1593" s="8">
        <f>[1]Data!A1593</f>
        <v>104704</v>
      </c>
      <c r="B1593" s="8">
        <f>[1]Data!B1593</f>
        <v>2</v>
      </c>
      <c r="C1593" s="8">
        <f>[1]Data!C1593</f>
        <v>7</v>
      </c>
      <c r="D1593" s="8">
        <f>[1]Data!D1593</f>
        <v>3</v>
      </c>
      <c r="E1593" s="8" t="str">
        <f>[1]Data!E1593</f>
        <v>INDIV</v>
      </c>
      <c r="F1593" s="8" t="str">
        <f>[1]Data!F1593</f>
        <v>Pacoima</v>
      </c>
      <c r="G1593" s="8">
        <f>[1]Data!G1593</f>
        <v>0</v>
      </c>
      <c r="H1593" s="8">
        <f>[1]Data!H1593</f>
        <v>0</v>
      </c>
      <c r="I1593" s="8">
        <f>[1]Data!I1593</f>
        <v>9</v>
      </c>
      <c r="J1593" s="8">
        <f>[1]Data!J1593</f>
        <v>0</v>
      </c>
      <c r="K1593" s="8">
        <f>[1]Data!K1593</f>
        <v>9</v>
      </c>
      <c r="L1593" s="8">
        <f>[1]Data!L1593</f>
        <v>0</v>
      </c>
      <c r="M1593" s="8">
        <f>[1]Data!M1593</f>
        <v>9</v>
      </c>
      <c r="N1593" s="8">
        <f>[1]Data!N1593</f>
        <v>4.8387096774193498E-2</v>
      </c>
      <c r="O1593" s="8">
        <f>[1]Data!O1593</f>
        <v>0</v>
      </c>
      <c r="P1593" s="8">
        <f>[1]Data!P1593</f>
        <v>0.14516129032258099</v>
      </c>
      <c r="Q1593" s="8">
        <f>[1]Data!Q1593</f>
        <v>1</v>
      </c>
      <c r="R1593" s="8">
        <f>[1]Data!R1593</f>
        <v>0.22222222222222199</v>
      </c>
      <c r="S1593" s="8">
        <f>[1]Data!S1593</f>
        <v>0</v>
      </c>
      <c r="T1593">
        <f t="shared" si="120"/>
        <v>0.25985663082437249</v>
      </c>
      <c r="U1593">
        <f t="shared" si="121"/>
        <v>0</v>
      </c>
      <c r="V1593" s="4" t="str">
        <f t="shared" si="122"/>
        <v>7</v>
      </c>
      <c r="W1593" s="4" t="str">
        <f t="shared" si="123"/>
        <v>2</v>
      </c>
      <c r="X1593" s="4" t="str">
        <f t="shared" si="124"/>
        <v>7INDIV2</v>
      </c>
      <c r="Y1593">
        <f>VLOOKUP(X1593,Sheet1!$J$5:$K$121,2,FALSE)</f>
        <v>0.22222222222222199</v>
      </c>
    </row>
    <row r="1594" spans="1:25" x14ac:dyDescent="0.25">
      <c r="A1594" s="8">
        <f>[1]Data!A1594</f>
        <v>107010</v>
      </c>
      <c r="B1594" s="8">
        <f>[1]Data!B1594</f>
        <v>2</v>
      </c>
      <c r="C1594" s="8">
        <f>[1]Data!C1594</f>
        <v>7</v>
      </c>
      <c r="D1594" s="8">
        <f>[1]Data!D1594</f>
        <v>3</v>
      </c>
      <c r="E1594" s="8" t="str">
        <f>[1]Data!E1594</f>
        <v>INDIV</v>
      </c>
      <c r="F1594" s="8" t="str">
        <f>[1]Data!F1594</f>
        <v>Sylmar</v>
      </c>
      <c r="G1594" s="8">
        <f>[1]Data!G1594</f>
        <v>0</v>
      </c>
      <c r="H1594" s="8">
        <f>[1]Data!H1594</f>
        <v>0</v>
      </c>
      <c r="I1594" s="8">
        <f>[1]Data!I1594</f>
        <v>3.5910000000000002</v>
      </c>
      <c r="J1594" s="8">
        <f>[1]Data!J1594</f>
        <v>1.43919657</v>
      </c>
      <c r="K1594" s="8">
        <f>[1]Data!K1594</f>
        <v>3.43919657</v>
      </c>
      <c r="L1594" s="8">
        <f>[1]Data!L1594</f>
        <v>0.15145200614003601</v>
      </c>
      <c r="M1594" s="8">
        <f>[1]Data!M1594</f>
        <v>3.59064857614004</v>
      </c>
      <c r="N1594" s="8">
        <f>[1]Data!N1594</f>
        <v>4.8387096774193498E-2</v>
      </c>
      <c r="O1594" s="8">
        <f>[1]Data!O1594</f>
        <v>0</v>
      </c>
      <c r="P1594" s="8">
        <f>[1]Data!P1594</f>
        <v>0.14516129032258099</v>
      </c>
      <c r="Q1594" s="8">
        <f>[1]Data!Q1594</f>
        <v>1</v>
      </c>
      <c r="R1594" s="8">
        <f>[1]Data!R1594</f>
        <v>0.22222222222222199</v>
      </c>
      <c r="S1594" s="8">
        <f>[1]Data!S1594</f>
        <v>0</v>
      </c>
      <c r="T1594">
        <f t="shared" si="120"/>
        <v>0.25985663082437249</v>
      </c>
      <c r="U1594">
        <f t="shared" si="121"/>
        <v>0</v>
      </c>
      <c r="V1594" s="4" t="str">
        <f t="shared" si="122"/>
        <v>7</v>
      </c>
      <c r="W1594" s="4" t="str">
        <f t="shared" si="123"/>
        <v>2</v>
      </c>
      <c r="X1594" s="4" t="str">
        <f t="shared" si="124"/>
        <v>7INDIV2</v>
      </c>
      <c r="Y1594">
        <f>VLOOKUP(X1594,Sheet1!$J$5:$K$121,2,FALSE)</f>
        <v>0.22222222222222199</v>
      </c>
    </row>
    <row r="1595" spans="1:25" x14ac:dyDescent="0.25">
      <c r="A1595" s="8">
        <f>[1]Data!A1595</f>
        <v>117510</v>
      </c>
      <c r="B1595" s="8">
        <f>[1]Data!B1595</f>
        <v>2</v>
      </c>
      <c r="C1595" s="8">
        <f>[1]Data!C1595</f>
        <v>7</v>
      </c>
      <c r="D1595" s="8">
        <f>[1]Data!D1595</f>
        <v>3</v>
      </c>
      <c r="E1595" s="8" t="str">
        <f>[1]Data!E1595</f>
        <v>INDIV</v>
      </c>
      <c r="F1595" s="8" t="str">
        <f>[1]Data!F1595</f>
        <v>North Hills</v>
      </c>
      <c r="G1595" s="8">
        <f>[1]Data!G1595</f>
        <v>0</v>
      </c>
      <c r="H1595" s="8">
        <f>[1]Data!H1595</f>
        <v>0</v>
      </c>
      <c r="I1595" s="8">
        <f>[1]Data!I1595</f>
        <v>14.946</v>
      </c>
      <c r="J1595" s="8">
        <f>[1]Data!J1595</f>
        <v>5.7934595399999997</v>
      </c>
      <c r="K1595" s="8">
        <f>[1]Data!K1595</f>
        <v>14.793459540000001</v>
      </c>
      <c r="L1595" s="8">
        <f>[1]Data!L1595</f>
        <v>0.152423245547576</v>
      </c>
      <c r="M1595" s="8">
        <f>[1]Data!M1595</f>
        <v>14.9458827855476</v>
      </c>
      <c r="N1595" s="8">
        <f>[1]Data!N1595</f>
        <v>4.8387096774193498E-2</v>
      </c>
      <c r="O1595" s="8">
        <f>[1]Data!O1595</f>
        <v>0</v>
      </c>
      <c r="P1595" s="8">
        <f>[1]Data!P1595</f>
        <v>0.14516129032258099</v>
      </c>
      <c r="Q1595" s="8">
        <f>[1]Data!Q1595</f>
        <v>1</v>
      </c>
      <c r="R1595" s="8">
        <f>[1]Data!R1595</f>
        <v>0.22222222222222199</v>
      </c>
      <c r="S1595" s="8">
        <f>[1]Data!S1595</f>
        <v>0</v>
      </c>
      <c r="T1595">
        <f t="shared" si="120"/>
        <v>0.25985663082437249</v>
      </c>
      <c r="U1595">
        <f t="shared" si="121"/>
        <v>0</v>
      </c>
      <c r="V1595" s="4" t="str">
        <f t="shared" si="122"/>
        <v>7</v>
      </c>
      <c r="W1595" s="4" t="str">
        <f t="shared" si="123"/>
        <v>2</v>
      </c>
      <c r="X1595" s="4" t="str">
        <f t="shared" si="124"/>
        <v>7INDIV2</v>
      </c>
      <c r="Y1595">
        <f>VLOOKUP(X1595,Sheet1!$J$5:$K$121,2,FALSE)</f>
        <v>0.22222222222222199</v>
      </c>
    </row>
    <row r="1596" spans="1:25" x14ac:dyDescent="0.25">
      <c r="A1596" s="8">
        <f>[1]Data!A1596</f>
        <v>106403</v>
      </c>
      <c r="B1596" s="8">
        <f>[1]Data!B1596</f>
        <v>2</v>
      </c>
      <c r="C1596" s="8">
        <f>[1]Data!C1596</f>
        <v>7</v>
      </c>
      <c r="D1596" s="8">
        <f>[1]Data!D1596</f>
        <v>3</v>
      </c>
      <c r="E1596" s="8" t="str">
        <f>[1]Data!E1596</f>
        <v>INDIV</v>
      </c>
      <c r="F1596" s="8" t="str">
        <f>[1]Data!F1596</f>
        <v>Sylmar</v>
      </c>
      <c r="G1596" s="8">
        <f>[1]Data!G1596</f>
        <v>0</v>
      </c>
      <c r="H1596" s="8">
        <f>[1]Data!H1596</f>
        <v>0</v>
      </c>
      <c r="I1596" s="8">
        <f>[1]Data!I1596</f>
        <v>4</v>
      </c>
      <c r="J1596" s="8">
        <f>[1]Data!J1596</f>
        <v>0</v>
      </c>
      <c r="K1596" s="8">
        <f>[1]Data!K1596</f>
        <v>4</v>
      </c>
      <c r="L1596" s="8">
        <f>[1]Data!L1596</f>
        <v>0</v>
      </c>
      <c r="M1596" s="8">
        <f>[1]Data!M1596</f>
        <v>4</v>
      </c>
      <c r="N1596" s="8">
        <f>[1]Data!N1596</f>
        <v>4.8387096774193498E-2</v>
      </c>
      <c r="O1596" s="8">
        <f>[1]Data!O1596</f>
        <v>0</v>
      </c>
      <c r="P1596" s="8">
        <f>[1]Data!P1596</f>
        <v>0.14516129032258099</v>
      </c>
      <c r="Q1596" s="8">
        <f>[1]Data!Q1596</f>
        <v>1</v>
      </c>
      <c r="R1596" s="8">
        <f>[1]Data!R1596</f>
        <v>0.22222222222222199</v>
      </c>
      <c r="S1596" s="8">
        <f>[1]Data!S1596</f>
        <v>0</v>
      </c>
      <c r="T1596">
        <f t="shared" si="120"/>
        <v>0.25985663082437249</v>
      </c>
      <c r="U1596">
        <f t="shared" si="121"/>
        <v>0</v>
      </c>
      <c r="V1596" s="4" t="str">
        <f t="shared" si="122"/>
        <v>7</v>
      </c>
      <c r="W1596" s="4" t="str">
        <f t="shared" si="123"/>
        <v>2</v>
      </c>
      <c r="X1596" s="4" t="str">
        <f t="shared" si="124"/>
        <v>7INDIV2</v>
      </c>
      <c r="Y1596">
        <f>VLOOKUP(X1596,Sheet1!$J$5:$K$121,2,FALSE)</f>
        <v>0.22222222222222199</v>
      </c>
    </row>
    <row r="1597" spans="1:25" x14ac:dyDescent="0.25">
      <c r="A1597" s="8">
        <f>[1]Data!A1597</f>
        <v>117102</v>
      </c>
      <c r="B1597" s="8">
        <f>[1]Data!B1597</f>
        <v>2</v>
      </c>
      <c r="C1597" s="8">
        <f>[1]Data!C1597</f>
        <v>7</v>
      </c>
      <c r="D1597" s="8">
        <f>[1]Data!D1597</f>
        <v>3</v>
      </c>
      <c r="E1597" s="8" t="str">
        <f>[1]Data!E1597</f>
        <v>INDIV</v>
      </c>
      <c r="F1597" s="8" t="str">
        <f>[1]Data!F1597</f>
        <v>North Hills</v>
      </c>
      <c r="G1597" s="8">
        <f>[1]Data!G1597</f>
        <v>0</v>
      </c>
      <c r="H1597" s="8">
        <f>[1]Data!H1597</f>
        <v>0</v>
      </c>
      <c r="I1597" s="8">
        <f>[1]Data!I1597</f>
        <v>12.327</v>
      </c>
      <c r="J1597" s="8">
        <f>[1]Data!J1597</f>
        <v>8.91622834</v>
      </c>
      <c r="K1597" s="8">
        <f>[1]Data!K1597</f>
        <v>11.91622834</v>
      </c>
      <c r="L1597" s="8">
        <f>[1]Data!L1597</f>
        <v>0.411114642531418</v>
      </c>
      <c r="M1597" s="8">
        <f>[1]Data!M1597</f>
        <v>12.3273429825314</v>
      </c>
      <c r="N1597" s="8">
        <f>[1]Data!N1597</f>
        <v>4.8387096774193498E-2</v>
      </c>
      <c r="O1597" s="8">
        <f>[1]Data!O1597</f>
        <v>0</v>
      </c>
      <c r="P1597" s="8">
        <f>[1]Data!P1597</f>
        <v>0.14516129032258099</v>
      </c>
      <c r="Q1597" s="8">
        <f>[1]Data!Q1597</f>
        <v>1</v>
      </c>
      <c r="R1597" s="8">
        <f>[1]Data!R1597</f>
        <v>0.22222222222222199</v>
      </c>
      <c r="S1597" s="8">
        <f>[1]Data!S1597</f>
        <v>0</v>
      </c>
      <c r="T1597">
        <f t="shared" si="120"/>
        <v>0.25985663082437249</v>
      </c>
      <c r="U1597">
        <f t="shared" si="121"/>
        <v>0</v>
      </c>
      <c r="V1597" s="4" t="str">
        <f t="shared" si="122"/>
        <v>7</v>
      </c>
      <c r="W1597" s="4" t="str">
        <f t="shared" si="123"/>
        <v>2</v>
      </c>
      <c r="X1597" s="4" t="str">
        <f t="shared" si="124"/>
        <v>7INDIV2</v>
      </c>
      <c r="Y1597">
        <f>VLOOKUP(X1597,Sheet1!$J$5:$K$121,2,FALSE)</f>
        <v>0.22222222222222199</v>
      </c>
    </row>
    <row r="1598" spans="1:25" x14ac:dyDescent="0.25">
      <c r="A1598" s="8">
        <f>[1]Data!A1598</f>
        <v>101210</v>
      </c>
      <c r="B1598" s="8">
        <f>[1]Data!B1598</f>
        <v>2</v>
      </c>
      <c r="C1598" s="8">
        <f>[1]Data!C1598</f>
        <v>7</v>
      </c>
      <c r="D1598" s="8">
        <f>[1]Data!D1598</f>
        <v>5</v>
      </c>
      <c r="E1598" s="8" t="str">
        <f>[1]Data!E1598</f>
        <v>INDIV</v>
      </c>
      <c r="F1598" s="8" t="str">
        <f>[1]Data!F1598</f>
        <v>Sunland-Tujunga</v>
      </c>
      <c r="G1598" s="8">
        <f>[1]Data!G1598</f>
        <v>0</v>
      </c>
      <c r="H1598" s="8">
        <f>[1]Data!H1598</f>
        <v>0</v>
      </c>
      <c r="I1598" s="8">
        <f>[1]Data!I1598</f>
        <v>5.0949999999999998</v>
      </c>
      <c r="J1598" s="8">
        <f>[1]Data!J1598</f>
        <v>1.9836996600000001</v>
      </c>
      <c r="K1598" s="8">
        <f>[1]Data!K1598</f>
        <v>4.9836996600000001</v>
      </c>
      <c r="L1598" s="8">
        <f>[1]Data!L1598</f>
        <v>0.11117260138240601</v>
      </c>
      <c r="M1598" s="8">
        <f>[1]Data!M1598</f>
        <v>5.0948722613824096</v>
      </c>
      <c r="N1598" s="8">
        <f>[1]Data!N1598</f>
        <v>4.8387096774193498E-2</v>
      </c>
      <c r="O1598" s="8">
        <f>[1]Data!O1598</f>
        <v>0</v>
      </c>
      <c r="P1598" s="8">
        <f>[1]Data!P1598</f>
        <v>0.14516129032258099</v>
      </c>
      <c r="Q1598" s="8">
        <f>[1]Data!Q1598</f>
        <v>1</v>
      </c>
      <c r="R1598" s="8">
        <f>[1]Data!R1598</f>
        <v>0.22222222222222199</v>
      </c>
      <c r="S1598" s="8">
        <f>[1]Data!S1598</f>
        <v>0</v>
      </c>
      <c r="T1598">
        <f t="shared" si="120"/>
        <v>0.25985663082437249</v>
      </c>
      <c r="U1598">
        <f t="shared" si="121"/>
        <v>0</v>
      </c>
      <c r="V1598" s="4" t="str">
        <f t="shared" si="122"/>
        <v>7</v>
      </c>
      <c r="W1598" s="4" t="str">
        <f t="shared" si="123"/>
        <v>2</v>
      </c>
      <c r="X1598" s="4" t="str">
        <f t="shared" si="124"/>
        <v>7INDIV2</v>
      </c>
      <c r="Y1598">
        <f>VLOOKUP(X1598,Sheet1!$J$5:$K$121,2,FALSE)</f>
        <v>0.22222222222222199</v>
      </c>
    </row>
    <row r="1599" spans="1:25" x14ac:dyDescent="0.25">
      <c r="A1599" s="8">
        <f>[1]Data!A1599</f>
        <v>980026</v>
      </c>
      <c r="B1599" s="8">
        <f>[1]Data!B1599</f>
        <v>2</v>
      </c>
      <c r="C1599" s="8">
        <f>[1]Data!C1599</f>
        <v>7</v>
      </c>
      <c r="D1599" s="8">
        <f>[1]Data!D1599</f>
        <v>5</v>
      </c>
      <c r="E1599" s="8" t="str">
        <f>[1]Data!E1599</f>
        <v>NON-HS</v>
      </c>
      <c r="F1599" s="8" t="str">
        <f>[1]Data!F1599</f>
        <v>Sunland-Tujunga</v>
      </c>
      <c r="G1599" s="8">
        <f>[1]Data!G1599</f>
        <v>0</v>
      </c>
      <c r="H1599" s="8">
        <f>[1]Data!H1599</f>
        <v>0</v>
      </c>
      <c r="I1599" s="8">
        <f>[1]Data!I1599</f>
        <v>0</v>
      </c>
      <c r="J1599" s="8">
        <f>[1]Data!J1599</f>
        <v>0</v>
      </c>
      <c r="K1599" s="8">
        <f>[1]Data!K1599</f>
        <v>0</v>
      </c>
      <c r="L1599" s="8">
        <f>[1]Data!L1599</f>
        <v>0</v>
      </c>
      <c r="M1599" s="8">
        <f>[1]Data!M1599</f>
        <v>0</v>
      </c>
      <c r="N1599" s="8">
        <f>[1]Data!N1599</f>
        <v>2.2140221402214E-2</v>
      </c>
      <c r="O1599" s="8">
        <f>[1]Data!O1599</f>
        <v>0</v>
      </c>
      <c r="P1599" s="8">
        <f>[1]Data!P1599</f>
        <v>9.5940959409594101E-2</v>
      </c>
      <c r="Q1599" s="8">
        <f>[1]Data!Q1599</f>
        <v>1</v>
      </c>
      <c r="R1599" s="8">
        <f>[1]Data!R1599</f>
        <v>0.04</v>
      </c>
      <c r="S1599" s="8">
        <f>[1]Data!S1599</f>
        <v>0</v>
      </c>
      <c r="T1599">
        <f t="shared" si="120"/>
        <v>6.1254612546125443E-2</v>
      </c>
      <c r="U1599">
        <f t="shared" si="121"/>
        <v>0</v>
      </c>
      <c r="V1599" s="4" t="str">
        <f t="shared" si="122"/>
        <v>7</v>
      </c>
      <c r="W1599" s="4" t="str">
        <f t="shared" si="123"/>
        <v>2</v>
      </c>
      <c r="X1599" s="4" t="str">
        <f t="shared" si="124"/>
        <v>7NON-HS2</v>
      </c>
      <c r="Y1599">
        <f>VLOOKUP(X1599,Sheet1!$J$5:$K$121,2,FALSE)</f>
        <v>0.04</v>
      </c>
    </row>
    <row r="1600" spans="1:25" x14ac:dyDescent="0.25">
      <c r="A1600" s="8">
        <f>[1]Data!A1600</f>
        <v>104320</v>
      </c>
      <c r="B1600" s="8">
        <f>[1]Data!B1600</f>
        <v>2</v>
      </c>
      <c r="C1600" s="8">
        <f>[1]Data!C1600</f>
        <v>7</v>
      </c>
      <c r="D1600" s="8">
        <f>[1]Data!D1600</f>
        <v>3</v>
      </c>
      <c r="E1600" s="8" t="str">
        <f>[1]Data!E1600</f>
        <v>NON-HS</v>
      </c>
      <c r="F1600" s="8" t="str">
        <f>[1]Data!F1600</f>
        <v>Pacoima</v>
      </c>
      <c r="G1600" s="8">
        <f>[1]Data!G1600</f>
        <v>0</v>
      </c>
      <c r="H1600" s="8">
        <f>[1]Data!H1600</f>
        <v>0</v>
      </c>
      <c r="I1600" s="8">
        <f>[1]Data!I1600</f>
        <v>2.5910000000000002</v>
      </c>
      <c r="J1600" s="8">
        <f>[1]Data!J1600</f>
        <v>1.43919657</v>
      </c>
      <c r="K1600" s="8">
        <f>[1]Data!K1600</f>
        <v>2.43919657</v>
      </c>
      <c r="L1600" s="8">
        <f>[1]Data!L1600</f>
        <v>0.15145200614003601</v>
      </c>
      <c r="M1600" s="8">
        <f>[1]Data!M1600</f>
        <v>2.59064857614004</v>
      </c>
      <c r="N1600" s="8">
        <f>[1]Data!N1600</f>
        <v>2.2140221402214E-2</v>
      </c>
      <c r="O1600" s="8">
        <f>[1]Data!O1600</f>
        <v>0</v>
      </c>
      <c r="P1600" s="8">
        <f>[1]Data!P1600</f>
        <v>9.5940959409594101E-2</v>
      </c>
      <c r="Q1600" s="8">
        <f>[1]Data!Q1600</f>
        <v>1</v>
      </c>
      <c r="R1600" s="8">
        <f>[1]Data!R1600</f>
        <v>0.04</v>
      </c>
      <c r="S1600" s="8">
        <f>[1]Data!S1600</f>
        <v>0</v>
      </c>
      <c r="T1600">
        <f t="shared" si="120"/>
        <v>6.1254612546125443E-2</v>
      </c>
      <c r="U1600">
        <f t="shared" si="121"/>
        <v>0</v>
      </c>
      <c r="V1600" s="4" t="str">
        <f t="shared" si="122"/>
        <v>7</v>
      </c>
      <c r="W1600" s="4" t="str">
        <f t="shared" si="123"/>
        <v>2</v>
      </c>
      <c r="X1600" s="4" t="str">
        <f t="shared" si="124"/>
        <v>7NON-HS2</v>
      </c>
      <c r="Y1600">
        <f>VLOOKUP(X1600,Sheet1!$J$5:$K$121,2,FALSE)</f>
        <v>0.04</v>
      </c>
    </row>
    <row r="1601" spans="1:25" x14ac:dyDescent="0.25">
      <c r="A1601" s="8">
        <f>[1]Data!A1601</f>
        <v>106408</v>
      </c>
      <c r="B1601" s="8">
        <f>[1]Data!B1601</f>
        <v>2</v>
      </c>
      <c r="C1601" s="8">
        <f>[1]Data!C1601</f>
        <v>7</v>
      </c>
      <c r="D1601" s="8">
        <f>[1]Data!D1601</f>
        <v>3</v>
      </c>
      <c r="E1601" s="8" t="str">
        <f>[1]Data!E1601</f>
        <v>NON-HS</v>
      </c>
      <c r="F1601" s="8" t="str">
        <f>[1]Data!F1601</f>
        <v>Sylmar</v>
      </c>
      <c r="G1601" s="8">
        <f>[1]Data!G1601</f>
        <v>0</v>
      </c>
      <c r="H1601" s="8">
        <f>[1]Data!H1601</f>
        <v>0</v>
      </c>
      <c r="I1601" s="8">
        <f>[1]Data!I1601</f>
        <v>2</v>
      </c>
      <c r="J1601" s="8">
        <f>[1]Data!J1601</f>
        <v>0</v>
      </c>
      <c r="K1601" s="8">
        <f>[1]Data!K1601</f>
        <v>2</v>
      </c>
      <c r="L1601" s="8">
        <f>[1]Data!L1601</f>
        <v>0</v>
      </c>
      <c r="M1601" s="8">
        <f>[1]Data!M1601</f>
        <v>2</v>
      </c>
      <c r="N1601" s="8">
        <f>[1]Data!N1601</f>
        <v>2.2140221402214E-2</v>
      </c>
      <c r="O1601" s="8">
        <f>[1]Data!O1601</f>
        <v>0</v>
      </c>
      <c r="P1601" s="8">
        <f>[1]Data!P1601</f>
        <v>9.5940959409594101E-2</v>
      </c>
      <c r="Q1601" s="8">
        <f>[1]Data!Q1601</f>
        <v>1</v>
      </c>
      <c r="R1601" s="8">
        <f>[1]Data!R1601</f>
        <v>0.04</v>
      </c>
      <c r="S1601" s="8">
        <f>[1]Data!S1601</f>
        <v>0</v>
      </c>
      <c r="T1601">
        <f t="shared" si="120"/>
        <v>6.1254612546125443E-2</v>
      </c>
      <c r="U1601">
        <f t="shared" si="121"/>
        <v>0</v>
      </c>
      <c r="V1601" s="4" t="str">
        <f t="shared" si="122"/>
        <v>7</v>
      </c>
      <c r="W1601" s="4" t="str">
        <f t="shared" si="123"/>
        <v>2</v>
      </c>
      <c r="X1601" s="4" t="str">
        <f t="shared" si="124"/>
        <v>7NON-HS2</v>
      </c>
      <c r="Y1601">
        <f>VLOOKUP(X1601,Sheet1!$J$5:$K$121,2,FALSE)</f>
        <v>0.04</v>
      </c>
    </row>
    <row r="1602" spans="1:25" x14ac:dyDescent="0.25">
      <c r="A1602" s="8">
        <f>[1]Data!A1602</f>
        <v>980020</v>
      </c>
      <c r="B1602" s="8">
        <f>[1]Data!B1602</f>
        <v>2</v>
      </c>
      <c r="C1602" s="8">
        <f>[1]Data!C1602</f>
        <v>7</v>
      </c>
      <c r="D1602" s="8">
        <f>[1]Data!D1602</f>
        <v>5</v>
      </c>
      <c r="E1602" s="8" t="str">
        <f>[1]Data!E1602</f>
        <v>NON-HS</v>
      </c>
      <c r="F1602" s="8" t="str">
        <f>[1]Data!F1602</f>
        <v>Foothill Trails</v>
      </c>
      <c r="G1602" s="8">
        <f>[1]Data!G1602</f>
        <v>0</v>
      </c>
      <c r="H1602" s="8">
        <f>[1]Data!H1602</f>
        <v>0</v>
      </c>
      <c r="I1602" s="8">
        <f>[1]Data!I1602</f>
        <v>0</v>
      </c>
      <c r="J1602" s="8">
        <f>[1]Data!J1602</f>
        <v>0</v>
      </c>
      <c r="K1602" s="8">
        <f>[1]Data!K1602</f>
        <v>0</v>
      </c>
      <c r="L1602" s="8">
        <f>[1]Data!L1602</f>
        <v>0</v>
      </c>
      <c r="M1602" s="8">
        <f>[1]Data!M1602</f>
        <v>0</v>
      </c>
      <c r="N1602" s="8">
        <f>[1]Data!N1602</f>
        <v>2.2140221402214E-2</v>
      </c>
      <c r="O1602" s="8">
        <f>[1]Data!O1602</f>
        <v>0</v>
      </c>
      <c r="P1602" s="8">
        <f>[1]Data!P1602</f>
        <v>9.5940959409594101E-2</v>
      </c>
      <c r="Q1602" s="8">
        <f>[1]Data!Q1602</f>
        <v>1</v>
      </c>
      <c r="R1602" s="8">
        <f>[1]Data!R1602</f>
        <v>0.04</v>
      </c>
      <c r="S1602" s="8">
        <f>[1]Data!S1602</f>
        <v>0</v>
      </c>
      <c r="T1602">
        <f t="shared" si="120"/>
        <v>6.1254612546125443E-2</v>
      </c>
      <c r="U1602">
        <f t="shared" si="121"/>
        <v>0</v>
      </c>
      <c r="V1602" s="4" t="str">
        <f t="shared" si="122"/>
        <v>7</v>
      </c>
      <c r="W1602" s="4" t="str">
        <f t="shared" si="123"/>
        <v>2</v>
      </c>
      <c r="X1602" s="4" t="str">
        <f t="shared" si="124"/>
        <v>7NON-HS2</v>
      </c>
      <c r="Y1602">
        <f>VLOOKUP(X1602,Sheet1!$J$5:$K$121,2,FALSE)</f>
        <v>0.04</v>
      </c>
    </row>
    <row r="1603" spans="1:25" x14ac:dyDescent="0.25">
      <c r="A1603" s="8">
        <f>[1]Data!A1603</f>
        <v>106010</v>
      </c>
      <c r="B1603" s="8">
        <f>[1]Data!B1603</f>
        <v>2</v>
      </c>
      <c r="C1603" s="8">
        <f>[1]Data!C1603</f>
        <v>7</v>
      </c>
      <c r="D1603" s="8">
        <f>[1]Data!D1603</f>
        <v>5</v>
      </c>
      <c r="E1603" s="8" t="str">
        <f>[1]Data!E1603</f>
        <v>NON-HS</v>
      </c>
      <c r="F1603" s="8" t="str">
        <f>[1]Data!F1603</f>
        <v>Sylmar</v>
      </c>
      <c r="G1603" s="8">
        <f>[1]Data!G1603</f>
        <v>0</v>
      </c>
      <c r="H1603" s="8">
        <f>[1]Data!H1603</f>
        <v>0</v>
      </c>
      <c r="I1603" s="8">
        <f>[1]Data!I1603</f>
        <v>0</v>
      </c>
      <c r="J1603" s="8">
        <f>[1]Data!J1603</f>
        <v>0</v>
      </c>
      <c r="K1603" s="8">
        <f>[1]Data!K1603</f>
        <v>0</v>
      </c>
      <c r="L1603" s="8">
        <f>[1]Data!L1603</f>
        <v>0</v>
      </c>
      <c r="M1603" s="8">
        <f>[1]Data!M1603</f>
        <v>0</v>
      </c>
      <c r="N1603" s="8">
        <f>[1]Data!N1603</f>
        <v>2.2140221402214E-2</v>
      </c>
      <c r="O1603" s="8">
        <f>[1]Data!O1603</f>
        <v>0</v>
      </c>
      <c r="P1603" s="8">
        <f>[1]Data!P1603</f>
        <v>9.5940959409594101E-2</v>
      </c>
      <c r="Q1603" s="8">
        <f>[1]Data!Q1603</f>
        <v>1</v>
      </c>
      <c r="R1603" s="8">
        <f>[1]Data!R1603</f>
        <v>0.04</v>
      </c>
      <c r="S1603" s="8">
        <f>[1]Data!S1603</f>
        <v>0</v>
      </c>
      <c r="T1603">
        <f t="shared" ref="T1603:T1666" si="125">N1603+Y1603*(1-N1603)</f>
        <v>6.1254612546125443E-2</v>
      </c>
      <c r="U1603">
        <f t="shared" ref="U1603:U1666" si="126">IF(T1603="",0,1/T1603*H1603)</f>
        <v>0</v>
      </c>
      <c r="V1603" s="4" t="str">
        <f t="shared" ref="V1603:V1666" si="127">TEXT(C1603,"0")</f>
        <v>7</v>
      </c>
      <c r="W1603" s="4" t="str">
        <f t="shared" ref="W1603:W1666" si="128">TEXT(B1603,"0")</f>
        <v>2</v>
      </c>
      <c r="X1603" s="4" t="str">
        <f t="shared" ref="X1603:X1666" si="129">CONCATENATE(V1603,E1603,W1603)</f>
        <v>7NON-HS2</v>
      </c>
      <c r="Y1603">
        <f>VLOOKUP(X1603,Sheet1!$J$5:$K$121,2,FALSE)</f>
        <v>0.04</v>
      </c>
    </row>
    <row r="1604" spans="1:25" x14ac:dyDescent="0.25">
      <c r="A1604" s="8">
        <f>[1]Data!A1604</f>
        <v>104821</v>
      </c>
      <c r="B1604" s="8">
        <f>[1]Data!B1604</f>
        <v>2</v>
      </c>
      <c r="C1604" s="8">
        <f>[1]Data!C1604</f>
        <v>7</v>
      </c>
      <c r="D1604" s="8">
        <f>[1]Data!D1604</f>
        <v>3</v>
      </c>
      <c r="E1604" s="8" t="str">
        <f>[1]Data!E1604</f>
        <v>NON-HS</v>
      </c>
      <c r="F1604" s="8" t="str">
        <f>[1]Data!F1604</f>
        <v>Pacoima</v>
      </c>
      <c r="G1604" s="8">
        <f>[1]Data!G1604</f>
        <v>0</v>
      </c>
      <c r="H1604" s="8">
        <f>[1]Data!H1604</f>
        <v>0</v>
      </c>
      <c r="I1604" s="8">
        <f>[1]Data!I1604</f>
        <v>2.9260000000000002</v>
      </c>
      <c r="J1604" s="8">
        <f>[1]Data!J1604</f>
        <v>1.90487994</v>
      </c>
      <c r="K1604" s="8">
        <f>[1]Data!K1604</f>
        <v>2.9048799399999998</v>
      </c>
      <c r="L1604" s="8">
        <f>[1]Data!L1604</f>
        <v>2.0625322082585301E-2</v>
      </c>
      <c r="M1604" s="8">
        <f>[1]Data!M1604</f>
        <v>2.9255052620825901</v>
      </c>
      <c r="N1604" s="8">
        <f>[1]Data!N1604</f>
        <v>2.2140221402214E-2</v>
      </c>
      <c r="O1604" s="8">
        <f>[1]Data!O1604</f>
        <v>0</v>
      </c>
      <c r="P1604" s="8">
        <f>[1]Data!P1604</f>
        <v>9.5940959409594101E-2</v>
      </c>
      <c r="Q1604" s="8">
        <f>[1]Data!Q1604</f>
        <v>1</v>
      </c>
      <c r="R1604" s="8">
        <f>[1]Data!R1604</f>
        <v>0.04</v>
      </c>
      <c r="S1604" s="8">
        <f>[1]Data!S1604</f>
        <v>0</v>
      </c>
      <c r="T1604">
        <f t="shared" si="125"/>
        <v>6.1254612546125443E-2</v>
      </c>
      <c r="U1604">
        <f t="shared" si="126"/>
        <v>0</v>
      </c>
      <c r="V1604" s="4" t="str">
        <f t="shared" si="127"/>
        <v>7</v>
      </c>
      <c r="W1604" s="4" t="str">
        <f t="shared" si="128"/>
        <v>2</v>
      </c>
      <c r="X1604" s="4" t="str">
        <f t="shared" si="129"/>
        <v>7NON-HS2</v>
      </c>
      <c r="Y1604">
        <f>VLOOKUP(X1604,Sheet1!$J$5:$K$121,2,FALSE)</f>
        <v>0.04</v>
      </c>
    </row>
    <row r="1605" spans="1:25" x14ac:dyDescent="0.25">
      <c r="A1605" s="8">
        <f>[1]Data!A1605</f>
        <v>106648</v>
      </c>
      <c r="B1605" s="8">
        <f>[1]Data!B1605</f>
        <v>2</v>
      </c>
      <c r="C1605" s="8">
        <f>[1]Data!C1605</f>
        <v>7</v>
      </c>
      <c r="D1605" s="8">
        <f>[1]Data!D1605</f>
        <v>3</v>
      </c>
      <c r="E1605" s="8" t="str">
        <f>[1]Data!E1605</f>
        <v>NON-HS</v>
      </c>
      <c r="F1605" s="8" t="str">
        <f>[1]Data!F1605</f>
        <v>Sylmar</v>
      </c>
      <c r="G1605" s="8">
        <f>[1]Data!G1605</f>
        <v>0</v>
      </c>
      <c r="H1605" s="8">
        <f>[1]Data!H1605</f>
        <v>1</v>
      </c>
      <c r="I1605" s="8">
        <f>[1]Data!I1605</f>
        <v>0</v>
      </c>
      <c r="J1605" s="8">
        <f>[1]Data!J1605</f>
        <v>0</v>
      </c>
      <c r="K1605" s="8">
        <f>[1]Data!K1605</f>
        <v>0</v>
      </c>
      <c r="L1605" s="8">
        <f>[1]Data!L1605</f>
        <v>0</v>
      </c>
      <c r="M1605" s="8">
        <f>[1]Data!M1605</f>
        <v>0</v>
      </c>
      <c r="N1605" s="8">
        <f>[1]Data!N1605</f>
        <v>2.2140221402214E-2</v>
      </c>
      <c r="O1605" s="8">
        <f>[1]Data!O1605</f>
        <v>0</v>
      </c>
      <c r="P1605" s="8">
        <f>[1]Data!P1605</f>
        <v>9.5940959409594101E-2</v>
      </c>
      <c r="Q1605" s="8">
        <f>[1]Data!Q1605</f>
        <v>1</v>
      </c>
      <c r="R1605" s="8">
        <f>[1]Data!R1605</f>
        <v>0.04</v>
      </c>
      <c r="S1605" s="8">
        <f>[1]Data!S1605</f>
        <v>25</v>
      </c>
      <c r="T1605">
        <f t="shared" si="125"/>
        <v>6.1254612546125443E-2</v>
      </c>
      <c r="U1605">
        <f t="shared" si="126"/>
        <v>16.325301204819283</v>
      </c>
      <c r="V1605" s="4" t="str">
        <f t="shared" si="127"/>
        <v>7</v>
      </c>
      <c r="W1605" s="4" t="str">
        <f t="shared" si="128"/>
        <v>2</v>
      </c>
      <c r="X1605" s="4" t="str">
        <f t="shared" si="129"/>
        <v>7NON-HS2</v>
      </c>
      <c r="Y1605">
        <f>VLOOKUP(X1605,Sheet1!$J$5:$K$121,2,FALSE)</f>
        <v>0.04</v>
      </c>
    </row>
    <row r="1606" spans="1:25" x14ac:dyDescent="0.25">
      <c r="A1606" s="8">
        <f>[1]Data!A1606</f>
        <v>104108</v>
      </c>
      <c r="B1606" s="8">
        <f>[1]Data!B1606</f>
        <v>2</v>
      </c>
      <c r="C1606" s="8">
        <f>[1]Data!C1606</f>
        <v>7</v>
      </c>
      <c r="D1606" s="8">
        <f>[1]Data!D1606</f>
        <v>3</v>
      </c>
      <c r="E1606" s="8" t="str">
        <f>[1]Data!E1606</f>
        <v>NON-HS</v>
      </c>
      <c r="F1606" s="8" t="str">
        <f>[1]Data!F1606</f>
        <v>Pacoima</v>
      </c>
      <c r="G1606" s="8">
        <f>[1]Data!G1606</f>
        <v>0</v>
      </c>
      <c r="H1606" s="8">
        <f>[1]Data!H1606</f>
        <v>0</v>
      </c>
      <c r="I1606" s="8">
        <f>[1]Data!I1606</f>
        <v>6.1159999999999997</v>
      </c>
      <c r="J1606" s="8">
        <f>[1]Data!J1606</f>
        <v>5.87227926</v>
      </c>
      <c r="K1606" s="8">
        <f>[1]Data!K1606</f>
        <v>5.87227926</v>
      </c>
      <c r="L1606" s="8">
        <f>[1]Data!L1606</f>
        <v>0.24297052484739701</v>
      </c>
      <c r="M1606" s="8">
        <f>[1]Data!M1606</f>
        <v>6.1152497848473999</v>
      </c>
      <c r="N1606" s="8">
        <f>[1]Data!N1606</f>
        <v>2.2140221402214E-2</v>
      </c>
      <c r="O1606" s="8">
        <f>[1]Data!O1606</f>
        <v>0</v>
      </c>
      <c r="P1606" s="8">
        <f>[1]Data!P1606</f>
        <v>9.5940959409594101E-2</v>
      </c>
      <c r="Q1606" s="8">
        <f>[1]Data!Q1606</f>
        <v>1</v>
      </c>
      <c r="R1606" s="8">
        <f>[1]Data!R1606</f>
        <v>0.04</v>
      </c>
      <c r="S1606" s="8">
        <f>[1]Data!S1606</f>
        <v>0</v>
      </c>
      <c r="T1606">
        <f t="shared" si="125"/>
        <v>6.1254612546125443E-2</v>
      </c>
      <c r="U1606">
        <f t="shared" si="126"/>
        <v>0</v>
      </c>
      <c r="V1606" s="4" t="str">
        <f t="shared" si="127"/>
        <v>7</v>
      </c>
      <c r="W1606" s="4" t="str">
        <f t="shared" si="128"/>
        <v>2</v>
      </c>
      <c r="X1606" s="4" t="str">
        <f t="shared" si="129"/>
        <v>7NON-HS2</v>
      </c>
      <c r="Y1606">
        <f>VLOOKUP(X1606,Sheet1!$J$5:$K$121,2,FALSE)</f>
        <v>0.04</v>
      </c>
    </row>
    <row r="1607" spans="1:25" x14ac:dyDescent="0.25">
      <c r="A1607" s="8">
        <f>[1]Data!A1607</f>
        <v>104203</v>
      </c>
      <c r="B1607" s="8">
        <f>[1]Data!B1607</f>
        <v>2</v>
      </c>
      <c r="C1607" s="8">
        <f>[1]Data!C1607</f>
        <v>7</v>
      </c>
      <c r="D1607" s="8">
        <f>[1]Data!D1607</f>
        <v>3</v>
      </c>
      <c r="E1607" s="8" t="str">
        <f>[1]Data!E1607</f>
        <v>NON-HS</v>
      </c>
      <c r="F1607" s="8" t="str">
        <f>[1]Data!F1607</f>
        <v>Pacoima</v>
      </c>
      <c r="G1607" s="8">
        <f>[1]Data!G1607</f>
        <v>0</v>
      </c>
      <c r="H1607" s="8">
        <f>[1]Data!H1607</f>
        <v>0</v>
      </c>
      <c r="I1607" s="8">
        <f>[1]Data!I1607</f>
        <v>1.591</v>
      </c>
      <c r="J1607" s="8">
        <f>[1]Data!J1607</f>
        <v>1.43919657</v>
      </c>
      <c r="K1607" s="8">
        <f>[1]Data!K1607</f>
        <v>1.43919657</v>
      </c>
      <c r="L1607" s="8">
        <f>[1]Data!L1607</f>
        <v>0.15145200614003601</v>
      </c>
      <c r="M1607" s="8">
        <f>[1]Data!M1607</f>
        <v>1.59064857614004</v>
      </c>
      <c r="N1607" s="8">
        <f>[1]Data!N1607</f>
        <v>2.2140221402214E-2</v>
      </c>
      <c r="O1607" s="8">
        <f>[1]Data!O1607</f>
        <v>0</v>
      </c>
      <c r="P1607" s="8">
        <f>[1]Data!P1607</f>
        <v>9.5940959409594101E-2</v>
      </c>
      <c r="Q1607" s="8">
        <f>[1]Data!Q1607</f>
        <v>1</v>
      </c>
      <c r="R1607" s="8">
        <f>[1]Data!R1607</f>
        <v>0.04</v>
      </c>
      <c r="S1607" s="8">
        <f>[1]Data!S1607</f>
        <v>0</v>
      </c>
      <c r="T1607">
        <f t="shared" si="125"/>
        <v>6.1254612546125443E-2</v>
      </c>
      <c r="U1607">
        <f t="shared" si="126"/>
        <v>0</v>
      </c>
      <c r="V1607" s="4" t="str">
        <f t="shared" si="127"/>
        <v>7</v>
      </c>
      <c r="W1607" s="4" t="str">
        <f t="shared" si="128"/>
        <v>2</v>
      </c>
      <c r="X1607" s="4" t="str">
        <f t="shared" si="129"/>
        <v>7NON-HS2</v>
      </c>
      <c r="Y1607">
        <f>VLOOKUP(X1607,Sheet1!$J$5:$K$121,2,FALSE)</f>
        <v>0.04</v>
      </c>
    </row>
    <row r="1608" spans="1:25" x14ac:dyDescent="0.25">
      <c r="A1608" s="8">
        <f>[1]Data!A1608</f>
        <v>107020</v>
      </c>
      <c r="B1608" s="8">
        <f>[1]Data!B1608</f>
        <v>2</v>
      </c>
      <c r="C1608" s="8">
        <f>[1]Data!C1608</f>
        <v>7</v>
      </c>
      <c r="D1608" s="8">
        <f>[1]Data!D1608</f>
        <v>3</v>
      </c>
      <c r="E1608" s="8" t="str">
        <f>[1]Data!E1608</f>
        <v>NON-HS</v>
      </c>
      <c r="F1608" s="8" t="str">
        <f>[1]Data!F1608</f>
        <v>Sylmar</v>
      </c>
      <c r="G1608" s="8">
        <f>[1]Data!G1608</f>
        <v>0</v>
      </c>
      <c r="H1608" s="8">
        <f>[1]Data!H1608</f>
        <v>0</v>
      </c>
      <c r="I1608" s="8">
        <f>[1]Data!I1608</f>
        <v>1.591</v>
      </c>
      <c r="J1608" s="8">
        <f>[1]Data!J1608</f>
        <v>1.43919657</v>
      </c>
      <c r="K1608" s="8">
        <f>[1]Data!K1608</f>
        <v>1.43919657</v>
      </c>
      <c r="L1608" s="8">
        <f>[1]Data!L1608</f>
        <v>0.15145200614003601</v>
      </c>
      <c r="M1608" s="8">
        <f>[1]Data!M1608</f>
        <v>1.59064857614004</v>
      </c>
      <c r="N1608" s="8">
        <f>[1]Data!N1608</f>
        <v>2.2140221402214E-2</v>
      </c>
      <c r="O1608" s="8">
        <f>[1]Data!O1608</f>
        <v>0</v>
      </c>
      <c r="P1608" s="8">
        <f>[1]Data!P1608</f>
        <v>9.5940959409594101E-2</v>
      </c>
      <c r="Q1608" s="8">
        <f>[1]Data!Q1608</f>
        <v>1</v>
      </c>
      <c r="R1608" s="8">
        <f>[1]Data!R1608</f>
        <v>0.04</v>
      </c>
      <c r="S1608" s="8">
        <f>[1]Data!S1608</f>
        <v>0</v>
      </c>
      <c r="T1608">
        <f t="shared" si="125"/>
        <v>6.1254612546125443E-2</v>
      </c>
      <c r="U1608">
        <f t="shared" si="126"/>
        <v>0</v>
      </c>
      <c r="V1608" s="4" t="str">
        <f t="shared" si="127"/>
        <v>7</v>
      </c>
      <c r="W1608" s="4" t="str">
        <f t="shared" si="128"/>
        <v>2</v>
      </c>
      <c r="X1608" s="4" t="str">
        <f t="shared" si="129"/>
        <v>7NON-HS2</v>
      </c>
      <c r="Y1608">
        <f>VLOOKUP(X1608,Sheet1!$J$5:$K$121,2,FALSE)</f>
        <v>0.04</v>
      </c>
    </row>
    <row r="1609" spans="1:25" x14ac:dyDescent="0.25">
      <c r="A1609" s="8">
        <f>[1]Data!A1609</f>
        <v>104124</v>
      </c>
      <c r="B1609" s="8">
        <f>[1]Data!B1609</f>
        <v>2</v>
      </c>
      <c r="C1609" s="8">
        <f>[1]Data!C1609</f>
        <v>7</v>
      </c>
      <c r="D1609" s="8">
        <f>[1]Data!D1609</f>
        <v>3</v>
      </c>
      <c r="E1609" s="8" t="str">
        <f>[1]Data!E1609</f>
        <v>NON-HS</v>
      </c>
      <c r="F1609" s="8" t="str">
        <f>[1]Data!F1609</f>
        <v>Angeles National Forest</v>
      </c>
      <c r="G1609" s="8">
        <f>[1]Data!G1609</f>
        <v>0</v>
      </c>
      <c r="H1609" s="8">
        <f>[1]Data!H1609</f>
        <v>0</v>
      </c>
      <c r="I1609" s="8">
        <f>[1]Data!I1609</f>
        <v>0</v>
      </c>
      <c r="J1609" s="8">
        <f>[1]Data!J1609</f>
        <v>0</v>
      </c>
      <c r="K1609" s="8">
        <f>[1]Data!K1609</f>
        <v>0</v>
      </c>
      <c r="L1609" s="8">
        <f>[1]Data!L1609</f>
        <v>0</v>
      </c>
      <c r="M1609" s="8">
        <f>[1]Data!M1609</f>
        <v>0</v>
      </c>
      <c r="N1609" s="8">
        <f>[1]Data!N1609</f>
        <v>2.2140221402214E-2</v>
      </c>
      <c r="O1609" s="8">
        <f>[1]Data!O1609</f>
        <v>0</v>
      </c>
      <c r="P1609" s="8">
        <f>[1]Data!P1609</f>
        <v>9.5940959409594101E-2</v>
      </c>
      <c r="Q1609" s="8">
        <f>[1]Data!Q1609</f>
        <v>1</v>
      </c>
      <c r="R1609" s="8">
        <f>[1]Data!R1609</f>
        <v>0.04</v>
      </c>
      <c r="S1609" s="8">
        <f>[1]Data!S1609</f>
        <v>0</v>
      </c>
      <c r="T1609">
        <f t="shared" si="125"/>
        <v>6.1254612546125443E-2</v>
      </c>
      <c r="U1609">
        <f t="shared" si="126"/>
        <v>0</v>
      </c>
      <c r="V1609" s="4" t="str">
        <f t="shared" si="127"/>
        <v>7</v>
      </c>
      <c r="W1609" s="4" t="str">
        <f t="shared" si="128"/>
        <v>2</v>
      </c>
      <c r="X1609" s="4" t="str">
        <f t="shared" si="129"/>
        <v>7NON-HS2</v>
      </c>
      <c r="Y1609">
        <f>VLOOKUP(X1609,Sheet1!$J$5:$K$121,2,FALSE)</f>
        <v>0.04</v>
      </c>
    </row>
    <row r="1610" spans="1:25" x14ac:dyDescent="0.25">
      <c r="A1610" s="8">
        <f>[1]Data!A1610</f>
        <v>102107</v>
      </c>
      <c r="B1610" s="8">
        <f>[1]Data!B1610</f>
        <v>2</v>
      </c>
      <c r="C1610" s="8">
        <f>[1]Data!C1610</f>
        <v>7</v>
      </c>
      <c r="D1610" s="8">
        <f>[1]Data!D1610</f>
        <v>5</v>
      </c>
      <c r="E1610" s="8" t="str">
        <f>[1]Data!E1610</f>
        <v>NON-HS</v>
      </c>
      <c r="F1610" s="8" t="str">
        <f>[1]Data!F1610</f>
        <v>Foothill Trails</v>
      </c>
      <c r="G1610" s="8">
        <f>[1]Data!G1610</f>
        <v>0</v>
      </c>
      <c r="H1610" s="8">
        <f>[1]Data!H1610</f>
        <v>0</v>
      </c>
      <c r="I1610" s="8">
        <f>[1]Data!I1610</f>
        <v>4.6159999999999997</v>
      </c>
      <c r="J1610" s="8">
        <f>[1]Data!J1610</f>
        <v>3.4662643399999999</v>
      </c>
      <c r="K1610" s="8">
        <f>[1]Data!K1610</f>
        <v>4.4662643400000004</v>
      </c>
      <c r="L1610" s="8">
        <f>[1]Data!L1610</f>
        <v>0.14997102057450601</v>
      </c>
      <c r="M1610" s="8">
        <f>[1]Data!M1610</f>
        <v>4.6162353605745103</v>
      </c>
      <c r="N1610" s="8">
        <f>[1]Data!N1610</f>
        <v>2.2140221402214E-2</v>
      </c>
      <c r="O1610" s="8">
        <f>[1]Data!O1610</f>
        <v>0</v>
      </c>
      <c r="P1610" s="8">
        <f>[1]Data!P1610</f>
        <v>9.5940959409594101E-2</v>
      </c>
      <c r="Q1610" s="8">
        <f>[1]Data!Q1610</f>
        <v>1</v>
      </c>
      <c r="R1610" s="8">
        <f>[1]Data!R1610</f>
        <v>0.04</v>
      </c>
      <c r="S1610" s="8">
        <f>[1]Data!S1610</f>
        <v>0</v>
      </c>
      <c r="T1610">
        <f t="shared" si="125"/>
        <v>6.1254612546125443E-2</v>
      </c>
      <c r="U1610">
        <f t="shared" si="126"/>
        <v>0</v>
      </c>
      <c r="V1610" s="4" t="str">
        <f t="shared" si="127"/>
        <v>7</v>
      </c>
      <c r="W1610" s="4" t="str">
        <f t="shared" si="128"/>
        <v>2</v>
      </c>
      <c r="X1610" s="4" t="str">
        <f t="shared" si="129"/>
        <v>7NON-HS2</v>
      </c>
      <c r="Y1610">
        <f>VLOOKUP(X1610,Sheet1!$J$5:$K$121,2,FALSE)</f>
        <v>0.04</v>
      </c>
    </row>
    <row r="1611" spans="1:25" x14ac:dyDescent="0.25">
      <c r="A1611" s="8">
        <f>[1]Data!A1611</f>
        <v>104500</v>
      </c>
      <c r="B1611" s="8">
        <f>[1]Data!B1611</f>
        <v>2</v>
      </c>
      <c r="C1611" s="8">
        <f>[1]Data!C1611</f>
        <v>7</v>
      </c>
      <c r="D1611" s="8">
        <f>[1]Data!D1611</f>
        <v>3</v>
      </c>
      <c r="E1611" s="8" t="str">
        <f>[1]Data!E1611</f>
        <v>NON-HS</v>
      </c>
      <c r="F1611" s="8" t="str">
        <f>[1]Data!F1611</f>
        <v>Pacoima</v>
      </c>
      <c r="G1611" s="8">
        <f>[1]Data!G1611</f>
        <v>0</v>
      </c>
      <c r="H1611" s="8">
        <f>[1]Data!H1611</f>
        <v>0</v>
      </c>
      <c r="I1611" s="8">
        <f>[1]Data!I1611</f>
        <v>1.9259999999999999</v>
      </c>
      <c r="J1611" s="8">
        <f>[1]Data!J1611</f>
        <v>1.90487994</v>
      </c>
      <c r="K1611" s="8">
        <f>[1]Data!K1611</f>
        <v>1.90487994</v>
      </c>
      <c r="L1611" s="8">
        <f>[1]Data!L1611</f>
        <v>2.0625322082585301E-2</v>
      </c>
      <c r="M1611" s="8">
        <f>[1]Data!M1611</f>
        <v>1.9255052620825901</v>
      </c>
      <c r="N1611" s="8">
        <f>[1]Data!N1611</f>
        <v>2.2140221402214E-2</v>
      </c>
      <c r="O1611" s="8">
        <f>[1]Data!O1611</f>
        <v>0</v>
      </c>
      <c r="P1611" s="8">
        <f>[1]Data!P1611</f>
        <v>9.5940959409594101E-2</v>
      </c>
      <c r="Q1611" s="8">
        <f>[1]Data!Q1611</f>
        <v>1</v>
      </c>
      <c r="R1611" s="8">
        <f>[1]Data!R1611</f>
        <v>0.04</v>
      </c>
      <c r="S1611" s="8">
        <f>[1]Data!S1611</f>
        <v>0</v>
      </c>
      <c r="T1611">
        <f t="shared" si="125"/>
        <v>6.1254612546125443E-2</v>
      </c>
      <c r="U1611">
        <f t="shared" si="126"/>
        <v>0</v>
      </c>
      <c r="V1611" s="4" t="str">
        <f t="shared" si="127"/>
        <v>7</v>
      </c>
      <c r="W1611" s="4" t="str">
        <f t="shared" si="128"/>
        <v>2</v>
      </c>
      <c r="X1611" s="4" t="str">
        <f t="shared" si="129"/>
        <v>7NON-HS2</v>
      </c>
      <c r="Y1611">
        <f>VLOOKUP(X1611,Sheet1!$J$5:$K$121,2,FALSE)</f>
        <v>0.04</v>
      </c>
    </row>
    <row r="1612" spans="1:25" x14ac:dyDescent="0.25">
      <c r="A1612" s="8">
        <f>[1]Data!A1612</f>
        <v>104310</v>
      </c>
      <c r="B1612" s="8">
        <f>[1]Data!B1612</f>
        <v>2</v>
      </c>
      <c r="C1612" s="8">
        <f>[1]Data!C1612</f>
        <v>7</v>
      </c>
      <c r="D1612" s="8">
        <f>[1]Data!D1612</f>
        <v>3</v>
      </c>
      <c r="E1612" s="8" t="str">
        <f>[1]Data!E1612</f>
        <v>NON-HS</v>
      </c>
      <c r="F1612" s="8" t="str">
        <f>[1]Data!F1612</f>
        <v>Pacoima</v>
      </c>
      <c r="G1612" s="8">
        <f>[1]Data!G1612</f>
        <v>0</v>
      </c>
      <c r="H1612" s="8">
        <f>[1]Data!H1612</f>
        <v>0</v>
      </c>
      <c r="I1612" s="8">
        <f>[1]Data!I1612</f>
        <v>5.7809999999999997</v>
      </c>
      <c r="J1612" s="8">
        <f>[1]Data!J1612</f>
        <v>5.4065958900000002</v>
      </c>
      <c r="K1612" s="8">
        <f>[1]Data!K1612</f>
        <v>5.4065958900000002</v>
      </c>
      <c r="L1612" s="8">
        <f>[1]Data!L1612</f>
        <v>0.37379720890484702</v>
      </c>
      <c r="M1612" s="8">
        <f>[1]Data!M1612</f>
        <v>5.7803930989048498</v>
      </c>
      <c r="N1612" s="8">
        <f>[1]Data!N1612</f>
        <v>2.2140221402214E-2</v>
      </c>
      <c r="O1612" s="8">
        <f>[1]Data!O1612</f>
        <v>0</v>
      </c>
      <c r="P1612" s="8">
        <f>[1]Data!P1612</f>
        <v>9.5940959409594101E-2</v>
      </c>
      <c r="Q1612" s="8">
        <f>[1]Data!Q1612</f>
        <v>1</v>
      </c>
      <c r="R1612" s="8">
        <f>[1]Data!R1612</f>
        <v>0.04</v>
      </c>
      <c r="S1612" s="8">
        <f>[1]Data!S1612</f>
        <v>0</v>
      </c>
      <c r="T1612">
        <f t="shared" si="125"/>
        <v>6.1254612546125443E-2</v>
      </c>
      <c r="U1612">
        <f t="shared" si="126"/>
        <v>0</v>
      </c>
      <c r="V1612" s="4" t="str">
        <f t="shared" si="127"/>
        <v>7</v>
      </c>
      <c r="W1612" s="4" t="str">
        <f t="shared" si="128"/>
        <v>2</v>
      </c>
      <c r="X1612" s="4" t="str">
        <f t="shared" si="129"/>
        <v>7NON-HS2</v>
      </c>
      <c r="Y1612">
        <f>VLOOKUP(X1612,Sheet1!$J$5:$K$121,2,FALSE)</f>
        <v>0.04</v>
      </c>
    </row>
    <row r="1613" spans="1:25" x14ac:dyDescent="0.25">
      <c r="A1613" s="8">
        <f>[1]Data!A1613</f>
        <v>117405</v>
      </c>
      <c r="B1613" s="8">
        <f>[1]Data!B1613</f>
        <v>2</v>
      </c>
      <c r="C1613" s="8">
        <f>[1]Data!C1613</f>
        <v>7</v>
      </c>
      <c r="D1613" s="8">
        <f>[1]Data!D1613</f>
        <v>3</v>
      </c>
      <c r="E1613" s="8" t="str">
        <f>[1]Data!E1613</f>
        <v>NON-HS</v>
      </c>
      <c r="F1613" s="8" t="str">
        <f>[1]Data!F1613</f>
        <v>North Hills</v>
      </c>
      <c r="G1613" s="8">
        <f>[1]Data!G1613</f>
        <v>0</v>
      </c>
      <c r="H1613" s="8">
        <f>[1]Data!H1613</f>
        <v>0</v>
      </c>
      <c r="I1613" s="8">
        <f>[1]Data!I1613</f>
        <v>2</v>
      </c>
      <c r="J1613" s="8">
        <f>[1]Data!J1613</f>
        <v>0</v>
      </c>
      <c r="K1613" s="8">
        <f>[1]Data!K1613</f>
        <v>2</v>
      </c>
      <c r="L1613" s="8">
        <f>[1]Data!L1613</f>
        <v>0</v>
      </c>
      <c r="M1613" s="8">
        <f>[1]Data!M1613</f>
        <v>2</v>
      </c>
      <c r="N1613" s="8">
        <f>[1]Data!N1613</f>
        <v>2.2140221402214E-2</v>
      </c>
      <c r="O1613" s="8">
        <f>[1]Data!O1613</f>
        <v>0</v>
      </c>
      <c r="P1613" s="8">
        <f>[1]Data!P1613</f>
        <v>9.5940959409594101E-2</v>
      </c>
      <c r="Q1613" s="8">
        <f>[1]Data!Q1613</f>
        <v>1</v>
      </c>
      <c r="R1613" s="8">
        <f>[1]Data!R1613</f>
        <v>0.04</v>
      </c>
      <c r="S1613" s="8">
        <f>[1]Data!S1613</f>
        <v>0</v>
      </c>
      <c r="T1613">
        <f t="shared" si="125"/>
        <v>6.1254612546125443E-2</v>
      </c>
      <c r="U1613">
        <f t="shared" si="126"/>
        <v>0</v>
      </c>
      <c r="V1613" s="4" t="str">
        <f t="shared" si="127"/>
        <v>7</v>
      </c>
      <c r="W1613" s="4" t="str">
        <f t="shared" si="128"/>
        <v>2</v>
      </c>
      <c r="X1613" s="4" t="str">
        <f t="shared" si="129"/>
        <v>7NON-HS2</v>
      </c>
      <c r="Y1613">
        <f>VLOOKUP(X1613,Sheet1!$J$5:$K$121,2,FALSE)</f>
        <v>0.04</v>
      </c>
    </row>
    <row r="1614" spans="1:25" x14ac:dyDescent="0.25">
      <c r="A1614" s="8">
        <f>[1]Data!A1614</f>
        <v>106405</v>
      </c>
      <c r="B1614" s="8">
        <f>[1]Data!B1614</f>
        <v>2</v>
      </c>
      <c r="C1614" s="8">
        <f>[1]Data!C1614</f>
        <v>7</v>
      </c>
      <c r="D1614" s="8">
        <f>[1]Data!D1614</f>
        <v>3</v>
      </c>
      <c r="E1614" s="8" t="str">
        <f>[1]Data!E1614</f>
        <v>NON-HS</v>
      </c>
      <c r="F1614" s="8" t="str">
        <f>[1]Data!F1614</f>
        <v>Sylmar</v>
      </c>
      <c r="G1614" s="8">
        <f>[1]Data!G1614</f>
        <v>0</v>
      </c>
      <c r="H1614" s="8">
        <f>[1]Data!H1614</f>
        <v>0</v>
      </c>
      <c r="I1614" s="8">
        <f>[1]Data!I1614</f>
        <v>3.0950000000000002</v>
      </c>
      <c r="J1614" s="8">
        <f>[1]Data!J1614</f>
        <v>1.9836996600000001</v>
      </c>
      <c r="K1614" s="8">
        <f>[1]Data!K1614</f>
        <v>2.9836996600000001</v>
      </c>
      <c r="L1614" s="8">
        <f>[1]Data!L1614</f>
        <v>0.11117260138240601</v>
      </c>
      <c r="M1614" s="8">
        <f>[1]Data!M1614</f>
        <v>3.09487226138241</v>
      </c>
      <c r="N1614" s="8">
        <f>[1]Data!N1614</f>
        <v>2.2140221402214E-2</v>
      </c>
      <c r="O1614" s="8">
        <f>[1]Data!O1614</f>
        <v>0</v>
      </c>
      <c r="P1614" s="8">
        <f>[1]Data!P1614</f>
        <v>9.5940959409594101E-2</v>
      </c>
      <c r="Q1614" s="8">
        <f>[1]Data!Q1614</f>
        <v>1</v>
      </c>
      <c r="R1614" s="8">
        <f>[1]Data!R1614</f>
        <v>0.04</v>
      </c>
      <c r="S1614" s="8">
        <f>[1]Data!S1614</f>
        <v>0</v>
      </c>
      <c r="T1614">
        <f t="shared" si="125"/>
        <v>6.1254612546125443E-2</v>
      </c>
      <c r="U1614">
        <f t="shared" si="126"/>
        <v>0</v>
      </c>
      <c r="V1614" s="4" t="str">
        <f t="shared" si="127"/>
        <v>7</v>
      </c>
      <c r="W1614" s="4" t="str">
        <f t="shared" si="128"/>
        <v>2</v>
      </c>
      <c r="X1614" s="4" t="str">
        <f t="shared" si="129"/>
        <v>7NON-HS2</v>
      </c>
      <c r="Y1614">
        <f>VLOOKUP(X1614,Sheet1!$J$5:$K$121,2,FALSE)</f>
        <v>0.04</v>
      </c>
    </row>
    <row r="1615" spans="1:25" x14ac:dyDescent="0.25">
      <c r="A1615" s="8">
        <f>[1]Data!A1615</f>
        <v>104701</v>
      </c>
      <c r="B1615" s="8">
        <f>[1]Data!B1615</f>
        <v>2</v>
      </c>
      <c r="C1615" s="8">
        <f>[1]Data!C1615</f>
        <v>7</v>
      </c>
      <c r="D1615" s="8">
        <f>[1]Data!D1615</f>
        <v>3</v>
      </c>
      <c r="E1615" s="8" t="str">
        <f>[1]Data!E1615</f>
        <v>NON-HS</v>
      </c>
      <c r="F1615" s="8" t="str">
        <f>[1]Data!F1615</f>
        <v>Pacoima</v>
      </c>
      <c r="G1615" s="8">
        <f>[1]Data!G1615</f>
        <v>0</v>
      </c>
      <c r="H1615" s="8">
        <f>[1]Data!H1615</f>
        <v>0</v>
      </c>
      <c r="I1615" s="8">
        <f>[1]Data!I1615</f>
        <v>1.8080000000000001</v>
      </c>
      <c r="J1615" s="8">
        <f>[1]Data!J1615</f>
        <v>1.73313217</v>
      </c>
      <c r="K1615" s="8">
        <f>[1]Data!K1615</f>
        <v>1.73313217</v>
      </c>
      <c r="L1615" s="8">
        <f>[1]Data!L1615</f>
        <v>7.4985510287253102E-2</v>
      </c>
      <c r="M1615" s="8">
        <f>[1]Data!M1615</f>
        <v>1.8081176802872501</v>
      </c>
      <c r="N1615" s="8">
        <f>[1]Data!N1615</f>
        <v>2.2140221402214E-2</v>
      </c>
      <c r="O1615" s="8">
        <f>[1]Data!O1615</f>
        <v>0</v>
      </c>
      <c r="P1615" s="8">
        <f>[1]Data!P1615</f>
        <v>9.5940959409594101E-2</v>
      </c>
      <c r="Q1615" s="8">
        <f>[1]Data!Q1615</f>
        <v>1</v>
      </c>
      <c r="R1615" s="8">
        <f>[1]Data!R1615</f>
        <v>0.04</v>
      </c>
      <c r="S1615" s="8">
        <f>[1]Data!S1615</f>
        <v>0</v>
      </c>
      <c r="T1615">
        <f t="shared" si="125"/>
        <v>6.1254612546125443E-2</v>
      </c>
      <c r="U1615">
        <f t="shared" si="126"/>
        <v>0</v>
      </c>
      <c r="V1615" s="4" t="str">
        <f t="shared" si="127"/>
        <v>7</v>
      </c>
      <c r="W1615" s="4" t="str">
        <f t="shared" si="128"/>
        <v>2</v>
      </c>
      <c r="X1615" s="4" t="str">
        <f t="shared" si="129"/>
        <v>7NON-HS2</v>
      </c>
      <c r="Y1615">
        <f>VLOOKUP(X1615,Sheet1!$J$5:$K$121,2,FALSE)</f>
        <v>0.04</v>
      </c>
    </row>
    <row r="1616" spans="1:25" x14ac:dyDescent="0.25">
      <c r="A1616" s="8">
        <f>[1]Data!A1616</f>
        <v>104105</v>
      </c>
      <c r="B1616" s="8">
        <f>[1]Data!B1616</f>
        <v>2</v>
      </c>
      <c r="C1616" s="8">
        <f>[1]Data!C1616</f>
        <v>7</v>
      </c>
      <c r="D1616" s="8">
        <f>[1]Data!D1616</f>
        <v>3</v>
      </c>
      <c r="E1616" s="8" t="str">
        <f>[1]Data!E1616</f>
        <v>NON-HS</v>
      </c>
      <c r="F1616" s="8" t="str">
        <f>[1]Data!F1616</f>
        <v>Pacoima</v>
      </c>
      <c r="G1616" s="8">
        <f>[1]Data!G1616</f>
        <v>0</v>
      </c>
      <c r="H1616" s="8">
        <f>[1]Data!H1616</f>
        <v>0</v>
      </c>
      <c r="I1616" s="8">
        <f>[1]Data!I1616</f>
        <v>6.7809999999999997</v>
      </c>
      <c r="J1616" s="8">
        <f>[1]Data!J1616</f>
        <v>5.4065958900000002</v>
      </c>
      <c r="K1616" s="8">
        <f>[1]Data!K1616</f>
        <v>6.4065958900000002</v>
      </c>
      <c r="L1616" s="8">
        <f>[1]Data!L1616</f>
        <v>0.37379720890484702</v>
      </c>
      <c r="M1616" s="8">
        <f>[1]Data!M1616</f>
        <v>6.7803930989048498</v>
      </c>
      <c r="N1616" s="8">
        <f>[1]Data!N1616</f>
        <v>2.2140221402214E-2</v>
      </c>
      <c r="O1616" s="8">
        <f>[1]Data!O1616</f>
        <v>0</v>
      </c>
      <c r="P1616" s="8">
        <f>[1]Data!P1616</f>
        <v>9.5940959409594101E-2</v>
      </c>
      <c r="Q1616" s="8">
        <f>[1]Data!Q1616</f>
        <v>1</v>
      </c>
      <c r="R1616" s="8">
        <f>[1]Data!R1616</f>
        <v>0.04</v>
      </c>
      <c r="S1616" s="8">
        <f>[1]Data!S1616</f>
        <v>0</v>
      </c>
      <c r="T1616">
        <f t="shared" si="125"/>
        <v>6.1254612546125443E-2</v>
      </c>
      <c r="U1616">
        <f t="shared" si="126"/>
        <v>0</v>
      </c>
      <c r="V1616" s="4" t="str">
        <f t="shared" si="127"/>
        <v>7</v>
      </c>
      <c r="W1616" s="4" t="str">
        <f t="shared" si="128"/>
        <v>2</v>
      </c>
      <c r="X1616" s="4" t="str">
        <f t="shared" si="129"/>
        <v>7NON-HS2</v>
      </c>
      <c r="Y1616">
        <f>VLOOKUP(X1616,Sheet1!$J$5:$K$121,2,FALSE)</f>
        <v>0.04</v>
      </c>
    </row>
    <row r="1617" spans="1:25" x14ac:dyDescent="0.25">
      <c r="A1617" s="8">
        <f>[1]Data!A1617</f>
        <v>104810</v>
      </c>
      <c r="B1617" s="8">
        <f>[1]Data!B1617</f>
        <v>2</v>
      </c>
      <c r="C1617" s="8">
        <f>[1]Data!C1617</f>
        <v>7</v>
      </c>
      <c r="D1617" s="8">
        <f>[1]Data!D1617</f>
        <v>3</v>
      </c>
      <c r="E1617" s="8" t="str">
        <f>[1]Data!E1617</f>
        <v>NON-HS</v>
      </c>
      <c r="F1617" s="8" t="str">
        <f>[1]Data!F1617</f>
        <v>Pacoima</v>
      </c>
      <c r="G1617" s="8">
        <f>[1]Data!G1617</f>
        <v>0</v>
      </c>
      <c r="H1617" s="8">
        <f>[1]Data!H1617</f>
        <v>0</v>
      </c>
      <c r="I1617" s="8">
        <f>[1]Data!I1617</f>
        <v>0</v>
      </c>
      <c r="J1617" s="8">
        <f>[1]Data!J1617</f>
        <v>0</v>
      </c>
      <c r="K1617" s="8">
        <f>[1]Data!K1617</f>
        <v>0</v>
      </c>
      <c r="L1617" s="8">
        <f>[1]Data!L1617</f>
        <v>0</v>
      </c>
      <c r="M1617" s="8">
        <f>[1]Data!M1617</f>
        <v>0</v>
      </c>
      <c r="N1617" s="8">
        <f>[1]Data!N1617</f>
        <v>2.2140221402214E-2</v>
      </c>
      <c r="O1617" s="8">
        <f>[1]Data!O1617</f>
        <v>0</v>
      </c>
      <c r="P1617" s="8">
        <f>[1]Data!P1617</f>
        <v>9.5940959409594101E-2</v>
      </c>
      <c r="Q1617" s="8">
        <f>[1]Data!Q1617</f>
        <v>1</v>
      </c>
      <c r="R1617" s="8">
        <f>[1]Data!R1617</f>
        <v>0.04</v>
      </c>
      <c r="S1617" s="8">
        <f>[1]Data!S1617</f>
        <v>0</v>
      </c>
      <c r="T1617">
        <f t="shared" si="125"/>
        <v>6.1254612546125443E-2</v>
      </c>
      <c r="U1617">
        <f t="shared" si="126"/>
        <v>0</v>
      </c>
      <c r="V1617" s="4" t="str">
        <f t="shared" si="127"/>
        <v>7</v>
      </c>
      <c r="W1617" s="4" t="str">
        <f t="shared" si="128"/>
        <v>2</v>
      </c>
      <c r="X1617" s="4" t="str">
        <f t="shared" si="129"/>
        <v>7NON-HS2</v>
      </c>
      <c r="Y1617">
        <f>VLOOKUP(X1617,Sheet1!$J$5:$K$121,2,FALSE)</f>
        <v>0.04</v>
      </c>
    </row>
    <row r="1618" spans="1:25" x14ac:dyDescent="0.25">
      <c r="A1618" s="8">
        <f>[1]Data!A1618</f>
        <v>109601</v>
      </c>
      <c r="B1618" s="8">
        <f>[1]Data!B1618</f>
        <v>2</v>
      </c>
      <c r="C1618" s="8">
        <f>[1]Data!C1618</f>
        <v>7</v>
      </c>
      <c r="D1618" s="8">
        <f>[1]Data!D1618</f>
        <v>3</v>
      </c>
      <c r="E1618" s="8" t="str">
        <f>[1]Data!E1618</f>
        <v>NON-HS</v>
      </c>
      <c r="F1618" s="8" t="str">
        <f>[1]Data!F1618</f>
        <v>Mission Hills</v>
      </c>
      <c r="G1618" s="8">
        <f>[1]Data!G1618</f>
        <v>0</v>
      </c>
      <c r="H1618" s="8">
        <f>[1]Data!H1618</f>
        <v>0</v>
      </c>
      <c r="I1618" s="8">
        <f>[1]Data!I1618</f>
        <v>4.0209999999999999</v>
      </c>
      <c r="J1618" s="8">
        <f>[1]Data!J1618</f>
        <v>3.8885795999999999</v>
      </c>
      <c r="K1618" s="8">
        <f>[1]Data!K1618</f>
        <v>3.8885795999999999</v>
      </c>
      <c r="L1618" s="8">
        <f>[1]Data!L1618</f>
        <v>0.131797923464991</v>
      </c>
      <c r="M1618" s="8">
        <f>[1]Data!M1618</f>
        <v>4.0203775234649903</v>
      </c>
      <c r="N1618" s="8">
        <f>[1]Data!N1618</f>
        <v>2.2140221402214E-2</v>
      </c>
      <c r="O1618" s="8">
        <f>[1]Data!O1618</f>
        <v>0</v>
      </c>
      <c r="P1618" s="8">
        <f>[1]Data!P1618</f>
        <v>9.5940959409594101E-2</v>
      </c>
      <c r="Q1618" s="8">
        <f>[1]Data!Q1618</f>
        <v>1</v>
      </c>
      <c r="R1618" s="8">
        <f>[1]Data!R1618</f>
        <v>0.04</v>
      </c>
      <c r="S1618" s="8">
        <f>[1]Data!S1618</f>
        <v>0</v>
      </c>
      <c r="T1618">
        <f t="shared" si="125"/>
        <v>6.1254612546125443E-2</v>
      </c>
      <c r="U1618">
        <f t="shared" si="126"/>
        <v>0</v>
      </c>
      <c r="V1618" s="4" t="str">
        <f t="shared" si="127"/>
        <v>7</v>
      </c>
      <c r="W1618" s="4" t="str">
        <f t="shared" si="128"/>
        <v>2</v>
      </c>
      <c r="X1618" s="4" t="str">
        <f t="shared" si="129"/>
        <v>7NON-HS2</v>
      </c>
      <c r="Y1618">
        <f>VLOOKUP(X1618,Sheet1!$J$5:$K$121,2,FALSE)</f>
        <v>0.04</v>
      </c>
    </row>
    <row r="1619" spans="1:25" x14ac:dyDescent="0.25">
      <c r="A1619" s="8">
        <f>[1]Data!A1619</f>
        <v>106649</v>
      </c>
      <c r="B1619" s="8">
        <f>[1]Data!B1619</f>
        <v>2</v>
      </c>
      <c r="C1619" s="8">
        <f>[1]Data!C1619</f>
        <v>7</v>
      </c>
      <c r="D1619" s="8">
        <f>[1]Data!D1619</f>
        <v>3</v>
      </c>
      <c r="E1619" s="8" t="str">
        <f>[1]Data!E1619</f>
        <v>NON-HS</v>
      </c>
      <c r="F1619" s="8" t="str">
        <f>[1]Data!F1619</f>
        <v>Sylmar</v>
      </c>
      <c r="G1619" s="8">
        <f>[1]Data!G1619</f>
        <v>0</v>
      </c>
      <c r="H1619" s="8">
        <f>[1]Data!H1619</f>
        <v>0</v>
      </c>
      <c r="I1619" s="8">
        <f>[1]Data!I1619</f>
        <v>0</v>
      </c>
      <c r="J1619" s="8">
        <f>[1]Data!J1619</f>
        <v>0</v>
      </c>
      <c r="K1619" s="8">
        <f>[1]Data!K1619</f>
        <v>0</v>
      </c>
      <c r="L1619" s="8">
        <f>[1]Data!L1619</f>
        <v>0</v>
      </c>
      <c r="M1619" s="8">
        <f>[1]Data!M1619</f>
        <v>0</v>
      </c>
      <c r="N1619" s="8">
        <f>[1]Data!N1619</f>
        <v>2.2140221402214E-2</v>
      </c>
      <c r="O1619" s="8">
        <f>[1]Data!O1619</f>
        <v>0</v>
      </c>
      <c r="P1619" s="8">
        <f>[1]Data!P1619</f>
        <v>9.5940959409594101E-2</v>
      </c>
      <c r="Q1619" s="8">
        <f>[1]Data!Q1619</f>
        <v>1</v>
      </c>
      <c r="R1619" s="8">
        <f>[1]Data!R1619</f>
        <v>0.04</v>
      </c>
      <c r="S1619" s="8">
        <f>[1]Data!S1619</f>
        <v>0</v>
      </c>
      <c r="T1619">
        <f t="shared" si="125"/>
        <v>6.1254612546125443E-2</v>
      </c>
      <c r="U1619">
        <f t="shared" si="126"/>
        <v>0</v>
      </c>
      <c r="V1619" s="4" t="str">
        <f t="shared" si="127"/>
        <v>7</v>
      </c>
      <c r="W1619" s="4" t="str">
        <f t="shared" si="128"/>
        <v>2</v>
      </c>
      <c r="X1619" s="4" t="str">
        <f t="shared" si="129"/>
        <v>7NON-HS2</v>
      </c>
      <c r="Y1619">
        <f>VLOOKUP(X1619,Sheet1!$J$5:$K$121,2,FALSE)</f>
        <v>0.04</v>
      </c>
    </row>
    <row r="1620" spans="1:25" x14ac:dyDescent="0.25">
      <c r="A1620" s="8">
        <f>[1]Data!A1620</f>
        <v>106407</v>
      </c>
      <c r="B1620" s="8">
        <f>[1]Data!B1620</f>
        <v>2</v>
      </c>
      <c r="C1620" s="8">
        <f>[1]Data!C1620</f>
        <v>7</v>
      </c>
      <c r="D1620" s="8">
        <f>[1]Data!D1620</f>
        <v>3</v>
      </c>
      <c r="E1620" s="8" t="str">
        <f>[1]Data!E1620</f>
        <v>NON-HS</v>
      </c>
      <c r="F1620" s="8" t="str">
        <f>[1]Data!F1620</f>
        <v>Sylmar</v>
      </c>
      <c r="G1620" s="8">
        <f>[1]Data!G1620</f>
        <v>0</v>
      </c>
      <c r="H1620" s="8">
        <f>[1]Data!H1620</f>
        <v>0</v>
      </c>
      <c r="I1620" s="8">
        <f>[1]Data!I1620</f>
        <v>0</v>
      </c>
      <c r="J1620" s="8">
        <f>[1]Data!J1620</f>
        <v>0</v>
      </c>
      <c r="K1620" s="8">
        <f>[1]Data!K1620</f>
        <v>0</v>
      </c>
      <c r="L1620" s="8">
        <f>[1]Data!L1620</f>
        <v>0</v>
      </c>
      <c r="M1620" s="8">
        <f>[1]Data!M1620</f>
        <v>0</v>
      </c>
      <c r="N1620" s="8">
        <f>[1]Data!N1620</f>
        <v>2.2140221402214E-2</v>
      </c>
      <c r="O1620" s="8">
        <f>[1]Data!O1620</f>
        <v>0</v>
      </c>
      <c r="P1620" s="8">
        <f>[1]Data!P1620</f>
        <v>9.5940959409594101E-2</v>
      </c>
      <c r="Q1620" s="8">
        <f>[1]Data!Q1620</f>
        <v>1</v>
      </c>
      <c r="R1620" s="8">
        <f>[1]Data!R1620</f>
        <v>0.04</v>
      </c>
      <c r="S1620" s="8">
        <f>[1]Data!S1620</f>
        <v>0</v>
      </c>
      <c r="T1620">
        <f t="shared" si="125"/>
        <v>6.1254612546125443E-2</v>
      </c>
      <c r="U1620">
        <f t="shared" si="126"/>
        <v>0</v>
      </c>
      <c r="V1620" s="4" t="str">
        <f t="shared" si="127"/>
        <v>7</v>
      </c>
      <c r="W1620" s="4" t="str">
        <f t="shared" si="128"/>
        <v>2</v>
      </c>
      <c r="X1620" s="4" t="str">
        <f t="shared" si="129"/>
        <v>7NON-HS2</v>
      </c>
      <c r="Y1620">
        <f>VLOOKUP(X1620,Sheet1!$J$5:$K$121,2,FALSE)</f>
        <v>0.04</v>
      </c>
    </row>
    <row r="1621" spans="1:25" x14ac:dyDescent="0.25">
      <c r="A1621" s="8">
        <f>[1]Data!A1621</f>
        <v>106111</v>
      </c>
      <c r="B1621" s="8">
        <f>[1]Data!B1621</f>
        <v>2</v>
      </c>
      <c r="C1621" s="8">
        <f>[1]Data!C1621</f>
        <v>7</v>
      </c>
      <c r="D1621" s="8">
        <f>[1]Data!D1621</f>
        <v>3</v>
      </c>
      <c r="E1621" s="8" t="str">
        <f>[1]Data!E1621</f>
        <v>NON-HS</v>
      </c>
      <c r="F1621" s="8" t="str">
        <f>[1]Data!F1621</f>
        <v>Sylmar</v>
      </c>
      <c r="G1621" s="8">
        <f>[1]Data!G1621</f>
        <v>0</v>
      </c>
      <c r="H1621" s="8">
        <f>[1]Data!H1621</f>
        <v>0</v>
      </c>
      <c r="I1621" s="8">
        <f>[1]Data!I1621</f>
        <v>2.0950000000000002</v>
      </c>
      <c r="J1621" s="8">
        <f>[1]Data!J1621</f>
        <v>1.9836996600000001</v>
      </c>
      <c r="K1621" s="8">
        <f>[1]Data!K1621</f>
        <v>1.9836996600000001</v>
      </c>
      <c r="L1621" s="8">
        <f>[1]Data!L1621</f>
        <v>0.11117260138240601</v>
      </c>
      <c r="M1621" s="8">
        <f>[1]Data!M1621</f>
        <v>2.09487226138241</v>
      </c>
      <c r="N1621" s="8">
        <f>[1]Data!N1621</f>
        <v>2.2140221402214E-2</v>
      </c>
      <c r="O1621" s="8">
        <f>[1]Data!O1621</f>
        <v>0</v>
      </c>
      <c r="P1621" s="8">
        <f>[1]Data!P1621</f>
        <v>9.5940959409594101E-2</v>
      </c>
      <c r="Q1621" s="8">
        <f>[1]Data!Q1621</f>
        <v>1</v>
      </c>
      <c r="R1621" s="8">
        <f>[1]Data!R1621</f>
        <v>0.04</v>
      </c>
      <c r="S1621" s="8">
        <f>[1]Data!S1621</f>
        <v>0</v>
      </c>
      <c r="T1621">
        <f t="shared" si="125"/>
        <v>6.1254612546125443E-2</v>
      </c>
      <c r="U1621">
        <f t="shared" si="126"/>
        <v>0</v>
      </c>
      <c r="V1621" s="4" t="str">
        <f t="shared" si="127"/>
        <v>7</v>
      </c>
      <c r="W1621" s="4" t="str">
        <f t="shared" si="128"/>
        <v>2</v>
      </c>
      <c r="X1621" s="4" t="str">
        <f t="shared" si="129"/>
        <v>7NON-HS2</v>
      </c>
      <c r="Y1621">
        <f>VLOOKUP(X1621,Sheet1!$J$5:$K$121,2,FALSE)</f>
        <v>0.04</v>
      </c>
    </row>
    <row r="1622" spans="1:25" x14ac:dyDescent="0.25">
      <c r="A1622" s="8">
        <f>[1]Data!A1622</f>
        <v>104610</v>
      </c>
      <c r="B1622" s="8">
        <f>[1]Data!B1622</f>
        <v>2</v>
      </c>
      <c r="C1622" s="8">
        <f>[1]Data!C1622</f>
        <v>7</v>
      </c>
      <c r="D1622" s="8">
        <f>[1]Data!D1622</f>
        <v>3</v>
      </c>
      <c r="E1622" s="8" t="str">
        <f>[1]Data!E1622</f>
        <v>NON-HS</v>
      </c>
      <c r="F1622" s="8" t="str">
        <f>[1]Data!F1622</f>
        <v>Pacoima</v>
      </c>
      <c r="G1622" s="8">
        <f>[1]Data!G1622</f>
        <v>0</v>
      </c>
      <c r="H1622" s="8">
        <f>[1]Data!H1622</f>
        <v>0</v>
      </c>
      <c r="I1622" s="8">
        <f>[1]Data!I1622</f>
        <v>3.0950000000000002</v>
      </c>
      <c r="J1622" s="8">
        <f>[1]Data!J1622</f>
        <v>1.9836996600000001</v>
      </c>
      <c r="K1622" s="8">
        <f>[1]Data!K1622</f>
        <v>2.9836996600000001</v>
      </c>
      <c r="L1622" s="8">
        <f>[1]Data!L1622</f>
        <v>0.11117260138240601</v>
      </c>
      <c r="M1622" s="8">
        <f>[1]Data!M1622</f>
        <v>3.09487226138241</v>
      </c>
      <c r="N1622" s="8">
        <f>[1]Data!N1622</f>
        <v>2.2140221402214E-2</v>
      </c>
      <c r="O1622" s="8">
        <f>[1]Data!O1622</f>
        <v>0</v>
      </c>
      <c r="P1622" s="8">
        <f>[1]Data!P1622</f>
        <v>9.5940959409594101E-2</v>
      </c>
      <c r="Q1622" s="8">
        <f>[1]Data!Q1622</f>
        <v>1</v>
      </c>
      <c r="R1622" s="8">
        <f>[1]Data!R1622</f>
        <v>0.04</v>
      </c>
      <c r="S1622" s="8">
        <f>[1]Data!S1622</f>
        <v>0</v>
      </c>
      <c r="T1622">
        <f t="shared" si="125"/>
        <v>6.1254612546125443E-2</v>
      </c>
      <c r="U1622">
        <f t="shared" si="126"/>
        <v>0</v>
      </c>
      <c r="V1622" s="4" t="str">
        <f t="shared" si="127"/>
        <v>7</v>
      </c>
      <c r="W1622" s="4" t="str">
        <f t="shared" si="128"/>
        <v>2</v>
      </c>
      <c r="X1622" s="4" t="str">
        <f t="shared" si="129"/>
        <v>7NON-HS2</v>
      </c>
      <c r="Y1622">
        <f>VLOOKUP(X1622,Sheet1!$J$5:$K$121,2,FALSE)</f>
        <v>0.04</v>
      </c>
    </row>
    <row r="1623" spans="1:25" x14ac:dyDescent="0.25">
      <c r="A1623" s="8">
        <f>[1]Data!A1623</f>
        <v>101122</v>
      </c>
      <c r="B1623" s="8">
        <f>[1]Data!B1623</f>
        <v>2</v>
      </c>
      <c r="C1623" s="8">
        <f>[1]Data!C1623</f>
        <v>7</v>
      </c>
      <c r="D1623" s="8">
        <f>[1]Data!D1623</f>
        <v>5</v>
      </c>
      <c r="E1623" s="8" t="str">
        <f>[1]Data!E1623</f>
        <v>NON-HS</v>
      </c>
      <c r="F1623" s="8" t="str">
        <f>[1]Data!F1623</f>
        <v>Sunland-Tujunga</v>
      </c>
      <c r="G1623" s="8">
        <f>[1]Data!G1623</f>
        <v>1</v>
      </c>
      <c r="H1623" s="8">
        <f>[1]Data!H1623</f>
        <v>1</v>
      </c>
      <c r="I1623" s="8">
        <f>[1]Data!I1623</f>
        <v>0</v>
      </c>
      <c r="J1623" s="8">
        <f>[1]Data!J1623</f>
        <v>0</v>
      </c>
      <c r="K1623" s="8">
        <f>[1]Data!K1623</f>
        <v>0</v>
      </c>
      <c r="L1623" s="8">
        <f>[1]Data!L1623</f>
        <v>0</v>
      </c>
      <c r="M1623" s="8">
        <f>[1]Data!M1623</f>
        <v>0</v>
      </c>
      <c r="N1623" s="8">
        <f>[1]Data!N1623</f>
        <v>2.2140221402214E-2</v>
      </c>
      <c r="O1623" s="8">
        <f>[1]Data!O1623</f>
        <v>45.1666666666667</v>
      </c>
      <c r="P1623" s="8">
        <f>[1]Data!P1623</f>
        <v>9.5940959409594101E-2</v>
      </c>
      <c r="Q1623" s="8">
        <f>[1]Data!Q1623</f>
        <v>1</v>
      </c>
      <c r="R1623" s="8">
        <f>[1]Data!R1623</f>
        <v>0</v>
      </c>
      <c r="S1623" s="8">
        <f>[1]Data!S1623</f>
        <v>0</v>
      </c>
      <c r="T1623">
        <f t="shared" si="125"/>
        <v>6.1254612546125443E-2</v>
      </c>
      <c r="U1623">
        <f t="shared" si="126"/>
        <v>16.325301204819283</v>
      </c>
      <c r="V1623" s="4" t="str">
        <f t="shared" si="127"/>
        <v>7</v>
      </c>
      <c r="W1623" s="4" t="str">
        <f t="shared" si="128"/>
        <v>2</v>
      </c>
      <c r="X1623" s="4" t="str">
        <f t="shared" si="129"/>
        <v>7NON-HS2</v>
      </c>
      <c r="Y1623">
        <f>VLOOKUP(X1623,Sheet1!$J$5:$K$121,2,FALSE)</f>
        <v>0.04</v>
      </c>
    </row>
    <row r="1624" spans="1:25" x14ac:dyDescent="0.25">
      <c r="A1624" s="8">
        <f>[1]Data!A1624</f>
        <v>117201</v>
      </c>
      <c r="B1624" s="8">
        <f>[1]Data!B1624</f>
        <v>2</v>
      </c>
      <c r="C1624" s="8">
        <f>[1]Data!C1624</f>
        <v>7</v>
      </c>
      <c r="D1624" s="8">
        <f>[1]Data!D1624</f>
        <v>3</v>
      </c>
      <c r="E1624" s="8" t="str">
        <f>[1]Data!E1624</f>
        <v>NON-HS</v>
      </c>
      <c r="F1624" s="8" t="str">
        <f>[1]Data!F1624</f>
        <v>North Hills</v>
      </c>
      <c r="G1624" s="8">
        <f>[1]Data!G1624</f>
        <v>0</v>
      </c>
      <c r="H1624" s="8">
        <f>[1]Data!H1624</f>
        <v>0</v>
      </c>
      <c r="I1624" s="8">
        <f>[1]Data!I1624</f>
        <v>7.0339999999999998</v>
      </c>
      <c r="J1624" s="8">
        <f>[1]Data!J1624</f>
        <v>6.9487547999999997</v>
      </c>
      <c r="K1624" s="8">
        <f>[1]Data!K1624</f>
        <v>6.9487547999999997</v>
      </c>
      <c r="L1624" s="8">
        <f>[1]Data!L1624</f>
        <v>8.5101117360861803E-2</v>
      </c>
      <c r="M1624" s="8">
        <f>[1]Data!M1624</f>
        <v>7.0338559173608601</v>
      </c>
      <c r="N1624" s="8">
        <f>[1]Data!N1624</f>
        <v>2.2140221402214E-2</v>
      </c>
      <c r="O1624" s="8">
        <f>[1]Data!O1624</f>
        <v>0</v>
      </c>
      <c r="P1624" s="8">
        <f>[1]Data!P1624</f>
        <v>9.5940959409594101E-2</v>
      </c>
      <c r="Q1624" s="8">
        <f>[1]Data!Q1624</f>
        <v>1</v>
      </c>
      <c r="R1624" s="8">
        <f>[1]Data!R1624</f>
        <v>0.04</v>
      </c>
      <c r="S1624" s="8">
        <f>[1]Data!S1624</f>
        <v>0</v>
      </c>
      <c r="T1624">
        <f t="shared" si="125"/>
        <v>6.1254612546125443E-2</v>
      </c>
      <c r="U1624">
        <f t="shared" si="126"/>
        <v>0</v>
      </c>
      <c r="V1624" s="4" t="str">
        <f t="shared" si="127"/>
        <v>7</v>
      </c>
      <c r="W1624" s="4" t="str">
        <f t="shared" si="128"/>
        <v>2</v>
      </c>
      <c r="X1624" s="4" t="str">
        <f t="shared" si="129"/>
        <v>7NON-HS2</v>
      </c>
      <c r="Y1624">
        <f>VLOOKUP(X1624,Sheet1!$J$5:$K$121,2,FALSE)</f>
        <v>0.04</v>
      </c>
    </row>
    <row r="1625" spans="1:25" x14ac:dyDescent="0.25">
      <c r="A1625" s="8">
        <f>[1]Data!A1625</f>
        <v>222100</v>
      </c>
      <c r="B1625" s="8">
        <f>[1]Data!B1625</f>
        <v>6</v>
      </c>
      <c r="C1625" s="8">
        <f>[1]Data!C1625</f>
        <v>8</v>
      </c>
      <c r="D1625" s="8">
        <f>[1]Data!D1625</f>
        <v>2</v>
      </c>
      <c r="E1625" s="8" t="str">
        <f>[1]Data!E1625</f>
        <v>CVCTE</v>
      </c>
      <c r="F1625" s="8" t="str">
        <f>[1]Data!F1625</f>
        <v>Adams</v>
      </c>
      <c r="G1625" s="8">
        <f>[1]Data!G1625</f>
        <v>0</v>
      </c>
      <c r="H1625" s="8">
        <f>[1]Data!H1625</f>
        <v>0</v>
      </c>
      <c r="I1625" s="8">
        <f>[1]Data!I1625</f>
        <v>31.433</v>
      </c>
      <c r="J1625" s="8">
        <f>[1]Data!J1625</f>
        <v>28.939584060000001</v>
      </c>
      <c r="K1625" s="8">
        <f>[1]Data!K1625</f>
        <v>29.939584060000001</v>
      </c>
      <c r="L1625" s="8">
        <f>[1]Data!L1625</f>
        <v>1.4933572070197501</v>
      </c>
      <c r="M1625" s="8">
        <f>[1]Data!M1625</f>
        <v>31.4329412670197</v>
      </c>
      <c r="N1625" s="8">
        <f>[1]Data!N1625</f>
        <v>0.16393442622950799</v>
      </c>
      <c r="O1625" s="8">
        <f>[1]Data!O1625</f>
        <v>0</v>
      </c>
      <c r="P1625" s="8">
        <f>[1]Data!P1625</f>
        <v>0.213114754098361</v>
      </c>
      <c r="Q1625" s="8">
        <f>[1]Data!Q1625</f>
        <v>1</v>
      </c>
      <c r="R1625" s="8">
        <f>[1]Data!R1625</f>
        <v>0.5</v>
      </c>
      <c r="S1625" s="8">
        <f>[1]Data!S1625</f>
        <v>0</v>
      </c>
      <c r="T1625">
        <f t="shared" si="125"/>
        <v>0.58196721311475397</v>
      </c>
      <c r="U1625">
        <f t="shared" si="126"/>
        <v>0</v>
      </c>
      <c r="V1625" s="4" t="str">
        <f t="shared" si="127"/>
        <v>8</v>
      </c>
      <c r="W1625" s="4" t="str">
        <f t="shared" si="128"/>
        <v>6</v>
      </c>
      <c r="X1625" s="4" t="str">
        <f t="shared" si="129"/>
        <v>8CVCTE6</v>
      </c>
      <c r="Y1625">
        <f>VLOOKUP(X1625,Sheet1!$J$5:$K$121,2,FALSE)</f>
        <v>0.5</v>
      </c>
    </row>
    <row r="1626" spans="1:25" x14ac:dyDescent="0.25">
      <c r="A1626" s="8">
        <f>[1]Data!A1626</f>
        <v>232400</v>
      </c>
      <c r="B1626" s="8">
        <f>[1]Data!B1626</f>
        <v>6</v>
      </c>
      <c r="C1626" s="8">
        <f>[1]Data!C1626</f>
        <v>8</v>
      </c>
      <c r="D1626" s="8">
        <f>[1]Data!D1626</f>
        <v>2</v>
      </c>
      <c r="E1626" s="8" t="str">
        <f>[1]Data!E1626</f>
        <v>CVCTE</v>
      </c>
      <c r="F1626" s="8" t="str">
        <f>[1]Data!F1626</f>
        <v>Vermont Square</v>
      </c>
      <c r="G1626" s="8">
        <f>[1]Data!G1626</f>
        <v>0</v>
      </c>
      <c r="H1626" s="8">
        <f>[1]Data!H1626</f>
        <v>1</v>
      </c>
      <c r="I1626" s="8">
        <f>[1]Data!I1626</f>
        <v>45.865000000000002</v>
      </c>
      <c r="J1626" s="8">
        <f>[1]Data!J1626</f>
        <v>33.764500580000004</v>
      </c>
      <c r="K1626" s="8">
        <f>[1]Data!K1626</f>
        <v>43.764500580000004</v>
      </c>
      <c r="L1626" s="8">
        <f>[1]Data!L1626</f>
        <v>2.10048711402154</v>
      </c>
      <c r="M1626" s="8">
        <f>[1]Data!M1626</f>
        <v>45.8649876940216</v>
      </c>
      <c r="N1626" s="8">
        <f>[1]Data!N1626</f>
        <v>0.16393442622950799</v>
      </c>
      <c r="O1626" s="8">
        <f>[1]Data!O1626</f>
        <v>0</v>
      </c>
      <c r="P1626" s="8">
        <f>[1]Data!P1626</f>
        <v>0.213114754098361</v>
      </c>
      <c r="Q1626" s="8">
        <f>[1]Data!Q1626</f>
        <v>1</v>
      </c>
      <c r="R1626" s="8">
        <f>[1]Data!R1626</f>
        <v>0.5</v>
      </c>
      <c r="S1626" s="8">
        <f>[1]Data!S1626</f>
        <v>2</v>
      </c>
      <c r="T1626">
        <f t="shared" si="125"/>
        <v>0.58196721311475397</v>
      </c>
      <c r="U1626">
        <f t="shared" si="126"/>
        <v>1.71830985915493</v>
      </c>
      <c r="V1626" s="4" t="str">
        <f t="shared" si="127"/>
        <v>8</v>
      </c>
      <c r="W1626" s="4" t="str">
        <f t="shared" si="128"/>
        <v>6</v>
      </c>
      <c r="X1626" s="4" t="str">
        <f t="shared" si="129"/>
        <v>8CVCTE6</v>
      </c>
      <c r="Y1626">
        <f>VLOOKUP(X1626,Sheet1!$J$5:$K$121,2,FALSE)</f>
        <v>0.5</v>
      </c>
    </row>
    <row r="1627" spans="1:25" x14ac:dyDescent="0.25">
      <c r="A1627" s="8">
        <f>[1]Data!A1627</f>
        <v>234600</v>
      </c>
      <c r="B1627" s="8">
        <f>[1]Data!B1627</f>
        <v>6</v>
      </c>
      <c r="C1627" s="8">
        <f>[1]Data!C1627</f>
        <v>8</v>
      </c>
      <c r="D1627" s="8">
        <f>[1]Data!D1627</f>
        <v>2</v>
      </c>
      <c r="E1627" s="8" t="str">
        <f>[1]Data!E1627</f>
        <v>CVCTE</v>
      </c>
      <c r="F1627" s="8" t="str">
        <f>[1]Data!F1627</f>
        <v>Baldwin Hills / Crenshaw</v>
      </c>
      <c r="G1627" s="8">
        <f>[1]Data!G1627</f>
        <v>0</v>
      </c>
      <c r="H1627" s="8">
        <f>[1]Data!H1627</f>
        <v>0</v>
      </c>
      <c r="I1627" s="8">
        <f>[1]Data!I1627</f>
        <v>73.575999999999993</v>
      </c>
      <c r="J1627" s="8">
        <f>[1]Data!J1627</f>
        <v>65.579101129999998</v>
      </c>
      <c r="K1627" s="8">
        <f>[1]Data!K1627</f>
        <v>70.579101129999998</v>
      </c>
      <c r="L1627" s="8">
        <f>[1]Data!L1627</f>
        <v>2.9956200877737902</v>
      </c>
      <c r="M1627" s="8">
        <f>[1]Data!M1627</f>
        <v>73.574721217773799</v>
      </c>
      <c r="N1627" s="8">
        <f>[1]Data!N1627</f>
        <v>0.16393442622950799</v>
      </c>
      <c r="O1627" s="8">
        <f>[1]Data!O1627</f>
        <v>0</v>
      </c>
      <c r="P1627" s="8">
        <f>[1]Data!P1627</f>
        <v>0.213114754098361</v>
      </c>
      <c r="Q1627" s="8">
        <f>[1]Data!Q1627</f>
        <v>1</v>
      </c>
      <c r="R1627" s="8">
        <f>[1]Data!R1627</f>
        <v>0.5</v>
      </c>
      <c r="S1627" s="8">
        <f>[1]Data!S1627</f>
        <v>0</v>
      </c>
      <c r="T1627">
        <f t="shared" si="125"/>
        <v>0.58196721311475397</v>
      </c>
      <c r="U1627">
        <f t="shared" si="126"/>
        <v>0</v>
      </c>
      <c r="V1627" s="4" t="str">
        <f t="shared" si="127"/>
        <v>8</v>
      </c>
      <c r="W1627" s="4" t="str">
        <f t="shared" si="128"/>
        <v>6</v>
      </c>
      <c r="X1627" s="4" t="str">
        <f t="shared" si="129"/>
        <v>8CVCTE6</v>
      </c>
      <c r="Y1627">
        <f>VLOOKUP(X1627,Sheet1!$J$5:$K$121,2,FALSE)</f>
        <v>0.5</v>
      </c>
    </row>
    <row r="1628" spans="1:25" x14ac:dyDescent="0.25">
      <c r="A1628" s="8">
        <f>[1]Data!A1628</f>
        <v>234800</v>
      </c>
      <c r="B1628" s="8">
        <f>[1]Data!B1628</f>
        <v>6</v>
      </c>
      <c r="C1628" s="8">
        <f>[1]Data!C1628</f>
        <v>8</v>
      </c>
      <c r="D1628" s="8">
        <f>[1]Data!D1628</f>
        <v>2</v>
      </c>
      <c r="E1628" s="8" t="str">
        <f>[1]Data!E1628</f>
        <v>CVCTE</v>
      </c>
      <c r="F1628" s="8" t="str">
        <f>[1]Data!F1628</f>
        <v>Baldwin Hills / Crenshaw</v>
      </c>
      <c r="G1628" s="8">
        <f>[1]Data!G1628</f>
        <v>0</v>
      </c>
      <c r="H1628" s="8">
        <f>[1]Data!H1628</f>
        <v>1</v>
      </c>
      <c r="I1628" s="8">
        <f>[1]Data!I1628</f>
        <v>46.997</v>
      </c>
      <c r="J1628" s="8">
        <f>[1]Data!J1628</f>
        <v>43.833403369999999</v>
      </c>
      <c r="K1628" s="8">
        <f>[1]Data!K1628</f>
        <v>44.833403369999999</v>
      </c>
      <c r="L1628" s="8">
        <f>[1]Data!L1628</f>
        <v>2.16333431967684</v>
      </c>
      <c r="M1628" s="8">
        <f>[1]Data!M1628</f>
        <v>46.996737689676799</v>
      </c>
      <c r="N1628" s="8">
        <f>[1]Data!N1628</f>
        <v>0.16393442622950799</v>
      </c>
      <c r="O1628" s="8">
        <f>[1]Data!O1628</f>
        <v>0</v>
      </c>
      <c r="P1628" s="8">
        <f>[1]Data!P1628</f>
        <v>0.213114754098361</v>
      </c>
      <c r="Q1628" s="8">
        <f>[1]Data!Q1628</f>
        <v>1</v>
      </c>
      <c r="R1628" s="8">
        <f>[1]Data!R1628</f>
        <v>0.5</v>
      </c>
      <c r="S1628" s="8">
        <f>[1]Data!S1628</f>
        <v>2</v>
      </c>
      <c r="T1628">
        <f t="shared" si="125"/>
        <v>0.58196721311475397</v>
      </c>
      <c r="U1628">
        <f t="shared" si="126"/>
        <v>1.71830985915493</v>
      </c>
      <c r="V1628" s="4" t="str">
        <f t="shared" si="127"/>
        <v>8</v>
      </c>
      <c r="W1628" s="4" t="str">
        <f t="shared" si="128"/>
        <v>6</v>
      </c>
      <c r="X1628" s="4" t="str">
        <f t="shared" si="129"/>
        <v>8CVCTE6</v>
      </c>
      <c r="Y1628">
        <f>VLOOKUP(X1628,Sheet1!$J$5:$K$121,2,FALSE)</f>
        <v>0.5</v>
      </c>
    </row>
    <row r="1629" spans="1:25" x14ac:dyDescent="0.25">
      <c r="A1629" s="8">
        <f>[1]Data!A1629</f>
        <v>240402</v>
      </c>
      <c r="B1629" s="8">
        <f>[1]Data!B1629</f>
        <v>6</v>
      </c>
      <c r="C1629" s="8">
        <f>[1]Data!C1629</f>
        <v>8</v>
      </c>
      <c r="D1629" s="8">
        <f>[1]Data!D1629</f>
        <v>2</v>
      </c>
      <c r="E1629" s="8" t="str">
        <f>[1]Data!E1629</f>
        <v>CVCTE</v>
      </c>
      <c r="F1629" s="8" t="str">
        <f>[1]Data!F1629</f>
        <v>South Vermont</v>
      </c>
      <c r="G1629" s="8">
        <f>[1]Data!G1629</f>
        <v>0</v>
      </c>
      <c r="H1629" s="8">
        <f>[1]Data!H1629</f>
        <v>0</v>
      </c>
      <c r="I1629" s="8">
        <f>[1]Data!I1629</f>
        <v>57.582999999999998</v>
      </c>
      <c r="J1629" s="8">
        <f>[1]Data!J1629</f>
        <v>47.599255040000003</v>
      </c>
      <c r="K1629" s="8">
        <f>[1]Data!K1629</f>
        <v>55.599255040000003</v>
      </c>
      <c r="L1629" s="8">
        <f>[1]Data!L1629</f>
        <v>1.9838593829982001</v>
      </c>
      <c r="M1629" s="8">
        <f>[1]Data!M1629</f>
        <v>57.5831144229982</v>
      </c>
      <c r="N1629" s="8">
        <f>[1]Data!N1629</f>
        <v>0.16393442622950799</v>
      </c>
      <c r="O1629" s="8">
        <f>[1]Data!O1629</f>
        <v>0</v>
      </c>
      <c r="P1629" s="8">
        <f>[1]Data!P1629</f>
        <v>0.213114754098361</v>
      </c>
      <c r="Q1629" s="8">
        <f>[1]Data!Q1629</f>
        <v>1</v>
      </c>
      <c r="R1629" s="8">
        <f>[1]Data!R1629</f>
        <v>0.5</v>
      </c>
      <c r="S1629" s="8">
        <f>[1]Data!S1629</f>
        <v>0</v>
      </c>
      <c r="T1629">
        <f t="shared" si="125"/>
        <v>0.58196721311475397</v>
      </c>
      <c r="U1629">
        <f t="shared" si="126"/>
        <v>0</v>
      </c>
      <c r="V1629" s="4" t="str">
        <f t="shared" si="127"/>
        <v>8</v>
      </c>
      <c r="W1629" s="4" t="str">
        <f t="shared" si="128"/>
        <v>6</v>
      </c>
      <c r="X1629" s="4" t="str">
        <f t="shared" si="129"/>
        <v>8CVCTE6</v>
      </c>
      <c r="Y1629">
        <f>VLOOKUP(X1629,Sheet1!$J$5:$K$121,2,FALSE)</f>
        <v>0.5</v>
      </c>
    </row>
    <row r="1630" spans="1:25" x14ac:dyDescent="0.25">
      <c r="A1630" s="8">
        <f>[1]Data!A1630</f>
        <v>237500</v>
      </c>
      <c r="B1630" s="8">
        <f>[1]Data!B1630</f>
        <v>6</v>
      </c>
      <c r="C1630" s="8">
        <f>[1]Data!C1630</f>
        <v>8</v>
      </c>
      <c r="D1630" s="8">
        <f>[1]Data!D1630</f>
        <v>2</v>
      </c>
      <c r="E1630" s="8" t="str">
        <f>[1]Data!E1630</f>
        <v>CVCTE</v>
      </c>
      <c r="F1630" s="8" t="str">
        <f>[1]Data!F1630</f>
        <v>South Vermont</v>
      </c>
      <c r="G1630" s="8">
        <f>[1]Data!G1630</f>
        <v>1</v>
      </c>
      <c r="H1630" s="8">
        <f>[1]Data!H1630</f>
        <v>1</v>
      </c>
      <c r="I1630" s="8">
        <f>[1]Data!I1630</f>
        <v>53.47</v>
      </c>
      <c r="J1630" s="8">
        <f>[1]Data!J1630</f>
        <v>40.915856589999997</v>
      </c>
      <c r="K1630" s="8">
        <f>[1]Data!K1630</f>
        <v>49.915856589999997</v>
      </c>
      <c r="L1630" s="8">
        <f>[1]Data!L1630</f>
        <v>3.5539386948114902</v>
      </c>
      <c r="M1630" s="8">
        <f>[1]Data!M1630</f>
        <v>53.469795284811497</v>
      </c>
      <c r="N1630" s="8">
        <f>[1]Data!N1630</f>
        <v>0.16393442622950799</v>
      </c>
      <c r="O1630" s="8">
        <f>[1]Data!O1630</f>
        <v>6.1</v>
      </c>
      <c r="P1630" s="8">
        <f>[1]Data!P1630</f>
        <v>0.213114754098361</v>
      </c>
      <c r="Q1630" s="8">
        <f>[1]Data!Q1630</f>
        <v>1</v>
      </c>
      <c r="R1630" s="8">
        <f>[1]Data!R1630</f>
        <v>0</v>
      </c>
      <c r="S1630" s="8">
        <f>[1]Data!S1630</f>
        <v>0</v>
      </c>
      <c r="T1630">
        <f t="shared" si="125"/>
        <v>0.58196721311475397</v>
      </c>
      <c r="U1630">
        <f t="shared" si="126"/>
        <v>1.71830985915493</v>
      </c>
      <c r="V1630" s="4" t="str">
        <f t="shared" si="127"/>
        <v>8</v>
      </c>
      <c r="W1630" s="4" t="str">
        <f t="shared" si="128"/>
        <v>6</v>
      </c>
      <c r="X1630" s="4" t="str">
        <f t="shared" si="129"/>
        <v>8CVCTE6</v>
      </c>
      <c r="Y1630">
        <f>VLOOKUP(X1630,Sheet1!$J$5:$K$121,2,FALSE)</f>
        <v>0.5</v>
      </c>
    </row>
    <row r="1631" spans="1:25" x14ac:dyDescent="0.25">
      <c r="A1631" s="8">
        <f>[1]Data!A1631</f>
        <v>240800</v>
      </c>
      <c r="B1631" s="8">
        <f>[1]Data!B1631</f>
        <v>6</v>
      </c>
      <c r="C1631" s="8">
        <f>[1]Data!C1631</f>
        <v>8</v>
      </c>
      <c r="D1631" s="8">
        <f>[1]Data!D1631</f>
        <v>2</v>
      </c>
      <c r="E1631" s="8" t="str">
        <f>[1]Data!E1631</f>
        <v>CVCTE</v>
      </c>
      <c r="F1631" s="8" t="str">
        <f>[1]Data!F1631</f>
        <v>Green Meadows</v>
      </c>
      <c r="G1631" s="8">
        <f>[1]Data!G1631</f>
        <v>0</v>
      </c>
      <c r="H1631" s="8">
        <f>[1]Data!H1631</f>
        <v>1</v>
      </c>
      <c r="I1631" s="8">
        <f>[1]Data!I1631</f>
        <v>25.771000000000001</v>
      </c>
      <c r="J1631" s="8">
        <f>[1]Data!J1631</f>
        <v>18.669170699999999</v>
      </c>
      <c r="K1631" s="8">
        <f>[1]Data!K1631</f>
        <v>24.669170699999999</v>
      </c>
      <c r="L1631" s="8">
        <f>[1]Data!L1631</f>
        <v>1.1017375440395001</v>
      </c>
      <c r="M1631" s="8">
        <f>[1]Data!M1631</f>
        <v>25.7709082440395</v>
      </c>
      <c r="N1631" s="8">
        <f>[1]Data!N1631</f>
        <v>0.16393442622950799</v>
      </c>
      <c r="O1631" s="8">
        <f>[1]Data!O1631</f>
        <v>0</v>
      </c>
      <c r="P1631" s="8">
        <f>[1]Data!P1631</f>
        <v>0.213114754098361</v>
      </c>
      <c r="Q1631" s="8">
        <f>[1]Data!Q1631</f>
        <v>1</v>
      </c>
      <c r="R1631" s="8">
        <f>[1]Data!R1631</f>
        <v>0.5</v>
      </c>
      <c r="S1631" s="8">
        <f>[1]Data!S1631</f>
        <v>2</v>
      </c>
      <c r="T1631">
        <f t="shared" si="125"/>
        <v>0.58196721311475397</v>
      </c>
      <c r="U1631">
        <f t="shared" si="126"/>
        <v>1.71830985915493</v>
      </c>
      <c r="V1631" s="4" t="str">
        <f t="shared" si="127"/>
        <v>8</v>
      </c>
      <c r="W1631" s="4" t="str">
        <f t="shared" si="128"/>
        <v>6</v>
      </c>
      <c r="X1631" s="4" t="str">
        <f t="shared" si="129"/>
        <v>8CVCTE6</v>
      </c>
      <c r="Y1631">
        <f>VLOOKUP(X1631,Sheet1!$J$5:$K$121,2,FALSE)</f>
        <v>0.5</v>
      </c>
    </row>
    <row r="1632" spans="1:25" x14ac:dyDescent="0.25">
      <c r="A1632" s="8">
        <f>[1]Data!A1632</f>
        <v>240300</v>
      </c>
      <c r="B1632" s="8">
        <f>[1]Data!B1632</f>
        <v>6</v>
      </c>
      <c r="C1632" s="8">
        <f>[1]Data!C1632</f>
        <v>8</v>
      </c>
      <c r="D1632" s="8">
        <f>[1]Data!D1632</f>
        <v>2</v>
      </c>
      <c r="E1632" s="8" t="str">
        <f>[1]Data!E1632</f>
        <v>CVCTE</v>
      </c>
      <c r="F1632" s="8" t="str">
        <f>[1]Data!F1632</f>
        <v>South Vermont</v>
      </c>
      <c r="G1632" s="8">
        <f>[1]Data!G1632</f>
        <v>0</v>
      </c>
      <c r="H1632" s="8">
        <f>[1]Data!H1632</f>
        <v>1</v>
      </c>
      <c r="I1632" s="8">
        <f>[1]Data!I1632</f>
        <v>37.15</v>
      </c>
      <c r="J1632" s="8">
        <f>[1]Data!J1632</f>
        <v>30.578026300000001</v>
      </c>
      <c r="K1632" s="8">
        <f>[1]Data!K1632</f>
        <v>36.578026299999998</v>
      </c>
      <c r="L1632" s="8">
        <f>[1]Data!L1632</f>
        <v>0.57240427660682203</v>
      </c>
      <c r="M1632" s="8">
        <f>[1]Data!M1632</f>
        <v>37.150430576606801</v>
      </c>
      <c r="N1632" s="8">
        <f>[1]Data!N1632</f>
        <v>0.16393442622950799</v>
      </c>
      <c r="O1632" s="8">
        <f>[1]Data!O1632</f>
        <v>0</v>
      </c>
      <c r="P1632" s="8">
        <f>[1]Data!P1632</f>
        <v>0.213114754098361</v>
      </c>
      <c r="Q1632" s="8">
        <f>[1]Data!Q1632</f>
        <v>1</v>
      </c>
      <c r="R1632" s="8">
        <f>[1]Data!R1632</f>
        <v>0.5</v>
      </c>
      <c r="S1632" s="8">
        <f>[1]Data!S1632</f>
        <v>2</v>
      </c>
      <c r="T1632">
        <f t="shared" si="125"/>
        <v>0.58196721311475397</v>
      </c>
      <c r="U1632">
        <f t="shared" si="126"/>
        <v>1.71830985915493</v>
      </c>
      <c r="V1632" s="4" t="str">
        <f t="shared" si="127"/>
        <v>8</v>
      </c>
      <c r="W1632" s="4" t="str">
        <f t="shared" si="128"/>
        <v>6</v>
      </c>
      <c r="X1632" s="4" t="str">
        <f t="shared" si="129"/>
        <v>8CVCTE6</v>
      </c>
      <c r="Y1632">
        <f>VLOOKUP(X1632,Sheet1!$J$5:$K$121,2,FALSE)</f>
        <v>0.5</v>
      </c>
    </row>
    <row r="1633" spans="1:25" x14ac:dyDescent="0.25">
      <c r="A1633" s="8">
        <f>[1]Data!A1633</f>
        <v>240700</v>
      </c>
      <c r="B1633" s="8">
        <f>[1]Data!B1633</f>
        <v>6</v>
      </c>
      <c r="C1633" s="8">
        <f>[1]Data!C1633</f>
        <v>8</v>
      </c>
      <c r="D1633" s="8">
        <f>[1]Data!D1633</f>
        <v>2</v>
      </c>
      <c r="E1633" s="8" t="str">
        <f>[1]Data!E1633</f>
        <v>CVCTE</v>
      </c>
      <c r="F1633" s="8" t="str">
        <f>[1]Data!F1633</f>
        <v>Green Meadows</v>
      </c>
      <c r="G1633" s="8">
        <f>[1]Data!G1633</f>
        <v>0</v>
      </c>
      <c r="H1633" s="8">
        <f>[1]Data!H1633</f>
        <v>0</v>
      </c>
      <c r="I1633" s="8">
        <f>[1]Data!I1633</f>
        <v>96.433000000000007</v>
      </c>
      <c r="J1633" s="8">
        <f>[1]Data!J1633</f>
        <v>76.183930200000006</v>
      </c>
      <c r="K1633" s="8">
        <f>[1]Data!K1633</f>
        <v>92.183930200000006</v>
      </c>
      <c r="L1633" s="8">
        <f>[1]Data!L1633</f>
        <v>4.2484323861579902</v>
      </c>
      <c r="M1633" s="8">
        <f>[1]Data!M1633</f>
        <v>96.432362586158007</v>
      </c>
      <c r="N1633" s="8">
        <f>[1]Data!N1633</f>
        <v>0.16393442622950799</v>
      </c>
      <c r="O1633" s="8">
        <f>[1]Data!O1633</f>
        <v>0</v>
      </c>
      <c r="P1633" s="8">
        <f>[1]Data!P1633</f>
        <v>0.213114754098361</v>
      </c>
      <c r="Q1633" s="8">
        <f>[1]Data!Q1633</f>
        <v>1</v>
      </c>
      <c r="R1633" s="8">
        <f>[1]Data!R1633</f>
        <v>0.5</v>
      </c>
      <c r="S1633" s="8">
        <f>[1]Data!S1633</f>
        <v>0</v>
      </c>
      <c r="T1633">
        <f t="shared" si="125"/>
        <v>0.58196721311475397</v>
      </c>
      <c r="U1633">
        <f t="shared" si="126"/>
        <v>0</v>
      </c>
      <c r="V1633" s="4" t="str">
        <f t="shared" si="127"/>
        <v>8</v>
      </c>
      <c r="W1633" s="4" t="str">
        <f t="shared" si="128"/>
        <v>6</v>
      </c>
      <c r="X1633" s="4" t="str">
        <f t="shared" si="129"/>
        <v>8CVCTE6</v>
      </c>
      <c r="Y1633">
        <f>VLOOKUP(X1633,Sheet1!$J$5:$K$121,2,FALSE)</f>
        <v>0.5</v>
      </c>
    </row>
    <row r="1634" spans="1:25" x14ac:dyDescent="0.25">
      <c r="A1634" s="8">
        <f>[1]Data!A1634</f>
        <v>240200</v>
      </c>
      <c r="B1634" s="8">
        <f>[1]Data!B1634</f>
        <v>6</v>
      </c>
      <c r="C1634" s="8">
        <f>[1]Data!C1634</f>
        <v>8</v>
      </c>
      <c r="D1634" s="8">
        <f>[1]Data!D1634</f>
        <v>2</v>
      </c>
      <c r="E1634" s="8" t="str">
        <f>[1]Data!E1634</f>
        <v>CVCTE</v>
      </c>
      <c r="F1634" s="8" t="str">
        <f>[1]Data!F1634</f>
        <v>Green Meadows</v>
      </c>
      <c r="G1634" s="8">
        <f>[1]Data!G1634</f>
        <v>0</v>
      </c>
      <c r="H1634" s="8">
        <f>[1]Data!H1634</f>
        <v>1</v>
      </c>
      <c r="I1634" s="8">
        <f>[1]Data!I1634</f>
        <v>24</v>
      </c>
      <c r="J1634" s="8">
        <f>[1]Data!J1634</f>
        <v>0</v>
      </c>
      <c r="K1634" s="8">
        <f>[1]Data!K1634</f>
        <v>24</v>
      </c>
      <c r="L1634" s="8">
        <f>[1]Data!L1634</f>
        <v>0</v>
      </c>
      <c r="M1634" s="8">
        <f>[1]Data!M1634</f>
        <v>24</v>
      </c>
      <c r="N1634" s="8">
        <f>[1]Data!N1634</f>
        <v>0.16393442622950799</v>
      </c>
      <c r="O1634" s="8">
        <f>[1]Data!O1634</f>
        <v>0</v>
      </c>
      <c r="P1634" s="8">
        <f>[1]Data!P1634</f>
        <v>0.213114754098361</v>
      </c>
      <c r="Q1634" s="8">
        <f>[1]Data!Q1634</f>
        <v>1</v>
      </c>
      <c r="R1634" s="8">
        <f>[1]Data!R1634</f>
        <v>0.5</v>
      </c>
      <c r="S1634" s="8">
        <f>[1]Data!S1634</f>
        <v>2</v>
      </c>
      <c r="T1634">
        <f t="shared" si="125"/>
        <v>0.58196721311475397</v>
      </c>
      <c r="U1634">
        <f t="shared" si="126"/>
        <v>1.71830985915493</v>
      </c>
      <c r="V1634" s="4" t="str">
        <f t="shared" si="127"/>
        <v>8</v>
      </c>
      <c r="W1634" s="4" t="str">
        <f t="shared" si="128"/>
        <v>6</v>
      </c>
      <c r="X1634" s="4" t="str">
        <f t="shared" si="129"/>
        <v>8CVCTE6</v>
      </c>
      <c r="Y1634">
        <f>VLOOKUP(X1634,Sheet1!$J$5:$K$121,2,FALSE)</f>
        <v>0.5</v>
      </c>
    </row>
    <row r="1635" spans="1:25" x14ac:dyDescent="0.25">
      <c r="A1635" s="8">
        <f>[1]Data!A1635</f>
        <v>237202</v>
      </c>
      <c r="B1635" s="8">
        <f>[1]Data!B1635</f>
        <v>6</v>
      </c>
      <c r="C1635" s="8">
        <f>[1]Data!C1635</f>
        <v>8</v>
      </c>
      <c r="D1635" s="8">
        <f>[1]Data!D1635</f>
        <v>2</v>
      </c>
      <c r="E1635" s="8" t="str">
        <f>[1]Data!E1635</f>
        <v>CVCTE</v>
      </c>
      <c r="F1635" s="8" t="str">
        <f>[1]Data!F1635</f>
        <v>Vermont Square</v>
      </c>
      <c r="G1635" s="8">
        <f>[1]Data!G1635</f>
        <v>0</v>
      </c>
      <c r="H1635" s="8">
        <f>[1]Data!H1635</f>
        <v>0</v>
      </c>
      <c r="I1635" s="8">
        <f>[1]Data!I1635</f>
        <v>32.58</v>
      </c>
      <c r="J1635" s="8">
        <f>[1]Data!J1635</f>
        <v>29.518495640000001</v>
      </c>
      <c r="K1635" s="8">
        <f>[1]Data!K1635</f>
        <v>31.518495640000001</v>
      </c>
      <c r="L1635" s="8">
        <f>[1]Data!L1635</f>
        <v>1.06256801504488</v>
      </c>
      <c r="M1635" s="8">
        <f>[1]Data!M1635</f>
        <v>32.5810636550449</v>
      </c>
      <c r="N1635" s="8">
        <f>[1]Data!N1635</f>
        <v>0.16393442622950799</v>
      </c>
      <c r="O1635" s="8">
        <f>[1]Data!O1635</f>
        <v>0</v>
      </c>
      <c r="P1635" s="8">
        <f>[1]Data!P1635</f>
        <v>0.213114754098361</v>
      </c>
      <c r="Q1635" s="8">
        <f>[1]Data!Q1635</f>
        <v>1</v>
      </c>
      <c r="R1635" s="8">
        <f>[1]Data!R1635</f>
        <v>0.5</v>
      </c>
      <c r="S1635" s="8">
        <f>[1]Data!S1635</f>
        <v>0</v>
      </c>
      <c r="T1635">
        <f t="shared" si="125"/>
        <v>0.58196721311475397</v>
      </c>
      <c r="U1635">
        <f t="shared" si="126"/>
        <v>0</v>
      </c>
      <c r="V1635" s="4" t="str">
        <f t="shared" si="127"/>
        <v>8</v>
      </c>
      <c r="W1635" s="4" t="str">
        <f t="shared" si="128"/>
        <v>6</v>
      </c>
      <c r="X1635" s="4" t="str">
        <f t="shared" si="129"/>
        <v>8CVCTE6</v>
      </c>
      <c r="Y1635">
        <f>VLOOKUP(X1635,Sheet1!$J$5:$K$121,2,FALSE)</f>
        <v>0.5</v>
      </c>
    </row>
    <row r="1636" spans="1:25" x14ac:dyDescent="0.25">
      <c r="A1636" s="8">
        <f>[1]Data!A1636</f>
        <v>240900</v>
      </c>
      <c r="B1636" s="8">
        <f>[1]Data!B1636</f>
        <v>6</v>
      </c>
      <c r="C1636" s="8">
        <f>[1]Data!C1636</f>
        <v>8</v>
      </c>
      <c r="D1636" s="8">
        <f>[1]Data!D1636</f>
        <v>2</v>
      </c>
      <c r="E1636" s="8" t="str">
        <f>[1]Data!E1636</f>
        <v>CVCTE</v>
      </c>
      <c r="F1636" s="8" t="str">
        <f>[1]Data!F1636</f>
        <v>Green Meadows</v>
      </c>
      <c r="G1636" s="8">
        <f>[1]Data!G1636</f>
        <v>0</v>
      </c>
      <c r="H1636" s="8">
        <f>[1]Data!H1636</f>
        <v>1</v>
      </c>
      <c r="I1636" s="8">
        <f>[1]Data!I1636</f>
        <v>43.683</v>
      </c>
      <c r="J1636" s="8">
        <f>[1]Data!J1636</f>
        <v>34.144669380000003</v>
      </c>
      <c r="K1636" s="8">
        <f>[1]Data!K1636</f>
        <v>42.144669380000003</v>
      </c>
      <c r="L1636" s="8">
        <f>[1]Data!L1636</f>
        <v>1.5383819585996401</v>
      </c>
      <c r="M1636" s="8">
        <f>[1]Data!M1636</f>
        <v>43.683051338599597</v>
      </c>
      <c r="N1636" s="8">
        <f>[1]Data!N1636</f>
        <v>0.16393442622950799</v>
      </c>
      <c r="O1636" s="8">
        <f>[1]Data!O1636</f>
        <v>0</v>
      </c>
      <c r="P1636" s="8">
        <f>[1]Data!P1636</f>
        <v>0.213114754098361</v>
      </c>
      <c r="Q1636" s="8">
        <f>[1]Data!Q1636</f>
        <v>1</v>
      </c>
      <c r="R1636" s="8">
        <f>[1]Data!R1636</f>
        <v>0.5</v>
      </c>
      <c r="S1636" s="8">
        <f>[1]Data!S1636</f>
        <v>2</v>
      </c>
      <c r="T1636">
        <f t="shared" si="125"/>
        <v>0.58196721311475397</v>
      </c>
      <c r="U1636">
        <f t="shared" si="126"/>
        <v>1.71830985915493</v>
      </c>
      <c r="V1636" s="4" t="str">
        <f t="shared" si="127"/>
        <v>8</v>
      </c>
      <c r="W1636" s="4" t="str">
        <f t="shared" si="128"/>
        <v>6</v>
      </c>
      <c r="X1636" s="4" t="str">
        <f t="shared" si="129"/>
        <v>8CVCTE6</v>
      </c>
      <c r="Y1636">
        <f>VLOOKUP(X1636,Sheet1!$J$5:$K$121,2,FALSE)</f>
        <v>0.5</v>
      </c>
    </row>
    <row r="1637" spans="1:25" x14ac:dyDescent="0.25">
      <c r="A1637" s="8">
        <f>[1]Data!A1637</f>
        <v>238310</v>
      </c>
      <c r="B1637" s="8">
        <f>[1]Data!B1637</f>
        <v>6</v>
      </c>
      <c r="C1637" s="8">
        <f>[1]Data!C1637</f>
        <v>8</v>
      </c>
      <c r="D1637" s="8">
        <f>[1]Data!D1637</f>
        <v>2</v>
      </c>
      <c r="E1637" s="8" t="str">
        <f>[1]Data!E1637</f>
        <v>CVCTE</v>
      </c>
      <c r="F1637" s="8" t="str">
        <f>[1]Data!F1637</f>
        <v>South Vermont</v>
      </c>
      <c r="G1637" s="8">
        <f>[1]Data!G1637</f>
        <v>0</v>
      </c>
      <c r="H1637" s="8">
        <f>[1]Data!H1637</f>
        <v>0</v>
      </c>
      <c r="I1637" s="8">
        <f>[1]Data!I1637</f>
        <v>34.863</v>
      </c>
      <c r="J1637" s="8">
        <f>[1]Data!J1637</f>
        <v>28.94613193</v>
      </c>
      <c r="K1637" s="8">
        <f>[1]Data!K1637</f>
        <v>32.94613193</v>
      </c>
      <c r="L1637" s="8">
        <f>[1]Data!L1637</f>
        <v>1.91757721389587</v>
      </c>
      <c r="M1637" s="8">
        <f>[1]Data!M1637</f>
        <v>34.863709143895903</v>
      </c>
      <c r="N1637" s="8">
        <f>[1]Data!N1637</f>
        <v>0.16393442622950799</v>
      </c>
      <c r="O1637" s="8">
        <f>[1]Data!O1637</f>
        <v>0</v>
      </c>
      <c r="P1637" s="8">
        <f>[1]Data!P1637</f>
        <v>0.213114754098361</v>
      </c>
      <c r="Q1637" s="8">
        <f>[1]Data!Q1637</f>
        <v>1</v>
      </c>
      <c r="R1637" s="8">
        <f>[1]Data!R1637</f>
        <v>0.5</v>
      </c>
      <c r="S1637" s="8">
        <f>[1]Data!S1637</f>
        <v>0</v>
      </c>
      <c r="T1637">
        <f t="shared" si="125"/>
        <v>0.58196721311475397</v>
      </c>
      <c r="U1637">
        <f t="shared" si="126"/>
        <v>0</v>
      </c>
      <c r="V1637" s="4" t="str">
        <f t="shared" si="127"/>
        <v>8</v>
      </c>
      <c r="W1637" s="4" t="str">
        <f t="shared" si="128"/>
        <v>6</v>
      </c>
      <c r="X1637" s="4" t="str">
        <f t="shared" si="129"/>
        <v>8CVCTE6</v>
      </c>
      <c r="Y1637">
        <f>VLOOKUP(X1637,Sheet1!$J$5:$K$121,2,FALSE)</f>
        <v>0.5</v>
      </c>
    </row>
    <row r="1638" spans="1:25" x14ac:dyDescent="0.25">
      <c r="A1638" s="8">
        <f>[1]Data!A1638</f>
        <v>237300</v>
      </c>
      <c r="B1638" s="8">
        <f>[1]Data!B1638</f>
        <v>6</v>
      </c>
      <c r="C1638" s="8">
        <f>[1]Data!C1638</f>
        <v>8</v>
      </c>
      <c r="D1638" s="8">
        <f>[1]Data!D1638</f>
        <v>2</v>
      </c>
      <c r="E1638" s="8" t="str">
        <f>[1]Data!E1638</f>
        <v>FAMILY</v>
      </c>
      <c r="F1638" s="8" t="str">
        <f>[1]Data!F1638</f>
        <v>Vermont Square</v>
      </c>
      <c r="G1638" s="8">
        <f>[1]Data!G1638</f>
        <v>1</v>
      </c>
      <c r="H1638" s="8">
        <f>[1]Data!H1638</f>
        <v>1</v>
      </c>
      <c r="I1638" s="8">
        <f>[1]Data!I1638</f>
        <v>23.44</v>
      </c>
      <c r="J1638" s="8">
        <f>[1]Data!J1638</f>
        <v>11.837989589999999</v>
      </c>
      <c r="K1638" s="8">
        <f>[1]Data!K1638</f>
        <v>22.837989589999999</v>
      </c>
      <c r="L1638" s="8">
        <f>[1]Data!L1638</f>
        <v>7.6013650678635596</v>
      </c>
      <c r="M1638" s="8">
        <f>[1]Data!M1638</f>
        <v>30.4393546578636</v>
      </c>
      <c r="N1638" s="8">
        <f>[1]Data!N1638</f>
        <v>1</v>
      </c>
      <c r="O1638" s="8">
        <f>[1]Data!O1638</f>
        <v>1</v>
      </c>
      <c r="P1638" s="8">
        <f>[1]Data!P1638</f>
        <v>0</v>
      </c>
      <c r="Q1638" s="8">
        <f>[1]Data!Q1638</f>
        <v>0</v>
      </c>
      <c r="R1638" s="8">
        <f>[1]Data!R1638</f>
        <v>0</v>
      </c>
      <c r="S1638" s="8">
        <f>[1]Data!S1638</f>
        <v>0</v>
      </c>
      <c r="T1638">
        <f t="shared" si="125"/>
        <v>1</v>
      </c>
      <c r="U1638">
        <f t="shared" si="126"/>
        <v>1</v>
      </c>
      <c r="V1638" s="4" t="str">
        <f t="shared" si="127"/>
        <v>8</v>
      </c>
      <c r="W1638" s="4" t="str">
        <f t="shared" si="128"/>
        <v>6</v>
      </c>
      <c r="X1638" s="4" t="str">
        <f t="shared" si="129"/>
        <v>8FAMILY6</v>
      </c>
      <c r="Y1638">
        <f>VLOOKUP(X1638,Sheet1!$J$5:$K$121,2,FALSE)</f>
        <v>0</v>
      </c>
    </row>
    <row r="1639" spans="1:25" x14ac:dyDescent="0.25">
      <c r="A1639" s="8">
        <f>[1]Data!A1639</f>
        <v>237600</v>
      </c>
      <c r="B1639" s="8">
        <f>[1]Data!B1639</f>
        <v>6</v>
      </c>
      <c r="C1639" s="8">
        <f>[1]Data!C1639</f>
        <v>8</v>
      </c>
      <c r="D1639" s="8">
        <f>[1]Data!D1639</f>
        <v>2</v>
      </c>
      <c r="E1639" s="8" t="str">
        <f>[1]Data!E1639</f>
        <v>FAMILY</v>
      </c>
      <c r="F1639" s="8" t="str">
        <f>[1]Data!F1639</f>
        <v>South Vermont</v>
      </c>
      <c r="G1639" s="8">
        <f>[1]Data!G1639</f>
        <v>1</v>
      </c>
      <c r="H1639" s="8">
        <f>[1]Data!H1639</f>
        <v>1</v>
      </c>
      <c r="I1639" s="8">
        <f>[1]Data!I1639</f>
        <v>48.94</v>
      </c>
      <c r="J1639" s="8">
        <f>[1]Data!J1639</f>
        <v>30.619669869999999</v>
      </c>
      <c r="K1639" s="8">
        <f>[1]Data!K1639</f>
        <v>46.619669870000003</v>
      </c>
      <c r="L1639" s="8">
        <f>[1]Data!L1639</f>
        <v>5.3200572349192097</v>
      </c>
      <c r="M1639" s="8">
        <f>[1]Data!M1639</f>
        <v>51.9397271049192</v>
      </c>
      <c r="N1639" s="8">
        <f>[1]Data!N1639</f>
        <v>1</v>
      </c>
      <c r="O1639" s="8">
        <f>[1]Data!O1639</f>
        <v>1</v>
      </c>
      <c r="P1639" s="8">
        <f>[1]Data!P1639</f>
        <v>0</v>
      </c>
      <c r="Q1639" s="8">
        <f>[1]Data!Q1639</f>
        <v>0</v>
      </c>
      <c r="R1639" s="8">
        <f>[1]Data!R1639</f>
        <v>0</v>
      </c>
      <c r="S1639" s="8">
        <f>[1]Data!S1639</f>
        <v>0</v>
      </c>
      <c r="T1639">
        <f t="shared" si="125"/>
        <v>1</v>
      </c>
      <c r="U1639">
        <f t="shared" si="126"/>
        <v>1</v>
      </c>
      <c r="V1639" s="4" t="str">
        <f t="shared" si="127"/>
        <v>8</v>
      </c>
      <c r="W1639" s="4" t="str">
        <f t="shared" si="128"/>
        <v>6</v>
      </c>
      <c r="X1639" s="4" t="str">
        <f t="shared" si="129"/>
        <v>8FAMILY6</v>
      </c>
      <c r="Y1639">
        <f>VLOOKUP(X1639,Sheet1!$J$5:$K$121,2,FALSE)</f>
        <v>0</v>
      </c>
    </row>
    <row r="1640" spans="1:25" x14ac:dyDescent="0.25">
      <c r="A1640" s="8">
        <f>[1]Data!A1640</f>
        <v>221710</v>
      </c>
      <c r="B1640" s="8">
        <f>[1]Data!B1640</f>
        <v>6</v>
      </c>
      <c r="C1640" s="8">
        <f>[1]Data!C1640</f>
        <v>8</v>
      </c>
      <c r="D1640" s="8">
        <f>[1]Data!D1640</f>
        <v>1</v>
      </c>
      <c r="E1640" s="8" t="str">
        <f>[1]Data!E1640</f>
        <v>INDIV</v>
      </c>
      <c r="F1640" s="8" t="str">
        <f>[1]Data!F1640</f>
        <v>Adams</v>
      </c>
      <c r="G1640" s="8">
        <f>[1]Data!G1640</f>
        <v>0</v>
      </c>
      <c r="H1640" s="8">
        <f>[1]Data!H1640</f>
        <v>0</v>
      </c>
      <c r="I1640" s="8">
        <f>[1]Data!I1640</f>
        <v>21.332000000000001</v>
      </c>
      <c r="J1640" s="8">
        <f>[1]Data!J1640</f>
        <v>5.26746318</v>
      </c>
      <c r="K1640" s="8">
        <f>[1]Data!K1640</f>
        <v>21.26746318</v>
      </c>
      <c r="L1640" s="8">
        <f>[1]Data!L1640</f>
        <v>6.3609185601436302E-2</v>
      </c>
      <c r="M1640" s="8">
        <f>[1]Data!M1640</f>
        <v>21.331072365601401</v>
      </c>
      <c r="N1640" s="8">
        <f>[1]Data!N1640</f>
        <v>3.2258064516128997E-2</v>
      </c>
      <c r="O1640" s="8">
        <f>[1]Data!O1640</f>
        <v>0</v>
      </c>
      <c r="P1640" s="8">
        <f>[1]Data!P1640</f>
        <v>0.19354838709677399</v>
      </c>
      <c r="Q1640" s="8">
        <f>[1]Data!Q1640</f>
        <v>1</v>
      </c>
      <c r="R1640" s="8">
        <f>[1]Data!R1640</f>
        <v>0.16666666666666699</v>
      </c>
      <c r="S1640" s="8">
        <f>[1]Data!S1640</f>
        <v>0</v>
      </c>
      <c r="T1640">
        <f t="shared" si="125"/>
        <v>0.19354838709677449</v>
      </c>
      <c r="U1640">
        <f t="shared" si="126"/>
        <v>0</v>
      </c>
      <c r="V1640" s="4" t="str">
        <f t="shared" si="127"/>
        <v>8</v>
      </c>
      <c r="W1640" s="4" t="str">
        <f t="shared" si="128"/>
        <v>6</v>
      </c>
      <c r="X1640" s="4" t="str">
        <f t="shared" si="129"/>
        <v>8INDIV6</v>
      </c>
      <c r="Y1640">
        <f>VLOOKUP(X1640,Sheet1!$J$5:$K$121,2,FALSE)</f>
        <v>0.16666666666666699</v>
      </c>
    </row>
    <row r="1641" spans="1:25" x14ac:dyDescent="0.25">
      <c r="A1641" s="8">
        <f>[1]Data!A1641</f>
        <v>231300</v>
      </c>
      <c r="B1641" s="8">
        <f>[1]Data!B1641</f>
        <v>6</v>
      </c>
      <c r="C1641" s="8">
        <f>[1]Data!C1641</f>
        <v>8</v>
      </c>
      <c r="D1641" s="8">
        <f>[1]Data!D1641</f>
        <v>2</v>
      </c>
      <c r="E1641" s="8" t="str">
        <f>[1]Data!E1641</f>
        <v>INDIV</v>
      </c>
      <c r="F1641" s="8" t="str">
        <f>[1]Data!F1641</f>
        <v>Adams</v>
      </c>
      <c r="G1641" s="8">
        <f>[1]Data!G1641</f>
        <v>0</v>
      </c>
      <c r="H1641" s="8">
        <f>[1]Data!H1641</f>
        <v>0</v>
      </c>
      <c r="I1641" s="8">
        <f>[1]Data!I1641</f>
        <v>31.187999999999999</v>
      </c>
      <c r="J1641" s="8">
        <f>[1]Data!J1641</f>
        <v>20.651108610000001</v>
      </c>
      <c r="K1641" s="8">
        <f>[1]Data!K1641</f>
        <v>29.651108610000001</v>
      </c>
      <c r="L1641" s="8">
        <f>[1]Data!L1641</f>
        <v>1.5361166228904799</v>
      </c>
      <c r="M1641" s="8">
        <f>[1]Data!M1641</f>
        <v>31.187225232890501</v>
      </c>
      <c r="N1641" s="8">
        <f>[1]Data!N1641</f>
        <v>3.2258064516128997E-2</v>
      </c>
      <c r="O1641" s="8">
        <f>[1]Data!O1641</f>
        <v>0</v>
      </c>
      <c r="P1641" s="8">
        <f>[1]Data!P1641</f>
        <v>0.19354838709677399</v>
      </c>
      <c r="Q1641" s="8">
        <f>[1]Data!Q1641</f>
        <v>1</v>
      </c>
      <c r="R1641" s="8">
        <f>[1]Data!R1641</f>
        <v>0.16666666666666699</v>
      </c>
      <c r="S1641" s="8">
        <f>[1]Data!S1641</f>
        <v>0</v>
      </c>
      <c r="T1641">
        <f t="shared" si="125"/>
        <v>0.19354838709677449</v>
      </c>
      <c r="U1641">
        <f t="shared" si="126"/>
        <v>0</v>
      </c>
      <c r="V1641" s="4" t="str">
        <f t="shared" si="127"/>
        <v>8</v>
      </c>
      <c r="W1641" s="4" t="str">
        <f t="shared" si="128"/>
        <v>6</v>
      </c>
      <c r="X1641" s="4" t="str">
        <f t="shared" si="129"/>
        <v>8INDIV6</v>
      </c>
      <c r="Y1641">
        <f>VLOOKUP(X1641,Sheet1!$J$5:$K$121,2,FALSE)</f>
        <v>0.16666666666666699</v>
      </c>
    </row>
    <row r="1642" spans="1:25" x14ac:dyDescent="0.25">
      <c r="A1642" s="8">
        <f>[1]Data!A1642</f>
        <v>237710</v>
      </c>
      <c r="B1642" s="8">
        <f>[1]Data!B1642</f>
        <v>6</v>
      </c>
      <c r="C1642" s="8">
        <f>[1]Data!C1642</f>
        <v>8</v>
      </c>
      <c r="D1642" s="8">
        <f>[1]Data!D1642</f>
        <v>2</v>
      </c>
      <c r="E1642" s="8" t="str">
        <f>[1]Data!E1642</f>
        <v>INDIV</v>
      </c>
      <c r="F1642" s="8" t="str">
        <f>[1]Data!F1642</f>
        <v>South Vermont</v>
      </c>
      <c r="G1642" s="8">
        <f>[1]Data!G1642</f>
        <v>0</v>
      </c>
      <c r="H1642" s="8">
        <f>[1]Data!H1642</f>
        <v>0</v>
      </c>
      <c r="I1642" s="8">
        <f>[1]Data!I1642</f>
        <v>35.081000000000003</v>
      </c>
      <c r="J1642" s="8">
        <f>[1]Data!J1642</f>
        <v>24.195117870000001</v>
      </c>
      <c r="K1642" s="8">
        <f>[1]Data!K1642</f>
        <v>34.195117869999997</v>
      </c>
      <c r="L1642" s="8">
        <f>[1]Data!L1642</f>
        <v>0.885679367540395</v>
      </c>
      <c r="M1642" s="8">
        <f>[1]Data!M1642</f>
        <v>35.080797237540402</v>
      </c>
      <c r="N1642" s="8">
        <f>[1]Data!N1642</f>
        <v>3.2258064516128997E-2</v>
      </c>
      <c r="O1642" s="8">
        <f>[1]Data!O1642</f>
        <v>0</v>
      </c>
      <c r="P1642" s="8">
        <f>[1]Data!P1642</f>
        <v>0.19354838709677399</v>
      </c>
      <c r="Q1642" s="8">
        <f>[1]Data!Q1642</f>
        <v>1</v>
      </c>
      <c r="R1642" s="8">
        <f>[1]Data!R1642</f>
        <v>0.16666666666666699</v>
      </c>
      <c r="S1642" s="8">
        <f>[1]Data!S1642</f>
        <v>0</v>
      </c>
      <c r="T1642">
        <f t="shared" si="125"/>
        <v>0.19354838709677449</v>
      </c>
      <c r="U1642">
        <f t="shared" si="126"/>
        <v>0</v>
      </c>
      <c r="V1642" s="4" t="str">
        <f t="shared" si="127"/>
        <v>8</v>
      </c>
      <c r="W1642" s="4" t="str">
        <f t="shared" si="128"/>
        <v>6</v>
      </c>
      <c r="X1642" s="4" t="str">
        <f t="shared" si="129"/>
        <v>8INDIV6</v>
      </c>
      <c r="Y1642">
        <f>VLOOKUP(X1642,Sheet1!$J$5:$K$121,2,FALSE)</f>
        <v>0.16666666666666699</v>
      </c>
    </row>
    <row r="1643" spans="1:25" x14ac:dyDescent="0.25">
      <c r="A1643" s="8">
        <f>[1]Data!A1643</f>
        <v>238320</v>
      </c>
      <c r="B1643" s="8">
        <f>[1]Data!B1643</f>
        <v>6</v>
      </c>
      <c r="C1643" s="8">
        <f>[1]Data!C1643</f>
        <v>8</v>
      </c>
      <c r="D1643" s="8">
        <f>[1]Data!D1643</f>
        <v>2</v>
      </c>
      <c r="E1643" s="8" t="str">
        <f>[1]Data!E1643</f>
        <v>INDIV</v>
      </c>
      <c r="F1643" s="8" t="str">
        <f>[1]Data!F1643</f>
        <v>South Vermont</v>
      </c>
      <c r="G1643" s="8">
        <f>[1]Data!G1643</f>
        <v>0</v>
      </c>
      <c r="H1643" s="8">
        <f>[1]Data!H1643</f>
        <v>0</v>
      </c>
      <c r="I1643" s="8">
        <f>[1]Data!I1643</f>
        <v>39.904000000000003</v>
      </c>
      <c r="J1643" s="8">
        <f>[1]Data!J1643</f>
        <v>14.386492499999999</v>
      </c>
      <c r="K1643" s="8">
        <f>[1]Data!K1643</f>
        <v>39.386492500000003</v>
      </c>
      <c r="L1643" s="8">
        <f>[1]Data!L1643</f>
        <v>0.51720322407540398</v>
      </c>
      <c r="M1643" s="8">
        <f>[1]Data!M1643</f>
        <v>39.903695724075398</v>
      </c>
      <c r="N1643" s="8">
        <f>[1]Data!N1643</f>
        <v>3.2258064516128997E-2</v>
      </c>
      <c r="O1643" s="8">
        <f>[1]Data!O1643</f>
        <v>0</v>
      </c>
      <c r="P1643" s="8">
        <f>[1]Data!P1643</f>
        <v>0.19354838709677399</v>
      </c>
      <c r="Q1643" s="8">
        <f>[1]Data!Q1643</f>
        <v>1</v>
      </c>
      <c r="R1643" s="8">
        <f>[1]Data!R1643</f>
        <v>0.16666666666666699</v>
      </c>
      <c r="S1643" s="8">
        <f>[1]Data!S1643</f>
        <v>0</v>
      </c>
      <c r="T1643">
        <f t="shared" si="125"/>
        <v>0.19354838709677449</v>
      </c>
      <c r="U1643">
        <f t="shared" si="126"/>
        <v>0</v>
      </c>
      <c r="V1643" s="4" t="str">
        <f t="shared" si="127"/>
        <v>8</v>
      </c>
      <c r="W1643" s="4" t="str">
        <f t="shared" si="128"/>
        <v>6</v>
      </c>
      <c r="X1643" s="4" t="str">
        <f t="shared" si="129"/>
        <v>8INDIV6</v>
      </c>
      <c r="Y1643">
        <f>VLOOKUP(X1643,Sheet1!$J$5:$K$121,2,FALSE)</f>
        <v>0.16666666666666699</v>
      </c>
    </row>
    <row r="1644" spans="1:25" x14ac:dyDescent="0.25">
      <c r="A1644" s="8">
        <f>[1]Data!A1644</f>
        <v>240500</v>
      </c>
      <c r="B1644" s="8">
        <f>[1]Data!B1644</f>
        <v>6</v>
      </c>
      <c r="C1644" s="8">
        <f>[1]Data!C1644</f>
        <v>8</v>
      </c>
      <c r="D1644" s="8">
        <f>[1]Data!D1644</f>
        <v>2</v>
      </c>
      <c r="E1644" s="8" t="str">
        <f>[1]Data!E1644</f>
        <v>INDIV</v>
      </c>
      <c r="F1644" s="8" t="str">
        <f>[1]Data!F1644</f>
        <v>Green Meadows</v>
      </c>
      <c r="G1644" s="8">
        <f>[1]Data!G1644</f>
        <v>0</v>
      </c>
      <c r="H1644" s="8">
        <f>[1]Data!H1644</f>
        <v>0</v>
      </c>
      <c r="I1644" s="8">
        <f>[1]Data!I1644</f>
        <v>29.722000000000001</v>
      </c>
      <c r="J1644" s="8">
        <f>[1]Data!J1644</f>
        <v>22.601118410000002</v>
      </c>
      <c r="K1644" s="8">
        <f>[1]Data!K1644</f>
        <v>28.601118410000002</v>
      </c>
      <c r="L1644" s="8">
        <f>[1]Data!L1644</f>
        <v>1.1208818805565499</v>
      </c>
      <c r="M1644" s="8">
        <f>[1]Data!M1644</f>
        <v>29.722000290556601</v>
      </c>
      <c r="N1644" s="8">
        <f>[1]Data!N1644</f>
        <v>3.2258064516128997E-2</v>
      </c>
      <c r="O1644" s="8">
        <f>[1]Data!O1644</f>
        <v>0</v>
      </c>
      <c r="P1644" s="8">
        <f>[1]Data!P1644</f>
        <v>0.19354838709677399</v>
      </c>
      <c r="Q1644" s="8">
        <f>[1]Data!Q1644</f>
        <v>1</v>
      </c>
      <c r="R1644" s="8">
        <f>[1]Data!R1644</f>
        <v>0.16666666666666699</v>
      </c>
      <c r="S1644" s="8">
        <f>[1]Data!S1644</f>
        <v>0</v>
      </c>
      <c r="T1644">
        <f t="shared" si="125"/>
        <v>0.19354838709677449</v>
      </c>
      <c r="U1644">
        <f t="shared" si="126"/>
        <v>0</v>
      </c>
      <c r="V1644" s="4" t="str">
        <f t="shared" si="127"/>
        <v>8</v>
      </c>
      <c r="W1644" s="4" t="str">
        <f t="shared" si="128"/>
        <v>6</v>
      </c>
      <c r="X1644" s="4" t="str">
        <f t="shared" si="129"/>
        <v>8INDIV6</v>
      </c>
      <c r="Y1644">
        <f>VLOOKUP(X1644,Sheet1!$J$5:$K$121,2,FALSE)</f>
        <v>0.16666666666666699</v>
      </c>
    </row>
    <row r="1645" spans="1:25" x14ac:dyDescent="0.25">
      <c r="A1645" s="8">
        <f>[1]Data!A1645</f>
        <v>240600</v>
      </c>
      <c r="B1645" s="8">
        <f>[1]Data!B1645</f>
        <v>6</v>
      </c>
      <c r="C1645" s="8">
        <f>[1]Data!C1645</f>
        <v>8</v>
      </c>
      <c r="D1645" s="8">
        <f>[1]Data!D1645</f>
        <v>2</v>
      </c>
      <c r="E1645" s="8" t="str">
        <f>[1]Data!E1645</f>
        <v>INDIV</v>
      </c>
      <c r="F1645" s="8" t="str">
        <f>[1]Data!F1645</f>
        <v>Green Meadows</v>
      </c>
      <c r="G1645" s="8">
        <f>[1]Data!G1645</f>
        <v>0</v>
      </c>
      <c r="H1645" s="8">
        <f>[1]Data!H1645</f>
        <v>1</v>
      </c>
      <c r="I1645" s="8">
        <f>[1]Data!I1645</f>
        <v>28.919</v>
      </c>
      <c r="J1645" s="8">
        <f>[1]Data!J1645</f>
        <v>19.006474409999999</v>
      </c>
      <c r="K1645" s="8">
        <f>[1]Data!K1645</f>
        <v>28.006474409999999</v>
      </c>
      <c r="L1645" s="8">
        <f>[1]Data!L1645</f>
        <v>0.91261746123877896</v>
      </c>
      <c r="M1645" s="8">
        <f>[1]Data!M1645</f>
        <v>28.919091871238798</v>
      </c>
      <c r="N1645" s="8">
        <f>[1]Data!N1645</f>
        <v>3.2258064516128997E-2</v>
      </c>
      <c r="O1645" s="8">
        <f>[1]Data!O1645</f>
        <v>0</v>
      </c>
      <c r="P1645" s="8">
        <f>[1]Data!P1645</f>
        <v>0.19354838709677399</v>
      </c>
      <c r="Q1645" s="8">
        <f>[1]Data!Q1645</f>
        <v>1</v>
      </c>
      <c r="R1645" s="8">
        <f>[1]Data!R1645</f>
        <v>0.16666666666666699</v>
      </c>
      <c r="S1645" s="8">
        <f>[1]Data!S1645</f>
        <v>6</v>
      </c>
      <c r="T1645">
        <f t="shared" si="125"/>
        <v>0.19354838709677449</v>
      </c>
      <c r="U1645">
        <f t="shared" si="126"/>
        <v>5.166666666666659</v>
      </c>
      <c r="V1645" s="4" t="str">
        <f t="shared" si="127"/>
        <v>8</v>
      </c>
      <c r="W1645" s="4" t="str">
        <f t="shared" si="128"/>
        <v>6</v>
      </c>
      <c r="X1645" s="4" t="str">
        <f t="shared" si="129"/>
        <v>8INDIV6</v>
      </c>
      <c r="Y1645">
        <f>VLOOKUP(X1645,Sheet1!$J$5:$K$121,2,FALSE)</f>
        <v>0.16666666666666699</v>
      </c>
    </row>
    <row r="1646" spans="1:25" x14ac:dyDescent="0.25">
      <c r="A1646" s="8">
        <f>[1]Data!A1646</f>
        <v>222500</v>
      </c>
      <c r="B1646" s="8">
        <f>[1]Data!B1646</f>
        <v>6</v>
      </c>
      <c r="C1646" s="8">
        <f>[1]Data!C1646</f>
        <v>8</v>
      </c>
      <c r="D1646" s="8">
        <f>[1]Data!D1646</f>
        <v>2</v>
      </c>
      <c r="E1646" s="8" t="str">
        <f>[1]Data!E1646</f>
        <v>NON-HS</v>
      </c>
      <c r="F1646" s="8" t="str">
        <f>[1]Data!F1646</f>
        <v>Adams</v>
      </c>
      <c r="G1646" s="8">
        <f>[1]Data!G1646</f>
        <v>0</v>
      </c>
      <c r="H1646" s="8">
        <f>[1]Data!H1646</f>
        <v>0</v>
      </c>
      <c r="I1646" s="8">
        <f>[1]Data!I1646</f>
        <v>5.5910000000000002</v>
      </c>
      <c r="J1646" s="8">
        <f>[1]Data!J1646</f>
        <v>1.43919657</v>
      </c>
      <c r="K1646" s="8">
        <f>[1]Data!K1646</f>
        <v>5.43919657</v>
      </c>
      <c r="L1646" s="8">
        <f>[1]Data!L1646</f>
        <v>0.15145200614003601</v>
      </c>
      <c r="M1646" s="8">
        <f>[1]Data!M1646</f>
        <v>5.5906485761400404</v>
      </c>
      <c r="N1646" s="8">
        <f>[1]Data!N1646</f>
        <v>2.34375E-2</v>
      </c>
      <c r="O1646" s="8">
        <f>[1]Data!O1646</f>
        <v>0</v>
      </c>
      <c r="P1646" s="8">
        <f>[1]Data!P1646</f>
        <v>0.265625</v>
      </c>
      <c r="Q1646" s="8">
        <f>[1]Data!Q1646</f>
        <v>1</v>
      </c>
      <c r="R1646" s="8">
        <f>[1]Data!R1646</f>
        <v>0.15151515151515199</v>
      </c>
      <c r="S1646" s="8">
        <f>[1]Data!S1646</f>
        <v>0</v>
      </c>
      <c r="T1646">
        <f t="shared" si="125"/>
        <v>0.17140151515151561</v>
      </c>
      <c r="U1646">
        <f t="shared" si="126"/>
        <v>0</v>
      </c>
      <c r="V1646" s="4" t="str">
        <f t="shared" si="127"/>
        <v>8</v>
      </c>
      <c r="W1646" s="4" t="str">
        <f t="shared" si="128"/>
        <v>6</v>
      </c>
      <c r="X1646" s="4" t="str">
        <f t="shared" si="129"/>
        <v>8NON-HS6</v>
      </c>
      <c r="Y1646">
        <f>VLOOKUP(X1646,Sheet1!$J$5:$K$121,2,FALSE)</f>
        <v>0.15151515151515199</v>
      </c>
    </row>
    <row r="1647" spans="1:25" x14ac:dyDescent="0.25">
      <c r="A1647" s="8">
        <f>[1]Data!A1647</f>
        <v>221500</v>
      </c>
      <c r="B1647" s="8">
        <f>[1]Data!B1647</f>
        <v>6</v>
      </c>
      <c r="C1647" s="8">
        <f>[1]Data!C1647</f>
        <v>8</v>
      </c>
      <c r="D1647" s="8">
        <f>[1]Data!D1647</f>
        <v>2</v>
      </c>
      <c r="E1647" s="8" t="str">
        <f>[1]Data!E1647</f>
        <v>NON-HS</v>
      </c>
      <c r="F1647" s="8" t="str">
        <f>[1]Data!F1647</f>
        <v>Adams</v>
      </c>
      <c r="G1647" s="8">
        <f>[1]Data!G1647</f>
        <v>0</v>
      </c>
      <c r="H1647" s="8">
        <f>[1]Data!H1647</f>
        <v>1</v>
      </c>
      <c r="I1647" s="8">
        <f>[1]Data!I1647</f>
        <v>13.509</v>
      </c>
      <c r="J1647" s="8">
        <f>[1]Data!J1647</f>
        <v>9.1149552800000002</v>
      </c>
      <c r="K1647" s="8">
        <f>[1]Data!K1647</f>
        <v>13.11495528</v>
      </c>
      <c r="L1647" s="8">
        <f>[1]Data!L1647</f>
        <v>0.39380815509874301</v>
      </c>
      <c r="M1647" s="8">
        <f>[1]Data!M1647</f>
        <v>13.5087634350987</v>
      </c>
      <c r="N1647" s="8">
        <f>[1]Data!N1647</f>
        <v>2.34375E-2</v>
      </c>
      <c r="O1647" s="8">
        <f>[1]Data!O1647</f>
        <v>0</v>
      </c>
      <c r="P1647" s="8">
        <f>[1]Data!P1647</f>
        <v>0.265625</v>
      </c>
      <c r="Q1647" s="8">
        <f>[1]Data!Q1647</f>
        <v>1</v>
      </c>
      <c r="R1647" s="8">
        <f>[1]Data!R1647</f>
        <v>0.15151515151515199</v>
      </c>
      <c r="S1647" s="8">
        <f>[1]Data!S1647</f>
        <v>6.6</v>
      </c>
      <c r="T1647">
        <f t="shared" si="125"/>
        <v>0.17140151515151561</v>
      </c>
      <c r="U1647">
        <f t="shared" si="126"/>
        <v>5.8342541436463931</v>
      </c>
      <c r="V1647" s="4" t="str">
        <f t="shared" si="127"/>
        <v>8</v>
      </c>
      <c r="W1647" s="4" t="str">
        <f t="shared" si="128"/>
        <v>6</v>
      </c>
      <c r="X1647" s="4" t="str">
        <f t="shared" si="129"/>
        <v>8NON-HS6</v>
      </c>
      <c r="Y1647">
        <f>VLOOKUP(X1647,Sheet1!$J$5:$K$121,2,FALSE)</f>
        <v>0.15151515151515199</v>
      </c>
    </row>
    <row r="1648" spans="1:25" x14ac:dyDescent="0.25">
      <c r="A1648" s="8">
        <f>[1]Data!A1648</f>
        <v>221601</v>
      </c>
      <c r="B1648" s="8">
        <f>[1]Data!B1648</f>
        <v>6</v>
      </c>
      <c r="C1648" s="8">
        <f>[1]Data!C1648</f>
        <v>8</v>
      </c>
      <c r="D1648" s="8">
        <f>[1]Data!D1648</f>
        <v>2</v>
      </c>
      <c r="E1648" s="8" t="str">
        <f>[1]Data!E1648</f>
        <v>NON-HS</v>
      </c>
      <c r="F1648" s="8" t="str">
        <f>[1]Data!F1648</f>
        <v>Adams</v>
      </c>
      <c r="G1648" s="8">
        <f>[1]Data!G1648</f>
        <v>0</v>
      </c>
      <c r="H1648" s="8">
        <f>[1]Data!H1648</f>
        <v>1</v>
      </c>
      <c r="I1648" s="8">
        <f>[1]Data!I1648</f>
        <v>21.271000000000001</v>
      </c>
      <c r="J1648" s="8">
        <f>[1]Data!J1648</f>
        <v>19.521717720000002</v>
      </c>
      <c r="K1648" s="8">
        <f>[1]Data!K1648</f>
        <v>20.521717720000002</v>
      </c>
      <c r="L1648" s="8">
        <f>[1]Data!L1648</f>
        <v>0.74953689662477596</v>
      </c>
      <c r="M1648" s="8">
        <f>[1]Data!M1648</f>
        <v>21.271254616624802</v>
      </c>
      <c r="N1648" s="8">
        <f>[1]Data!N1648</f>
        <v>2.34375E-2</v>
      </c>
      <c r="O1648" s="8">
        <f>[1]Data!O1648</f>
        <v>0</v>
      </c>
      <c r="P1648" s="8">
        <f>[1]Data!P1648</f>
        <v>0.265625</v>
      </c>
      <c r="Q1648" s="8">
        <f>[1]Data!Q1648</f>
        <v>1</v>
      </c>
      <c r="R1648" s="8">
        <f>[1]Data!R1648</f>
        <v>0.15151515151515199</v>
      </c>
      <c r="S1648" s="8">
        <f>[1]Data!S1648</f>
        <v>6.6</v>
      </c>
      <c r="T1648">
        <f t="shared" si="125"/>
        <v>0.17140151515151561</v>
      </c>
      <c r="U1648">
        <f t="shared" si="126"/>
        <v>5.8342541436463931</v>
      </c>
      <c r="V1648" s="4" t="str">
        <f t="shared" si="127"/>
        <v>8</v>
      </c>
      <c r="W1648" s="4" t="str">
        <f t="shared" si="128"/>
        <v>6</v>
      </c>
      <c r="X1648" s="4" t="str">
        <f t="shared" si="129"/>
        <v>8NON-HS6</v>
      </c>
      <c r="Y1648">
        <f>VLOOKUP(X1648,Sheet1!$J$5:$K$121,2,FALSE)</f>
        <v>0.15151515151515199</v>
      </c>
    </row>
    <row r="1649" spans="1:25" x14ac:dyDescent="0.25">
      <c r="A1649" s="8">
        <f>[1]Data!A1649</f>
        <v>221810</v>
      </c>
      <c r="B1649" s="8">
        <f>[1]Data!B1649</f>
        <v>6</v>
      </c>
      <c r="C1649" s="8">
        <f>[1]Data!C1649</f>
        <v>8</v>
      </c>
      <c r="D1649" s="8">
        <f>[1]Data!D1649</f>
        <v>2</v>
      </c>
      <c r="E1649" s="8" t="str">
        <f>[1]Data!E1649</f>
        <v>NON-HS</v>
      </c>
      <c r="F1649" s="8" t="str">
        <f>[1]Data!F1649</f>
        <v>Adams</v>
      </c>
      <c r="G1649" s="8">
        <f>[1]Data!G1649</f>
        <v>0</v>
      </c>
      <c r="H1649" s="8">
        <f>[1]Data!H1649</f>
        <v>0</v>
      </c>
      <c r="I1649" s="8">
        <f>[1]Data!I1649</f>
        <v>19.684999999999999</v>
      </c>
      <c r="J1649" s="8">
        <f>[1]Data!J1649</f>
        <v>17.774477220000001</v>
      </c>
      <c r="K1649" s="8">
        <f>[1]Data!K1649</f>
        <v>18.774477220000001</v>
      </c>
      <c r="L1649" s="8">
        <f>[1]Data!L1649</f>
        <v>0.91000613314183099</v>
      </c>
      <c r="M1649" s="8">
        <f>[1]Data!M1649</f>
        <v>19.6844833531418</v>
      </c>
      <c r="N1649" s="8">
        <f>[1]Data!N1649</f>
        <v>2.34375E-2</v>
      </c>
      <c r="O1649" s="8">
        <f>[1]Data!O1649</f>
        <v>0</v>
      </c>
      <c r="P1649" s="8">
        <f>[1]Data!P1649</f>
        <v>0.265625</v>
      </c>
      <c r="Q1649" s="8">
        <f>[1]Data!Q1649</f>
        <v>1</v>
      </c>
      <c r="R1649" s="8">
        <f>[1]Data!R1649</f>
        <v>0.15151515151515199</v>
      </c>
      <c r="S1649" s="8">
        <f>[1]Data!S1649</f>
        <v>0</v>
      </c>
      <c r="T1649">
        <f t="shared" si="125"/>
        <v>0.17140151515151561</v>
      </c>
      <c r="U1649">
        <f t="shared" si="126"/>
        <v>0</v>
      </c>
      <c r="V1649" s="4" t="str">
        <f t="shared" si="127"/>
        <v>8</v>
      </c>
      <c r="W1649" s="4" t="str">
        <f t="shared" si="128"/>
        <v>6</v>
      </c>
      <c r="X1649" s="4" t="str">
        <f t="shared" si="129"/>
        <v>8NON-HS6</v>
      </c>
      <c r="Y1649">
        <f>VLOOKUP(X1649,Sheet1!$J$5:$K$121,2,FALSE)</f>
        <v>0.15151515151515199</v>
      </c>
    </row>
    <row r="1650" spans="1:25" x14ac:dyDescent="0.25">
      <c r="A1650" s="8">
        <f>[1]Data!A1650</f>
        <v>222002</v>
      </c>
      <c r="B1650" s="8">
        <f>[1]Data!B1650</f>
        <v>6</v>
      </c>
      <c r="C1650" s="8">
        <f>[1]Data!C1650</f>
        <v>8</v>
      </c>
      <c r="D1650" s="8">
        <f>[1]Data!D1650</f>
        <v>2</v>
      </c>
      <c r="E1650" s="8" t="str">
        <f>[1]Data!E1650</f>
        <v>NON-HS</v>
      </c>
      <c r="F1650" s="8" t="str">
        <f>[1]Data!F1650</f>
        <v>Adams</v>
      </c>
      <c r="G1650" s="8">
        <f>[1]Data!G1650</f>
        <v>0</v>
      </c>
      <c r="H1650" s="8">
        <f>[1]Data!H1650</f>
        <v>0</v>
      </c>
      <c r="I1650" s="8">
        <f>[1]Data!I1650</f>
        <v>23.19</v>
      </c>
      <c r="J1650" s="8">
        <f>[1]Data!J1650</f>
        <v>14.659965120000001</v>
      </c>
      <c r="K1650" s="8">
        <f>[1]Data!K1650</f>
        <v>22.659965119999999</v>
      </c>
      <c r="L1650" s="8">
        <f>[1]Data!L1650</f>
        <v>0.53065813256732497</v>
      </c>
      <c r="M1650" s="8">
        <f>[1]Data!M1650</f>
        <v>23.190623252567299</v>
      </c>
      <c r="N1650" s="8">
        <f>[1]Data!N1650</f>
        <v>2.34375E-2</v>
      </c>
      <c r="O1650" s="8">
        <f>[1]Data!O1650</f>
        <v>0</v>
      </c>
      <c r="P1650" s="8">
        <f>[1]Data!P1650</f>
        <v>0.265625</v>
      </c>
      <c r="Q1650" s="8">
        <f>[1]Data!Q1650</f>
        <v>1</v>
      </c>
      <c r="R1650" s="8">
        <f>[1]Data!R1650</f>
        <v>0.15151515151515199</v>
      </c>
      <c r="S1650" s="8">
        <f>[1]Data!S1650</f>
        <v>0</v>
      </c>
      <c r="T1650">
        <f t="shared" si="125"/>
        <v>0.17140151515151561</v>
      </c>
      <c r="U1650">
        <f t="shared" si="126"/>
        <v>0</v>
      </c>
      <c r="V1650" s="4" t="str">
        <f t="shared" si="127"/>
        <v>8</v>
      </c>
      <c r="W1650" s="4" t="str">
        <f t="shared" si="128"/>
        <v>6</v>
      </c>
      <c r="X1650" s="4" t="str">
        <f t="shared" si="129"/>
        <v>8NON-HS6</v>
      </c>
      <c r="Y1650">
        <f>VLOOKUP(X1650,Sheet1!$J$5:$K$121,2,FALSE)</f>
        <v>0.15151515151515199</v>
      </c>
    </row>
    <row r="1651" spans="1:25" x14ac:dyDescent="0.25">
      <c r="A1651" s="8">
        <f>[1]Data!A1651</f>
        <v>222600</v>
      </c>
      <c r="B1651" s="8">
        <f>[1]Data!B1651</f>
        <v>6</v>
      </c>
      <c r="C1651" s="8">
        <f>[1]Data!C1651</f>
        <v>8</v>
      </c>
      <c r="D1651" s="8">
        <f>[1]Data!D1651</f>
        <v>2</v>
      </c>
      <c r="E1651" s="8" t="str">
        <f>[1]Data!E1651</f>
        <v>NON-HS</v>
      </c>
      <c r="F1651" s="8" t="str">
        <f>[1]Data!F1651</f>
        <v>Adams</v>
      </c>
      <c r="G1651" s="8">
        <f>[1]Data!G1651</f>
        <v>0</v>
      </c>
      <c r="H1651" s="8">
        <f>[1]Data!H1651</f>
        <v>0</v>
      </c>
      <c r="I1651" s="8">
        <f>[1]Data!I1651</f>
        <v>6.4240000000000004</v>
      </c>
      <c r="J1651" s="8">
        <f>[1]Data!J1651</f>
        <v>5.1993965099999997</v>
      </c>
      <c r="K1651" s="8">
        <f>[1]Data!K1651</f>
        <v>6.1993965099999997</v>
      </c>
      <c r="L1651" s="8">
        <f>[1]Data!L1651</f>
        <v>0.22495653086175901</v>
      </c>
      <c r="M1651" s="8">
        <f>[1]Data!M1651</f>
        <v>6.4243530408617602</v>
      </c>
      <c r="N1651" s="8">
        <f>[1]Data!N1651</f>
        <v>2.34375E-2</v>
      </c>
      <c r="O1651" s="8">
        <f>[1]Data!O1651</f>
        <v>0</v>
      </c>
      <c r="P1651" s="8">
        <f>[1]Data!P1651</f>
        <v>0.265625</v>
      </c>
      <c r="Q1651" s="8">
        <f>[1]Data!Q1651</f>
        <v>1</v>
      </c>
      <c r="R1651" s="8">
        <f>[1]Data!R1651</f>
        <v>0.15151515151515199</v>
      </c>
      <c r="S1651" s="8">
        <f>[1]Data!S1651</f>
        <v>0</v>
      </c>
      <c r="T1651">
        <f t="shared" si="125"/>
        <v>0.17140151515151561</v>
      </c>
      <c r="U1651">
        <f t="shared" si="126"/>
        <v>0</v>
      </c>
      <c r="V1651" s="4" t="str">
        <f t="shared" si="127"/>
        <v>8</v>
      </c>
      <c r="W1651" s="4" t="str">
        <f t="shared" si="128"/>
        <v>6</v>
      </c>
      <c r="X1651" s="4" t="str">
        <f t="shared" si="129"/>
        <v>8NON-HS6</v>
      </c>
      <c r="Y1651">
        <f>VLOOKUP(X1651,Sheet1!$J$5:$K$121,2,FALSE)</f>
        <v>0.15151515151515199</v>
      </c>
    </row>
    <row r="1652" spans="1:25" x14ac:dyDescent="0.25">
      <c r="A1652" s="8">
        <f>[1]Data!A1652</f>
        <v>234901</v>
      </c>
      <c r="B1652" s="8">
        <f>[1]Data!B1652</f>
        <v>6</v>
      </c>
      <c r="C1652" s="8">
        <f>[1]Data!C1652</f>
        <v>8</v>
      </c>
      <c r="D1652" s="8">
        <f>[1]Data!D1652</f>
        <v>2</v>
      </c>
      <c r="E1652" s="8" t="str">
        <f>[1]Data!E1652</f>
        <v>NON-HS</v>
      </c>
      <c r="F1652" s="8" t="str">
        <f>[1]Data!F1652</f>
        <v>Baldwin Hills / Crenshaw</v>
      </c>
      <c r="G1652" s="8">
        <f>[1]Data!G1652</f>
        <v>0</v>
      </c>
      <c r="H1652" s="8">
        <f>[1]Data!H1652</f>
        <v>0</v>
      </c>
      <c r="I1652" s="8">
        <f>[1]Data!I1652</f>
        <v>19.940000000000001</v>
      </c>
      <c r="J1652" s="8">
        <f>[1]Data!J1652</f>
        <v>18.747990420000001</v>
      </c>
      <c r="K1652" s="8">
        <f>[1]Data!K1652</f>
        <v>18.747990420000001</v>
      </c>
      <c r="L1652" s="8">
        <f>[1]Data!L1652</f>
        <v>1.19228482333932</v>
      </c>
      <c r="M1652" s="8">
        <f>[1]Data!M1652</f>
        <v>19.9402752433393</v>
      </c>
      <c r="N1652" s="8">
        <f>[1]Data!N1652</f>
        <v>2.34375E-2</v>
      </c>
      <c r="O1652" s="8">
        <f>[1]Data!O1652</f>
        <v>0</v>
      </c>
      <c r="P1652" s="8">
        <f>[1]Data!P1652</f>
        <v>0.265625</v>
      </c>
      <c r="Q1652" s="8">
        <f>[1]Data!Q1652</f>
        <v>1</v>
      </c>
      <c r="R1652" s="8">
        <f>[1]Data!R1652</f>
        <v>0.15151515151515199</v>
      </c>
      <c r="S1652" s="8">
        <f>[1]Data!S1652</f>
        <v>0</v>
      </c>
      <c r="T1652">
        <f t="shared" si="125"/>
        <v>0.17140151515151561</v>
      </c>
      <c r="U1652">
        <f t="shared" si="126"/>
        <v>0</v>
      </c>
      <c r="V1652" s="4" t="str">
        <f t="shared" si="127"/>
        <v>8</v>
      </c>
      <c r="W1652" s="4" t="str">
        <f t="shared" si="128"/>
        <v>6</v>
      </c>
      <c r="X1652" s="4" t="str">
        <f t="shared" si="129"/>
        <v>8NON-HS6</v>
      </c>
      <c r="Y1652">
        <f>VLOOKUP(X1652,Sheet1!$J$5:$K$121,2,FALSE)</f>
        <v>0.15151515151515199</v>
      </c>
    </row>
    <row r="1653" spans="1:25" x14ac:dyDescent="0.25">
      <c r="A1653" s="8">
        <f>[1]Data!A1653</f>
        <v>222200</v>
      </c>
      <c r="B1653" s="8">
        <f>[1]Data!B1653</f>
        <v>6</v>
      </c>
      <c r="C1653" s="8">
        <f>[1]Data!C1653</f>
        <v>8</v>
      </c>
      <c r="D1653" s="8">
        <f>[1]Data!D1653</f>
        <v>2</v>
      </c>
      <c r="E1653" s="8" t="str">
        <f>[1]Data!E1653</f>
        <v>NON-HS</v>
      </c>
      <c r="F1653" s="8" t="str">
        <f>[1]Data!F1653</f>
        <v>Adams</v>
      </c>
      <c r="G1653" s="8">
        <f>[1]Data!G1653</f>
        <v>0</v>
      </c>
      <c r="H1653" s="8">
        <f>[1]Data!H1653</f>
        <v>0</v>
      </c>
      <c r="I1653" s="8">
        <f>[1]Data!I1653</f>
        <v>11.896000000000001</v>
      </c>
      <c r="J1653" s="8">
        <f>[1]Data!J1653</f>
        <v>11.278875149999999</v>
      </c>
      <c r="K1653" s="8">
        <f>[1]Data!K1653</f>
        <v>11.278875149999999</v>
      </c>
      <c r="L1653" s="8">
        <f>[1]Data!L1653</f>
        <v>0.61676773375224403</v>
      </c>
      <c r="M1653" s="8">
        <f>[1]Data!M1653</f>
        <v>11.895642883752201</v>
      </c>
      <c r="N1653" s="8">
        <f>[1]Data!N1653</f>
        <v>2.34375E-2</v>
      </c>
      <c r="O1653" s="8">
        <f>[1]Data!O1653</f>
        <v>0</v>
      </c>
      <c r="P1653" s="8">
        <f>[1]Data!P1653</f>
        <v>0.265625</v>
      </c>
      <c r="Q1653" s="8">
        <f>[1]Data!Q1653</f>
        <v>1</v>
      </c>
      <c r="R1653" s="8">
        <f>[1]Data!R1653</f>
        <v>0.15151515151515199</v>
      </c>
      <c r="S1653" s="8">
        <f>[1]Data!S1653</f>
        <v>0</v>
      </c>
      <c r="T1653">
        <f t="shared" si="125"/>
        <v>0.17140151515151561</v>
      </c>
      <c r="U1653">
        <f t="shared" si="126"/>
        <v>0</v>
      </c>
      <c r="V1653" s="4" t="str">
        <f t="shared" si="127"/>
        <v>8</v>
      </c>
      <c r="W1653" s="4" t="str">
        <f t="shared" si="128"/>
        <v>6</v>
      </c>
      <c r="X1653" s="4" t="str">
        <f t="shared" si="129"/>
        <v>8NON-HS6</v>
      </c>
      <c r="Y1653">
        <f>VLOOKUP(X1653,Sheet1!$J$5:$K$121,2,FALSE)</f>
        <v>0.15151515151515199</v>
      </c>
    </row>
    <row r="1654" spans="1:25" x14ac:dyDescent="0.25">
      <c r="A1654" s="8">
        <f>[1]Data!A1654</f>
        <v>231210</v>
      </c>
      <c r="B1654" s="8">
        <f>[1]Data!B1654</f>
        <v>6</v>
      </c>
      <c r="C1654" s="8">
        <f>[1]Data!C1654</f>
        <v>8</v>
      </c>
      <c r="D1654" s="8">
        <f>[1]Data!D1654</f>
        <v>2</v>
      </c>
      <c r="E1654" s="8" t="str">
        <f>[1]Data!E1654</f>
        <v>NON-HS</v>
      </c>
      <c r="F1654" s="8" t="str">
        <f>[1]Data!F1654</f>
        <v>Adams</v>
      </c>
      <c r="G1654" s="8">
        <f>[1]Data!G1654</f>
        <v>0</v>
      </c>
      <c r="H1654" s="8">
        <f>[1]Data!H1654</f>
        <v>0</v>
      </c>
      <c r="I1654" s="8">
        <f>[1]Data!I1654</f>
        <v>0</v>
      </c>
      <c r="J1654" s="8">
        <f>[1]Data!J1654</f>
        <v>0</v>
      </c>
      <c r="K1654" s="8">
        <f>[1]Data!K1654</f>
        <v>0</v>
      </c>
      <c r="L1654" s="8">
        <f>[1]Data!L1654</f>
        <v>0</v>
      </c>
      <c r="M1654" s="8">
        <f>[1]Data!M1654</f>
        <v>0</v>
      </c>
      <c r="N1654" s="8">
        <f>[1]Data!N1654</f>
        <v>2.34375E-2</v>
      </c>
      <c r="O1654" s="8">
        <f>[1]Data!O1654</f>
        <v>0</v>
      </c>
      <c r="P1654" s="8">
        <f>[1]Data!P1654</f>
        <v>0.265625</v>
      </c>
      <c r="Q1654" s="8">
        <f>[1]Data!Q1654</f>
        <v>1</v>
      </c>
      <c r="R1654" s="8">
        <f>[1]Data!R1654</f>
        <v>0.15151515151515199</v>
      </c>
      <c r="S1654" s="8">
        <f>[1]Data!S1654</f>
        <v>0</v>
      </c>
      <c r="T1654">
        <f t="shared" si="125"/>
        <v>0.17140151515151561</v>
      </c>
      <c r="U1654">
        <f t="shared" si="126"/>
        <v>0</v>
      </c>
      <c r="V1654" s="4" t="str">
        <f t="shared" si="127"/>
        <v>8</v>
      </c>
      <c r="W1654" s="4" t="str">
        <f t="shared" si="128"/>
        <v>6</v>
      </c>
      <c r="X1654" s="4" t="str">
        <f t="shared" si="129"/>
        <v>8NON-HS6</v>
      </c>
      <c r="Y1654">
        <f>VLOOKUP(X1654,Sheet1!$J$5:$K$121,2,FALSE)</f>
        <v>0.15151515151515199</v>
      </c>
    </row>
    <row r="1655" spans="1:25" x14ac:dyDescent="0.25">
      <c r="A1655" s="8">
        <f>[1]Data!A1655</f>
        <v>231400</v>
      </c>
      <c r="B1655" s="8">
        <f>[1]Data!B1655</f>
        <v>6</v>
      </c>
      <c r="C1655" s="8">
        <f>[1]Data!C1655</f>
        <v>8</v>
      </c>
      <c r="D1655" s="8">
        <f>[1]Data!D1655</f>
        <v>2</v>
      </c>
      <c r="E1655" s="8" t="str">
        <f>[1]Data!E1655</f>
        <v>NON-HS</v>
      </c>
      <c r="F1655" s="8" t="str">
        <f>[1]Data!F1655</f>
        <v>Adams</v>
      </c>
      <c r="G1655" s="8">
        <f>[1]Data!G1655</f>
        <v>0</v>
      </c>
      <c r="H1655" s="8">
        <f>[1]Data!H1655</f>
        <v>0</v>
      </c>
      <c r="I1655" s="8">
        <f>[1]Data!I1655</f>
        <v>0</v>
      </c>
      <c r="J1655" s="8">
        <f>[1]Data!J1655</f>
        <v>0</v>
      </c>
      <c r="K1655" s="8">
        <f>[1]Data!K1655</f>
        <v>0</v>
      </c>
      <c r="L1655" s="8">
        <f>[1]Data!L1655</f>
        <v>0</v>
      </c>
      <c r="M1655" s="8">
        <f>[1]Data!M1655</f>
        <v>0</v>
      </c>
      <c r="N1655" s="8">
        <f>[1]Data!N1655</f>
        <v>2.34375E-2</v>
      </c>
      <c r="O1655" s="8">
        <f>[1]Data!O1655</f>
        <v>0</v>
      </c>
      <c r="P1655" s="8">
        <f>[1]Data!P1655</f>
        <v>0.265625</v>
      </c>
      <c r="Q1655" s="8">
        <f>[1]Data!Q1655</f>
        <v>1</v>
      </c>
      <c r="R1655" s="8">
        <f>[1]Data!R1655</f>
        <v>0.15151515151515199</v>
      </c>
      <c r="S1655" s="8">
        <f>[1]Data!S1655</f>
        <v>0</v>
      </c>
      <c r="T1655">
        <f t="shared" si="125"/>
        <v>0.17140151515151561</v>
      </c>
      <c r="U1655">
        <f t="shared" si="126"/>
        <v>0</v>
      </c>
      <c r="V1655" s="4" t="str">
        <f t="shared" si="127"/>
        <v>8</v>
      </c>
      <c r="W1655" s="4" t="str">
        <f t="shared" si="128"/>
        <v>6</v>
      </c>
      <c r="X1655" s="4" t="str">
        <f t="shared" si="129"/>
        <v>8NON-HS6</v>
      </c>
      <c r="Y1655">
        <f>VLOOKUP(X1655,Sheet1!$J$5:$K$121,2,FALSE)</f>
        <v>0.15151515151515199</v>
      </c>
    </row>
    <row r="1656" spans="1:25" x14ac:dyDescent="0.25">
      <c r="A1656" s="8">
        <f>[1]Data!A1656</f>
        <v>231500</v>
      </c>
      <c r="B1656" s="8">
        <f>[1]Data!B1656</f>
        <v>6</v>
      </c>
      <c r="C1656" s="8">
        <f>[1]Data!C1656</f>
        <v>8</v>
      </c>
      <c r="D1656" s="8">
        <f>[1]Data!D1656</f>
        <v>2</v>
      </c>
      <c r="E1656" s="8" t="str">
        <f>[1]Data!E1656</f>
        <v>NON-HS</v>
      </c>
      <c r="F1656" s="8" t="str">
        <f>[1]Data!F1656</f>
        <v>Vermont Square</v>
      </c>
      <c r="G1656" s="8">
        <f>[1]Data!G1656</f>
        <v>0</v>
      </c>
      <c r="H1656" s="8">
        <f>[1]Data!H1656</f>
        <v>0</v>
      </c>
      <c r="I1656" s="8">
        <f>[1]Data!I1656</f>
        <v>11.093</v>
      </c>
      <c r="J1656" s="8">
        <f>[1]Data!J1656</f>
        <v>7.6842311499999996</v>
      </c>
      <c r="K1656" s="8">
        <f>[1]Data!K1656</f>
        <v>10.68423115</v>
      </c>
      <c r="L1656" s="8">
        <f>[1]Data!L1656</f>
        <v>0.40850331443447002</v>
      </c>
      <c r="M1656" s="8">
        <f>[1]Data!M1656</f>
        <v>11.0927344644345</v>
      </c>
      <c r="N1656" s="8">
        <f>[1]Data!N1656</f>
        <v>2.34375E-2</v>
      </c>
      <c r="O1656" s="8">
        <f>[1]Data!O1656</f>
        <v>0</v>
      </c>
      <c r="P1656" s="8">
        <f>[1]Data!P1656</f>
        <v>0.265625</v>
      </c>
      <c r="Q1656" s="8">
        <f>[1]Data!Q1656</f>
        <v>1</v>
      </c>
      <c r="R1656" s="8">
        <f>[1]Data!R1656</f>
        <v>0.15151515151515199</v>
      </c>
      <c r="S1656" s="8">
        <f>[1]Data!S1656</f>
        <v>0</v>
      </c>
      <c r="T1656">
        <f t="shared" si="125"/>
        <v>0.17140151515151561</v>
      </c>
      <c r="U1656">
        <f t="shared" si="126"/>
        <v>0</v>
      </c>
      <c r="V1656" s="4" t="str">
        <f t="shared" si="127"/>
        <v>8</v>
      </c>
      <c r="W1656" s="4" t="str">
        <f t="shared" si="128"/>
        <v>6</v>
      </c>
      <c r="X1656" s="4" t="str">
        <f t="shared" si="129"/>
        <v>8NON-HS6</v>
      </c>
      <c r="Y1656">
        <f>VLOOKUP(X1656,Sheet1!$J$5:$K$121,2,FALSE)</f>
        <v>0.15151515151515199</v>
      </c>
    </row>
    <row r="1657" spans="1:25" x14ac:dyDescent="0.25">
      <c r="A1657" s="8">
        <f>[1]Data!A1657</f>
        <v>232500</v>
      </c>
      <c r="B1657" s="8">
        <f>[1]Data!B1657</f>
        <v>6</v>
      </c>
      <c r="C1657" s="8">
        <f>[1]Data!C1657</f>
        <v>8</v>
      </c>
      <c r="D1657" s="8">
        <f>[1]Data!D1657</f>
        <v>2</v>
      </c>
      <c r="E1657" s="8" t="str">
        <f>[1]Data!E1657</f>
        <v>NON-HS</v>
      </c>
      <c r="F1657" s="8" t="str">
        <f>[1]Data!F1657</f>
        <v>Vermont Square</v>
      </c>
      <c r="G1657" s="8">
        <f>[1]Data!G1657</f>
        <v>0</v>
      </c>
      <c r="H1657" s="8">
        <f>[1]Data!H1657</f>
        <v>0</v>
      </c>
      <c r="I1657" s="8">
        <f>[1]Data!I1657</f>
        <v>21.888999999999999</v>
      </c>
      <c r="J1657" s="8">
        <f>[1]Data!J1657</f>
        <v>17.287450570000001</v>
      </c>
      <c r="K1657" s="8">
        <f>[1]Data!K1657</f>
        <v>21.287450570000001</v>
      </c>
      <c r="L1657" s="8">
        <f>[1]Data!L1657</f>
        <v>0.60217720414721698</v>
      </c>
      <c r="M1657" s="8">
        <f>[1]Data!M1657</f>
        <v>21.889627774147201</v>
      </c>
      <c r="N1657" s="8">
        <f>[1]Data!N1657</f>
        <v>2.34375E-2</v>
      </c>
      <c r="O1657" s="8">
        <f>[1]Data!O1657</f>
        <v>0</v>
      </c>
      <c r="P1657" s="8">
        <f>[1]Data!P1657</f>
        <v>0.265625</v>
      </c>
      <c r="Q1657" s="8">
        <f>[1]Data!Q1657</f>
        <v>1</v>
      </c>
      <c r="R1657" s="8">
        <f>[1]Data!R1657</f>
        <v>0.15151515151515199</v>
      </c>
      <c r="S1657" s="8">
        <f>[1]Data!S1657</f>
        <v>0</v>
      </c>
      <c r="T1657">
        <f t="shared" si="125"/>
        <v>0.17140151515151561</v>
      </c>
      <c r="U1657">
        <f t="shared" si="126"/>
        <v>0</v>
      </c>
      <c r="V1657" s="4" t="str">
        <f t="shared" si="127"/>
        <v>8</v>
      </c>
      <c r="W1657" s="4" t="str">
        <f t="shared" si="128"/>
        <v>6</v>
      </c>
      <c r="X1657" s="4" t="str">
        <f t="shared" si="129"/>
        <v>8NON-HS6</v>
      </c>
      <c r="Y1657">
        <f>VLOOKUP(X1657,Sheet1!$J$5:$K$121,2,FALSE)</f>
        <v>0.15151515151515199</v>
      </c>
    </row>
    <row r="1658" spans="1:25" x14ac:dyDescent="0.25">
      <c r="A1658" s="8">
        <f>[1]Data!A1658</f>
        <v>234501</v>
      </c>
      <c r="B1658" s="8">
        <f>[1]Data!B1658</f>
        <v>6</v>
      </c>
      <c r="C1658" s="8">
        <f>[1]Data!C1658</f>
        <v>8</v>
      </c>
      <c r="D1658" s="8">
        <f>[1]Data!D1658</f>
        <v>2</v>
      </c>
      <c r="E1658" s="8" t="str">
        <f>[1]Data!E1658</f>
        <v>NON-HS</v>
      </c>
      <c r="F1658" s="8" t="str">
        <f>[1]Data!F1658</f>
        <v>Baldwin Hills / Crenshaw</v>
      </c>
      <c r="G1658" s="8">
        <f>[1]Data!G1658</f>
        <v>0</v>
      </c>
      <c r="H1658" s="8">
        <f>[1]Data!H1658</f>
        <v>0</v>
      </c>
      <c r="I1658" s="8">
        <f>[1]Data!I1658</f>
        <v>13.4</v>
      </c>
      <c r="J1658" s="8">
        <f>[1]Data!J1658</f>
        <v>11.82337824</v>
      </c>
      <c r="K1658" s="8">
        <f>[1]Data!K1658</f>
        <v>12.82337824</v>
      </c>
      <c r="L1658" s="8">
        <f>[1]Data!L1658</f>
        <v>0.576488328994614</v>
      </c>
      <c r="M1658" s="8">
        <f>[1]Data!M1658</f>
        <v>13.3998665689946</v>
      </c>
      <c r="N1658" s="8">
        <f>[1]Data!N1658</f>
        <v>2.34375E-2</v>
      </c>
      <c r="O1658" s="8">
        <f>[1]Data!O1658</f>
        <v>0</v>
      </c>
      <c r="P1658" s="8">
        <f>[1]Data!P1658</f>
        <v>0.265625</v>
      </c>
      <c r="Q1658" s="8">
        <f>[1]Data!Q1658</f>
        <v>1</v>
      </c>
      <c r="R1658" s="8">
        <f>[1]Data!R1658</f>
        <v>0.15151515151515199</v>
      </c>
      <c r="S1658" s="8">
        <f>[1]Data!S1658</f>
        <v>0</v>
      </c>
      <c r="T1658">
        <f t="shared" si="125"/>
        <v>0.17140151515151561</v>
      </c>
      <c r="U1658">
        <f t="shared" si="126"/>
        <v>0</v>
      </c>
      <c r="V1658" s="4" t="str">
        <f t="shared" si="127"/>
        <v>8</v>
      </c>
      <c r="W1658" s="4" t="str">
        <f t="shared" si="128"/>
        <v>6</v>
      </c>
      <c r="X1658" s="4" t="str">
        <f t="shared" si="129"/>
        <v>8NON-HS6</v>
      </c>
      <c r="Y1658">
        <f>VLOOKUP(X1658,Sheet1!$J$5:$K$121,2,FALSE)</f>
        <v>0.15151515151515199</v>
      </c>
    </row>
    <row r="1659" spans="1:25" x14ac:dyDescent="0.25">
      <c r="A1659" s="8">
        <f>[1]Data!A1659</f>
        <v>234502</v>
      </c>
      <c r="B1659" s="8">
        <f>[1]Data!B1659</f>
        <v>6</v>
      </c>
      <c r="C1659" s="8">
        <f>[1]Data!C1659</f>
        <v>8</v>
      </c>
      <c r="D1659" s="8">
        <f>[1]Data!D1659</f>
        <v>2</v>
      </c>
      <c r="E1659" s="8" t="str">
        <f>[1]Data!E1659</f>
        <v>NON-HS</v>
      </c>
      <c r="F1659" s="8" t="str">
        <f>[1]Data!F1659</f>
        <v>Baldwin Hills / Crenshaw</v>
      </c>
      <c r="G1659" s="8">
        <f>[1]Data!G1659</f>
        <v>0</v>
      </c>
      <c r="H1659" s="8">
        <f>[1]Data!H1659</f>
        <v>0</v>
      </c>
      <c r="I1659" s="8">
        <f>[1]Data!I1659</f>
        <v>17.582000000000001</v>
      </c>
      <c r="J1659" s="8">
        <f>[1]Data!J1659</f>
        <v>14.96237316</v>
      </c>
      <c r="K1659" s="8">
        <f>[1]Data!K1659</f>
        <v>16.962373159999999</v>
      </c>
      <c r="L1659" s="8">
        <f>[1]Data!L1659</f>
        <v>0.62033880219030502</v>
      </c>
      <c r="M1659" s="8">
        <f>[1]Data!M1659</f>
        <v>17.582711962190299</v>
      </c>
      <c r="N1659" s="8">
        <f>[1]Data!N1659</f>
        <v>2.34375E-2</v>
      </c>
      <c r="O1659" s="8">
        <f>[1]Data!O1659</f>
        <v>0</v>
      </c>
      <c r="P1659" s="8">
        <f>[1]Data!P1659</f>
        <v>0.265625</v>
      </c>
      <c r="Q1659" s="8">
        <f>[1]Data!Q1659</f>
        <v>1</v>
      </c>
      <c r="R1659" s="8">
        <f>[1]Data!R1659</f>
        <v>0.15151515151515199</v>
      </c>
      <c r="S1659" s="8">
        <f>[1]Data!S1659</f>
        <v>0</v>
      </c>
      <c r="T1659">
        <f t="shared" si="125"/>
        <v>0.17140151515151561</v>
      </c>
      <c r="U1659">
        <f t="shared" si="126"/>
        <v>0</v>
      </c>
      <c r="V1659" s="4" t="str">
        <f t="shared" si="127"/>
        <v>8</v>
      </c>
      <c r="W1659" s="4" t="str">
        <f t="shared" si="128"/>
        <v>6</v>
      </c>
      <c r="X1659" s="4" t="str">
        <f t="shared" si="129"/>
        <v>8NON-HS6</v>
      </c>
      <c r="Y1659">
        <f>VLOOKUP(X1659,Sheet1!$J$5:$K$121,2,FALSE)</f>
        <v>0.15151515151515199</v>
      </c>
    </row>
    <row r="1660" spans="1:25" x14ac:dyDescent="0.25">
      <c r="A1660" s="8">
        <f>[1]Data!A1660</f>
        <v>234700</v>
      </c>
      <c r="B1660" s="8">
        <f>[1]Data!B1660</f>
        <v>6</v>
      </c>
      <c r="C1660" s="8">
        <f>[1]Data!C1660</f>
        <v>8</v>
      </c>
      <c r="D1660" s="8">
        <f>[1]Data!D1660</f>
        <v>2</v>
      </c>
      <c r="E1660" s="8" t="str">
        <f>[1]Data!E1660</f>
        <v>NON-HS</v>
      </c>
      <c r="F1660" s="8" t="str">
        <f>[1]Data!F1660</f>
        <v>Baldwin Hills / Crenshaw</v>
      </c>
      <c r="G1660" s="8">
        <f>[1]Data!G1660</f>
        <v>0</v>
      </c>
      <c r="H1660" s="8">
        <f>[1]Data!H1660</f>
        <v>1</v>
      </c>
      <c r="I1660" s="8">
        <f>[1]Data!I1660</f>
        <v>15.586</v>
      </c>
      <c r="J1660" s="8">
        <f>[1]Data!J1660</f>
        <v>12.840259550000001</v>
      </c>
      <c r="K1660" s="8">
        <f>[1]Data!K1660</f>
        <v>14.840259550000001</v>
      </c>
      <c r="L1660" s="8">
        <f>[1]Data!L1660</f>
        <v>0.74611343224416504</v>
      </c>
      <c r="M1660" s="8">
        <f>[1]Data!M1660</f>
        <v>15.5863729822442</v>
      </c>
      <c r="N1660" s="8">
        <f>[1]Data!N1660</f>
        <v>2.34375E-2</v>
      </c>
      <c r="O1660" s="8">
        <f>[1]Data!O1660</f>
        <v>0</v>
      </c>
      <c r="P1660" s="8">
        <f>[1]Data!P1660</f>
        <v>0.265625</v>
      </c>
      <c r="Q1660" s="8">
        <f>[1]Data!Q1660</f>
        <v>1</v>
      </c>
      <c r="R1660" s="8">
        <f>[1]Data!R1660</f>
        <v>0.15151515151515199</v>
      </c>
      <c r="S1660" s="8">
        <f>[1]Data!S1660</f>
        <v>6.6</v>
      </c>
      <c r="T1660">
        <f t="shared" si="125"/>
        <v>0.17140151515151561</v>
      </c>
      <c r="U1660">
        <f t="shared" si="126"/>
        <v>5.8342541436463931</v>
      </c>
      <c r="V1660" s="4" t="str">
        <f t="shared" si="127"/>
        <v>8</v>
      </c>
      <c r="W1660" s="4" t="str">
        <f t="shared" si="128"/>
        <v>6</v>
      </c>
      <c r="X1660" s="4" t="str">
        <f t="shared" si="129"/>
        <v>8NON-HS6</v>
      </c>
      <c r="Y1660">
        <f>VLOOKUP(X1660,Sheet1!$J$5:$K$121,2,FALSE)</f>
        <v>0.15151515151515199</v>
      </c>
    </row>
    <row r="1661" spans="1:25" x14ac:dyDescent="0.25">
      <c r="A1661" s="8">
        <f>[1]Data!A1661</f>
        <v>234902</v>
      </c>
      <c r="B1661" s="8">
        <f>[1]Data!B1661</f>
        <v>6</v>
      </c>
      <c r="C1661" s="8">
        <f>[1]Data!C1661</f>
        <v>8</v>
      </c>
      <c r="D1661" s="8">
        <f>[1]Data!D1661</f>
        <v>2</v>
      </c>
      <c r="E1661" s="8" t="str">
        <f>[1]Data!E1661</f>
        <v>NON-HS</v>
      </c>
      <c r="F1661" s="8" t="str">
        <f>[1]Data!F1661</f>
        <v>Baldwin Hills / Crenshaw</v>
      </c>
      <c r="G1661" s="8">
        <f>[1]Data!G1661</f>
        <v>0</v>
      </c>
      <c r="H1661" s="8">
        <f>[1]Data!H1661</f>
        <v>1</v>
      </c>
      <c r="I1661" s="8">
        <f>[1]Data!I1661</f>
        <v>6.9980000000000002</v>
      </c>
      <c r="J1661" s="8">
        <f>[1]Data!J1661</f>
        <v>5.7005314900000004</v>
      </c>
      <c r="K1661" s="8">
        <f>[1]Data!K1661</f>
        <v>6.7005314900000004</v>
      </c>
      <c r="L1661" s="8">
        <f>[1]Data!L1661</f>
        <v>0.29733071305206499</v>
      </c>
      <c r="M1661" s="8">
        <f>[1]Data!M1661</f>
        <v>6.9978622030520699</v>
      </c>
      <c r="N1661" s="8">
        <f>[1]Data!N1661</f>
        <v>2.34375E-2</v>
      </c>
      <c r="O1661" s="8">
        <f>[1]Data!O1661</f>
        <v>0</v>
      </c>
      <c r="P1661" s="8">
        <f>[1]Data!P1661</f>
        <v>0.265625</v>
      </c>
      <c r="Q1661" s="8">
        <f>[1]Data!Q1661</f>
        <v>1</v>
      </c>
      <c r="R1661" s="8">
        <f>[1]Data!R1661</f>
        <v>0.15151515151515199</v>
      </c>
      <c r="S1661" s="8">
        <f>[1]Data!S1661</f>
        <v>6.6</v>
      </c>
      <c r="T1661">
        <f t="shared" si="125"/>
        <v>0.17140151515151561</v>
      </c>
      <c r="U1661">
        <f t="shared" si="126"/>
        <v>5.8342541436463931</v>
      </c>
      <c r="V1661" s="4" t="str">
        <f t="shared" si="127"/>
        <v>8</v>
      </c>
      <c r="W1661" s="4" t="str">
        <f t="shared" si="128"/>
        <v>6</v>
      </c>
      <c r="X1661" s="4" t="str">
        <f t="shared" si="129"/>
        <v>8NON-HS6</v>
      </c>
      <c r="Y1661">
        <f>VLOOKUP(X1661,Sheet1!$J$5:$K$121,2,FALSE)</f>
        <v>0.15151515151515199</v>
      </c>
    </row>
    <row r="1662" spans="1:25" x14ac:dyDescent="0.25">
      <c r="A1662" s="8">
        <f>[1]Data!A1662</f>
        <v>235100</v>
      </c>
      <c r="B1662" s="8">
        <f>[1]Data!B1662</f>
        <v>6</v>
      </c>
      <c r="C1662" s="8">
        <f>[1]Data!C1662</f>
        <v>8</v>
      </c>
      <c r="D1662" s="8">
        <f>[1]Data!D1662</f>
        <v>2</v>
      </c>
      <c r="E1662" s="8" t="str">
        <f>[1]Data!E1662</f>
        <v>NON-HS</v>
      </c>
      <c r="F1662" s="8" t="str">
        <f>[1]Data!F1662</f>
        <v>Baldwin Hills / Crenshaw</v>
      </c>
      <c r="G1662" s="8">
        <f>[1]Data!G1662</f>
        <v>0</v>
      </c>
      <c r="H1662" s="8">
        <f>[1]Data!H1662</f>
        <v>0</v>
      </c>
      <c r="I1662" s="8">
        <f>[1]Data!I1662</f>
        <v>4.0209999999999999</v>
      </c>
      <c r="J1662" s="8">
        <f>[1]Data!J1662</f>
        <v>3.8885795999999999</v>
      </c>
      <c r="K1662" s="8">
        <f>[1]Data!K1662</f>
        <v>3.8885795999999999</v>
      </c>
      <c r="L1662" s="8">
        <f>[1]Data!L1662</f>
        <v>0.131797923464991</v>
      </c>
      <c r="M1662" s="8">
        <f>[1]Data!M1662</f>
        <v>4.0203775234649903</v>
      </c>
      <c r="N1662" s="8">
        <f>[1]Data!N1662</f>
        <v>2.34375E-2</v>
      </c>
      <c r="O1662" s="8">
        <f>[1]Data!O1662</f>
        <v>0</v>
      </c>
      <c r="P1662" s="8">
        <f>[1]Data!P1662</f>
        <v>0.265625</v>
      </c>
      <c r="Q1662" s="8">
        <f>[1]Data!Q1662</f>
        <v>1</v>
      </c>
      <c r="R1662" s="8">
        <f>[1]Data!R1662</f>
        <v>0.15151515151515199</v>
      </c>
      <c r="S1662" s="8">
        <f>[1]Data!S1662</f>
        <v>0</v>
      </c>
      <c r="T1662">
        <f t="shared" si="125"/>
        <v>0.17140151515151561</v>
      </c>
      <c r="U1662">
        <f t="shared" si="126"/>
        <v>0</v>
      </c>
      <c r="V1662" s="4" t="str">
        <f t="shared" si="127"/>
        <v>8</v>
      </c>
      <c r="W1662" s="4" t="str">
        <f t="shared" si="128"/>
        <v>6</v>
      </c>
      <c r="X1662" s="4" t="str">
        <f t="shared" si="129"/>
        <v>8NON-HS6</v>
      </c>
      <c r="Y1662">
        <f>VLOOKUP(X1662,Sheet1!$J$5:$K$121,2,FALSE)</f>
        <v>0.15151515151515199</v>
      </c>
    </row>
    <row r="1663" spans="1:25" x14ac:dyDescent="0.25">
      <c r="A1663" s="8">
        <f>[1]Data!A1663</f>
        <v>235201</v>
      </c>
      <c r="B1663" s="8">
        <f>[1]Data!B1663</f>
        <v>6</v>
      </c>
      <c r="C1663" s="8">
        <f>[1]Data!C1663</f>
        <v>8</v>
      </c>
      <c r="D1663" s="8">
        <f>[1]Data!D1663</f>
        <v>2</v>
      </c>
      <c r="E1663" s="8" t="str">
        <f>[1]Data!E1663</f>
        <v>NON-HS</v>
      </c>
      <c r="F1663" s="8" t="str">
        <f>[1]Data!F1663</f>
        <v>Baldwin Hills / Crenshaw</v>
      </c>
      <c r="G1663" s="8">
        <f>[1]Data!G1663</f>
        <v>0</v>
      </c>
      <c r="H1663" s="8">
        <f>[1]Data!H1663</f>
        <v>0</v>
      </c>
      <c r="I1663" s="8">
        <f>[1]Data!I1663</f>
        <v>4.6859999999999999</v>
      </c>
      <c r="J1663" s="8">
        <f>[1]Data!J1663</f>
        <v>3.4228962300000001</v>
      </c>
      <c r="K1663" s="8">
        <f>[1]Data!K1663</f>
        <v>4.4228962300000001</v>
      </c>
      <c r="L1663" s="8">
        <f>[1]Data!L1663</f>
        <v>0.26262460752244199</v>
      </c>
      <c r="M1663" s="8">
        <f>[1]Data!M1663</f>
        <v>4.6855208375224402</v>
      </c>
      <c r="N1663" s="8">
        <f>[1]Data!N1663</f>
        <v>2.34375E-2</v>
      </c>
      <c r="O1663" s="8">
        <f>[1]Data!O1663</f>
        <v>0</v>
      </c>
      <c r="P1663" s="8">
        <f>[1]Data!P1663</f>
        <v>0.265625</v>
      </c>
      <c r="Q1663" s="8">
        <f>[1]Data!Q1663</f>
        <v>1</v>
      </c>
      <c r="R1663" s="8">
        <f>[1]Data!R1663</f>
        <v>0.15151515151515199</v>
      </c>
      <c r="S1663" s="8">
        <f>[1]Data!S1663</f>
        <v>0</v>
      </c>
      <c r="T1663">
        <f t="shared" si="125"/>
        <v>0.17140151515151561</v>
      </c>
      <c r="U1663">
        <f t="shared" si="126"/>
        <v>0</v>
      </c>
      <c r="V1663" s="4" t="str">
        <f t="shared" si="127"/>
        <v>8</v>
      </c>
      <c r="W1663" s="4" t="str">
        <f t="shared" si="128"/>
        <v>6</v>
      </c>
      <c r="X1663" s="4" t="str">
        <f t="shared" si="129"/>
        <v>8NON-HS6</v>
      </c>
      <c r="Y1663">
        <f>VLOOKUP(X1663,Sheet1!$J$5:$K$121,2,FALSE)</f>
        <v>0.15151515151515199</v>
      </c>
    </row>
    <row r="1664" spans="1:25" x14ac:dyDescent="0.25">
      <c r="A1664" s="8">
        <f>[1]Data!A1664</f>
        <v>235202</v>
      </c>
      <c r="B1664" s="8">
        <f>[1]Data!B1664</f>
        <v>6</v>
      </c>
      <c r="C1664" s="8">
        <f>[1]Data!C1664</f>
        <v>8</v>
      </c>
      <c r="D1664" s="8">
        <f>[1]Data!D1664</f>
        <v>2</v>
      </c>
      <c r="E1664" s="8" t="str">
        <f>[1]Data!E1664</f>
        <v>NON-HS</v>
      </c>
      <c r="F1664" s="8" t="str">
        <f>[1]Data!F1664</f>
        <v>Baldwin Hills / Crenshaw</v>
      </c>
      <c r="G1664" s="8">
        <f>[1]Data!G1664</f>
        <v>0</v>
      </c>
      <c r="H1664" s="8">
        <f>[1]Data!H1664</f>
        <v>0</v>
      </c>
      <c r="I1664" s="8">
        <f>[1]Data!I1664</f>
        <v>13.803000000000001</v>
      </c>
      <c r="J1664" s="8">
        <f>[1]Data!J1664</f>
        <v>13.13419515</v>
      </c>
      <c r="K1664" s="8">
        <f>[1]Data!K1664</f>
        <v>13.13419515</v>
      </c>
      <c r="L1664" s="8">
        <f>[1]Data!L1664</f>
        <v>0.66964693639138195</v>
      </c>
      <c r="M1664" s="8">
        <f>[1]Data!M1664</f>
        <v>13.8038420863914</v>
      </c>
      <c r="N1664" s="8">
        <f>[1]Data!N1664</f>
        <v>2.34375E-2</v>
      </c>
      <c r="O1664" s="8">
        <f>[1]Data!O1664</f>
        <v>0</v>
      </c>
      <c r="P1664" s="8">
        <f>[1]Data!P1664</f>
        <v>0.265625</v>
      </c>
      <c r="Q1664" s="8">
        <f>[1]Data!Q1664</f>
        <v>1</v>
      </c>
      <c r="R1664" s="8">
        <f>[1]Data!R1664</f>
        <v>0.15151515151515199</v>
      </c>
      <c r="S1664" s="8">
        <f>[1]Data!S1664</f>
        <v>0</v>
      </c>
      <c r="T1664">
        <f t="shared" si="125"/>
        <v>0.17140151515151561</v>
      </c>
      <c r="U1664">
        <f t="shared" si="126"/>
        <v>0</v>
      </c>
      <c r="V1664" s="4" t="str">
        <f t="shared" si="127"/>
        <v>8</v>
      </c>
      <c r="W1664" s="4" t="str">
        <f t="shared" si="128"/>
        <v>6</v>
      </c>
      <c r="X1664" s="4" t="str">
        <f t="shared" si="129"/>
        <v>8NON-HS6</v>
      </c>
      <c r="Y1664">
        <f>VLOOKUP(X1664,Sheet1!$J$5:$K$121,2,FALSE)</f>
        <v>0.15151515151515199</v>
      </c>
    </row>
    <row r="1665" spans="1:25" x14ac:dyDescent="0.25">
      <c r="A1665" s="8">
        <f>[1]Data!A1665</f>
        <v>241201</v>
      </c>
      <c r="B1665" s="8">
        <f>[1]Data!B1665</f>
        <v>6</v>
      </c>
      <c r="C1665" s="8">
        <f>[1]Data!C1665</f>
        <v>8</v>
      </c>
      <c r="D1665" s="8">
        <f>[1]Data!D1665</f>
        <v>2</v>
      </c>
      <c r="E1665" s="8" t="str">
        <f>[1]Data!E1665</f>
        <v>NON-HS</v>
      </c>
      <c r="F1665" s="8" t="str">
        <f>[1]Data!F1665</f>
        <v>South Vermont</v>
      </c>
      <c r="G1665" s="8">
        <f>[1]Data!G1665</f>
        <v>0</v>
      </c>
      <c r="H1665" s="8">
        <f>[1]Data!H1665</f>
        <v>0</v>
      </c>
      <c r="I1665" s="8">
        <f>[1]Data!I1665</f>
        <v>6.6859999999999999</v>
      </c>
      <c r="J1665" s="8">
        <f>[1]Data!J1665</f>
        <v>3.4228962300000001</v>
      </c>
      <c r="K1665" s="8">
        <f>[1]Data!K1665</f>
        <v>6.4228962300000001</v>
      </c>
      <c r="L1665" s="8">
        <f>[1]Data!L1665</f>
        <v>0.26262460752244199</v>
      </c>
      <c r="M1665" s="8">
        <f>[1]Data!M1665</f>
        <v>6.6855208375224402</v>
      </c>
      <c r="N1665" s="8">
        <f>[1]Data!N1665</f>
        <v>2.34375E-2</v>
      </c>
      <c r="O1665" s="8">
        <f>[1]Data!O1665</f>
        <v>0</v>
      </c>
      <c r="P1665" s="8">
        <f>[1]Data!P1665</f>
        <v>0.265625</v>
      </c>
      <c r="Q1665" s="8">
        <f>[1]Data!Q1665</f>
        <v>1</v>
      </c>
      <c r="R1665" s="8">
        <f>[1]Data!R1665</f>
        <v>0.15151515151515199</v>
      </c>
      <c r="S1665" s="8">
        <f>[1]Data!S1665</f>
        <v>0</v>
      </c>
      <c r="T1665">
        <f t="shared" si="125"/>
        <v>0.17140151515151561</v>
      </c>
      <c r="U1665">
        <f t="shared" si="126"/>
        <v>0</v>
      </c>
      <c r="V1665" s="4" t="str">
        <f t="shared" si="127"/>
        <v>8</v>
      </c>
      <c r="W1665" s="4" t="str">
        <f t="shared" si="128"/>
        <v>6</v>
      </c>
      <c r="X1665" s="4" t="str">
        <f t="shared" si="129"/>
        <v>8NON-HS6</v>
      </c>
      <c r="Y1665">
        <f>VLOOKUP(X1665,Sheet1!$J$5:$K$121,2,FALSE)</f>
        <v>0.15151515151515199</v>
      </c>
    </row>
    <row r="1666" spans="1:25" x14ac:dyDescent="0.25">
      <c r="A1666" s="8">
        <f>[1]Data!A1666</f>
        <v>236400</v>
      </c>
      <c r="B1666" s="8">
        <f>[1]Data!B1666</f>
        <v>6</v>
      </c>
      <c r="C1666" s="8">
        <f>[1]Data!C1666</f>
        <v>8</v>
      </c>
      <c r="D1666" s="8">
        <f>[1]Data!D1666</f>
        <v>2</v>
      </c>
      <c r="E1666" s="8" t="str">
        <f>[1]Data!E1666</f>
        <v>NON-HS</v>
      </c>
      <c r="F1666" s="8" t="str">
        <f>[1]Data!F1666</f>
        <v>Baldwin Hills / Crenshaw</v>
      </c>
      <c r="G1666" s="8">
        <f>[1]Data!G1666</f>
        <v>0</v>
      </c>
      <c r="H1666" s="8">
        <f>[1]Data!H1666</f>
        <v>0</v>
      </c>
      <c r="I1666" s="8">
        <f>[1]Data!I1666</f>
        <v>0</v>
      </c>
      <c r="J1666" s="8">
        <f>[1]Data!J1666</f>
        <v>0</v>
      </c>
      <c r="K1666" s="8">
        <f>[1]Data!K1666</f>
        <v>0</v>
      </c>
      <c r="L1666" s="8">
        <f>[1]Data!L1666</f>
        <v>0</v>
      </c>
      <c r="M1666" s="8">
        <f>[1]Data!M1666</f>
        <v>0</v>
      </c>
      <c r="N1666" s="8">
        <f>[1]Data!N1666</f>
        <v>2.34375E-2</v>
      </c>
      <c r="O1666" s="8">
        <f>[1]Data!O1666</f>
        <v>0</v>
      </c>
      <c r="P1666" s="8">
        <f>[1]Data!P1666</f>
        <v>0.265625</v>
      </c>
      <c r="Q1666" s="8">
        <f>[1]Data!Q1666</f>
        <v>1</v>
      </c>
      <c r="R1666" s="8">
        <f>[1]Data!R1666</f>
        <v>0.15151515151515199</v>
      </c>
      <c r="S1666" s="8">
        <f>[1]Data!S1666</f>
        <v>0</v>
      </c>
      <c r="T1666">
        <f t="shared" si="125"/>
        <v>0.17140151515151561</v>
      </c>
      <c r="U1666">
        <f t="shared" si="126"/>
        <v>0</v>
      </c>
      <c r="V1666" s="4" t="str">
        <f t="shared" si="127"/>
        <v>8</v>
      </c>
      <c r="W1666" s="4" t="str">
        <f t="shared" si="128"/>
        <v>6</v>
      </c>
      <c r="X1666" s="4" t="str">
        <f t="shared" si="129"/>
        <v>8NON-HS6</v>
      </c>
      <c r="Y1666">
        <f>VLOOKUP(X1666,Sheet1!$J$5:$K$121,2,FALSE)</f>
        <v>0.15151515151515199</v>
      </c>
    </row>
    <row r="1667" spans="1:25" x14ac:dyDescent="0.25">
      <c r="A1667" s="8">
        <f>[1]Data!A1667</f>
        <v>237401</v>
      </c>
      <c r="B1667" s="8">
        <f>[1]Data!B1667</f>
        <v>6</v>
      </c>
      <c r="C1667" s="8">
        <f>[1]Data!C1667</f>
        <v>8</v>
      </c>
      <c r="D1667" s="8">
        <f>[1]Data!D1667</f>
        <v>2</v>
      </c>
      <c r="E1667" s="8" t="str">
        <f>[1]Data!E1667</f>
        <v>NON-HS</v>
      </c>
      <c r="F1667" s="8" t="str">
        <f>[1]Data!F1667</f>
        <v>Vermont Square</v>
      </c>
      <c r="G1667" s="8">
        <f>[1]Data!G1667</f>
        <v>0</v>
      </c>
      <c r="H1667" s="8">
        <f>[1]Data!H1667</f>
        <v>0</v>
      </c>
      <c r="I1667" s="8">
        <f>[1]Data!I1667</f>
        <v>17.706</v>
      </c>
      <c r="J1667" s="8">
        <f>[1]Data!J1667</f>
        <v>16.85102698</v>
      </c>
      <c r="K1667" s="8">
        <f>[1]Data!K1667</f>
        <v>16.85102698</v>
      </c>
      <c r="L1667" s="8">
        <f>[1]Data!L1667</f>
        <v>0.85580504806104096</v>
      </c>
      <c r="M1667" s="8">
        <f>[1]Data!M1667</f>
        <v>17.706832028061001</v>
      </c>
      <c r="N1667" s="8">
        <f>[1]Data!N1667</f>
        <v>2.34375E-2</v>
      </c>
      <c r="O1667" s="8">
        <f>[1]Data!O1667</f>
        <v>0</v>
      </c>
      <c r="P1667" s="8">
        <f>[1]Data!P1667</f>
        <v>0.265625</v>
      </c>
      <c r="Q1667" s="8">
        <f>[1]Data!Q1667</f>
        <v>1</v>
      </c>
      <c r="R1667" s="8">
        <f>[1]Data!R1667</f>
        <v>0.15151515151515199</v>
      </c>
      <c r="S1667" s="8">
        <f>[1]Data!S1667</f>
        <v>0</v>
      </c>
      <c r="T1667">
        <f t="shared" ref="T1667:T1730" si="130">N1667+Y1667*(1-N1667)</f>
        <v>0.17140151515151561</v>
      </c>
      <c r="U1667">
        <f t="shared" ref="U1667:U1730" si="131">IF(T1667="",0,1/T1667*H1667)</f>
        <v>0</v>
      </c>
      <c r="V1667" s="4" t="str">
        <f t="shared" ref="V1667:V1730" si="132">TEXT(C1667,"0")</f>
        <v>8</v>
      </c>
      <c r="W1667" s="4" t="str">
        <f t="shared" ref="W1667:W1730" si="133">TEXT(B1667,"0")</f>
        <v>6</v>
      </c>
      <c r="X1667" s="4" t="str">
        <f t="shared" ref="X1667:X1730" si="134">CONCATENATE(V1667,E1667,W1667)</f>
        <v>8NON-HS6</v>
      </c>
      <c r="Y1667">
        <f>VLOOKUP(X1667,Sheet1!$J$5:$K$121,2,FALSE)</f>
        <v>0.15151515151515199</v>
      </c>
    </row>
    <row r="1668" spans="1:25" x14ac:dyDescent="0.25">
      <c r="A1668" s="8">
        <f>[1]Data!A1668</f>
        <v>237402</v>
      </c>
      <c r="B1668" s="8">
        <f>[1]Data!B1668</f>
        <v>6</v>
      </c>
      <c r="C1668" s="8">
        <f>[1]Data!C1668</f>
        <v>8</v>
      </c>
      <c r="D1668" s="8">
        <f>[1]Data!D1668</f>
        <v>2</v>
      </c>
      <c r="E1668" s="8" t="str">
        <f>[1]Data!E1668</f>
        <v>NON-HS</v>
      </c>
      <c r="F1668" s="8" t="str">
        <f>[1]Data!F1668</f>
        <v>Vermont Square</v>
      </c>
      <c r="G1668" s="8">
        <f>[1]Data!G1668</f>
        <v>0</v>
      </c>
      <c r="H1668" s="8">
        <f>[1]Data!H1668</f>
        <v>0</v>
      </c>
      <c r="I1668" s="8">
        <f>[1]Data!I1668</f>
        <v>8.7010000000000005</v>
      </c>
      <c r="J1668" s="8">
        <f>[1]Data!J1668</f>
        <v>7.38182311</v>
      </c>
      <c r="K1668" s="8">
        <f>[1]Data!K1668</f>
        <v>8.3818231099999991</v>
      </c>
      <c r="L1668" s="8">
        <f>[1]Data!L1668</f>
        <v>0.31882264481148997</v>
      </c>
      <c r="M1668" s="8">
        <f>[1]Data!M1668</f>
        <v>8.7006457548114895</v>
      </c>
      <c r="N1668" s="8">
        <f>[1]Data!N1668</f>
        <v>2.34375E-2</v>
      </c>
      <c r="O1668" s="8">
        <f>[1]Data!O1668</f>
        <v>0</v>
      </c>
      <c r="P1668" s="8">
        <f>[1]Data!P1668</f>
        <v>0.265625</v>
      </c>
      <c r="Q1668" s="8">
        <f>[1]Data!Q1668</f>
        <v>1</v>
      </c>
      <c r="R1668" s="8">
        <f>[1]Data!R1668</f>
        <v>0.15151515151515199</v>
      </c>
      <c r="S1668" s="8">
        <f>[1]Data!S1668</f>
        <v>0</v>
      </c>
      <c r="T1668">
        <f t="shared" si="130"/>
        <v>0.17140151515151561</v>
      </c>
      <c r="U1668">
        <f t="shared" si="131"/>
        <v>0</v>
      </c>
      <c r="V1668" s="4" t="str">
        <f t="shared" si="132"/>
        <v>8</v>
      </c>
      <c r="W1668" s="4" t="str">
        <f t="shared" si="133"/>
        <v>6</v>
      </c>
      <c r="X1668" s="4" t="str">
        <f t="shared" si="134"/>
        <v>8NON-HS6</v>
      </c>
      <c r="Y1668">
        <f>VLOOKUP(X1668,Sheet1!$J$5:$K$121,2,FALSE)</f>
        <v>0.15151515151515199</v>
      </c>
    </row>
    <row r="1669" spans="1:25" x14ac:dyDescent="0.25">
      <c r="A1669" s="8">
        <f>[1]Data!A1669</f>
        <v>237720</v>
      </c>
      <c r="B1669" s="8">
        <f>[1]Data!B1669</f>
        <v>6</v>
      </c>
      <c r="C1669" s="8">
        <f>[1]Data!C1669</f>
        <v>8</v>
      </c>
      <c r="D1669" s="8">
        <f>[1]Data!D1669</f>
        <v>2</v>
      </c>
      <c r="E1669" s="8" t="str">
        <f>[1]Data!E1669</f>
        <v>NON-HS</v>
      </c>
      <c r="F1669" s="8" t="str">
        <f>[1]Data!F1669</f>
        <v>South Vermont</v>
      </c>
      <c r="G1669" s="8">
        <f>[1]Data!G1669</f>
        <v>0</v>
      </c>
      <c r="H1669" s="8">
        <f>[1]Data!H1669</f>
        <v>0</v>
      </c>
      <c r="I1669" s="8">
        <f>[1]Data!I1669</f>
        <v>7.4059999999999997</v>
      </c>
      <c r="J1669" s="8">
        <f>[1]Data!J1669</f>
        <v>3.3625832400000002</v>
      </c>
      <c r="K1669" s="8">
        <f>[1]Data!K1669</f>
        <v>7.3625832400000002</v>
      </c>
      <c r="L1669" s="8">
        <f>[1]Data!L1669</f>
        <v>4.2983863518851001E-2</v>
      </c>
      <c r="M1669" s="8">
        <f>[1]Data!M1669</f>
        <v>7.4055671035188499</v>
      </c>
      <c r="N1669" s="8">
        <f>[1]Data!N1669</f>
        <v>2.34375E-2</v>
      </c>
      <c r="O1669" s="8">
        <f>[1]Data!O1669</f>
        <v>0</v>
      </c>
      <c r="P1669" s="8">
        <f>[1]Data!P1669</f>
        <v>0.265625</v>
      </c>
      <c r="Q1669" s="8">
        <f>[1]Data!Q1669</f>
        <v>1</v>
      </c>
      <c r="R1669" s="8">
        <f>[1]Data!R1669</f>
        <v>0.15151515151515199</v>
      </c>
      <c r="S1669" s="8">
        <f>[1]Data!S1669</f>
        <v>0</v>
      </c>
      <c r="T1669">
        <f t="shared" si="130"/>
        <v>0.17140151515151561</v>
      </c>
      <c r="U1669">
        <f t="shared" si="131"/>
        <v>0</v>
      </c>
      <c r="V1669" s="4" t="str">
        <f t="shared" si="132"/>
        <v>8</v>
      </c>
      <c r="W1669" s="4" t="str">
        <f t="shared" si="133"/>
        <v>6</v>
      </c>
      <c r="X1669" s="4" t="str">
        <f t="shared" si="134"/>
        <v>8NON-HS6</v>
      </c>
      <c r="Y1669">
        <f>VLOOKUP(X1669,Sheet1!$J$5:$K$121,2,FALSE)</f>
        <v>0.15151515151515199</v>
      </c>
    </row>
    <row r="1670" spans="1:25" x14ac:dyDescent="0.25">
      <c r="A1670" s="8">
        <f>[1]Data!A1670</f>
        <v>237800</v>
      </c>
      <c r="B1670" s="8">
        <f>[1]Data!B1670</f>
        <v>6</v>
      </c>
      <c r="C1670" s="8">
        <f>[1]Data!C1670</f>
        <v>8</v>
      </c>
      <c r="D1670" s="8">
        <f>[1]Data!D1670</f>
        <v>2</v>
      </c>
      <c r="E1670" s="8" t="str">
        <f>[1]Data!E1670</f>
        <v>NON-HS</v>
      </c>
      <c r="F1670" s="8" t="str">
        <f>[1]Data!F1670</f>
        <v>South Vermont</v>
      </c>
      <c r="G1670" s="8">
        <f>[1]Data!G1670</f>
        <v>0</v>
      </c>
      <c r="H1670" s="8">
        <f>[1]Data!H1670</f>
        <v>0</v>
      </c>
      <c r="I1670" s="8">
        <f>[1]Data!I1670</f>
        <v>4</v>
      </c>
      <c r="J1670" s="8">
        <f>[1]Data!J1670</f>
        <v>0</v>
      </c>
      <c r="K1670" s="8">
        <f>[1]Data!K1670</f>
        <v>4</v>
      </c>
      <c r="L1670" s="8">
        <f>[1]Data!L1670</f>
        <v>0</v>
      </c>
      <c r="M1670" s="8">
        <f>[1]Data!M1670</f>
        <v>4</v>
      </c>
      <c r="N1670" s="8">
        <f>[1]Data!N1670</f>
        <v>2.34375E-2</v>
      </c>
      <c r="O1670" s="8">
        <f>[1]Data!O1670</f>
        <v>0</v>
      </c>
      <c r="P1670" s="8">
        <f>[1]Data!P1670</f>
        <v>0.265625</v>
      </c>
      <c r="Q1670" s="8">
        <f>[1]Data!Q1670</f>
        <v>1</v>
      </c>
      <c r="R1670" s="8">
        <f>[1]Data!R1670</f>
        <v>0.15151515151515199</v>
      </c>
      <c r="S1670" s="8">
        <f>[1]Data!S1670</f>
        <v>0</v>
      </c>
      <c r="T1670">
        <f t="shared" si="130"/>
        <v>0.17140151515151561</v>
      </c>
      <c r="U1670">
        <f t="shared" si="131"/>
        <v>0</v>
      </c>
      <c r="V1670" s="4" t="str">
        <f t="shared" si="132"/>
        <v>8</v>
      </c>
      <c r="W1670" s="4" t="str">
        <f t="shared" si="133"/>
        <v>6</v>
      </c>
      <c r="X1670" s="4" t="str">
        <f t="shared" si="134"/>
        <v>8NON-HS6</v>
      </c>
      <c r="Y1670">
        <f>VLOOKUP(X1670,Sheet1!$J$5:$K$121,2,FALSE)</f>
        <v>0.15151515151515199</v>
      </c>
    </row>
    <row r="1671" spans="1:25" x14ac:dyDescent="0.25">
      <c r="A1671" s="8">
        <f>[1]Data!A1671</f>
        <v>237900</v>
      </c>
      <c r="B1671" s="8">
        <f>[1]Data!B1671</f>
        <v>6</v>
      </c>
      <c r="C1671" s="8">
        <f>[1]Data!C1671</f>
        <v>8</v>
      </c>
      <c r="D1671" s="8">
        <f>[1]Data!D1671</f>
        <v>2</v>
      </c>
      <c r="E1671" s="8" t="str">
        <f>[1]Data!E1671</f>
        <v>NON-HS</v>
      </c>
      <c r="F1671" s="8" t="str">
        <f>[1]Data!F1671</f>
        <v>South Vermont</v>
      </c>
      <c r="G1671" s="8">
        <f>[1]Data!G1671</f>
        <v>0</v>
      </c>
      <c r="H1671" s="8">
        <f>[1]Data!H1671</f>
        <v>1</v>
      </c>
      <c r="I1671" s="8">
        <f>[1]Data!I1671</f>
        <v>2</v>
      </c>
      <c r="J1671" s="8">
        <f>[1]Data!J1671</f>
        <v>0</v>
      </c>
      <c r="K1671" s="8">
        <f>[1]Data!K1671</f>
        <v>2</v>
      </c>
      <c r="L1671" s="8">
        <f>[1]Data!L1671</f>
        <v>0</v>
      </c>
      <c r="M1671" s="8">
        <f>[1]Data!M1671</f>
        <v>2</v>
      </c>
      <c r="N1671" s="8">
        <f>[1]Data!N1671</f>
        <v>2.34375E-2</v>
      </c>
      <c r="O1671" s="8">
        <f>[1]Data!O1671</f>
        <v>0</v>
      </c>
      <c r="P1671" s="8">
        <f>[1]Data!P1671</f>
        <v>0.265625</v>
      </c>
      <c r="Q1671" s="8">
        <f>[1]Data!Q1671</f>
        <v>1</v>
      </c>
      <c r="R1671" s="8">
        <f>[1]Data!R1671</f>
        <v>0.15151515151515199</v>
      </c>
      <c r="S1671" s="8">
        <f>[1]Data!S1671</f>
        <v>6.6</v>
      </c>
      <c r="T1671">
        <f t="shared" si="130"/>
        <v>0.17140151515151561</v>
      </c>
      <c r="U1671">
        <f t="shared" si="131"/>
        <v>5.8342541436463931</v>
      </c>
      <c r="V1671" s="4" t="str">
        <f t="shared" si="132"/>
        <v>8</v>
      </c>
      <c r="W1671" s="4" t="str">
        <f t="shared" si="133"/>
        <v>6</v>
      </c>
      <c r="X1671" s="4" t="str">
        <f t="shared" si="134"/>
        <v>8NON-HS6</v>
      </c>
      <c r="Y1671">
        <f>VLOOKUP(X1671,Sheet1!$J$5:$K$121,2,FALSE)</f>
        <v>0.15151515151515199</v>
      </c>
    </row>
    <row r="1672" spans="1:25" x14ac:dyDescent="0.25">
      <c r="A1672" s="8">
        <f>[1]Data!A1672</f>
        <v>238000</v>
      </c>
      <c r="B1672" s="8">
        <f>[1]Data!B1672</f>
        <v>6</v>
      </c>
      <c r="C1672" s="8">
        <f>[1]Data!C1672</f>
        <v>8</v>
      </c>
      <c r="D1672" s="8">
        <f>[1]Data!D1672</f>
        <v>2</v>
      </c>
      <c r="E1672" s="8" t="str">
        <f>[1]Data!E1672</f>
        <v>NON-HS</v>
      </c>
      <c r="F1672" s="8" t="str">
        <f>[1]Data!F1672</f>
        <v>South Vermont</v>
      </c>
      <c r="G1672" s="8">
        <f>[1]Data!G1672</f>
        <v>0</v>
      </c>
      <c r="H1672" s="8">
        <f>[1]Data!H1672</f>
        <v>0</v>
      </c>
      <c r="I1672" s="8">
        <f>[1]Data!I1672</f>
        <v>17.914000000000001</v>
      </c>
      <c r="J1672" s="8">
        <f>[1]Data!J1672</f>
        <v>12.47753852</v>
      </c>
      <c r="K1672" s="8">
        <f>[1]Data!K1672</f>
        <v>17.47753852</v>
      </c>
      <c r="L1672" s="8">
        <f>[1]Data!L1672</f>
        <v>0.43679201861759398</v>
      </c>
      <c r="M1672" s="8">
        <f>[1]Data!M1672</f>
        <v>17.914330538617602</v>
      </c>
      <c r="N1672" s="8">
        <f>[1]Data!N1672</f>
        <v>2.34375E-2</v>
      </c>
      <c r="O1672" s="8">
        <f>[1]Data!O1672</f>
        <v>0</v>
      </c>
      <c r="P1672" s="8">
        <f>[1]Data!P1672</f>
        <v>0.265625</v>
      </c>
      <c r="Q1672" s="8">
        <f>[1]Data!Q1672</f>
        <v>1</v>
      </c>
      <c r="R1672" s="8">
        <f>[1]Data!R1672</f>
        <v>0.15151515151515199</v>
      </c>
      <c r="S1672" s="8">
        <f>[1]Data!S1672</f>
        <v>0</v>
      </c>
      <c r="T1672">
        <f t="shared" si="130"/>
        <v>0.17140151515151561</v>
      </c>
      <c r="U1672">
        <f t="shared" si="131"/>
        <v>0</v>
      </c>
      <c r="V1672" s="4" t="str">
        <f t="shared" si="132"/>
        <v>8</v>
      </c>
      <c r="W1672" s="4" t="str">
        <f t="shared" si="133"/>
        <v>6</v>
      </c>
      <c r="X1672" s="4" t="str">
        <f t="shared" si="134"/>
        <v>8NON-HS6</v>
      </c>
      <c r="Y1672">
        <f>VLOOKUP(X1672,Sheet1!$J$5:$K$121,2,FALSE)</f>
        <v>0.15151515151515199</v>
      </c>
    </row>
    <row r="1673" spans="1:25" x14ac:dyDescent="0.25">
      <c r="A1673" s="8">
        <f>[1]Data!A1673</f>
        <v>238100</v>
      </c>
      <c r="B1673" s="8">
        <f>[1]Data!B1673</f>
        <v>6</v>
      </c>
      <c r="C1673" s="8">
        <f>[1]Data!C1673</f>
        <v>8</v>
      </c>
      <c r="D1673" s="8">
        <f>[1]Data!D1673</f>
        <v>2</v>
      </c>
      <c r="E1673" s="8" t="str">
        <f>[1]Data!E1673</f>
        <v>NON-HS</v>
      </c>
      <c r="F1673" s="8" t="str">
        <f>[1]Data!F1673</f>
        <v>South Vermont</v>
      </c>
      <c r="G1673" s="8">
        <f>[1]Data!G1673</f>
        <v>0</v>
      </c>
      <c r="H1673" s="8">
        <f>[1]Data!H1673</f>
        <v>0</v>
      </c>
      <c r="I1673" s="8">
        <f>[1]Data!I1673</f>
        <v>9.19</v>
      </c>
      <c r="J1673" s="8">
        <f>[1]Data!J1673</f>
        <v>3.9673993200000002</v>
      </c>
      <c r="K1673" s="8">
        <f>[1]Data!K1673</f>
        <v>8.9673993200000002</v>
      </c>
      <c r="L1673" s="8">
        <f>[1]Data!L1673</f>
        <v>0.22234520276481101</v>
      </c>
      <c r="M1673" s="8">
        <f>[1]Data!M1673</f>
        <v>9.1897445227648102</v>
      </c>
      <c r="N1673" s="8">
        <f>[1]Data!N1673</f>
        <v>2.34375E-2</v>
      </c>
      <c r="O1673" s="8">
        <f>[1]Data!O1673</f>
        <v>0</v>
      </c>
      <c r="P1673" s="8">
        <f>[1]Data!P1673</f>
        <v>0.265625</v>
      </c>
      <c r="Q1673" s="8">
        <f>[1]Data!Q1673</f>
        <v>1</v>
      </c>
      <c r="R1673" s="8">
        <f>[1]Data!R1673</f>
        <v>0.15151515151515199</v>
      </c>
      <c r="S1673" s="8">
        <f>[1]Data!S1673</f>
        <v>0</v>
      </c>
      <c r="T1673">
        <f t="shared" si="130"/>
        <v>0.17140151515151561</v>
      </c>
      <c r="U1673">
        <f t="shared" si="131"/>
        <v>0</v>
      </c>
      <c r="V1673" s="4" t="str">
        <f t="shared" si="132"/>
        <v>8</v>
      </c>
      <c r="W1673" s="4" t="str">
        <f t="shared" si="133"/>
        <v>6</v>
      </c>
      <c r="X1673" s="4" t="str">
        <f t="shared" si="134"/>
        <v>8NON-HS6</v>
      </c>
      <c r="Y1673">
        <f>VLOOKUP(X1673,Sheet1!$J$5:$K$121,2,FALSE)</f>
        <v>0.15151515151515199</v>
      </c>
    </row>
    <row r="1674" spans="1:25" x14ac:dyDescent="0.25">
      <c r="A1674" s="8">
        <f>[1]Data!A1674</f>
        <v>238200</v>
      </c>
      <c r="B1674" s="8">
        <f>[1]Data!B1674</f>
        <v>6</v>
      </c>
      <c r="C1674" s="8">
        <f>[1]Data!C1674</f>
        <v>8</v>
      </c>
      <c r="D1674" s="8">
        <f>[1]Data!D1674</f>
        <v>2</v>
      </c>
      <c r="E1674" s="8" t="str">
        <f>[1]Data!E1674</f>
        <v>NON-HS</v>
      </c>
      <c r="F1674" s="8" t="str">
        <f>[1]Data!F1674</f>
        <v>South Vermont</v>
      </c>
      <c r="G1674" s="8">
        <f>[1]Data!G1674</f>
        <v>0</v>
      </c>
      <c r="H1674" s="8">
        <f>[1]Data!H1674</f>
        <v>0</v>
      </c>
      <c r="I1674" s="8">
        <f>[1]Data!I1674</f>
        <v>7.19</v>
      </c>
      <c r="J1674" s="8">
        <f>[1]Data!J1674</f>
        <v>3.9673993200000002</v>
      </c>
      <c r="K1674" s="8">
        <f>[1]Data!K1674</f>
        <v>6.9673993200000002</v>
      </c>
      <c r="L1674" s="8">
        <f>[1]Data!L1674</f>
        <v>0.22234520276481101</v>
      </c>
      <c r="M1674" s="8">
        <f>[1]Data!M1674</f>
        <v>7.1897445227648102</v>
      </c>
      <c r="N1674" s="8">
        <f>[1]Data!N1674</f>
        <v>2.34375E-2</v>
      </c>
      <c r="O1674" s="8">
        <f>[1]Data!O1674</f>
        <v>0</v>
      </c>
      <c r="P1674" s="8">
        <f>[1]Data!P1674</f>
        <v>0.265625</v>
      </c>
      <c r="Q1674" s="8">
        <f>[1]Data!Q1674</f>
        <v>1</v>
      </c>
      <c r="R1674" s="8">
        <f>[1]Data!R1674</f>
        <v>0.15151515151515199</v>
      </c>
      <c r="S1674" s="8">
        <f>[1]Data!S1674</f>
        <v>0</v>
      </c>
      <c r="T1674">
        <f t="shared" si="130"/>
        <v>0.17140151515151561</v>
      </c>
      <c r="U1674">
        <f t="shared" si="131"/>
        <v>0</v>
      </c>
      <c r="V1674" s="4" t="str">
        <f t="shared" si="132"/>
        <v>8</v>
      </c>
      <c r="W1674" s="4" t="str">
        <f t="shared" si="133"/>
        <v>6</v>
      </c>
      <c r="X1674" s="4" t="str">
        <f t="shared" si="134"/>
        <v>8NON-HS6</v>
      </c>
      <c r="Y1674">
        <f>VLOOKUP(X1674,Sheet1!$J$5:$K$121,2,FALSE)</f>
        <v>0.15151515151515199</v>
      </c>
    </row>
    <row r="1675" spans="1:25" x14ac:dyDescent="0.25">
      <c r="A1675" s="8">
        <f>[1]Data!A1675</f>
        <v>238400</v>
      </c>
      <c r="B1675" s="8">
        <f>[1]Data!B1675</f>
        <v>6</v>
      </c>
      <c r="C1675" s="8">
        <f>[1]Data!C1675</f>
        <v>8</v>
      </c>
      <c r="D1675" s="8">
        <f>[1]Data!D1675</f>
        <v>2</v>
      </c>
      <c r="E1675" s="8" t="str">
        <f>[1]Data!E1675</f>
        <v>NON-HS</v>
      </c>
      <c r="F1675" s="8" t="str">
        <f>[1]Data!F1675</f>
        <v>South Vermont</v>
      </c>
      <c r="G1675" s="8">
        <f>[1]Data!G1675</f>
        <v>0</v>
      </c>
      <c r="H1675" s="8">
        <f>[1]Data!H1675</f>
        <v>0</v>
      </c>
      <c r="I1675" s="8">
        <f>[1]Data!I1675</f>
        <v>22.786000000000001</v>
      </c>
      <c r="J1675" s="8">
        <f>[1]Data!J1675</f>
        <v>18.07033071</v>
      </c>
      <c r="K1675" s="8">
        <f>[1]Data!K1675</f>
        <v>22.07033071</v>
      </c>
      <c r="L1675" s="8">
        <f>[1]Data!L1675</f>
        <v>0.71597214211849203</v>
      </c>
      <c r="M1675" s="8">
        <f>[1]Data!M1675</f>
        <v>22.786302852118499</v>
      </c>
      <c r="N1675" s="8">
        <f>[1]Data!N1675</f>
        <v>2.34375E-2</v>
      </c>
      <c r="O1675" s="8">
        <f>[1]Data!O1675</f>
        <v>0</v>
      </c>
      <c r="P1675" s="8">
        <f>[1]Data!P1675</f>
        <v>0.265625</v>
      </c>
      <c r="Q1675" s="8">
        <f>[1]Data!Q1675</f>
        <v>1</v>
      </c>
      <c r="R1675" s="8">
        <f>[1]Data!R1675</f>
        <v>0.15151515151515199</v>
      </c>
      <c r="S1675" s="8">
        <f>[1]Data!S1675</f>
        <v>0</v>
      </c>
      <c r="T1675">
        <f t="shared" si="130"/>
        <v>0.17140151515151561</v>
      </c>
      <c r="U1675">
        <f t="shared" si="131"/>
        <v>0</v>
      </c>
      <c r="V1675" s="4" t="str">
        <f t="shared" si="132"/>
        <v>8</v>
      </c>
      <c r="W1675" s="4" t="str">
        <f t="shared" si="133"/>
        <v>6</v>
      </c>
      <c r="X1675" s="4" t="str">
        <f t="shared" si="134"/>
        <v>8NON-HS6</v>
      </c>
      <c r="Y1675">
        <f>VLOOKUP(X1675,Sheet1!$J$5:$K$121,2,FALSE)</f>
        <v>0.15151515151515199</v>
      </c>
    </row>
    <row r="1676" spans="1:25" x14ac:dyDescent="0.25">
      <c r="A1676" s="8">
        <f>[1]Data!A1676</f>
        <v>240401</v>
      </c>
      <c r="B1676" s="8">
        <f>[1]Data!B1676</f>
        <v>6</v>
      </c>
      <c r="C1676" s="8">
        <f>[1]Data!C1676</f>
        <v>8</v>
      </c>
      <c r="D1676" s="8">
        <f>[1]Data!D1676</f>
        <v>2</v>
      </c>
      <c r="E1676" s="8" t="str">
        <f>[1]Data!E1676</f>
        <v>NON-HS</v>
      </c>
      <c r="F1676" s="8" t="str">
        <f>[1]Data!F1676</f>
        <v>South Vermont</v>
      </c>
      <c r="G1676" s="8">
        <f>[1]Data!G1676</f>
        <v>0</v>
      </c>
      <c r="H1676" s="8">
        <f>[1]Data!H1676</f>
        <v>0</v>
      </c>
      <c r="I1676" s="8">
        <f>[1]Data!I1676</f>
        <v>17.132999999999999</v>
      </c>
      <c r="J1676" s="8">
        <f>[1]Data!J1676</f>
        <v>15.46139035</v>
      </c>
      <c r="K1676" s="8">
        <f>[1]Data!K1676</f>
        <v>16.461390349999999</v>
      </c>
      <c r="L1676" s="8">
        <f>[1]Data!L1676</f>
        <v>0.67209916136445202</v>
      </c>
      <c r="M1676" s="8">
        <f>[1]Data!M1676</f>
        <v>17.133489511364498</v>
      </c>
      <c r="N1676" s="8">
        <f>[1]Data!N1676</f>
        <v>2.34375E-2</v>
      </c>
      <c r="O1676" s="8">
        <f>[1]Data!O1676</f>
        <v>0</v>
      </c>
      <c r="P1676" s="8">
        <f>[1]Data!P1676</f>
        <v>0.265625</v>
      </c>
      <c r="Q1676" s="8">
        <f>[1]Data!Q1676</f>
        <v>1</v>
      </c>
      <c r="R1676" s="8">
        <f>[1]Data!R1676</f>
        <v>0.15151515151515199</v>
      </c>
      <c r="S1676" s="8">
        <f>[1]Data!S1676</f>
        <v>0</v>
      </c>
      <c r="T1676">
        <f t="shared" si="130"/>
        <v>0.17140151515151561</v>
      </c>
      <c r="U1676">
        <f t="shared" si="131"/>
        <v>0</v>
      </c>
      <c r="V1676" s="4" t="str">
        <f t="shared" si="132"/>
        <v>8</v>
      </c>
      <c r="W1676" s="4" t="str">
        <f t="shared" si="133"/>
        <v>6</v>
      </c>
      <c r="X1676" s="4" t="str">
        <f t="shared" si="134"/>
        <v>8NON-HS6</v>
      </c>
      <c r="Y1676">
        <f>VLOOKUP(X1676,Sheet1!$J$5:$K$121,2,FALSE)</f>
        <v>0.15151515151515199</v>
      </c>
    </row>
    <row r="1677" spans="1:25" x14ac:dyDescent="0.25">
      <c r="A1677" s="8">
        <f>[1]Data!A1677</f>
        <v>241110</v>
      </c>
      <c r="B1677" s="8">
        <f>[1]Data!B1677</f>
        <v>6</v>
      </c>
      <c r="C1677" s="8">
        <f>[1]Data!C1677</f>
        <v>8</v>
      </c>
      <c r="D1677" s="8">
        <f>[1]Data!D1677</f>
        <v>2</v>
      </c>
      <c r="E1677" s="8" t="str">
        <f>[1]Data!E1677</f>
        <v>NON-HS</v>
      </c>
      <c r="F1677" s="8" t="str">
        <f>[1]Data!F1677</f>
        <v>Green Meadows</v>
      </c>
      <c r="G1677" s="8">
        <f>[1]Data!G1677</f>
        <v>1</v>
      </c>
      <c r="H1677" s="8">
        <f>[1]Data!H1677</f>
        <v>1</v>
      </c>
      <c r="I1677" s="8">
        <f>[1]Data!I1677</f>
        <v>13.586</v>
      </c>
      <c r="J1677" s="8">
        <f>[1]Data!J1677</f>
        <v>12.840259550000001</v>
      </c>
      <c r="K1677" s="8">
        <f>[1]Data!K1677</f>
        <v>12.840259550000001</v>
      </c>
      <c r="L1677" s="8">
        <f>[1]Data!L1677</f>
        <v>0.74611343224416504</v>
      </c>
      <c r="M1677" s="8">
        <f>[1]Data!M1677</f>
        <v>13.5863729822442</v>
      </c>
      <c r="N1677" s="8">
        <f>[1]Data!N1677</f>
        <v>2.34375E-2</v>
      </c>
      <c r="O1677" s="8">
        <f>[1]Data!O1677</f>
        <v>42.6666666666667</v>
      </c>
      <c r="P1677" s="8">
        <f>[1]Data!P1677</f>
        <v>0.265625</v>
      </c>
      <c r="Q1677" s="8">
        <f>[1]Data!Q1677</f>
        <v>1</v>
      </c>
      <c r="R1677" s="8">
        <f>[1]Data!R1677</f>
        <v>0</v>
      </c>
      <c r="S1677" s="8">
        <f>[1]Data!S1677</f>
        <v>0</v>
      </c>
      <c r="T1677">
        <f t="shared" si="130"/>
        <v>0.17140151515151561</v>
      </c>
      <c r="U1677">
        <f t="shared" si="131"/>
        <v>5.8342541436463931</v>
      </c>
      <c r="V1677" s="4" t="str">
        <f t="shared" si="132"/>
        <v>8</v>
      </c>
      <c r="W1677" s="4" t="str">
        <f t="shared" si="133"/>
        <v>6</v>
      </c>
      <c r="X1677" s="4" t="str">
        <f t="shared" si="134"/>
        <v>8NON-HS6</v>
      </c>
      <c r="Y1677">
        <f>VLOOKUP(X1677,Sheet1!$J$5:$K$121,2,FALSE)</f>
        <v>0.15151515151515199</v>
      </c>
    </row>
    <row r="1678" spans="1:25" x14ac:dyDescent="0.25">
      <c r="A1678" s="8">
        <f>[1]Data!A1678</f>
        <v>241120</v>
      </c>
      <c r="B1678" s="8">
        <f>[1]Data!B1678</f>
        <v>6</v>
      </c>
      <c r="C1678" s="8">
        <f>[1]Data!C1678</f>
        <v>8</v>
      </c>
      <c r="D1678" s="8">
        <f>[1]Data!D1678</f>
        <v>2</v>
      </c>
      <c r="E1678" s="8" t="str">
        <f>[1]Data!E1678</f>
        <v>NON-HS</v>
      </c>
      <c r="F1678" s="8" t="str">
        <f>[1]Data!F1678</f>
        <v>Green Meadows</v>
      </c>
      <c r="G1678" s="8">
        <f>[1]Data!G1678</f>
        <v>0</v>
      </c>
      <c r="H1678" s="8">
        <f>[1]Data!H1678</f>
        <v>0</v>
      </c>
      <c r="I1678" s="8">
        <f>[1]Data!I1678</f>
        <v>5.798</v>
      </c>
      <c r="J1678" s="8">
        <f>[1]Data!J1678</f>
        <v>3.6649912800000002</v>
      </c>
      <c r="K1678" s="8">
        <f>[1]Data!K1678</f>
        <v>5.6649912799999997</v>
      </c>
      <c r="L1678" s="8">
        <f>[1]Data!L1678</f>
        <v>0.13266453314183099</v>
      </c>
      <c r="M1678" s="8">
        <f>[1]Data!M1678</f>
        <v>5.7976558131418301</v>
      </c>
      <c r="N1678" s="8">
        <f>[1]Data!N1678</f>
        <v>2.34375E-2</v>
      </c>
      <c r="O1678" s="8">
        <f>[1]Data!O1678</f>
        <v>0</v>
      </c>
      <c r="P1678" s="8">
        <f>[1]Data!P1678</f>
        <v>0.265625</v>
      </c>
      <c r="Q1678" s="8">
        <f>[1]Data!Q1678</f>
        <v>1</v>
      </c>
      <c r="R1678" s="8">
        <f>[1]Data!R1678</f>
        <v>0.15151515151515199</v>
      </c>
      <c r="S1678" s="8">
        <f>[1]Data!S1678</f>
        <v>0</v>
      </c>
      <c r="T1678">
        <f t="shared" si="130"/>
        <v>0.17140151515151561</v>
      </c>
      <c r="U1678">
        <f t="shared" si="131"/>
        <v>0</v>
      </c>
      <c r="V1678" s="4" t="str">
        <f t="shared" si="132"/>
        <v>8</v>
      </c>
      <c r="W1678" s="4" t="str">
        <f t="shared" si="133"/>
        <v>6</v>
      </c>
      <c r="X1678" s="4" t="str">
        <f t="shared" si="134"/>
        <v>8NON-HS6</v>
      </c>
      <c r="Y1678">
        <f>VLOOKUP(X1678,Sheet1!$J$5:$K$121,2,FALSE)</f>
        <v>0.15151515151515199</v>
      </c>
    </row>
    <row r="1679" spans="1:25" x14ac:dyDescent="0.25">
      <c r="A1679" s="8">
        <f>[1]Data!A1679</f>
        <v>241202</v>
      </c>
      <c r="B1679" s="8">
        <f>[1]Data!B1679</f>
        <v>6</v>
      </c>
      <c r="C1679" s="8">
        <f>[1]Data!C1679</f>
        <v>8</v>
      </c>
      <c r="D1679" s="8">
        <f>[1]Data!D1679</f>
        <v>2</v>
      </c>
      <c r="E1679" s="8" t="str">
        <f>[1]Data!E1679</f>
        <v>NON-HS</v>
      </c>
      <c r="F1679" s="8" t="str">
        <f>[1]Data!F1679</f>
        <v>Green Meadows</v>
      </c>
      <c r="G1679" s="8">
        <f>[1]Data!G1679</f>
        <v>0</v>
      </c>
      <c r="H1679" s="8">
        <f>[1]Data!H1679</f>
        <v>0</v>
      </c>
      <c r="I1679" s="8">
        <f>[1]Data!I1679</f>
        <v>3.6859999999999999</v>
      </c>
      <c r="J1679" s="8">
        <f>[1]Data!J1679</f>
        <v>3.4228962300000001</v>
      </c>
      <c r="K1679" s="8">
        <f>[1]Data!K1679</f>
        <v>3.4228962300000001</v>
      </c>
      <c r="L1679" s="8">
        <f>[1]Data!L1679</f>
        <v>0.26262460752244199</v>
      </c>
      <c r="M1679" s="8">
        <f>[1]Data!M1679</f>
        <v>3.6855208375224402</v>
      </c>
      <c r="N1679" s="8">
        <f>[1]Data!N1679</f>
        <v>2.34375E-2</v>
      </c>
      <c r="O1679" s="8">
        <f>[1]Data!O1679</f>
        <v>0</v>
      </c>
      <c r="P1679" s="8">
        <f>[1]Data!P1679</f>
        <v>0.265625</v>
      </c>
      <c r="Q1679" s="8">
        <f>[1]Data!Q1679</f>
        <v>1</v>
      </c>
      <c r="R1679" s="8">
        <f>[1]Data!R1679</f>
        <v>0.15151515151515199</v>
      </c>
      <c r="S1679" s="8">
        <f>[1]Data!S1679</f>
        <v>0</v>
      </c>
      <c r="T1679">
        <f t="shared" si="130"/>
        <v>0.17140151515151561</v>
      </c>
      <c r="U1679">
        <f t="shared" si="131"/>
        <v>0</v>
      </c>
      <c r="V1679" s="4" t="str">
        <f t="shared" si="132"/>
        <v>8</v>
      </c>
      <c r="W1679" s="4" t="str">
        <f t="shared" si="133"/>
        <v>6</v>
      </c>
      <c r="X1679" s="4" t="str">
        <f t="shared" si="134"/>
        <v>8NON-HS6</v>
      </c>
      <c r="Y1679">
        <f>VLOOKUP(X1679,Sheet1!$J$5:$K$121,2,FALSE)</f>
        <v>0.15151515151515199</v>
      </c>
    </row>
    <row r="1680" spans="1:25" x14ac:dyDescent="0.25">
      <c r="A1680" s="8">
        <f>[1]Data!A1680</f>
        <v>224020</v>
      </c>
      <c r="B1680" s="8">
        <f>[1]Data!B1680</f>
        <v>4</v>
      </c>
      <c r="C1680" s="8">
        <f>[1]Data!C1680</f>
        <v>9</v>
      </c>
      <c r="D1680" s="8">
        <f>[1]Data!D1680</f>
        <v>1</v>
      </c>
      <c r="E1680" s="8" t="str">
        <f>[1]Data!E1680</f>
        <v>CVCTE</v>
      </c>
      <c r="F1680" s="8" t="str">
        <f>[1]Data!F1680</f>
        <v>South Central</v>
      </c>
      <c r="G1680" s="8">
        <f>[1]Data!G1680</f>
        <v>0</v>
      </c>
      <c r="H1680" s="8">
        <f>[1]Data!H1680</f>
        <v>0</v>
      </c>
      <c r="I1680" s="8">
        <f>[1]Data!I1680</f>
        <v>43.091000000000001</v>
      </c>
      <c r="J1680" s="8">
        <f>[1]Data!J1680</f>
        <v>29.928620460000001</v>
      </c>
      <c r="K1680" s="8">
        <f>[1]Data!K1680</f>
        <v>41.928620459999998</v>
      </c>
      <c r="L1680" s="8">
        <f>[1]Data!L1680</f>
        <v>1.1622821695691199</v>
      </c>
      <c r="M1680" s="8">
        <f>[1]Data!M1680</f>
        <v>43.090902629569101</v>
      </c>
      <c r="N1680" s="8">
        <f>[1]Data!N1680</f>
        <v>0.164383561643836</v>
      </c>
      <c r="O1680" s="8">
        <f>[1]Data!O1680</f>
        <v>0</v>
      </c>
      <c r="P1680" s="8">
        <f>[1]Data!P1680</f>
        <v>2.7397260273972601E-2</v>
      </c>
      <c r="Q1680" s="8">
        <f>[1]Data!Q1680</f>
        <v>7.69230769230769E-2</v>
      </c>
      <c r="R1680" s="8">
        <f>[1]Data!R1680</f>
        <v>0</v>
      </c>
      <c r="S1680" s="8">
        <f>[1]Data!S1680</f>
        <v>0</v>
      </c>
      <c r="T1680">
        <f t="shared" si="130"/>
        <v>0.164383561643836</v>
      </c>
      <c r="U1680">
        <f t="shared" si="131"/>
        <v>0</v>
      </c>
      <c r="V1680" s="4" t="str">
        <f t="shared" si="132"/>
        <v>9</v>
      </c>
      <c r="W1680" s="4" t="str">
        <f t="shared" si="133"/>
        <v>4</v>
      </c>
      <c r="X1680" s="4" t="str">
        <f t="shared" si="134"/>
        <v>9CVCTE4</v>
      </c>
      <c r="Y1680">
        <f>VLOOKUP(X1680,Sheet1!$J$5:$K$121,2,FALSE)</f>
        <v>0</v>
      </c>
    </row>
    <row r="1681" spans="1:25" x14ac:dyDescent="0.25">
      <c r="A1681" s="8">
        <f>[1]Data!A1681</f>
        <v>226001</v>
      </c>
      <c r="B1681" s="8">
        <f>[1]Data!B1681</f>
        <v>4</v>
      </c>
      <c r="C1681" s="8">
        <f>[1]Data!C1681</f>
        <v>9</v>
      </c>
      <c r="D1681" s="8">
        <f>[1]Data!D1681</f>
        <v>2</v>
      </c>
      <c r="E1681" s="8" t="str">
        <f>[1]Data!E1681</f>
        <v>CVCTE</v>
      </c>
      <c r="F1681" s="8" t="str">
        <f>[1]Data!F1681</f>
        <v>Downtown Los Angeles</v>
      </c>
      <c r="G1681" s="8">
        <f>[1]Data!G1681</f>
        <v>1</v>
      </c>
      <c r="H1681" s="8">
        <f>[1]Data!H1681</f>
        <v>1</v>
      </c>
      <c r="I1681" s="8">
        <f>[1]Data!I1681</f>
        <v>175.48699999999999</v>
      </c>
      <c r="J1681" s="8">
        <f>[1]Data!J1681</f>
        <v>123.01214450000001</v>
      </c>
      <c r="K1681" s="8">
        <f>[1]Data!K1681</f>
        <v>173.01214450000001</v>
      </c>
      <c r="L1681" s="8">
        <f>[1]Data!L1681</f>
        <v>2.4747490147217199</v>
      </c>
      <c r="M1681" s="8">
        <f>[1]Data!M1681</f>
        <v>175.486893514722</v>
      </c>
      <c r="N1681" s="8">
        <f>[1]Data!N1681</f>
        <v>0.164383561643836</v>
      </c>
      <c r="O1681" s="8">
        <f>[1]Data!O1681</f>
        <v>6.0833333333333304</v>
      </c>
      <c r="P1681" s="8">
        <f>[1]Data!P1681</f>
        <v>2.7397260273972601E-2</v>
      </c>
      <c r="Q1681" s="8">
        <f>[1]Data!Q1681</f>
        <v>7.69230769230769E-2</v>
      </c>
      <c r="R1681" s="8">
        <f>[1]Data!R1681</f>
        <v>0</v>
      </c>
      <c r="S1681" s="8">
        <f>[1]Data!S1681</f>
        <v>0</v>
      </c>
      <c r="T1681">
        <f t="shared" si="130"/>
        <v>0.164383561643836</v>
      </c>
      <c r="U1681">
        <f t="shared" si="131"/>
        <v>6.0833333333333197</v>
      </c>
      <c r="V1681" s="4" t="str">
        <f t="shared" si="132"/>
        <v>9</v>
      </c>
      <c r="W1681" s="4" t="str">
        <f t="shared" si="133"/>
        <v>4</v>
      </c>
      <c r="X1681" s="4" t="str">
        <f t="shared" si="134"/>
        <v>9CVCTE4</v>
      </c>
      <c r="Y1681">
        <f>VLOOKUP(X1681,Sheet1!$J$5:$K$121,2,FALSE)</f>
        <v>0</v>
      </c>
    </row>
    <row r="1682" spans="1:25" x14ac:dyDescent="0.25">
      <c r="A1682" s="8">
        <f>[1]Data!A1682</f>
        <v>224600</v>
      </c>
      <c r="B1682" s="8">
        <f>[1]Data!B1682</f>
        <v>6</v>
      </c>
      <c r="C1682" s="8">
        <f>[1]Data!C1682</f>
        <v>9</v>
      </c>
      <c r="D1682" s="8">
        <f>[1]Data!D1682</f>
        <v>1</v>
      </c>
      <c r="E1682" s="8" t="str">
        <f>[1]Data!E1682</f>
        <v>CVCTE</v>
      </c>
      <c r="F1682" s="8" t="str">
        <f>[1]Data!F1682</f>
        <v>South Central</v>
      </c>
      <c r="G1682" s="8">
        <f>[1]Data!G1682</f>
        <v>0</v>
      </c>
      <c r="H1682" s="8">
        <f>[1]Data!H1682</f>
        <v>0</v>
      </c>
      <c r="I1682" s="8">
        <f>[1]Data!I1682</f>
        <v>90.432000000000002</v>
      </c>
      <c r="J1682" s="8">
        <f>[1]Data!J1682</f>
        <v>65.313543600000003</v>
      </c>
      <c r="K1682" s="8">
        <f>[1]Data!K1682</f>
        <v>89.313543600000003</v>
      </c>
      <c r="L1682" s="8">
        <f>[1]Data!L1682</f>
        <v>1.1185664670018001</v>
      </c>
      <c r="M1682" s="8">
        <f>[1]Data!M1682</f>
        <v>90.432110067001801</v>
      </c>
      <c r="N1682" s="8">
        <f>[1]Data!N1682</f>
        <v>0.16393442622950799</v>
      </c>
      <c r="O1682" s="8">
        <f>[1]Data!O1682</f>
        <v>0</v>
      </c>
      <c r="P1682" s="8">
        <f>[1]Data!P1682</f>
        <v>0.39344262295082</v>
      </c>
      <c r="Q1682" s="8">
        <f>[1]Data!Q1682</f>
        <v>0.92307692307692302</v>
      </c>
      <c r="R1682" s="8">
        <f>[1]Data!R1682</f>
        <v>0.14285714285714299</v>
      </c>
      <c r="S1682" s="8">
        <f>[1]Data!S1682</f>
        <v>0</v>
      </c>
      <c r="T1682">
        <f t="shared" si="130"/>
        <v>0.28337236533957838</v>
      </c>
      <c r="U1682">
        <f t="shared" si="131"/>
        <v>0</v>
      </c>
      <c r="V1682" s="4" t="str">
        <f t="shared" si="132"/>
        <v>9</v>
      </c>
      <c r="W1682" s="4" t="str">
        <f t="shared" si="133"/>
        <v>6</v>
      </c>
      <c r="X1682" s="4" t="str">
        <f t="shared" si="134"/>
        <v>9CVCTE6</v>
      </c>
      <c r="Y1682">
        <f>VLOOKUP(X1682,Sheet1!$J$5:$K$121,2,FALSE)</f>
        <v>0.14285714285714299</v>
      </c>
    </row>
    <row r="1683" spans="1:25" x14ac:dyDescent="0.25">
      <c r="A1683" s="8">
        <f>[1]Data!A1683</f>
        <v>239310</v>
      </c>
      <c r="B1683" s="8">
        <f>[1]Data!B1683</f>
        <v>6</v>
      </c>
      <c r="C1683" s="8">
        <f>[1]Data!C1683</f>
        <v>9</v>
      </c>
      <c r="D1683" s="8">
        <f>[1]Data!D1683</f>
        <v>2</v>
      </c>
      <c r="E1683" s="8" t="str">
        <f>[1]Data!E1683</f>
        <v>CVCTE</v>
      </c>
      <c r="F1683" s="8" t="str">
        <f>[1]Data!F1683</f>
        <v>South Park</v>
      </c>
      <c r="G1683" s="8">
        <f>[1]Data!G1683</f>
        <v>0</v>
      </c>
      <c r="H1683" s="8">
        <f>[1]Data!H1683</f>
        <v>0</v>
      </c>
      <c r="I1683" s="8">
        <f>[1]Data!I1683</f>
        <v>28.164999999999999</v>
      </c>
      <c r="J1683" s="8">
        <f>[1]Data!J1683</f>
        <v>22.14954337</v>
      </c>
      <c r="K1683" s="8">
        <f>[1]Data!K1683</f>
        <v>27.14954337</v>
      </c>
      <c r="L1683" s="8">
        <f>[1]Data!L1683</f>
        <v>1.01625381780969</v>
      </c>
      <c r="M1683" s="8">
        <f>[1]Data!M1683</f>
        <v>28.165797187809702</v>
      </c>
      <c r="N1683" s="8">
        <f>[1]Data!N1683</f>
        <v>0.16393442622950799</v>
      </c>
      <c r="O1683" s="8">
        <f>[1]Data!O1683</f>
        <v>0</v>
      </c>
      <c r="P1683" s="8">
        <f>[1]Data!P1683</f>
        <v>0.39344262295082</v>
      </c>
      <c r="Q1683" s="8">
        <f>[1]Data!Q1683</f>
        <v>0.92307692307692302</v>
      </c>
      <c r="R1683" s="8">
        <f>[1]Data!R1683</f>
        <v>0.14285714285714299</v>
      </c>
      <c r="S1683" s="8">
        <f>[1]Data!S1683</f>
        <v>0</v>
      </c>
      <c r="T1683">
        <f t="shared" si="130"/>
        <v>0.28337236533957838</v>
      </c>
      <c r="U1683">
        <f t="shared" si="131"/>
        <v>0</v>
      </c>
      <c r="V1683" s="4" t="str">
        <f t="shared" si="132"/>
        <v>9</v>
      </c>
      <c r="W1683" s="4" t="str">
        <f t="shared" si="133"/>
        <v>6</v>
      </c>
      <c r="X1683" s="4" t="str">
        <f t="shared" si="134"/>
        <v>9CVCTE6</v>
      </c>
      <c r="Y1683">
        <f>VLOOKUP(X1683,Sheet1!$J$5:$K$121,2,FALSE)</f>
        <v>0.14285714285714299</v>
      </c>
    </row>
    <row r="1684" spans="1:25" x14ac:dyDescent="0.25">
      <c r="A1684" s="8">
        <f>[1]Data!A1684</f>
        <v>224700</v>
      </c>
      <c r="B1684" s="8">
        <f>[1]Data!B1684</f>
        <v>6</v>
      </c>
      <c r="C1684" s="8">
        <f>[1]Data!C1684</f>
        <v>9</v>
      </c>
      <c r="D1684" s="8">
        <f>[1]Data!D1684</f>
        <v>1</v>
      </c>
      <c r="E1684" s="8" t="str">
        <f>[1]Data!E1684</f>
        <v>CVCTE</v>
      </c>
      <c r="F1684" s="8" t="str">
        <f>[1]Data!F1684</f>
        <v>University Park</v>
      </c>
      <c r="G1684" s="8">
        <f>[1]Data!G1684</f>
        <v>0</v>
      </c>
      <c r="H1684" s="8">
        <f>[1]Data!H1684</f>
        <v>0</v>
      </c>
      <c r="I1684" s="8">
        <f>[1]Data!I1684</f>
        <v>61.691000000000003</v>
      </c>
      <c r="J1684" s="8">
        <f>[1]Data!J1684</f>
        <v>40.100145390000002</v>
      </c>
      <c r="K1684" s="8">
        <f>[1]Data!K1684</f>
        <v>61.100145390000002</v>
      </c>
      <c r="L1684" s="8">
        <f>[1]Data!L1684</f>
        <v>0.58978342793536798</v>
      </c>
      <c r="M1684" s="8">
        <f>[1]Data!M1684</f>
        <v>61.689928817935403</v>
      </c>
      <c r="N1684" s="8">
        <f>[1]Data!N1684</f>
        <v>0.16393442622950799</v>
      </c>
      <c r="O1684" s="8">
        <f>[1]Data!O1684</f>
        <v>0</v>
      </c>
      <c r="P1684" s="8">
        <f>[1]Data!P1684</f>
        <v>0.39344262295082</v>
      </c>
      <c r="Q1684" s="8">
        <f>[1]Data!Q1684</f>
        <v>0.92307692307692302</v>
      </c>
      <c r="R1684" s="8">
        <f>[1]Data!R1684</f>
        <v>0.14285714285714299</v>
      </c>
      <c r="S1684" s="8">
        <f>[1]Data!S1684</f>
        <v>0</v>
      </c>
      <c r="T1684">
        <f t="shared" si="130"/>
        <v>0.28337236533957838</v>
      </c>
      <c r="U1684">
        <f t="shared" si="131"/>
        <v>0</v>
      </c>
      <c r="V1684" s="4" t="str">
        <f t="shared" si="132"/>
        <v>9</v>
      </c>
      <c r="W1684" s="4" t="str">
        <f t="shared" si="133"/>
        <v>6</v>
      </c>
      <c r="X1684" s="4" t="str">
        <f t="shared" si="134"/>
        <v>9CVCTE6</v>
      </c>
      <c r="Y1684">
        <f>VLOOKUP(X1684,Sheet1!$J$5:$K$121,2,FALSE)</f>
        <v>0.14285714285714299</v>
      </c>
    </row>
    <row r="1685" spans="1:25" x14ac:dyDescent="0.25">
      <c r="A1685" s="8">
        <f>[1]Data!A1685</f>
        <v>228100</v>
      </c>
      <c r="B1685" s="8">
        <f>[1]Data!B1685</f>
        <v>6</v>
      </c>
      <c r="C1685" s="8">
        <f>[1]Data!C1685</f>
        <v>9</v>
      </c>
      <c r="D1685" s="8">
        <f>[1]Data!D1685</f>
        <v>2</v>
      </c>
      <c r="E1685" s="8" t="str">
        <f>[1]Data!E1685</f>
        <v>CVCTE</v>
      </c>
      <c r="F1685" s="8" t="str">
        <f>[1]Data!F1685</f>
        <v>South Central</v>
      </c>
      <c r="G1685" s="8">
        <f>[1]Data!G1685</f>
        <v>0</v>
      </c>
      <c r="H1685" s="8">
        <f>[1]Data!H1685</f>
        <v>0</v>
      </c>
      <c r="I1685" s="8">
        <f>[1]Data!I1685</f>
        <v>36.238</v>
      </c>
      <c r="J1685" s="8">
        <f>[1]Data!J1685</f>
        <v>30.092258510000001</v>
      </c>
      <c r="K1685" s="8">
        <f>[1]Data!K1685</f>
        <v>35.092258510000001</v>
      </c>
      <c r="L1685" s="8">
        <f>[1]Data!L1685</f>
        <v>1.14508977014363</v>
      </c>
      <c r="M1685" s="8">
        <f>[1]Data!M1685</f>
        <v>36.2373482801436</v>
      </c>
      <c r="N1685" s="8">
        <f>[1]Data!N1685</f>
        <v>0.16393442622950799</v>
      </c>
      <c r="O1685" s="8">
        <f>[1]Data!O1685</f>
        <v>0</v>
      </c>
      <c r="P1685" s="8">
        <f>[1]Data!P1685</f>
        <v>0.39344262295082</v>
      </c>
      <c r="Q1685" s="8">
        <f>[1]Data!Q1685</f>
        <v>0.92307692307692302</v>
      </c>
      <c r="R1685" s="8">
        <f>[1]Data!R1685</f>
        <v>0.14285714285714299</v>
      </c>
      <c r="S1685" s="8">
        <f>[1]Data!S1685</f>
        <v>0</v>
      </c>
      <c r="T1685">
        <f t="shared" si="130"/>
        <v>0.28337236533957838</v>
      </c>
      <c r="U1685">
        <f t="shared" si="131"/>
        <v>0</v>
      </c>
      <c r="V1685" s="4" t="str">
        <f t="shared" si="132"/>
        <v>9</v>
      </c>
      <c r="W1685" s="4" t="str">
        <f t="shared" si="133"/>
        <v>6</v>
      </c>
      <c r="X1685" s="4" t="str">
        <f t="shared" si="134"/>
        <v>9CVCTE6</v>
      </c>
      <c r="Y1685">
        <f>VLOOKUP(X1685,Sheet1!$J$5:$K$121,2,FALSE)</f>
        <v>0.14285714285714299</v>
      </c>
    </row>
    <row r="1686" spans="1:25" x14ac:dyDescent="0.25">
      <c r="A1686" s="8">
        <f>[1]Data!A1686</f>
        <v>228310</v>
      </c>
      <c r="B1686" s="8">
        <f>[1]Data!B1686</f>
        <v>6</v>
      </c>
      <c r="C1686" s="8">
        <f>[1]Data!C1686</f>
        <v>9</v>
      </c>
      <c r="D1686" s="8">
        <f>[1]Data!D1686</f>
        <v>2</v>
      </c>
      <c r="E1686" s="8" t="str">
        <f>[1]Data!E1686</f>
        <v>CVCTE</v>
      </c>
      <c r="F1686" s="8" t="str">
        <f>[1]Data!F1686</f>
        <v>South Central</v>
      </c>
      <c r="G1686" s="8">
        <f>[1]Data!G1686</f>
        <v>0</v>
      </c>
      <c r="H1686" s="8">
        <f>[1]Data!H1686</f>
        <v>0</v>
      </c>
      <c r="I1686" s="8">
        <f>[1]Data!I1686</f>
        <v>25.219000000000001</v>
      </c>
      <c r="J1686" s="8">
        <f>[1]Data!J1686</f>
        <v>20.503147420000001</v>
      </c>
      <c r="K1686" s="8">
        <f>[1]Data!K1686</f>
        <v>24.503147420000001</v>
      </c>
      <c r="L1686" s="8">
        <f>[1]Data!L1686</f>
        <v>0.71596113362657099</v>
      </c>
      <c r="M1686" s="8">
        <f>[1]Data!M1686</f>
        <v>25.219108553626601</v>
      </c>
      <c r="N1686" s="8">
        <f>[1]Data!N1686</f>
        <v>0.16393442622950799</v>
      </c>
      <c r="O1686" s="8">
        <f>[1]Data!O1686</f>
        <v>0</v>
      </c>
      <c r="P1686" s="8">
        <f>[1]Data!P1686</f>
        <v>0.39344262295082</v>
      </c>
      <c r="Q1686" s="8">
        <f>[1]Data!Q1686</f>
        <v>0.92307692307692302</v>
      </c>
      <c r="R1686" s="8">
        <f>[1]Data!R1686</f>
        <v>0.14285714285714299</v>
      </c>
      <c r="S1686" s="8">
        <f>[1]Data!S1686</f>
        <v>0</v>
      </c>
      <c r="T1686">
        <f t="shared" si="130"/>
        <v>0.28337236533957838</v>
      </c>
      <c r="U1686">
        <f t="shared" si="131"/>
        <v>0</v>
      </c>
      <c r="V1686" s="4" t="str">
        <f t="shared" si="132"/>
        <v>9</v>
      </c>
      <c r="W1686" s="4" t="str">
        <f t="shared" si="133"/>
        <v>6</v>
      </c>
      <c r="X1686" s="4" t="str">
        <f t="shared" si="134"/>
        <v>9CVCTE6</v>
      </c>
      <c r="Y1686">
        <f>VLOOKUP(X1686,Sheet1!$J$5:$K$121,2,FALSE)</f>
        <v>0.14285714285714299</v>
      </c>
    </row>
    <row r="1687" spans="1:25" x14ac:dyDescent="0.25">
      <c r="A1687" s="8">
        <f>[1]Data!A1687</f>
        <v>228800</v>
      </c>
      <c r="B1687" s="8">
        <f>[1]Data!B1687</f>
        <v>6</v>
      </c>
      <c r="C1687" s="8">
        <f>[1]Data!C1687</f>
        <v>9</v>
      </c>
      <c r="D1687" s="8">
        <f>[1]Data!D1687</f>
        <v>2</v>
      </c>
      <c r="E1687" s="8" t="str">
        <f>[1]Data!E1687</f>
        <v>CVCTE</v>
      </c>
      <c r="F1687" s="8" t="str">
        <f>[1]Data!F1687</f>
        <v>Central Alameda</v>
      </c>
      <c r="G1687" s="8">
        <f>[1]Data!G1687</f>
        <v>0</v>
      </c>
      <c r="H1687" s="8">
        <f>[1]Data!H1687</f>
        <v>0</v>
      </c>
      <c r="I1687" s="8">
        <f>[1]Data!I1687</f>
        <v>46.676000000000002</v>
      </c>
      <c r="J1687" s="8">
        <f>[1]Data!J1687</f>
        <v>41.66878071</v>
      </c>
      <c r="K1687" s="8">
        <f>[1]Data!K1687</f>
        <v>43.66878071</v>
      </c>
      <c r="L1687" s="8">
        <f>[1]Data!L1687</f>
        <v>3.0059143228366199</v>
      </c>
      <c r="M1687" s="8">
        <f>[1]Data!M1687</f>
        <v>46.674695032836603</v>
      </c>
      <c r="N1687" s="8">
        <f>[1]Data!N1687</f>
        <v>0.16393442622950799</v>
      </c>
      <c r="O1687" s="8">
        <f>[1]Data!O1687</f>
        <v>0</v>
      </c>
      <c r="P1687" s="8">
        <f>[1]Data!P1687</f>
        <v>0.39344262295082</v>
      </c>
      <c r="Q1687" s="8">
        <f>[1]Data!Q1687</f>
        <v>0.92307692307692302</v>
      </c>
      <c r="R1687" s="8">
        <f>[1]Data!R1687</f>
        <v>0.14285714285714299</v>
      </c>
      <c r="S1687" s="8">
        <f>[1]Data!S1687</f>
        <v>0</v>
      </c>
      <c r="T1687">
        <f t="shared" si="130"/>
        <v>0.28337236533957838</v>
      </c>
      <c r="U1687">
        <f t="shared" si="131"/>
        <v>0</v>
      </c>
      <c r="V1687" s="4" t="str">
        <f t="shared" si="132"/>
        <v>9</v>
      </c>
      <c r="W1687" s="4" t="str">
        <f t="shared" si="133"/>
        <v>6</v>
      </c>
      <c r="X1687" s="4" t="str">
        <f t="shared" si="134"/>
        <v>9CVCTE6</v>
      </c>
      <c r="Y1687">
        <f>VLOOKUP(X1687,Sheet1!$J$5:$K$121,2,FALSE)</f>
        <v>0.14285714285714299</v>
      </c>
    </row>
    <row r="1688" spans="1:25" x14ac:dyDescent="0.25">
      <c r="A1688" s="8">
        <f>[1]Data!A1688</f>
        <v>228900</v>
      </c>
      <c r="B1688" s="8">
        <f>[1]Data!B1688</f>
        <v>6</v>
      </c>
      <c r="C1688" s="8">
        <f>[1]Data!C1688</f>
        <v>9</v>
      </c>
      <c r="D1688" s="8">
        <f>[1]Data!D1688</f>
        <v>2</v>
      </c>
      <c r="E1688" s="8" t="str">
        <f>[1]Data!E1688</f>
        <v>CVCTE</v>
      </c>
      <c r="F1688" s="8" t="str">
        <f>[1]Data!F1688</f>
        <v>Central Alameda</v>
      </c>
      <c r="G1688" s="8">
        <f>[1]Data!G1688</f>
        <v>1</v>
      </c>
      <c r="H1688" s="8">
        <f>[1]Data!H1688</f>
        <v>1</v>
      </c>
      <c r="I1688" s="8">
        <f>[1]Data!I1688</f>
        <v>45.649000000000001</v>
      </c>
      <c r="J1688" s="8">
        <f>[1]Data!J1688</f>
        <v>29.788644659999999</v>
      </c>
      <c r="K1688" s="8">
        <f>[1]Data!K1688</f>
        <v>43.788644660000003</v>
      </c>
      <c r="L1688" s="8">
        <f>[1]Data!L1688</f>
        <v>1.8606171966606799</v>
      </c>
      <c r="M1688" s="8">
        <f>[1]Data!M1688</f>
        <v>45.649261856660701</v>
      </c>
      <c r="N1688" s="8">
        <f>[1]Data!N1688</f>
        <v>0.16393442622950799</v>
      </c>
      <c r="O1688" s="8">
        <f>[1]Data!O1688</f>
        <v>6.1</v>
      </c>
      <c r="P1688" s="8">
        <f>[1]Data!P1688</f>
        <v>0.39344262295082</v>
      </c>
      <c r="Q1688" s="8">
        <f>[1]Data!Q1688</f>
        <v>0.92307692307692302</v>
      </c>
      <c r="R1688" s="8">
        <f>[1]Data!R1688</f>
        <v>0</v>
      </c>
      <c r="S1688" s="8">
        <f>[1]Data!S1688</f>
        <v>0</v>
      </c>
      <c r="T1688">
        <f t="shared" si="130"/>
        <v>0.28337236533957838</v>
      </c>
      <c r="U1688">
        <f t="shared" si="131"/>
        <v>3.5289256198347116</v>
      </c>
      <c r="V1688" s="4" t="str">
        <f t="shared" si="132"/>
        <v>9</v>
      </c>
      <c r="W1688" s="4" t="str">
        <f t="shared" si="133"/>
        <v>6</v>
      </c>
      <c r="X1688" s="4" t="str">
        <f t="shared" si="134"/>
        <v>9CVCTE6</v>
      </c>
      <c r="Y1688">
        <f>VLOOKUP(X1688,Sheet1!$J$5:$K$121,2,FALSE)</f>
        <v>0.14285714285714299</v>
      </c>
    </row>
    <row r="1689" spans="1:25" x14ac:dyDescent="0.25">
      <c r="A1689" s="8">
        <f>[1]Data!A1689</f>
        <v>229100</v>
      </c>
      <c r="B1689" s="8">
        <f>[1]Data!B1689</f>
        <v>6</v>
      </c>
      <c r="C1689" s="8">
        <f>[1]Data!C1689</f>
        <v>9</v>
      </c>
      <c r="D1689" s="8">
        <f>[1]Data!D1689</f>
        <v>2</v>
      </c>
      <c r="E1689" s="8" t="str">
        <f>[1]Data!E1689</f>
        <v>CVCTE</v>
      </c>
      <c r="F1689" s="8" t="str">
        <f>[1]Data!F1689</f>
        <v>Central Alameda</v>
      </c>
      <c r="G1689" s="8">
        <f>[1]Data!G1689</f>
        <v>0</v>
      </c>
      <c r="H1689" s="8">
        <f>[1]Data!H1689</f>
        <v>0</v>
      </c>
      <c r="I1689" s="8">
        <f>[1]Data!I1689</f>
        <v>107.605</v>
      </c>
      <c r="J1689" s="8">
        <f>[1]Data!J1689</f>
        <v>82.196142910000006</v>
      </c>
      <c r="K1689" s="8">
        <f>[1]Data!K1689</f>
        <v>102.19614291000001</v>
      </c>
      <c r="L1689" s="8">
        <f>[1]Data!L1689</f>
        <v>5.4082698071095203</v>
      </c>
      <c r="M1689" s="8">
        <f>[1]Data!M1689</f>
        <v>107.60441271710999</v>
      </c>
      <c r="N1689" s="8">
        <f>[1]Data!N1689</f>
        <v>0.16393442622950799</v>
      </c>
      <c r="O1689" s="8">
        <f>[1]Data!O1689</f>
        <v>0</v>
      </c>
      <c r="P1689" s="8">
        <f>[1]Data!P1689</f>
        <v>0.39344262295082</v>
      </c>
      <c r="Q1689" s="8">
        <f>[1]Data!Q1689</f>
        <v>0.92307692307692302</v>
      </c>
      <c r="R1689" s="8">
        <f>[1]Data!R1689</f>
        <v>0.14285714285714299</v>
      </c>
      <c r="S1689" s="8">
        <f>[1]Data!S1689</f>
        <v>0</v>
      </c>
      <c r="T1689">
        <f t="shared" si="130"/>
        <v>0.28337236533957838</v>
      </c>
      <c r="U1689">
        <f t="shared" si="131"/>
        <v>0</v>
      </c>
      <c r="V1689" s="4" t="str">
        <f t="shared" si="132"/>
        <v>9</v>
      </c>
      <c r="W1689" s="4" t="str">
        <f t="shared" si="133"/>
        <v>6</v>
      </c>
      <c r="X1689" s="4" t="str">
        <f t="shared" si="134"/>
        <v>9CVCTE6</v>
      </c>
      <c r="Y1689">
        <f>VLOOKUP(X1689,Sheet1!$J$5:$K$121,2,FALSE)</f>
        <v>0.14285714285714299</v>
      </c>
    </row>
    <row r="1690" spans="1:25" x14ac:dyDescent="0.25">
      <c r="A1690" s="8">
        <f>[1]Data!A1690</f>
        <v>229410</v>
      </c>
      <c r="B1690" s="8">
        <f>[1]Data!B1690</f>
        <v>6</v>
      </c>
      <c r="C1690" s="8">
        <f>[1]Data!C1690</f>
        <v>9</v>
      </c>
      <c r="D1690" s="8">
        <f>[1]Data!D1690</f>
        <v>2</v>
      </c>
      <c r="E1690" s="8" t="str">
        <f>[1]Data!E1690</f>
        <v>CVCTE</v>
      </c>
      <c r="F1690" s="8" t="str">
        <f>[1]Data!F1690</f>
        <v>South Park</v>
      </c>
      <c r="G1690" s="8">
        <f>[1]Data!G1690</f>
        <v>1</v>
      </c>
      <c r="H1690" s="8">
        <f>[1]Data!H1690</f>
        <v>1</v>
      </c>
      <c r="I1690" s="8">
        <f>[1]Data!I1690</f>
        <v>38.808</v>
      </c>
      <c r="J1690" s="8">
        <f>[1]Data!J1690</f>
        <v>35.395173300000003</v>
      </c>
      <c r="K1690" s="8">
        <f>[1]Data!K1690</f>
        <v>37.395173300000003</v>
      </c>
      <c r="L1690" s="8">
        <f>[1]Data!L1690</f>
        <v>1.41189982199282</v>
      </c>
      <c r="M1690" s="8">
        <f>[1]Data!M1690</f>
        <v>38.807073121992801</v>
      </c>
      <c r="N1690" s="8">
        <f>[1]Data!N1690</f>
        <v>0.16393442622950799</v>
      </c>
      <c r="O1690" s="8">
        <f>[1]Data!O1690</f>
        <v>6.1</v>
      </c>
      <c r="P1690" s="8">
        <f>[1]Data!P1690</f>
        <v>0.39344262295082</v>
      </c>
      <c r="Q1690" s="8">
        <f>[1]Data!Q1690</f>
        <v>0.92307692307692302</v>
      </c>
      <c r="R1690" s="8">
        <f>[1]Data!R1690</f>
        <v>0</v>
      </c>
      <c r="S1690" s="8">
        <f>[1]Data!S1690</f>
        <v>0</v>
      </c>
      <c r="T1690">
        <f t="shared" si="130"/>
        <v>0.28337236533957838</v>
      </c>
      <c r="U1690">
        <f t="shared" si="131"/>
        <v>3.5289256198347116</v>
      </c>
      <c r="V1690" s="4" t="str">
        <f t="shared" si="132"/>
        <v>9</v>
      </c>
      <c r="W1690" s="4" t="str">
        <f t="shared" si="133"/>
        <v>6</v>
      </c>
      <c r="X1690" s="4" t="str">
        <f t="shared" si="134"/>
        <v>9CVCTE6</v>
      </c>
      <c r="Y1690">
        <f>VLOOKUP(X1690,Sheet1!$J$5:$K$121,2,FALSE)</f>
        <v>0.14285714285714299</v>
      </c>
    </row>
    <row r="1691" spans="1:25" x14ac:dyDescent="0.25">
      <c r="A1691" s="8">
        <f>[1]Data!A1691</f>
        <v>229420</v>
      </c>
      <c r="B1691" s="8">
        <f>[1]Data!B1691</f>
        <v>6</v>
      </c>
      <c r="C1691" s="8">
        <f>[1]Data!C1691</f>
        <v>9</v>
      </c>
      <c r="D1691" s="8">
        <f>[1]Data!D1691</f>
        <v>2</v>
      </c>
      <c r="E1691" s="8" t="str">
        <f>[1]Data!E1691</f>
        <v>CVCTE</v>
      </c>
      <c r="F1691" s="8" t="str">
        <f>[1]Data!F1691</f>
        <v>South Park</v>
      </c>
      <c r="G1691" s="8">
        <f>[1]Data!G1691</f>
        <v>0</v>
      </c>
      <c r="H1691" s="8">
        <f>[1]Data!H1691</f>
        <v>0</v>
      </c>
      <c r="I1691" s="8">
        <f>[1]Data!I1691</f>
        <v>16.815999999999999</v>
      </c>
      <c r="J1691" s="8">
        <f>[1]Data!J1691</f>
        <v>15.29561867</v>
      </c>
      <c r="K1691" s="8">
        <f>[1]Data!K1691</f>
        <v>16.29561867</v>
      </c>
      <c r="L1691" s="8">
        <f>[1]Data!L1691</f>
        <v>0.52005528689407499</v>
      </c>
      <c r="M1691" s="8">
        <f>[1]Data!M1691</f>
        <v>16.815673956894098</v>
      </c>
      <c r="N1691" s="8">
        <f>[1]Data!N1691</f>
        <v>0.16393442622950799</v>
      </c>
      <c r="O1691" s="8">
        <f>[1]Data!O1691</f>
        <v>0</v>
      </c>
      <c r="P1691" s="8">
        <f>[1]Data!P1691</f>
        <v>0.39344262295082</v>
      </c>
      <c r="Q1691" s="8">
        <f>[1]Data!Q1691</f>
        <v>0.92307692307692302</v>
      </c>
      <c r="R1691" s="8">
        <f>[1]Data!R1691</f>
        <v>0.14285714285714299</v>
      </c>
      <c r="S1691" s="8">
        <f>[1]Data!S1691</f>
        <v>0</v>
      </c>
      <c r="T1691">
        <f t="shared" si="130"/>
        <v>0.28337236533957838</v>
      </c>
      <c r="U1691">
        <f t="shared" si="131"/>
        <v>0</v>
      </c>
      <c r="V1691" s="4" t="str">
        <f t="shared" si="132"/>
        <v>9</v>
      </c>
      <c r="W1691" s="4" t="str">
        <f t="shared" si="133"/>
        <v>6</v>
      </c>
      <c r="X1691" s="4" t="str">
        <f t="shared" si="134"/>
        <v>9CVCTE6</v>
      </c>
      <c r="Y1691">
        <f>VLOOKUP(X1691,Sheet1!$J$5:$K$121,2,FALSE)</f>
        <v>0.14285714285714299</v>
      </c>
    </row>
    <row r="1692" spans="1:25" x14ac:dyDescent="0.25">
      <c r="A1692" s="8">
        <f>[1]Data!A1692</f>
        <v>231100</v>
      </c>
      <c r="B1692" s="8">
        <f>[1]Data!B1692</f>
        <v>6</v>
      </c>
      <c r="C1692" s="8">
        <f>[1]Data!C1692</f>
        <v>9</v>
      </c>
      <c r="D1692" s="8">
        <f>[1]Data!D1692</f>
        <v>2</v>
      </c>
      <c r="E1692" s="8" t="str">
        <f>[1]Data!E1692</f>
        <v>CVCTE</v>
      </c>
      <c r="F1692" s="8" t="str">
        <f>[1]Data!F1692</f>
        <v>South Central</v>
      </c>
      <c r="G1692" s="8">
        <f>[1]Data!G1692</f>
        <v>0</v>
      </c>
      <c r="H1692" s="8">
        <f>[1]Data!H1692</f>
        <v>1</v>
      </c>
      <c r="I1692" s="8">
        <f>[1]Data!I1692</f>
        <v>284.26299999999998</v>
      </c>
      <c r="J1692" s="8">
        <f>[1]Data!J1692</f>
        <v>256.28183023999998</v>
      </c>
      <c r="K1692" s="8">
        <f>[1]Data!K1692</f>
        <v>279.28183023999998</v>
      </c>
      <c r="L1692" s="8">
        <f>[1]Data!L1692</f>
        <v>4.9849173714362696</v>
      </c>
      <c r="M1692" s="8">
        <f>[1]Data!M1692</f>
        <v>284.26674761143602</v>
      </c>
      <c r="N1692" s="8">
        <f>[1]Data!N1692</f>
        <v>0.16393442622950799</v>
      </c>
      <c r="O1692" s="8">
        <f>[1]Data!O1692</f>
        <v>0</v>
      </c>
      <c r="P1692" s="8">
        <f>[1]Data!P1692</f>
        <v>0.39344262295082</v>
      </c>
      <c r="Q1692" s="8">
        <f>[1]Data!Q1692</f>
        <v>0.92307692307692302</v>
      </c>
      <c r="R1692" s="8">
        <f>[1]Data!R1692</f>
        <v>0.14285714285714299</v>
      </c>
      <c r="S1692" s="8">
        <f>[1]Data!S1692</f>
        <v>7</v>
      </c>
      <c r="T1692">
        <f t="shared" si="130"/>
        <v>0.28337236533957838</v>
      </c>
      <c r="U1692">
        <f t="shared" si="131"/>
        <v>3.5289256198347116</v>
      </c>
      <c r="V1692" s="4" t="str">
        <f t="shared" si="132"/>
        <v>9</v>
      </c>
      <c r="W1692" s="4" t="str">
        <f t="shared" si="133"/>
        <v>6</v>
      </c>
      <c r="X1692" s="4" t="str">
        <f t="shared" si="134"/>
        <v>9CVCTE6</v>
      </c>
      <c r="Y1692">
        <f>VLOOKUP(X1692,Sheet1!$J$5:$K$121,2,FALSE)</f>
        <v>0.14285714285714299</v>
      </c>
    </row>
    <row r="1693" spans="1:25" x14ac:dyDescent="0.25">
      <c r="A1693" s="8">
        <f>[1]Data!A1693</f>
        <v>231710</v>
      </c>
      <c r="B1693" s="8">
        <f>[1]Data!B1693</f>
        <v>6</v>
      </c>
      <c r="C1693" s="8">
        <f>[1]Data!C1693</f>
        <v>9</v>
      </c>
      <c r="D1693" s="8">
        <f>[1]Data!D1693</f>
        <v>2</v>
      </c>
      <c r="E1693" s="8" t="str">
        <f>[1]Data!E1693</f>
        <v>CVCTE</v>
      </c>
      <c r="F1693" s="8" t="str">
        <f>[1]Data!F1693</f>
        <v>Vermont Square</v>
      </c>
      <c r="G1693" s="8">
        <f>[1]Data!G1693</f>
        <v>0</v>
      </c>
      <c r="H1693" s="8">
        <f>[1]Data!H1693</f>
        <v>0</v>
      </c>
      <c r="I1693" s="8">
        <f>[1]Data!I1693</f>
        <v>78.328999999999994</v>
      </c>
      <c r="J1693" s="8">
        <f>[1]Data!J1693</f>
        <v>43.627781679999998</v>
      </c>
      <c r="K1693" s="8">
        <f>[1]Data!K1693</f>
        <v>76.627781679999998</v>
      </c>
      <c r="L1693" s="8">
        <f>[1]Data!L1693</f>
        <v>1.70172829685817</v>
      </c>
      <c r="M1693" s="8">
        <f>[1]Data!M1693</f>
        <v>78.329509976858205</v>
      </c>
      <c r="N1693" s="8">
        <f>[1]Data!N1693</f>
        <v>0.16393442622950799</v>
      </c>
      <c r="O1693" s="8">
        <f>[1]Data!O1693</f>
        <v>0</v>
      </c>
      <c r="P1693" s="8">
        <f>[1]Data!P1693</f>
        <v>0.39344262295082</v>
      </c>
      <c r="Q1693" s="8">
        <f>[1]Data!Q1693</f>
        <v>0.92307692307692302</v>
      </c>
      <c r="R1693" s="8">
        <f>[1]Data!R1693</f>
        <v>0.14285714285714299</v>
      </c>
      <c r="S1693" s="8">
        <f>[1]Data!S1693</f>
        <v>0</v>
      </c>
      <c r="T1693">
        <f t="shared" si="130"/>
        <v>0.28337236533957838</v>
      </c>
      <c r="U1693">
        <f t="shared" si="131"/>
        <v>0</v>
      </c>
      <c r="V1693" s="4" t="str">
        <f t="shared" si="132"/>
        <v>9</v>
      </c>
      <c r="W1693" s="4" t="str">
        <f t="shared" si="133"/>
        <v>6</v>
      </c>
      <c r="X1693" s="4" t="str">
        <f t="shared" si="134"/>
        <v>9CVCTE6</v>
      </c>
      <c r="Y1693">
        <f>VLOOKUP(X1693,Sheet1!$J$5:$K$121,2,FALSE)</f>
        <v>0.14285714285714299</v>
      </c>
    </row>
    <row r="1694" spans="1:25" x14ac:dyDescent="0.25">
      <c r="A1694" s="8">
        <f>[1]Data!A1694</f>
        <v>231720</v>
      </c>
      <c r="B1694" s="8">
        <f>[1]Data!B1694</f>
        <v>6</v>
      </c>
      <c r="C1694" s="8">
        <f>[1]Data!C1694</f>
        <v>9</v>
      </c>
      <c r="D1694" s="8">
        <f>[1]Data!D1694</f>
        <v>2</v>
      </c>
      <c r="E1694" s="8" t="str">
        <f>[1]Data!E1694</f>
        <v>CVCTE</v>
      </c>
      <c r="F1694" s="8" t="str">
        <f>[1]Data!F1694</f>
        <v>Vermont Square</v>
      </c>
      <c r="G1694" s="8">
        <f>[1]Data!G1694</f>
        <v>0</v>
      </c>
      <c r="H1694" s="8">
        <f>[1]Data!H1694</f>
        <v>0</v>
      </c>
      <c r="I1694" s="8">
        <f>[1]Data!I1694</f>
        <v>40.186999999999998</v>
      </c>
      <c r="J1694" s="8">
        <f>[1]Data!J1694</f>
        <v>33.640319290000001</v>
      </c>
      <c r="K1694" s="8">
        <f>[1]Data!K1694</f>
        <v>39.640319290000001</v>
      </c>
      <c r="L1694" s="8">
        <f>[1]Data!L1694</f>
        <v>0.54632129351885095</v>
      </c>
      <c r="M1694" s="8">
        <f>[1]Data!M1694</f>
        <v>40.186640583518901</v>
      </c>
      <c r="N1694" s="8">
        <f>[1]Data!N1694</f>
        <v>0.16393442622950799</v>
      </c>
      <c r="O1694" s="8">
        <f>[1]Data!O1694</f>
        <v>0</v>
      </c>
      <c r="P1694" s="8">
        <f>[1]Data!P1694</f>
        <v>0.39344262295082</v>
      </c>
      <c r="Q1694" s="8">
        <f>[1]Data!Q1694</f>
        <v>0.92307692307692302</v>
      </c>
      <c r="R1694" s="8">
        <f>[1]Data!R1694</f>
        <v>0.14285714285714299</v>
      </c>
      <c r="S1694" s="8">
        <f>[1]Data!S1694</f>
        <v>0</v>
      </c>
      <c r="T1694">
        <f t="shared" si="130"/>
        <v>0.28337236533957838</v>
      </c>
      <c r="U1694">
        <f t="shared" si="131"/>
        <v>0</v>
      </c>
      <c r="V1694" s="4" t="str">
        <f t="shared" si="132"/>
        <v>9</v>
      </c>
      <c r="W1694" s="4" t="str">
        <f t="shared" si="133"/>
        <v>6</v>
      </c>
      <c r="X1694" s="4" t="str">
        <f t="shared" si="134"/>
        <v>9CVCTE6</v>
      </c>
      <c r="Y1694">
        <f>VLOOKUP(X1694,Sheet1!$J$5:$K$121,2,FALSE)</f>
        <v>0.14285714285714299</v>
      </c>
    </row>
    <row r="1695" spans="1:25" x14ac:dyDescent="0.25">
      <c r="A1695" s="8">
        <f>[1]Data!A1695</f>
        <v>231900</v>
      </c>
      <c r="B1695" s="8">
        <f>[1]Data!B1695</f>
        <v>6</v>
      </c>
      <c r="C1695" s="8">
        <f>[1]Data!C1695</f>
        <v>9</v>
      </c>
      <c r="D1695" s="8">
        <f>[1]Data!D1695</f>
        <v>2</v>
      </c>
      <c r="E1695" s="8" t="str">
        <f>[1]Data!E1695</f>
        <v>CVCTE</v>
      </c>
      <c r="F1695" s="8" t="str">
        <f>[1]Data!F1695</f>
        <v>South Park</v>
      </c>
      <c r="G1695" s="8">
        <f>[1]Data!G1695</f>
        <v>1</v>
      </c>
      <c r="H1695" s="8">
        <f>[1]Data!H1695</f>
        <v>1</v>
      </c>
      <c r="I1695" s="8">
        <f>[1]Data!I1695</f>
        <v>109.708</v>
      </c>
      <c r="J1695" s="8">
        <f>[1]Data!J1695</f>
        <v>60.102999769999997</v>
      </c>
      <c r="K1695" s="8">
        <f>[1]Data!K1695</f>
        <v>108.10299977</v>
      </c>
      <c r="L1695" s="8">
        <f>[1]Data!L1695</f>
        <v>1.60520784123878</v>
      </c>
      <c r="M1695" s="8">
        <f>[1]Data!M1695</f>
        <v>109.708207611239</v>
      </c>
      <c r="N1695" s="8">
        <f>[1]Data!N1695</f>
        <v>0.16393442622950799</v>
      </c>
      <c r="O1695" s="8">
        <f>[1]Data!O1695</f>
        <v>6.1</v>
      </c>
      <c r="P1695" s="8">
        <f>[1]Data!P1695</f>
        <v>0.39344262295082</v>
      </c>
      <c r="Q1695" s="8">
        <f>[1]Data!Q1695</f>
        <v>0.92307692307692302</v>
      </c>
      <c r="R1695" s="8">
        <f>[1]Data!R1695</f>
        <v>0</v>
      </c>
      <c r="S1695" s="8">
        <f>[1]Data!S1695</f>
        <v>0</v>
      </c>
      <c r="T1695">
        <f t="shared" si="130"/>
        <v>0.28337236533957838</v>
      </c>
      <c r="U1695">
        <f t="shared" si="131"/>
        <v>3.5289256198347116</v>
      </c>
      <c r="V1695" s="4" t="str">
        <f t="shared" si="132"/>
        <v>9</v>
      </c>
      <c r="W1695" s="4" t="str">
        <f t="shared" si="133"/>
        <v>6</v>
      </c>
      <c r="X1695" s="4" t="str">
        <f t="shared" si="134"/>
        <v>9CVCTE6</v>
      </c>
      <c r="Y1695">
        <f>VLOOKUP(X1695,Sheet1!$J$5:$K$121,2,FALSE)</f>
        <v>0.14285714285714299</v>
      </c>
    </row>
    <row r="1696" spans="1:25" x14ac:dyDescent="0.25">
      <c r="A1696" s="8">
        <f>[1]Data!A1696</f>
        <v>232120</v>
      </c>
      <c r="B1696" s="8">
        <f>[1]Data!B1696</f>
        <v>6</v>
      </c>
      <c r="C1696" s="8">
        <f>[1]Data!C1696</f>
        <v>9</v>
      </c>
      <c r="D1696" s="8">
        <f>[1]Data!D1696</f>
        <v>2</v>
      </c>
      <c r="E1696" s="8" t="str">
        <f>[1]Data!E1696</f>
        <v>CVCTE</v>
      </c>
      <c r="F1696" s="8" t="str">
        <f>[1]Data!F1696</f>
        <v>Vermont Square</v>
      </c>
      <c r="G1696" s="8">
        <f>[1]Data!G1696</f>
        <v>0</v>
      </c>
      <c r="H1696" s="8">
        <f>[1]Data!H1696</f>
        <v>0</v>
      </c>
      <c r="I1696" s="8">
        <f>[1]Data!I1696</f>
        <v>69.307000000000002</v>
      </c>
      <c r="J1696" s="8">
        <f>[1]Data!J1696</f>
        <v>50.40338955</v>
      </c>
      <c r="K1696" s="8">
        <f>[1]Data!K1696</f>
        <v>68.40338955</v>
      </c>
      <c r="L1696" s="8">
        <f>[1]Data!L1696</f>
        <v>0.90365864847396804</v>
      </c>
      <c r="M1696" s="8">
        <f>[1]Data!M1696</f>
        <v>69.307048198474007</v>
      </c>
      <c r="N1696" s="8">
        <f>[1]Data!N1696</f>
        <v>0.16393442622950799</v>
      </c>
      <c r="O1696" s="8">
        <f>[1]Data!O1696</f>
        <v>0</v>
      </c>
      <c r="P1696" s="8">
        <f>[1]Data!P1696</f>
        <v>0.39344262295082</v>
      </c>
      <c r="Q1696" s="8">
        <f>[1]Data!Q1696</f>
        <v>0.92307692307692302</v>
      </c>
      <c r="R1696" s="8">
        <f>[1]Data!R1696</f>
        <v>0.14285714285714299</v>
      </c>
      <c r="S1696" s="8">
        <f>[1]Data!S1696</f>
        <v>0</v>
      </c>
      <c r="T1696">
        <f t="shared" si="130"/>
        <v>0.28337236533957838</v>
      </c>
      <c r="U1696">
        <f t="shared" si="131"/>
        <v>0</v>
      </c>
      <c r="V1696" s="4" t="str">
        <f t="shared" si="132"/>
        <v>9</v>
      </c>
      <c r="W1696" s="4" t="str">
        <f t="shared" si="133"/>
        <v>6</v>
      </c>
      <c r="X1696" s="4" t="str">
        <f t="shared" si="134"/>
        <v>9CVCTE6</v>
      </c>
      <c r="Y1696">
        <f>VLOOKUP(X1696,Sheet1!$J$5:$K$121,2,FALSE)</f>
        <v>0.14285714285714299</v>
      </c>
    </row>
    <row r="1697" spans="1:25" x14ac:dyDescent="0.25">
      <c r="A1697" s="8">
        <f>[1]Data!A1697</f>
        <v>232800</v>
      </c>
      <c r="B1697" s="8">
        <f>[1]Data!B1697</f>
        <v>6</v>
      </c>
      <c r="C1697" s="8">
        <f>[1]Data!C1697</f>
        <v>9</v>
      </c>
      <c r="D1697" s="8">
        <f>[1]Data!D1697</f>
        <v>2</v>
      </c>
      <c r="E1697" s="8" t="str">
        <f>[1]Data!E1697</f>
        <v>CVCTE</v>
      </c>
      <c r="F1697" s="8" t="str">
        <f>[1]Data!F1697</f>
        <v>South Park</v>
      </c>
      <c r="G1697" s="8">
        <f>[1]Data!G1697</f>
        <v>0</v>
      </c>
      <c r="H1697" s="8">
        <f>[1]Data!H1697</f>
        <v>0</v>
      </c>
      <c r="I1697" s="8">
        <f>[1]Data!I1697</f>
        <v>98.090999999999994</v>
      </c>
      <c r="J1697" s="8">
        <f>[1]Data!J1697</f>
        <v>78.029837729999997</v>
      </c>
      <c r="K1697" s="8">
        <f>[1]Data!K1697</f>
        <v>96.029837729999997</v>
      </c>
      <c r="L1697" s="8">
        <f>[1]Data!L1697</f>
        <v>2.0613702334829398</v>
      </c>
      <c r="M1697" s="8">
        <f>[1]Data!M1697</f>
        <v>98.091207963482901</v>
      </c>
      <c r="N1697" s="8">
        <f>[1]Data!N1697</f>
        <v>0.16393442622950799</v>
      </c>
      <c r="O1697" s="8">
        <f>[1]Data!O1697</f>
        <v>0</v>
      </c>
      <c r="P1697" s="8">
        <f>[1]Data!P1697</f>
        <v>0.39344262295082</v>
      </c>
      <c r="Q1697" s="8">
        <f>[1]Data!Q1697</f>
        <v>0.92307692307692302</v>
      </c>
      <c r="R1697" s="8">
        <f>[1]Data!R1697</f>
        <v>0.14285714285714299</v>
      </c>
      <c r="S1697" s="8">
        <f>[1]Data!S1697</f>
        <v>0</v>
      </c>
      <c r="T1697">
        <f t="shared" si="130"/>
        <v>0.28337236533957838</v>
      </c>
      <c r="U1697">
        <f t="shared" si="131"/>
        <v>0</v>
      </c>
      <c r="V1697" s="4" t="str">
        <f t="shared" si="132"/>
        <v>9</v>
      </c>
      <c r="W1697" s="4" t="str">
        <f t="shared" si="133"/>
        <v>6</v>
      </c>
      <c r="X1697" s="4" t="str">
        <f t="shared" si="134"/>
        <v>9CVCTE6</v>
      </c>
      <c r="Y1697">
        <f>VLOOKUP(X1697,Sheet1!$J$5:$K$121,2,FALSE)</f>
        <v>0.14285714285714299</v>
      </c>
    </row>
    <row r="1698" spans="1:25" x14ac:dyDescent="0.25">
      <c r="A1698" s="8">
        <f>[1]Data!A1698</f>
        <v>237102</v>
      </c>
      <c r="B1698" s="8">
        <f>[1]Data!B1698</f>
        <v>6</v>
      </c>
      <c r="C1698" s="8">
        <f>[1]Data!C1698</f>
        <v>9</v>
      </c>
      <c r="D1698" s="8">
        <f>[1]Data!D1698</f>
        <v>2</v>
      </c>
      <c r="E1698" s="8" t="str">
        <f>[1]Data!E1698</f>
        <v>CVCTE</v>
      </c>
      <c r="F1698" s="8" t="str">
        <f>[1]Data!F1698</f>
        <v>Vermont Square</v>
      </c>
      <c r="G1698" s="8">
        <f>[1]Data!G1698</f>
        <v>0</v>
      </c>
      <c r="H1698" s="8">
        <f>[1]Data!H1698</f>
        <v>0</v>
      </c>
      <c r="I1698" s="8">
        <f>[1]Data!I1698</f>
        <v>75.424999999999997</v>
      </c>
      <c r="J1698" s="8">
        <f>[1]Data!J1698</f>
        <v>52.087479360000003</v>
      </c>
      <c r="K1698" s="8">
        <f>[1]Data!K1698</f>
        <v>74.087479360000003</v>
      </c>
      <c r="L1698" s="8">
        <f>[1]Data!L1698</f>
        <v>1.3361601024596099</v>
      </c>
      <c r="M1698" s="8">
        <f>[1]Data!M1698</f>
        <v>75.423639462459604</v>
      </c>
      <c r="N1698" s="8">
        <f>[1]Data!N1698</f>
        <v>0.16393442622950799</v>
      </c>
      <c r="O1698" s="8">
        <f>[1]Data!O1698</f>
        <v>0</v>
      </c>
      <c r="P1698" s="8">
        <f>[1]Data!P1698</f>
        <v>0.39344262295082</v>
      </c>
      <c r="Q1698" s="8">
        <f>[1]Data!Q1698</f>
        <v>0.92307692307692302</v>
      </c>
      <c r="R1698" s="8">
        <f>[1]Data!R1698</f>
        <v>0.14285714285714299</v>
      </c>
      <c r="S1698" s="8">
        <f>[1]Data!S1698</f>
        <v>0</v>
      </c>
      <c r="T1698">
        <f t="shared" si="130"/>
        <v>0.28337236533957838</v>
      </c>
      <c r="U1698">
        <f t="shared" si="131"/>
        <v>0</v>
      </c>
      <c r="V1698" s="4" t="str">
        <f t="shared" si="132"/>
        <v>9</v>
      </c>
      <c r="W1698" s="4" t="str">
        <f t="shared" si="133"/>
        <v>6</v>
      </c>
      <c r="X1698" s="4" t="str">
        <f t="shared" si="134"/>
        <v>9CVCTE6</v>
      </c>
      <c r="Y1698">
        <f>VLOOKUP(X1698,Sheet1!$J$5:$K$121,2,FALSE)</f>
        <v>0.14285714285714299</v>
      </c>
    </row>
    <row r="1699" spans="1:25" x14ac:dyDescent="0.25">
      <c r="A1699" s="8">
        <f>[1]Data!A1699</f>
        <v>239201</v>
      </c>
      <c r="B1699" s="8">
        <f>[1]Data!B1699</f>
        <v>6</v>
      </c>
      <c r="C1699" s="8">
        <f>[1]Data!C1699</f>
        <v>9</v>
      </c>
      <c r="D1699" s="8">
        <f>[1]Data!D1699</f>
        <v>2</v>
      </c>
      <c r="E1699" s="8" t="str">
        <f>[1]Data!E1699</f>
        <v>CVCTE</v>
      </c>
      <c r="F1699" s="8" t="str">
        <f>[1]Data!F1699</f>
        <v>South Park</v>
      </c>
      <c r="G1699" s="8">
        <f>[1]Data!G1699</f>
        <v>0</v>
      </c>
      <c r="H1699" s="8">
        <f>[1]Data!H1699</f>
        <v>0</v>
      </c>
      <c r="I1699" s="8">
        <f>[1]Data!I1699</f>
        <v>88.162999999999997</v>
      </c>
      <c r="J1699" s="8">
        <f>[1]Data!J1699</f>
        <v>66.174044330000001</v>
      </c>
      <c r="K1699" s="8">
        <f>[1]Data!K1699</f>
        <v>86.174044330000001</v>
      </c>
      <c r="L1699" s="8">
        <f>[1]Data!L1699</f>
        <v>1.9876114341831199</v>
      </c>
      <c r="M1699" s="8">
        <f>[1]Data!M1699</f>
        <v>88.161655764183095</v>
      </c>
      <c r="N1699" s="8">
        <f>[1]Data!N1699</f>
        <v>0.16393442622950799</v>
      </c>
      <c r="O1699" s="8">
        <f>[1]Data!O1699</f>
        <v>0</v>
      </c>
      <c r="P1699" s="8">
        <f>[1]Data!P1699</f>
        <v>0.39344262295082</v>
      </c>
      <c r="Q1699" s="8">
        <f>[1]Data!Q1699</f>
        <v>0.92307692307692302</v>
      </c>
      <c r="R1699" s="8">
        <f>[1]Data!R1699</f>
        <v>0.14285714285714299</v>
      </c>
      <c r="S1699" s="8">
        <f>[1]Data!S1699</f>
        <v>0</v>
      </c>
      <c r="T1699">
        <f t="shared" si="130"/>
        <v>0.28337236533957838</v>
      </c>
      <c r="U1699">
        <f t="shared" si="131"/>
        <v>0</v>
      </c>
      <c r="V1699" s="4" t="str">
        <f t="shared" si="132"/>
        <v>9</v>
      </c>
      <c r="W1699" s="4" t="str">
        <f t="shared" si="133"/>
        <v>6</v>
      </c>
      <c r="X1699" s="4" t="str">
        <f t="shared" si="134"/>
        <v>9CVCTE6</v>
      </c>
      <c r="Y1699">
        <f>VLOOKUP(X1699,Sheet1!$J$5:$K$121,2,FALSE)</f>
        <v>0.14285714285714299</v>
      </c>
    </row>
    <row r="1700" spans="1:25" x14ac:dyDescent="0.25">
      <c r="A1700" s="8">
        <f>[1]Data!A1700</f>
        <v>239330</v>
      </c>
      <c r="B1700" s="8">
        <f>[1]Data!B1700</f>
        <v>6</v>
      </c>
      <c r="C1700" s="8">
        <f>[1]Data!C1700</f>
        <v>9</v>
      </c>
      <c r="D1700" s="8">
        <f>[1]Data!D1700</f>
        <v>2</v>
      </c>
      <c r="E1700" s="8" t="str">
        <f>[1]Data!E1700</f>
        <v>CVCTE</v>
      </c>
      <c r="F1700" s="8" t="str">
        <f>[1]Data!F1700</f>
        <v>South Park</v>
      </c>
      <c r="G1700" s="8">
        <f>[1]Data!G1700</f>
        <v>0</v>
      </c>
      <c r="H1700" s="8">
        <f>[1]Data!H1700</f>
        <v>1</v>
      </c>
      <c r="I1700" s="8">
        <f>[1]Data!I1700</f>
        <v>17.065000000000001</v>
      </c>
      <c r="J1700" s="8">
        <f>[1]Data!J1700</f>
        <v>11.35769487</v>
      </c>
      <c r="K1700" s="8">
        <f>[1]Data!K1700</f>
        <v>16.35769487</v>
      </c>
      <c r="L1700" s="8">
        <f>[1]Data!L1700</f>
        <v>0.70731501305206501</v>
      </c>
      <c r="M1700" s="8">
        <f>[1]Data!M1700</f>
        <v>17.065009883052099</v>
      </c>
      <c r="N1700" s="8">
        <f>[1]Data!N1700</f>
        <v>0.16393442622950799</v>
      </c>
      <c r="O1700" s="8">
        <f>[1]Data!O1700</f>
        <v>0</v>
      </c>
      <c r="P1700" s="8">
        <f>[1]Data!P1700</f>
        <v>0.39344262295082</v>
      </c>
      <c r="Q1700" s="8">
        <f>[1]Data!Q1700</f>
        <v>0.92307692307692302</v>
      </c>
      <c r="R1700" s="8">
        <f>[1]Data!R1700</f>
        <v>0.14285714285714299</v>
      </c>
      <c r="S1700" s="8">
        <f>[1]Data!S1700</f>
        <v>7</v>
      </c>
      <c r="T1700">
        <f t="shared" si="130"/>
        <v>0.28337236533957838</v>
      </c>
      <c r="U1700">
        <f t="shared" si="131"/>
        <v>3.5289256198347116</v>
      </c>
      <c r="V1700" s="4" t="str">
        <f t="shared" si="132"/>
        <v>9</v>
      </c>
      <c r="W1700" s="4" t="str">
        <f t="shared" si="133"/>
        <v>6</v>
      </c>
      <c r="X1700" s="4" t="str">
        <f t="shared" si="134"/>
        <v>9CVCTE6</v>
      </c>
      <c r="Y1700">
        <f>VLOOKUP(X1700,Sheet1!$J$5:$K$121,2,FALSE)</f>
        <v>0.14285714285714299</v>
      </c>
    </row>
    <row r="1701" spans="1:25" x14ac:dyDescent="0.25">
      <c r="A1701" s="8">
        <f>[1]Data!A1701</f>
        <v>240010</v>
      </c>
      <c r="B1701" s="8">
        <f>[1]Data!B1701</f>
        <v>6</v>
      </c>
      <c r="C1701" s="8">
        <f>[1]Data!C1701</f>
        <v>9</v>
      </c>
      <c r="D1701" s="8">
        <f>[1]Data!D1701</f>
        <v>2</v>
      </c>
      <c r="E1701" s="8" t="str">
        <f>[1]Data!E1701</f>
        <v>CVCTE</v>
      </c>
      <c r="F1701" s="8" t="str">
        <f>[1]Data!F1701</f>
        <v>Green Meadows</v>
      </c>
      <c r="G1701" s="8">
        <f>[1]Data!G1701</f>
        <v>0</v>
      </c>
      <c r="H1701" s="8">
        <f>[1]Data!H1701</f>
        <v>0</v>
      </c>
      <c r="I1701" s="8">
        <f>[1]Data!I1701</f>
        <v>7.2759999999999998</v>
      </c>
      <c r="J1701" s="8">
        <f>[1]Data!J1701</f>
        <v>4.8620928000000001</v>
      </c>
      <c r="K1701" s="8">
        <f>[1]Data!K1701</f>
        <v>6.8620928000000001</v>
      </c>
      <c r="L1701" s="8">
        <f>[1]Data!L1701</f>
        <v>0.414076613662478</v>
      </c>
      <c r="M1701" s="8">
        <f>[1]Data!M1701</f>
        <v>7.2761694136624797</v>
      </c>
      <c r="N1701" s="8">
        <f>[1]Data!N1701</f>
        <v>0.16393442622950799</v>
      </c>
      <c r="O1701" s="8">
        <f>[1]Data!O1701</f>
        <v>0</v>
      </c>
      <c r="P1701" s="8">
        <f>[1]Data!P1701</f>
        <v>0.39344262295082</v>
      </c>
      <c r="Q1701" s="8">
        <f>[1]Data!Q1701</f>
        <v>0.92307692307692302</v>
      </c>
      <c r="R1701" s="8">
        <f>[1]Data!R1701</f>
        <v>0.14285714285714299</v>
      </c>
      <c r="S1701" s="8">
        <f>[1]Data!S1701</f>
        <v>0</v>
      </c>
      <c r="T1701">
        <f t="shared" si="130"/>
        <v>0.28337236533957838</v>
      </c>
      <c r="U1701">
        <f t="shared" si="131"/>
        <v>0</v>
      </c>
      <c r="V1701" s="4" t="str">
        <f t="shared" si="132"/>
        <v>9</v>
      </c>
      <c r="W1701" s="4" t="str">
        <f t="shared" si="133"/>
        <v>6</v>
      </c>
      <c r="X1701" s="4" t="str">
        <f t="shared" si="134"/>
        <v>9CVCTE6</v>
      </c>
      <c r="Y1701">
        <f>VLOOKUP(X1701,Sheet1!$J$5:$K$121,2,FALSE)</f>
        <v>0.14285714285714299</v>
      </c>
    </row>
    <row r="1702" spans="1:25" x14ac:dyDescent="0.25">
      <c r="A1702" s="8">
        <f>[1]Data!A1702</f>
        <v>239702</v>
      </c>
      <c r="B1702" s="8">
        <f>[1]Data!B1702</f>
        <v>6</v>
      </c>
      <c r="C1702" s="8">
        <f>[1]Data!C1702</f>
        <v>9</v>
      </c>
      <c r="D1702" s="8">
        <f>[1]Data!D1702</f>
        <v>2</v>
      </c>
      <c r="E1702" s="8" t="str">
        <f>[1]Data!E1702</f>
        <v>CVCTE</v>
      </c>
      <c r="F1702" s="8" t="str">
        <f>[1]Data!F1702</f>
        <v>South Park</v>
      </c>
      <c r="G1702" s="8">
        <f>[1]Data!G1702</f>
        <v>0</v>
      </c>
      <c r="H1702" s="8">
        <f>[1]Data!H1702</f>
        <v>0</v>
      </c>
      <c r="I1702" s="8">
        <f>[1]Data!I1702</f>
        <v>62.31</v>
      </c>
      <c r="J1702" s="8">
        <f>[1]Data!J1702</f>
        <v>47.155077640000002</v>
      </c>
      <c r="K1702" s="8">
        <f>[1]Data!K1702</f>
        <v>61.155077640000002</v>
      </c>
      <c r="L1702" s="8">
        <f>[1]Data!L1702</f>
        <v>1.1544229305026901</v>
      </c>
      <c r="M1702" s="8">
        <f>[1]Data!M1702</f>
        <v>62.309500570502699</v>
      </c>
      <c r="N1702" s="8">
        <f>[1]Data!N1702</f>
        <v>0.16393442622950799</v>
      </c>
      <c r="O1702" s="8">
        <f>[1]Data!O1702</f>
        <v>0</v>
      </c>
      <c r="P1702" s="8">
        <f>[1]Data!P1702</f>
        <v>0.39344262295082</v>
      </c>
      <c r="Q1702" s="8">
        <f>[1]Data!Q1702</f>
        <v>0.92307692307692302</v>
      </c>
      <c r="R1702" s="8">
        <f>[1]Data!R1702</f>
        <v>0.14285714285714299</v>
      </c>
      <c r="S1702" s="8">
        <f>[1]Data!S1702</f>
        <v>0</v>
      </c>
      <c r="T1702">
        <f t="shared" si="130"/>
        <v>0.28337236533957838</v>
      </c>
      <c r="U1702">
        <f t="shared" si="131"/>
        <v>0</v>
      </c>
      <c r="V1702" s="4" t="str">
        <f t="shared" si="132"/>
        <v>9</v>
      </c>
      <c r="W1702" s="4" t="str">
        <f t="shared" si="133"/>
        <v>6</v>
      </c>
      <c r="X1702" s="4" t="str">
        <f t="shared" si="134"/>
        <v>9CVCTE6</v>
      </c>
      <c r="Y1702">
        <f>VLOOKUP(X1702,Sheet1!$J$5:$K$121,2,FALSE)</f>
        <v>0.14285714285714299</v>
      </c>
    </row>
    <row r="1703" spans="1:25" x14ac:dyDescent="0.25">
      <c r="A1703" s="8">
        <f>[1]Data!A1703</f>
        <v>232700</v>
      </c>
      <c r="B1703" s="8">
        <f>[1]Data!B1703</f>
        <v>6</v>
      </c>
      <c r="C1703" s="8">
        <f>[1]Data!C1703</f>
        <v>9</v>
      </c>
      <c r="D1703" s="8">
        <f>[1]Data!D1703</f>
        <v>2</v>
      </c>
      <c r="E1703" s="8" t="str">
        <f>[1]Data!E1703</f>
        <v>CVCTE</v>
      </c>
      <c r="F1703" s="8" t="str">
        <f>[1]Data!F1703</f>
        <v>Vermont Square</v>
      </c>
      <c r="G1703" s="8">
        <f>[1]Data!G1703</f>
        <v>0</v>
      </c>
      <c r="H1703" s="8">
        <f>[1]Data!H1703</f>
        <v>0</v>
      </c>
      <c r="I1703" s="8">
        <f>[1]Data!I1703</f>
        <v>102.93600000000001</v>
      </c>
      <c r="J1703" s="8">
        <f>[1]Data!J1703</f>
        <v>85.186727559999994</v>
      </c>
      <c r="K1703" s="8">
        <f>[1]Data!K1703</f>
        <v>101.18672755999999</v>
      </c>
      <c r="L1703" s="8">
        <f>[1]Data!L1703</f>
        <v>1.7488905404308801</v>
      </c>
      <c r="M1703" s="8">
        <f>[1]Data!M1703</f>
        <v>102.935618100431</v>
      </c>
      <c r="N1703" s="8">
        <f>[1]Data!N1703</f>
        <v>0.16393442622950799</v>
      </c>
      <c r="O1703" s="8">
        <f>[1]Data!O1703</f>
        <v>0</v>
      </c>
      <c r="P1703" s="8">
        <f>[1]Data!P1703</f>
        <v>0.39344262295082</v>
      </c>
      <c r="Q1703" s="8">
        <f>[1]Data!Q1703</f>
        <v>0.92307692307692302</v>
      </c>
      <c r="R1703" s="8">
        <f>[1]Data!R1703</f>
        <v>0.14285714285714299</v>
      </c>
      <c r="S1703" s="8">
        <f>[1]Data!S1703</f>
        <v>0</v>
      </c>
      <c r="T1703">
        <f t="shared" si="130"/>
        <v>0.28337236533957838</v>
      </c>
      <c r="U1703">
        <f t="shared" si="131"/>
        <v>0</v>
      </c>
      <c r="V1703" s="4" t="str">
        <f t="shared" si="132"/>
        <v>9</v>
      </c>
      <c r="W1703" s="4" t="str">
        <f t="shared" si="133"/>
        <v>6</v>
      </c>
      <c r="X1703" s="4" t="str">
        <f t="shared" si="134"/>
        <v>9CVCTE6</v>
      </c>
      <c r="Y1703">
        <f>VLOOKUP(X1703,Sheet1!$J$5:$K$121,2,FALSE)</f>
        <v>0.14285714285714299</v>
      </c>
    </row>
    <row r="1704" spans="1:25" x14ac:dyDescent="0.25">
      <c r="A1704" s="8">
        <f>[1]Data!A1704</f>
        <v>229300</v>
      </c>
      <c r="B1704" s="8">
        <f>[1]Data!B1704</f>
        <v>6</v>
      </c>
      <c r="C1704" s="8">
        <f>[1]Data!C1704</f>
        <v>9</v>
      </c>
      <c r="D1704" s="8">
        <f>[1]Data!D1704</f>
        <v>2</v>
      </c>
      <c r="E1704" s="8" t="str">
        <f>[1]Data!E1704</f>
        <v>CVCTE</v>
      </c>
      <c r="F1704" s="8" t="str">
        <f>[1]Data!F1704</f>
        <v>South Park</v>
      </c>
      <c r="G1704" s="8">
        <f>[1]Data!G1704</f>
        <v>0</v>
      </c>
      <c r="H1704" s="8">
        <f>[1]Data!H1704</f>
        <v>0</v>
      </c>
      <c r="I1704" s="8">
        <f>[1]Data!I1704</f>
        <v>12.302</v>
      </c>
      <c r="J1704" s="8">
        <f>[1]Data!J1704</f>
        <v>6.8891605699999996</v>
      </c>
      <c r="K1704" s="8">
        <f>[1]Data!K1704</f>
        <v>11.88916057</v>
      </c>
      <c r="L1704" s="8">
        <f>[1]Data!L1704</f>
        <v>0.412595628096948</v>
      </c>
      <c r="M1704" s="8">
        <f>[1]Data!M1704</f>
        <v>12.3017561980969</v>
      </c>
      <c r="N1704" s="8">
        <f>[1]Data!N1704</f>
        <v>0.16393442622950799</v>
      </c>
      <c r="O1704" s="8">
        <f>[1]Data!O1704</f>
        <v>0</v>
      </c>
      <c r="P1704" s="8">
        <f>[1]Data!P1704</f>
        <v>0.39344262295082</v>
      </c>
      <c r="Q1704" s="8">
        <f>[1]Data!Q1704</f>
        <v>0.92307692307692302</v>
      </c>
      <c r="R1704" s="8">
        <f>[1]Data!R1704</f>
        <v>0.14285714285714299</v>
      </c>
      <c r="S1704" s="8">
        <f>[1]Data!S1704</f>
        <v>0</v>
      </c>
      <c r="T1704">
        <f t="shared" si="130"/>
        <v>0.28337236533957838</v>
      </c>
      <c r="U1704">
        <f t="shared" si="131"/>
        <v>0</v>
      </c>
      <c r="V1704" s="4" t="str">
        <f t="shared" si="132"/>
        <v>9</v>
      </c>
      <c r="W1704" s="4" t="str">
        <f t="shared" si="133"/>
        <v>6</v>
      </c>
      <c r="X1704" s="4" t="str">
        <f t="shared" si="134"/>
        <v>9CVCTE6</v>
      </c>
      <c r="Y1704">
        <f>VLOOKUP(X1704,Sheet1!$J$5:$K$121,2,FALSE)</f>
        <v>0.14285714285714299</v>
      </c>
    </row>
    <row r="1705" spans="1:25" x14ac:dyDescent="0.25">
      <c r="A1705" s="8">
        <f>[1]Data!A1705</f>
        <v>228500</v>
      </c>
      <c r="B1705" s="8">
        <f>[1]Data!B1705</f>
        <v>6</v>
      </c>
      <c r="C1705" s="8">
        <f>[1]Data!C1705</f>
        <v>9</v>
      </c>
      <c r="D1705" s="8">
        <f>[1]Data!D1705</f>
        <v>2</v>
      </c>
      <c r="E1705" s="8" t="str">
        <f>[1]Data!E1705</f>
        <v>CVCTE</v>
      </c>
      <c r="F1705" s="8" t="str">
        <f>[1]Data!F1705</f>
        <v>South Park</v>
      </c>
      <c r="G1705" s="8">
        <f>[1]Data!G1705</f>
        <v>0</v>
      </c>
      <c r="H1705" s="8">
        <f>[1]Data!H1705</f>
        <v>1</v>
      </c>
      <c r="I1705" s="8">
        <f>[1]Data!I1705</f>
        <v>72.584999999999994</v>
      </c>
      <c r="J1705" s="8">
        <f>[1]Data!J1705</f>
        <v>29.210451710000001</v>
      </c>
      <c r="K1705" s="8">
        <f>[1]Data!K1705</f>
        <v>71.210451710000001</v>
      </c>
      <c r="L1705" s="8">
        <f>[1]Data!L1705</f>
        <v>1.3744892577019701</v>
      </c>
      <c r="M1705" s="8">
        <f>[1]Data!M1705</f>
        <v>72.584940967701996</v>
      </c>
      <c r="N1705" s="8">
        <f>[1]Data!N1705</f>
        <v>0.16393442622950799</v>
      </c>
      <c r="O1705" s="8">
        <f>[1]Data!O1705</f>
        <v>0</v>
      </c>
      <c r="P1705" s="8">
        <f>[1]Data!P1705</f>
        <v>0.39344262295082</v>
      </c>
      <c r="Q1705" s="8">
        <f>[1]Data!Q1705</f>
        <v>0.92307692307692302</v>
      </c>
      <c r="R1705" s="8">
        <f>[1]Data!R1705</f>
        <v>0.14285714285714299</v>
      </c>
      <c r="S1705" s="8">
        <f>[1]Data!S1705</f>
        <v>7</v>
      </c>
      <c r="T1705">
        <f t="shared" si="130"/>
        <v>0.28337236533957838</v>
      </c>
      <c r="U1705">
        <f t="shared" si="131"/>
        <v>3.5289256198347116</v>
      </c>
      <c r="V1705" s="4" t="str">
        <f t="shared" si="132"/>
        <v>9</v>
      </c>
      <c r="W1705" s="4" t="str">
        <f t="shared" si="133"/>
        <v>6</v>
      </c>
      <c r="X1705" s="4" t="str">
        <f t="shared" si="134"/>
        <v>9CVCTE6</v>
      </c>
      <c r="Y1705">
        <f>VLOOKUP(X1705,Sheet1!$J$5:$K$121,2,FALSE)</f>
        <v>0.14285714285714299</v>
      </c>
    </row>
    <row r="1706" spans="1:25" x14ac:dyDescent="0.25">
      <c r="A1706" s="8">
        <f>[1]Data!A1706</f>
        <v>222700</v>
      </c>
      <c r="B1706" s="8">
        <f>[1]Data!B1706</f>
        <v>6</v>
      </c>
      <c r="C1706" s="8">
        <f>[1]Data!C1706</f>
        <v>9</v>
      </c>
      <c r="D1706" s="8">
        <f>[1]Data!D1706</f>
        <v>2</v>
      </c>
      <c r="E1706" s="8" t="str">
        <f>[1]Data!E1706</f>
        <v>FAMILY</v>
      </c>
      <c r="F1706" s="8" t="str">
        <f>[1]Data!F1706</f>
        <v>Adams</v>
      </c>
      <c r="G1706" s="8">
        <f>[1]Data!G1706</f>
        <v>1</v>
      </c>
      <c r="H1706" s="8">
        <f>[1]Data!H1706</f>
        <v>1</v>
      </c>
      <c r="I1706" s="8">
        <f>[1]Data!I1706</f>
        <v>100.393</v>
      </c>
      <c r="J1706" s="8">
        <f>[1]Data!J1706</f>
        <v>86.007981959999995</v>
      </c>
      <c r="K1706" s="8">
        <f>[1]Data!K1706</f>
        <v>98.007981959999995</v>
      </c>
      <c r="L1706" s="8">
        <f>[1]Data!L1706</f>
        <v>4.3852899474147202</v>
      </c>
      <c r="M1706" s="8">
        <f>[1]Data!M1706</f>
        <v>102.393271907415</v>
      </c>
      <c r="N1706" s="8">
        <f>[1]Data!N1706</f>
        <v>1</v>
      </c>
      <c r="O1706" s="8">
        <f>[1]Data!O1706</f>
        <v>1</v>
      </c>
      <c r="P1706" s="8">
        <f>[1]Data!P1706</f>
        <v>0</v>
      </c>
      <c r="Q1706" s="8">
        <f>[1]Data!Q1706</f>
        <v>0</v>
      </c>
      <c r="R1706" s="8">
        <f>[1]Data!R1706</f>
        <v>0</v>
      </c>
      <c r="S1706" s="8">
        <f>[1]Data!S1706</f>
        <v>0</v>
      </c>
      <c r="T1706">
        <f t="shared" si="130"/>
        <v>1</v>
      </c>
      <c r="U1706">
        <f t="shared" si="131"/>
        <v>1</v>
      </c>
      <c r="V1706" s="4" t="str">
        <f t="shared" si="132"/>
        <v>9</v>
      </c>
      <c r="W1706" s="4" t="str">
        <f t="shared" si="133"/>
        <v>6</v>
      </c>
      <c r="X1706" s="4" t="str">
        <f t="shared" si="134"/>
        <v>9FAMILY6</v>
      </c>
      <c r="Y1706">
        <f>VLOOKUP(X1706,Sheet1!$J$5:$K$121,2,FALSE)</f>
        <v>0</v>
      </c>
    </row>
    <row r="1707" spans="1:25" x14ac:dyDescent="0.25">
      <c r="A1707" s="8">
        <f>[1]Data!A1707</f>
        <v>239202</v>
      </c>
      <c r="B1707" s="8">
        <f>[1]Data!B1707</f>
        <v>6</v>
      </c>
      <c r="C1707" s="8">
        <f>[1]Data!C1707</f>
        <v>9</v>
      </c>
      <c r="D1707" s="8">
        <f>[1]Data!D1707</f>
        <v>2</v>
      </c>
      <c r="E1707" s="8" t="str">
        <f>[1]Data!E1707</f>
        <v>FAMILY</v>
      </c>
      <c r="F1707" s="8" t="str">
        <f>[1]Data!F1707</f>
        <v>South Park</v>
      </c>
      <c r="G1707" s="8">
        <f>[1]Data!G1707</f>
        <v>1</v>
      </c>
      <c r="H1707" s="8">
        <f>[1]Data!H1707</f>
        <v>1</v>
      </c>
      <c r="I1707" s="8">
        <f>[1]Data!I1707</f>
        <v>61.612000000000002</v>
      </c>
      <c r="J1707" s="8">
        <f>[1]Data!J1707</f>
        <v>53.260800979999999</v>
      </c>
      <c r="K1707" s="8">
        <f>[1]Data!K1707</f>
        <v>59.260800979999999</v>
      </c>
      <c r="L1707" s="8">
        <f>[1]Data!L1707</f>
        <v>2.3515825142190301</v>
      </c>
      <c r="M1707" s="8">
        <f>[1]Data!M1707</f>
        <v>61.612383494219003</v>
      </c>
      <c r="N1707" s="8">
        <f>[1]Data!N1707</f>
        <v>1</v>
      </c>
      <c r="O1707" s="8">
        <f>[1]Data!O1707</f>
        <v>1</v>
      </c>
      <c r="P1707" s="8">
        <f>[1]Data!P1707</f>
        <v>0</v>
      </c>
      <c r="Q1707" s="8">
        <f>[1]Data!Q1707</f>
        <v>0</v>
      </c>
      <c r="R1707" s="8">
        <f>[1]Data!R1707</f>
        <v>0</v>
      </c>
      <c r="S1707" s="8">
        <f>[1]Data!S1707</f>
        <v>0</v>
      </c>
      <c r="T1707">
        <f t="shared" si="130"/>
        <v>1</v>
      </c>
      <c r="U1707">
        <f t="shared" si="131"/>
        <v>1</v>
      </c>
      <c r="V1707" s="4" t="str">
        <f t="shared" si="132"/>
        <v>9</v>
      </c>
      <c r="W1707" s="4" t="str">
        <f t="shared" si="133"/>
        <v>6</v>
      </c>
      <c r="X1707" s="4" t="str">
        <f t="shared" si="134"/>
        <v>9FAMILY6</v>
      </c>
      <c r="Y1707">
        <f>VLOOKUP(X1707,Sheet1!$J$5:$K$121,2,FALSE)</f>
        <v>0</v>
      </c>
    </row>
    <row r="1708" spans="1:25" x14ac:dyDescent="0.25">
      <c r="A1708" s="8">
        <f>[1]Data!A1708</f>
        <v>239701</v>
      </c>
      <c r="B1708" s="8">
        <f>[1]Data!B1708</f>
        <v>6</v>
      </c>
      <c r="C1708" s="8">
        <f>[1]Data!C1708</f>
        <v>9</v>
      </c>
      <c r="D1708" s="8">
        <f>[1]Data!D1708</f>
        <v>2</v>
      </c>
      <c r="E1708" s="8" t="str">
        <f>[1]Data!E1708</f>
        <v>INDIV</v>
      </c>
      <c r="F1708" s="8" t="str">
        <f>[1]Data!F1708</f>
        <v>South Park</v>
      </c>
      <c r="G1708" s="8">
        <f>[1]Data!G1708</f>
        <v>0</v>
      </c>
      <c r="H1708" s="8">
        <f>[1]Data!H1708</f>
        <v>0</v>
      </c>
      <c r="I1708" s="8">
        <f>[1]Data!I1708</f>
        <v>33.308999999999997</v>
      </c>
      <c r="J1708" s="8">
        <f>[1]Data!J1708</f>
        <v>21.089796969999998</v>
      </c>
      <c r="K1708" s="8">
        <f>[1]Data!K1708</f>
        <v>32.089796970000002</v>
      </c>
      <c r="L1708" s="8">
        <f>[1]Data!L1708</f>
        <v>1.21961378718133</v>
      </c>
      <c r="M1708" s="8">
        <f>[1]Data!M1708</f>
        <v>33.309410757181297</v>
      </c>
      <c r="N1708" s="8">
        <f>[1]Data!N1708</f>
        <v>3.2258064516128997E-2</v>
      </c>
      <c r="O1708" s="8">
        <f>[1]Data!O1708</f>
        <v>0</v>
      </c>
      <c r="P1708" s="8">
        <f>[1]Data!P1708</f>
        <v>0.35483870967741898</v>
      </c>
      <c r="Q1708" s="8">
        <f>[1]Data!Q1708</f>
        <v>1</v>
      </c>
      <c r="R1708" s="8">
        <f>[1]Data!R1708</f>
        <v>0</v>
      </c>
      <c r="S1708" s="8">
        <f>[1]Data!S1708</f>
        <v>0</v>
      </c>
      <c r="T1708">
        <f t="shared" si="130"/>
        <v>3.2258064516128997E-2</v>
      </c>
      <c r="U1708">
        <f t="shared" si="131"/>
        <v>0</v>
      </c>
      <c r="V1708" s="4" t="str">
        <f t="shared" si="132"/>
        <v>9</v>
      </c>
      <c r="W1708" s="4" t="str">
        <f t="shared" si="133"/>
        <v>6</v>
      </c>
      <c r="X1708" s="4" t="str">
        <f t="shared" si="134"/>
        <v>9INDIV6</v>
      </c>
      <c r="Y1708">
        <f>VLOOKUP(X1708,Sheet1!$J$5:$K$121,2,FALSE)</f>
        <v>0</v>
      </c>
    </row>
    <row r="1709" spans="1:25" x14ac:dyDescent="0.25">
      <c r="A1709" s="8">
        <f>[1]Data!A1709</f>
        <v>232300</v>
      </c>
      <c r="B1709" s="8">
        <f>[1]Data!B1709</f>
        <v>6</v>
      </c>
      <c r="C1709" s="8">
        <f>[1]Data!C1709</f>
        <v>9</v>
      </c>
      <c r="D1709" s="8">
        <f>[1]Data!D1709</f>
        <v>2</v>
      </c>
      <c r="E1709" s="8" t="str">
        <f>[1]Data!E1709</f>
        <v>INDIV</v>
      </c>
      <c r="F1709" s="8" t="str">
        <f>[1]Data!F1709</f>
        <v>Vermont Square</v>
      </c>
      <c r="G1709" s="8">
        <f>[1]Data!G1709</f>
        <v>0</v>
      </c>
      <c r="H1709" s="8">
        <f>[1]Data!H1709</f>
        <v>0</v>
      </c>
      <c r="I1709" s="8">
        <f>[1]Data!I1709</f>
        <v>14.686</v>
      </c>
      <c r="J1709" s="8">
        <f>[1]Data!J1709</f>
        <v>3.4228962300000001</v>
      </c>
      <c r="K1709" s="8">
        <f>[1]Data!K1709</f>
        <v>14.422896229999999</v>
      </c>
      <c r="L1709" s="8">
        <f>[1]Data!L1709</f>
        <v>0.26262460752244199</v>
      </c>
      <c r="M1709" s="8">
        <f>[1]Data!M1709</f>
        <v>14.6855208375224</v>
      </c>
      <c r="N1709" s="8">
        <f>[1]Data!N1709</f>
        <v>3.2258064516128997E-2</v>
      </c>
      <c r="O1709" s="8">
        <f>[1]Data!O1709</f>
        <v>0</v>
      </c>
      <c r="P1709" s="8">
        <f>[1]Data!P1709</f>
        <v>0.35483870967741898</v>
      </c>
      <c r="Q1709" s="8">
        <f>[1]Data!Q1709</f>
        <v>1</v>
      </c>
      <c r="R1709" s="8">
        <f>[1]Data!R1709</f>
        <v>0</v>
      </c>
      <c r="S1709" s="8">
        <f>[1]Data!S1709</f>
        <v>0</v>
      </c>
      <c r="T1709">
        <f t="shared" si="130"/>
        <v>3.2258064516128997E-2</v>
      </c>
      <c r="U1709">
        <f t="shared" si="131"/>
        <v>0</v>
      </c>
      <c r="V1709" s="4" t="str">
        <f t="shared" si="132"/>
        <v>9</v>
      </c>
      <c r="W1709" s="4" t="str">
        <f t="shared" si="133"/>
        <v>6</v>
      </c>
      <c r="X1709" s="4" t="str">
        <f t="shared" si="134"/>
        <v>9INDIV6</v>
      </c>
      <c r="Y1709">
        <f>VLOOKUP(X1709,Sheet1!$J$5:$K$121,2,FALSE)</f>
        <v>0</v>
      </c>
    </row>
    <row r="1710" spans="1:25" x14ac:dyDescent="0.25">
      <c r="A1710" s="8">
        <f>[1]Data!A1710</f>
        <v>226420</v>
      </c>
      <c r="B1710" s="8">
        <f>[1]Data!B1710</f>
        <v>6</v>
      </c>
      <c r="C1710" s="8">
        <f>[1]Data!C1710</f>
        <v>9</v>
      </c>
      <c r="D1710" s="8">
        <f>[1]Data!D1710</f>
        <v>2</v>
      </c>
      <c r="E1710" s="8" t="str">
        <f>[1]Data!E1710</f>
        <v>INDIV</v>
      </c>
      <c r="F1710" s="8" t="str">
        <f>[1]Data!F1710</f>
        <v>South Central</v>
      </c>
      <c r="G1710" s="8">
        <f>[1]Data!G1710</f>
        <v>0</v>
      </c>
      <c r="H1710" s="8">
        <f>[1]Data!H1710</f>
        <v>0</v>
      </c>
      <c r="I1710" s="8">
        <f>[1]Data!I1710</f>
        <v>14.207000000000001</v>
      </c>
      <c r="J1710" s="8">
        <f>[1]Data!J1710</f>
        <v>4.9054609100000004</v>
      </c>
      <c r="K1710" s="8">
        <f>[1]Data!K1710</f>
        <v>13.90546091</v>
      </c>
      <c r="L1710" s="8">
        <f>[1]Data!L1710</f>
        <v>0.30142302671454202</v>
      </c>
      <c r="M1710" s="8">
        <f>[1]Data!M1710</f>
        <v>14.206883936714499</v>
      </c>
      <c r="N1710" s="8">
        <f>[1]Data!N1710</f>
        <v>3.2258064516128997E-2</v>
      </c>
      <c r="O1710" s="8">
        <f>[1]Data!O1710</f>
        <v>0</v>
      </c>
      <c r="P1710" s="8">
        <f>[1]Data!P1710</f>
        <v>0.35483870967741898</v>
      </c>
      <c r="Q1710" s="8">
        <f>[1]Data!Q1710</f>
        <v>1</v>
      </c>
      <c r="R1710" s="8">
        <f>[1]Data!R1710</f>
        <v>0</v>
      </c>
      <c r="S1710" s="8">
        <f>[1]Data!S1710</f>
        <v>0</v>
      </c>
      <c r="T1710">
        <f t="shared" si="130"/>
        <v>3.2258064516128997E-2</v>
      </c>
      <c r="U1710">
        <f t="shared" si="131"/>
        <v>0</v>
      </c>
      <c r="V1710" s="4" t="str">
        <f t="shared" si="132"/>
        <v>9</v>
      </c>
      <c r="W1710" s="4" t="str">
        <f t="shared" si="133"/>
        <v>6</v>
      </c>
      <c r="X1710" s="4" t="str">
        <f t="shared" si="134"/>
        <v>9INDIV6</v>
      </c>
      <c r="Y1710">
        <f>VLOOKUP(X1710,Sheet1!$J$5:$K$121,2,FALSE)</f>
        <v>0</v>
      </c>
    </row>
    <row r="1711" spans="1:25" x14ac:dyDescent="0.25">
      <c r="A1711" s="8">
        <f>[1]Data!A1711</f>
        <v>226700</v>
      </c>
      <c r="B1711" s="8">
        <f>[1]Data!B1711</f>
        <v>6</v>
      </c>
      <c r="C1711" s="8">
        <f>[1]Data!C1711</f>
        <v>9</v>
      </c>
      <c r="D1711" s="8">
        <f>[1]Data!D1711</f>
        <v>2</v>
      </c>
      <c r="E1711" s="8" t="str">
        <f>[1]Data!E1711</f>
        <v>INDIV</v>
      </c>
      <c r="F1711" s="8" t="str">
        <f>[1]Data!F1711</f>
        <v>South Central</v>
      </c>
      <c r="G1711" s="8">
        <f>[1]Data!G1711</f>
        <v>1</v>
      </c>
      <c r="H1711" s="8">
        <f>[1]Data!H1711</f>
        <v>1</v>
      </c>
      <c r="I1711" s="8">
        <f>[1]Data!I1711</f>
        <v>31.018000000000001</v>
      </c>
      <c r="J1711" s="8">
        <f>[1]Data!J1711</f>
        <v>20.90957676</v>
      </c>
      <c r="K1711" s="8">
        <f>[1]Data!K1711</f>
        <v>29.90957676</v>
      </c>
      <c r="L1711" s="8">
        <f>[1]Data!L1711</f>
        <v>1.10782680991023</v>
      </c>
      <c r="M1711" s="8">
        <f>[1]Data!M1711</f>
        <v>31.017403569910201</v>
      </c>
      <c r="N1711" s="8">
        <f>[1]Data!N1711</f>
        <v>3.2258064516128997E-2</v>
      </c>
      <c r="O1711" s="8">
        <f>[1]Data!O1711</f>
        <v>31</v>
      </c>
      <c r="P1711" s="8">
        <f>[1]Data!P1711</f>
        <v>0.35483870967741898</v>
      </c>
      <c r="Q1711" s="8">
        <f>[1]Data!Q1711</f>
        <v>1</v>
      </c>
      <c r="R1711" s="8">
        <f>[1]Data!R1711</f>
        <v>0</v>
      </c>
      <c r="S1711" s="8">
        <f>[1]Data!S1711</f>
        <v>0</v>
      </c>
      <c r="T1711">
        <f t="shared" si="130"/>
        <v>3.2258064516128997E-2</v>
      </c>
      <c r="U1711">
        <f t="shared" si="131"/>
        <v>31.000000000000036</v>
      </c>
      <c r="V1711" s="4" t="str">
        <f t="shared" si="132"/>
        <v>9</v>
      </c>
      <c r="W1711" s="4" t="str">
        <f t="shared" si="133"/>
        <v>6</v>
      </c>
      <c r="X1711" s="4" t="str">
        <f t="shared" si="134"/>
        <v>9INDIV6</v>
      </c>
      <c r="Y1711">
        <f>VLOOKUP(X1711,Sheet1!$J$5:$K$121,2,FALSE)</f>
        <v>0</v>
      </c>
    </row>
    <row r="1712" spans="1:25" x14ac:dyDescent="0.25">
      <c r="A1712" s="8">
        <f>[1]Data!A1712</f>
        <v>227010</v>
      </c>
      <c r="B1712" s="8">
        <f>[1]Data!B1712</f>
        <v>6</v>
      </c>
      <c r="C1712" s="8">
        <f>[1]Data!C1712</f>
        <v>9</v>
      </c>
      <c r="D1712" s="8">
        <f>[1]Data!D1712</f>
        <v>2</v>
      </c>
      <c r="E1712" s="8" t="str">
        <f>[1]Data!E1712</f>
        <v>INDIV</v>
      </c>
      <c r="F1712" s="8" t="str">
        <f>[1]Data!F1712</f>
        <v>South Central</v>
      </c>
      <c r="G1712" s="8">
        <f>[1]Data!G1712</f>
        <v>0</v>
      </c>
      <c r="H1712" s="8">
        <f>[1]Data!H1712</f>
        <v>0</v>
      </c>
      <c r="I1712" s="8">
        <f>[1]Data!I1712</f>
        <v>37.906999999999996</v>
      </c>
      <c r="J1712" s="8">
        <f>[1]Data!J1712</f>
        <v>25.97780998</v>
      </c>
      <c r="K1712" s="8">
        <f>[1]Data!K1712</f>
        <v>36.977809980000004</v>
      </c>
      <c r="L1712" s="8">
        <f>[1]Data!L1712</f>
        <v>0.928410997271095</v>
      </c>
      <c r="M1712" s="8">
        <f>[1]Data!M1712</f>
        <v>37.906220977271097</v>
      </c>
      <c r="N1712" s="8">
        <f>[1]Data!N1712</f>
        <v>3.2258064516128997E-2</v>
      </c>
      <c r="O1712" s="8">
        <f>[1]Data!O1712</f>
        <v>0</v>
      </c>
      <c r="P1712" s="8">
        <f>[1]Data!P1712</f>
        <v>0.35483870967741898</v>
      </c>
      <c r="Q1712" s="8">
        <f>[1]Data!Q1712</f>
        <v>1</v>
      </c>
      <c r="R1712" s="8">
        <f>[1]Data!R1712</f>
        <v>0</v>
      </c>
      <c r="S1712" s="8">
        <f>[1]Data!S1712</f>
        <v>0</v>
      </c>
      <c r="T1712">
        <f t="shared" si="130"/>
        <v>3.2258064516128997E-2</v>
      </c>
      <c r="U1712">
        <f t="shared" si="131"/>
        <v>0</v>
      </c>
      <c r="V1712" s="4" t="str">
        <f t="shared" si="132"/>
        <v>9</v>
      </c>
      <c r="W1712" s="4" t="str">
        <f t="shared" si="133"/>
        <v>6</v>
      </c>
      <c r="X1712" s="4" t="str">
        <f t="shared" si="134"/>
        <v>9INDIV6</v>
      </c>
      <c r="Y1712">
        <f>VLOOKUP(X1712,Sheet1!$J$5:$K$121,2,FALSE)</f>
        <v>0</v>
      </c>
    </row>
    <row r="1713" spans="1:25" x14ac:dyDescent="0.25">
      <c r="A1713" s="8">
        <f>[1]Data!A1713</f>
        <v>228320</v>
      </c>
      <c r="B1713" s="8">
        <f>[1]Data!B1713</f>
        <v>6</v>
      </c>
      <c r="C1713" s="8">
        <f>[1]Data!C1713</f>
        <v>9</v>
      </c>
      <c r="D1713" s="8">
        <f>[1]Data!D1713</f>
        <v>2</v>
      </c>
      <c r="E1713" s="8" t="str">
        <f>[1]Data!E1713</f>
        <v>INDIV</v>
      </c>
      <c r="F1713" s="8" t="str">
        <f>[1]Data!F1713</f>
        <v>South Park</v>
      </c>
      <c r="G1713" s="8">
        <f>[1]Data!G1713</f>
        <v>0</v>
      </c>
      <c r="H1713" s="8">
        <f>[1]Data!H1713</f>
        <v>0</v>
      </c>
      <c r="I1713" s="8">
        <f>[1]Data!I1713</f>
        <v>22.422000000000001</v>
      </c>
      <c r="J1713" s="8">
        <f>[1]Data!J1713</f>
        <v>18.652225820000002</v>
      </c>
      <c r="K1713" s="8">
        <f>[1]Data!K1713</f>
        <v>21.652225820000002</v>
      </c>
      <c r="L1713" s="8">
        <f>[1]Data!L1713</f>
        <v>0.76944321308797103</v>
      </c>
      <c r="M1713" s="8">
        <f>[1]Data!M1713</f>
        <v>22.421669033088001</v>
      </c>
      <c r="N1713" s="8">
        <f>[1]Data!N1713</f>
        <v>3.2258064516128997E-2</v>
      </c>
      <c r="O1713" s="8">
        <f>[1]Data!O1713</f>
        <v>0</v>
      </c>
      <c r="P1713" s="8">
        <f>[1]Data!P1713</f>
        <v>0.35483870967741898</v>
      </c>
      <c r="Q1713" s="8">
        <f>[1]Data!Q1713</f>
        <v>1</v>
      </c>
      <c r="R1713" s="8">
        <f>[1]Data!R1713</f>
        <v>0</v>
      </c>
      <c r="S1713" s="8">
        <f>[1]Data!S1713</f>
        <v>0</v>
      </c>
      <c r="T1713">
        <f t="shared" si="130"/>
        <v>3.2258064516128997E-2</v>
      </c>
      <c r="U1713">
        <f t="shared" si="131"/>
        <v>0</v>
      </c>
      <c r="V1713" s="4" t="str">
        <f t="shared" si="132"/>
        <v>9</v>
      </c>
      <c r="W1713" s="4" t="str">
        <f t="shared" si="133"/>
        <v>6</v>
      </c>
      <c r="X1713" s="4" t="str">
        <f t="shared" si="134"/>
        <v>9INDIV6</v>
      </c>
      <c r="Y1713">
        <f>VLOOKUP(X1713,Sheet1!$J$5:$K$121,2,FALSE)</f>
        <v>0</v>
      </c>
    </row>
    <row r="1714" spans="1:25" x14ac:dyDescent="0.25">
      <c r="A1714" s="8">
        <f>[1]Data!A1714</f>
        <v>231220</v>
      </c>
      <c r="B1714" s="8">
        <f>[1]Data!B1714</f>
        <v>6</v>
      </c>
      <c r="C1714" s="8">
        <f>[1]Data!C1714</f>
        <v>9</v>
      </c>
      <c r="D1714" s="8">
        <f>[1]Data!D1714</f>
        <v>2</v>
      </c>
      <c r="E1714" s="8" t="str">
        <f>[1]Data!E1714</f>
        <v>INDIV</v>
      </c>
      <c r="F1714" s="8" t="str">
        <f>[1]Data!F1714</f>
        <v>Adams</v>
      </c>
      <c r="G1714" s="8">
        <f>[1]Data!G1714</f>
        <v>0</v>
      </c>
      <c r="H1714" s="8">
        <f>[1]Data!H1714</f>
        <v>0</v>
      </c>
      <c r="I1714" s="8">
        <f>[1]Data!I1714</f>
        <v>29.759</v>
      </c>
      <c r="J1714" s="8">
        <f>[1]Data!J1714</f>
        <v>15.869597280000001</v>
      </c>
      <c r="K1714" s="8">
        <f>[1]Data!K1714</f>
        <v>28.869597280000001</v>
      </c>
      <c r="L1714" s="8">
        <f>[1]Data!L1714</f>
        <v>0.88938081105924605</v>
      </c>
      <c r="M1714" s="8">
        <f>[1]Data!M1714</f>
        <v>29.758978091059198</v>
      </c>
      <c r="N1714" s="8">
        <f>[1]Data!N1714</f>
        <v>3.2258064516128997E-2</v>
      </c>
      <c r="O1714" s="8">
        <f>[1]Data!O1714</f>
        <v>0</v>
      </c>
      <c r="P1714" s="8">
        <f>[1]Data!P1714</f>
        <v>0.35483870967741898</v>
      </c>
      <c r="Q1714" s="8">
        <f>[1]Data!Q1714</f>
        <v>1</v>
      </c>
      <c r="R1714" s="8">
        <f>[1]Data!R1714</f>
        <v>0</v>
      </c>
      <c r="S1714" s="8">
        <f>[1]Data!S1714</f>
        <v>0</v>
      </c>
      <c r="T1714">
        <f t="shared" si="130"/>
        <v>3.2258064516128997E-2</v>
      </c>
      <c r="U1714">
        <f t="shared" si="131"/>
        <v>0</v>
      </c>
      <c r="V1714" s="4" t="str">
        <f t="shared" si="132"/>
        <v>9</v>
      </c>
      <c r="W1714" s="4" t="str">
        <f t="shared" si="133"/>
        <v>6</v>
      </c>
      <c r="X1714" s="4" t="str">
        <f t="shared" si="134"/>
        <v>9INDIV6</v>
      </c>
      <c r="Y1714">
        <f>VLOOKUP(X1714,Sheet1!$J$5:$K$121,2,FALSE)</f>
        <v>0</v>
      </c>
    </row>
    <row r="1715" spans="1:25" x14ac:dyDescent="0.25">
      <c r="A1715" s="8">
        <f>[1]Data!A1715</f>
        <v>232110</v>
      </c>
      <c r="B1715" s="8">
        <f>[1]Data!B1715</f>
        <v>6</v>
      </c>
      <c r="C1715" s="8">
        <f>[1]Data!C1715</f>
        <v>9</v>
      </c>
      <c r="D1715" s="8">
        <f>[1]Data!D1715</f>
        <v>2</v>
      </c>
      <c r="E1715" s="8" t="str">
        <f>[1]Data!E1715</f>
        <v>INDIV</v>
      </c>
      <c r="F1715" s="8" t="str">
        <f>[1]Data!F1715</f>
        <v>Vermont Square</v>
      </c>
      <c r="G1715" s="8">
        <f>[1]Data!G1715</f>
        <v>0</v>
      </c>
      <c r="H1715" s="8">
        <f>[1]Data!H1715</f>
        <v>0</v>
      </c>
      <c r="I1715" s="8">
        <f>[1]Data!I1715</f>
        <v>25.605</v>
      </c>
      <c r="J1715" s="8">
        <f>[1]Data!J1715</f>
        <v>11.33635159</v>
      </c>
      <c r="K1715" s="8">
        <f>[1]Data!K1715</f>
        <v>25.33635159</v>
      </c>
      <c r="L1715" s="8">
        <f>[1]Data!L1715</f>
        <v>0.26865939999999999</v>
      </c>
      <c r="M1715" s="8">
        <f>[1]Data!M1715</f>
        <v>25.60501099</v>
      </c>
      <c r="N1715" s="8">
        <f>[1]Data!N1715</f>
        <v>3.2258064516128997E-2</v>
      </c>
      <c r="O1715" s="8">
        <f>[1]Data!O1715</f>
        <v>0</v>
      </c>
      <c r="P1715" s="8">
        <f>[1]Data!P1715</f>
        <v>0.35483870967741898</v>
      </c>
      <c r="Q1715" s="8">
        <f>[1]Data!Q1715</f>
        <v>1</v>
      </c>
      <c r="R1715" s="8">
        <f>[1]Data!R1715</f>
        <v>0</v>
      </c>
      <c r="S1715" s="8">
        <f>[1]Data!S1715</f>
        <v>0</v>
      </c>
      <c r="T1715">
        <f t="shared" si="130"/>
        <v>3.2258064516128997E-2</v>
      </c>
      <c r="U1715">
        <f t="shared" si="131"/>
        <v>0</v>
      </c>
      <c r="V1715" s="4" t="str">
        <f t="shared" si="132"/>
        <v>9</v>
      </c>
      <c r="W1715" s="4" t="str">
        <f t="shared" si="133"/>
        <v>6</v>
      </c>
      <c r="X1715" s="4" t="str">
        <f t="shared" si="134"/>
        <v>9INDIV6</v>
      </c>
      <c r="Y1715">
        <f>VLOOKUP(X1715,Sheet1!$J$5:$K$121,2,FALSE)</f>
        <v>0</v>
      </c>
    </row>
    <row r="1716" spans="1:25" x14ac:dyDescent="0.25">
      <c r="A1716" s="8">
        <f>[1]Data!A1716</f>
        <v>237201</v>
      </c>
      <c r="B1716" s="8">
        <f>[1]Data!B1716</f>
        <v>6</v>
      </c>
      <c r="C1716" s="8">
        <f>[1]Data!C1716</f>
        <v>9</v>
      </c>
      <c r="D1716" s="8">
        <f>[1]Data!D1716</f>
        <v>2</v>
      </c>
      <c r="E1716" s="8" t="str">
        <f>[1]Data!E1716</f>
        <v>INDIV</v>
      </c>
      <c r="F1716" s="8" t="str">
        <f>[1]Data!F1716</f>
        <v>Vermont Square</v>
      </c>
      <c r="G1716" s="8">
        <f>[1]Data!G1716</f>
        <v>0</v>
      </c>
      <c r="H1716" s="8">
        <f>[1]Data!H1716</f>
        <v>0</v>
      </c>
      <c r="I1716" s="8">
        <f>[1]Data!I1716</f>
        <v>41.734000000000002</v>
      </c>
      <c r="J1716" s="8">
        <f>[1]Data!J1716</f>
        <v>12.60257874</v>
      </c>
      <c r="K1716" s="8">
        <f>[1]Data!K1716</f>
        <v>40.602578739999998</v>
      </c>
      <c r="L1716" s="8">
        <f>[1]Data!L1716</f>
        <v>1.13105723960503</v>
      </c>
      <c r="M1716" s="8">
        <f>[1]Data!M1716</f>
        <v>41.733635979604998</v>
      </c>
      <c r="N1716" s="8">
        <f>[1]Data!N1716</f>
        <v>3.2258064516128997E-2</v>
      </c>
      <c r="O1716" s="8">
        <f>[1]Data!O1716</f>
        <v>0</v>
      </c>
      <c r="P1716" s="8">
        <f>[1]Data!P1716</f>
        <v>0.35483870967741898</v>
      </c>
      <c r="Q1716" s="8">
        <f>[1]Data!Q1716</f>
        <v>1</v>
      </c>
      <c r="R1716" s="8">
        <f>[1]Data!R1716</f>
        <v>0</v>
      </c>
      <c r="S1716" s="8">
        <f>[1]Data!S1716</f>
        <v>0</v>
      </c>
      <c r="T1716">
        <f t="shared" si="130"/>
        <v>3.2258064516128997E-2</v>
      </c>
      <c r="U1716">
        <f t="shared" si="131"/>
        <v>0</v>
      </c>
      <c r="V1716" s="4" t="str">
        <f t="shared" si="132"/>
        <v>9</v>
      </c>
      <c r="W1716" s="4" t="str">
        <f t="shared" si="133"/>
        <v>6</v>
      </c>
      <c r="X1716" s="4" t="str">
        <f t="shared" si="134"/>
        <v>9INDIV6</v>
      </c>
      <c r="Y1716">
        <f>VLOOKUP(X1716,Sheet1!$J$5:$K$121,2,FALSE)</f>
        <v>0</v>
      </c>
    </row>
    <row r="1717" spans="1:25" x14ac:dyDescent="0.25">
      <c r="A1717" s="8">
        <f>[1]Data!A1717</f>
        <v>239601</v>
      </c>
      <c r="B1717" s="8">
        <f>[1]Data!B1717</f>
        <v>6</v>
      </c>
      <c r="C1717" s="8">
        <f>[1]Data!C1717</f>
        <v>9</v>
      </c>
      <c r="D1717" s="8">
        <f>[1]Data!D1717</f>
        <v>2</v>
      </c>
      <c r="E1717" s="8" t="str">
        <f>[1]Data!E1717</f>
        <v>INDIV</v>
      </c>
      <c r="F1717" s="8" t="str">
        <f>[1]Data!F1717</f>
        <v>South Park</v>
      </c>
      <c r="G1717" s="8">
        <f>[1]Data!G1717</f>
        <v>0</v>
      </c>
      <c r="H1717" s="8">
        <f>[1]Data!H1717</f>
        <v>0</v>
      </c>
      <c r="I1717" s="8">
        <f>[1]Data!I1717</f>
        <v>33.75</v>
      </c>
      <c r="J1717" s="8">
        <f>[1]Data!J1717</f>
        <v>18.266599660000001</v>
      </c>
      <c r="K1717" s="8">
        <f>[1]Data!K1717</f>
        <v>33.266599659999997</v>
      </c>
      <c r="L1717" s="8">
        <f>[1]Data!L1717</f>
        <v>0.48285398206463198</v>
      </c>
      <c r="M1717" s="8">
        <f>[1]Data!M1717</f>
        <v>33.749453642064601</v>
      </c>
      <c r="N1717" s="8">
        <f>[1]Data!N1717</f>
        <v>3.2258064516128997E-2</v>
      </c>
      <c r="O1717" s="8">
        <f>[1]Data!O1717</f>
        <v>0</v>
      </c>
      <c r="P1717" s="8">
        <f>[1]Data!P1717</f>
        <v>0.35483870967741898</v>
      </c>
      <c r="Q1717" s="8">
        <f>[1]Data!Q1717</f>
        <v>1</v>
      </c>
      <c r="R1717" s="8">
        <f>[1]Data!R1717</f>
        <v>0</v>
      </c>
      <c r="S1717" s="8">
        <f>[1]Data!S1717</f>
        <v>0</v>
      </c>
      <c r="T1717">
        <f t="shared" si="130"/>
        <v>3.2258064516128997E-2</v>
      </c>
      <c r="U1717">
        <f t="shared" si="131"/>
        <v>0</v>
      </c>
      <c r="V1717" s="4" t="str">
        <f t="shared" si="132"/>
        <v>9</v>
      </c>
      <c r="W1717" s="4" t="str">
        <f t="shared" si="133"/>
        <v>6</v>
      </c>
      <c r="X1717" s="4" t="str">
        <f t="shared" si="134"/>
        <v>9INDIV6</v>
      </c>
      <c r="Y1717">
        <f>VLOOKUP(X1717,Sheet1!$J$5:$K$121,2,FALSE)</f>
        <v>0</v>
      </c>
    </row>
    <row r="1718" spans="1:25" x14ac:dyDescent="0.25">
      <c r="A1718" s="8">
        <f>[1]Data!A1718</f>
        <v>239602</v>
      </c>
      <c r="B1718" s="8">
        <f>[1]Data!B1718</f>
        <v>6</v>
      </c>
      <c r="C1718" s="8">
        <f>[1]Data!C1718</f>
        <v>9</v>
      </c>
      <c r="D1718" s="8">
        <f>[1]Data!D1718</f>
        <v>2</v>
      </c>
      <c r="E1718" s="8" t="str">
        <f>[1]Data!E1718</f>
        <v>INDIV</v>
      </c>
      <c r="F1718" s="8" t="str">
        <f>[1]Data!F1718</f>
        <v>South Park</v>
      </c>
      <c r="G1718" s="8">
        <f>[1]Data!G1718</f>
        <v>0</v>
      </c>
      <c r="H1718" s="8">
        <f>[1]Data!H1718</f>
        <v>0</v>
      </c>
      <c r="I1718" s="8">
        <f>[1]Data!I1718</f>
        <v>50.962000000000003</v>
      </c>
      <c r="J1718" s="8">
        <f>[1]Data!J1718</f>
        <v>23.101713289999999</v>
      </c>
      <c r="K1718" s="8">
        <f>[1]Data!K1718</f>
        <v>50.101713289999999</v>
      </c>
      <c r="L1718" s="8">
        <f>[1]Data!L1718</f>
        <v>0.85987689495511699</v>
      </c>
      <c r="M1718" s="8">
        <f>[1]Data!M1718</f>
        <v>50.961590184955099</v>
      </c>
      <c r="N1718" s="8">
        <f>[1]Data!N1718</f>
        <v>3.2258064516128997E-2</v>
      </c>
      <c r="O1718" s="8">
        <f>[1]Data!O1718</f>
        <v>0</v>
      </c>
      <c r="P1718" s="8">
        <f>[1]Data!P1718</f>
        <v>0.35483870967741898</v>
      </c>
      <c r="Q1718" s="8">
        <f>[1]Data!Q1718</f>
        <v>1</v>
      </c>
      <c r="R1718" s="8">
        <f>[1]Data!R1718</f>
        <v>0</v>
      </c>
      <c r="S1718" s="8">
        <f>[1]Data!S1718</f>
        <v>0</v>
      </c>
      <c r="T1718">
        <f t="shared" si="130"/>
        <v>3.2258064516128997E-2</v>
      </c>
      <c r="U1718">
        <f t="shared" si="131"/>
        <v>0</v>
      </c>
      <c r="V1718" s="4" t="str">
        <f t="shared" si="132"/>
        <v>9</v>
      </c>
      <c r="W1718" s="4" t="str">
        <f t="shared" si="133"/>
        <v>6</v>
      </c>
      <c r="X1718" s="4" t="str">
        <f t="shared" si="134"/>
        <v>9INDIV6</v>
      </c>
      <c r="Y1718">
        <f>VLOOKUP(X1718,Sheet1!$J$5:$K$121,2,FALSE)</f>
        <v>0</v>
      </c>
    </row>
    <row r="1719" spans="1:25" x14ac:dyDescent="0.25">
      <c r="A1719" s="8">
        <f>[1]Data!A1719</f>
        <v>239802</v>
      </c>
      <c r="B1719" s="8">
        <f>[1]Data!B1719</f>
        <v>6</v>
      </c>
      <c r="C1719" s="8">
        <f>[1]Data!C1719</f>
        <v>9</v>
      </c>
      <c r="D1719" s="8">
        <f>[1]Data!D1719</f>
        <v>2</v>
      </c>
      <c r="E1719" s="8" t="str">
        <f>[1]Data!E1719</f>
        <v>NON-HS</v>
      </c>
      <c r="F1719" s="8" t="str">
        <f>[1]Data!F1719</f>
        <v>South Park</v>
      </c>
      <c r="G1719" s="8">
        <f>[1]Data!G1719</f>
        <v>0</v>
      </c>
      <c r="H1719" s="8">
        <f>[1]Data!H1719</f>
        <v>0</v>
      </c>
      <c r="I1719" s="8">
        <f>[1]Data!I1719</f>
        <v>19.777999999999999</v>
      </c>
      <c r="J1719" s="8">
        <f>[1]Data!J1719</f>
        <v>11.10712738</v>
      </c>
      <c r="K1719" s="8">
        <f>[1]Data!K1719</f>
        <v>19.107127380000001</v>
      </c>
      <c r="L1719" s="8">
        <f>[1]Data!L1719</f>
        <v>0.67112792195691195</v>
      </c>
      <c r="M1719" s="8">
        <f>[1]Data!M1719</f>
        <v>19.7782553019569</v>
      </c>
      <c r="N1719" s="8">
        <f>[1]Data!N1719</f>
        <v>2.34375E-2</v>
      </c>
      <c r="O1719" s="8">
        <f>[1]Data!O1719</f>
        <v>0</v>
      </c>
      <c r="P1719" s="8">
        <f>[1]Data!P1719</f>
        <v>0.1796875</v>
      </c>
      <c r="Q1719" s="8">
        <f>[1]Data!Q1719</f>
        <v>1</v>
      </c>
      <c r="R1719" s="8">
        <f>[1]Data!R1719</f>
        <v>0</v>
      </c>
      <c r="S1719" s="8">
        <f>[1]Data!S1719</f>
        <v>0</v>
      </c>
      <c r="T1719">
        <f t="shared" si="130"/>
        <v>2.34375E-2</v>
      </c>
      <c r="U1719">
        <f t="shared" si="131"/>
        <v>0</v>
      </c>
      <c r="V1719" s="4" t="str">
        <f t="shared" si="132"/>
        <v>9</v>
      </c>
      <c r="W1719" s="4" t="str">
        <f t="shared" si="133"/>
        <v>6</v>
      </c>
      <c r="X1719" s="4" t="str">
        <f t="shared" si="134"/>
        <v>9NON-HS6</v>
      </c>
      <c r="Y1719">
        <f>VLOOKUP(X1719,Sheet1!$J$5:$K$121,2,FALSE)</f>
        <v>0</v>
      </c>
    </row>
    <row r="1720" spans="1:25" x14ac:dyDescent="0.25">
      <c r="A1720" s="8">
        <f>[1]Data!A1720</f>
        <v>237101</v>
      </c>
      <c r="B1720" s="8">
        <f>[1]Data!B1720</f>
        <v>6</v>
      </c>
      <c r="C1720" s="8">
        <f>[1]Data!C1720</f>
        <v>9</v>
      </c>
      <c r="D1720" s="8">
        <f>[1]Data!D1720</f>
        <v>2</v>
      </c>
      <c r="E1720" s="8" t="str">
        <f>[1]Data!E1720</f>
        <v>NON-HS</v>
      </c>
      <c r="F1720" s="8" t="str">
        <f>[1]Data!F1720</f>
        <v>Vermont Square</v>
      </c>
      <c r="G1720" s="8">
        <f>[1]Data!G1720</f>
        <v>0</v>
      </c>
      <c r="H1720" s="8">
        <f>[1]Data!H1720</f>
        <v>0</v>
      </c>
      <c r="I1720" s="8">
        <f>[1]Data!I1720</f>
        <v>12.308999999999999</v>
      </c>
      <c r="J1720" s="8">
        <f>[1]Data!J1720</f>
        <v>7.0794150699999996</v>
      </c>
      <c r="K1720" s="8">
        <f>[1]Data!K1720</f>
        <v>12.07941507</v>
      </c>
      <c r="L1720" s="8">
        <f>[1]Data!L1720</f>
        <v>0.22914197518851001</v>
      </c>
      <c r="M1720" s="8">
        <f>[1]Data!M1720</f>
        <v>12.3085570451885</v>
      </c>
      <c r="N1720" s="8">
        <f>[1]Data!N1720</f>
        <v>2.34375E-2</v>
      </c>
      <c r="O1720" s="8">
        <f>[1]Data!O1720</f>
        <v>0</v>
      </c>
      <c r="P1720" s="8">
        <f>[1]Data!P1720</f>
        <v>0.1796875</v>
      </c>
      <c r="Q1720" s="8">
        <f>[1]Data!Q1720</f>
        <v>1</v>
      </c>
      <c r="R1720" s="8">
        <f>[1]Data!R1720</f>
        <v>0</v>
      </c>
      <c r="S1720" s="8">
        <f>[1]Data!S1720</f>
        <v>0</v>
      </c>
      <c r="T1720">
        <f t="shared" si="130"/>
        <v>2.34375E-2</v>
      </c>
      <c r="U1720">
        <f t="shared" si="131"/>
        <v>0</v>
      </c>
      <c r="V1720" s="4" t="str">
        <f t="shared" si="132"/>
        <v>9</v>
      </c>
      <c r="W1720" s="4" t="str">
        <f t="shared" si="133"/>
        <v>6</v>
      </c>
      <c r="X1720" s="4" t="str">
        <f t="shared" si="134"/>
        <v>9NON-HS6</v>
      </c>
      <c r="Y1720">
        <f>VLOOKUP(X1720,Sheet1!$J$5:$K$121,2,FALSE)</f>
        <v>0</v>
      </c>
    </row>
    <row r="1721" spans="1:25" x14ac:dyDescent="0.25">
      <c r="A1721" s="8">
        <f>[1]Data!A1721</f>
        <v>231600</v>
      </c>
      <c r="B1721" s="8">
        <f>[1]Data!B1721</f>
        <v>6</v>
      </c>
      <c r="C1721" s="8">
        <f>[1]Data!C1721</f>
        <v>9</v>
      </c>
      <c r="D1721" s="8">
        <f>[1]Data!D1721</f>
        <v>2</v>
      </c>
      <c r="E1721" s="8" t="str">
        <f>[1]Data!E1721</f>
        <v>NON-HS</v>
      </c>
      <c r="F1721" s="8" t="str">
        <f>[1]Data!F1721</f>
        <v>Vermont Square</v>
      </c>
      <c r="G1721" s="8">
        <f>[1]Data!G1721</f>
        <v>0</v>
      </c>
      <c r="H1721" s="8">
        <f>[1]Data!H1721</f>
        <v>0</v>
      </c>
      <c r="I1721" s="8">
        <f>[1]Data!I1721</f>
        <v>20.919</v>
      </c>
      <c r="J1721" s="8">
        <f>[1]Data!J1721</f>
        <v>19.006474409999999</v>
      </c>
      <c r="K1721" s="8">
        <f>[1]Data!K1721</f>
        <v>20.006474409999999</v>
      </c>
      <c r="L1721" s="8">
        <f>[1]Data!L1721</f>
        <v>0.91261746123877896</v>
      </c>
      <c r="M1721" s="8">
        <f>[1]Data!M1721</f>
        <v>20.919091871238798</v>
      </c>
      <c r="N1721" s="8">
        <f>[1]Data!N1721</f>
        <v>2.34375E-2</v>
      </c>
      <c r="O1721" s="8">
        <f>[1]Data!O1721</f>
        <v>0</v>
      </c>
      <c r="P1721" s="8">
        <f>[1]Data!P1721</f>
        <v>0.1796875</v>
      </c>
      <c r="Q1721" s="8">
        <f>[1]Data!Q1721</f>
        <v>1</v>
      </c>
      <c r="R1721" s="8">
        <f>[1]Data!R1721</f>
        <v>0</v>
      </c>
      <c r="S1721" s="8">
        <f>[1]Data!S1721</f>
        <v>0</v>
      </c>
      <c r="T1721">
        <f t="shared" si="130"/>
        <v>2.34375E-2</v>
      </c>
      <c r="U1721">
        <f t="shared" si="131"/>
        <v>0</v>
      </c>
      <c r="V1721" s="4" t="str">
        <f t="shared" si="132"/>
        <v>9</v>
      </c>
      <c r="W1721" s="4" t="str">
        <f t="shared" si="133"/>
        <v>6</v>
      </c>
      <c r="X1721" s="4" t="str">
        <f t="shared" si="134"/>
        <v>9NON-HS6</v>
      </c>
      <c r="Y1721">
        <f>VLOOKUP(X1721,Sheet1!$J$5:$K$121,2,FALSE)</f>
        <v>0</v>
      </c>
    </row>
    <row r="1722" spans="1:25" x14ac:dyDescent="0.25">
      <c r="A1722" s="8">
        <f>[1]Data!A1722</f>
        <v>221820</v>
      </c>
      <c r="B1722" s="8">
        <f>[1]Data!B1722</f>
        <v>6</v>
      </c>
      <c r="C1722" s="8">
        <f>[1]Data!C1722</f>
        <v>9</v>
      </c>
      <c r="D1722" s="8">
        <f>[1]Data!D1722</f>
        <v>2</v>
      </c>
      <c r="E1722" s="8" t="str">
        <f>[1]Data!E1722</f>
        <v>NON-HS</v>
      </c>
      <c r="F1722" s="8" t="str">
        <f>[1]Data!F1722</f>
        <v>Adams</v>
      </c>
      <c r="G1722" s="8">
        <f>[1]Data!G1722</f>
        <v>0</v>
      </c>
      <c r="H1722" s="8">
        <f>[1]Data!H1722</f>
        <v>0</v>
      </c>
      <c r="I1722" s="8">
        <f>[1]Data!I1722</f>
        <v>1</v>
      </c>
      <c r="J1722" s="8">
        <f>[1]Data!J1722</f>
        <v>0</v>
      </c>
      <c r="K1722" s="8">
        <f>[1]Data!K1722</f>
        <v>1</v>
      </c>
      <c r="L1722" s="8">
        <f>[1]Data!L1722</f>
        <v>0</v>
      </c>
      <c r="M1722" s="8">
        <f>[1]Data!M1722</f>
        <v>1</v>
      </c>
      <c r="N1722" s="8">
        <f>[1]Data!N1722</f>
        <v>2.34375E-2</v>
      </c>
      <c r="O1722" s="8">
        <f>[1]Data!O1722</f>
        <v>0</v>
      </c>
      <c r="P1722" s="8">
        <f>[1]Data!P1722</f>
        <v>0.1796875</v>
      </c>
      <c r="Q1722" s="8">
        <f>[1]Data!Q1722</f>
        <v>1</v>
      </c>
      <c r="R1722" s="8">
        <f>[1]Data!R1722</f>
        <v>0</v>
      </c>
      <c r="S1722" s="8">
        <f>[1]Data!S1722</f>
        <v>0</v>
      </c>
      <c r="T1722">
        <f t="shared" si="130"/>
        <v>2.34375E-2</v>
      </c>
      <c r="U1722">
        <f t="shared" si="131"/>
        <v>0</v>
      </c>
      <c r="V1722" s="4" t="str">
        <f t="shared" si="132"/>
        <v>9</v>
      </c>
      <c r="W1722" s="4" t="str">
        <f t="shared" si="133"/>
        <v>6</v>
      </c>
      <c r="X1722" s="4" t="str">
        <f t="shared" si="134"/>
        <v>9NON-HS6</v>
      </c>
      <c r="Y1722">
        <f>VLOOKUP(X1722,Sheet1!$J$5:$K$121,2,FALSE)</f>
        <v>0</v>
      </c>
    </row>
    <row r="1723" spans="1:25" x14ac:dyDescent="0.25">
      <c r="A1723" s="8">
        <f>[1]Data!A1723</f>
        <v>221900</v>
      </c>
      <c r="B1723" s="8">
        <f>[1]Data!B1723</f>
        <v>6</v>
      </c>
      <c r="C1723" s="8">
        <f>[1]Data!C1723</f>
        <v>9</v>
      </c>
      <c r="D1723" s="8">
        <f>[1]Data!D1723</f>
        <v>2</v>
      </c>
      <c r="E1723" s="8" t="str">
        <f>[1]Data!E1723</f>
        <v>NON-HS</v>
      </c>
      <c r="F1723" s="8" t="str">
        <f>[1]Data!F1723</f>
        <v>Adams</v>
      </c>
      <c r="G1723" s="8">
        <f>[1]Data!G1723</f>
        <v>1</v>
      </c>
      <c r="H1723" s="8">
        <f>[1]Data!H1723</f>
        <v>1</v>
      </c>
      <c r="I1723" s="8">
        <f>[1]Data!I1723</f>
        <v>2</v>
      </c>
      <c r="J1723" s="8">
        <f>[1]Data!J1723</f>
        <v>0</v>
      </c>
      <c r="K1723" s="8">
        <f>[1]Data!K1723</f>
        <v>2</v>
      </c>
      <c r="L1723" s="8">
        <f>[1]Data!L1723</f>
        <v>0</v>
      </c>
      <c r="M1723" s="8">
        <f>[1]Data!M1723</f>
        <v>2</v>
      </c>
      <c r="N1723" s="8">
        <f>[1]Data!N1723</f>
        <v>2.34375E-2</v>
      </c>
      <c r="O1723" s="8">
        <f>[1]Data!O1723</f>
        <v>42.6666666666667</v>
      </c>
      <c r="P1723" s="8">
        <f>[1]Data!P1723</f>
        <v>0.1796875</v>
      </c>
      <c r="Q1723" s="8">
        <f>[1]Data!Q1723</f>
        <v>1</v>
      </c>
      <c r="R1723" s="8">
        <f>[1]Data!R1723</f>
        <v>0</v>
      </c>
      <c r="S1723" s="8">
        <f>[1]Data!S1723</f>
        <v>0</v>
      </c>
      <c r="T1723">
        <f t="shared" si="130"/>
        <v>2.34375E-2</v>
      </c>
      <c r="U1723">
        <f t="shared" si="131"/>
        <v>42.666666666666664</v>
      </c>
      <c r="V1723" s="4" t="str">
        <f t="shared" si="132"/>
        <v>9</v>
      </c>
      <c r="W1723" s="4" t="str">
        <f t="shared" si="133"/>
        <v>6</v>
      </c>
      <c r="X1723" s="4" t="str">
        <f t="shared" si="134"/>
        <v>9NON-HS6</v>
      </c>
      <c r="Y1723">
        <f>VLOOKUP(X1723,Sheet1!$J$5:$K$121,2,FALSE)</f>
        <v>0</v>
      </c>
    </row>
    <row r="1724" spans="1:25" x14ac:dyDescent="0.25">
      <c r="A1724" s="8">
        <f>[1]Data!A1724</f>
        <v>226410</v>
      </c>
      <c r="B1724" s="8">
        <f>[1]Data!B1724</f>
        <v>6</v>
      </c>
      <c r="C1724" s="8">
        <f>[1]Data!C1724</f>
        <v>9</v>
      </c>
      <c r="D1724" s="8">
        <f>[1]Data!D1724</f>
        <v>2</v>
      </c>
      <c r="E1724" s="8" t="str">
        <f>[1]Data!E1724</f>
        <v>NON-HS</v>
      </c>
      <c r="F1724" s="8" t="str">
        <f>[1]Data!F1724</f>
        <v>South Central</v>
      </c>
      <c r="G1724" s="8">
        <f>[1]Data!G1724</f>
        <v>0</v>
      </c>
      <c r="H1724" s="8">
        <f>[1]Data!H1724</f>
        <v>0</v>
      </c>
      <c r="I1724" s="8">
        <f>[1]Data!I1724</f>
        <v>21.841999999999999</v>
      </c>
      <c r="J1724" s="8">
        <f>[1]Data!J1724</f>
        <v>14.62011511</v>
      </c>
      <c r="K1724" s="8">
        <f>[1]Data!K1724</f>
        <v>21.62011511</v>
      </c>
      <c r="L1724" s="8">
        <f>[1]Data!L1724</f>
        <v>0.22109598421903101</v>
      </c>
      <c r="M1724" s="8">
        <f>[1]Data!M1724</f>
        <v>21.841211094218998</v>
      </c>
      <c r="N1724" s="8">
        <f>[1]Data!N1724</f>
        <v>2.34375E-2</v>
      </c>
      <c r="O1724" s="8">
        <f>[1]Data!O1724</f>
        <v>0</v>
      </c>
      <c r="P1724" s="8">
        <f>[1]Data!P1724</f>
        <v>0.1796875</v>
      </c>
      <c r="Q1724" s="8">
        <f>[1]Data!Q1724</f>
        <v>1</v>
      </c>
      <c r="R1724" s="8">
        <f>[1]Data!R1724</f>
        <v>0</v>
      </c>
      <c r="S1724" s="8">
        <f>[1]Data!S1724</f>
        <v>0</v>
      </c>
      <c r="T1724">
        <f t="shared" si="130"/>
        <v>2.34375E-2</v>
      </c>
      <c r="U1724">
        <f t="shared" si="131"/>
        <v>0</v>
      </c>
      <c r="V1724" s="4" t="str">
        <f t="shared" si="132"/>
        <v>9</v>
      </c>
      <c r="W1724" s="4" t="str">
        <f t="shared" si="133"/>
        <v>6</v>
      </c>
      <c r="X1724" s="4" t="str">
        <f t="shared" si="134"/>
        <v>9NON-HS6</v>
      </c>
      <c r="Y1724">
        <f>VLOOKUP(X1724,Sheet1!$J$5:$K$121,2,FALSE)</f>
        <v>0</v>
      </c>
    </row>
    <row r="1725" spans="1:25" x14ac:dyDescent="0.25">
      <c r="A1725" s="8">
        <f>[1]Data!A1725</f>
        <v>227020</v>
      </c>
      <c r="B1725" s="8">
        <f>[1]Data!B1725</f>
        <v>6</v>
      </c>
      <c r="C1725" s="8">
        <f>[1]Data!C1725</f>
        <v>9</v>
      </c>
      <c r="D1725" s="8">
        <f>[1]Data!D1725</f>
        <v>2</v>
      </c>
      <c r="E1725" s="8" t="str">
        <f>[1]Data!E1725</f>
        <v>NON-HS</v>
      </c>
      <c r="F1725" s="8" t="str">
        <f>[1]Data!F1725</f>
        <v>South Central</v>
      </c>
      <c r="G1725" s="8">
        <f>[1]Data!G1725</f>
        <v>0</v>
      </c>
      <c r="H1725" s="8">
        <f>[1]Data!H1725</f>
        <v>0</v>
      </c>
      <c r="I1725" s="8">
        <f>[1]Data!I1725</f>
        <v>1.7030000000000001</v>
      </c>
      <c r="J1725" s="8">
        <f>[1]Data!J1725</f>
        <v>1.6812916200000001</v>
      </c>
      <c r="K1725" s="8">
        <f>[1]Data!K1725</f>
        <v>1.6812916200000001</v>
      </c>
      <c r="L1725" s="8">
        <f>[1]Data!L1725</f>
        <v>2.14919317594255E-2</v>
      </c>
      <c r="M1725" s="8">
        <f>[1]Data!M1725</f>
        <v>1.7027835517594301</v>
      </c>
      <c r="N1725" s="8">
        <f>[1]Data!N1725</f>
        <v>2.34375E-2</v>
      </c>
      <c r="O1725" s="8">
        <f>[1]Data!O1725</f>
        <v>0</v>
      </c>
      <c r="P1725" s="8">
        <f>[1]Data!P1725</f>
        <v>0.1796875</v>
      </c>
      <c r="Q1725" s="8">
        <f>[1]Data!Q1725</f>
        <v>1</v>
      </c>
      <c r="R1725" s="8">
        <f>[1]Data!R1725</f>
        <v>0</v>
      </c>
      <c r="S1725" s="8">
        <f>[1]Data!S1725</f>
        <v>0</v>
      </c>
      <c r="T1725">
        <f t="shared" si="130"/>
        <v>2.34375E-2</v>
      </c>
      <c r="U1725">
        <f t="shared" si="131"/>
        <v>0</v>
      </c>
      <c r="V1725" s="4" t="str">
        <f t="shared" si="132"/>
        <v>9</v>
      </c>
      <c r="W1725" s="4" t="str">
        <f t="shared" si="133"/>
        <v>6</v>
      </c>
      <c r="X1725" s="4" t="str">
        <f t="shared" si="134"/>
        <v>9NON-HS6</v>
      </c>
      <c r="Y1725">
        <f>VLOOKUP(X1725,Sheet1!$J$5:$K$121,2,FALSE)</f>
        <v>0</v>
      </c>
    </row>
    <row r="1726" spans="1:25" x14ac:dyDescent="0.25">
      <c r="A1726" s="8">
        <f>[1]Data!A1726</f>
        <v>228210</v>
      </c>
      <c r="B1726" s="8">
        <f>[1]Data!B1726</f>
        <v>6</v>
      </c>
      <c r="C1726" s="8">
        <f>[1]Data!C1726</f>
        <v>9</v>
      </c>
      <c r="D1726" s="8">
        <f>[1]Data!D1726</f>
        <v>2</v>
      </c>
      <c r="E1726" s="8" t="str">
        <f>[1]Data!E1726</f>
        <v>NON-HS</v>
      </c>
      <c r="F1726" s="8" t="str">
        <f>[1]Data!F1726</f>
        <v>South Central</v>
      </c>
      <c r="G1726" s="8">
        <f>[1]Data!G1726</f>
        <v>0</v>
      </c>
      <c r="H1726" s="8">
        <f>[1]Data!H1726</f>
        <v>0</v>
      </c>
      <c r="I1726" s="8">
        <f>[1]Data!I1726</f>
        <v>4.9029999999999996</v>
      </c>
      <c r="J1726" s="8">
        <f>[1]Data!J1726</f>
        <v>3.7168318299999998</v>
      </c>
      <c r="K1726" s="8">
        <f>[1]Data!K1726</f>
        <v>4.7168318300000003</v>
      </c>
      <c r="L1726" s="8">
        <f>[1]Data!L1726</f>
        <v>0.18615811166965901</v>
      </c>
      <c r="M1726" s="8">
        <f>[1]Data!M1726</f>
        <v>4.9029899416696603</v>
      </c>
      <c r="N1726" s="8">
        <f>[1]Data!N1726</f>
        <v>2.34375E-2</v>
      </c>
      <c r="O1726" s="8">
        <f>[1]Data!O1726</f>
        <v>0</v>
      </c>
      <c r="P1726" s="8">
        <f>[1]Data!P1726</f>
        <v>0.1796875</v>
      </c>
      <c r="Q1726" s="8">
        <f>[1]Data!Q1726</f>
        <v>1</v>
      </c>
      <c r="R1726" s="8">
        <f>[1]Data!R1726</f>
        <v>0</v>
      </c>
      <c r="S1726" s="8">
        <f>[1]Data!S1726</f>
        <v>0</v>
      </c>
      <c r="T1726">
        <f t="shared" si="130"/>
        <v>2.34375E-2</v>
      </c>
      <c r="U1726">
        <f t="shared" si="131"/>
        <v>0</v>
      </c>
      <c r="V1726" s="4" t="str">
        <f t="shared" si="132"/>
        <v>9</v>
      </c>
      <c r="W1726" s="4" t="str">
        <f t="shared" si="133"/>
        <v>6</v>
      </c>
      <c r="X1726" s="4" t="str">
        <f t="shared" si="134"/>
        <v>9NON-HS6</v>
      </c>
      <c r="Y1726">
        <f>VLOOKUP(X1726,Sheet1!$J$5:$K$121,2,FALSE)</f>
        <v>0</v>
      </c>
    </row>
    <row r="1727" spans="1:25" x14ac:dyDescent="0.25">
      <c r="A1727" s="8">
        <f>[1]Data!A1727</f>
        <v>228220</v>
      </c>
      <c r="B1727" s="8">
        <f>[1]Data!B1727</f>
        <v>6</v>
      </c>
      <c r="C1727" s="8">
        <f>[1]Data!C1727</f>
        <v>9</v>
      </c>
      <c r="D1727" s="8">
        <f>[1]Data!D1727</f>
        <v>2</v>
      </c>
      <c r="E1727" s="8" t="str">
        <f>[1]Data!E1727</f>
        <v>NON-HS</v>
      </c>
      <c r="F1727" s="8" t="str">
        <f>[1]Data!F1727</f>
        <v>Central Alameda</v>
      </c>
      <c r="G1727" s="8">
        <f>[1]Data!G1727</f>
        <v>0</v>
      </c>
      <c r="H1727" s="8">
        <f>[1]Data!H1727</f>
        <v>0</v>
      </c>
      <c r="I1727" s="8">
        <f>[1]Data!I1727</f>
        <v>26.41</v>
      </c>
      <c r="J1727" s="8">
        <f>[1]Data!J1727</f>
        <v>19.083532380000001</v>
      </c>
      <c r="K1727" s="8">
        <f>[1]Data!K1727</f>
        <v>25.083532380000001</v>
      </c>
      <c r="L1727" s="8">
        <f>[1]Data!L1727</f>
        <v>1.3263712180071801</v>
      </c>
      <c r="M1727" s="8">
        <f>[1]Data!M1727</f>
        <v>26.409903598007201</v>
      </c>
      <c r="N1727" s="8">
        <f>[1]Data!N1727</f>
        <v>2.34375E-2</v>
      </c>
      <c r="O1727" s="8">
        <f>[1]Data!O1727</f>
        <v>0</v>
      </c>
      <c r="P1727" s="8">
        <f>[1]Data!P1727</f>
        <v>0.1796875</v>
      </c>
      <c r="Q1727" s="8">
        <f>[1]Data!Q1727</f>
        <v>1</v>
      </c>
      <c r="R1727" s="8">
        <f>[1]Data!R1727</f>
        <v>0</v>
      </c>
      <c r="S1727" s="8">
        <f>[1]Data!S1727</f>
        <v>0</v>
      </c>
      <c r="T1727">
        <f t="shared" si="130"/>
        <v>2.34375E-2</v>
      </c>
      <c r="U1727">
        <f t="shared" si="131"/>
        <v>0</v>
      </c>
      <c r="V1727" s="4" t="str">
        <f t="shared" si="132"/>
        <v>9</v>
      </c>
      <c r="W1727" s="4" t="str">
        <f t="shared" si="133"/>
        <v>6</v>
      </c>
      <c r="X1727" s="4" t="str">
        <f t="shared" si="134"/>
        <v>9NON-HS6</v>
      </c>
      <c r="Y1727">
        <f>VLOOKUP(X1727,Sheet1!$J$5:$K$121,2,FALSE)</f>
        <v>0</v>
      </c>
    </row>
    <row r="1728" spans="1:25" x14ac:dyDescent="0.25">
      <c r="A1728" s="8">
        <f>[1]Data!A1728</f>
        <v>228420</v>
      </c>
      <c r="B1728" s="8">
        <f>[1]Data!B1728</f>
        <v>6</v>
      </c>
      <c r="C1728" s="8">
        <f>[1]Data!C1728</f>
        <v>9</v>
      </c>
      <c r="D1728" s="8">
        <f>[1]Data!D1728</f>
        <v>2</v>
      </c>
      <c r="E1728" s="8" t="str">
        <f>[1]Data!E1728</f>
        <v>NON-HS</v>
      </c>
      <c r="F1728" s="8" t="str">
        <f>[1]Data!F1728</f>
        <v>South Park</v>
      </c>
      <c r="G1728" s="8">
        <f>[1]Data!G1728</f>
        <v>0</v>
      </c>
      <c r="H1728" s="8">
        <f>[1]Data!H1728</f>
        <v>0</v>
      </c>
      <c r="I1728" s="8">
        <f>[1]Data!I1728</f>
        <v>15.01</v>
      </c>
      <c r="J1728" s="8">
        <f>[1]Data!J1728</f>
        <v>8.5001049099999992</v>
      </c>
      <c r="K1728" s="8">
        <f>[1]Data!K1728</f>
        <v>14.500104909999999</v>
      </c>
      <c r="L1728" s="8">
        <f>[1]Data!L1728</f>
        <v>0.50968744603231597</v>
      </c>
      <c r="M1728" s="8">
        <f>[1]Data!M1728</f>
        <v>15.0097923560323</v>
      </c>
      <c r="N1728" s="8">
        <f>[1]Data!N1728</f>
        <v>2.34375E-2</v>
      </c>
      <c r="O1728" s="8">
        <f>[1]Data!O1728</f>
        <v>0</v>
      </c>
      <c r="P1728" s="8">
        <f>[1]Data!P1728</f>
        <v>0.1796875</v>
      </c>
      <c r="Q1728" s="8">
        <f>[1]Data!Q1728</f>
        <v>1</v>
      </c>
      <c r="R1728" s="8">
        <f>[1]Data!R1728</f>
        <v>0</v>
      </c>
      <c r="S1728" s="8">
        <f>[1]Data!S1728</f>
        <v>0</v>
      </c>
      <c r="T1728">
        <f t="shared" si="130"/>
        <v>2.34375E-2</v>
      </c>
      <c r="U1728">
        <f t="shared" si="131"/>
        <v>0</v>
      </c>
      <c r="V1728" s="4" t="str">
        <f t="shared" si="132"/>
        <v>9</v>
      </c>
      <c r="W1728" s="4" t="str">
        <f t="shared" si="133"/>
        <v>6</v>
      </c>
      <c r="X1728" s="4" t="str">
        <f t="shared" si="134"/>
        <v>9NON-HS6</v>
      </c>
      <c r="Y1728">
        <f>VLOOKUP(X1728,Sheet1!$J$5:$K$121,2,FALSE)</f>
        <v>0</v>
      </c>
    </row>
    <row r="1729" spans="1:25" x14ac:dyDescent="0.25">
      <c r="A1729" s="8">
        <f>[1]Data!A1729</f>
        <v>228600</v>
      </c>
      <c r="B1729" s="8">
        <f>[1]Data!B1729</f>
        <v>6</v>
      </c>
      <c r="C1729" s="8">
        <f>[1]Data!C1729</f>
        <v>9</v>
      </c>
      <c r="D1729" s="8">
        <f>[1]Data!D1729</f>
        <v>2</v>
      </c>
      <c r="E1729" s="8" t="str">
        <f>[1]Data!E1729</f>
        <v>NON-HS</v>
      </c>
      <c r="F1729" s="8" t="str">
        <f>[1]Data!F1729</f>
        <v>South Park</v>
      </c>
      <c r="G1729" s="8">
        <f>[1]Data!G1729</f>
        <v>0</v>
      </c>
      <c r="H1729" s="8">
        <f>[1]Data!H1729</f>
        <v>0</v>
      </c>
      <c r="I1729" s="8">
        <f>[1]Data!I1729</f>
        <v>13.61</v>
      </c>
      <c r="J1729" s="8">
        <f>[1]Data!J1729</f>
        <v>11.028307659999999</v>
      </c>
      <c r="K1729" s="8">
        <f>[1]Data!K1729</f>
        <v>13.028307659999999</v>
      </c>
      <c r="L1729" s="8">
        <f>[1]Data!L1729</f>
        <v>0.58058064265709197</v>
      </c>
      <c r="M1729" s="8">
        <f>[1]Data!M1729</f>
        <v>13.6088883026571</v>
      </c>
      <c r="N1729" s="8">
        <f>[1]Data!N1729</f>
        <v>2.34375E-2</v>
      </c>
      <c r="O1729" s="8">
        <f>[1]Data!O1729</f>
        <v>0</v>
      </c>
      <c r="P1729" s="8">
        <f>[1]Data!P1729</f>
        <v>0.1796875</v>
      </c>
      <c r="Q1729" s="8">
        <f>[1]Data!Q1729</f>
        <v>1</v>
      </c>
      <c r="R1729" s="8">
        <f>[1]Data!R1729</f>
        <v>0</v>
      </c>
      <c r="S1729" s="8">
        <f>[1]Data!S1729</f>
        <v>0</v>
      </c>
      <c r="T1729">
        <f t="shared" si="130"/>
        <v>2.34375E-2</v>
      </c>
      <c r="U1729">
        <f t="shared" si="131"/>
        <v>0</v>
      </c>
      <c r="V1729" s="4" t="str">
        <f t="shared" si="132"/>
        <v>9</v>
      </c>
      <c r="W1729" s="4" t="str">
        <f t="shared" si="133"/>
        <v>6</v>
      </c>
      <c r="X1729" s="4" t="str">
        <f t="shared" si="134"/>
        <v>9NON-HS6</v>
      </c>
      <c r="Y1729">
        <f>VLOOKUP(X1729,Sheet1!$J$5:$K$121,2,FALSE)</f>
        <v>0</v>
      </c>
    </row>
    <row r="1730" spans="1:25" x14ac:dyDescent="0.25">
      <c r="A1730" s="8">
        <f>[1]Data!A1730</f>
        <v>228710</v>
      </c>
      <c r="B1730" s="8">
        <f>[1]Data!B1730</f>
        <v>6</v>
      </c>
      <c r="C1730" s="8">
        <f>[1]Data!C1730</f>
        <v>9</v>
      </c>
      <c r="D1730" s="8">
        <f>[1]Data!D1730</f>
        <v>2</v>
      </c>
      <c r="E1730" s="8" t="str">
        <f>[1]Data!E1730</f>
        <v>NON-HS</v>
      </c>
      <c r="F1730" s="8" t="str">
        <f>[1]Data!F1730</f>
        <v>Central Alameda</v>
      </c>
      <c r="G1730" s="8">
        <f>[1]Data!G1730</f>
        <v>0</v>
      </c>
      <c r="H1730" s="8">
        <f>[1]Data!H1730</f>
        <v>0</v>
      </c>
      <c r="I1730" s="8">
        <f>[1]Data!I1730</f>
        <v>20.972999999999999</v>
      </c>
      <c r="J1730" s="8">
        <f>[1]Data!J1730</f>
        <v>15.23162604</v>
      </c>
      <c r="K1730" s="8">
        <f>[1]Data!K1730</f>
        <v>20.231626039999998</v>
      </c>
      <c r="L1730" s="8">
        <f>[1]Data!L1730</f>
        <v>0.74118851552962295</v>
      </c>
      <c r="M1730" s="8">
        <f>[1]Data!M1730</f>
        <v>20.972814555529599</v>
      </c>
      <c r="N1730" s="8">
        <f>[1]Data!N1730</f>
        <v>2.34375E-2</v>
      </c>
      <c r="O1730" s="8">
        <f>[1]Data!O1730</f>
        <v>0</v>
      </c>
      <c r="P1730" s="8">
        <f>[1]Data!P1730</f>
        <v>0.1796875</v>
      </c>
      <c r="Q1730" s="8">
        <f>[1]Data!Q1730</f>
        <v>1</v>
      </c>
      <c r="R1730" s="8">
        <f>[1]Data!R1730</f>
        <v>0</v>
      </c>
      <c r="S1730" s="8">
        <f>[1]Data!S1730</f>
        <v>0</v>
      </c>
      <c r="T1730">
        <f t="shared" si="130"/>
        <v>2.34375E-2</v>
      </c>
      <c r="U1730">
        <f t="shared" si="131"/>
        <v>0</v>
      </c>
      <c r="V1730" s="4" t="str">
        <f t="shared" si="132"/>
        <v>9</v>
      </c>
      <c r="W1730" s="4" t="str">
        <f t="shared" si="133"/>
        <v>6</v>
      </c>
      <c r="X1730" s="4" t="str">
        <f t="shared" si="134"/>
        <v>9NON-HS6</v>
      </c>
      <c r="Y1730">
        <f>VLOOKUP(X1730,Sheet1!$J$5:$K$121,2,FALSE)</f>
        <v>0</v>
      </c>
    </row>
    <row r="1731" spans="1:25" x14ac:dyDescent="0.25">
      <c r="A1731" s="8">
        <f>[1]Data!A1731</f>
        <v>228720</v>
      </c>
      <c r="B1731" s="8">
        <f>[1]Data!B1731</f>
        <v>6</v>
      </c>
      <c r="C1731" s="8">
        <f>[1]Data!C1731</f>
        <v>9</v>
      </c>
      <c r="D1731" s="8">
        <f>[1]Data!D1731</f>
        <v>2</v>
      </c>
      <c r="E1731" s="8" t="str">
        <f>[1]Data!E1731</f>
        <v>NON-HS</v>
      </c>
      <c r="F1731" s="8" t="str">
        <f>[1]Data!F1731</f>
        <v>Central Alameda</v>
      </c>
      <c r="G1731" s="8">
        <f>[1]Data!G1731</f>
        <v>0</v>
      </c>
      <c r="H1731" s="8">
        <f>[1]Data!H1731</f>
        <v>0</v>
      </c>
      <c r="I1731" s="8">
        <f>[1]Data!I1731</f>
        <v>7.7770000000000001</v>
      </c>
      <c r="J1731" s="8">
        <f>[1]Data!J1731</f>
        <v>5.7146398200000004</v>
      </c>
      <c r="K1731" s="8">
        <f>[1]Data!K1731</f>
        <v>7.7146398200000004</v>
      </c>
      <c r="L1731" s="8">
        <f>[1]Data!L1731</f>
        <v>6.18759662477558E-2</v>
      </c>
      <c r="M1731" s="8">
        <f>[1]Data!M1731</f>
        <v>7.7765157862477601</v>
      </c>
      <c r="N1731" s="8">
        <f>[1]Data!N1731</f>
        <v>2.34375E-2</v>
      </c>
      <c r="O1731" s="8">
        <f>[1]Data!O1731</f>
        <v>0</v>
      </c>
      <c r="P1731" s="8">
        <f>[1]Data!P1731</f>
        <v>0.1796875</v>
      </c>
      <c r="Q1731" s="8">
        <f>[1]Data!Q1731</f>
        <v>1</v>
      </c>
      <c r="R1731" s="8">
        <f>[1]Data!R1731</f>
        <v>0</v>
      </c>
      <c r="S1731" s="8">
        <f>[1]Data!S1731</f>
        <v>0</v>
      </c>
      <c r="T1731">
        <f t="shared" ref="T1731:T1794" si="135">N1731+Y1731*(1-N1731)</f>
        <v>2.34375E-2</v>
      </c>
      <c r="U1731">
        <f t="shared" ref="U1731:U1794" si="136">IF(T1731="",0,1/T1731*H1731)</f>
        <v>0</v>
      </c>
      <c r="V1731" s="4" t="str">
        <f t="shared" ref="V1731:V1794" si="137">TEXT(C1731,"0")</f>
        <v>9</v>
      </c>
      <c r="W1731" s="4" t="str">
        <f t="shared" ref="W1731:W1794" si="138">TEXT(B1731,"0")</f>
        <v>6</v>
      </c>
      <c r="X1731" s="4" t="str">
        <f t="shared" ref="X1731:X1794" si="139">CONCATENATE(V1731,E1731,W1731)</f>
        <v>9NON-HS6</v>
      </c>
      <c r="Y1731">
        <f>VLOOKUP(X1731,Sheet1!$J$5:$K$121,2,FALSE)</f>
        <v>0</v>
      </c>
    </row>
    <row r="1732" spans="1:25" x14ac:dyDescent="0.25">
      <c r="A1732" s="8">
        <f>[1]Data!A1732</f>
        <v>229200</v>
      </c>
      <c r="B1732" s="8">
        <f>[1]Data!B1732</f>
        <v>6</v>
      </c>
      <c r="C1732" s="8">
        <f>[1]Data!C1732</f>
        <v>9</v>
      </c>
      <c r="D1732" s="8">
        <f>[1]Data!D1732</f>
        <v>2</v>
      </c>
      <c r="E1732" s="8" t="str">
        <f>[1]Data!E1732</f>
        <v>NON-HS</v>
      </c>
      <c r="F1732" s="8" t="str">
        <f>[1]Data!F1732</f>
        <v>South Park</v>
      </c>
      <c r="G1732" s="8">
        <f>[1]Data!G1732</f>
        <v>0</v>
      </c>
      <c r="H1732" s="8">
        <f>[1]Data!H1732</f>
        <v>0</v>
      </c>
      <c r="I1732" s="8">
        <f>[1]Data!I1732</f>
        <v>25.337</v>
      </c>
      <c r="J1732" s="8">
        <f>[1]Data!J1732</f>
        <v>21.563396839999999</v>
      </c>
      <c r="K1732" s="8">
        <f>[1]Data!K1732</f>
        <v>24.563396839999999</v>
      </c>
      <c r="L1732" s="8">
        <f>[1]Data!L1732</f>
        <v>0.772932649928187</v>
      </c>
      <c r="M1732" s="8">
        <f>[1]Data!M1732</f>
        <v>25.3363294899282</v>
      </c>
      <c r="N1732" s="8">
        <f>[1]Data!N1732</f>
        <v>2.34375E-2</v>
      </c>
      <c r="O1732" s="8">
        <f>[1]Data!O1732</f>
        <v>0</v>
      </c>
      <c r="P1732" s="8">
        <f>[1]Data!P1732</f>
        <v>0.1796875</v>
      </c>
      <c r="Q1732" s="8">
        <f>[1]Data!Q1732</f>
        <v>1</v>
      </c>
      <c r="R1732" s="8">
        <f>[1]Data!R1732</f>
        <v>0</v>
      </c>
      <c r="S1732" s="8">
        <f>[1]Data!S1732</f>
        <v>0</v>
      </c>
      <c r="T1732">
        <f t="shared" si="135"/>
        <v>2.34375E-2</v>
      </c>
      <c r="U1732">
        <f t="shared" si="136"/>
        <v>0</v>
      </c>
      <c r="V1732" s="4" t="str">
        <f t="shared" si="137"/>
        <v>9</v>
      </c>
      <c r="W1732" s="4" t="str">
        <f t="shared" si="138"/>
        <v>6</v>
      </c>
      <c r="X1732" s="4" t="str">
        <f t="shared" si="139"/>
        <v>9NON-HS6</v>
      </c>
      <c r="Y1732">
        <f>VLOOKUP(X1732,Sheet1!$J$5:$K$121,2,FALSE)</f>
        <v>0</v>
      </c>
    </row>
    <row r="1733" spans="1:25" x14ac:dyDescent="0.25">
      <c r="A1733" s="8">
        <f>[1]Data!A1733</f>
        <v>231800</v>
      </c>
      <c r="B1733" s="8">
        <f>[1]Data!B1733</f>
        <v>6</v>
      </c>
      <c r="C1733" s="8">
        <f>[1]Data!C1733</f>
        <v>9</v>
      </c>
      <c r="D1733" s="8">
        <f>[1]Data!D1733</f>
        <v>2</v>
      </c>
      <c r="E1733" s="8" t="str">
        <f>[1]Data!E1733</f>
        <v>NON-HS</v>
      </c>
      <c r="F1733" s="8" t="str">
        <f>[1]Data!F1733</f>
        <v>South Park</v>
      </c>
      <c r="G1733" s="8">
        <f>[1]Data!G1733</f>
        <v>0</v>
      </c>
      <c r="H1733" s="8">
        <f>[1]Data!H1733</f>
        <v>0</v>
      </c>
      <c r="I1733" s="8">
        <f>[1]Data!I1733</f>
        <v>24.436</v>
      </c>
      <c r="J1733" s="8">
        <f>[1]Data!J1733</f>
        <v>21.051345990000002</v>
      </c>
      <c r="K1733" s="8">
        <f>[1]Data!K1733</f>
        <v>24.051345990000002</v>
      </c>
      <c r="L1733" s="8">
        <f>[1]Data!L1733</f>
        <v>0.38353020710951502</v>
      </c>
      <c r="M1733" s="8">
        <f>[1]Data!M1733</f>
        <v>24.434876197109499</v>
      </c>
      <c r="N1733" s="8">
        <f>[1]Data!N1733</f>
        <v>2.34375E-2</v>
      </c>
      <c r="O1733" s="8">
        <f>[1]Data!O1733</f>
        <v>0</v>
      </c>
      <c r="P1733" s="8">
        <f>[1]Data!P1733</f>
        <v>0.1796875</v>
      </c>
      <c r="Q1733" s="8">
        <f>[1]Data!Q1733</f>
        <v>1</v>
      </c>
      <c r="R1733" s="8">
        <f>[1]Data!R1733</f>
        <v>0</v>
      </c>
      <c r="S1733" s="8">
        <f>[1]Data!S1733</f>
        <v>0</v>
      </c>
      <c r="T1733">
        <f t="shared" si="135"/>
        <v>2.34375E-2</v>
      </c>
      <c r="U1733">
        <f t="shared" si="136"/>
        <v>0</v>
      </c>
      <c r="V1733" s="4" t="str">
        <f t="shared" si="137"/>
        <v>9</v>
      </c>
      <c r="W1733" s="4" t="str">
        <f t="shared" si="138"/>
        <v>6</v>
      </c>
      <c r="X1733" s="4" t="str">
        <f t="shared" si="139"/>
        <v>9NON-HS6</v>
      </c>
      <c r="Y1733">
        <f>VLOOKUP(X1733,Sheet1!$J$5:$K$121,2,FALSE)</f>
        <v>0</v>
      </c>
    </row>
    <row r="1734" spans="1:25" x14ac:dyDescent="0.25">
      <c r="A1734" s="8">
        <f>[1]Data!A1734</f>
        <v>232200</v>
      </c>
      <c r="B1734" s="8">
        <f>[1]Data!B1734</f>
        <v>6</v>
      </c>
      <c r="C1734" s="8">
        <f>[1]Data!C1734</f>
        <v>9</v>
      </c>
      <c r="D1734" s="8">
        <f>[1]Data!D1734</f>
        <v>2</v>
      </c>
      <c r="E1734" s="8" t="str">
        <f>[1]Data!E1734</f>
        <v>NON-HS</v>
      </c>
      <c r="F1734" s="8" t="str">
        <f>[1]Data!F1734</f>
        <v>Vermont Square</v>
      </c>
      <c r="G1734" s="8">
        <f>[1]Data!G1734</f>
        <v>0</v>
      </c>
      <c r="H1734" s="8">
        <f>[1]Data!H1734</f>
        <v>0</v>
      </c>
      <c r="I1734" s="8">
        <f>[1]Data!I1734</f>
        <v>12.827</v>
      </c>
      <c r="J1734" s="8">
        <f>[1]Data!J1734</f>
        <v>11.32224326</v>
      </c>
      <c r="K1734" s="8">
        <f>[1]Data!K1734</f>
        <v>12.32224326</v>
      </c>
      <c r="L1734" s="8">
        <f>[1]Data!L1734</f>
        <v>0.50411414680430899</v>
      </c>
      <c r="M1734" s="8">
        <f>[1]Data!M1734</f>
        <v>12.8263574068043</v>
      </c>
      <c r="N1734" s="8">
        <f>[1]Data!N1734</f>
        <v>2.34375E-2</v>
      </c>
      <c r="O1734" s="8">
        <f>[1]Data!O1734</f>
        <v>0</v>
      </c>
      <c r="P1734" s="8">
        <f>[1]Data!P1734</f>
        <v>0.1796875</v>
      </c>
      <c r="Q1734" s="8">
        <f>[1]Data!Q1734</f>
        <v>1</v>
      </c>
      <c r="R1734" s="8">
        <f>[1]Data!R1734</f>
        <v>0</v>
      </c>
      <c r="S1734" s="8">
        <f>[1]Data!S1734</f>
        <v>0</v>
      </c>
      <c r="T1734">
        <f t="shared" si="135"/>
        <v>2.34375E-2</v>
      </c>
      <c r="U1734">
        <f t="shared" si="136"/>
        <v>0</v>
      </c>
      <c r="V1734" s="4" t="str">
        <f t="shared" si="137"/>
        <v>9</v>
      </c>
      <c r="W1734" s="4" t="str">
        <f t="shared" si="138"/>
        <v>6</v>
      </c>
      <c r="X1734" s="4" t="str">
        <f t="shared" si="139"/>
        <v>9NON-HS6</v>
      </c>
      <c r="Y1734">
        <f>VLOOKUP(X1734,Sheet1!$J$5:$K$121,2,FALSE)</f>
        <v>0</v>
      </c>
    </row>
    <row r="1735" spans="1:25" x14ac:dyDescent="0.25">
      <c r="A1735" s="8">
        <f>[1]Data!A1735</f>
        <v>232600</v>
      </c>
      <c r="B1735" s="8">
        <f>[1]Data!B1735</f>
        <v>6</v>
      </c>
      <c r="C1735" s="8">
        <f>[1]Data!C1735</f>
        <v>9</v>
      </c>
      <c r="D1735" s="8">
        <f>[1]Data!D1735</f>
        <v>2</v>
      </c>
      <c r="E1735" s="8" t="str">
        <f>[1]Data!E1735</f>
        <v>NON-HS</v>
      </c>
      <c r="F1735" s="8" t="str">
        <f>[1]Data!F1735</f>
        <v>Vermont Square</v>
      </c>
      <c r="G1735" s="8">
        <f>[1]Data!G1735</f>
        <v>0</v>
      </c>
      <c r="H1735" s="8">
        <f>[1]Data!H1735</f>
        <v>0</v>
      </c>
      <c r="I1735" s="8">
        <f>[1]Data!I1735</f>
        <v>6.181</v>
      </c>
      <c r="J1735" s="8">
        <f>[1]Data!J1735</f>
        <v>2.87839314</v>
      </c>
      <c r="K1735" s="8">
        <f>[1]Data!K1735</f>
        <v>5.87839314</v>
      </c>
      <c r="L1735" s="8">
        <f>[1]Data!L1735</f>
        <v>0.30290401228007202</v>
      </c>
      <c r="M1735" s="8">
        <f>[1]Data!M1735</f>
        <v>6.1812971522800702</v>
      </c>
      <c r="N1735" s="8">
        <f>[1]Data!N1735</f>
        <v>2.34375E-2</v>
      </c>
      <c r="O1735" s="8">
        <f>[1]Data!O1735</f>
        <v>0</v>
      </c>
      <c r="P1735" s="8">
        <f>[1]Data!P1735</f>
        <v>0.1796875</v>
      </c>
      <c r="Q1735" s="8">
        <f>[1]Data!Q1735</f>
        <v>1</v>
      </c>
      <c r="R1735" s="8">
        <f>[1]Data!R1735</f>
        <v>0</v>
      </c>
      <c r="S1735" s="8">
        <f>[1]Data!S1735</f>
        <v>0</v>
      </c>
      <c r="T1735">
        <f t="shared" si="135"/>
        <v>2.34375E-2</v>
      </c>
      <c r="U1735">
        <f t="shared" si="136"/>
        <v>0</v>
      </c>
      <c r="V1735" s="4" t="str">
        <f t="shared" si="137"/>
        <v>9</v>
      </c>
      <c r="W1735" s="4" t="str">
        <f t="shared" si="138"/>
        <v>6</v>
      </c>
      <c r="X1735" s="4" t="str">
        <f t="shared" si="139"/>
        <v>9NON-HS6</v>
      </c>
      <c r="Y1735">
        <f>VLOOKUP(X1735,Sheet1!$J$5:$K$121,2,FALSE)</f>
        <v>0</v>
      </c>
    </row>
    <row r="1736" spans="1:25" x14ac:dyDescent="0.25">
      <c r="A1736" s="8">
        <f>[1]Data!A1736</f>
        <v>239320</v>
      </c>
      <c r="B1736" s="8">
        <f>[1]Data!B1736</f>
        <v>6</v>
      </c>
      <c r="C1736" s="8">
        <f>[1]Data!C1736</f>
        <v>9</v>
      </c>
      <c r="D1736" s="8">
        <f>[1]Data!D1736</f>
        <v>2</v>
      </c>
      <c r="E1736" s="8" t="str">
        <f>[1]Data!E1736</f>
        <v>NON-HS</v>
      </c>
      <c r="F1736" s="8" t="str">
        <f>[1]Data!F1736</f>
        <v>South Park</v>
      </c>
      <c r="G1736" s="8">
        <f>[1]Data!G1736</f>
        <v>0</v>
      </c>
      <c r="H1736" s="8">
        <f>[1]Data!H1736</f>
        <v>0</v>
      </c>
      <c r="I1736" s="8">
        <f>[1]Data!I1736</f>
        <v>10.724</v>
      </c>
      <c r="J1736" s="8">
        <f>[1]Data!J1736</f>
        <v>5.5698712199999996</v>
      </c>
      <c r="K1736" s="8">
        <f>[1]Data!K1736</f>
        <v>10.56987122</v>
      </c>
      <c r="L1736" s="8">
        <f>[1]Data!L1736</f>
        <v>0.15328985522441699</v>
      </c>
      <c r="M1736" s="8">
        <f>[1]Data!M1736</f>
        <v>10.7231610752244</v>
      </c>
      <c r="N1736" s="8">
        <f>[1]Data!N1736</f>
        <v>2.34375E-2</v>
      </c>
      <c r="O1736" s="8">
        <f>[1]Data!O1736</f>
        <v>0</v>
      </c>
      <c r="P1736" s="8">
        <f>[1]Data!P1736</f>
        <v>0.1796875</v>
      </c>
      <c r="Q1736" s="8">
        <f>[1]Data!Q1736</f>
        <v>1</v>
      </c>
      <c r="R1736" s="8">
        <f>[1]Data!R1736</f>
        <v>0</v>
      </c>
      <c r="S1736" s="8">
        <f>[1]Data!S1736</f>
        <v>0</v>
      </c>
      <c r="T1736">
        <f t="shared" si="135"/>
        <v>2.34375E-2</v>
      </c>
      <c r="U1736">
        <f t="shared" si="136"/>
        <v>0</v>
      </c>
      <c r="V1736" s="4" t="str">
        <f t="shared" si="137"/>
        <v>9</v>
      </c>
      <c r="W1736" s="4" t="str">
        <f t="shared" si="138"/>
        <v>6</v>
      </c>
      <c r="X1736" s="4" t="str">
        <f t="shared" si="139"/>
        <v>9NON-HS6</v>
      </c>
      <c r="Y1736">
        <f>VLOOKUP(X1736,Sheet1!$J$5:$K$121,2,FALSE)</f>
        <v>0</v>
      </c>
    </row>
    <row r="1737" spans="1:25" x14ac:dyDescent="0.25">
      <c r="A1737" s="8">
        <f>[1]Data!A1737</f>
        <v>239501</v>
      </c>
      <c r="B1737" s="8">
        <f>[1]Data!B1737</f>
        <v>6</v>
      </c>
      <c r="C1737" s="8">
        <f>[1]Data!C1737</f>
        <v>9</v>
      </c>
      <c r="D1737" s="8">
        <f>[1]Data!D1737</f>
        <v>2</v>
      </c>
      <c r="E1737" s="8" t="str">
        <f>[1]Data!E1737</f>
        <v>NON-HS</v>
      </c>
      <c r="F1737" s="8" t="str">
        <f>[1]Data!F1737</f>
        <v>South Park</v>
      </c>
      <c r="G1737" s="8">
        <f>[1]Data!G1737</f>
        <v>0</v>
      </c>
      <c r="H1737" s="8">
        <f>[1]Data!H1737</f>
        <v>0</v>
      </c>
      <c r="I1737" s="8">
        <f>[1]Data!I1737</f>
        <v>7.0949999999999998</v>
      </c>
      <c r="J1737" s="8">
        <f>[1]Data!J1737</f>
        <v>1.9836996600000001</v>
      </c>
      <c r="K1737" s="8">
        <f>[1]Data!K1737</f>
        <v>6.9836996600000001</v>
      </c>
      <c r="L1737" s="8">
        <f>[1]Data!L1737</f>
        <v>0.11117260138240601</v>
      </c>
      <c r="M1737" s="8">
        <f>[1]Data!M1737</f>
        <v>7.0948722613824096</v>
      </c>
      <c r="N1737" s="8">
        <f>[1]Data!N1737</f>
        <v>2.34375E-2</v>
      </c>
      <c r="O1737" s="8">
        <f>[1]Data!O1737</f>
        <v>0</v>
      </c>
      <c r="P1737" s="8">
        <f>[1]Data!P1737</f>
        <v>0.1796875</v>
      </c>
      <c r="Q1737" s="8">
        <f>[1]Data!Q1737</f>
        <v>1</v>
      </c>
      <c r="R1737" s="8">
        <f>[1]Data!R1737</f>
        <v>0</v>
      </c>
      <c r="S1737" s="8">
        <f>[1]Data!S1737</f>
        <v>0</v>
      </c>
      <c r="T1737">
        <f t="shared" si="135"/>
        <v>2.34375E-2</v>
      </c>
      <c r="U1737">
        <f t="shared" si="136"/>
        <v>0</v>
      </c>
      <c r="V1737" s="4" t="str">
        <f t="shared" si="137"/>
        <v>9</v>
      </c>
      <c r="W1737" s="4" t="str">
        <f t="shared" si="138"/>
        <v>6</v>
      </c>
      <c r="X1737" s="4" t="str">
        <f t="shared" si="139"/>
        <v>9NON-HS6</v>
      </c>
      <c r="Y1737">
        <f>VLOOKUP(X1737,Sheet1!$J$5:$K$121,2,FALSE)</f>
        <v>0</v>
      </c>
    </row>
    <row r="1738" spans="1:25" x14ac:dyDescent="0.25">
      <c r="A1738" s="8">
        <f>[1]Data!A1738</f>
        <v>239801</v>
      </c>
      <c r="B1738" s="8">
        <f>[1]Data!B1738</f>
        <v>6</v>
      </c>
      <c r="C1738" s="8">
        <f>[1]Data!C1738</f>
        <v>9</v>
      </c>
      <c r="D1738" s="8">
        <f>[1]Data!D1738</f>
        <v>2</v>
      </c>
      <c r="E1738" s="8" t="str">
        <f>[1]Data!E1738</f>
        <v>NON-HS</v>
      </c>
      <c r="F1738" s="8" t="str">
        <f>[1]Data!F1738</f>
        <v>South Park</v>
      </c>
      <c r="G1738" s="8">
        <f>[1]Data!G1738</f>
        <v>0</v>
      </c>
      <c r="H1738" s="8">
        <f>[1]Data!H1738</f>
        <v>0</v>
      </c>
      <c r="I1738" s="8">
        <f>[1]Data!I1738</f>
        <v>12.967000000000001</v>
      </c>
      <c r="J1738" s="8">
        <f>[1]Data!J1738</f>
        <v>9.6820391400000005</v>
      </c>
      <c r="K1738" s="8">
        <f>[1]Data!K1738</f>
        <v>12.682039140000001</v>
      </c>
      <c r="L1738" s="8">
        <f>[1]Data!L1738</f>
        <v>0.284221169012567</v>
      </c>
      <c r="M1738" s="8">
        <f>[1]Data!M1738</f>
        <v>12.966260309012601</v>
      </c>
      <c r="N1738" s="8">
        <f>[1]Data!N1738</f>
        <v>2.34375E-2</v>
      </c>
      <c r="O1738" s="8">
        <f>[1]Data!O1738</f>
        <v>0</v>
      </c>
      <c r="P1738" s="8">
        <f>[1]Data!P1738</f>
        <v>0.1796875</v>
      </c>
      <c r="Q1738" s="8">
        <f>[1]Data!Q1738</f>
        <v>1</v>
      </c>
      <c r="R1738" s="8">
        <f>[1]Data!R1738</f>
        <v>0</v>
      </c>
      <c r="S1738" s="8">
        <f>[1]Data!S1738</f>
        <v>0</v>
      </c>
      <c r="T1738">
        <f t="shared" si="135"/>
        <v>2.34375E-2</v>
      </c>
      <c r="U1738">
        <f t="shared" si="136"/>
        <v>0</v>
      </c>
      <c r="V1738" s="4" t="str">
        <f t="shared" si="137"/>
        <v>9</v>
      </c>
      <c r="W1738" s="4" t="str">
        <f t="shared" si="138"/>
        <v>6</v>
      </c>
      <c r="X1738" s="4" t="str">
        <f t="shared" si="139"/>
        <v>9NON-HS6</v>
      </c>
      <c r="Y1738">
        <f>VLOOKUP(X1738,Sheet1!$J$5:$K$121,2,FALSE)</f>
        <v>0</v>
      </c>
    </row>
    <row r="1739" spans="1:25" x14ac:dyDescent="0.25">
      <c r="A1739" s="8">
        <f>[1]Data!A1739</f>
        <v>240020</v>
      </c>
      <c r="B1739" s="8">
        <f>[1]Data!B1739</f>
        <v>6</v>
      </c>
      <c r="C1739" s="8">
        <f>[1]Data!C1739</f>
        <v>9</v>
      </c>
      <c r="D1739" s="8">
        <f>[1]Data!D1739</f>
        <v>2</v>
      </c>
      <c r="E1739" s="8" t="str">
        <f>[1]Data!E1739</f>
        <v>NON-HS</v>
      </c>
      <c r="F1739" s="8" t="str">
        <f>[1]Data!F1739</f>
        <v>Green Meadows</v>
      </c>
      <c r="G1739" s="8">
        <f>[1]Data!G1739</f>
        <v>0</v>
      </c>
      <c r="H1739" s="8">
        <f>[1]Data!H1739</f>
        <v>0</v>
      </c>
      <c r="I1739" s="8">
        <f>[1]Data!I1739</f>
        <v>9.19</v>
      </c>
      <c r="J1739" s="8">
        <f>[1]Data!J1739</f>
        <v>3.9673993200000002</v>
      </c>
      <c r="K1739" s="8">
        <f>[1]Data!K1739</f>
        <v>8.9673993200000002</v>
      </c>
      <c r="L1739" s="8">
        <f>[1]Data!L1739</f>
        <v>0.22234520276481101</v>
      </c>
      <c r="M1739" s="8">
        <f>[1]Data!M1739</f>
        <v>9.1897445227648102</v>
      </c>
      <c r="N1739" s="8">
        <f>[1]Data!N1739</f>
        <v>2.34375E-2</v>
      </c>
      <c r="O1739" s="8">
        <f>[1]Data!O1739</f>
        <v>0</v>
      </c>
      <c r="P1739" s="8">
        <f>[1]Data!P1739</f>
        <v>0.1796875</v>
      </c>
      <c r="Q1739" s="8">
        <f>[1]Data!Q1739</f>
        <v>1</v>
      </c>
      <c r="R1739" s="8">
        <f>[1]Data!R1739</f>
        <v>0</v>
      </c>
      <c r="S1739" s="8">
        <f>[1]Data!S1739</f>
        <v>0</v>
      </c>
      <c r="T1739">
        <f t="shared" si="135"/>
        <v>2.34375E-2</v>
      </c>
      <c r="U1739">
        <f t="shared" si="136"/>
        <v>0</v>
      </c>
      <c r="V1739" s="4" t="str">
        <f t="shared" si="137"/>
        <v>9</v>
      </c>
      <c r="W1739" s="4" t="str">
        <f t="shared" si="138"/>
        <v>6</v>
      </c>
      <c r="X1739" s="4" t="str">
        <f t="shared" si="139"/>
        <v>9NON-HS6</v>
      </c>
      <c r="Y1739">
        <f>VLOOKUP(X1739,Sheet1!$J$5:$K$121,2,FALSE)</f>
        <v>0</v>
      </c>
    </row>
    <row r="1740" spans="1:25" x14ac:dyDescent="0.25">
      <c r="A1740" s="8">
        <f>[1]Data!A1740</f>
        <v>239502</v>
      </c>
      <c r="B1740" s="8">
        <f>[1]Data!B1740</f>
        <v>6</v>
      </c>
      <c r="C1740" s="8">
        <f>[1]Data!C1740</f>
        <v>9</v>
      </c>
      <c r="D1740" s="8">
        <f>[1]Data!D1740</f>
        <v>2</v>
      </c>
      <c r="E1740" s="8" t="str">
        <f>[1]Data!E1740</f>
        <v>NON-HS</v>
      </c>
      <c r="F1740" s="8" t="str">
        <f>[1]Data!F1740</f>
        <v>South Park</v>
      </c>
      <c r="G1740" s="8">
        <f>[1]Data!G1740</f>
        <v>0</v>
      </c>
      <c r="H1740" s="8">
        <f>[1]Data!H1740</f>
        <v>0</v>
      </c>
      <c r="I1740" s="8">
        <f>[1]Data!I1740</f>
        <v>3</v>
      </c>
      <c r="J1740" s="8">
        <f>[1]Data!J1740</f>
        <v>0</v>
      </c>
      <c r="K1740" s="8">
        <f>[1]Data!K1740</f>
        <v>3</v>
      </c>
      <c r="L1740" s="8">
        <f>[1]Data!L1740</f>
        <v>0</v>
      </c>
      <c r="M1740" s="8">
        <f>[1]Data!M1740</f>
        <v>3</v>
      </c>
      <c r="N1740" s="8">
        <f>[1]Data!N1740</f>
        <v>2.34375E-2</v>
      </c>
      <c r="O1740" s="8">
        <f>[1]Data!O1740</f>
        <v>0</v>
      </c>
      <c r="P1740" s="8">
        <f>[1]Data!P1740</f>
        <v>0.1796875</v>
      </c>
      <c r="Q1740" s="8">
        <f>[1]Data!Q1740</f>
        <v>1</v>
      </c>
      <c r="R1740" s="8">
        <f>[1]Data!R1740</f>
        <v>0</v>
      </c>
      <c r="S1740" s="8">
        <f>[1]Data!S1740</f>
        <v>0</v>
      </c>
      <c r="T1740">
        <f t="shared" si="135"/>
        <v>2.34375E-2</v>
      </c>
      <c r="U1740">
        <f t="shared" si="136"/>
        <v>0</v>
      </c>
      <c r="V1740" s="4" t="str">
        <f t="shared" si="137"/>
        <v>9</v>
      </c>
      <c r="W1740" s="4" t="str">
        <f t="shared" si="138"/>
        <v>6</v>
      </c>
      <c r="X1740" s="4" t="str">
        <f t="shared" si="139"/>
        <v>9NON-HS6</v>
      </c>
      <c r="Y1740">
        <f>VLOOKUP(X1740,Sheet1!$J$5:$K$121,2,FALSE)</f>
        <v>0</v>
      </c>
    </row>
    <row r="1741" spans="1:25" x14ac:dyDescent="0.25">
      <c r="A1741" s="8">
        <f>[1]Data!A1741</f>
        <v>228410</v>
      </c>
      <c r="B1741" s="8">
        <f>[1]Data!B1741</f>
        <v>6</v>
      </c>
      <c r="C1741" s="8">
        <f>[1]Data!C1741</f>
        <v>9</v>
      </c>
      <c r="D1741" s="8">
        <f>[1]Data!D1741</f>
        <v>2</v>
      </c>
      <c r="E1741" s="8" t="str">
        <f>[1]Data!E1741</f>
        <v>NON-HS</v>
      </c>
      <c r="F1741" s="8" t="str">
        <f>[1]Data!F1741</f>
        <v>South Central</v>
      </c>
      <c r="G1741" s="8">
        <f>[1]Data!G1741</f>
        <v>0</v>
      </c>
      <c r="H1741" s="8">
        <f>[1]Data!H1741</f>
        <v>0</v>
      </c>
      <c r="I1741" s="8">
        <f>[1]Data!I1741</f>
        <v>5.9029999999999996</v>
      </c>
      <c r="J1741" s="8">
        <f>[1]Data!J1741</f>
        <v>3.7168318299999998</v>
      </c>
      <c r="K1741" s="8">
        <f>[1]Data!K1741</f>
        <v>5.7168318300000003</v>
      </c>
      <c r="L1741" s="8">
        <f>[1]Data!L1741</f>
        <v>0.18615811166965901</v>
      </c>
      <c r="M1741" s="8">
        <f>[1]Data!M1741</f>
        <v>5.9029899416696603</v>
      </c>
      <c r="N1741" s="8">
        <f>[1]Data!N1741</f>
        <v>2.34375E-2</v>
      </c>
      <c r="O1741" s="8">
        <f>[1]Data!O1741</f>
        <v>0</v>
      </c>
      <c r="P1741" s="8">
        <f>[1]Data!P1741</f>
        <v>0.1796875</v>
      </c>
      <c r="Q1741" s="8">
        <f>[1]Data!Q1741</f>
        <v>1</v>
      </c>
      <c r="R1741" s="8">
        <f>[1]Data!R1741</f>
        <v>0</v>
      </c>
      <c r="S1741" s="8">
        <f>[1]Data!S1741</f>
        <v>0</v>
      </c>
      <c r="T1741">
        <f t="shared" si="135"/>
        <v>2.34375E-2</v>
      </c>
      <c r="U1741">
        <f t="shared" si="136"/>
        <v>0</v>
      </c>
      <c r="V1741" s="4" t="str">
        <f t="shared" si="137"/>
        <v>9</v>
      </c>
      <c r="W1741" s="4" t="str">
        <f t="shared" si="138"/>
        <v>6</v>
      </c>
      <c r="X1741" s="4" t="str">
        <f t="shared" si="139"/>
        <v>9NON-HS6</v>
      </c>
      <c r="Y1741">
        <f>VLOOKUP(X1741,Sheet1!$J$5:$K$121,2,FALSE)</f>
        <v>0</v>
      </c>
    </row>
    <row r="1742" spans="1:25" x14ac:dyDescent="0.25">
      <c r="A1742" s="8">
        <f>[1]Data!A1742</f>
        <v>212501</v>
      </c>
      <c r="B1742" s="8">
        <f>[1]Data!B1742</f>
        <v>4</v>
      </c>
      <c r="C1742" s="8">
        <f>[1]Data!C1742</f>
        <v>10</v>
      </c>
      <c r="D1742" s="8">
        <f>[1]Data!D1742</f>
        <v>2</v>
      </c>
      <c r="E1742" s="8" t="str">
        <f>[1]Data!E1742</f>
        <v>CVCTE</v>
      </c>
      <c r="F1742" s="8" t="str">
        <f>[1]Data!F1742</f>
        <v>Wilshire Center-Koreatown</v>
      </c>
      <c r="G1742" s="8">
        <f>[1]Data!G1742</f>
        <v>0</v>
      </c>
      <c r="H1742" s="8">
        <f>[1]Data!H1742</f>
        <v>0</v>
      </c>
      <c r="I1742" s="8">
        <f>[1]Data!I1742</f>
        <v>2.0950000000000002</v>
      </c>
      <c r="J1742" s="8">
        <f>[1]Data!J1742</f>
        <v>1.9836996600000001</v>
      </c>
      <c r="K1742" s="8">
        <f>[1]Data!K1742</f>
        <v>1.9836996600000001</v>
      </c>
      <c r="L1742" s="8">
        <f>[1]Data!L1742</f>
        <v>0.11117260138240601</v>
      </c>
      <c r="M1742" s="8">
        <f>[1]Data!M1742</f>
        <v>2.09487226138241</v>
      </c>
      <c r="N1742" s="8">
        <f>[1]Data!N1742</f>
        <v>0.164383561643836</v>
      </c>
      <c r="O1742" s="8">
        <f>[1]Data!O1742</f>
        <v>0</v>
      </c>
      <c r="P1742" s="8">
        <f>[1]Data!P1742</f>
        <v>0.13698630136986301</v>
      </c>
      <c r="Q1742" s="8">
        <f>[1]Data!Q1742</f>
        <v>0.55555555555555602</v>
      </c>
      <c r="R1742" s="8">
        <f>[1]Data!R1742</f>
        <v>8.3333333333333301E-2</v>
      </c>
      <c r="S1742" s="8">
        <f>[1]Data!S1742</f>
        <v>0</v>
      </c>
      <c r="T1742">
        <f t="shared" si="135"/>
        <v>0.23401826484018295</v>
      </c>
      <c r="U1742">
        <f t="shared" si="136"/>
        <v>0</v>
      </c>
      <c r="V1742" s="4" t="str">
        <f t="shared" si="137"/>
        <v>10</v>
      </c>
      <c r="W1742" s="4" t="str">
        <f t="shared" si="138"/>
        <v>4</v>
      </c>
      <c r="X1742" s="4" t="str">
        <f t="shared" si="139"/>
        <v>10CVCTE4</v>
      </c>
      <c r="Y1742">
        <f>VLOOKUP(X1742,Sheet1!$J$5:$K$121,2,FALSE)</f>
        <v>8.3333333333333301E-2</v>
      </c>
    </row>
    <row r="1743" spans="1:25" x14ac:dyDescent="0.25">
      <c r="A1743" s="8">
        <f>[1]Data!A1743</f>
        <v>218300</v>
      </c>
      <c r="B1743" s="8">
        <f>[1]Data!B1743</f>
        <v>4</v>
      </c>
      <c r="C1743" s="8">
        <f>[1]Data!C1743</f>
        <v>10</v>
      </c>
      <c r="D1743" s="8">
        <f>[1]Data!D1743</f>
        <v>2</v>
      </c>
      <c r="E1743" s="8" t="str">
        <f>[1]Data!E1743</f>
        <v>CVCTE</v>
      </c>
      <c r="F1743" s="8" t="str">
        <f>[1]Data!F1743</f>
        <v>Mid City</v>
      </c>
      <c r="G1743" s="8">
        <f>[1]Data!G1743</f>
        <v>0</v>
      </c>
      <c r="H1743" s="8">
        <f>[1]Data!H1743</f>
        <v>0</v>
      </c>
      <c r="I1743" s="8">
        <f>[1]Data!I1743</f>
        <v>24.102</v>
      </c>
      <c r="J1743" s="8">
        <f>[1]Data!J1743</f>
        <v>19.442898</v>
      </c>
      <c r="K1743" s="8">
        <f>[1]Data!K1743</f>
        <v>23.442898</v>
      </c>
      <c r="L1743" s="8">
        <f>[1]Data!L1743</f>
        <v>0.65898961732495498</v>
      </c>
      <c r="M1743" s="8">
        <f>[1]Data!M1743</f>
        <v>24.101887617325001</v>
      </c>
      <c r="N1743" s="8">
        <f>[1]Data!N1743</f>
        <v>0.164383561643836</v>
      </c>
      <c r="O1743" s="8">
        <f>[1]Data!O1743</f>
        <v>0</v>
      </c>
      <c r="P1743" s="8">
        <f>[1]Data!P1743</f>
        <v>0.13698630136986301</v>
      </c>
      <c r="Q1743" s="8">
        <f>[1]Data!Q1743</f>
        <v>0.55555555555555602</v>
      </c>
      <c r="R1743" s="8">
        <f>[1]Data!R1743</f>
        <v>8.3333333333333301E-2</v>
      </c>
      <c r="S1743" s="8">
        <f>[1]Data!S1743</f>
        <v>0</v>
      </c>
      <c r="T1743">
        <f t="shared" si="135"/>
        <v>0.23401826484018295</v>
      </c>
      <c r="U1743">
        <f t="shared" si="136"/>
        <v>0</v>
      </c>
      <c r="V1743" s="4" t="str">
        <f t="shared" si="137"/>
        <v>10</v>
      </c>
      <c r="W1743" s="4" t="str">
        <f t="shared" si="138"/>
        <v>4</v>
      </c>
      <c r="X1743" s="4" t="str">
        <f t="shared" si="139"/>
        <v>10CVCTE4</v>
      </c>
      <c r="Y1743">
        <f>VLOOKUP(X1743,Sheet1!$J$5:$K$121,2,FALSE)</f>
        <v>8.3333333333333301E-2</v>
      </c>
    </row>
    <row r="1744" spans="1:25" x14ac:dyDescent="0.25">
      <c r="A1744" s="8">
        <f>[1]Data!A1744</f>
        <v>221303</v>
      </c>
      <c r="B1744" s="8">
        <f>[1]Data!B1744</f>
        <v>4</v>
      </c>
      <c r="C1744" s="8">
        <f>[1]Data!C1744</f>
        <v>10</v>
      </c>
      <c r="D1744" s="8">
        <f>[1]Data!D1744</f>
        <v>2</v>
      </c>
      <c r="E1744" s="8" t="str">
        <f>[1]Data!E1744</f>
        <v>CVCTE</v>
      </c>
      <c r="F1744" s="8" t="str">
        <f>[1]Data!F1744</f>
        <v>West Adams-Expo Park</v>
      </c>
      <c r="G1744" s="8">
        <f>[1]Data!G1744</f>
        <v>0</v>
      </c>
      <c r="H1744" s="8">
        <f>[1]Data!H1744</f>
        <v>0</v>
      </c>
      <c r="I1744" s="8">
        <f>[1]Data!I1744</f>
        <v>24.934999999999999</v>
      </c>
      <c r="J1744" s="8">
        <f>[1]Data!J1744</f>
        <v>19.045784319999999</v>
      </c>
      <c r="K1744" s="8">
        <f>[1]Data!K1744</f>
        <v>24.045784319999999</v>
      </c>
      <c r="L1744" s="8">
        <f>[1]Data!L1744</f>
        <v>0.88880044179533202</v>
      </c>
      <c r="M1744" s="8">
        <f>[1]Data!M1744</f>
        <v>24.9345847617953</v>
      </c>
      <c r="N1744" s="8">
        <f>[1]Data!N1744</f>
        <v>0.164383561643836</v>
      </c>
      <c r="O1744" s="8">
        <f>[1]Data!O1744</f>
        <v>0</v>
      </c>
      <c r="P1744" s="8">
        <f>[1]Data!P1744</f>
        <v>0.13698630136986301</v>
      </c>
      <c r="Q1744" s="8">
        <f>[1]Data!Q1744</f>
        <v>0.55555555555555602</v>
      </c>
      <c r="R1744" s="8">
        <f>[1]Data!R1744</f>
        <v>8.3333333333333301E-2</v>
      </c>
      <c r="S1744" s="8">
        <f>[1]Data!S1744</f>
        <v>0</v>
      </c>
      <c r="T1744">
        <f t="shared" si="135"/>
        <v>0.23401826484018295</v>
      </c>
      <c r="U1744">
        <f t="shared" si="136"/>
        <v>0</v>
      </c>
      <c r="V1744" s="4" t="str">
        <f t="shared" si="137"/>
        <v>10</v>
      </c>
      <c r="W1744" s="4" t="str">
        <f t="shared" si="138"/>
        <v>4</v>
      </c>
      <c r="X1744" s="4" t="str">
        <f t="shared" si="139"/>
        <v>10CVCTE4</v>
      </c>
      <c r="Y1744">
        <f>VLOOKUP(X1744,Sheet1!$J$5:$K$121,2,FALSE)</f>
        <v>8.3333333333333301E-2</v>
      </c>
    </row>
    <row r="1745" spans="1:25" x14ac:dyDescent="0.25">
      <c r="A1745" s="8">
        <f>[1]Data!A1745</f>
        <v>221302</v>
      </c>
      <c r="B1745" s="8">
        <f>[1]Data!B1745</f>
        <v>4</v>
      </c>
      <c r="C1745" s="8">
        <f>[1]Data!C1745</f>
        <v>10</v>
      </c>
      <c r="D1745" s="8">
        <f>[1]Data!D1745</f>
        <v>2</v>
      </c>
      <c r="E1745" s="8" t="str">
        <f>[1]Data!E1745</f>
        <v>CVCTE</v>
      </c>
      <c r="F1745" s="8" t="str">
        <f>[1]Data!F1745</f>
        <v>West Adams-Expo Park</v>
      </c>
      <c r="G1745" s="8">
        <f>[1]Data!G1745</f>
        <v>1</v>
      </c>
      <c r="H1745" s="8">
        <f>[1]Data!H1745</f>
        <v>1</v>
      </c>
      <c r="I1745" s="8">
        <f>[1]Data!I1745</f>
        <v>51.581000000000003</v>
      </c>
      <c r="J1745" s="8">
        <f>[1]Data!J1745</f>
        <v>45.429017729999998</v>
      </c>
      <c r="K1745" s="8">
        <f>[1]Data!K1745</f>
        <v>48.429017729999998</v>
      </c>
      <c r="L1745" s="8">
        <f>[1]Data!L1745</f>
        <v>3.1524665296768402</v>
      </c>
      <c r="M1745" s="8">
        <f>[1]Data!M1745</f>
        <v>51.581484259676799</v>
      </c>
      <c r="N1745" s="8">
        <f>[1]Data!N1745</f>
        <v>0.164383561643836</v>
      </c>
      <c r="O1745" s="8">
        <f>[1]Data!O1745</f>
        <v>6.0833333333333304</v>
      </c>
      <c r="P1745" s="8">
        <f>[1]Data!P1745</f>
        <v>0.13698630136986301</v>
      </c>
      <c r="Q1745" s="8">
        <f>[1]Data!Q1745</f>
        <v>0.55555555555555602</v>
      </c>
      <c r="R1745" s="8">
        <f>[1]Data!R1745</f>
        <v>0</v>
      </c>
      <c r="S1745" s="8">
        <f>[1]Data!S1745</f>
        <v>0</v>
      </c>
      <c r="T1745">
        <f t="shared" si="135"/>
        <v>0.23401826484018295</v>
      </c>
      <c r="U1745">
        <f t="shared" si="136"/>
        <v>4.2731707317073111</v>
      </c>
      <c r="V1745" s="4" t="str">
        <f t="shared" si="137"/>
        <v>10</v>
      </c>
      <c r="W1745" s="4" t="str">
        <f t="shared" si="138"/>
        <v>4</v>
      </c>
      <c r="X1745" s="4" t="str">
        <f t="shared" si="139"/>
        <v>10CVCTE4</v>
      </c>
      <c r="Y1745">
        <f>VLOOKUP(X1745,Sheet1!$J$5:$K$121,2,FALSE)</f>
        <v>8.3333333333333301E-2</v>
      </c>
    </row>
    <row r="1746" spans="1:25" x14ac:dyDescent="0.25">
      <c r="A1746" s="8">
        <f>[1]Data!A1746</f>
        <v>213201</v>
      </c>
      <c r="B1746" s="8">
        <f>[1]Data!B1746</f>
        <v>4</v>
      </c>
      <c r="C1746" s="8">
        <f>[1]Data!C1746</f>
        <v>10</v>
      </c>
      <c r="D1746" s="8">
        <f>[1]Data!D1746</f>
        <v>2</v>
      </c>
      <c r="E1746" s="8" t="str">
        <f>[1]Data!E1746</f>
        <v>CVCTE</v>
      </c>
      <c r="F1746" s="8" t="str">
        <f>[1]Data!F1746</f>
        <v>Wilshire Center-Koreatown</v>
      </c>
      <c r="G1746" s="8">
        <f>[1]Data!G1746</f>
        <v>0</v>
      </c>
      <c r="H1746" s="8">
        <f>[1]Data!H1746</f>
        <v>0</v>
      </c>
      <c r="I1746" s="8">
        <f>[1]Data!I1746</f>
        <v>33.514000000000003</v>
      </c>
      <c r="J1746" s="8">
        <f>[1]Data!J1746</f>
        <v>23.861332260000001</v>
      </c>
      <c r="K1746" s="8">
        <f>[1]Data!K1746</f>
        <v>32.861332259999998</v>
      </c>
      <c r="L1746" s="8">
        <f>[1]Data!L1746</f>
        <v>0.65258371504488299</v>
      </c>
      <c r="M1746" s="8">
        <f>[1]Data!M1746</f>
        <v>33.513915975044902</v>
      </c>
      <c r="N1746" s="8">
        <f>[1]Data!N1746</f>
        <v>0.164383561643836</v>
      </c>
      <c r="O1746" s="8">
        <f>[1]Data!O1746</f>
        <v>0</v>
      </c>
      <c r="P1746" s="8">
        <f>[1]Data!P1746</f>
        <v>0.13698630136986301</v>
      </c>
      <c r="Q1746" s="8">
        <f>[1]Data!Q1746</f>
        <v>0.55555555555555602</v>
      </c>
      <c r="R1746" s="8">
        <f>[1]Data!R1746</f>
        <v>8.3333333333333301E-2</v>
      </c>
      <c r="S1746" s="8">
        <f>[1]Data!S1746</f>
        <v>0</v>
      </c>
      <c r="T1746">
        <f t="shared" si="135"/>
        <v>0.23401826484018295</v>
      </c>
      <c r="U1746">
        <f t="shared" si="136"/>
        <v>0</v>
      </c>
      <c r="V1746" s="4" t="str">
        <f t="shared" si="137"/>
        <v>10</v>
      </c>
      <c r="W1746" s="4" t="str">
        <f t="shared" si="138"/>
        <v>4</v>
      </c>
      <c r="X1746" s="4" t="str">
        <f t="shared" si="139"/>
        <v>10CVCTE4</v>
      </c>
      <c r="Y1746">
        <f>VLOOKUP(X1746,Sheet1!$J$5:$K$121,2,FALSE)</f>
        <v>8.3333333333333301E-2</v>
      </c>
    </row>
    <row r="1747" spans="1:25" x14ac:dyDescent="0.25">
      <c r="A1747" s="8">
        <f>[1]Data!A1747</f>
        <v>212502</v>
      </c>
      <c r="B1747" s="8">
        <f>[1]Data!B1747</f>
        <v>4</v>
      </c>
      <c r="C1747" s="8">
        <f>[1]Data!C1747</f>
        <v>10</v>
      </c>
      <c r="D1747" s="8">
        <f>[1]Data!D1747</f>
        <v>2</v>
      </c>
      <c r="E1747" s="8" t="str">
        <f>[1]Data!E1747</f>
        <v>CVCTE</v>
      </c>
      <c r="F1747" s="8" t="str">
        <f>[1]Data!F1747</f>
        <v>Wilshire Center-Koreatown</v>
      </c>
      <c r="G1747" s="8">
        <f>[1]Data!G1747</f>
        <v>1</v>
      </c>
      <c r="H1747" s="8">
        <f>[1]Data!H1747</f>
        <v>1</v>
      </c>
      <c r="I1747" s="8">
        <f>[1]Data!I1747</f>
        <v>29.449000000000002</v>
      </c>
      <c r="J1747" s="8">
        <f>[1]Data!J1747</f>
        <v>21.49110915</v>
      </c>
      <c r="K1747" s="8">
        <f>[1]Data!K1747</f>
        <v>28.49110915</v>
      </c>
      <c r="L1747" s="8">
        <f>[1]Data!L1747</f>
        <v>0.95798292662477602</v>
      </c>
      <c r="M1747" s="8">
        <f>[1]Data!M1747</f>
        <v>29.449092076624801</v>
      </c>
      <c r="N1747" s="8">
        <f>[1]Data!N1747</f>
        <v>0.164383561643836</v>
      </c>
      <c r="O1747" s="8">
        <f>[1]Data!O1747</f>
        <v>6.0833333333333304</v>
      </c>
      <c r="P1747" s="8">
        <f>[1]Data!P1747</f>
        <v>0.13698630136986301</v>
      </c>
      <c r="Q1747" s="8">
        <f>[1]Data!Q1747</f>
        <v>0.55555555555555602</v>
      </c>
      <c r="R1747" s="8">
        <f>[1]Data!R1747</f>
        <v>0</v>
      </c>
      <c r="S1747" s="8">
        <f>[1]Data!S1747</f>
        <v>0</v>
      </c>
      <c r="T1747">
        <f t="shared" si="135"/>
        <v>0.23401826484018295</v>
      </c>
      <c r="U1747">
        <f t="shared" si="136"/>
        <v>4.2731707317073111</v>
      </c>
      <c r="V1747" s="4" t="str">
        <f t="shared" si="137"/>
        <v>10</v>
      </c>
      <c r="W1747" s="4" t="str">
        <f t="shared" si="138"/>
        <v>4</v>
      </c>
      <c r="X1747" s="4" t="str">
        <f t="shared" si="139"/>
        <v>10CVCTE4</v>
      </c>
      <c r="Y1747">
        <f>VLOOKUP(X1747,Sheet1!$J$5:$K$121,2,FALSE)</f>
        <v>8.3333333333333301E-2</v>
      </c>
    </row>
    <row r="1748" spans="1:25" x14ac:dyDescent="0.25">
      <c r="A1748" s="8">
        <f>[1]Data!A1748</f>
        <v>211802</v>
      </c>
      <c r="B1748" s="8">
        <f>[1]Data!B1748</f>
        <v>4</v>
      </c>
      <c r="C1748" s="8">
        <f>[1]Data!C1748</f>
        <v>10</v>
      </c>
      <c r="D1748" s="8">
        <f>[1]Data!D1748</f>
        <v>2</v>
      </c>
      <c r="E1748" s="8" t="str">
        <f>[1]Data!E1748</f>
        <v>CVCTE</v>
      </c>
      <c r="F1748" s="8" t="str">
        <f>[1]Data!F1748</f>
        <v>Wilshire Center-Koreatown</v>
      </c>
      <c r="G1748" s="8">
        <f>[1]Data!G1748</f>
        <v>0</v>
      </c>
      <c r="H1748" s="8">
        <f>[1]Data!H1748</f>
        <v>1</v>
      </c>
      <c r="I1748" s="8">
        <f>[1]Data!I1748</f>
        <v>40.734999999999999</v>
      </c>
      <c r="J1748" s="8">
        <f>[1]Data!J1748</f>
        <v>29.744326210000001</v>
      </c>
      <c r="K1748" s="8">
        <f>[1]Data!K1748</f>
        <v>39.744326209999997</v>
      </c>
      <c r="L1748" s="8">
        <f>[1]Data!L1748</f>
        <v>0.99070930892280096</v>
      </c>
      <c r="M1748" s="8">
        <f>[1]Data!M1748</f>
        <v>40.7350355189228</v>
      </c>
      <c r="N1748" s="8">
        <f>[1]Data!N1748</f>
        <v>0.164383561643836</v>
      </c>
      <c r="O1748" s="8">
        <f>[1]Data!O1748</f>
        <v>0</v>
      </c>
      <c r="P1748" s="8">
        <f>[1]Data!P1748</f>
        <v>0.13698630136986301</v>
      </c>
      <c r="Q1748" s="8">
        <f>[1]Data!Q1748</f>
        <v>0.55555555555555602</v>
      </c>
      <c r="R1748" s="8">
        <f>[1]Data!R1748</f>
        <v>8.3333333333333301E-2</v>
      </c>
      <c r="S1748" s="8">
        <f>[1]Data!S1748</f>
        <v>12</v>
      </c>
      <c r="T1748">
        <f t="shared" si="135"/>
        <v>0.23401826484018295</v>
      </c>
      <c r="U1748">
        <f t="shared" si="136"/>
        <v>4.2731707317073111</v>
      </c>
      <c r="V1748" s="4" t="str">
        <f t="shared" si="137"/>
        <v>10</v>
      </c>
      <c r="W1748" s="4" t="str">
        <f t="shared" si="138"/>
        <v>4</v>
      </c>
      <c r="X1748" s="4" t="str">
        <f t="shared" si="139"/>
        <v>10CVCTE4</v>
      </c>
      <c r="Y1748">
        <f>VLOOKUP(X1748,Sheet1!$J$5:$K$121,2,FALSE)</f>
        <v>8.3333333333333301E-2</v>
      </c>
    </row>
    <row r="1749" spans="1:25" x14ac:dyDescent="0.25">
      <c r="A1749" s="8">
        <f>[1]Data!A1749</f>
        <v>212203</v>
      </c>
      <c r="B1749" s="8">
        <f>[1]Data!B1749</f>
        <v>4</v>
      </c>
      <c r="C1749" s="8">
        <f>[1]Data!C1749</f>
        <v>10</v>
      </c>
      <c r="D1749" s="8">
        <f>[1]Data!D1749</f>
        <v>2</v>
      </c>
      <c r="E1749" s="8" t="str">
        <f>[1]Data!E1749</f>
        <v>CVCTE</v>
      </c>
      <c r="F1749" s="8" t="str">
        <f>[1]Data!F1749</f>
        <v>Westlake</v>
      </c>
      <c r="G1749" s="8">
        <f>[1]Data!G1749</f>
        <v>1</v>
      </c>
      <c r="H1749" s="8">
        <f>[1]Data!H1749</f>
        <v>1</v>
      </c>
      <c r="I1749" s="8">
        <f>[1]Data!I1749</f>
        <v>14.101000000000001</v>
      </c>
      <c r="J1749" s="8">
        <f>[1]Data!J1749</f>
        <v>10.7918485</v>
      </c>
      <c r="K1749" s="8">
        <f>[1]Data!K1749</f>
        <v>13.7918485</v>
      </c>
      <c r="L1749" s="8">
        <f>[1]Data!L1749</f>
        <v>0.30893880475763003</v>
      </c>
      <c r="M1749" s="8">
        <f>[1]Data!M1749</f>
        <v>14.100787304757599</v>
      </c>
      <c r="N1749" s="8">
        <f>[1]Data!N1749</f>
        <v>0.164383561643836</v>
      </c>
      <c r="O1749" s="8">
        <f>[1]Data!O1749</f>
        <v>6.0833333333333304</v>
      </c>
      <c r="P1749" s="8">
        <f>[1]Data!P1749</f>
        <v>0.13698630136986301</v>
      </c>
      <c r="Q1749" s="8">
        <f>[1]Data!Q1749</f>
        <v>0.55555555555555602</v>
      </c>
      <c r="R1749" s="8">
        <f>[1]Data!R1749</f>
        <v>0</v>
      </c>
      <c r="S1749" s="8">
        <f>[1]Data!S1749</f>
        <v>0</v>
      </c>
      <c r="T1749">
        <f t="shared" si="135"/>
        <v>0.23401826484018295</v>
      </c>
      <c r="U1749">
        <f t="shared" si="136"/>
        <v>4.2731707317073111</v>
      </c>
      <c r="V1749" s="4" t="str">
        <f t="shared" si="137"/>
        <v>10</v>
      </c>
      <c r="W1749" s="4" t="str">
        <f t="shared" si="138"/>
        <v>4</v>
      </c>
      <c r="X1749" s="4" t="str">
        <f t="shared" si="139"/>
        <v>10CVCTE4</v>
      </c>
      <c r="Y1749">
        <f>VLOOKUP(X1749,Sheet1!$J$5:$K$121,2,FALSE)</f>
        <v>8.3333333333333301E-2</v>
      </c>
    </row>
    <row r="1750" spans="1:25" x14ac:dyDescent="0.25">
      <c r="A1750" s="8">
        <f>[1]Data!A1750</f>
        <v>216900</v>
      </c>
      <c r="B1750" s="8">
        <f>[1]Data!B1750</f>
        <v>4</v>
      </c>
      <c r="C1750" s="8">
        <f>[1]Data!C1750</f>
        <v>10</v>
      </c>
      <c r="D1750" s="8">
        <f>[1]Data!D1750</f>
        <v>2</v>
      </c>
      <c r="E1750" s="8" t="str">
        <f>[1]Data!E1750</f>
        <v>CVCTE</v>
      </c>
      <c r="F1750" s="8" t="str">
        <f>[1]Data!F1750</f>
        <v>Miracle Mile</v>
      </c>
      <c r="G1750" s="8">
        <f>[1]Data!G1750</f>
        <v>0</v>
      </c>
      <c r="H1750" s="8">
        <f>[1]Data!H1750</f>
        <v>0</v>
      </c>
      <c r="I1750" s="8">
        <f>[1]Data!I1750</f>
        <v>26.204000000000001</v>
      </c>
      <c r="J1750" s="8">
        <f>[1]Data!J1750</f>
        <v>24.95757339</v>
      </c>
      <c r="K1750" s="8">
        <f>[1]Data!K1750</f>
        <v>24.95757339</v>
      </c>
      <c r="L1750" s="8">
        <f>[1]Data!L1750</f>
        <v>1.2461352653860001</v>
      </c>
      <c r="M1750" s="8">
        <f>[1]Data!M1750</f>
        <v>26.203708655385999</v>
      </c>
      <c r="N1750" s="8">
        <f>[1]Data!N1750</f>
        <v>0.164383561643836</v>
      </c>
      <c r="O1750" s="8">
        <f>[1]Data!O1750</f>
        <v>0</v>
      </c>
      <c r="P1750" s="8">
        <f>[1]Data!P1750</f>
        <v>0.13698630136986301</v>
      </c>
      <c r="Q1750" s="8">
        <f>[1]Data!Q1750</f>
        <v>0.55555555555555602</v>
      </c>
      <c r="R1750" s="8">
        <f>[1]Data!R1750</f>
        <v>8.3333333333333301E-2</v>
      </c>
      <c r="S1750" s="8">
        <f>[1]Data!S1750</f>
        <v>0</v>
      </c>
      <c r="T1750">
        <f t="shared" si="135"/>
        <v>0.23401826484018295</v>
      </c>
      <c r="U1750">
        <f t="shared" si="136"/>
        <v>0</v>
      </c>
      <c r="V1750" s="4" t="str">
        <f t="shared" si="137"/>
        <v>10</v>
      </c>
      <c r="W1750" s="4" t="str">
        <f t="shared" si="138"/>
        <v>4</v>
      </c>
      <c r="X1750" s="4" t="str">
        <f t="shared" si="139"/>
        <v>10CVCTE4</v>
      </c>
      <c r="Y1750">
        <f>VLOOKUP(X1750,Sheet1!$J$5:$K$121,2,FALSE)</f>
        <v>8.3333333333333301E-2</v>
      </c>
    </row>
    <row r="1751" spans="1:25" x14ac:dyDescent="0.25">
      <c r="A1751" s="8">
        <f>[1]Data!A1751</f>
        <v>270300</v>
      </c>
      <c r="B1751" s="8">
        <f>[1]Data!B1751</f>
        <v>4</v>
      </c>
      <c r="C1751" s="8">
        <f>[1]Data!C1751</f>
        <v>10</v>
      </c>
      <c r="D1751" s="8">
        <f>[1]Data!D1751</f>
        <v>2</v>
      </c>
      <c r="E1751" s="8" t="str">
        <f>[1]Data!E1751</f>
        <v>CVCTE</v>
      </c>
      <c r="F1751" s="8" t="str">
        <f>[1]Data!F1751</f>
        <v>Mid City</v>
      </c>
      <c r="G1751" s="8">
        <f>[1]Data!G1751</f>
        <v>0</v>
      </c>
      <c r="H1751" s="8">
        <f>[1]Data!H1751</f>
        <v>0</v>
      </c>
      <c r="I1751" s="8">
        <f>[1]Data!I1751</f>
        <v>39.305</v>
      </c>
      <c r="J1751" s="8">
        <f>[1]Data!J1751</f>
        <v>35.047241</v>
      </c>
      <c r="K1751" s="8">
        <f>[1]Data!K1751</f>
        <v>38.047241</v>
      </c>
      <c r="L1751" s="8">
        <f>[1]Data!L1751</f>
        <v>1.2575193607719899</v>
      </c>
      <c r="M1751" s="8">
        <f>[1]Data!M1751</f>
        <v>39.304760360772001</v>
      </c>
      <c r="N1751" s="8">
        <f>[1]Data!N1751</f>
        <v>0.164383561643836</v>
      </c>
      <c r="O1751" s="8">
        <f>[1]Data!O1751</f>
        <v>0</v>
      </c>
      <c r="P1751" s="8">
        <f>[1]Data!P1751</f>
        <v>0.13698630136986301</v>
      </c>
      <c r="Q1751" s="8">
        <f>[1]Data!Q1751</f>
        <v>0.55555555555555602</v>
      </c>
      <c r="R1751" s="8">
        <f>[1]Data!R1751</f>
        <v>8.3333333333333301E-2</v>
      </c>
      <c r="S1751" s="8">
        <f>[1]Data!S1751</f>
        <v>0</v>
      </c>
      <c r="T1751">
        <f t="shared" si="135"/>
        <v>0.23401826484018295</v>
      </c>
      <c r="U1751">
        <f t="shared" si="136"/>
        <v>0</v>
      </c>
      <c r="V1751" s="4" t="str">
        <f t="shared" si="137"/>
        <v>10</v>
      </c>
      <c r="W1751" s="4" t="str">
        <f t="shared" si="138"/>
        <v>4</v>
      </c>
      <c r="X1751" s="4" t="str">
        <f t="shared" si="139"/>
        <v>10CVCTE4</v>
      </c>
      <c r="Y1751">
        <f>VLOOKUP(X1751,Sheet1!$J$5:$K$121,2,FALSE)</f>
        <v>8.3333333333333301E-2</v>
      </c>
    </row>
    <row r="1752" spans="1:25" x14ac:dyDescent="0.25">
      <c r="A1752" s="8">
        <f>[1]Data!A1752</f>
        <v>270200</v>
      </c>
      <c r="B1752" s="8">
        <f>[1]Data!B1752</f>
        <v>5</v>
      </c>
      <c r="C1752" s="8">
        <f>[1]Data!C1752</f>
        <v>10</v>
      </c>
      <c r="D1752" s="8">
        <f>[1]Data!D1752</f>
        <v>2</v>
      </c>
      <c r="E1752" s="8" t="str">
        <f>[1]Data!E1752</f>
        <v>CVCTE</v>
      </c>
      <c r="F1752" s="8" t="str">
        <f>[1]Data!F1752</f>
        <v>Palms</v>
      </c>
      <c r="G1752" s="8">
        <f>[1]Data!G1752</f>
        <v>1</v>
      </c>
      <c r="H1752" s="8">
        <f>[1]Data!H1752</f>
        <v>1</v>
      </c>
      <c r="I1752" s="8">
        <f>[1]Data!I1752</f>
        <v>62.831000000000003</v>
      </c>
      <c r="J1752" s="8">
        <f>[1]Data!J1752</f>
        <v>31.536928280000001</v>
      </c>
      <c r="K1752" s="8">
        <f>[1]Data!K1752</f>
        <v>60.536928279999998</v>
      </c>
      <c r="L1752" s="8">
        <f>[1]Data!L1752</f>
        <v>2.2938586136086201</v>
      </c>
      <c r="M1752" s="8">
        <f>[1]Data!M1752</f>
        <v>62.830786893608597</v>
      </c>
      <c r="N1752" s="8">
        <f>[1]Data!N1752</f>
        <v>0.35</v>
      </c>
      <c r="O1752" s="8">
        <f>[1]Data!O1752</f>
        <v>2.8571428571428599</v>
      </c>
      <c r="P1752" s="8">
        <f>[1]Data!P1752</f>
        <v>2.5000000000000001E-2</v>
      </c>
      <c r="Q1752" s="8">
        <f>[1]Data!Q1752</f>
        <v>5.5555555555555601E-2</v>
      </c>
      <c r="R1752" s="8">
        <f>[1]Data!R1752</f>
        <v>0</v>
      </c>
      <c r="S1752" s="8">
        <f>[1]Data!S1752</f>
        <v>0</v>
      </c>
      <c r="T1752">
        <f t="shared" si="135"/>
        <v>0.35</v>
      </c>
      <c r="U1752">
        <f t="shared" si="136"/>
        <v>2.8571428571428572</v>
      </c>
      <c r="V1752" s="4" t="str">
        <f t="shared" si="137"/>
        <v>10</v>
      </c>
      <c r="W1752" s="4" t="str">
        <f t="shared" si="138"/>
        <v>5</v>
      </c>
      <c r="X1752" s="4" t="str">
        <f t="shared" si="139"/>
        <v>10CVCTE5</v>
      </c>
      <c r="Y1752">
        <f>VLOOKUP(X1752,Sheet1!$J$5:$K$121,2,FALSE)</f>
        <v>0</v>
      </c>
    </row>
    <row r="1753" spans="1:25" x14ac:dyDescent="0.25">
      <c r="A1753" s="8">
        <f>[1]Data!A1753</f>
        <v>236202</v>
      </c>
      <c r="B1753" s="8">
        <f>[1]Data!B1753</f>
        <v>6</v>
      </c>
      <c r="C1753" s="8">
        <f>[1]Data!C1753</f>
        <v>10</v>
      </c>
      <c r="D1753" s="8">
        <f>[1]Data!D1753</f>
        <v>2</v>
      </c>
      <c r="E1753" s="8" t="str">
        <f>[1]Data!E1753</f>
        <v>CVCTE</v>
      </c>
      <c r="F1753" s="8" t="str">
        <f>[1]Data!F1753</f>
        <v>Baldwin Hills / Crenshaw</v>
      </c>
      <c r="G1753" s="8">
        <f>[1]Data!G1753</f>
        <v>0</v>
      </c>
      <c r="H1753" s="8">
        <f>[1]Data!H1753</f>
        <v>0</v>
      </c>
      <c r="I1753" s="8">
        <f>[1]Data!I1753</f>
        <v>28.617999999999999</v>
      </c>
      <c r="J1753" s="8">
        <f>[1]Data!J1753</f>
        <v>22.78697451</v>
      </c>
      <c r="K1753" s="8">
        <f>[1]Data!K1753</f>
        <v>27.78697451</v>
      </c>
      <c r="L1753" s="8">
        <f>[1]Data!L1753</f>
        <v>0.83106694554757599</v>
      </c>
      <c r="M1753" s="8">
        <f>[1]Data!M1753</f>
        <v>28.618041455547601</v>
      </c>
      <c r="N1753" s="8">
        <f>[1]Data!N1753</f>
        <v>0.16393442622950799</v>
      </c>
      <c r="O1753" s="8">
        <f>[1]Data!O1753</f>
        <v>0</v>
      </c>
      <c r="P1753" s="8">
        <f>[1]Data!P1753</f>
        <v>0.114754098360656</v>
      </c>
      <c r="Q1753" s="8">
        <f>[1]Data!Q1753</f>
        <v>0.38888888888888901</v>
      </c>
      <c r="R1753" s="8">
        <f>[1]Data!R1753</f>
        <v>8.3333333333333301E-2</v>
      </c>
      <c r="S1753" s="8">
        <f>[1]Data!S1753</f>
        <v>0</v>
      </c>
      <c r="T1753">
        <f t="shared" si="135"/>
        <v>0.23360655737704897</v>
      </c>
      <c r="U1753">
        <f t="shared" si="136"/>
        <v>0</v>
      </c>
      <c r="V1753" s="4" t="str">
        <f t="shared" si="137"/>
        <v>10</v>
      </c>
      <c r="W1753" s="4" t="str">
        <f t="shared" si="138"/>
        <v>6</v>
      </c>
      <c r="X1753" s="4" t="str">
        <f t="shared" si="139"/>
        <v>10CVCTE6</v>
      </c>
      <c r="Y1753">
        <f>VLOOKUP(X1753,Sheet1!$J$5:$K$121,2,FALSE)</f>
        <v>8.3333333333333301E-2</v>
      </c>
    </row>
    <row r="1754" spans="1:25" x14ac:dyDescent="0.25">
      <c r="A1754" s="8">
        <f>[1]Data!A1754</f>
        <v>220000</v>
      </c>
      <c r="B1754" s="8">
        <f>[1]Data!B1754</f>
        <v>6</v>
      </c>
      <c r="C1754" s="8">
        <f>[1]Data!C1754</f>
        <v>10</v>
      </c>
      <c r="D1754" s="8">
        <f>[1]Data!D1754</f>
        <v>2</v>
      </c>
      <c r="E1754" s="8" t="str">
        <f>[1]Data!E1754</f>
        <v>CVCTE</v>
      </c>
      <c r="F1754" s="8" t="str">
        <f>[1]Data!F1754</f>
        <v>Adams-La Brea</v>
      </c>
      <c r="G1754" s="8">
        <f>[1]Data!G1754</f>
        <v>1</v>
      </c>
      <c r="H1754" s="8">
        <f>[1]Data!H1754</f>
        <v>1</v>
      </c>
      <c r="I1754" s="8">
        <f>[1]Data!I1754</f>
        <v>20.379000000000001</v>
      </c>
      <c r="J1754" s="8">
        <f>[1]Data!J1754</f>
        <v>7.9347986400000003</v>
      </c>
      <c r="K1754" s="8">
        <f>[1]Data!K1754</f>
        <v>19.93479864</v>
      </c>
      <c r="L1754" s="8">
        <f>[1]Data!L1754</f>
        <v>0.44469040552962302</v>
      </c>
      <c r="M1754" s="8">
        <f>[1]Data!M1754</f>
        <v>20.379489045529599</v>
      </c>
      <c r="N1754" s="8">
        <f>[1]Data!N1754</f>
        <v>0.16393442622950799</v>
      </c>
      <c r="O1754" s="8">
        <f>[1]Data!O1754</f>
        <v>6.1</v>
      </c>
      <c r="P1754" s="8">
        <f>[1]Data!P1754</f>
        <v>0.114754098360656</v>
      </c>
      <c r="Q1754" s="8">
        <f>[1]Data!Q1754</f>
        <v>0.38888888888888901</v>
      </c>
      <c r="R1754" s="8">
        <f>[1]Data!R1754</f>
        <v>0</v>
      </c>
      <c r="S1754" s="8">
        <f>[1]Data!S1754</f>
        <v>0</v>
      </c>
      <c r="T1754">
        <f t="shared" si="135"/>
        <v>0.23360655737704897</v>
      </c>
      <c r="U1754">
        <f t="shared" si="136"/>
        <v>4.2807017543859684</v>
      </c>
      <c r="V1754" s="4" t="str">
        <f t="shared" si="137"/>
        <v>10</v>
      </c>
      <c r="W1754" s="4" t="str">
        <f t="shared" si="138"/>
        <v>6</v>
      </c>
      <c r="X1754" s="4" t="str">
        <f t="shared" si="139"/>
        <v>10CVCTE6</v>
      </c>
      <c r="Y1754">
        <f>VLOOKUP(X1754,Sheet1!$J$5:$K$121,2,FALSE)</f>
        <v>8.3333333333333301E-2</v>
      </c>
    </row>
    <row r="1755" spans="1:25" x14ac:dyDescent="0.25">
      <c r="A1755" s="8">
        <f>[1]Data!A1755</f>
        <v>218702</v>
      </c>
      <c r="B1755" s="8">
        <f>[1]Data!B1755</f>
        <v>6</v>
      </c>
      <c r="C1755" s="8">
        <f>[1]Data!C1755</f>
        <v>10</v>
      </c>
      <c r="D1755" s="8">
        <f>[1]Data!D1755</f>
        <v>2</v>
      </c>
      <c r="E1755" s="8" t="str">
        <f>[1]Data!E1755</f>
        <v>CVCTE</v>
      </c>
      <c r="F1755" s="8" t="str">
        <f>[1]Data!F1755</f>
        <v>West Adams-Expo Park</v>
      </c>
      <c r="G1755" s="8">
        <f>[1]Data!G1755</f>
        <v>0</v>
      </c>
      <c r="H1755" s="8">
        <f>[1]Data!H1755</f>
        <v>0</v>
      </c>
      <c r="I1755" s="8">
        <f>[1]Data!I1755</f>
        <v>14.404</v>
      </c>
      <c r="J1755" s="8">
        <f>[1]Data!J1755</f>
        <v>13.53394548</v>
      </c>
      <c r="K1755" s="8">
        <f>[1]Data!K1755</f>
        <v>13.53394548</v>
      </c>
      <c r="L1755" s="8">
        <f>[1]Data!L1755</f>
        <v>0.86940387149012599</v>
      </c>
      <c r="M1755" s="8">
        <f>[1]Data!M1755</f>
        <v>14.4033493514901</v>
      </c>
      <c r="N1755" s="8">
        <f>[1]Data!N1755</f>
        <v>0.16393442622950799</v>
      </c>
      <c r="O1755" s="8">
        <f>[1]Data!O1755</f>
        <v>0</v>
      </c>
      <c r="P1755" s="8">
        <f>[1]Data!P1755</f>
        <v>0.114754098360656</v>
      </c>
      <c r="Q1755" s="8">
        <f>[1]Data!Q1755</f>
        <v>0.38888888888888901</v>
      </c>
      <c r="R1755" s="8">
        <f>[1]Data!R1755</f>
        <v>8.3333333333333301E-2</v>
      </c>
      <c r="S1755" s="8">
        <f>[1]Data!S1755</f>
        <v>0</v>
      </c>
      <c r="T1755">
        <f t="shared" si="135"/>
        <v>0.23360655737704897</v>
      </c>
      <c r="U1755">
        <f t="shared" si="136"/>
        <v>0</v>
      </c>
      <c r="V1755" s="4" t="str">
        <f t="shared" si="137"/>
        <v>10</v>
      </c>
      <c r="W1755" s="4" t="str">
        <f t="shared" si="138"/>
        <v>6</v>
      </c>
      <c r="X1755" s="4" t="str">
        <f t="shared" si="139"/>
        <v>10CVCTE6</v>
      </c>
      <c r="Y1755">
        <f>VLOOKUP(X1755,Sheet1!$J$5:$K$121,2,FALSE)</f>
        <v>8.3333333333333301E-2</v>
      </c>
    </row>
    <row r="1756" spans="1:25" x14ac:dyDescent="0.25">
      <c r="A1756" s="8">
        <f>[1]Data!A1756</f>
        <v>219020</v>
      </c>
      <c r="B1756" s="8">
        <f>[1]Data!B1756</f>
        <v>6</v>
      </c>
      <c r="C1756" s="8">
        <f>[1]Data!C1756</f>
        <v>10</v>
      </c>
      <c r="D1756" s="8">
        <f>[1]Data!D1756</f>
        <v>2</v>
      </c>
      <c r="E1756" s="8" t="str">
        <f>[1]Data!E1756</f>
        <v>CVCTE</v>
      </c>
      <c r="F1756" s="8" t="str">
        <f>[1]Data!F1756</f>
        <v>West Adams-Expo Park</v>
      </c>
      <c r="G1756" s="8">
        <f>[1]Data!G1756</f>
        <v>0</v>
      </c>
      <c r="H1756" s="8">
        <f>[1]Data!H1756</f>
        <v>0</v>
      </c>
      <c r="I1756" s="8">
        <f>[1]Data!I1756</f>
        <v>46.405000000000001</v>
      </c>
      <c r="J1756" s="8">
        <f>[1]Data!J1756</f>
        <v>43.596225580000002</v>
      </c>
      <c r="K1756" s="8">
        <f>[1]Data!K1756</f>
        <v>43.596225580000002</v>
      </c>
      <c r="L1756" s="8">
        <f>[1]Data!L1756</f>
        <v>2.8086096127109501</v>
      </c>
      <c r="M1756" s="8">
        <f>[1]Data!M1756</f>
        <v>46.404835192710998</v>
      </c>
      <c r="N1756" s="8">
        <f>[1]Data!N1756</f>
        <v>0.16393442622950799</v>
      </c>
      <c r="O1756" s="8">
        <f>[1]Data!O1756</f>
        <v>0</v>
      </c>
      <c r="P1756" s="8">
        <f>[1]Data!P1756</f>
        <v>0.114754098360656</v>
      </c>
      <c r="Q1756" s="8">
        <f>[1]Data!Q1756</f>
        <v>0.38888888888888901</v>
      </c>
      <c r="R1756" s="8">
        <f>[1]Data!R1756</f>
        <v>8.3333333333333301E-2</v>
      </c>
      <c r="S1756" s="8">
        <f>[1]Data!S1756</f>
        <v>0</v>
      </c>
      <c r="T1756">
        <f t="shared" si="135"/>
        <v>0.23360655737704897</v>
      </c>
      <c r="U1756">
        <f t="shared" si="136"/>
        <v>0</v>
      </c>
      <c r="V1756" s="4" t="str">
        <f t="shared" si="137"/>
        <v>10</v>
      </c>
      <c r="W1756" s="4" t="str">
        <f t="shared" si="138"/>
        <v>6</v>
      </c>
      <c r="X1756" s="4" t="str">
        <f t="shared" si="139"/>
        <v>10CVCTE6</v>
      </c>
      <c r="Y1756">
        <f>VLOOKUP(X1756,Sheet1!$J$5:$K$121,2,FALSE)</f>
        <v>8.3333333333333301E-2</v>
      </c>
    </row>
    <row r="1757" spans="1:25" x14ac:dyDescent="0.25">
      <c r="A1757" s="8">
        <f>[1]Data!A1757</f>
        <v>219700</v>
      </c>
      <c r="B1757" s="8">
        <f>[1]Data!B1757</f>
        <v>6</v>
      </c>
      <c r="C1757" s="8">
        <f>[1]Data!C1757</f>
        <v>10</v>
      </c>
      <c r="D1757" s="8">
        <f>[1]Data!D1757</f>
        <v>2</v>
      </c>
      <c r="E1757" s="8" t="str">
        <f>[1]Data!E1757</f>
        <v>CVCTE</v>
      </c>
      <c r="F1757" s="8" t="str">
        <f>[1]Data!F1757</f>
        <v>Adams-La Brea</v>
      </c>
      <c r="G1757" s="8">
        <f>[1]Data!G1757</f>
        <v>1</v>
      </c>
      <c r="H1757" s="8">
        <f>[1]Data!H1757</f>
        <v>1</v>
      </c>
      <c r="I1757" s="8">
        <f>[1]Data!I1757</f>
        <v>16.419</v>
      </c>
      <c r="J1757" s="8">
        <f>[1]Data!J1757</f>
        <v>15.70170781</v>
      </c>
      <c r="K1757" s="8">
        <f>[1]Data!K1757</f>
        <v>15.70170781</v>
      </c>
      <c r="L1757" s="8">
        <f>[1]Data!L1757</f>
        <v>0.71672311357271101</v>
      </c>
      <c r="M1757" s="8">
        <f>[1]Data!M1757</f>
        <v>16.4184309235727</v>
      </c>
      <c r="N1757" s="8">
        <f>[1]Data!N1757</f>
        <v>0.16393442622950799</v>
      </c>
      <c r="O1757" s="8">
        <f>[1]Data!O1757</f>
        <v>6.1</v>
      </c>
      <c r="P1757" s="8">
        <f>[1]Data!P1757</f>
        <v>0.114754098360656</v>
      </c>
      <c r="Q1757" s="8">
        <f>[1]Data!Q1757</f>
        <v>0.38888888888888901</v>
      </c>
      <c r="R1757" s="8">
        <f>[1]Data!R1757</f>
        <v>0</v>
      </c>
      <c r="S1757" s="8">
        <f>[1]Data!S1757</f>
        <v>0</v>
      </c>
      <c r="T1757">
        <f t="shared" si="135"/>
        <v>0.23360655737704897</v>
      </c>
      <c r="U1757">
        <f t="shared" si="136"/>
        <v>4.2807017543859684</v>
      </c>
      <c r="V1757" s="4" t="str">
        <f t="shared" si="137"/>
        <v>10</v>
      </c>
      <c r="W1757" s="4" t="str">
        <f t="shared" si="138"/>
        <v>6</v>
      </c>
      <c r="X1757" s="4" t="str">
        <f t="shared" si="139"/>
        <v>10CVCTE6</v>
      </c>
      <c r="Y1757">
        <f>VLOOKUP(X1757,Sheet1!$J$5:$K$121,2,FALSE)</f>
        <v>8.3333333333333301E-2</v>
      </c>
    </row>
    <row r="1758" spans="1:25" x14ac:dyDescent="0.25">
      <c r="A1758" s="8">
        <f>[1]Data!A1758</f>
        <v>219901</v>
      </c>
      <c r="B1758" s="8">
        <f>[1]Data!B1758</f>
        <v>6</v>
      </c>
      <c r="C1758" s="8">
        <f>[1]Data!C1758</f>
        <v>10</v>
      </c>
      <c r="D1758" s="8">
        <f>[1]Data!D1758</f>
        <v>2</v>
      </c>
      <c r="E1758" s="8" t="str">
        <f>[1]Data!E1758</f>
        <v>CVCTE</v>
      </c>
      <c r="F1758" s="8" t="str">
        <f>[1]Data!F1758</f>
        <v>Adams-La Brea</v>
      </c>
      <c r="G1758" s="8">
        <f>[1]Data!G1758</f>
        <v>0</v>
      </c>
      <c r="H1758" s="8">
        <f>[1]Data!H1758</f>
        <v>0</v>
      </c>
      <c r="I1758" s="8">
        <f>[1]Data!I1758</f>
        <v>26.111000000000001</v>
      </c>
      <c r="J1758" s="8">
        <f>[1]Data!J1758</f>
        <v>17.273342240000002</v>
      </c>
      <c r="K1758" s="8">
        <f>[1]Data!K1758</f>
        <v>25.273342240000002</v>
      </c>
      <c r="L1758" s="8">
        <f>[1]Data!L1758</f>
        <v>0.83763195095152598</v>
      </c>
      <c r="M1758" s="8">
        <f>[1]Data!M1758</f>
        <v>26.110974190951499</v>
      </c>
      <c r="N1758" s="8">
        <f>[1]Data!N1758</f>
        <v>0.16393442622950799</v>
      </c>
      <c r="O1758" s="8">
        <f>[1]Data!O1758</f>
        <v>0</v>
      </c>
      <c r="P1758" s="8">
        <f>[1]Data!P1758</f>
        <v>0.114754098360656</v>
      </c>
      <c r="Q1758" s="8">
        <f>[1]Data!Q1758</f>
        <v>0.38888888888888901</v>
      </c>
      <c r="R1758" s="8">
        <f>[1]Data!R1758</f>
        <v>8.3333333333333301E-2</v>
      </c>
      <c r="S1758" s="8">
        <f>[1]Data!S1758</f>
        <v>0</v>
      </c>
      <c r="T1758">
        <f t="shared" si="135"/>
        <v>0.23360655737704897</v>
      </c>
      <c r="U1758">
        <f t="shared" si="136"/>
        <v>0</v>
      </c>
      <c r="V1758" s="4" t="str">
        <f t="shared" si="137"/>
        <v>10</v>
      </c>
      <c r="W1758" s="4" t="str">
        <f t="shared" si="138"/>
        <v>6</v>
      </c>
      <c r="X1758" s="4" t="str">
        <f t="shared" si="139"/>
        <v>10CVCTE6</v>
      </c>
      <c r="Y1758">
        <f>VLOOKUP(X1758,Sheet1!$J$5:$K$121,2,FALSE)</f>
        <v>8.3333333333333301E-2</v>
      </c>
    </row>
    <row r="1759" spans="1:25" x14ac:dyDescent="0.25">
      <c r="A1759" s="8">
        <f>[1]Data!A1759</f>
        <v>234200</v>
      </c>
      <c r="B1759" s="8">
        <f>[1]Data!B1759</f>
        <v>6</v>
      </c>
      <c r="C1759" s="8">
        <f>[1]Data!C1759</f>
        <v>10</v>
      </c>
      <c r="D1759" s="8">
        <f>[1]Data!D1759</f>
        <v>2</v>
      </c>
      <c r="E1759" s="8" t="str">
        <f>[1]Data!E1759</f>
        <v>CVCTE</v>
      </c>
      <c r="F1759" s="8" t="str">
        <f>[1]Data!F1759</f>
        <v>Baldwin Hills / Crenshaw</v>
      </c>
      <c r="G1759" s="8">
        <f>[1]Data!G1759</f>
        <v>0</v>
      </c>
      <c r="H1759" s="8">
        <f>[1]Data!H1759</f>
        <v>0</v>
      </c>
      <c r="I1759" s="8">
        <f>[1]Data!I1759</f>
        <v>38.139000000000003</v>
      </c>
      <c r="J1759" s="8">
        <f>[1]Data!J1759</f>
        <v>31.442941269999999</v>
      </c>
      <c r="K1759" s="8">
        <f>[1]Data!K1759</f>
        <v>36.442941269999999</v>
      </c>
      <c r="L1759" s="8">
        <f>[1]Data!L1759</f>
        <v>1.6964329767684001</v>
      </c>
      <c r="M1759" s="8">
        <f>[1]Data!M1759</f>
        <v>38.139374246768398</v>
      </c>
      <c r="N1759" s="8">
        <f>[1]Data!N1759</f>
        <v>0.16393442622950799</v>
      </c>
      <c r="O1759" s="8">
        <f>[1]Data!O1759</f>
        <v>0</v>
      </c>
      <c r="P1759" s="8">
        <f>[1]Data!P1759</f>
        <v>0.114754098360656</v>
      </c>
      <c r="Q1759" s="8">
        <f>[1]Data!Q1759</f>
        <v>0.38888888888888901</v>
      </c>
      <c r="R1759" s="8">
        <f>[1]Data!R1759</f>
        <v>8.3333333333333301E-2</v>
      </c>
      <c r="S1759" s="8">
        <f>[1]Data!S1759</f>
        <v>0</v>
      </c>
      <c r="T1759">
        <f t="shared" si="135"/>
        <v>0.23360655737704897</v>
      </c>
      <c r="U1759">
        <f t="shared" si="136"/>
        <v>0</v>
      </c>
      <c r="V1759" s="4" t="str">
        <f t="shared" si="137"/>
        <v>10</v>
      </c>
      <c r="W1759" s="4" t="str">
        <f t="shared" si="138"/>
        <v>6</v>
      </c>
      <c r="X1759" s="4" t="str">
        <f t="shared" si="139"/>
        <v>10CVCTE6</v>
      </c>
      <c r="Y1759">
        <f>VLOOKUP(X1759,Sheet1!$J$5:$K$121,2,FALSE)</f>
        <v>8.3333333333333301E-2</v>
      </c>
    </row>
    <row r="1760" spans="1:25" x14ac:dyDescent="0.25">
      <c r="A1760" s="8">
        <f>[1]Data!A1760</f>
        <v>218120</v>
      </c>
      <c r="B1760" s="8">
        <f>[1]Data!B1760</f>
        <v>4</v>
      </c>
      <c r="C1760" s="8">
        <f>[1]Data!C1760</f>
        <v>10</v>
      </c>
      <c r="D1760" s="8">
        <f>[1]Data!D1760</f>
        <v>2</v>
      </c>
      <c r="E1760" s="8" t="str">
        <f>[1]Data!E1760</f>
        <v>FAMILY</v>
      </c>
      <c r="F1760" s="8" t="str">
        <f>[1]Data!F1760</f>
        <v>West Adams-Expo Park</v>
      </c>
      <c r="G1760" s="8">
        <f>[1]Data!G1760</f>
        <v>1</v>
      </c>
      <c r="H1760" s="8">
        <f>[1]Data!H1760</f>
        <v>1</v>
      </c>
      <c r="I1760" s="8">
        <f>[1]Data!I1760</f>
        <v>52.831000000000003</v>
      </c>
      <c r="J1760" s="8">
        <f>[1]Data!J1760</f>
        <v>31.47767412</v>
      </c>
      <c r="K1760" s="8">
        <f>[1]Data!K1760</f>
        <v>51.477674120000003</v>
      </c>
      <c r="L1760" s="8">
        <f>[1]Data!L1760</f>
        <v>7.3524985882764797</v>
      </c>
      <c r="M1760" s="8">
        <f>[1]Data!M1760</f>
        <v>58.8301727082765</v>
      </c>
      <c r="N1760" s="8">
        <f>[1]Data!N1760</f>
        <v>1</v>
      </c>
      <c r="O1760" s="8">
        <f>[1]Data!O1760</f>
        <v>1</v>
      </c>
      <c r="P1760" s="8">
        <f>[1]Data!P1760</f>
        <v>0</v>
      </c>
      <c r="Q1760" s="8">
        <f>[1]Data!Q1760</f>
        <v>0</v>
      </c>
      <c r="R1760" s="8">
        <f>[1]Data!R1760</f>
        <v>0</v>
      </c>
      <c r="S1760" s="8">
        <f>[1]Data!S1760</f>
        <v>0</v>
      </c>
      <c r="T1760">
        <f t="shared" si="135"/>
        <v>1</v>
      </c>
      <c r="U1760">
        <f t="shared" si="136"/>
        <v>1</v>
      </c>
      <c r="V1760" s="4" t="str">
        <f t="shared" si="137"/>
        <v>10</v>
      </c>
      <c r="W1760" s="4" t="str">
        <f t="shared" si="138"/>
        <v>4</v>
      </c>
      <c r="X1760" s="4" t="str">
        <f t="shared" si="139"/>
        <v>10FAMILY4</v>
      </c>
      <c r="Y1760">
        <f>VLOOKUP(X1760,Sheet1!$J$5:$K$121,2,FALSE)</f>
        <v>0</v>
      </c>
    </row>
    <row r="1761" spans="1:25" x14ac:dyDescent="0.25">
      <c r="A1761" s="8">
        <f>[1]Data!A1761</f>
        <v>218900</v>
      </c>
      <c r="B1761" s="8">
        <f>[1]Data!B1761</f>
        <v>6</v>
      </c>
      <c r="C1761" s="8">
        <f>[1]Data!C1761</f>
        <v>10</v>
      </c>
      <c r="D1761" s="8">
        <f>[1]Data!D1761</f>
        <v>2</v>
      </c>
      <c r="E1761" s="8" t="str">
        <f>[1]Data!E1761</f>
        <v>FAMILY</v>
      </c>
      <c r="F1761" s="8" t="str">
        <f>[1]Data!F1761</f>
        <v>West Adams-Expo Park</v>
      </c>
      <c r="G1761" s="8">
        <f>[1]Data!G1761</f>
        <v>1</v>
      </c>
      <c r="H1761" s="8">
        <f>[1]Data!H1761</f>
        <v>1</v>
      </c>
      <c r="I1761" s="8">
        <f>[1]Data!I1761</f>
        <v>26.256</v>
      </c>
      <c r="J1761" s="8">
        <f>[1]Data!J1761</f>
        <v>21.49624215</v>
      </c>
      <c r="K1761" s="8">
        <f>[1]Data!K1761</f>
        <v>24.49624215</v>
      </c>
      <c r="L1761" s="8">
        <f>[1]Data!L1761</f>
        <v>4.7601019143447001</v>
      </c>
      <c r="M1761" s="8">
        <f>[1]Data!M1761</f>
        <v>29.256344064344699</v>
      </c>
      <c r="N1761" s="8">
        <f>[1]Data!N1761</f>
        <v>1</v>
      </c>
      <c r="O1761" s="8">
        <f>[1]Data!O1761</f>
        <v>1</v>
      </c>
      <c r="P1761" s="8">
        <f>[1]Data!P1761</f>
        <v>0</v>
      </c>
      <c r="Q1761" s="8">
        <f>[1]Data!Q1761</f>
        <v>0</v>
      </c>
      <c r="R1761" s="8">
        <f>[1]Data!R1761</f>
        <v>0</v>
      </c>
      <c r="S1761" s="8">
        <f>[1]Data!S1761</f>
        <v>0</v>
      </c>
      <c r="T1761">
        <f t="shared" si="135"/>
        <v>1</v>
      </c>
      <c r="U1761">
        <f t="shared" si="136"/>
        <v>1</v>
      </c>
      <c r="V1761" s="4" t="str">
        <f t="shared" si="137"/>
        <v>10</v>
      </c>
      <c r="W1761" s="4" t="str">
        <f t="shared" si="138"/>
        <v>6</v>
      </c>
      <c r="X1761" s="4" t="str">
        <f t="shared" si="139"/>
        <v>10FAMILY6</v>
      </c>
      <c r="Y1761">
        <f>VLOOKUP(X1761,Sheet1!$J$5:$K$121,2,FALSE)</f>
        <v>0</v>
      </c>
    </row>
    <row r="1762" spans="1:25" x14ac:dyDescent="0.25">
      <c r="A1762" s="8">
        <f>[1]Data!A1762</f>
        <v>221401</v>
      </c>
      <c r="B1762" s="8">
        <f>[1]Data!B1762</f>
        <v>6</v>
      </c>
      <c r="C1762" s="8">
        <f>[1]Data!C1762</f>
        <v>10</v>
      </c>
      <c r="D1762" s="8">
        <f>[1]Data!D1762</f>
        <v>2</v>
      </c>
      <c r="E1762" s="8" t="str">
        <f>[1]Data!E1762</f>
        <v>FAMILY</v>
      </c>
      <c r="F1762" s="8" t="str">
        <f>[1]Data!F1762</f>
        <v>West Adams-Expo Park</v>
      </c>
      <c r="G1762" s="8">
        <f>[1]Data!G1762</f>
        <v>1</v>
      </c>
      <c r="H1762" s="8">
        <f>[1]Data!H1762</f>
        <v>1</v>
      </c>
      <c r="I1762" s="8">
        <f>[1]Data!I1762</f>
        <v>60.828000000000003</v>
      </c>
      <c r="J1762" s="8">
        <f>[1]Data!J1762</f>
        <v>55.394039650000003</v>
      </c>
      <c r="K1762" s="8">
        <f>[1]Data!K1762</f>
        <v>56.394039650000003</v>
      </c>
      <c r="L1762" s="8">
        <f>[1]Data!L1762</f>
        <v>6.4341976457630201</v>
      </c>
      <c r="M1762" s="8">
        <f>[1]Data!M1762</f>
        <v>62.828237295763003</v>
      </c>
      <c r="N1762" s="8">
        <f>[1]Data!N1762</f>
        <v>1</v>
      </c>
      <c r="O1762" s="8">
        <f>[1]Data!O1762</f>
        <v>1</v>
      </c>
      <c r="P1762" s="8">
        <f>[1]Data!P1762</f>
        <v>0</v>
      </c>
      <c r="Q1762" s="8">
        <f>[1]Data!Q1762</f>
        <v>0</v>
      </c>
      <c r="R1762" s="8">
        <f>[1]Data!R1762</f>
        <v>0</v>
      </c>
      <c r="S1762" s="8">
        <f>[1]Data!S1762</f>
        <v>0</v>
      </c>
      <c r="T1762">
        <f t="shared" si="135"/>
        <v>1</v>
      </c>
      <c r="U1762">
        <f t="shared" si="136"/>
        <v>1</v>
      </c>
      <c r="V1762" s="4" t="str">
        <f t="shared" si="137"/>
        <v>10</v>
      </c>
      <c r="W1762" s="4" t="str">
        <f t="shared" si="138"/>
        <v>6</v>
      </c>
      <c r="X1762" s="4" t="str">
        <f t="shared" si="139"/>
        <v>10FAMILY6</v>
      </c>
      <c r="Y1762">
        <f>VLOOKUP(X1762,Sheet1!$J$5:$K$121,2,FALSE)</f>
        <v>0</v>
      </c>
    </row>
    <row r="1763" spans="1:25" x14ac:dyDescent="0.25">
      <c r="A1763" s="8">
        <f>[1]Data!A1763</f>
        <v>234300</v>
      </c>
      <c r="B1763" s="8">
        <f>[1]Data!B1763</f>
        <v>6</v>
      </c>
      <c r="C1763" s="8">
        <f>[1]Data!C1763</f>
        <v>10</v>
      </c>
      <c r="D1763" s="8">
        <f>[1]Data!D1763</f>
        <v>2</v>
      </c>
      <c r="E1763" s="8" t="str">
        <f>[1]Data!E1763</f>
        <v>FAMILY</v>
      </c>
      <c r="F1763" s="8" t="str">
        <f>[1]Data!F1763</f>
        <v>Baldwin Hills / Crenshaw</v>
      </c>
      <c r="G1763" s="8">
        <f>[1]Data!G1763</f>
        <v>1</v>
      </c>
      <c r="H1763" s="8">
        <f>[1]Data!H1763</f>
        <v>1</v>
      </c>
      <c r="I1763" s="8">
        <f>[1]Data!I1763</f>
        <v>73.826999999999998</v>
      </c>
      <c r="J1763" s="8">
        <f>[1]Data!J1763</f>
        <v>52.308447000000001</v>
      </c>
      <c r="K1763" s="8">
        <f>[1]Data!K1763</f>
        <v>71.308447000000001</v>
      </c>
      <c r="L1763" s="8">
        <f>[1]Data!L1763</f>
        <v>2.5184005697666101</v>
      </c>
      <c r="M1763" s="8">
        <f>[1]Data!M1763</f>
        <v>73.826847569766599</v>
      </c>
      <c r="N1763" s="8">
        <f>[1]Data!N1763</f>
        <v>1</v>
      </c>
      <c r="O1763" s="8">
        <f>[1]Data!O1763</f>
        <v>1</v>
      </c>
      <c r="P1763" s="8">
        <f>[1]Data!P1763</f>
        <v>0</v>
      </c>
      <c r="Q1763" s="8">
        <f>[1]Data!Q1763</f>
        <v>0</v>
      </c>
      <c r="R1763" s="8">
        <f>[1]Data!R1763</f>
        <v>0</v>
      </c>
      <c r="S1763" s="8">
        <f>[1]Data!S1763</f>
        <v>0</v>
      </c>
      <c r="T1763">
        <f t="shared" si="135"/>
        <v>1</v>
      </c>
      <c r="U1763">
        <f t="shared" si="136"/>
        <v>1</v>
      </c>
      <c r="V1763" s="4" t="str">
        <f t="shared" si="137"/>
        <v>10</v>
      </c>
      <c r="W1763" s="4" t="str">
        <f t="shared" si="138"/>
        <v>6</v>
      </c>
      <c r="X1763" s="4" t="str">
        <f t="shared" si="139"/>
        <v>10FAMILY6</v>
      </c>
      <c r="Y1763">
        <f>VLOOKUP(X1763,Sheet1!$J$5:$K$121,2,FALSE)</f>
        <v>0</v>
      </c>
    </row>
    <row r="1764" spans="1:25" x14ac:dyDescent="0.25">
      <c r="A1764" s="8">
        <f>[1]Data!A1764</f>
        <v>211921</v>
      </c>
      <c r="B1764" s="8">
        <f>[1]Data!B1764</f>
        <v>4</v>
      </c>
      <c r="C1764" s="8">
        <f>[1]Data!C1764</f>
        <v>10</v>
      </c>
      <c r="D1764" s="8">
        <f>[1]Data!D1764</f>
        <v>2</v>
      </c>
      <c r="E1764" s="8" t="str">
        <f>[1]Data!E1764</f>
        <v>INDIV</v>
      </c>
      <c r="F1764" s="8" t="str">
        <f>[1]Data!F1764</f>
        <v>Wilshire Center-Koreatown</v>
      </c>
      <c r="G1764" s="8">
        <f>[1]Data!G1764</f>
        <v>0</v>
      </c>
      <c r="H1764" s="8">
        <f>[1]Data!H1764</f>
        <v>0</v>
      </c>
      <c r="I1764" s="8">
        <f>[1]Data!I1764</f>
        <v>23.038</v>
      </c>
      <c r="J1764" s="8">
        <f>[1]Data!J1764</f>
        <v>13.467440659999999</v>
      </c>
      <c r="K1764" s="8">
        <f>[1]Data!K1764</f>
        <v>22.467440660000001</v>
      </c>
      <c r="L1764" s="8">
        <f>[1]Data!L1764</f>
        <v>0.56936342109515303</v>
      </c>
      <c r="M1764" s="8">
        <f>[1]Data!M1764</f>
        <v>23.036804081095202</v>
      </c>
      <c r="N1764" s="8">
        <f>[1]Data!N1764</f>
        <v>8.5106382978723402E-2</v>
      </c>
      <c r="O1764" s="8">
        <f>[1]Data!O1764</f>
        <v>0</v>
      </c>
      <c r="P1764" s="8">
        <f>[1]Data!P1764</f>
        <v>4.2553191489361701E-2</v>
      </c>
      <c r="Q1764" s="8">
        <f>[1]Data!Q1764</f>
        <v>0.5</v>
      </c>
      <c r="R1764" s="8">
        <f>[1]Data!R1764</f>
        <v>0.25</v>
      </c>
      <c r="S1764" s="8">
        <f>[1]Data!S1764</f>
        <v>0</v>
      </c>
      <c r="T1764">
        <f t="shared" si="135"/>
        <v>0.31382978723404253</v>
      </c>
      <c r="U1764">
        <f t="shared" si="136"/>
        <v>0</v>
      </c>
      <c r="V1764" s="4" t="str">
        <f t="shared" si="137"/>
        <v>10</v>
      </c>
      <c r="W1764" s="4" t="str">
        <f t="shared" si="138"/>
        <v>4</v>
      </c>
      <c r="X1764" s="4" t="str">
        <f t="shared" si="139"/>
        <v>10INDIV4</v>
      </c>
      <c r="Y1764">
        <f>VLOOKUP(X1764,Sheet1!$J$5:$K$121,2,FALSE)</f>
        <v>0.25</v>
      </c>
    </row>
    <row r="1765" spans="1:25" x14ac:dyDescent="0.25">
      <c r="A1765" s="8">
        <f>[1]Data!A1765</f>
        <v>212101</v>
      </c>
      <c r="B1765" s="8">
        <f>[1]Data!B1765</f>
        <v>4</v>
      </c>
      <c r="C1765" s="8">
        <f>[1]Data!C1765</f>
        <v>10</v>
      </c>
      <c r="D1765" s="8">
        <f>[1]Data!D1765</f>
        <v>2</v>
      </c>
      <c r="E1765" s="8" t="str">
        <f>[1]Data!E1765</f>
        <v>INDIV</v>
      </c>
      <c r="F1765" s="8" t="str">
        <f>[1]Data!F1765</f>
        <v>Wilshire Center-Koreatown</v>
      </c>
      <c r="G1765" s="8">
        <f>[1]Data!G1765</f>
        <v>0</v>
      </c>
      <c r="H1765" s="8">
        <f>[1]Data!H1765</f>
        <v>1</v>
      </c>
      <c r="I1765" s="8">
        <f>[1]Data!I1765</f>
        <v>10.926</v>
      </c>
      <c r="J1765" s="8">
        <f>[1]Data!J1765</f>
        <v>1.90487994</v>
      </c>
      <c r="K1765" s="8">
        <f>[1]Data!K1765</f>
        <v>10.904879940000001</v>
      </c>
      <c r="L1765" s="8">
        <f>[1]Data!L1765</f>
        <v>2.0625322082585301E-2</v>
      </c>
      <c r="M1765" s="8">
        <f>[1]Data!M1765</f>
        <v>10.9255052620826</v>
      </c>
      <c r="N1765" s="8">
        <f>[1]Data!N1765</f>
        <v>8.5106382978723402E-2</v>
      </c>
      <c r="O1765" s="8">
        <f>[1]Data!O1765</f>
        <v>0</v>
      </c>
      <c r="P1765" s="8">
        <f>[1]Data!P1765</f>
        <v>4.2553191489361701E-2</v>
      </c>
      <c r="Q1765" s="8">
        <f>[1]Data!Q1765</f>
        <v>0.5</v>
      </c>
      <c r="R1765" s="8">
        <f>[1]Data!R1765</f>
        <v>0.25</v>
      </c>
      <c r="S1765" s="8">
        <f>[1]Data!S1765</f>
        <v>4</v>
      </c>
      <c r="T1765">
        <f t="shared" si="135"/>
        <v>0.31382978723404253</v>
      </c>
      <c r="U1765">
        <f t="shared" si="136"/>
        <v>3.1864406779661021</v>
      </c>
      <c r="V1765" s="4" t="str">
        <f t="shared" si="137"/>
        <v>10</v>
      </c>
      <c r="W1765" s="4" t="str">
        <f t="shared" si="138"/>
        <v>4</v>
      </c>
      <c r="X1765" s="4" t="str">
        <f t="shared" si="139"/>
        <v>10INDIV4</v>
      </c>
      <c r="Y1765">
        <f>VLOOKUP(X1765,Sheet1!$J$5:$K$121,2,FALSE)</f>
        <v>0.25</v>
      </c>
    </row>
    <row r="1766" spans="1:25" x14ac:dyDescent="0.25">
      <c r="A1766" s="8">
        <f>[1]Data!A1766</f>
        <v>219300</v>
      </c>
      <c r="B1766" s="8">
        <f>[1]Data!B1766</f>
        <v>6</v>
      </c>
      <c r="C1766" s="8">
        <f>[1]Data!C1766</f>
        <v>10</v>
      </c>
      <c r="D1766" s="8">
        <f>[1]Data!D1766</f>
        <v>2</v>
      </c>
      <c r="E1766" s="8" t="str">
        <f>[1]Data!E1766</f>
        <v>INDIV</v>
      </c>
      <c r="F1766" s="8" t="str">
        <f>[1]Data!F1766</f>
        <v>West Adams-Expo Park</v>
      </c>
      <c r="G1766" s="8">
        <f>[1]Data!G1766</f>
        <v>0</v>
      </c>
      <c r="H1766" s="8">
        <f>[1]Data!H1766</f>
        <v>0</v>
      </c>
      <c r="I1766" s="8">
        <f>[1]Data!I1766</f>
        <v>14.207000000000001</v>
      </c>
      <c r="J1766" s="8">
        <f>[1]Data!J1766</f>
        <v>4.9054609100000004</v>
      </c>
      <c r="K1766" s="8">
        <f>[1]Data!K1766</f>
        <v>13.90546091</v>
      </c>
      <c r="L1766" s="8">
        <f>[1]Data!L1766</f>
        <v>0.30142302671454202</v>
      </c>
      <c r="M1766" s="8">
        <f>[1]Data!M1766</f>
        <v>14.206883936714499</v>
      </c>
      <c r="N1766" s="8">
        <f>[1]Data!N1766</f>
        <v>3.2258064516128997E-2</v>
      </c>
      <c r="O1766" s="8">
        <f>[1]Data!O1766</f>
        <v>0</v>
      </c>
      <c r="P1766" s="8">
        <f>[1]Data!P1766</f>
        <v>6.4516129032258104E-2</v>
      </c>
      <c r="Q1766" s="8">
        <f>[1]Data!Q1766</f>
        <v>0.5</v>
      </c>
      <c r="R1766" s="8">
        <f>[1]Data!R1766</f>
        <v>0.25</v>
      </c>
      <c r="S1766" s="8">
        <f>[1]Data!S1766</f>
        <v>0</v>
      </c>
      <c r="T1766">
        <f t="shared" si="135"/>
        <v>0.27419354838709675</v>
      </c>
      <c r="U1766">
        <f t="shared" si="136"/>
        <v>0</v>
      </c>
      <c r="V1766" s="4" t="str">
        <f t="shared" si="137"/>
        <v>10</v>
      </c>
      <c r="W1766" s="4" t="str">
        <f t="shared" si="138"/>
        <v>6</v>
      </c>
      <c r="X1766" s="4" t="str">
        <f t="shared" si="139"/>
        <v>10INDIV6</v>
      </c>
      <c r="Y1766">
        <f>VLOOKUP(X1766,Sheet1!$J$5:$K$121,2,FALSE)</f>
        <v>0.25</v>
      </c>
    </row>
    <row r="1767" spans="1:25" x14ac:dyDescent="0.25">
      <c r="A1767" s="8">
        <f>[1]Data!A1767</f>
        <v>219800</v>
      </c>
      <c r="B1767" s="8">
        <f>[1]Data!B1767</f>
        <v>6</v>
      </c>
      <c r="C1767" s="8">
        <f>[1]Data!C1767</f>
        <v>10</v>
      </c>
      <c r="D1767" s="8">
        <f>[1]Data!D1767</f>
        <v>2</v>
      </c>
      <c r="E1767" s="8" t="str">
        <f>[1]Data!E1767</f>
        <v>INDIV</v>
      </c>
      <c r="F1767" s="8" t="str">
        <f>[1]Data!F1767</f>
        <v>Adams-La Brea</v>
      </c>
      <c r="G1767" s="8">
        <f>[1]Data!G1767</f>
        <v>0</v>
      </c>
      <c r="H1767" s="8">
        <f>[1]Data!H1767</f>
        <v>0</v>
      </c>
      <c r="I1767" s="8">
        <f>[1]Data!I1767</f>
        <v>24.838999999999999</v>
      </c>
      <c r="J1767" s="8">
        <f>[1]Data!J1767</f>
        <v>11.44215048</v>
      </c>
      <c r="K1767" s="8">
        <f>[1]Data!K1767</f>
        <v>24.442150479999999</v>
      </c>
      <c r="L1767" s="8">
        <f>[1]Data!L1767</f>
        <v>0.39626038007181302</v>
      </c>
      <c r="M1767" s="8">
        <f>[1]Data!M1767</f>
        <v>24.8384108600718</v>
      </c>
      <c r="N1767" s="8">
        <f>[1]Data!N1767</f>
        <v>3.2258064516128997E-2</v>
      </c>
      <c r="O1767" s="8">
        <f>[1]Data!O1767</f>
        <v>0</v>
      </c>
      <c r="P1767" s="8">
        <f>[1]Data!P1767</f>
        <v>6.4516129032258104E-2</v>
      </c>
      <c r="Q1767" s="8">
        <f>[1]Data!Q1767</f>
        <v>0.5</v>
      </c>
      <c r="R1767" s="8">
        <f>[1]Data!R1767</f>
        <v>0.25</v>
      </c>
      <c r="S1767" s="8">
        <f>[1]Data!S1767</f>
        <v>0</v>
      </c>
      <c r="T1767">
        <f t="shared" si="135"/>
        <v>0.27419354838709675</v>
      </c>
      <c r="U1767">
        <f t="shared" si="136"/>
        <v>0</v>
      </c>
      <c r="V1767" s="4" t="str">
        <f t="shared" si="137"/>
        <v>10</v>
      </c>
      <c r="W1767" s="4" t="str">
        <f t="shared" si="138"/>
        <v>6</v>
      </c>
      <c r="X1767" s="4" t="str">
        <f t="shared" si="139"/>
        <v>10INDIV6</v>
      </c>
      <c r="Y1767">
        <f>VLOOKUP(X1767,Sheet1!$J$5:$K$121,2,FALSE)</f>
        <v>0.25</v>
      </c>
    </row>
    <row r="1768" spans="1:25" x14ac:dyDescent="0.25">
      <c r="A1768" s="8">
        <f>[1]Data!A1768</f>
        <v>211410</v>
      </c>
      <c r="B1768" s="8">
        <f>[1]Data!B1768</f>
        <v>4</v>
      </c>
      <c r="C1768" s="8">
        <f>[1]Data!C1768</f>
        <v>10</v>
      </c>
      <c r="D1768" s="8">
        <f>[1]Data!D1768</f>
        <v>2</v>
      </c>
      <c r="E1768" s="8" t="str">
        <f>[1]Data!E1768</f>
        <v>NON-HS</v>
      </c>
      <c r="F1768" s="8" t="str">
        <f>[1]Data!F1768</f>
        <v>Wilshire Center-Koreatown</v>
      </c>
      <c r="G1768" s="8">
        <f>[1]Data!G1768</f>
        <v>0</v>
      </c>
      <c r="H1768" s="8">
        <f>[1]Data!H1768</f>
        <v>0</v>
      </c>
      <c r="I1768" s="8">
        <f>[1]Data!I1768</f>
        <v>8.2569999999999997</v>
      </c>
      <c r="J1768" s="8">
        <f>[1]Data!J1768</f>
        <v>7.1723431199999998</v>
      </c>
      <c r="K1768" s="8">
        <f>[1]Data!K1768</f>
        <v>8.1723431200000007</v>
      </c>
      <c r="L1768" s="8">
        <f>[1]Data!L1768</f>
        <v>8.4234507684021506E-2</v>
      </c>
      <c r="M1768" s="8">
        <f>[1]Data!M1768</f>
        <v>8.2565776276840204</v>
      </c>
      <c r="N1768" s="8">
        <f>[1]Data!N1768</f>
        <v>2.6315789473684199E-2</v>
      </c>
      <c r="O1768" s="8">
        <f>[1]Data!O1768</f>
        <v>0</v>
      </c>
      <c r="P1768" s="8">
        <f>[1]Data!P1768</f>
        <v>0.17105263157894701</v>
      </c>
      <c r="Q1768" s="8">
        <f>[1]Data!Q1768</f>
        <v>0.57777777777777795</v>
      </c>
      <c r="R1768" s="8">
        <f>[1]Data!R1768</f>
        <v>9.0909090909090898E-2</v>
      </c>
      <c r="S1768" s="8">
        <f>[1]Data!S1768</f>
        <v>0</v>
      </c>
      <c r="T1768">
        <f t="shared" si="135"/>
        <v>0.11483253588516744</v>
      </c>
      <c r="U1768">
        <f t="shared" si="136"/>
        <v>0</v>
      </c>
      <c r="V1768" s="4" t="str">
        <f t="shared" si="137"/>
        <v>10</v>
      </c>
      <c r="W1768" s="4" t="str">
        <f t="shared" si="138"/>
        <v>4</v>
      </c>
      <c r="X1768" s="4" t="str">
        <f t="shared" si="139"/>
        <v>10NON-HS4</v>
      </c>
      <c r="Y1768">
        <f>VLOOKUP(X1768,Sheet1!$J$5:$K$121,2,FALSE)</f>
        <v>9.0909090909090898E-2</v>
      </c>
    </row>
    <row r="1769" spans="1:25" x14ac:dyDescent="0.25">
      <c r="A1769" s="8">
        <f>[1]Data!A1769</f>
        <v>211420</v>
      </c>
      <c r="B1769" s="8">
        <f>[1]Data!B1769</f>
        <v>4</v>
      </c>
      <c r="C1769" s="8">
        <f>[1]Data!C1769</f>
        <v>10</v>
      </c>
      <c r="D1769" s="8">
        <f>[1]Data!D1769</f>
        <v>2</v>
      </c>
      <c r="E1769" s="8" t="str">
        <f>[1]Data!E1769</f>
        <v>NON-HS</v>
      </c>
      <c r="F1769" s="8" t="str">
        <f>[1]Data!F1769</f>
        <v>Wilshire Center-Koreatown</v>
      </c>
      <c r="G1769" s="8">
        <f>[1]Data!G1769</f>
        <v>1</v>
      </c>
      <c r="H1769" s="8">
        <f>[1]Data!H1769</f>
        <v>1</v>
      </c>
      <c r="I1769" s="8">
        <f>[1]Data!I1769</f>
        <v>1.9259999999999999</v>
      </c>
      <c r="J1769" s="8">
        <f>[1]Data!J1769</f>
        <v>1.90487994</v>
      </c>
      <c r="K1769" s="8">
        <f>[1]Data!K1769</f>
        <v>1.90487994</v>
      </c>
      <c r="L1769" s="8">
        <f>[1]Data!L1769</f>
        <v>2.0625322082585301E-2</v>
      </c>
      <c r="M1769" s="8">
        <f>[1]Data!M1769</f>
        <v>1.9255052620825901</v>
      </c>
      <c r="N1769" s="8">
        <f>[1]Data!N1769</f>
        <v>2.6315789473684199E-2</v>
      </c>
      <c r="O1769" s="8">
        <f>[1]Data!O1769</f>
        <v>38</v>
      </c>
      <c r="P1769" s="8">
        <f>[1]Data!P1769</f>
        <v>0.17105263157894701</v>
      </c>
      <c r="Q1769" s="8">
        <f>[1]Data!Q1769</f>
        <v>0.57777777777777795</v>
      </c>
      <c r="R1769" s="8">
        <f>[1]Data!R1769</f>
        <v>0</v>
      </c>
      <c r="S1769" s="8">
        <f>[1]Data!S1769</f>
        <v>0</v>
      </c>
      <c r="T1769">
        <f t="shared" si="135"/>
        <v>0.11483253588516744</v>
      </c>
      <c r="U1769">
        <f t="shared" si="136"/>
        <v>8.7083333333333357</v>
      </c>
      <c r="V1769" s="4" t="str">
        <f t="shared" si="137"/>
        <v>10</v>
      </c>
      <c r="W1769" s="4" t="str">
        <f t="shared" si="138"/>
        <v>4</v>
      </c>
      <c r="X1769" s="4" t="str">
        <f t="shared" si="139"/>
        <v>10NON-HS4</v>
      </c>
      <c r="Y1769">
        <f>VLOOKUP(X1769,Sheet1!$J$5:$K$121,2,FALSE)</f>
        <v>9.0909090909090898E-2</v>
      </c>
    </row>
    <row r="1770" spans="1:25" x14ac:dyDescent="0.25">
      <c r="A1770" s="8">
        <f>[1]Data!A1770</f>
        <v>211704</v>
      </c>
      <c r="B1770" s="8">
        <f>[1]Data!B1770</f>
        <v>4</v>
      </c>
      <c r="C1770" s="8">
        <f>[1]Data!C1770</f>
        <v>10</v>
      </c>
      <c r="D1770" s="8">
        <f>[1]Data!D1770</f>
        <v>2</v>
      </c>
      <c r="E1770" s="8" t="str">
        <f>[1]Data!E1770</f>
        <v>NON-HS</v>
      </c>
      <c r="F1770" s="8" t="str">
        <f>[1]Data!F1770</f>
        <v>Miracle Mile</v>
      </c>
      <c r="G1770" s="8">
        <f>[1]Data!G1770</f>
        <v>0</v>
      </c>
      <c r="H1770" s="8">
        <f>[1]Data!H1770</f>
        <v>0</v>
      </c>
      <c r="I1770" s="8">
        <f>[1]Data!I1770</f>
        <v>8.6289999999999996</v>
      </c>
      <c r="J1770" s="8">
        <f>[1]Data!J1770</f>
        <v>3.5861715599999999</v>
      </c>
      <c r="K1770" s="8">
        <f>[1]Data!K1770</f>
        <v>8.5861715600000004</v>
      </c>
      <c r="L1770" s="8">
        <f>[1]Data!L1770</f>
        <v>4.2117253842010802E-2</v>
      </c>
      <c r="M1770" s="8">
        <f>[1]Data!M1770</f>
        <v>8.6282888138420102</v>
      </c>
      <c r="N1770" s="8">
        <f>[1]Data!N1770</f>
        <v>2.6315789473684199E-2</v>
      </c>
      <c r="O1770" s="8">
        <f>[1]Data!O1770</f>
        <v>0</v>
      </c>
      <c r="P1770" s="8">
        <f>[1]Data!P1770</f>
        <v>0.17105263157894701</v>
      </c>
      <c r="Q1770" s="8">
        <f>[1]Data!Q1770</f>
        <v>0.57777777777777795</v>
      </c>
      <c r="R1770" s="8">
        <f>[1]Data!R1770</f>
        <v>9.0909090909090898E-2</v>
      </c>
      <c r="S1770" s="8">
        <f>[1]Data!S1770</f>
        <v>0</v>
      </c>
      <c r="T1770">
        <f t="shared" si="135"/>
        <v>0.11483253588516744</v>
      </c>
      <c r="U1770">
        <f t="shared" si="136"/>
        <v>0</v>
      </c>
      <c r="V1770" s="4" t="str">
        <f t="shared" si="137"/>
        <v>10</v>
      </c>
      <c r="W1770" s="4" t="str">
        <f t="shared" si="138"/>
        <v>4</v>
      </c>
      <c r="X1770" s="4" t="str">
        <f t="shared" si="139"/>
        <v>10NON-HS4</v>
      </c>
      <c r="Y1770">
        <f>VLOOKUP(X1770,Sheet1!$J$5:$K$121,2,FALSE)</f>
        <v>9.0909090909090898E-2</v>
      </c>
    </row>
    <row r="1771" spans="1:25" x14ac:dyDescent="0.25">
      <c r="A1771" s="8">
        <f>[1]Data!A1771</f>
        <v>211804</v>
      </c>
      <c r="B1771" s="8">
        <f>[1]Data!B1771</f>
        <v>4</v>
      </c>
      <c r="C1771" s="8">
        <f>[1]Data!C1771</f>
        <v>10</v>
      </c>
      <c r="D1771" s="8">
        <f>[1]Data!D1771</f>
        <v>2</v>
      </c>
      <c r="E1771" s="8" t="str">
        <f>[1]Data!E1771</f>
        <v>NON-HS</v>
      </c>
      <c r="F1771" s="8" t="str">
        <f>[1]Data!F1771</f>
        <v>Wilshire Center-Koreatown</v>
      </c>
      <c r="G1771" s="8">
        <f>[1]Data!G1771</f>
        <v>0</v>
      </c>
      <c r="H1771" s="8">
        <f>[1]Data!H1771</f>
        <v>0</v>
      </c>
      <c r="I1771" s="8">
        <f>[1]Data!I1771</f>
        <v>13.145</v>
      </c>
      <c r="J1771" s="8">
        <f>[1]Data!J1771</f>
        <v>6.9302480700000002</v>
      </c>
      <c r="K1771" s="8">
        <f>[1]Data!K1771</f>
        <v>12.930248069999999</v>
      </c>
      <c r="L1771" s="8">
        <f>[1]Data!L1771</f>
        <v>0.21419458206463199</v>
      </c>
      <c r="M1771" s="8">
        <f>[1]Data!M1771</f>
        <v>13.144442652064599</v>
      </c>
      <c r="N1771" s="8">
        <f>[1]Data!N1771</f>
        <v>2.6315789473684199E-2</v>
      </c>
      <c r="O1771" s="8">
        <f>[1]Data!O1771</f>
        <v>0</v>
      </c>
      <c r="P1771" s="8">
        <f>[1]Data!P1771</f>
        <v>0.17105263157894701</v>
      </c>
      <c r="Q1771" s="8">
        <f>[1]Data!Q1771</f>
        <v>0.57777777777777795</v>
      </c>
      <c r="R1771" s="8">
        <f>[1]Data!R1771</f>
        <v>9.0909090909090898E-2</v>
      </c>
      <c r="S1771" s="8">
        <f>[1]Data!S1771</f>
        <v>0</v>
      </c>
      <c r="T1771">
        <f t="shared" si="135"/>
        <v>0.11483253588516744</v>
      </c>
      <c r="U1771">
        <f t="shared" si="136"/>
        <v>0</v>
      </c>
      <c r="V1771" s="4" t="str">
        <f t="shared" si="137"/>
        <v>10</v>
      </c>
      <c r="W1771" s="4" t="str">
        <f t="shared" si="138"/>
        <v>4</v>
      </c>
      <c r="X1771" s="4" t="str">
        <f t="shared" si="139"/>
        <v>10NON-HS4</v>
      </c>
      <c r="Y1771">
        <f>VLOOKUP(X1771,Sheet1!$J$5:$K$121,2,FALSE)</f>
        <v>9.0909090909090898E-2</v>
      </c>
    </row>
    <row r="1772" spans="1:25" x14ac:dyDescent="0.25">
      <c r="A1772" s="8">
        <f>[1]Data!A1772</f>
        <v>211922</v>
      </c>
      <c r="B1772" s="8">
        <f>[1]Data!B1772</f>
        <v>4</v>
      </c>
      <c r="C1772" s="8">
        <f>[1]Data!C1772</f>
        <v>10</v>
      </c>
      <c r="D1772" s="8">
        <f>[1]Data!D1772</f>
        <v>2</v>
      </c>
      <c r="E1772" s="8" t="str">
        <f>[1]Data!E1772</f>
        <v>NON-HS</v>
      </c>
      <c r="F1772" s="8" t="str">
        <f>[1]Data!F1772</f>
        <v>Wilshire Center-Koreatown</v>
      </c>
      <c r="G1772" s="8">
        <f>[1]Data!G1772</f>
        <v>0</v>
      </c>
      <c r="H1772" s="8">
        <f>[1]Data!H1772</f>
        <v>0</v>
      </c>
      <c r="I1772" s="8">
        <f>[1]Data!I1772</f>
        <v>3.5110000000000001</v>
      </c>
      <c r="J1772" s="8">
        <f>[1]Data!J1772</f>
        <v>3.4144237899999998</v>
      </c>
      <c r="K1772" s="8">
        <f>[1]Data!K1772</f>
        <v>3.4144237899999998</v>
      </c>
      <c r="L1772" s="8">
        <f>[1]Data!L1772</f>
        <v>9.6477442046678602E-2</v>
      </c>
      <c r="M1772" s="8">
        <f>[1]Data!M1772</f>
        <v>3.5109012320466801</v>
      </c>
      <c r="N1772" s="8">
        <f>[1]Data!N1772</f>
        <v>2.6315789473684199E-2</v>
      </c>
      <c r="O1772" s="8">
        <f>[1]Data!O1772</f>
        <v>0</v>
      </c>
      <c r="P1772" s="8">
        <f>[1]Data!P1772</f>
        <v>0.17105263157894701</v>
      </c>
      <c r="Q1772" s="8">
        <f>[1]Data!Q1772</f>
        <v>0.57777777777777795</v>
      </c>
      <c r="R1772" s="8">
        <f>[1]Data!R1772</f>
        <v>9.0909090909090898E-2</v>
      </c>
      <c r="S1772" s="8">
        <f>[1]Data!S1772</f>
        <v>0</v>
      </c>
      <c r="T1772">
        <f t="shared" si="135"/>
        <v>0.11483253588516744</v>
      </c>
      <c r="U1772">
        <f t="shared" si="136"/>
        <v>0</v>
      </c>
      <c r="V1772" s="4" t="str">
        <f t="shared" si="137"/>
        <v>10</v>
      </c>
      <c r="W1772" s="4" t="str">
        <f t="shared" si="138"/>
        <v>4</v>
      </c>
      <c r="X1772" s="4" t="str">
        <f t="shared" si="139"/>
        <v>10NON-HS4</v>
      </c>
      <c r="Y1772">
        <f>VLOOKUP(X1772,Sheet1!$J$5:$K$121,2,FALSE)</f>
        <v>9.0909090909090898E-2</v>
      </c>
    </row>
    <row r="1773" spans="1:25" x14ac:dyDescent="0.25">
      <c r="A1773" s="8">
        <f>[1]Data!A1773</f>
        <v>212102</v>
      </c>
      <c r="B1773" s="8">
        <f>[1]Data!B1773</f>
        <v>4</v>
      </c>
      <c r="C1773" s="8">
        <f>[1]Data!C1773</f>
        <v>10</v>
      </c>
      <c r="D1773" s="8">
        <f>[1]Data!D1773</f>
        <v>2</v>
      </c>
      <c r="E1773" s="8" t="str">
        <f>[1]Data!E1773</f>
        <v>NON-HS</v>
      </c>
      <c r="F1773" s="8" t="str">
        <f>[1]Data!F1773</f>
        <v>Wilshire Center-Koreatown</v>
      </c>
      <c r="G1773" s="8">
        <f>[1]Data!G1773</f>
        <v>0</v>
      </c>
      <c r="H1773" s="8">
        <f>[1]Data!H1773</f>
        <v>0</v>
      </c>
      <c r="I1773" s="8">
        <f>[1]Data!I1773</f>
        <v>6.9969999999999999</v>
      </c>
      <c r="J1773" s="8">
        <f>[1]Data!J1773</f>
        <v>4.8017798100000002</v>
      </c>
      <c r="K1773" s="8">
        <f>[1]Data!K1773</f>
        <v>6.8017798100000002</v>
      </c>
      <c r="L1773" s="8">
        <f>[1]Data!L1773</f>
        <v>0.19443586965888701</v>
      </c>
      <c r="M1773" s="8">
        <f>[1]Data!M1773</f>
        <v>6.9962156796588904</v>
      </c>
      <c r="N1773" s="8">
        <f>[1]Data!N1773</f>
        <v>2.6315789473684199E-2</v>
      </c>
      <c r="O1773" s="8">
        <f>[1]Data!O1773</f>
        <v>0</v>
      </c>
      <c r="P1773" s="8">
        <f>[1]Data!P1773</f>
        <v>0.17105263157894701</v>
      </c>
      <c r="Q1773" s="8">
        <f>[1]Data!Q1773</f>
        <v>0.57777777777777795</v>
      </c>
      <c r="R1773" s="8">
        <f>[1]Data!R1773</f>
        <v>9.0909090909090898E-2</v>
      </c>
      <c r="S1773" s="8">
        <f>[1]Data!S1773</f>
        <v>0</v>
      </c>
      <c r="T1773">
        <f t="shared" si="135"/>
        <v>0.11483253588516744</v>
      </c>
      <c r="U1773">
        <f t="shared" si="136"/>
        <v>0</v>
      </c>
      <c r="V1773" s="4" t="str">
        <f t="shared" si="137"/>
        <v>10</v>
      </c>
      <c r="W1773" s="4" t="str">
        <f t="shared" si="138"/>
        <v>4</v>
      </c>
      <c r="X1773" s="4" t="str">
        <f t="shared" si="139"/>
        <v>10NON-HS4</v>
      </c>
      <c r="Y1773">
        <f>VLOOKUP(X1773,Sheet1!$J$5:$K$121,2,FALSE)</f>
        <v>9.0909090909090898E-2</v>
      </c>
    </row>
    <row r="1774" spans="1:25" x14ac:dyDescent="0.25">
      <c r="A1774" s="8">
        <f>[1]Data!A1774</f>
        <v>212303</v>
      </c>
      <c r="B1774" s="8">
        <f>[1]Data!B1774</f>
        <v>4</v>
      </c>
      <c r="C1774" s="8">
        <f>[1]Data!C1774</f>
        <v>10</v>
      </c>
      <c r="D1774" s="8">
        <f>[1]Data!D1774</f>
        <v>2</v>
      </c>
      <c r="E1774" s="8" t="str">
        <f>[1]Data!E1774</f>
        <v>NON-HS</v>
      </c>
      <c r="F1774" s="8" t="str">
        <f>[1]Data!F1774</f>
        <v>Wilshire Center-Koreatown</v>
      </c>
      <c r="G1774" s="8">
        <f>[1]Data!G1774</f>
        <v>0</v>
      </c>
      <c r="H1774" s="8">
        <f>[1]Data!H1774</f>
        <v>0</v>
      </c>
      <c r="I1774" s="8">
        <f>[1]Data!I1774</f>
        <v>7</v>
      </c>
      <c r="J1774" s="8">
        <f>[1]Data!J1774</f>
        <v>0</v>
      </c>
      <c r="K1774" s="8">
        <f>[1]Data!K1774</f>
        <v>7</v>
      </c>
      <c r="L1774" s="8">
        <f>[1]Data!L1774</f>
        <v>0</v>
      </c>
      <c r="M1774" s="8">
        <f>[1]Data!M1774</f>
        <v>7</v>
      </c>
      <c r="N1774" s="8">
        <f>[1]Data!N1774</f>
        <v>2.6315789473684199E-2</v>
      </c>
      <c r="O1774" s="8">
        <f>[1]Data!O1774</f>
        <v>0</v>
      </c>
      <c r="P1774" s="8">
        <f>[1]Data!P1774</f>
        <v>0.17105263157894701</v>
      </c>
      <c r="Q1774" s="8">
        <f>[1]Data!Q1774</f>
        <v>0.57777777777777795</v>
      </c>
      <c r="R1774" s="8">
        <f>[1]Data!R1774</f>
        <v>9.0909090909090898E-2</v>
      </c>
      <c r="S1774" s="8">
        <f>[1]Data!S1774</f>
        <v>0</v>
      </c>
      <c r="T1774">
        <f t="shared" si="135"/>
        <v>0.11483253588516744</v>
      </c>
      <c r="U1774">
        <f t="shared" si="136"/>
        <v>0</v>
      </c>
      <c r="V1774" s="4" t="str">
        <f t="shared" si="137"/>
        <v>10</v>
      </c>
      <c r="W1774" s="4" t="str">
        <f t="shared" si="138"/>
        <v>4</v>
      </c>
      <c r="X1774" s="4" t="str">
        <f t="shared" si="139"/>
        <v>10NON-HS4</v>
      </c>
      <c r="Y1774">
        <f>VLOOKUP(X1774,Sheet1!$J$5:$K$121,2,FALSE)</f>
        <v>9.0909090909090898E-2</v>
      </c>
    </row>
    <row r="1775" spans="1:25" x14ac:dyDescent="0.25">
      <c r="A1775" s="8">
        <f>[1]Data!A1775</f>
        <v>212304</v>
      </c>
      <c r="B1775" s="8">
        <f>[1]Data!B1775</f>
        <v>4</v>
      </c>
      <c r="C1775" s="8">
        <f>[1]Data!C1775</f>
        <v>10</v>
      </c>
      <c r="D1775" s="8">
        <f>[1]Data!D1775</f>
        <v>2</v>
      </c>
      <c r="E1775" s="8" t="str">
        <f>[1]Data!E1775</f>
        <v>NON-HS</v>
      </c>
      <c r="F1775" s="8" t="str">
        <f>[1]Data!F1775</f>
        <v>Wilshire Center-Koreatown</v>
      </c>
      <c r="G1775" s="8">
        <f>[1]Data!G1775</f>
        <v>0</v>
      </c>
      <c r="H1775" s="8">
        <f>[1]Data!H1775</f>
        <v>0</v>
      </c>
      <c r="I1775" s="8">
        <f>[1]Data!I1775</f>
        <v>4.5110000000000001</v>
      </c>
      <c r="J1775" s="8">
        <f>[1]Data!J1775</f>
        <v>3.4144237899999998</v>
      </c>
      <c r="K1775" s="8">
        <f>[1]Data!K1775</f>
        <v>4.4144237899999998</v>
      </c>
      <c r="L1775" s="8">
        <f>[1]Data!L1775</f>
        <v>9.6477442046678602E-2</v>
      </c>
      <c r="M1775" s="8">
        <f>[1]Data!M1775</f>
        <v>4.5109012320466801</v>
      </c>
      <c r="N1775" s="8">
        <f>[1]Data!N1775</f>
        <v>2.6315789473684199E-2</v>
      </c>
      <c r="O1775" s="8">
        <f>[1]Data!O1775</f>
        <v>0</v>
      </c>
      <c r="P1775" s="8">
        <f>[1]Data!P1775</f>
        <v>0.17105263157894701</v>
      </c>
      <c r="Q1775" s="8">
        <f>[1]Data!Q1775</f>
        <v>0.57777777777777795</v>
      </c>
      <c r="R1775" s="8">
        <f>[1]Data!R1775</f>
        <v>9.0909090909090898E-2</v>
      </c>
      <c r="S1775" s="8">
        <f>[1]Data!S1775</f>
        <v>0</v>
      </c>
      <c r="T1775">
        <f t="shared" si="135"/>
        <v>0.11483253588516744</v>
      </c>
      <c r="U1775">
        <f t="shared" si="136"/>
        <v>0</v>
      </c>
      <c r="V1775" s="4" t="str">
        <f t="shared" si="137"/>
        <v>10</v>
      </c>
      <c r="W1775" s="4" t="str">
        <f t="shared" si="138"/>
        <v>4</v>
      </c>
      <c r="X1775" s="4" t="str">
        <f t="shared" si="139"/>
        <v>10NON-HS4</v>
      </c>
      <c r="Y1775">
        <f>VLOOKUP(X1775,Sheet1!$J$5:$K$121,2,FALSE)</f>
        <v>9.0909090909090898E-2</v>
      </c>
    </row>
    <row r="1776" spans="1:25" x14ac:dyDescent="0.25">
      <c r="A1776" s="8">
        <f>[1]Data!A1776</f>
        <v>212305</v>
      </c>
      <c r="B1776" s="8">
        <f>[1]Data!B1776</f>
        <v>4</v>
      </c>
      <c r="C1776" s="8">
        <f>[1]Data!C1776</f>
        <v>10</v>
      </c>
      <c r="D1776" s="8">
        <f>[1]Data!D1776</f>
        <v>2</v>
      </c>
      <c r="E1776" s="8" t="str">
        <f>[1]Data!E1776</f>
        <v>NON-HS</v>
      </c>
      <c r="F1776" s="8" t="str">
        <f>[1]Data!F1776</f>
        <v>Wilshire Center-Koreatown</v>
      </c>
      <c r="G1776" s="8">
        <f>[1]Data!G1776</f>
        <v>0</v>
      </c>
      <c r="H1776" s="8">
        <f>[1]Data!H1776</f>
        <v>0</v>
      </c>
      <c r="I1776" s="8">
        <f>[1]Data!I1776</f>
        <v>13.778</v>
      </c>
      <c r="J1776" s="8">
        <f>[1]Data!J1776</f>
        <v>11.10712738</v>
      </c>
      <c r="K1776" s="8">
        <f>[1]Data!K1776</f>
        <v>13.10712738</v>
      </c>
      <c r="L1776" s="8">
        <f>[1]Data!L1776</f>
        <v>0.67112792195691195</v>
      </c>
      <c r="M1776" s="8">
        <f>[1]Data!M1776</f>
        <v>13.7782553019569</v>
      </c>
      <c r="N1776" s="8">
        <f>[1]Data!N1776</f>
        <v>2.6315789473684199E-2</v>
      </c>
      <c r="O1776" s="8">
        <f>[1]Data!O1776</f>
        <v>0</v>
      </c>
      <c r="P1776" s="8">
        <f>[1]Data!P1776</f>
        <v>0.17105263157894701</v>
      </c>
      <c r="Q1776" s="8">
        <f>[1]Data!Q1776</f>
        <v>0.57777777777777795</v>
      </c>
      <c r="R1776" s="8">
        <f>[1]Data!R1776</f>
        <v>9.0909090909090898E-2</v>
      </c>
      <c r="S1776" s="8">
        <f>[1]Data!S1776</f>
        <v>0</v>
      </c>
      <c r="T1776">
        <f t="shared" si="135"/>
        <v>0.11483253588516744</v>
      </c>
      <c r="U1776">
        <f t="shared" si="136"/>
        <v>0</v>
      </c>
      <c r="V1776" s="4" t="str">
        <f t="shared" si="137"/>
        <v>10</v>
      </c>
      <c r="W1776" s="4" t="str">
        <f t="shared" si="138"/>
        <v>4</v>
      </c>
      <c r="X1776" s="4" t="str">
        <f t="shared" si="139"/>
        <v>10NON-HS4</v>
      </c>
      <c r="Y1776">
        <f>VLOOKUP(X1776,Sheet1!$J$5:$K$121,2,FALSE)</f>
        <v>9.0909090909090898E-2</v>
      </c>
    </row>
    <row r="1777" spans="1:25" x14ac:dyDescent="0.25">
      <c r="A1777" s="8">
        <f>[1]Data!A1777</f>
        <v>212306</v>
      </c>
      <c r="B1777" s="8">
        <f>[1]Data!B1777</f>
        <v>4</v>
      </c>
      <c r="C1777" s="8">
        <f>[1]Data!C1777</f>
        <v>10</v>
      </c>
      <c r="D1777" s="8">
        <f>[1]Data!D1777</f>
        <v>2</v>
      </c>
      <c r="E1777" s="8" t="str">
        <f>[1]Data!E1777</f>
        <v>NON-HS</v>
      </c>
      <c r="F1777" s="8" t="str">
        <f>[1]Data!F1777</f>
        <v>Wilshire Center-Koreatown</v>
      </c>
      <c r="G1777" s="8">
        <f>[1]Data!G1777</f>
        <v>0</v>
      </c>
      <c r="H1777" s="8">
        <f>[1]Data!H1777</f>
        <v>1</v>
      </c>
      <c r="I1777" s="8">
        <f>[1]Data!I1777</f>
        <v>12.231999999999999</v>
      </c>
      <c r="J1777" s="8">
        <f>[1]Data!J1777</f>
        <v>6.9325286799999999</v>
      </c>
      <c r="K1777" s="8">
        <f>[1]Data!K1777</f>
        <v>11.932528680000001</v>
      </c>
      <c r="L1777" s="8">
        <f>[1]Data!L1777</f>
        <v>0.29994204114901302</v>
      </c>
      <c r="M1777" s="8">
        <f>[1]Data!M1777</f>
        <v>12.232470721148999</v>
      </c>
      <c r="N1777" s="8">
        <f>[1]Data!N1777</f>
        <v>2.6315789473684199E-2</v>
      </c>
      <c r="O1777" s="8">
        <f>[1]Data!O1777</f>
        <v>0</v>
      </c>
      <c r="P1777" s="8">
        <f>[1]Data!P1777</f>
        <v>0.17105263157894701</v>
      </c>
      <c r="Q1777" s="8">
        <f>[1]Data!Q1777</f>
        <v>0.57777777777777795</v>
      </c>
      <c r="R1777" s="8">
        <f>[1]Data!R1777</f>
        <v>9.0909090909090898E-2</v>
      </c>
      <c r="S1777" s="8">
        <f>[1]Data!S1777</f>
        <v>11</v>
      </c>
      <c r="T1777">
        <f t="shared" si="135"/>
        <v>0.11483253588516744</v>
      </c>
      <c r="U1777">
        <f t="shared" si="136"/>
        <v>8.7083333333333357</v>
      </c>
      <c r="V1777" s="4" t="str">
        <f t="shared" si="137"/>
        <v>10</v>
      </c>
      <c r="W1777" s="4" t="str">
        <f t="shared" si="138"/>
        <v>4</v>
      </c>
      <c r="X1777" s="4" t="str">
        <f t="shared" si="139"/>
        <v>10NON-HS4</v>
      </c>
      <c r="Y1777">
        <f>VLOOKUP(X1777,Sheet1!$J$5:$K$121,2,FALSE)</f>
        <v>9.0909090909090898E-2</v>
      </c>
    </row>
    <row r="1778" spans="1:25" x14ac:dyDescent="0.25">
      <c r="A1778" s="8">
        <f>[1]Data!A1778</f>
        <v>212410</v>
      </c>
      <c r="B1778" s="8">
        <f>[1]Data!B1778</f>
        <v>4</v>
      </c>
      <c r="C1778" s="8">
        <f>[1]Data!C1778</f>
        <v>10</v>
      </c>
      <c r="D1778" s="8">
        <f>[1]Data!D1778</f>
        <v>2</v>
      </c>
      <c r="E1778" s="8" t="str">
        <f>[1]Data!E1778</f>
        <v>NON-HS</v>
      </c>
      <c r="F1778" s="8" t="str">
        <f>[1]Data!F1778</f>
        <v>Wilshire Center-Koreatown</v>
      </c>
      <c r="G1778" s="8">
        <f>[1]Data!G1778</f>
        <v>0</v>
      </c>
      <c r="H1778" s="8">
        <f>[1]Data!H1778</f>
        <v>0</v>
      </c>
      <c r="I1778" s="8">
        <f>[1]Data!I1778</f>
        <v>2</v>
      </c>
      <c r="J1778" s="8">
        <f>[1]Data!J1778</f>
        <v>0</v>
      </c>
      <c r="K1778" s="8">
        <f>[1]Data!K1778</f>
        <v>2</v>
      </c>
      <c r="L1778" s="8">
        <f>[1]Data!L1778</f>
        <v>0</v>
      </c>
      <c r="M1778" s="8">
        <f>[1]Data!M1778</f>
        <v>2</v>
      </c>
      <c r="N1778" s="8">
        <f>[1]Data!N1778</f>
        <v>2.6315789473684199E-2</v>
      </c>
      <c r="O1778" s="8">
        <f>[1]Data!O1778</f>
        <v>0</v>
      </c>
      <c r="P1778" s="8">
        <f>[1]Data!P1778</f>
        <v>0.17105263157894701</v>
      </c>
      <c r="Q1778" s="8">
        <f>[1]Data!Q1778</f>
        <v>0.57777777777777795</v>
      </c>
      <c r="R1778" s="8">
        <f>[1]Data!R1778</f>
        <v>9.0909090909090898E-2</v>
      </c>
      <c r="S1778" s="8">
        <f>[1]Data!S1778</f>
        <v>0</v>
      </c>
      <c r="T1778">
        <f t="shared" si="135"/>
        <v>0.11483253588516744</v>
      </c>
      <c r="U1778">
        <f t="shared" si="136"/>
        <v>0</v>
      </c>
      <c r="V1778" s="4" t="str">
        <f t="shared" si="137"/>
        <v>10</v>
      </c>
      <c r="W1778" s="4" t="str">
        <f t="shared" si="138"/>
        <v>4</v>
      </c>
      <c r="X1778" s="4" t="str">
        <f t="shared" si="139"/>
        <v>10NON-HS4</v>
      </c>
      <c r="Y1778">
        <f>VLOOKUP(X1778,Sheet1!$J$5:$K$121,2,FALSE)</f>
        <v>9.0909090909090898E-2</v>
      </c>
    </row>
    <row r="1779" spans="1:25" x14ac:dyDescent="0.25">
      <c r="A1779" s="8">
        <f>[1]Data!A1779</f>
        <v>212420</v>
      </c>
      <c r="B1779" s="8">
        <f>[1]Data!B1779</f>
        <v>4</v>
      </c>
      <c r="C1779" s="8">
        <f>[1]Data!C1779</f>
        <v>10</v>
      </c>
      <c r="D1779" s="8">
        <f>[1]Data!D1779</f>
        <v>2</v>
      </c>
      <c r="E1779" s="8" t="str">
        <f>[1]Data!E1779</f>
        <v>NON-HS</v>
      </c>
      <c r="F1779" s="8" t="str">
        <f>[1]Data!F1779</f>
        <v>Wilshire Center-Koreatown</v>
      </c>
      <c r="G1779" s="8">
        <f>[1]Data!G1779</f>
        <v>0</v>
      </c>
      <c r="H1779" s="8">
        <f>[1]Data!H1779</f>
        <v>0</v>
      </c>
      <c r="I1779" s="8">
        <f>[1]Data!I1779</f>
        <v>3.9260000000000002</v>
      </c>
      <c r="J1779" s="8">
        <f>[1]Data!J1779</f>
        <v>1.90487994</v>
      </c>
      <c r="K1779" s="8">
        <f>[1]Data!K1779</f>
        <v>3.9048799399999998</v>
      </c>
      <c r="L1779" s="8">
        <f>[1]Data!L1779</f>
        <v>2.0625322082585301E-2</v>
      </c>
      <c r="M1779" s="8">
        <f>[1]Data!M1779</f>
        <v>3.9255052620825901</v>
      </c>
      <c r="N1779" s="8">
        <f>[1]Data!N1779</f>
        <v>2.6315789473684199E-2</v>
      </c>
      <c r="O1779" s="8">
        <f>[1]Data!O1779</f>
        <v>0</v>
      </c>
      <c r="P1779" s="8">
        <f>[1]Data!P1779</f>
        <v>0.17105263157894701</v>
      </c>
      <c r="Q1779" s="8">
        <f>[1]Data!Q1779</f>
        <v>0.57777777777777795</v>
      </c>
      <c r="R1779" s="8">
        <f>[1]Data!R1779</f>
        <v>9.0909090909090898E-2</v>
      </c>
      <c r="S1779" s="8">
        <f>[1]Data!S1779</f>
        <v>0</v>
      </c>
      <c r="T1779">
        <f t="shared" si="135"/>
        <v>0.11483253588516744</v>
      </c>
      <c r="U1779">
        <f t="shared" si="136"/>
        <v>0</v>
      </c>
      <c r="V1779" s="4" t="str">
        <f t="shared" si="137"/>
        <v>10</v>
      </c>
      <c r="W1779" s="4" t="str">
        <f t="shared" si="138"/>
        <v>4</v>
      </c>
      <c r="X1779" s="4" t="str">
        <f t="shared" si="139"/>
        <v>10NON-HS4</v>
      </c>
      <c r="Y1779">
        <f>VLOOKUP(X1779,Sheet1!$J$5:$K$121,2,FALSE)</f>
        <v>9.0909090909090898E-2</v>
      </c>
    </row>
    <row r="1780" spans="1:25" x14ac:dyDescent="0.25">
      <c r="A1780" s="8">
        <f>[1]Data!A1780</f>
        <v>212900</v>
      </c>
      <c r="B1780" s="8">
        <f>[1]Data!B1780</f>
        <v>4</v>
      </c>
      <c r="C1780" s="8">
        <f>[1]Data!C1780</f>
        <v>10</v>
      </c>
      <c r="D1780" s="8">
        <f>[1]Data!D1780</f>
        <v>2</v>
      </c>
      <c r="E1780" s="8" t="str">
        <f>[1]Data!E1780</f>
        <v>NON-HS</v>
      </c>
      <c r="F1780" s="8" t="str">
        <f>[1]Data!F1780</f>
        <v>Miracle Mile</v>
      </c>
      <c r="G1780" s="8">
        <f>[1]Data!G1780</f>
        <v>0</v>
      </c>
      <c r="H1780" s="8">
        <f>[1]Data!H1780</f>
        <v>0</v>
      </c>
      <c r="I1780" s="8">
        <f>[1]Data!I1780</f>
        <v>17.611000000000001</v>
      </c>
      <c r="J1780" s="8">
        <f>[1]Data!J1780</f>
        <v>16.648241840000001</v>
      </c>
      <c r="K1780" s="8">
        <f>[1]Data!K1780</f>
        <v>16.648241840000001</v>
      </c>
      <c r="L1780" s="8">
        <f>[1]Data!L1780</f>
        <v>0.96194810299820499</v>
      </c>
      <c r="M1780" s="8">
        <f>[1]Data!M1780</f>
        <v>17.610189942998201</v>
      </c>
      <c r="N1780" s="8">
        <f>[1]Data!N1780</f>
        <v>2.6315789473684199E-2</v>
      </c>
      <c r="O1780" s="8">
        <f>[1]Data!O1780</f>
        <v>0</v>
      </c>
      <c r="P1780" s="8">
        <f>[1]Data!P1780</f>
        <v>0.17105263157894701</v>
      </c>
      <c r="Q1780" s="8">
        <f>[1]Data!Q1780</f>
        <v>0.57777777777777795</v>
      </c>
      <c r="R1780" s="8">
        <f>[1]Data!R1780</f>
        <v>9.0909090909090898E-2</v>
      </c>
      <c r="S1780" s="8">
        <f>[1]Data!S1780</f>
        <v>0</v>
      </c>
      <c r="T1780">
        <f t="shared" si="135"/>
        <v>0.11483253588516744</v>
      </c>
      <c r="U1780">
        <f t="shared" si="136"/>
        <v>0</v>
      </c>
      <c r="V1780" s="4" t="str">
        <f t="shared" si="137"/>
        <v>10</v>
      </c>
      <c r="W1780" s="4" t="str">
        <f t="shared" si="138"/>
        <v>4</v>
      </c>
      <c r="X1780" s="4" t="str">
        <f t="shared" si="139"/>
        <v>10NON-HS4</v>
      </c>
      <c r="Y1780">
        <f>VLOOKUP(X1780,Sheet1!$J$5:$K$121,2,FALSE)</f>
        <v>9.0909090909090898E-2</v>
      </c>
    </row>
    <row r="1781" spans="1:25" x14ac:dyDescent="0.25">
      <c r="A1781" s="8">
        <f>[1]Data!A1781</f>
        <v>213100</v>
      </c>
      <c r="B1781" s="8">
        <f>[1]Data!B1781</f>
        <v>4</v>
      </c>
      <c r="C1781" s="8">
        <f>[1]Data!C1781</f>
        <v>10</v>
      </c>
      <c r="D1781" s="8">
        <f>[1]Data!D1781</f>
        <v>2</v>
      </c>
      <c r="E1781" s="8" t="str">
        <f>[1]Data!E1781</f>
        <v>NON-HS</v>
      </c>
      <c r="F1781" s="8" t="str">
        <f>[1]Data!F1781</f>
        <v>Miracle Mile</v>
      </c>
      <c r="G1781" s="8">
        <f>[1]Data!G1781</f>
        <v>0</v>
      </c>
      <c r="H1781" s="8">
        <f>[1]Data!H1781</f>
        <v>0</v>
      </c>
      <c r="I1781" s="8">
        <f>[1]Data!I1781</f>
        <v>17.052</v>
      </c>
      <c r="J1781" s="8">
        <f>[1]Data!J1781</f>
        <v>14.72379621</v>
      </c>
      <c r="K1781" s="8">
        <f>[1]Data!K1781</f>
        <v>16.72379621</v>
      </c>
      <c r="L1781" s="8">
        <f>[1]Data!L1781</f>
        <v>0.32808314127468602</v>
      </c>
      <c r="M1781" s="8">
        <f>[1]Data!M1781</f>
        <v>17.0518793512747</v>
      </c>
      <c r="N1781" s="8">
        <f>[1]Data!N1781</f>
        <v>2.6315789473684199E-2</v>
      </c>
      <c r="O1781" s="8">
        <f>[1]Data!O1781</f>
        <v>0</v>
      </c>
      <c r="P1781" s="8">
        <f>[1]Data!P1781</f>
        <v>0.17105263157894701</v>
      </c>
      <c r="Q1781" s="8">
        <f>[1]Data!Q1781</f>
        <v>0.57777777777777795</v>
      </c>
      <c r="R1781" s="8">
        <f>[1]Data!R1781</f>
        <v>9.0909090909090898E-2</v>
      </c>
      <c r="S1781" s="8">
        <f>[1]Data!S1781</f>
        <v>0</v>
      </c>
      <c r="T1781">
        <f t="shared" si="135"/>
        <v>0.11483253588516744</v>
      </c>
      <c r="U1781">
        <f t="shared" si="136"/>
        <v>0</v>
      </c>
      <c r="V1781" s="4" t="str">
        <f t="shared" si="137"/>
        <v>10</v>
      </c>
      <c r="W1781" s="4" t="str">
        <f t="shared" si="138"/>
        <v>4</v>
      </c>
      <c r="X1781" s="4" t="str">
        <f t="shared" si="139"/>
        <v>10NON-HS4</v>
      </c>
      <c r="Y1781">
        <f>VLOOKUP(X1781,Sheet1!$J$5:$K$121,2,FALSE)</f>
        <v>9.0909090909090898E-2</v>
      </c>
    </row>
    <row r="1782" spans="1:25" x14ac:dyDescent="0.25">
      <c r="A1782" s="8">
        <f>[1]Data!A1782</f>
        <v>216700</v>
      </c>
      <c r="B1782" s="8">
        <f>[1]Data!B1782</f>
        <v>4</v>
      </c>
      <c r="C1782" s="8">
        <f>[1]Data!C1782</f>
        <v>10</v>
      </c>
      <c r="D1782" s="8">
        <f>[1]Data!D1782</f>
        <v>2</v>
      </c>
      <c r="E1782" s="8" t="str">
        <f>[1]Data!E1782</f>
        <v>NON-HS</v>
      </c>
      <c r="F1782" s="8" t="str">
        <f>[1]Data!F1782</f>
        <v>Miracle Mile</v>
      </c>
      <c r="G1782" s="8">
        <f>[1]Data!G1782</f>
        <v>0</v>
      </c>
      <c r="H1782" s="8">
        <f>[1]Data!H1782</f>
        <v>0</v>
      </c>
      <c r="I1782" s="8">
        <f>[1]Data!I1782</f>
        <v>3.6160000000000001</v>
      </c>
      <c r="J1782" s="8">
        <f>[1]Data!J1782</f>
        <v>3.4662643399999999</v>
      </c>
      <c r="K1782" s="8">
        <f>[1]Data!K1782</f>
        <v>3.4662643399999999</v>
      </c>
      <c r="L1782" s="8">
        <f>[1]Data!L1782</f>
        <v>0.14997102057450601</v>
      </c>
      <c r="M1782" s="8">
        <f>[1]Data!M1782</f>
        <v>3.6162353605745099</v>
      </c>
      <c r="N1782" s="8">
        <f>[1]Data!N1782</f>
        <v>2.6315789473684199E-2</v>
      </c>
      <c r="O1782" s="8">
        <f>[1]Data!O1782</f>
        <v>0</v>
      </c>
      <c r="P1782" s="8">
        <f>[1]Data!P1782</f>
        <v>0.17105263157894701</v>
      </c>
      <c r="Q1782" s="8">
        <f>[1]Data!Q1782</f>
        <v>0.57777777777777795</v>
      </c>
      <c r="R1782" s="8">
        <f>[1]Data!R1782</f>
        <v>9.0909090909090898E-2</v>
      </c>
      <c r="S1782" s="8">
        <f>[1]Data!S1782</f>
        <v>0</v>
      </c>
      <c r="T1782">
        <f t="shared" si="135"/>
        <v>0.11483253588516744</v>
      </c>
      <c r="U1782">
        <f t="shared" si="136"/>
        <v>0</v>
      </c>
      <c r="V1782" s="4" t="str">
        <f t="shared" si="137"/>
        <v>10</v>
      </c>
      <c r="W1782" s="4" t="str">
        <f t="shared" si="138"/>
        <v>4</v>
      </c>
      <c r="X1782" s="4" t="str">
        <f t="shared" si="139"/>
        <v>10NON-HS4</v>
      </c>
      <c r="Y1782">
        <f>VLOOKUP(X1782,Sheet1!$J$5:$K$121,2,FALSE)</f>
        <v>9.0909090909090898E-2</v>
      </c>
    </row>
    <row r="1783" spans="1:25" x14ac:dyDescent="0.25">
      <c r="A1783" s="8">
        <f>[1]Data!A1783</f>
        <v>217100</v>
      </c>
      <c r="B1783" s="8">
        <f>[1]Data!B1783</f>
        <v>4</v>
      </c>
      <c r="C1783" s="8">
        <f>[1]Data!C1783</f>
        <v>10</v>
      </c>
      <c r="D1783" s="8">
        <f>[1]Data!D1783</f>
        <v>2</v>
      </c>
      <c r="E1783" s="8" t="str">
        <f>[1]Data!E1783</f>
        <v>NON-HS</v>
      </c>
      <c r="F1783" s="8" t="str">
        <f>[1]Data!F1783</f>
        <v>Miracle Mile</v>
      </c>
      <c r="G1783" s="8">
        <f>[1]Data!G1783</f>
        <v>0</v>
      </c>
      <c r="H1783" s="8">
        <f>[1]Data!H1783</f>
        <v>0</v>
      </c>
      <c r="I1783" s="8">
        <f>[1]Data!I1783</f>
        <v>8.2850000000000001</v>
      </c>
      <c r="J1783" s="8">
        <f>[1]Data!J1783</f>
        <v>5.9510989800000003</v>
      </c>
      <c r="K1783" s="8">
        <f>[1]Data!K1783</f>
        <v>7.9510989800000003</v>
      </c>
      <c r="L1783" s="8">
        <f>[1]Data!L1783</f>
        <v>0.33351780414721699</v>
      </c>
      <c r="M1783" s="8">
        <f>[1]Data!M1783</f>
        <v>8.2846167841472198</v>
      </c>
      <c r="N1783" s="8">
        <f>[1]Data!N1783</f>
        <v>2.6315789473684199E-2</v>
      </c>
      <c r="O1783" s="8">
        <f>[1]Data!O1783</f>
        <v>0</v>
      </c>
      <c r="P1783" s="8">
        <f>[1]Data!P1783</f>
        <v>0.17105263157894701</v>
      </c>
      <c r="Q1783" s="8">
        <f>[1]Data!Q1783</f>
        <v>0.57777777777777795</v>
      </c>
      <c r="R1783" s="8">
        <f>[1]Data!R1783</f>
        <v>9.0909090909090898E-2</v>
      </c>
      <c r="S1783" s="8">
        <f>[1]Data!S1783</f>
        <v>0</v>
      </c>
      <c r="T1783">
        <f t="shared" si="135"/>
        <v>0.11483253588516744</v>
      </c>
      <c r="U1783">
        <f t="shared" si="136"/>
        <v>0</v>
      </c>
      <c r="V1783" s="4" t="str">
        <f t="shared" si="137"/>
        <v>10</v>
      </c>
      <c r="W1783" s="4" t="str">
        <f t="shared" si="138"/>
        <v>4</v>
      </c>
      <c r="X1783" s="4" t="str">
        <f t="shared" si="139"/>
        <v>10NON-HS4</v>
      </c>
      <c r="Y1783">
        <f>VLOOKUP(X1783,Sheet1!$J$5:$K$121,2,FALSE)</f>
        <v>9.0909090909090898E-2</v>
      </c>
    </row>
    <row r="1784" spans="1:25" x14ac:dyDescent="0.25">
      <c r="A1784" s="8">
        <f>[1]Data!A1784</f>
        <v>217200</v>
      </c>
      <c r="B1784" s="8">
        <f>[1]Data!B1784</f>
        <v>4</v>
      </c>
      <c r="C1784" s="8">
        <f>[1]Data!C1784</f>
        <v>10</v>
      </c>
      <c r="D1784" s="8">
        <f>[1]Data!D1784</f>
        <v>2</v>
      </c>
      <c r="E1784" s="8" t="str">
        <f>[1]Data!E1784</f>
        <v>NON-HS</v>
      </c>
      <c r="F1784" s="8" t="str">
        <f>[1]Data!F1784</f>
        <v>Miracle Mile</v>
      </c>
      <c r="G1784" s="8">
        <f>[1]Data!G1784</f>
        <v>0</v>
      </c>
      <c r="H1784" s="8">
        <f>[1]Data!H1784</f>
        <v>0</v>
      </c>
      <c r="I1784" s="8">
        <f>[1]Data!I1784</f>
        <v>1</v>
      </c>
      <c r="J1784" s="8">
        <f>[1]Data!J1784</f>
        <v>0</v>
      </c>
      <c r="K1784" s="8">
        <f>[1]Data!K1784</f>
        <v>1</v>
      </c>
      <c r="L1784" s="8">
        <f>[1]Data!L1784</f>
        <v>0</v>
      </c>
      <c r="M1784" s="8">
        <f>[1]Data!M1784</f>
        <v>1</v>
      </c>
      <c r="N1784" s="8">
        <f>[1]Data!N1784</f>
        <v>2.6315789473684199E-2</v>
      </c>
      <c r="O1784" s="8">
        <f>[1]Data!O1784</f>
        <v>0</v>
      </c>
      <c r="P1784" s="8">
        <f>[1]Data!P1784</f>
        <v>0.17105263157894701</v>
      </c>
      <c r="Q1784" s="8">
        <f>[1]Data!Q1784</f>
        <v>0.57777777777777795</v>
      </c>
      <c r="R1784" s="8">
        <f>[1]Data!R1784</f>
        <v>9.0909090909090898E-2</v>
      </c>
      <c r="S1784" s="8">
        <f>[1]Data!S1784</f>
        <v>0</v>
      </c>
      <c r="T1784">
        <f t="shared" si="135"/>
        <v>0.11483253588516744</v>
      </c>
      <c r="U1784">
        <f t="shared" si="136"/>
        <v>0</v>
      </c>
      <c r="V1784" s="4" t="str">
        <f t="shared" si="137"/>
        <v>10</v>
      </c>
      <c r="W1784" s="4" t="str">
        <f t="shared" si="138"/>
        <v>4</v>
      </c>
      <c r="X1784" s="4" t="str">
        <f t="shared" si="139"/>
        <v>10NON-HS4</v>
      </c>
      <c r="Y1784">
        <f>VLOOKUP(X1784,Sheet1!$J$5:$K$121,2,FALSE)</f>
        <v>9.0909090909090898E-2</v>
      </c>
    </row>
    <row r="1785" spans="1:25" x14ac:dyDescent="0.25">
      <c r="A1785" s="8">
        <f>[1]Data!A1785</f>
        <v>218210</v>
      </c>
      <c r="B1785" s="8">
        <f>[1]Data!B1785</f>
        <v>4</v>
      </c>
      <c r="C1785" s="8">
        <f>[1]Data!C1785</f>
        <v>10</v>
      </c>
      <c r="D1785" s="8">
        <f>[1]Data!D1785</f>
        <v>2</v>
      </c>
      <c r="E1785" s="8" t="str">
        <f>[1]Data!E1785</f>
        <v>NON-HS</v>
      </c>
      <c r="F1785" s="8" t="str">
        <f>[1]Data!F1785</f>
        <v>Mid City</v>
      </c>
      <c r="G1785" s="8">
        <f>[1]Data!G1785</f>
        <v>0</v>
      </c>
      <c r="H1785" s="8">
        <f>[1]Data!H1785</f>
        <v>0</v>
      </c>
      <c r="I1785" s="8">
        <f>[1]Data!I1785</f>
        <v>4.1900000000000004</v>
      </c>
      <c r="J1785" s="8">
        <f>[1]Data!J1785</f>
        <v>3.9673993200000002</v>
      </c>
      <c r="K1785" s="8">
        <f>[1]Data!K1785</f>
        <v>3.9673993200000002</v>
      </c>
      <c r="L1785" s="8">
        <f>[1]Data!L1785</f>
        <v>0.22234520276481101</v>
      </c>
      <c r="M1785" s="8">
        <f>[1]Data!M1785</f>
        <v>4.1897445227648102</v>
      </c>
      <c r="N1785" s="8">
        <f>[1]Data!N1785</f>
        <v>2.6315789473684199E-2</v>
      </c>
      <c r="O1785" s="8">
        <f>[1]Data!O1785</f>
        <v>0</v>
      </c>
      <c r="P1785" s="8">
        <f>[1]Data!P1785</f>
        <v>0.17105263157894701</v>
      </c>
      <c r="Q1785" s="8">
        <f>[1]Data!Q1785</f>
        <v>0.57777777777777795</v>
      </c>
      <c r="R1785" s="8">
        <f>[1]Data!R1785</f>
        <v>9.0909090909090898E-2</v>
      </c>
      <c r="S1785" s="8">
        <f>[1]Data!S1785</f>
        <v>0</v>
      </c>
      <c r="T1785">
        <f t="shared" si="135"/>
        <v>0.11483253588516744</v>
      </c>
      <c r="U1785">
        <f t="shared" si="136"/>
        <v>0</v>
      </c>
      <c r="V1785" s="4" t="str">
        <f t="shared" si="137"/>
        <v>10</v>
      </c>
      <c r="W1785" s="4" t="str">
        <f t="shared" si="138"/>
        <v>4</v>
      </c>
      <c r="X1785" s="4" t="str">
        <f t="shared" si="139"/>
        <v>10NON-HS4</v>
      </c>
      <c r="Y1785">
        <f>VLOOKUP(X1785,Sheet1!$J$5:$K$121,2,FALSE)</f>
        <v>9.0909090909090898E-2</v>
      </c>
    </row>
    <row r="1786" spans="1:25" x14ac:dyDescent="0.25">
      <c r="A1786" s="8">
        <f>[1]Data!A1786</f>
        <v>212800</v>
      </c>
      <c r="B1786" s="8">
        <f>[1]Data!B1786</f>
        <v>4</v>
      </c>
      <c r="C1786" s="8">
        <f>[1]Data!C1786</f>
        <v>10</v>
      </c>
      <c r="D1786" s="8">
        <f>[1]Data!D1786</f>
        <v>2</v>
      </c>
      <c r="E1786" s="8" t="str">
        <f>[1]Data!E1786</f>
        <v>NON-HS</v>
      </c>
      <c r="F1786" s="8" t="str">
        <f>[1]Data!F1786</f>
        <v>Miracle Mile</v>
      </c>
      <c r="G1786" s="8">
        <f>[1]Data!G1786</f>
        <v>0</v>
      </c>
      <c r="H1786" s="8">
        <f>[1]Data!H1786</f>
        <v>0</v>
      </c>
      <c r="I1786" s="8">
        <f>[1]Data!I1786</f>
        <v>13.019</v>
      </c>
      <c r="J1786" s="8">
        <f>[1]Data!J1786</f>
        <v>9.5891110899999994</v>
      </c>
      <c r="K1786" s="8">
        <f>[1]Data!K1786</f>
        <v>12.589111089999999</v>
      </c>
      <c r="L1786" s="8">
        <f>[1]Data!L1786</f>
        <v>0.42912863651705602</v>
      </c>
      <c r="M1786" s="8">
        <f>[1]Data!M1786</f>
        <v>13.0182397265171</v>
      </c>
      <c r="N1786" s="8">
        <f>[1]Data!N1786</f>
        <v>2.6315789473684199E-2</v>
      </c>
      <c r="O1786" s="8">
        <f>[1]Data!O1786</f>
        <v>0</v>
      </c>
      <c r="P1786" s="8">
        <f>[1]Data!P1786</f>
        <v>0.17105263157894701</v>
      </c>
      <c r="Q1786" s="8">
        <f>[1]Data!Q1786</f>
        <v>0.57777777777777795</v>
      </c>
      <c r="R1786" s="8">
        <f>[1]Data!R1786</f>
        <v>9.0909090909090898E-2</v>
      </c>
      <c r="S1786" s="8">
        <f>[1]Data!S1786</f>
        <v>0</v>
      </c>
      <c r="T1786">
        <f t="shared" si="135"/>
        <v>0.11483253588516744</v>
      </c>
      <c r="U1786">
        <f t="shared" si="136"/>
        <v>0</v>
      </c>
      <c r="V1786" s="4" t="str">
        <f t="shared" si="137"/>
        <v>10</v>
      </c>
      <c r="W1786" s="4" t="str">
        <f t="shared" si="138"/>
        <v>4</v>
      </c>
      <c r="X1786" s="4" t="str">
        <f t="shared" si="139"/>
        <v>10NON-HS4</v>
      </c>
      <c r="Y1786">
        <f>VLOOKUP(X1786,Sheet1!$J$5:$K$121,2,FALSE)</f>
        <v>9.0909090909090898E-2</v>
      </c>
    </row>
    <row r="1787" spans="1:25" x14ac:dyDescent="0.25">
      <c r="A1787" s="8">
        <f>[1]Data!A1787</f>
        <v>218220</v>
      </c>
      <c r="B1787" s="8">
        <f>[1]Data!B1787</f>
        <v>4</v>
      </c>
      <c r="C1787" s="8">
        <f>[1]Data!C1787</f>
        <v>10</v>
      </c>
      <c r="D1787" s="8">
        <f>[1]Data!D1787</f>
        <v>2</v>
      </c>
      <c r="E1787" s="8" t="str">
        <f>[1]Data!E1787</f>
        <v>NON-HS</v>
      </c>
      <c r="F1787" s="8" t="str">
        <f>[1]Data!F1787</f>
        <v>Mid City</v>
      </c>
      <c r="G1787" s="8">
        <f>[1]Data!G1787</f>
        <v>0</v>
      </c>
      <c r="H1787" s="8">
        <f>[1]Data!H1787</f>
        <v>0</v>
      </c>
      <c r="I1787" s="8">
        <f>[1]Data!I1787</f>
        <v>8.9030000000000005</v>
      </c>
      <c r="J1787" s="8">
        <f>[1]Data!J1787</f>
        <v>3.7168318299999998</v>
      </c>
      <c r="K1787" s="8">
        <f>[1]Data!K1787</f>
        <v>8.7168318300000003</v>
      </c>
      <c r="L1787" s="8">
        <f>[1]Data!L1787</f>
        <v>0.18615811166965901</v>
      </c>
      <c r="M1787" s="8">
        <f>[1]Data!M1787</f>
        <v>8.9029899416696594</v>
      </c>
      <c r="N1787" s="8">
        <f>[1]Data!N1787</f>
        <v>2.6315789473684199E-2</v>
      </c>
      <c r="O1787" s="8">
        <f>[1]Data!O1787</f>
        <v>0</v>
      </c>
      <c r="P1787" s="8">
        <f>[1]Data!P1787</f>
        <v>0.17105263157894701</v>
      </c>
      <c r="Q1787" s="8">
        <f>[1]Data!Q1787</f>
        <v>0.57777777777777795</v>
      </c>
      <c r="R1787" s="8">
        <f>[1]Data!R1787</f>
        <v>9.0909090909090898E-2</v>
      </c>
      <c r="S1787" s="8">
        <f>[1]Data!S1787</f>
        <v>0</v>
      </c>
      <c r="T1787">
        <f t="shared" si="135"/>
        <v>0.11483253588516744</v>
      </c>
      <c r="U1787">
        <f t="shared" si="136"/>
        <v>0</v>
      </c>
      <c r="V1787" s="4" t="str">
        <f t="shared" si="137"/>
        <v>10</v>
      </c>
      <c r="W1787" s="4" t="str">
        <f t="shared" si="138"/>
        <v>4</v>
      </c>
      <c r="X1787" s="4" t="str">
        <f t="shared" si="139"/>
        <v>10NON-HS4</v>
      </c>
      <c r="Y1787">
        <f>VLOOKUP(X1787,Sheet1!$J$5:$K$121,2,FALSE)</f>
        <v>9.0909090909090898E-2</v>
      </c>
    </row>
    <row r="1788" spans="1:25" x14ac:dyDescent="0.25">
      <c r="A1788" s="8">
        <f>[1]Data!A1788</f>
        <v>221210</v>
      </c>
      <c r="B1788" s="8">
        <f>[1]Data!B1788</f>
        <v>4</v>
      </c>
      <c r="C1788" s="8">
        <f>[1]Data!C1788</f>
        <v>10</v>
      </c>
      <c r="D1788" s="8">
        <f>[1]Data!D1788</f>
        <v>2</v>
      </c>
      <c r="E1788" s="8" t="str">
        <f>[1]Data!E1788</f>
        <v>NON-HS</v>
      </c>
      <c r="F1788" s="8" t="str">
        <f>[1]Data!F1788</f>
        <v>West Adams-Expo Park</v>
      </c>
      <c r="G1788" s="8">
        <f>[1]Data!G1788</f>
        <v>0</v>
      </c>
      <c r="H1788" s="8">
        <f>[1]Data!H1788</f>
        <v>0</v>
      </c>
      <c r="I1788" s="8">
        <f>[1]Data!I1788</f>
        <v>14.260999999999999</v>
      </c>
      <c r="J1788" s="8">
        <f>[1]Data!J1788</f>
        <v>12.80252733</v>
      </c>
      <c r="K1788" s="8">
        <f>[1]Data!K1788</f>
        <v>13.80252733</v>
      </c>
      <c r="L1788" s="8">
        <f>[1]Data!L1788</f>
        <v>0.457165106912029</v>
      </c>
      <c r="M1788" s="8">
        <f>[1]Data!M1788</f>
        <v>14.259692436911999</v>
      </c>
      <c r="N1788" s="8">
        <f>[1]Data!N1788</f>
        <v>2.6315789473684199E-2</v>
      </c>
      <c r="O1788" s="8">
        <f>[1]Data!O1788</f>
        <v>0</v>
      </c>
      <c r="P1788" s="8">
        <f>[1]Data!P1788</f>
        <v>0.17105263157894701</v>
      </c>
      <c r="Q1788" s="8">
        <f>[1]Data!Q1788</f>
        <v>0.57777777777777795</v>
      </c>
      <c r="R1788" s="8">
        <f>[1]Data!R1788</f>
        <v>9.0909090909090898E-2</v>
      </c>
      <c r="S1788" s="8">
        <f>[1]Data!S1788</f>
        <v>0</v>
      </c>
      <c r="T1788">
        <f t="shared" si="135"/>
        <v>0.11483253588516744</v>
      </c>
      <c r="U1788">
        <f t="shared" si="136"/>
        <v>0</v>
      </c>
      <c r="V1788" s="4" t="str">
        <f t="shared" si="137"/>
        <v>10</v>
      </c>
      <c r="W1788" s="4" t="str">
        <f t="shared" si="138"/>
        <v>4</v>
      </c>
      <c r="X1788" s="4" t="str">
        <f t="shared" si="139"/>
        <v>10NON-HS4</v>
      </c>
      <c r="Y1788">
        <f>VLOOKUP(X1788,Sheet1!$J$5:$K$121,2,FALSE)</f>
        <v>9.0909090909090898E-2</v>
      </c>
    </row>
    <row r="1789" spans="1:25" x14ac:dyDescent="0.25">
      <c r="A1789" s="8">
        <f>[1]Data!A1789</f>
        <v>221304</v>
      </c>
      <c r="B1789" s="8">
        <f>[1]Data!B1789</f>
        <v>4</v>
      </c>
      <c r="C1789" s="8">
        <f>[1]Data!C1789</f>
        <v>10</v>
      </c>
      <c r="D1789" s="8">
        <f>[1]Data!D1789</f>
        <v>2</v>
      </c>
      <c r="E1789" s="8" t="str">
        <f>[1]Data!E1789</f>
        <v>NON-HS</v>
      </c>
      <c r="F1789" s="8" t="str">
        <f>[1]Data!F1789</f>
        <v>West Adams-Expo Park</v>
      </c>
      <c r="G1789" s="8">
        <f>[1]Data!G1789</f>
        <v>0</v>
      </c>
      <c r="H1789" s="8">
        <f>[1]Data!H1789</f>
        <v>0</v>
      </c>
      <c r="I1789" s="8">
        <f>[1]Data!I1789</f>
        <v>1.591</v>
      </c>
      <c r="J1789" s="8">
        <f>[1]Data!J1789</f>
        <v>1.43919657</v>
      </c>
      <c r="K1789" s="8">
        <f>[1]Data!K1789</f>
        <v>1.43919657</v>
      </c>
      <c r="L1789" s="8">
        <f>[1]Data!L1789</f>
        <v>0.15145200614003601</v>
      </c>
      <c r="M1789" s="8">
        <f>[1]Data!M1789</f>
        <v>1.59064857614004</v>
      </c>
      <c r="N1789" s="8">
        <f>[1]Data!N1789</f>
        <v>2.6315789473684199E-2</v>
      </c>
      <c r="O1789" s="8">
        <f>[1]Data!O1789</f>
        <v>0</v>
      </c>
      <c r="P1789" s="8">
        <f>[1]Data!P1789</f>
        <v>0.17105263157894701</v>
      </c>
      <c r="Q1789" s="8">
        <f>[1]Data!Q1789</f>
        <v>0.57777777777777795</v>
      </c>
      <c r="R1789" s="8">
        <f>[1]Data!R1789</f>
        <v>9.0909090909090898E-2</v>
      </c>
      <c r="S1789" s="8">
        <f>[1]Data!S1789</f>
        <v>0</v>
      </c>
      <c r="T1789">
        <f t="shared" si="135"/>
        <v>0.11483253588516744</v>
      </c>
      <c r="U1789">
        <f t="shared" si="136"/>
        <v>0</v>
      </c>
      <c r="V1789" s="4" t="str">
        <f t="shared" si="137"/>
        <v>10</v>
      </c>
      <c r="W1789" s="4" t="str">
        <f t="shared" si="138"/>
        <v>4</v>
      </c>
      <c r="X1789" s="4" t="str">
        <f t="shared" si="139"/>
        <v>10NON-HS4</v>
      </c>
      <c r="Y1789">
        <f>VLOOKUP(X1789,Sheet1!$J$5:$K$121,2,FALSE)</f>
        <v>9.0909090909090898E-2</v>
      </c>
    </row>
    <row r="1790" spans="1:25" x14ac:dyDescent="0.25">
      <c r="A1790" s="8">
        <f>[1]Data!A1790</f>
        <v>218110</v>
      </c>
      <c r="B1790" s="8">
        <f>[1]Data!B1790</f>
        <v>4</v>
      </c>
      <c r="C1790" s="8">
        <f>[1]Data!C1790</f>
        <v>10</v>
      </c>
      <c r="D1790" s="8">
        <f>[1]Data!D1790</f>
        <v>2</v>
      </c>
      <c r="E1790" s="8" t="str">
        <f>[1]Data!E1790</f>
        <v>NON-HS</v>
      </c>
      <c r="F1790" s="8" t="str">
        <f>[1]Data!F1790</f>
        <v>West Adams-Expo Park</v>
      </c>
      <c r="G1790" s="8">
        <f>[1]Data!G1790</f>
        <v>0</v>
      </c>
      <c r="H1790" s="8">
        <f>[1]Data!H1790</f>
        <v>0</v>
      </c>
      <c r="I1790" s="8">
        <f>[1]Data!I1790</f>
        <v>22.89</v>
      </c>
      <c r="J1790" s="8">
        <f>[1]Data!J1790</f>
        <v>14.028888630000001</v>
      </c>
      <c r="K1790" s="8">
        <f>[1]Data!K1790</f>
        <v>22.028888630000001</v>
      </c>
      <c r="L1790" s="8">
        <f>[1]Data!L1790</f>
        <v>0.86137834728904805</v>
      </c>
      <c r="M1790" s="8">
        <f>[1]Data!M1790</f>
        <v>22.890266977288999</v>
      </c>
      <c r="N1790" s="8">
        <f>[1]Data!N1790</f>
        <v>2.6315789473684199E-2</v>
      </c>
      <c r="O1790" s="8">
        <f>[1]Data!O1790</f>
        <v>0</v>
      </c>
      <c r="P1790" s="8">
        <f>[1]Data!P1790</f>
        <v>0.17105263157894701</v>
      </c>
      <c r="Q1790" s="8">
        <f>[1]Data!Q1790</f>
        <v>0.57777777777777795</v>
      </c>
      <c r="R1790" s="8">
        <f>[1]Data!R1790</f>
        <v>9.0909090909090898E-2</v>
      </c>
      <c r="S1790" s="8">
        <f>[1]Data!S1790</f>
        <v>0</v>
      </c>
      <c r="T1790">
        <f t="shared" si="135"/>
        <v>0.11483253588516744</v>
      </c>
      <c r="U1790">
        <f t="shared" si="136"/>
        <v>0</v>
      </c>
      <c r="V1790" s="4" t="str">
        <f t="shared" si="137"/>
        <v>10</v>
      </c>
      <c r="W1790" s="4" t="str">
        <f t="shared" si="138"/>
        <v>4</v>
      </c>
      <c r="X1790" s="4" t="str">
        <f t="shared" si="139"/>
        <v>10NON-HS4</v>
      </c>
      <c r="Y1790">
        <f>VLOOKUP(X1790,Sheet1!$J$5:$K$121,2,FALSE)</f>
        <v>9.0909090909090898E-2</v>
      </c>
    </row>
    <row r="1791" spans="1:25" x14ac:dyDescent="0.25">
      <c r="A1791" s="8">
        <f>[1]Data!A1791</f>
        <v>213202</v>
      </c>
      <c r="B1791" s="8">
        <f>[1]Data!B1791</f>
        <v>4</v>
      </c>
      <c r="C1791" s="8">
        <f>[1]Data!C1791</f>
        <v>10</v>
      </c>
      <c r="D1791" s="8">
        <f>[1]Data!D1791</f>
        <v>2</v>
      </c>
      <c r="E1791" s="8" t="str">
        <f>[1]Data!E1791</f>
        <v>NON-HS</v>
      </c>
      <c r="F1791" s="8" t="str">
        <f>[1]Data!F1791</f>
        <v>Miracle Mile</v>
      </c>
      <c r="G1791" s="8">
        <f>[1]Data!G1791</f>
        <v>0</v>
      </c>
      <c r="H1791" s="8">
        <f>[1]Data!H1791</f>
        <v>0</v>
      </c>
      <c r="I1791" s="8">
        <f>[1]Data!I1791</f>
        <v>1</v>
      </c>
      <c r="J1791" s="8">
        <f>[1]Data!J1791</f>
        <v>0</v>
      </c>
      <c r="K1791" s="8">
        <f>[1]Data!K1791</f>
        <v>1</v>
      </c>
      <c r="L1791" s="8">
        <f>[1]Data!L1791</f>
        <v>0</v>
      </c>
      <c r="M1791" s="8">
        <f>[1]Data!M1791</f>
        <v>1</v>
      </c>
      <c r="N1791" s="8">
        <f>[1]Data!N1791</f>
        <v>2.6315789473684199E-2</v>
      </c>
      <c r="O1791" s="8">
        <f>[1]Data!O1791</f>
        <v>0</v>
      </c>
      <c r="P1791" s="8">
        <f>[1]Data!P1791</f>
        <v>0.17105263157894701</v>
      </c>
      <c r="Q1791" s="8">
        <f>[1]Data!Q1791</f>
        <v>0.57777777777777795</v>
      </c>
      <c r="R1791" s="8">
        <f>[1]Data!R1791</f>
        <v>9.0909090909090898E-2</v>
      </c>
      <c r="S1791" s="8">
        <f>[1]Data!S1791</f>
        <v>0</v>
      </c>
      <c r="T1791">
        <f t="shared" si="135"/>
        <v>0.11483253588516744</v>
      </c>
      <c r="U1791">
        <f t="shared" si="136"/>
        <v>0</v>
      </c>
      <c r="V1791" s="4" t="str">
        <f t="shared" si="137"/>
        <v>10</v>
      </c>
      <c r="W1791" s="4" t="str">
        <f t="shared" si="138"/>
        <v>4</v>
      </c>
      <c r="X1791" s="4" t="str">
        <f t="shared" si="139"/>
        <v>10NON-HS4</v>
      </c>
      <c r="Y1791">
        <f>VLOOKUP(X1791,Sheet1!$J$5:$K$121,2,FALSE)</f>
        <v>9.0909090909090898E-2</v>
      </c>
    </row>
    <row r="1792" spans="1:25" x14ac:dyDescent="0.25">
      <c r="A1792" s="8">
        <f>[1]Data!A1792</f>
        <v>211803</v>
      </c>
      <c r="B1792" s="8">
        <f>[1]Data!B1792</f>
        <v>4</v>
      </c>
      <c r="C1792" s="8">
        <f>[1]Data!C1792</f>
        <v>10</v>
      </c>
      <c r="D1792" s="8">
        <f>[1]Data!D1792</f>
        <v>2</v>
      </c>
      <c r="E1792" s="8" t="str">
        <f>[1]Data!E1792</f>
        <v>NON-HS</v>
      </c>
      <c r="F1792" s="8" t="str">
        <f>[1]Data!F1792</f>
        <v>Wilshire Center-Koreatown</v>
      </c>
      <c r="G1792" s="8">
        <f>[1]Data!G1792</f>
        <v>0</v>
      </c>
      <c r="H1792" s="8">
        <f>[1]Data!H1792</f>
        <v>0</v>
      </c>
      <c r="I1792" s="8">
        <f>[1]Data!I1792</f>
        <v>6.58</v>
      </c>
      <c r="J1792" s="8">
        <f>[1]Data!J1792</f>
        <v>6.0507218800000002</v>
      </c>
      <c r="K1792" s="8">
        <f>[1]Data!K1792</f>
        <v>6.0507218800000002</v>
      </c>
      <c r="L1792" s="8">
        <f>[1]Data!L1792</f>
        <v>0.52934152870736095</v>
      </c>
      <c r="M1792" s="8">
        <f>[1]Data!M1792</f>
        <v>6.5800634087073604</v>
      </c>
      <c r="N1792" s="8">
        <f>[1]Data!N1792</f>
        <v>2.6315789473684199E-2</v>
      </c>
      <c r="O1792" s="8">
        <f>[1]Data!O1792</f>
        <v>0</v>
      </c>
      <c r="P1792" s="8">
        <f>[1]Data!P1792</f>
        <v>0.17105263157894701</v>
      </c>
      <c r="Q1792" s="8">
        <f>[1]Data!Q1792</f>
        <v>0.57777777777777795</v>
      </c>
      <c r="R1792" s="8">
        <f>[1]Data!R1792</f>
        <v>9.0909090909090898E-2</v>
      </c>
      <c r="S1792" s="8">
        <f>[1]Data!S1792</f>
        <v>0</v>
      </c>
      <c r="T1792">
        <f t="shared" si="135"/>
        <v>0.11483253588516744</v>
      </c>
      <c r="U1792">
        <f t="shared" si="136"/>
        <v>0</v>
      </c>
      <c r="V1792" s="4" t="str">
        <f t="shared" si="137"/>
        <v>10</v>
      </c>
      <c r="W1792" s="4" t="str">
        <f t="shared" si="138"/>
        <v>4</v>
      </c>
      <c r="X1792" s="4" t="str">
        <f t="shared" si="139"/>
        <v>10NON-HS4</v>
      </c>
      <c r="Y1792">
        <f>VLOOKUP(X1792,Sheet1!$J$5:$K$121,2,FALSE)</f>
        <v>9.0909090909090898E-2</v>
      </c>
    </row>
    <row r="1793" spans="1:25" x14ac:dyDescent="0.25">
      <c r="A1793" s="8">
        <f>[1]Data!A1793</f>
        <v>211910</v>
      </c>
      <c r="B1793" s="8">
        <f>[1]Data!B1793</f>
        <v>4</v>
      </c>
      <c r="C1793" s="8">
        <f>[1]Data!C1793</f>
        <v>10</v>
      </c>
      <c r="D1793" s="8">
        <f>[1]Data!D1793</f>
        <v>2</v>
      </c>
      <c r="E1793" s="8" t="str">
        <f>[1]Data!E1793</f>
        <v>NON-HS</v>
      </c>
      <c r="F1793" s="8" t="str">
        <f>[1]Data!F1793</f>
        <v>Wilshire Center-Koreatown</v>
      </c>
      <c r="G1793" s="8">
        <f>[1]Data!G1793</f>
        <v>0</v>
      </c>
      <c r="H1793" s="8">
        <f>[1]Data!H1793</f>
        <v>0</v>
      </c>
      <c r="I1793" s="8">
        <f>[1]Data!I1793</f>
        <v>2.7029999999999998</v>
      </c>
      <c r="J1793" s="8">
        <f>[1]Data!J1793</f>
        <v>1.6812916200000001</v>
      </c>
      <c r="K1793" s="8">
        <f>[1]Data!K1793</f>
        <v>2.6812916200000001</v>
      </c>
      <c r="L1793" s="8">
        <f>[1]Data!L1793</f>
        <v>2.14919317594255E-2</v>
      </c>
      <c r="M1793" s="8">
        <f>[1]Data!M1793</f>
        <v>2.7027835517594299</v>
      </c>
      <c r="N1793" s="8">
        <f>[1]Data!N1793</f>
        <v>2.6315789473684199E-2</v>
      </c>
      <c r="O1793" s="8">
        <f>[1]Data!O1793</f>
        <v>0</v>
      </c>
      <c r="P1793" s="8">
        <f>[1]Data!P1793</f>
        <v>0.17105263157894701</v>
      </c>
      <c r="Q1793" s="8">
        <f>[1]Data!Q1793</f>
        <v>0.57777777777777795</v>
      </c>
      <c r="R1793" s="8">
        <f>[1]Data!R1793</f>
        <v>9.0909090909090898E-2</v>
      </c>
      <c r="S1793" s="8">
        <f>[1]Data!S1793</f>
        <v>0</v>
      </c>
      <c r="T1793">
        <f t="shared" si="135"/>
        <v>0.11483253588516744</v>
      </c>
      <c r="U1793">
        <f t="shared" si="136"/>
        <v>0</v>
      </c>
      <c r="V1793" s="4" t="str">
        <f t="shared" si="137"/>
        <v>10</v>
      </c>
      <c r="W1793" s="4" t="str">
        <f t="shared" si="138"/>
        <v>4</v>
      </c>
      <c r="X1793" s="4" t="str">
        <f t="shared" si="139"/>
        <v>10NON-HS4</v>
      </c>
      <c r="Y1793">
        <f>VLOOKUP(X1793,Sheet1!$J$5:$K$121,2,FALSE)</f>
        <v>9.0909090909090898E-2</v>
      </c>
    </row>
    <row r="1794" spans="1:25" x14ac:dyDescent="0.25">
      <c r="A1794" s="8">
        <f>[1]Data!A1794</f>
        <v>269700</v>
      </c>
      <c r="B1794" s="8">
        <f>[1]Data!B1794</f>
        <v>5</v>
      </c>
      <c r="C1794" s="8">
        <f>[1]Data!C1794</f>
        <v>10</v>
      </c>
      <c r="D1794" s="8">
        <f>[1]Data!D1794</f>
        <v>2</v>
      </c>
      <c r="E1794" s="8" t="str">
        <f>[1]Data!E1794</f>
        <v>NON-HS</v>
      </c>
      <c r="F1794" s="8" t="str">
        <f>[1]Data!F1794</f>
        <v>Palms</v>
      </c>
      <c r="G1794" s="8">
        <f>[1]Data!G1794</f>
        <v>0</v>
      </c>
      <c r="H1794" s="8">
        <f>[1]Data!H1794</f>
        <v>0</v>
      </c>
      <c r="I1794" s="8">
        <f>[1]Data!I1794</f>
        <v>16.073</v>
      </c>
      <c r="J1794" s="8">
        <f>[1]Data!J1794</f>
        <v>14.465312219999999</v>
      </c>
      <c r="K1794" s="8">
        <f>[1]Data!K1794</f>
        <v>15.465312219999999</v>
      </c>
      <c r="L1794" s="8">
        <f>[1]Data!L1794</f>
        <v>0.60775050337522396</v>
      </c>
      <c r="M1794" s="8">
        <f>[1]Data!M1794</f>
        <v>16.073062723375202</v>
      </c>
      <c r="N1794" s="8">
        <f>[1]Data!N1794</f>
        <v>3.2258064516128997E-2</v>
      </c>
      <c r="O1794" s="8">
        <f>[1]Data!O1794</f>
        <v>0</v>
      </c>
      <c r="P1794" s="8">
        <f>[1]Data!P1794</f>
        <v>3.2258064516128997E-2</v>
      </c>
      <c r="Q1794" s="8">
        <f>[1]Data!Q1794</f>
        <v>6.6666666666666693E-2</v>
      </c>
      <c r="R1794" s="8">
        <f>[1]Data!R1794</f>
        <v>9.0909090909090898E-2</v>
      </c>
      <c r="S1794" s="8">
        <f>[1]Data!S1794</f>
        <v>0</v>
      </c>
      <c r="T1794">
        <f t="shared" si="135"/>
        <v>0.1202346041055718</v>
      </c>
      <c r="U1794">
        <f t="shared" si="136"/>
        <v>0</v>
      </c>
      <c r="V1794" s="4" t="str">
        <f t="shared" si="137"/>
        <v>10</v>
      </c>
      <c r="W1794" s="4" t="str">
        <f t="shared" si="138"/>
        <v>5</v>
      </c>
      <c r="X1794" s="4" t="str">
        <f t="shared" si="139"/>
        <v>10NON-HS5</v>
      </c>
      <c r="Y1794">
        <f>VLOOKUP(X1794,Sheet1!$J$5:$K$121,2,FALSE)</f>
        <v>9.0909090909090898E-2</v>
      </c>
    </row>
    <row r="1795" spans="1:25" x14ac:dyDescent="0.25">
      <c r="A1795" s="8">
        <f>[1]Data!A1795</f>
        <v>269601</v>
      </c>
      <c r="B1795" s="8">
        <f>[1]Data!B1795</f>
        <v>5</v>
      </c>
      <c r="C1795" s="8">
        <f>[1]Data!C1795</f>
        <v>10</v>
      </c>
      <c r="D1795" s="8">
        <f>[1]Data!D1795</f>
        <v>2</v>
      </c>
      <c r="E1795" s="8" t="str">
        <f>[1]Data!E1795</f>
        <v>NON-HS</v>
      </c>
      <c r="F1795" s="8" t="str">
        <f>[1]Data!F1795</f>
        <v>Palms</v>
      </c>
      <c r="G1795" s="8">
        <f>[1]Data!G1795</f>
        <v>0</v>
      </c>
      <c r="H1795" s="8">
        <f>[1]Data!H1795</f>
        <v>0</v>
      </c>
      <c r="I1795" s="8">
        <f>[1]Data!I1795</f>
        <v>14.516</v>
      </c>
      <c r="J1795" s="8">
        <f>[1]Data!J1795</f>
        <v>11.98487598</v>
      </c>
      <c r="K1795" s="8">
        <f>[1]Data!K1795</f>
        <v>13.98487598</v>
      </c>
      <c r="L1795" s="8">
        <f>[1]Data!L1795</f>
        <v>0.530565001903052</v>
      </c>
      <c r="M1795" s="8">
        <f>[1]Data!M1795</f>
        <v>14.515440981903099</v>
      </c>
      <c r="N1795" s="8">
        <f>[1]Data!N1795</f>
        <v>3.2258064516128997E-2</v>
      </c>
      <c r="O1795" s="8">
        <f>[1]Data!O1795</f>
        <v>0</v>
      </c>
      <c r="P1795" s="8">
        <f>[1]Data!P1795</f>
        <v>3.2258064516128997E-2</v>
      </c>
      <c r="Q1795" s="8">
        <f>[1]Data!Q1795</f>
        <v>6.6666666666666693E-2</v>
      </c>
      <c r="R1795" s="8">
        <f>[1]Data!R1795</f>
        <v>9.0909090909090898E-2</v>
      </c>
      <c r="S1795" s="8">
        <f>[1]Data!S1795</f>
        <v>0</v>
      </c>
      <c r="T1795">
        <f t="shared" ref="T1795:T1858" si="140">N1795+Y1795*(1-N1795)</f>
        <v>0.1202346041055718</v>
      </c>
      <c r="U1795">
        <f t="shared" ref="U1795:U1858" si="141">IF(T1795="",0,1/T1795*H1795)</f>
        <v>0</v>
      </c>
      <c r="V1795" s="4" t="str">
        <f t="shared" ref="V1795:V1858" si="142">TEXT(C1795,"0")</f>
        <v>10</v>
      </c>
      <c r="W1795" s="4" t="str">
        <f t="shared" ref="W1795:W1858" si="143">TEXT(B1795,"0")</f>
        <v>5</v>
      </c>
      <c r="X1795" s="4" t="str">
        <f t="shared" ref="X1795:X1858" si="144">CONCATENATE(V1795,E1795,W1795)</f>
        <v>10NON-HS5</v>
      </c>
      <c r="Y1795">
        <f>VLOOKUP(X1795,Sheet1!$J$5:$K$121,2,FALSE)</f>
        <v>9.0909090909090898E-2</v>
      </c>
    </row>
    <row r="1796" spans="1:25" x14ac:dyDescent="0.25">
      <c r="A1796" s="8">
        <f>[1]Data!A1796</f>
        <v>269602</v>
      </c>
      <c r="B1796" s="8">
        <f>[1]Data!B1796</f>
        <v>5</v>
      </c>
      <c r="C1796" s="8">
        <f>[1]Data!C1796</f>
        <v>10</v>
      </c>
      <c r="D1796" s="8">
        <f>[1]Data!D1796</f>
        <v>2</v>
      </c>
      <c r="E1796" s="8" t="str">
        <f>[1]Data!E1796</f>
        <v>NON-HS</v>
      </c>
      <c r="F1796" s="8" t="str">
        <f>[1]Data!F1796</f>
        <v>Palms</v>
      </c>
      <c r="G1796" s="8">
        <f>[1]Data!G1796</f>
        <v>0</v>
      </c>
      <c r="H1796" s="8">
        <f>[1]Data!H1796</f>
        <v>0</v>
      </c>
      <c r="I1796" s="8">
        <f>[1]Data!I1796</f>
        <v>1.8080000000000001</v>
      </c>
      <c r="J1796" s="8">
        <f>[1]Data!J1796</f>
        <v>1.73313217</v>
      </c>
      <c r="K1796" s="8">
        <f>[1]Data!K1796</f>
        <v>1.73313217</v>
      </c>
      <c r="L1796" s="8">
        <f>[1]Data!L1796</f>
        <v>7.4985510287253102E-2</v>
      </c>
      <c r="M1796" s="8">
        <f>[1]Data!M1796</f>
        <v>1.8081176802872501</v>
      </c>
      <c r="N1796" s="8">
        <f>[1]Data!N1796</f>
        <v>3.2258064516128997E-2</v>
      </c>
      <c r="O1796" s="8">
        <f>[1]Data!O1796</f>
        <v>0</v>
      </c>
      <c r="P1796" s="8">
        <f>[1]Data!P1796</f>
        <v>3.2258064516128997E-2</v>
      </c>
      <c r="Q1796" s="8">
        <f>[1]Data!Q1796</f>
        <v>6.6666666666666693E-2</v>
      </c>
      <c r="R1796" s="8">
        <f>[1]Data!R1796</f>
        <v>9.0909090909090898E-2</v>
      </c>
      <c r="S1796" s="8">
        <f>[1]Data!S1796</f>
        <v>0</v>
      </c>
      <c r="T1796">
        <f t="shared" si="140"/>
        <v>0.1202346041055718</v>
      </c>
      <c r="U1796">
        <f t="shared" si="141"/>
        <v>0</v>
      </c>
      <c r="V1796" s="4" t="str">
        <f t="shared" si="142"/>
        <v>10</v>
      </c>
      <c r="W1796" s="4" t="str">
        <f t="shared" si="143"/>
        <v>5</v>
      </c>
      <c r="X1796" s="4" t="str">
        <f t="shared" si="144"/>
        <v>10NON-HS5</v>
      </c>
      <c r="Y1796">
        <f>VLOOKUP(X1796,Sheet1!$J$5:$K$121,2,FALSE)</f>
        <v>9.0909090909090898E-2</v>
      </c>
    </row>
    <row r="1797" spans="1:25" x14ac:dyDescent="0.25">
      <c r="A1797" s="8">
        <f>[1]Data!A1797</f>
        <v>236000</v>
      </c>
      <c r="B1797" s="8">
        <f>[1]Data!B1797</f>
        <v>6</v>
      </c>
      <c r="C1797" s="8">
        <f>[1]Data!C1797</f>
        <v>10</v>
      </c>
      <c r="D1797" s="8">
        <f>[1]Data!D1797</f>
        <v>2</v>
      </c>
      <c r="E1797" s="8" t="str">
        <f>[1]Data!E1797</f>
        <v>NON-HS</v>
      </c>
      <c r="F1797" s="8" t="str">
        <f>[1]Data!F1797</f>
        <v>Baldwin Hills / Crenshaw</v>
      </c>
      <c r="G1797" s="8">
        <f>[1]Data!G1797</f>
        <v>0</v>
      </c>
      <c r="H1797" s="8">
        <f>[1]Data!H1797</f>
        <v>0</v>
      </c>
      <c r="I1797" s="8">
        <f>[1]Data!I1797</f>
        <v>3.851</v>
      </c>
      <c r="J1797" s="8">
        <f>[1]Data!J1797</f>
        <v>3.8097598800000001</v>
      </c>
      <c r="K1797" s="8">
        <f>[1]Data!K1797</f>
        <v>3.8097598800000001</v>
      </c>
      <c r="L1797" s="8">
        <f>[1]Data!L1797</f>
        <v>4.1250644165170602E-2</v>
      </c>
      <c r="M1797" s="8">
        <f>[1]Data!M1797</f>
        <v>3.85101052416517</v>
      </c>
      <c r="N1797" s="8">
        <f>[1]Data!N1797</f>
        <v>2.34375E-2</v>
      </c>
      <c r="O1797" s="8">
        <f>[1]Data!O1797</f>
        <v>0</v>
      </c>
      <c r="P1797" s="8">
        <f>[1]Data!P1797</f>
        <v>0.125</v>
      </c>
      <c r="Q1797" s="8">
        <f>[1]Data!Q1797</f>
        <v>0.35555555555555601</v>
      </c>
      <c r="R1797" s="8">
        <f>[1]Data!R1797</f>
        <v>9.0909090909090898E-2</v>
      </c>
      <c r="S1797" s="8">
        <f>[1]Data!S1797</f>
        <v>0</v>
      </c>
      <c r="T1797">
        <f t="shared" si="140"/>
        <v>0.11221590909090907</v>
      </c>
      <c r="U1797">
        <f t="shared" si="141"/>
        <v>0</v>
      </c>
      <c r="V1797" s="4" t="str">
        <f t="shared" si="142"/>
        <v>10</v>
      </c>
      <c r="W1797" s="4" t="str">
        <f t="shared" si="143"/>
        <v>6</v>
      </c>
      <c r="X1797" s="4" t="str">
        <f t="shared" si="144"/>
        <v>10NON-HS6</v>
      </c>
      <c r="Y1797">
        <f>VLOOKUP(X1797,Sheet1!$J$5:$K$121,2,FALSE)</f>
        <v>9.0909090909090898E-2</v>
      </c>
    </row>
    <row r="1798" spans="1:25" x14ac:dyDescent="0.25">
      <c r="A1798" s="8">
        <f>[1]Data!A1798</f>
        <v>220100</v>
      </c>
      <c r="B1798" s="8">
        <f>[1]Data!B1798</f>
        <v>6</v>
      </c>
      <c r="C1798" s="8">
        <f>[1]Data!C1798</f>
        <v>10</v>
      </c>
      <c r="D1798" s="8">
        <f>[1]Data!D1798</f>
        <v>2</v>
      </c>
      <c r="E1798" s="8" t="str">
        <f>[1]Data!E1798</f>
        <v>NON-HS</v>
      </c>
      <c r="F1798" s="8" t="str">
        <f>[1]Data!F1798</f>
        <v>Adams-La Brea</v>
      </c>
      <c r="G1798" s="8">
        <f>[1]Data!G1798</f>
        <v>0</v>
      </c>
      <c r="H1798" s="8">
        <f>[1]Data!H1798</f>
        <v>0</v>
      </c>
      <c r="I1798" s="8">
        <f>[1]Data!I1798</f>
        <v>4.9260000000000002</v>
      </c>
      <c r="J1798" s="8">
        <f>[1]Data!J1798</f>
        <v>1.90487994</v>
      </c>
      <c r="K1798" s="8">
        <f>[1]Data!K1798</f>
        <v>4.9048799399999998</v>
      </c>
      <c r="L1798" s="8">
        <f>[1]Data!L1798</f>
        <v>2.0625322082585301E-2</v>
      </c>
      <c r="M1798" s="8">
        <f>[1]Data!M1798</f>
        <v>4.9255052620825897</v>
      </c>
      <c r="N1798" s="8">
        <f>[1]Data!N1798</f>
        <v>2.34375E-2</v>
      </c>
      <c r="O1798" s="8">
        <f>[1]Data!O1798</f>
        <v>0</v>
      </c>
      <c r="P1798" s="8">
        <f>[1]Data!P1798</f>
        <v>0.125</v>
      </c>
      <c r="Q1798" s="8">
        <f>[1]Data!Q1798</f>
        <v>0.35555555555555601</v>
      </c>
      <c r="R1798" s="8">
        <f>[1]Data!R1798</f>
        <v>9.0909090909090898E-2</v>
      </c>
      <c r="S1798" s="8">
        <f>[1]Data!S1798</f>
        <v>0</v>
      </c>
      <c r="T1798">
        <f t="shared" si="140"/>
        <v>0.11221590909090907</v>
      </c>
      <c r="U1798">
        <f t="shared" si="141"/>
        <v>0</v>
      </c>
      <c r="V1798" s="4" t="str">
        <f t="shared" si="142"/>
        <v>10</v>
      </c>
      <c r="W1798" s="4" t="str">
        <f t="shared" si="143"/>
        <v>6</v>
      </c>
      <c r="X1798" s="4" t="str">
        <f t="shared" si="144"/>
        <v>10NON-HS6</v>
      </c>
      <c r="Y1798">
        <f>VLOOKUP(X1798,Sheet1!$J$5:$K$121,2,FALSE)</f>
        <v>9.0909090909090898E-2</v>
      </c>
    </row>
    <row r="1799" spans="1:25" x14ac:dyDescent="0.25">
      <c r="A1799" s="8">
        <f>[1]Data!A1799</f>
        <v>218400</v>
      </c>
      <c r="B1799" s="8">
        <f>[1]Data!B1799</f>
        <v>6</v>
      </c>
      <c r="C1799" s="8">
        <f>[1]Data!C1799</f>
        <v>10</v>
      </c>
      <c r="D1799" s="8">
        <f>[1]Data!D1799</f>
        <v>2</v>
      </c>
      <c r="E1799" s="8" t="str">
        <f>[1]Data!E1799</f>
        <v>NON-HS</v>
      </c>
      <c r="F1799" s="8" t="str">
        <f>[1]Data!F1799</f>
        <v>Mid City</v>
      </c>
      <c r="G1799" s="8">
        <f>[1]Data!G1799</f>
        <v>0</v>
      </c>
      <c r="H1799" s="8">
        <f>[1]Data!H1799</f>
        <v>1</v>
      </c>
      <c r="I1799" s="8">
        <f>[1]Data!I1799</f>
        <v>20.949000000000002</v>
      </c>
      <c r="J1799" s="8">
        <f>[1]Data!J1799</f>
        <v>19.836996599999999</v>
      </c>
      <c r="K1799" s="8">
        <f>[1]Data!K1799</f>
        <v>19.836996599999999</v>
      </c>
      <c r="L1799" s="8">
        <f>[1]Data!L1799</f>
        <v>1.1117260138240601</v>
      </c>
      <c r="M1799" s="8">
        <f>[1]Data!M1799</f>
        <v>20.948722613824099</v>
      </c>
      <c r="N1799" s="8">
        <f>[1]Data!N1799</f>
        <v>2.34375E-2</v>
      </c>
      <c r="O1799" s="8">
        <f>[1]Data!O1799</f>
        <v>0</v>
      </c>
      <c r="P1799" s="8">
        <f>[1]Data!P1799</f>
        <v>0.125</v>
      </c>
      <c r="Q1799" s="8">
        <f>[1]Data!Q1799</f>
        <v>0.35555555555555601</v>
      </c>
      <c r="R1799" s="8">
        <f>[1]Data!R1799</f>
        <v>9.0909090909090898E-2</v>
      </c>
      <c r="S1799" s="8">
        <f>[1]Data!S1799</f>
        <v>11</v>
      </c>
      <c r="T1799">
        <f t="shared" si="140"/>
        <v>0.11221590909090907</v>
      </c>
      <c r="U1799">
        <f t="shared" si="141"/>
        <v>8.9113924050632924</v>
      </c>
      <c r="V1799" s="4" t="str">
        <f t="shared" si="142"/>
        <v>10</v>
      </c>
      <c r="W1799" s="4" t="str">
        <f t="shared" si="143"/>
        <v>6</v>
      </c>
      <c r="X1799" s="4" t="str">
        <f t="shared" si="144"/>
        <v>10NON-HS6</v>
      </c>
      <c r="Y1799">
        <f>VLOOKUP(X1799,Sheet1!$J$5:$K$121,2,FALSE)</f>
        <v>9.0909090909090898E-2</v>
      </c>
    </row>
    <row r="1800" spans="1:25" x14ac:dyDescent="0.25">
      <c r="A1800" s="8">
        <f>[1]Data!A1800</f>
        <v>218500</v>
      </c>
      <c r="B1800" s="8">
        <f>[1]Data!B1800</f>
        <v>6</v>
      </c>
      <c r="C1800" s="8">
        <f>[1]Data!C1800</f>
        <v>10</v>
      </c>
      <c r="D1800" s="8">
        <f>[1]Data!D1800</f>
        <v>2</v>
      </c>
      <c r="E1800" s="8" t="str">
        <f>[1]Data!E1800</f>
        <v>NON-HS</v>
      </c>
      <c r="F1800" s="8" t="str">
        <f>[1]Data!F1800</f>
        <v>Mid City</v>
      </c>
      <c r="G1800" s="8">
        <f>[1]Data!G1800</f>
        <v>0</v>
      </c>
      <c r="H1800" s="8">
        <f>[1]Data!H1800</f>
        <v>0</v>
      </c>
      <c r="I1800" s="8">
        <f>[1]Data!I1800</f>
        <v>11.558</v>
      </c>
      <c r="J1800" s="8">
        <f>[1]Data!J1800</f>
        <v>11.121235710000001</v>
      </c>
      <c r="K1800" s="8">
        <f>[1]Data!K1800</f>
        <v>11.121235710000001</v>
      </c>
      <c r="L1800" s="8">
        <f>[1]Data!L1800</f>
        <v>0.43567317515260301</v>
      </c>
      <c r="M1800" s="8">
        <f>[1]Data!M1800</f>
        <v>11.5569088851526</v>
      </c>
      <c r="N1800" s="8">
        <f>[1]Data!N1800</f>
        <v>2.34375E-2</v>
      </c>
      <c r="O1800" s="8">
        <f>[1]Data!O1800</f>
        <v>0</v>
      </c>
      <c r="P1800" s="8">
        <f>[1]Data!P1800</f>
        <v>0.125</v>
      </c>
      <c r="Q1800" s="8">
        <f>[1]Data!Q1800</f>
        <v>0.35555555555555601</v>
      </c>
      <c r="R1800" s="8">
        <f>[1]Data!R1800</f>
        <v>9.0909090909090898E-2</v>
      </c>
      <c r="S1800" s="8">
        <f>[1]Data!S1800</f>
        <v>0</v>
      </c>
      <c r="T1800">
        <f t="shared" si="140"/>
        <v>0.11221590909090907</v>
      </c>
      <c r="U1800">
        <f t="shared" si="141"/>
        <v>0</v>
      </c>
      <c r="V1800" s="4" t="str">
        <f t="shared" si="142"/>
        <v>10</v>
      </c>
      <c r="W1800" s="4" t="str">
        <f t="shared" si="143"/>
        <v>6</v>
      </c>
      <c r="X1800" s="4" t="str">
        <f t="shared" si="144"/>
        <v>10NON-HS6</v>
      </c>
      <c r="Y1800">
        <f>VLOOKUP(X1800,Sheet1!$J$5:$K$121,2,FALSE)</f>
        <v>9.0909090909090898E-2</v>
      </c>
    </row>
    <row r="1801" spans="1:25" x14ac:dyDescent="0.25">
      <c r="A1801" s="8">
        <f>[1]Data!A1801</f>
        <v>218600</v>
      </c>
      <c r="B1801" s="8">
        <f>[1]Data!B1801</f>
        <v>6</v>
      </c>
      <c r="C1801" s="8">
        <f>[1]Data!C1801</f>
        <v>10</v>
      </c>
      <c r="D1801" s="8">
        <f>[1]Data!D1801</f>
        <v>2</v>
      </c>
      <c r="E1801" s="8" t="str">
        <f>[1]Data!E1801</f>
        <v>NON-HS</v>
      </c>
      <c r="F1801" s="8" t="str">
        <f>[1]Data!F1801</f>
        <v>Mid City</v>
      </c>
      <c r="G1801" s="8">
        <f>[1]Data!G1801</f>
        <v>0</v>
      </c>
      <c r="H1801" s="8">
        <f>[1]Data!H1801</f>
        <v>0</v>
      </c>
      <c r="I1801" s="8">
        <f>[1]Data!I1801</f>
        <v>2.0950000000000002</v>
      </c>
      <c r="J1801" s="8">
        <f>[1]Data!J1801</f>
        <v>1.9836996600000001</v>
      </c>
      <c r="K1801" s="8">
        <f>[1]Data!K1801</f>
        <v>1.9836996600000001</v>
      </c>
      <c r="L1801" s="8">
        <f>[1]Data!L1801</f>
        <v>0.11117260138240601</v>
      </c>
      <c r="M1801" s="8">
        <f>[1]Data!M1801</f>
        <v>2.09487226138241</v>
      </c>
      <c r="N1801" s="8">
        <f>[1]Data!N1801</f>
        <v>2.34375E-2</v>
      </c>
      <c r="O1801" s="8">
        <f>[1]Data!O1801</f>
        <v>0</v>
      </c>
      <c r="P1801" s="8">
        <f>[1]Data!P1801</f>
        <v>0.125</v>
      </c>
      <c r="Q1801" s="8">
        <f>[1]Data!Q1801</f>
        <v>0.35555555555555601</v>
      </c>
      <c r="R1801" s="8">
        <f>[1]Data!R1801</f>
        <v>9.0909090909090898E-2</v>
      </c>
      <c r="S1801" s="8">
        <f>[1]Data!S1801</f>
        <v>0</v>
      </c>
      <c r="T1801">
        <f t="shared" si="140"/>
        <v>0.11221590909090907</v>
      </c>
      <c r="U1801">
        <f t="shared" si="141"/>
        <v>0</v>
      </c>
      <c r="V1801" s="4" t="str">
        <f t="shared" si="142"/>
        <v>10</v>
      </c>
      <c r="W1801" s="4" t="str">
        <f t="shared" si="143"/>
        <v>6</v>
      </c>
      <c r="X1801" s="4" t="str">
        <f t="shared" si="144"/>
        <v>10NON-HS6</v>
      </c>
      <c r="Y1801">
        <f>VLOOKUP(X1801,Sheet1!$J$5:$K$121,2,FALSE)</f>
        <v>9.0909090909090898E-2</v>
      </c>
    </row>
    <row r="1802" spans="1:25" x14ac:dyDescent="0.25">
      <c r="A1802" s="8">
        <f>[1]Data!A1802</f>
        <v>218701</v>
      </c>
      <c r="B1802" s="8">
        <f>[1]Data!B1802</f>
        <v>6</v>
      </c>
      <c r="C1802" s="8">
        <f>[1]Data!C1802</f>
        <v>10</v>
      </c>
      <c r="D1802" s="8">
        <f>[1]Data!D1802</f>
        <v>2</v>
      </c>
      <c r="E1802" s="8" t="str">
        <f>[1]Data!E1802</f>
        <v>NON-HS</v>
      </c>
      <c r="F1802" s="8" t="str">
        <f>[1]Data!F1802</f>
        <v>West Adams-Expo Park</v>
      </c>
      <c r="G1802" s="8">
        <f>[1]Data!G1802</f>
        <v>0</v>
      </c>
      <c r="H1802" s="8">
        <f>[1]Data!H1802</f>
        <v>0</v>
      </c>
      <c r="I1802" s="8">
        <f>[1]Data!I1802</f>
        <v>8.2110000000000003</v>
      </c>
      <c r="J1802" s="8">
        <f>[1]Data!J1802</f>
        <v>7.8559789200000001</v>
      </c>
      <c r="K1802" s="8">
        <f>[1]Data!K1802</f>
        <v>7.8559789200000001</v>
      </c>
      <c r="L1802" s="8">
        <f>[1]Data!L1802</f>
        <v>0.35414312622980199</v>
      </c>
      <c r="M1802" s="8">
        <f>[1]Data!M1802</f>
        <v>8.2101220462298006</v>
      </c>
      <c r="N1802" s="8">
        <f>[1]Data!N1802</f>
        <v>2.34375E-2</v>
      </c>
      <c r="O1802" s="8">
        <f>[1]Data!O1802</f>
        <v>0</v>
      </c>
      <c r="P1802" s="8">
        <f>[1]Data!P1802</f>
        <v>0.125</v>
      </c>
      <c r="Q1802" s="8">
        <f>[1]Data!Q1802</f>
        <v>0.35555555555555601</v>
      </c>
      <c r="R1802" s="8">
        <f>[1]Data!R1802</f>
        <v>9.0909090909090898E-2</v>
      </c>
      <c r="S1802" s="8">
        <f>[1]Data!S1802</f>
        <v>0</v>
      </c>
      <c r="T1802">
        <f t="shared" si="140"/>
        <v>0.11221590909090907</v>
      </c>
      <c r="U1802">
        <f t="shared" si="141"/>
        <v>0</v>
      </c>
      <c r="V1802" s="4" t="str">
        <f t="shared" si="142"/>
        <v>10</v>
      </c>
      <c r="W1802" s="4" t="str">
        <f t="shared" si="143"/>
        <v>6</v>
      </c>
      <c r="X1802" s="4" t="str">
        <f t="shared" si="144"/>
        <v>10NON-HS6</v>
      </c>
      <c r="Y1802">
        <f>VLOOKUP(X1802,Sheet1!$J$5:$K$121,2,FALSE)</f>
        <v>9.0909090909090898E-2</v>
      </c>
    </row>
    <row r="1803" spans="1:25" x14ac:dyDescent="0.25">
      <c r="A1803" s="8">
        <f>[1]Data!A1803</f>
        <v>218800</v>
      </c>
      <c r="B1803" s="8">
        <f>[1]Data!B1803</f>
        <v>6</v>
      </c>
      <c r="C1803" s="8">
        <f>[1]Data!C1803</f>
        <v>10</v>
      </c>
      <c r="D1803" s="8">
        <f>[1]Data!D1803</f>
        <v>2</v>
      </c>
      <c r="E1803" s="8" t="str">
        <f>[1]Data!E1803</f>
        <v>NON-HS</v>
      </c>
      <c r="F1803" s="8" t="str">
        <f>[1]Data!F1803</f>
        <v>West Adams-Expo Park</v>
      </c>
      <c r="G1803" s="8">
        <f>[1]Data!G1803</f>
        <v>0</v>
      </c>
      <c r="H1803" s="8">
        <f>[1]Data!H1803</f>
        <v>0</v>
      </c>
      <c r="I1803" s="8">
        <f>[1]Data!I1803</f>
        <v>30.907</v>
      </c>
      <c r="J1803" s="8">
        <f>[1]Data!J1803</f>
        <v>28.430029560000001</v>
      </c>
      <c r="K1803" s="8">
        <f>[1]Data!K1803</f>
        <v>29.430029560000001</v>
      </c>
      <c r="L1803" s="8">
        <f>[1]Data!L1803</f>
        <v>1.47650599235189</v>
      </c>
      <c r="M1803" s="8">
        <f>[1]Data!M1803</f>
        <v>30.906535552351901</v>
      </c>
      <c r="N1803" s="8">
        <f>[1]Data!N1803</f>
        <v>2.34375E-2</v>
      </c>
      <c r="O1803" s="8">
        <f>[1]Data!O1803</f>
        <v>0</v>
      </c>
      <c r="P1803" s="8">
        <f>[1]Data!P1803</f>
        <v>0.125</v>
      </c>
      <c r="Q1803" s="8">
        <f>[1]Data!Q1803</f>
        <v>0.35555555555555601</v>
      </c>
      <c r="R1803" s="8">
        <f>[1]Data!R1803</f>
        <v>9.0909090909090898E-2</v>
      </c>
      <c r="S1803" s="8">
        <f>[1]Data!S1803</f>
        <v>0</v>
      </c>
      <c r="T1803">
        <f t="shared" si="140"/>
        <v>0.11221590909090907</v>
      </c>
      <c r="U1803">
        <f t="shared" si="141"/>
        <v>0</v>
      </c>
      <c r="V1803" s="4" t="str">
        <f t="shared" si="142"/>
        <v>10</v>
      </c>
      <c r="W1803" s="4" t="str">
        <f t="shared" si="143"/>
        <v>6</v>
      </c>
      <c r="X1803" s="4" t="str">
        <f t="shared" si="144"/>
        <v>10NON-HS6</v>
      </c>
      <c r="Y1803">
        <f>VLOOKUP(X1803,Sheet1!$J$5:$K$121,2,FALSE)</f>
        <v>9.0909090909090898E-2</v>
      </c>
    </row>
    <row r="1804" spans="1:25" x14ac:dyDescent="0.25">
      <c r="A1804" s="8">
        <f>[1]Data!A1804</f>
        <v>219010</v>
      </c>
      <c r="B1804" s="8">
        <f>[1]Data!B1804</f>
        <v>6</v>
      </c>
      <c r="C1804" s="8">
        <f>[1]Data!C1804</f>
        <v>10</v>
      </c>
      <c r="D1804" s="8">
        <f>[1]Data!D1804</f>
        <v>2</v>
      </c>
      <c r="E1804" s="8" t="str">
        <f>[1]Data!E1804</f>
        <v>NON-HS</v>
      </c>
      <c r="F1804" s="8" t="str">
        <f>[1]Data!F1804</f>
        <v>West Adams-Expo Park</v>
      </c>
      <c r="G1804" s="8">
        <f>[1]Data!G1804</f>
        <v>0</v>
      </c>
      <c r="H1804" s="8">
        <f>[1]Data!H1804</f>
        <v>0</v>
      </c>
      <c r="I1804" s="8">
        <f>[1]Data!I1804</f>
        <v>22.175999999999998</v>
      </c>
      <c r="J1804" s="8">
        <f>[1]Data!J1804</f>
        <v>17.538018059999999</v>
      </c>
      <c r="K1804" s="8">
        <f>[1]Data!K1804</f>
        <v>21.538018059999999</v>
      </c>
      <c r="L1804" s="8">
        <f>[1]Data!L1804</f>
        <v>0.63836429524237004</v>
      </c>
      <c r="M1804" s="8">
        <f>[1]Data!M1804</f>
        <v>22.176382355242399</v>
      </c>
      <c r="N1804" s="8">
        <f>[1]Data!N1804</f>
        <v>2.34375E-2</v>
      </c>
      <c r="O1804" s="8">
        <f>[1]Data!O1804</f>
        <v>0</v>
      </c>
      <c r="P1804" s="8">
        <f>[1]Data!P1804</f>
        <v>0.125</v>
      </c>
      <c r="Q1804" s="8">
        <f>[1]Data!Q1804</f>
        <v>0.35555555555555601</v>
      </c>
      <c r="R1804" s="8">
        <f>[1]Data!R1804</f>
        <v>9.0909090909090898E-2</v>
      </c>
      <c r="S1804" s="8">
        <f>[1]Data!S1804</f>
        <v>0</v>
      </c>
      <c r="T1804">
        <f t="shared" si="140"/>
        <v>0.11221590909090907</v>
      </c>
      <c r="U1804">
        <f t="shared" si="141"/>
        <v>0</v>
      </c>
      <c r="V1804" s="4" t="str">
        <f t="shared" si="142"/>
        <v>10</v>
      </c>
      <c r="W1804" s="4" t="str">
        <f t="shared" si="143"/>
        <v>6</v>
      </c>
      <c r="X1804" s="4" t="str">
        <f t="shared" si="144"/>
        <v>10NON-HS6</v>
      </c>
      <c r="Y1804">
        <f>VLOOKUP(X1804,Sheet1!$J$5:$K$121,2,FALSE)</f>
        <v>9.0909090909090898E-2</v>
      </c>
    </row>
    <row r="1805" spans="1:25" x14ac:dyDescent="0.25">
      <c r="A1805" s="8">
        <f>[1]Data!A1805</f>
        <v>219500</v>
      </c>
      <c r="B1805" s="8">
        <f>[1]Data!B1805</f>
        <v>6</v>
      </c>
      <c r="C1805" s="8">
        <f>[1]Data!C1805</f>
        <v>10</v>
      </c>
      <c r="D1805" s="8">
        <f>[1]Data!D1805</f>
        <v>2</v>
      </c>
      <c r="E1805" s="8" t="str">
        <f>[1]Data!E1805</f>
        <v>NON-HS</v>
      </c>
      <c r="F1805" s="8" t="str">
        <f>[1]Data!F1805</f>
        <v>Adams-La Brea</v>
      </c>
      <c r="G1805" s="8">
        <f>[1]Data!G1805</f>
        <v>0</v>
      </c>
      <c r="H1805" s="8">
        <f>[1]Data!H1805</f>
        <v>0</v>
      </c>
      <c r="I1805" s="8">
        <f>[1]Data!I1805</f>
        <v>26.434000000000001</v>
      </c>
      <c r="J1805" s="8">
        <f>[1]Data!J1805</f>
        <v>22.664068050000001</v>
      </c>
      <c r="K1805" s="8">
        <f>[1]Data!K1805</f>
        <v>24.664068050000001</v>
      </c>
      <c r="L1805" s="8">
        <f>[1]Data!L1805</f>
        <v>1.7700903841292599</v>
      </c>
      <c r="M1805" s="8">
        <f>[1]Data!M1805</f>
        <v>26.434158434129301</v>
      </c>
      <c r="N1805" s="8">
        <f>[1]Data!N1805</f>
        <v>2.34375E-2</v>
      </c>
      <c r="O1805" s="8">
        <f>[1]Data!O1805</f>
        <v>0</v>
      </c>
      <c r="P1805" s="8">
        <f>[1]Data!P1805</f>
        <v>0.125</v>
      </c>
      <c r="Q1805" s="8">
        <f>[1]Data!Q1805</f>
        <v>0.35555555555555601</v>
      </c>
      <c r="R1805" s="8">
        <f>[1]Data!R1805</f>
        <v>9.0909090909090898E-2</v>
      </c>
      <c r="S1805" s="8">
        <f>[1]Data!S1805</f>
        <v>0</v>
      </c>
      <c r="T1805">
        <f t="shared" si="140"/>
        <v>0.11221590909090907</v>
      </c>
      <c r="U1805">
        <f t="shared" si="141"/>
        <v>0</v>
      </c>
      <c r="V1805" s="4" t="str">
        <f t="shared" si="142"/>
        <v>10</v>
      </c>
      <c r="W1805" s="4" t="str">
        <f t="shared" si="143"/>
        <v>6</v>
      </c>
      <c r="X1805" s="4" t="str">
        <f t="shared" si="144"/>
        <v>10NON-HS6</v>
      </c>
      <c r="Y1805">
        <f>VLOOKUP(X1805,Sheet1!$J$5:$K$121,2,FALSE)</f>
        <v>9.0909090909090898E-2</v>
      </c>
    </row>
    <row r="1806" spans="1:25" x14ac:dyDescent="0.25">
      <c r="A1806" s="8">
        <f>[1]Data!A1806</f>
        <v>219902</v>
      </c>
      <c r="B1806" s="8">
        <f>[1]Data!B1806</f>
        <v>6</v>
      </c>
      <c r="C1806" s="8">
        <f>[1]Data!C1806</f>
        <v>10</v>
      </c>
      <c r="D1806" s="8">
        <f>[1]Data!D1806</f>
        <v>2</v>
      </c>
      <c r="E1806" s="8" t="str">
        <f>[1]Data!E1806</f>
        <v>NON-HS</v>
      </c>
      <c r="F1806" s="8" t="str">
        <f>[1]Data!F1806</f>
        <v>Adams-La Brea</v>
      </c>
      <c r="G1806" s="8">
        <f>[1]Data!G1806</f>
        <v>0</v>
      </c>
      <c r="H1806" s="8">
        <f>[1]Data!H1806</f>
        <v>0</v>
      </c>
      <c r="I1806" s="8">
        <f>[1]Data!I1806</f>
        <v>14.901</v>
      </c>
      <c r="J1806" s="8">
        <f>[1]Data!J1806</f>
        <v>9.4173633199999998</v>
      </c>
      <c r="K1806" s="8">
        <f>[1]Data!K1806</f>
        <v>14.41736332</v>
      </c>
      <c r="L1806" s="8">
        <f>[1]Data!L1806</f>
        <v>0.483488824721723</v>
      </c>
      <c r="M1806" s="8">
        <f>[1]Data!M1806</f>
        <v>14.9008521447217</v>
      </c>
      <c r="N1806" s="8">
        <f>[1]Data!N1806</f>
        <v>2.34375E-2</v>
      </c>
      <c r="O1806" s="8">
        <f>[1]Data!O1806</f>
        <v>0</v>
      </c>
      <c r="P1806" s="8">
        <f>[1]Data!P1806</f>
        <v>0.125</v>
      </c>
      <c r="Q1806" s="8">
        <f>[1]Data!Q1806</f>
        <v>0.35555555555555601</v>
      </c>
      <c r="R1806" s="8">
        <f>[1]Data!R1806</f>
        <v>9.0909090909090898E-2</v>
      </c>
      <c r="S1806" s="8">
        <f>[1]Data!S1806</f>
        <v>0</v>
      </c>
      <c r="T1806">
        <f t="shared" si="140"/>
        <v>0.11221590909090907</v>
      </c>
      <c r="U1806">
        <f t="shared" si="141"/>
        <v>0</v>
      </c>
      <c r="V1806" s="4" t="str">
        <f t="shared" si="142"/>
        <v>10</v>
      </c>
      <c r="W1806" s="4" t="str">
        <f t="shared" si="143"/>
        <v>6</v>
      </c>
      <c r="X1806" s="4" t="str">
        <f t="shared" si="144"/>
        <v>10NON-HS6</v>
      </c>
      <c r="Y1806">
        <f>VLOOKUP(X1806,Sheet1!$J$5:$K$121,2,FALSE)</f>
        <v>9.0909090909090898E-2</v>
      </c>
    </row>
    <row r="1807" spans="1:25" x14ac:dyDescent="0.25">
      <c r="A1807" s="8">
        <f>[1]Data!A1807</f>
        <v>221402</v>
      </c>
      <c r="B1807" s="8">
        <f>[1]Data!B1807</f>
        <v>6</v>
      </c>
      <c r="C1807" s="8">
        <f>[1]Data!C1807</f>
        <v>10</v>
      </c>
      <c r="D1807" s="8">
        <f>[1]Data!D1807</f>
        <v>2</v>
      </c>
      <c r="E1807" s="8" t="str">
        <f>[1]Data!E1807</f>
        <v>NON-HS</v>
      </c>
      <c r="F1807" s="8" t="str">
        <f>[1]Data!F1807</f>
        <v>West Adams-Expo Park</v>
      </c>
      <c r="G1807" s="8">
        <f>[1]Data!G1807</f>
        <v>0</v>
      </c>
      <c r="H1807" s="8">
        <f>[1]Data!H1807</f>
        <v>1</v>
      </c>
      <c r="I1807" s="8">
        <f>[1]Data!I1807</f>
        <v>1.8080000000000001</v>
      </c>
      <c r="J1807" s="8">
        <f>[1]Data!J1807</f>
        <v>1.73313217</v>
      </c>
      <c r="K1807" s="8">
        <f>[1]Data!K1807</f>
        <v>1.73313217</v>
      </c>
      <c r="L1807" s="8">
        <f>[1]Data!L1807</f>
        <v>7.4985510287253102E-2</v>
      </c>
      <c r="M1807" s="8">
        <f>[1]Data!M1807</f>
        <v>1.8081176802872501</v>
      </c>
      <c r="N1807" s="8">
        <f>[1]Data!N1807</f>
        <v>2.34375E-2</v>
      </c>
      <c r="O1807" s="8">
        <f>[1]Data!O1807</f>
        <v>0</v>
      </c>
      <c r="P1807" s="8">
        <f>[1]Data!P1807</f>
        <v>0.125</v>
      </c>
      <c r="Q1807" s="8">
        <f>[1]Data!Q1807</f>
        <v>0.35555555555555601</v>
      </c>
      <c r="R1807" s="8">
        <f>[1]Data!R1807</f>
        <v>9.0909090909090898E-2</v>
      </c>
      <c r="S1807" s="8">
        <f>[1]Data!S1807</f>
        <v>11</v>
      </c>
      <c r="T1807">
        <f t="shared" si="140"/>
        <v>0.11221590909090907</v>
      </c>
      <c r="U1807">
        <f t="shared" si="141"/>
        <v>8.9113924050632924</v>
      </c>
      <c r="V1807" s="4" t="str">
        <f t="shared" si="142"/>
        <v>10</v>
      </c>
      <c r="W1807" s="4" t="str">
        <f t="shared" si="143"/>
        <v>6</v>
      </c>
      <c r="X1807" s="4" t="str">
        <f t="shared" si="144"/>
        <v>10NON-HS6</v>
      </c>
      <c r="Y1807">
        <f>VLOOKUP(X1807,Sheet1!$J$5:$K$121,2,FALSE)</f>
        <v>9.0909090909090898E-2</v>
      </c>
    </row>
    <row r="1808" spans="1:25" x14ac:dyDescent="0.25">
      <c r="A1808" s="8">
        <f>[1]Data!A1808</f>
        <v>222001</v>
      </c>
      <c r="B1808" s="8">
        <f>[1]Data!B1808</f>
        <v>6</v>
      </c>
      <c r="C1808" s="8">
        <f>[1]Data!C1808</f>
        <v>10</v>
      </c>
      <c r="D1808" s="8">
        <f>[1]Data!D1808</f>
        <v>2</v>
      </c>
      <c r="E1808" s="8" t="str">
        <f>[1]Data!E1808</f>
        <v>NON-HS</v>
      </c>
      <c r="F1808" s="8" t="str">
        <f>[1]Data!F1808</f>
        <v>Adams</v>
      </c>
      <c r="G1808" s="8">
        <f>[1]Data!G1808</f>
        <v>0</v>
      </c>
      <c r="H1808" s="8">
        <f>[1]Data!H1808</f>
        <v>0</v>
      </c>
      <c r="I1808" s="8">
        <f>[1]Data!I1808</f>
        <v>12.186999999999999</v>
      </c>
      <c r="J1808" s="8">
        <f>[1]Data!J1808</f>
        <v>9.6679308099999997</v>
      </c>
      <c r="K1808" s="8">
        <f>[1]Data!K1808</f>
        <v>11.66793081</v>
      </c>
      <c r="L1808" s="8">
        <f>[1]Data!L1808</f>
        <v>0.519675915816876</v>
      </c>
      <c r="M1808" s="8">
        <f>[1]Data!M1808</f>
        <v>12.187606725816901</v>
      </c>
      <c r="N1808" s="8">
        <f>[1]Data!N1808</f>
        <v>2.34375E-2</v>
      </c>
      <c r="O1808" s="8">
        <f>[1]Data!O1808</f>
        <v>0</v>
      </c>
      <c r="P1808" s="8">
        <f>[1]Data!P1808</f>
        <v>0.125</v>
      </c>
      <c r="Q1808" s="8">
        <f>[1]Data!Q1808</f>
        <v>0.35555555555555601</v>
      </c>
      <c r="R1808" s="8">
        <f>[1]Data!R1808</f>
        <v>9.0909090909090898E-2</v>
      </c>
      <c r="S1808" s="8">
        <f>[1]Data!S1808</f>
        <v>0</v>
      </c>
      <c r="T1808">
        <f t="shared" si="140"/>
        <v>0.11221590909090907</v>
      </c>
      <c r="U1808">
        <f t="shared" si="141"/>
        <v>0</v>
      </c>
      <c r="V1808" s="4" t="str">
        <f t="shared" si="142"/>
        <v>10</v>
      </c>
      <c r="W1808" s="4" t="str">
        <f t="shared" si="143"/>
        <v>6</v>
      </c>
      <c r="X1808" s="4" t="str">
        <f t="shared" si="144"/>
        <v>10NON-HS6</v>
      </c>
      <c r="Y1808">
        <f>VLOOKUP(X1808,Sheet1!$J$5:$K$121,2,FALSE)</f>
        <v>9.0909090909090898E-2</v>
      </c>
    </row>
    <row r="1809" spans="1:25" x14ac:dyDescent="0.25">
      <c r="A1809" s="8">
        <f>[1]Data!A1809</f>
        <v>234000</v>
      </c>
      <c r="B1809" s="8">
        <f>[1]Data!B1809</f>
        <v>6</v>
      </c>
      <c r="C1809" s="8">
        <f>[1]Data!C1809</f>
        <v>10</v>
      </c>
      <c r="D1809" s="8">
        <f>[1]Data!D1809</f>
        <v>2</v>
      </c>
      <c r="E1809" s="8" t="str">
        <f>[1]Data!E1809</f>
        <v>NON-HS</v>
      </c>
      <c r="F1809" s="8" t="str">
        <f>[1]Data!F1809</f>
        <v>Baldwin Hills / Crenshaw</v>
      </c>
      <c r="G1809" s="8">
        <f>[1]Data!G1809</f>
        <v>0</v>
      </c>
      <c r="H1809" s="8">
        <f>[1]Data!H1809</f>
        <v>0</v>
      </c>
      <c r="I1809" s="8">
        <f>[1]Data!I1809</f>
        <v>8.3789999999999996</v>
      </c>
      <c r="J1809" s="8">
        <f>[1]Data!J1809</f>
        <v>7.9347986400000003</v>
      </c>
      <c r="K1809" s="8">
        <f>[1]Data!K1809</f>
        <v>7.9347986400000003</v>
      </c>
      <c r="L1809" s="8">
        <f>[1]Data!L1809</f>
        <v>0.44469040552962302</v>
      </c>
      <c r="M1809" s="8">
        <f>[1]Data!M1809</f>
        <v>8.3794890455296205</v>
      </c>
      <c r="N1809" s="8">
        <f>[1]Data!N1809</f>
        <v>2.34375E-2</v>
      </c>
      <c r="O1809" s="8">
        <f>[1]Data!O1809</f>
        <v>0</v>
      </c>
      <c r="P1809" s="8">
        <f>[1]Data!P1809</f>
        <v>0.125</v>
      </c>
      <c r="Q1809" s="8">
        <f>[1]Data!Q1809</f>
        <v>0.35555555555555601</v>
      </c>
      <c r="R1809" s="8">
        <f>[1]Data!R1809</f>
        <v>9.0909090909090898E-2</v>
      </c>
      <c r="S1809" s="8">
        <f>[1]Data!S1809</f>
        <v>0</v>
      </c>
      <c r="T1809">
        <f t="shared" si="140"/>
        <v>0.11221590909090907</v>
      </c>
      <c r="U1809">
        <f t="shared" si="141"/>
        <v>0</v>
      </c>
      <c r="V1809" s="4" t="str">
        <f t="shared" si="142"/>
        <v>10</v>
      </c>
      <c r="W1809" s="4" t="str">
        <f t="shared" si="143"/>
        <v>6</v>
      </c>
      <c r="X1809" s="4" t="str">
        <f t="shared" si="144"/>
        <v>10NON-HS6</v>
      </c>
      <c r="Y1809">
        <f>VLOOKUP(X1809,Sheet1!$J$5:$K$121,2,FALSE)</f>
        <v>9.0909090909090898E-2</v>
      </c>
    </row>
    <row r="1810" spans="1:25" x14ac:dyDescent="0.25">
      <c r="A1810" s="8">
        <f>[1]Data!A1810</f>
        <v>236100</v>
      </c>
      <c r="B1810" s="8">
        <f>[1]Data!B1810</f>
        <v>6</v>
      </c>
      <c r="C1810" s="8">
        <f>[1]Data!C1810</f>
        <v>10</v>
      </c>
      <c r="D1810" s="8">
        <f>[1]Data!D1810</f>
        <v>2</v>
      </c>
      <c r="E1810" s="8" t="str">
        <f>[1]Data!E1810</f>
        <v>NON-HS</v>
      </c>
      <c r="F1810" s="8" t="str">
        <f>[1]Data!F1810</f>
        <v>Baldwin Hills / Crenshaw</v>
      </c>
      <c r="G1810" s="8">
        <f>[1]Data!G1810</f>
        <v>0</v>
      </c>
      <c r="H1810" s="8">
        <f>[1]Data!H1810</f>
        <v>0</v>
      </c>
      <c r="I1810" s="8">
        <f>[1]Data!I1810</f>
        <v>20.146999999999998</v>
      </c>
      <c r="J1810" s="8">
        <f>[1]Data!J1810</f>
        <v>16.707495869999999</v>
      </c>
      <c r="K1810" s="8">
        <f>[1]Data!K1810</f>
        <v>19.707495869999999</v>
      </c>
      <c r="L1810" s="8">
        <f>[1]Data!L1810</f>
        <v>0.439255742657092</v>
      </c>
      <c r="M1810" s="8">
        <f>[1]Data!M1810</f>
        <v>20.146751612657098</v>
      </c>
      <c r="N1810" s="8">
        <f>[1]Data!N1810</f>
        <v>2.34375E-2</v>
      </c>
      <c r="O1810" s="8">
        <f>[1]Data!O1810</f>
        <v>0</v>
      </c>
      <c r="P1810" s="8">
        <f>[1]Data!P1810</f>
        <v>0.125</v>
      </c>
      <c r="Q1810" s="8">
        <f>[1]Data!Q1810</f>
        <v>0.35555555555555601</v>
      </c>
      <c r="R1810" s="8">
        <f>[1]Data!R1810</f>
        <v>9.0909090909090898E-2</v>
      </c>
      <c r="S1810" s="8">
        <f>[1]Data!S1810</f>
        <v>0</v>
      </c>
      <c r="T1810">
        <f t="shared" si="140"/>
        <v>0.11221590909090907</v>
      </c>
      <c r="U1810">
        <f t="shared" si="141"/>
        <v>0</v>
      </c>
      <c r="V1810" s="4" t="str">
        <f t="shared" si="142"/>
        <v>10</v>
      </c>
      <c r="W1810" s="4" t="str">
        <f t="shared" si="143"/>
        <v>6</v>
      </c>
      <c r="X1810" s="4" t="str">
        <f t="shared" si="144"/>
        <v>10NON-HS6</v>
      </c>
      <c r="Y1810">
        <f>VLOOKUP(X1810,Sheet1!$J$5:$K$121,2,FALSE)</f>
        <v>9.0909090909090898E-2</v>
      </c>
    </row>
    <row r="1811" spans="1:25" x14ac:dyDescent="0.25">
      <c r="A1811" s="8">
        <f>[1]Data!A1811</f>
        <v>236203</v>
      </c>
      <c r="B1811" s="8">
        <f>[1]Data!B1811</f>
        <v>6</v>
      </c>
      <c r="C1811" s="8">
        <f>[1]Data!C1811</f>
        <v>10</v>
      </c>
      <c r="D1811" s="8">
        <f>[1]Data!D1811</f>
        <v>2</v>
      </c>
      <c r="E1811" s="8" t="str">
        <f>[1]Data!E1811</f>
        <v>NON-HS</v>
      </c>
      <c r="F1811" s="8" t="str">
        <f>[1]Data!F1811</f>
        <v>Baldwin Hills / Crenshaw</v>
      </c>
      <c r="G1811" s="8">
        <f>[1]Data!G1811</f>
        <v>0</v>
      </c>
      <c r="H1811" s="8">
        <f>[1]Data!H1811</f>
        <v>0</v>
      </c>
      <c r="I1811" s="8">
        <f>[1]Data!I1811</f>
        <v>9.1159999999999997</v>
      </c>
      <c r="J1811" s="8">
        <f>[1]Data!J1811</f>
        <v>5.87227926</v>
      </c>
      <c r="K1811" s="8">
        <f>[1]Data!K1811</f>
        <v>8.8722792599999991</v>
      </c>
      <c r="L1811" s="8">
        <f>[1]Data!L1811</f>
        <v>0.24297052484739701</v>
      </c>
      <c r="M1811" s="8">
        <f>[1]Data!M1811</f>
        <v>9.1152497848473999</v>
      </c>
      <c r="N1811" s="8">
        <f>[1]Data!N1811</f>
        <v>2.34375E-2</v>
      </c>
      <c r="O1811" s="8">
        <f>[1]Data!O1811</f>
        <v>0</v>
      </c>
      <c r="P1811" s="8">
        <f>[1]Data!P1811</f>
        <v>0.125</v>
      </c>
      <c r="Q1811" s="8">
        <f>[1]Data!Q1811</f>
        <v>0.35555555555555601</v>
      </c>
      <c r="R1811" s="8">
        <f>[1]Data!R1811</f>
        <v>9.0909090909090898E-2</v>
      </c>
      <c r="S1811" s="8">
        <f>[1]Data!S1811</f>
        <v>0</v>
      </c>
      <c r="T1811">
        <f t="shared" si="140"/>
        <v>0.11221590909090907</v>
      </c>
      <c r="U1811">
        <f t="shared" si="141"/>
        <v>0</v>
      </c>
      <c r="V1811" s="4" t="str">
        <f t="shared" si="142"/>
        <v>10</v>
      </c>
      <c r="W1811" s="4" t="str">
        <f t="shared" si="143"/>
        <v>6</v>
      </c>
      <c r="X1811" s="4" t="str">
        <f t="shared" si="144"/>
        <v>10NON-HS6</v>
      </c>
      <c r="Y1811">
        <f>VLOOKUP(X1811,Sheet1!$J$5:$K$121,2,FALSE)</f>
        <v>9.0909090909090898E-2</v>
      </c>
    </row>
    <row r="1812" spans="1:25" x14ac:dyDescent="0.25">
      <c r="A1812" s="8">
        <f>[1]Data!A1812</f>
        <v>236204</v>
      </c>
      <c r="B1812" s="8">
        <f>[1]Data!B1812</f>
        <v>6</v>
      </c>
      <c r="C1812" s="8">
        <f>[1]Data!C1812</f>
        <v>10</v>
      </c>
      <c r="D1812" s="8">
        <f>[1]Data!D1812</f>
        <v>2</v>
      </c>
      <c r="E1812" s="8" t="str">
        <f>[1]Data!E1812</f>
        <v>NON-HS</v>
      </c>
      <c r="F1812" s="8" t="str">
        <f>[1]Data!F1812</f>
        <v>Baldwin Hills / Crenshaw</v>
      </c>
      <c r="G1812" s="8">
        <f>[1]Data!G1812</f>
        <v>0</v>
      </c>
      <c r="H1812" s="8">
        <f>[1]Data!H1812</f>
        <v>1</v>
      </c>
      <c r="I1812" s="8">
        <f>[1]Data!I1812</f>
        <v>6.0949999999999998</v>
      </c>
      <c r="J1812" s="8">
        <f>[1]Data!J1812</f>
        <v>1.9836996600000001</v>
      </c>
      <c r="K1812" s="8">
        <f>[1]Data!K1812</f>
        <v>5.9836996600000001</v>
      </c>
      <c r="L1812" s="8">
        <f>[1]Data!L1812</f>
        <v>0.11117260138240601</v>
      </c>
      <c r="M1812" s="8">
        <f>[1]Data!M1812</f>
        <v>6.0948722613824096</v>
      </c>
      <c r="N1812" s="8">
        <f>[1]Data!N1812</f>
        <v>2.34375E-2</v>
      </c>
      <c r="O1812" s="8">
        <f>[1]Data!O1812</f>
        <v>0</v>
      </c>
      <c r="P1812" s="8">
        <f>[1]Data!P1812</f>
        <v>0.125</v>
      </c>
      <c r="Q1812" s="8">
        <f>[1]Data!Q1812</f>
        <v>0.35555555555555601</v>
      </c>
      <c r="R1812" s="8">
        <f>[1]Data!R1812</f>
        <v>9.0909090909090898E-2</v>
      </c>
      <c r="S1812" s="8">
        <f>[1]Data!S1812</f>
        <v>11</v>
      </c>
      <c r="T1812">
        <f t="shared" si="140"/>
        <v>0.11221590909090907</v>
      </c>
      <c r="U1812">
        <f t="shared" si="141"/>
        <v>8.9113924050632924</v>
      </c>
      <c r="V1812" s="4" t="str">
        <f t="shared" si="142"/>
        <v>10</v>
      </c>
      <c r="W1812" s="4" t="str">
        <f t="shared" si="143"/>
        <v>6</v>
      </c>
      <c r="X1812" s="4" t="str">
        <f t="shared" si="144"/>
        <v>10NON-HS6</v>
      </c>
      <c r="Y1812">
        <f>VLOOKUP(X1812,Sheet1!$J$5:$K$121,2,FALSE)</f>
        <v>9.0909090909090898E-2</v>
      </c>
    </row>
    <row r="1813" spans="1:25" x14ac:dyDescent="0.25">
      <c r="A1813" s="8">
        <f>[1]Data!A1813</f>
        <v>276100</v>
      </c>
      <c r="B1813" s="8">
        <f>[1]Data!B1813</f>
        <v>5</v>
      </c>
      <c r="C1813" s="8">
        <f>[1]Data!C1813</f>
        <v>11</v>
      </c>
      <c r="D1813" s="8">
        <f>[1]Data!D1813</f>
        <v>2</v>
      </c>
      <c r="E1813" s="8" t="str">
        <f>[1]Data!E1813</f>
        <v>CVCTE</v>
      </c>
      <c r="F1813" s="8" t="str">
        <f>[1]Data!F1813</f>
        <v>Westchester/Playa Del Rey</v>
      </c>
      <c r="G1813" s="8">
        <f>[1]Data!G1813</f>
        <v>0</v>
      </c>
      <c r="H1813" s="8">
        <f>[1]Data!H1813</f>
        <v>1</v>
      </c>
      <c r="I1813" s="8">
        <f>[1]Data!I1813</f>
        <v>30.908000000000001</v>
      </c>
      <c r="J1813" s="8">
        <f>[1]Data!J1813</f>
        <v>23.61799972</v>
      </c>
      <c r="K1813" s="8">
        <f>[1]Data!K1813</f>
        <v>29.61799972</v>
      </c>
      <c r="L1813" s="8">
        <f>[1]Data!L1813</f>
        <v>1.2905069838061001</v>
      </c>
      <c r="M1813" s="8">
        <f>[1]Data!M1813</f>
        <v>30.908506703806101</v>
      </c>
      <c r="N1813" s="8">
        <f>[1]Data!N1813</f>
        <v>0.35</v>
      </c>
      <c r="O1813" s="8">
        <f>[1]Data!O1813</f>
        <v>0</v>
      </c>
      <c r="P1813" s="8">
        <f>[1]Data!P1813</f>
        <v>0.55000000000000004</v>
      </c>
      <c r="Q1813" s="8">
        <f>[1]Data!Q1813</f>
        <v>1</v>
      </c>
      <c r="R1813" s="8">
        <f>[1]Data!R1813</f>
        <v>0.41176470588235298</v>
      </c>
      <c r="S1813" s="8">
        <f>[1]Data!S1813</f>
        <v>2.4285714285714302</v>
      </c>
      <c r="T1813">
        <f t="shared" si="140"/>
        <v>0.61764705882352944</v>
      </c>
      <c r="U1813">
        <f t="shared" si="141"/>
        <v>1.6190476190476191</v>
      </c>
      <c r="V1813" s="4" t="str">
        <f t="shared" si="142"/>
        <v>11</v>
      </c>
      <c r="W1813" s="4" t="str">
        <f t="shared" si="143"/>
        <v>5</v>
      </c>
      <c r="X1813" s="4" t="str">
        <f t="shared" si="144"/>
        <v>11CVCTE5</v>
      </c>
      <c r="Y1813">
        <f>VLOOKUP(X1813,Sheet1!$J$5:$K$121,2,FALSE)</f>
        <v>0.41176470588235298</v>
      </c>
    </row>
    <row r="1814" spans="1:25" x14ac:dyDescent="0.25">
      <c r="A1814" s="8">
        <f>[1]Data!A1814</f>
        <v>702901</v>
      </c>
      <c r="B1814" s="8">
        <f>[1]Data!B1814</f>
        <v>5</v>
      </c>
      <c r="C1814" s="8">
        <f>[1]Data!C1814</f>
        <v>11</v>
      </c>
      <c r="D1814" s="8">
        <f>[1]Data!D1814</f>
        <v>4</v>
      </c>
      <c r="E1814" s="8" t="str">
        <f>[1]Data!E1814</f>
        <v>CVCTE</v>
      </c>
      <c r="F1814" s="8" t="str">
        <f>[1]Data!F1814</f>
        <v>Marina del Rey</v>
      </c>
      <c r="G1814" s="8">
        <f>[1]Data!G1814</f>
        <v>1</v>
      </c>
      <c r="H1814" s="8">
        <f>[1]Data!H1814</f>
        <v>1</v>
      </c>
      <c r="I1814" s="8">
        <f>[1]Data!I1814</f>
        <v>30.597999999999999</v>
      </c>
      <c r="J1814" s="8">
        <f>[1]Data!J1814</f>
        <v>28.200249410000001</v>
      </c>
      <c r="K1814" s="8">
        <f>[1]Data!K1814</f>
        <v>29.200249410000001</v>
      </c>
      <c r="L1814" s="8">
        <f>[1]Data!L1814</f>
        <v>1.39697289563734</v>
      </c>
      <c r="M1814" s="8">
        <f>[1]Data!M1814</f>
        <v>30.597222305637299</v>
      </c>
      <c r="N1814" s="8">
        <f>[1]Data!N1814</f>
        <v>0.35</v>
      </c>
      <c r="O1814" s="8">
        <f>[1]Data!O1814</f>
        <v>2.8571428571428599</v>
      </c>
      <c r="P1814" s="8">
        <f>[1]Data!P1814</f>
        <v>0.55000000000000004</v>
      </c>
      <c r="Q1814" s="8">
        <f>[1]Data!Q1814</f>
        <v>1</v>
      </c>
      <c r="R1814" s="8">
        <f>[1]Data!R1814</f>
        <v>0</v>
      </c>
      <c r="S1814" s="8">
        <f>[1]Data!S1814</f>
        <v>0</v>
      </c>
      <c r="T1814">
        <f t="shared" si="140"/>
        <v>0.61764705882352944</v>
      </c>
      <c r="U1814">
        <f t="shared" si="141"/>
        <v>1.6190476190476191</v>
      </c>
      <c r="V1814" s="4" t="str">
        <f t="shared" si="142"/>
        <v>11</v>
      </c>
      <c r="W1814" s="4" t="str">
        <f t="shared" si="143"/>
        <v>5</v>
      </c>
      <c r="X1814" s="4" t="str">
        <f t="shared" si="144"/>
        <v>11CVCTE5</v>
      </c>
      <c r="Y1814">
        <f>VLOOKUP(X1814,Sheet1!$J$5:$K$121,2,FALSE)</f>
        <v>0.41176470588235298</v>
      </c>
    </row>
    <row r="1815" spans="1:25" x14ac:dyDescent="0.25">
      <c r="A1815" s="8">
        <f>[1]Data!A1815</f>
        <v>277100</v>
      </c>
      <c r="B1815" s="8">
        <f>[1]Data!B1815</f>
        <v>5</v>
      </c>
      <c r="C1815" s="8">
        <f>[1]Data!C1815</f>
        <v>11</v>
      </c>
      <c r="D1815" s="8">
        <f>[1]Data!D1815</f>
        <v>2</v>
      </c>
      <c r="E1815" s="8" t="str">
        <f>[1]Data!E1815</f>
        <v>CVCTE</v>
      </c>
      <c r="F1815" s="8" t="str">
        <f>[1]Data!F1815</f>
        <v>Westchester/Playa Del Rey</v>
      </c>
      <c r="G1815" s="8">
        <f>[1]Data!G1815</f>
        <v>1</v>
      </c>
      <c r="H1815" s="8">
        <f>[1]Data!H1815</f>
        <v>1</v>
      </c>
      <c r="I1815" s="8">
        <f>[1]Data!I1815</f>
        <v>36.468000000000004</v>
      </c>
      <c r="J1815" s="8">
        <f>[1]Data!J1815</f>
        <v>33.445503700000003</v>
      </c>
      <c r="K1815" s="8">
        <f>[1]Data!K1815</f>
        <v>34.445503700000003</v>
      </c>
      <c r="L1815" s="8">
        <f>[1]Data!L1815</f>
        <v>2.02233241393178</v>
      </c>
      <c r="M1815" s="8">
        <f>[1]Data!M1815</f>
        <v>36.467836113931803</v>
      </c>
      <c r="N1815" s="8">
        <f>[1]Data!N1815</f>
        <v>0.35</v>
      </c>
      <c r="O1815" s="8">
        <f>[1]Data!O1815</f>
        <v>2.8571428571428599</v>
      </c>
      <c r="P1815" s="8">
        <f>[1]Data!P1815</f>
        <v>0.55000000000000004</v>
      </c>
      <c r="Q1815" s="8">
        <f>[1]Data!Q1815</f>
        <v>1</v>
      </c>
      <c r="R1815" s="8">
        <f>[1]Data!R1815</f>
        <v>0</v>
      </c>
      <c r="S1815" s="8">
        <f>[1]Data!S1815</f>
        <v>0</v>
      </c>
      <c r="T1815">
        <f t="shared" si="140"/>
        <v>0.61764705882352944</v>
      </c>
      <c r="U1815">
        <f t="shared" si="141"/>
        <v>1.6190476190476191</v>
      </c>
      <c r="V1815" s="4" t="str">
        <f t="shared" si="142"/>
        <v>11</v>
      </c>
      <c r="W1815" s="4" t="str">
        <f t="shared" si="143"/>
        <v>5</v>
      </c>
      <c r="X1815" s="4" t="str">
        <f t="shared" si="144"/>
        <v>11CVCTE5</v>
      </c>
      <c r="Y1815">
        <f>VLOOKUP(X1815,Sheet1!$J$5:$K$121,2,FALSE)</f>
        <v>0.41176470588235298</v>
      </c>
    </row>
    <row r="1816" spans="1:25" x14ac:dyDescent="0.25">
      <c r="A1816" s="8">
        <f>[1]Data!A1816</f>
        <v>980028</v>
      </c>
      <c r="B1816" s="8">
        <f>[1]Data!B1816</f>
        <v>5</v>
      </c>
      <c r="C1816" s="8">
        <f>[1]Data!C1816</f>
        <v>11</v>
      </c>
      <c r="D1816" s="8">
        <f>[1]Data!D1816</f>
        <v>4</v>
      </c>
      <c r="E1816" s="8" t="str">
        <f>[1]Data!E1816</f>
        <v>CVCTE</v>
      </c>
      <c r="F1816" s="8" t="str">
        <f>[1]Data!F1816</f>
        <v>Westchester/Playa Del Rey</v>
      </c>
      <c r="G1816" s="8">
        <f>[1]Data!G1816</f>
        <v>0</v>
      </c>
      <c r="H1816" s="8">
        <f>[1]Data!H1816</f>
        <v>0</v>
      </c>
      <c r="I1816" s="8">
        <f>[1]Data!I1816</f>
        <v>36.003999999999998</v>
      </c>
      <c r="J1816" s="8">
        <f>[1]Data!J1816</f>
        <v>31.800529300000001</v>
      </c>
      <c r="K1816" s="8">
        <f>[1]Data!K1816</f>
        <v>34.800529300000001</v>
      </c>
      <c r="L1816" s="8">
        <f>[1]Data!L1816</f>
        <v>1.20363540267504</v>
      </c>
      <c r="M1816" s="8">
        <f>[1]Data!M1816</f>
        <v>36.004164702674998</v>
      </c>
      <c r="N1816" s="8">
        <f>[1]Data!N1816</f>
        <v>0.35</v>
      </c>
      <c r="O1816" s="8">
        <f>[1]Data!O1816</f>
        <v>0</v>
      </c>
      <c r="P1816" s="8">
        <f>[1]Data!P1816</f>
        <v>0.55000000000000004</v>
      </c>
      <c r="Q1816" s="8">
        <f>[1]Data!Q1816</f>
        <v>1</v>
      </c>
      <c r="R1816" s="8">
        <f>[1]Data!R1816</f>
        <v>0.41176470588235298</v>
      </c>
      <c r="S1816" s="8">
        <f>[1]Data!S1816</f>
        <v>0</v>
      </c>
      <c r="T1816">
        <f t="shared" si="140"/>
        <v>0.61764705882352944</v>
      </c>
      <c r="U1816">
        <f t="shared" si="141"/>
        <v>0</v>
      </c>
      <c r="V1816" s="4" t="str">
        <f t="shared" si="142"/>
        <v>11</v>
      </c>
      <c r="W1816" s="4" t="str">
        <f t="shared" si="143"/>
        <v>5</v>
      </c>
      <c r="X1816" s="4" t="str">
        <f t="shared" si="144"/>
        <v>11CVCTE5</v>
      </c>
      <c r="Y1816">
        <f>VLOOKUP(X1816,Sheet1!$J$5:$K$121,2,FALSE)</f>
        <v>0.41176470588235298</v>
      </c>
    </row>
    <row r="1817" spans="1:25" x14ac:dyDescent="0.25">
      <c r="A1817" s="8">
        <f>[1]Data!A1817</f>
        <v>267502</v>
      </c>
      <c r="B1817" s="8">
        <f>[1]Data!B1817</f>
        <v>5</v>
      </c>
      <c r="C1817" s="8">
        <f>[1]Data!C1817</f>
        <v>11</v>
      </c>
      <c r="D1817" s="8">
        <f>[1]Data!D1817</f>
        <v>3</v>
      </c>
      <c r="E1817" s="8" t="str">
        <f>[1]Data!E1817</f>
        <v>CVCTE</v>
      </c>
      <c r="F1817" s="8" t="str">
        <f>[1]Data!F1817</f>
        <v>West Los Angeles</v>
      </c>
      <c r="G1817" s="8">
        <f>[1]Data!G1817</f>
        <v>0</v>
      </c>
      <c r="H1817" s="8">
        <f>[1]Data!H1817</f>
        <v>1</v>
      </c>
      <c r="I1817" s="8">
        <f>[1]Data!I1817</f>
        <v>28.059000000000001</v>
      </c>
      <c r="J1817" s="8">
        <f>[1]Data!J1817</f>
        <v>16.467518609999999</v>
      </c>
      <c r="K1817" s="8">
        <f>[1]Data!K1817</f>
        <v>27.467518609999999</v>
      </c>
      <c r="L1817" s="8">
        <f>[1]Data!L1817</f>
        <v>0.58982964005385996</v>
      </c>
      <c r="M1817" s="8">
        <f>[1]Data!M1817</f>
        <v>28.057348250053899</v>
      </c>
      <c r="N1817" s="8">
        <f>[1]Data!N1817</f>
        <v>0.35</v>
      </c>
      <c r="O1817" s="8">
        <f>[1]Data!O1817</f>
        <v>0</v>
      </c>
      <c r="P1817" s="8">
        <f>[1]Data!P1817</f>
        <v>0.55000000000000004</v>
      </c>
      <c r="Q1817" s="8">
        <f>[1]Data!Q1817</f>
        <v>1</v>
      </c>
      <c r="R1817" s="8">
        <f>[1]Data!R1817</f>
        <v>0.41176470588235298</v>
      </c>
      <c r="S1817" s="8">
        <f>[1]Data!S1817</f>
        <v>2.4285714285714302</v>
      </c>
      <c r="T1817">
        <f t="shared" si="140"/>
        <v>0.61764705882352944</v>
      </c>
      <c r="U1817">
        <f t="shared" si="141"/>
        <v>1.6190476190476191</v>
      </c>
      <c r="V1817" s="4" t="str">
        <f t="shared" si="142"/>
        <v>11</v>
      </c>
      <c r="W1817" s="4" t="str">
        <f t="shared" si="143"/>
        <v>5</v>
      </c>
      <c r="X1817" s="4" t="str">
        <f t="shared" si="144"/>
        <v>11CVCTE5</v>
      </c>
      <c r="Y1817">
        <f>VLOOKUP(X1817,Sheet1!$J$5:$K$121,2,FALSE)</f>
        <v>0.41176470588235298</v>
      </c>
    </row>
    <row r="1818" spans="1:25" x14ac:dyDescent="0.25">
      <c r="A1818" s="8">
        <f>[1]Data!A1818</f>
        <v>271600</v>
      </c>
      <c r="B1818" s="8">
        <f>[1]Data!B1818</f>
        <v>5</v>
      </c>
      <c r="C1818" s="8">
        <f>[1]Data!C1818</f>
        <v>11</v>
      </c>
      <c r="D1818" s="8">
        <f>[1]Data!D1818</f>
        <v>2</v>
      </c>
      <c r="E1818" s="8" t="str">
        <f>[1]Data!E1818</f>
        <v>CVCTE</v>
      </c>
      <c r="F1818" s="8" t="str">
        <f>[1]Data!F1818</f>
        <v>Mar Vista</v>
      </c>
      <c r="G1818" s="8">
        <f>[1]Data!G1818</f>
        <v>0</v>
      </c>
      <c r="H1818" s="8">
        <f>[1]Data!H1818</f>
        <v>0</v>
      </c>
      <c r="I1818" s="8">
        <f>[1]Data!I1818</f>
        <v>4.0949999999999998</v>
      </c>
      <c r="J1818" s="8">
        <f>[1]Data!J1818</f>
        <v>1.9836996600000001</v>
      </c>
      <c r="K1818" s="8">
        <f>[1]Data!K1818</f>
        <v>3.9836996600000001</v>
      </c>
      <c r="L1818" s="8">
        <f>[1]Data!L1818</f>
        <v>0.11117260138240601</v>
      </c>
      <c r="M1818" s="8">
        <f>[1]Data!M1818</f>
        <v>4.0948722613824096</v>
      </c>
      <c r="N1818" s="8">
        <f>[1]Data!N1818</f>
        <v>0.35</v>
      </c>
      <c r="O1818" s="8">
        <f>[1]Data!O1818</f>
        <v>0</v>
      </c>
      <c r="P1818" s="8">
        <f>[1]Data!P1818</f>
        <v>0.55000000000000004</v>
      </c>
      <c r="Q1818" s="8">
        <f>[1]Data!Q1818</f>
        <v>1</v>
      </c>
      <c r="R1818" s="8">
        <f>[1]Data!R1818</f>
        <v>0.41176470588235298</v>
      </c>
      <c r="S1818" s="8">
        <f>[1]Data!S1818</f>
        <v>0</v>
      </c>
      <c r="T1818">
        <f t="shared" si="140"/>
        <v>0.61764705882352944</v>
      </c>
      <c r="U1818">
        <f t="shared" si="141"/>
        <v>0</v>
      </c>
      <c r="V1818" s="4" t="str">
        <f t="shared" si="142"/>
        <v>11</v>
      </c>
      <c r="W1818" s="4" t="str">
        <f t="shared" si="143"/>
        <v>5</v>
      </c>
      <c r="X1818" s="4" t="str">
        <f t="shared" si="144"/>
        <v>11CVCTE5</v>
      </c>
      <c r="Y1818">
        <f>VLOOKUP(X1818,Sheet1!$J$5:$K$121,2,FALSE)</f>
        <v>0.41176470588235298</v>
      </c>
    </row>
    <row r="1819" spans="1:25" x14ac:dyDescent="0.25">
      <c r="A1819" s="8">
        <f>[1]Data!A1819</f>
        <v>267402</v>
      </c>
      <c r="B1819" s="8">
        <f>[1]Data!B1819</f>
        <v>5</v>
      </c>
      <c r="C1819" s="8">
        <f>[1]Data!C1819</f>
        <v>11</v>
      </c>
      <c r="D1819" s="8">
        <f>[1]Data!D1819</f>
        <v>3</v>
      </c>
      <c r="E1819" s="8" t="str">
        <f>[1]Data!E1819</f>
        <v>CVCTE</v>
      </c>
      <c r="F1819" s="8" t="str">
        <f>[1]Data!F1819</f>
        <v>West Los Angeles</v>
      </c>
      <c r="G1819" s="8">
        <f>[1]Data!G1819</f>
        <v>0</v>
      </c>
      <c r="H1819" s="8">
        <f>[1]Data!H1819</f>
        <v>0</v>
      </c>
      <c r="I1819" s="8">
        <f>[1]Data!I1819</f>
        <v>16.872</v>
      </c>
      <c r="J1819" s="8">
        <f>[1]Data!J1819</f>
        <v>7.6983394799999996</v>
      </c>
      <c r="K1819" s="8">
        <f>[1]Data!K1819</f>
        <v>16.698339480000001</v>
      </c>
      <c r="L1819" s="8">
        <f>[1]Data!L1819</f>
        <v>0.17304856763016199</v>
      </c>
      <c r="M1819" s="8">
        <f>[1]Data!M1819</f>
        <v>16.871388047630202</v>
      </c>
      <c r="N1819" s="8">
        <f>[1]Data!N1819</f>
        <v>0.35</v>
      </c>
      <c r="O1819" s="8">
        <f>[1]Data!O1819</f>
        <v>0</v>
      </c>
      <c r="P1819" s="8">
        <f>[1]Data!P1819</f>
        <v>0.55000000000000004</v>
      </c>
      <c r="Q1819" s="8">
        <f>[1]Data!Q1819</f>
        <v>1</v>
      </c>
      <c r="R1819" s="8">
        <f>[1]Data!R1819</f>
        <v>0.41176470588235298</v>
      </c>
      <c r="S1819" s="8">
        <f>[1]Data!S1819</f>
        <v>0</v>
      </c>
      <c r="T1819">
        <f t="shared" si="140"/>
        <v>0.61764705882352944</v>
      </c>
      <c r="U1819">
        <f t="shared" si="141"/>
        <v>0</v>
      </c>
      <c r="V1819" s="4" t="str">
        <f t="shared" si="142"/>
        <v>11</v>
      </c>
      <c r="W1819" s="4" t="str">
        <f t="shared" si="143"/>
        <v>5</v>
      </c>
      <c r="X1819" s="4" t="str">
        <f t="shared" si="144"/>
        <v>11CVCTE5</v>
      </c>
      <c r="Y1819">
        <f>VLOOKUP(X1819,Sheet1!$J$5:$K$121,2,FALSE)</f>
        <v>0.41176470588235298</v>
      </c>
    </row>
    <row r="1820" spans="1:25" x14ac:dyDescent="0.25">
      <c r="A1820" s="8">
        <f>[1]Data!A1820</f>
        <v>267300</v>
      </c>
      <c r="B1820" s="8">
        <f>[1]Data!B1820</f>
        <v>5</v>
      </c>
      <c r="C1820" s="8">
        <f>[1]Data!C1820</f>
        <v>11</v>
      </c>
      <c r="D1820" s="8">
        <f>[1]Data!D1820</f>
        <v>3</v>
      </c>
      <c r="E1820" s="8" t="str">
        <f>[1]Data!E1820</f>
        <v>CVCTE</v>
      </c>
      <c r="F1820" s="8" t="str">
        <f>[1]Data!F1820</f>
        <v>West Los Angeles</v>
      </c>
      <c r="G1820" s="8">
        <f>[1]Data!G1820</f>
        <v>0</v>
      </c>
      <c r="H1820" s="8">
        <f>[1]Data!H1820</f>
        <v>1</v>
      </c>
      <c r="I1820" s="8">
        <f>[1]Data!I1820</f>
        <v>41.658000000000001</v>
      </c>
      <c r="J1820" s="8">
        <f>[1]Data!J1820</f>
        <v>21.913084210000001</v>
      </c>
      <c r="K1820" s="8">
        <f>[1]Data!K1820</f>
        <v>40.913084210000001</v>
      </c>
      <c r="L1820" s="8">
        <f>[1]Data!L1820</f>
        <v>0.74461197991023398</v>
      </c>
      <c r="M1820" s="8">
        <f>[1]Data!M1820</f>
        <v>41.657696189910197</v>
      </c>
      <c r="N1820" s="8">
        <f>[1]Data!N1820</f>
        <v>0.35</v>
      </c>
      <c r="O1820" s="8">
        <f>[1]Data!O1820</f>
        <v>0</v>
      </c>
      <c r="P1820" s="8">
        <f>[1]Data!P1820</f>
        <v>0.55000000000000004</v>
      </c>
      <c r="Q1820" s="8">
        <f>[1]Data!Q1820</f>
        <v>1</v>
      </c>
      <c r="R1820" s="8">
        <f>[1]Data!R1820</f>
        <v>0.41176470588235298</v>
      </c>
      <c r="S1820" s="8">
        <f>[1]Data!S1820</f>
        <v>2.4285714285714302</v>
      </c>
      <c r="T1820">
        <f t="shared" si="140"/>
        <v>0.61764705882352944</v>
      </c>
      <c r="U1820">
        <f t="shared" si="141"/>
        <v>1.6190476190476191</v>
      </c>
      <c r="V1820" s="4" t="str">
        <f t="shared" si="142"/>
        <v>11</v>
      </c>
      <c r="W1820" s="4" t="str">
        <f t="shared" si="143"/>
        <v>5</v>
      </c>
      <c r="X1820" s="4" t="str">
        <f t="shared" si="144"/>
        <v>11CVCTE5</v>
      </c>
      <c r="Y1820">
        <f>VLOOKUP(X1820,Sheet1!$J$5:$K$121,2,FALSE)</f>
        <v>0.41176470588235298</v>
      </c>
    </row>
    <row r="1821" spans="1:25" x14ac:dyDescent="0.25">
      <c r="A1821" s="8">
        <f>[1]Data!A1821</f>
        <v>271200</v>
      </c>
      <c r="B1821" s="8">
        <f>[1]Data!B1821</f>
        <v>5</v>
      </c>
      <c r="C1821" s="8">
        <f>[1]Data!C1821</f>
        <v>11</v>
      </c>
      <c r="D1821" s="8">
        <f>[1]Data!D1821</f>
        <v>2</v>
      </c>
      <c r="E1821" s="8" t="str">
        <f>[1]Data!E1821</f>
        <v>CVCTE</v>
      </c>
      <c r="F1821" s="8" t="str">
        <f>[1]Data!F1821</f>
        <v>Mar Vista</v>
      </c>
      <c r="G1821" s="8">
        <f>[1]Data!G1821</f>
        <v>0</v>
      </c>
      <c r="H1821" s="8">
        <f>[1]Data!H1821</f>
        <v>1</v>
      </c>
      <c r="I1821" s="8">
        <f>[1]Data!I1821</f>
        <v>27.38</v>
      </c>
      <c r="J1821" s="8">
        <f>[1]Data!J1821</f>
        <v>22.751522900000001</v>
      </c>
      <c r="K1821" s="8">
        <f>[1]Data!K1821</f>
        <v>26.751522900000001</v>
      </c>
      <c r="L1821" s="8">
        <f>[1]Data!L1821</f>
        <v>0.62786607929982097</v>
      </c>
      <c r="M1821" s="8">
        <f>[1]Data!M1821</f>
        <v>27.379388979299801</v>
      </c>
      <c r="N1821" s="8">
        <f>[1]Data!N1821</f>
        <v>0.35</v>
      </c>
      <c r="O1821" s="8">
        <f>[1]Data!O1821</f>
        <v>0</v>
      </c>
      <c r="P1821" s="8">
        <f>[1]Data!P1821</f>
        <v>0.55000000000000004</v>
      </c>
      <c r="Q1821" s="8">
        <f>[1]Data!Q1821</f>
        <v>1</v>
      </c>
      <c r="R1821" s="8">
        <f>[1]Data!R1821</f>
        <v>0.41176470588235298</v>
      </c>
      <c r="S1821" s="8">
        <f>[1]Data!S1821</f>
        <v>2.4285714285714302</v>
      </c>
      <c r="T1821">
        <f t="shared" si="140"/>
        <v>0.61764705882352944</v>
      </c>
      <c r="U1821">
        <f t="shared" si="141"/>
        <v>1.6190476190476191</v>
      </c>
      <c r="V1821" s="4" t="str">
        <f t="shared" si="142"/>
        <v>11</v>
      </c>
      <c r="W1821" s="4" t="str">
        <f t="shared" si="143"/>
        <v>5</v>
      </c>
      <c r="X1821" s="4" t="str">
        <f t="shared" si="144"/>
        <v>11CVCTE5</v>
      </c>
      <c r="Y1821">
        <f>VLOOKUP(X1821,Sheet1!$J$5:$K$121,2,FALSE)</f>
        <v>0.41176470588235298</v>
      </c>
    </row>
    <row r="1822" spans="1:25" x14ac:dyDescent="0.25">
      <c r="A1822" s="8">
        <f>[1]Data!A1822</f>
        <v>271901</v>
      </c>
      <c r="B1822" s="8">
        <f>[1]Data!B1822</f>
        <v>5</v>
      </c>
      <c r="C1822" s="8">
        <f>[1]Data!C1822</f>
        <v>11</v>
      </c>
      <c r="D1822" s="8">
        <f>[1]Data!D1822</f>
        <v>2</v>
      </c>
      <c r="E1822" s="8" t="str">
        <f>[1]Data!E1822</f>
        <v>CVCTE</v>
      </c>
      <c r="F1822" s="8" t="str">
        <f>[1]Data!F1822</f>
        <v>Mar Vista</v>
      </c>
      <c r="G1822" s="8">
        <f>[1]Data!G1822</f>
        <v>0</v>
      </c>
      <c r="H1822" s="8">
        <f>[1]Data!H1822</f>
        <v>1</v>
      </c>
      <c r="I1822" s="8">
        <f>[1]Data!I1822</f>
        <v>1</v>
      </c>
      <c r="J1822" s="8">
        <f>[1]Data!J1822</f>
        <v>0</v>
      </c>
      <c r="K1822" s="8">
        <f>[1]Data!K1822</f>
        <v>1</v>
      </c>
      <c r="L1822" s="8">
        <f>[1]Data!L1822</f>
        <v>0</v>
      </c>
      <c r="M1822" s="8">
        <f>[1]Data!M1822</f>
        <v>1</v>
      </c>
      <c r="N1822" s="8">
        <f>[1]Data!N1822</f>
        <v>0.35</v>
      </c>
      <c r="O1822" s="8">
        <f>[1]Data!O1822</f>
        <v>0</v>
      </c>
      <c r="P1822" s="8">
        <f>[1]Data!P1822</f>
        <v>0.55000000000000004</v>
      </c>
      <c r="Q1822" s="8">
        <f>[1]Data!Q1822</f>
        <v>1</v>
      </c>
      <c r="R1822" s="8">
        <f>[1]Data!R1822</f>
        <v>0.41176470588235298</v>
      </c>
      <c r="S1822" s="8">
        <f>[1]Data!S1822</f>
        <v>2.4285714285714302</v>
      </c>
      <c r="T1822">
        <f t="shared" si="140"/>
        <v>0.61764705882352944</v>
      </c>
      <c r="U1822">
        <f t="shared" si="141"/>
        <v>1.6190476190476191</v>
      </c>
      <c r="V1822" s="4" t="str">
        <f t="shared" si="142"/>
        <v>11</v>
      </c>
      <c r="W1822" s="4" t="str">
        <f t="shared" si="143"/>
        <v>5</v>
      </c>
      <c r="X1822" s="4" t="str">
        <f t="shared" si="144"/>
        <v>11CVCTE5</v>
      </c>
      <c r="Y1822">
        <f>VLOOKUP(X1822,Sheet1!$J$5:$K$121,2,FALSE)</f>
        <v>0.41176470588235298</v>
      </c>
    </row>
    <row r="1823" spans="1:25" x14ac:dyDescent="0.25">
      <c r="A1823" s="8">
        <f>[1]Data!A1823</f>
        <v>272201</v>
      </c>
      <c r="B1823" s="8">
        <f>[1]Data!B1823</f>
        <v>5</v>
      </c>
      <c r="C1823" s="8">
        <f>[1]Data!C1823</f>
        <v>11</v>
      </c>
      <c r="D1823" s="8">
        <f>[1]Data!D1823</f>
        <v>2</v>
      </c>
      <c r="E1823" s="8" t="str">
        <f>[1]Data!E1823</f>
        <v>CVCTE</v>
      </c>
      <c r="F1823" s="8" t="str">
        <f>[1]Data!F1823</f>
        <v>Mar Vista</v>
      </c>
      <c r="G1823" s="8">
        <f>[1]Data!G1823</f>
        <v>0</v>
      </c>
      <c r="H1823" s="8">
        <f>[1]Data!H1823</f>
        <v>1</v>
      </c>
      <c r="I1823" s="8">
        <f>[1]Data!I1823</f>
        <v>29.766999999999999</v>
      </c>
      <c r="J1823" s="8">
        <f>[1]Data!J1823</f>
        <v>20.754217929999999</v>
      </c>
      <c r="K1823" s="8">
        <f>[1]Data!K1823</f>
        <v>28.754217929999999</v>
      </c>
      <c r="L1823" s="8">
        <f>[1]Data!L1823</f>
        <v>1.0124797103949701</v>
      </c>
      <c r="M1823" s="8">
        <f>[1]Data!M1823</f>
        <v>29.766697640395002</v>
      </c>
      <c r="N1823" s="8">
        <f>[1]Data!N1823</f>
        <v>0.35</v>
      </c>
      <c r="O1823" s="8">
        <f>[1]Data!O1823</f>
        <v>0</v>
      </c>
      <c r="P1823" s="8">
        <f>[1]Data!P1823</f>
        <v>0.55000000000000004</v>
      </c>
      <c r="Q1823" s="8">
        <f>[1]Data!Q1823</f>
        <v>1</v>
      </c>
      <c r="R1823" s="8">
        <f>[1]Data!R1823</f>
        <v>0.41176470588235298</v>
      </c>
      <c r="S1823" s="8">
        <f>[1]Data!S1823</f>
        <v>2.4285714285714302</v>
      </c>
      <c r="T1823">
        <f t="shared" si="140"/>
        <v>0.61764705882352944</v>
      </c>
      <c r="U1823">
        <f t="shared" si="141"/>
        <v>1.6190476190476191</v>
      </c>
      <c r="V1823" s="4" t="str">
        <f t="shared" si="142"/>
        <v>11</v>
      </c>
      <c r="W1823" s="4" t="str">
        <f t="shared" si="143"/>
        <v>5</v>
      </c>
      <c r="X1823" s="4" t="str">
        <f t="shared" si="144"/>
        <v>11CVCTE5</v>
      </c>
      <c r="Y1823">
        <f>VLOOKUP(X1823,Sheet1!$J$5:$K$121,2,FALSE)</f>
        <v>0.41176470588235298</v>
      </c>
    </row>
    <row r="1824" spans="1:25" x14ac:dyDescent="0.25">
      <c r="A1824" s="8">
        <f>[1]Data!A1824</f>
        <v>275102</v>
      </c>
      <c r="B1824" s="8">
        <f>[1]Data!B1824</f>
        <v>5</v>
      </c>
      <c r="C1824" s="8">
        <f>[1]Data!C1824</f>
        <v>11</v>
      </c>
      <c r="D1824" s="8">
        <f>[1]Data!D1824</f>
        <v>2</v>
      </c>
      <c r="E1824" s="8" t="str">
        <f>[1]Data!E1824</f>
        <v>CVCTE</v>
      </c>
      <c r="F1824" s="8" t="str">
        <f>[1]Data!F1824</f>
        <v>Del Rey</v>
      </c>
      <c r="G1824" s="8">
        <f>[1]Data!G1824</f>
        <v>0</v>
      </c>
      <c r="H1824" s="8">
        <f>[1]Data!H1824</f>
        <v>0</v>
      </c>
      <c r="I1824" s="8">
        <f>[1]Data!I1824</f>
        <v>28.213000000000001</v>
      </c>
      <c r="J1824" s="8">
        <f>[1]Data!J1824</f>
        <v>22.126962599999999</v>
      </c>
      <c r="K1824" s="8">
        <f>[1]Data!K1824</f>
        <v>27.126962599999999</v>
      </c>
      <c r="L1824" s="8">
        <f>[1]Data!L1824</f>
        <v>1.08556139913824</v>
      </c>
      <c r="M1824" s="8">
        <f>[1]Data!M1824</f>
        <v>28.212523999138199</v>
      </c>
      <c r="N1824" s="8">
        <f>[1]Data!N1824</f>
        <v>0.35</v>
      </c>
      <c r="O1824" s="8">
        <f>[1]Data!O1824</f>
        <v>0</v>
      </c>
      <c r="P1824" s="8">
        <f>[1]Data!P1824</f>
        <v>0.55000000000000004</v>
      </c>
      <c r="Q1824" s="8">
        <f>[1]Data!Q1824</f>
        <v>1</v>
      </c>
      <c r="R1824" s="8">
        <f>[1]Data!R1824</f>
        <v>0.41176470588235298</v>
      </c>
      <c r="S1824" s="8">
        <f>[1]Data!S1824</f>
        <v>0</v>
      </c>
      <c r="T1824">
        <f t="shared" si="140"/>
        <v>0.61764705882352944</v>
      </c>
      <c r="U1824">
        <f t="shared" si="141"/>
        <v>0</v>
      </c>
      <c r="V1824" s="4" t="str">
        <f t="shared" si="142"/>
        <v>11</v>
      </c>
      <c r="W1824" s="4" t="str">
        <f t="shared" si="143"/>
        <v>5</v>
      </c>
      <c r="X1824" s="4" t="str">
        <f t="shared" si="144"/>
        <v>11CVCTE5</v>
      </c>
      <c r="Y1824">
        <f>VLOOKUP(X1824,Sheet1!$J$5:$K$121,2,FALSE)</f>
        <v>0.41176470588235298</v>
      </c>
    </row>
    <row r="1825" spans="1:25" x14ac:dyDescent="0.25">
      <c r="A1825" s="8">
        <f>[1]Data!A1825</f>
        <v>275302</v>
      </c>
      <c r="B1825" s="8">
        <f>[1]Data!B1825</f>
        <v>5</v>
      </c>
      <c r="C1825" s="8">
        <f>[1]Data!C1825</f>
        <v>11</v>
      </c>
      <c r="D1825" s="8">
        <f>[1]Data!D1825</f>
        <v>2</v>
      </c>
      <c r="E1825" s="8" t="str">
        <f>[1]Data!E1825</f>
        <v>CVCTE</v>
      </c>
      <c r="F1825" s="8" t="str">
        <f>[1]Data!F1825</f>
        <v>Del Rey</v>
      </c>
      <c r="G1825" s="8">
        <f>[1]Data!G1825</f>
        <v>0</v>
      </c>
      <c r="H1825" s="8">
        <f>[1]Data!H1825</f>
        <v>0</v>
      </c>
      <c r="I1825" s="8">
        <f>[1]Data!I1825</f>
        <v>21.035</v>
      </c>
      <c r="J1825" s="8">
        <f>[1]Data!J1825</f>
        <v>18.279470499999999</v>
      </c>
      <c r="K1825" s="8">
        <f>[1]Data!K1825</f>
        <v>20.279470499999999</v>
      </c>
      <c r="L1825" s="8">
        <f>[1]Data!L1825</f>
        <v>0.75536242964093403</v>
      </c>
      <c r="M1825" s="8">
        <f>[1]Data!M1825</f>
        <v>21.034832929640899</v>
      </c>
      <c r="N1825" s="8">
        <f>[1]Data!N1825</f>
        <v>0.35</v>
      </c>
      <c r="O1825" s="8">
        <f>[1]Data!O1825</f>
        <v>0</v>
      </c>
      <c r="P1825" s="8">
        <f>[1]Data!P1825</f>
        <v>0.55000000000000004</v>
      </c>
      <c r="Q1825" s="8">
        <f>[1]Data!Q1825</f>
        <v>1</v>
      </c>
      <c r="R1825" s="8">
        <f>[1]Data!R1825</f>
        <v>0.41176470588235298</v>
      </c>
      <c r="S1825" s="8">
        <f>[1]Data!S1825</f>
        <v>0</v>
      </c>
      <c r="T1825">
        <f t="shared" si="140"/>
        <v>0.61764705882352944</v>
      </c>
      <c r="U1825">
        <f t="shared" si="141"/>
        <v>0</v>
      </c>
      <c r="V1825" s="4" t="str">
        <f t="shared" si="142"/>
        <v>11</v>
      </c>
      <c r="W1825" s="4" t="str">
        <f t="shared" si="143"/>
        <v>5</v>
      </c>
      <c r="X1825" s="4" t="str">
        <f t="shared" si="144"/>
        <v>11CVCTE5</v>
      </c>
      <c r="Y1825">
        <f>VLOOKUP(X1825,Sheet1!$J$5:$K$121,2,FALSE)</f>
        <v>0.41176470588235298</v>
      </c>
    </row>
    <row r="1826" spans="1:25" x14ac:dyDescent="0.25">
      <c r="A1826" s="8">
        <f>[1]Data!A1826</f>
        <v>275311</v>
      </c>
      <c r="B1826" s="8">
        <f>[1]Data!B1826</f>
        <v>5</v>
      </c>
      <c r="C1826" s="8">
        <f>[1]Data!C1826</f>
        <v>11</v>
      </c>
      <c r="D1826" s="8">
        <f>[1]Data!D1826</f>
        <v>2</v>
      </c>
      <c r="E1826" s="8" t="str">
        <f>[1]Data!E1826</f>
        <v>CVCTE</v>
      </c>
      <c r="F1826" s="8" t="str">
        <f>[1]Data!F1826</f>
        <v>Del Rey</v>
      </c>
      <c r="G1826" s="8">
        <f>[1]Data!G1826</f>
        <v>0</v>
      </c>
      <c r="H1826" s="8">
        <f>[1]Data!H1826</f>
        <v>0</v>
      </c>
      <c r="I1826" s="8">
        <f>[1]Data!I1826</f>
        <v>19.800999999999998</v>
      </c>
      <c r="J1826" s="8">
        <f>[1]Data!J1826</f>
        <v>18.83472664</v>
      </c>
      <c r="K1826" s="8">
        <f>[1]Data!K1826</f>
        <v>18.83472664</v>
      </c>
      <c r="L1826" s="8">
        <f>[1]Data!L1826</f>
        <v>0.966977649443447</v>
      </c>
      <c r="M1826" s="8">
        <f>[1]Data!M1826</f>
        <v>19.8017042894434</v>
      </c>
      <c r="N1826" s="8">
        <f>[1]Data!N1826</f>
        <v>0.35</v>
      </c>
      <c r="O1826" s="8">
        <f>[1]Data!O1826</f>
        <v>0</v>
      </c>
      <c r="P1826" s="8">
        <f>[1]Data!P1826</f>
        <v>0.55000000000000004</v>
      </c>
      <c r="Q1826" s="8">
        <f>[1]Data!Q1826</f>
        <v>1</v>
      </c>
      <c r="R1826" s="8">
        <f>[1]Data!R1826</f>
        <v>0.41176470588235298</v>
      </c>
      <c r="S1826" s="8">
        <f>[1]Data!S1826</f>
        <v>0</v>
      </c>
      <c r="T1826">
        <f t="shared" si="140"/>
        <v>0.61764705882352944</v>
      </c>
      <c r="U1826">
        <f t="shared" si="141"/>
        <v>0</v>
      </c>
      <c r="V1826" s="4" t="str">
        <f t="shared" si="142"/>
        <v>11</v>
      </c>
      <c r="W1826" s="4" t="str">
        <f t="shared" si="143"/>
        <v>5</v>
      </c>
      <c r="X1826" s="4" t="str">
        <f t="shared" si="144"/>
        <v>11CVCTE5</v>
      </c>
      <c r="Y1826">
        <f>VLOOKUP(X1826,Sheet1!$J$5:$K$121,2,FALSE)</f>
        <v>0.41176470588235298</v>
      </c>
    </row>
    <row r="1827" spans="1:25" x14ac:dyDescent="0.25">
      <c r="A1827" s="8">
        <f>[1]Data!A1827</f>
        <v>275602</v>
      </c>
      <c r="B1827" s="8">
        <f>[1]Data!B1827</f>
        <v>5</v>
      </c>
      <c r="C1827" s="8">
        <f>[1]Data!C1827</f>
        <v>11</v>
      </c>
      <c r="D1827" s="8">
        <f>[1]Data!D1827</f>
        <v>2</v>
      </c>
      <c r="E1827" s="8" t="str">
        <f>[1]Data!E1827</f>
        <v>CVCTE</v>
      </c>
      <c r="F1827" s="8" t="str">
        <f>[1]Data!F1827</f>
        <v>Del Rey</v>
      </c>
      <c r="G1827" s="8">
        <f>[1]Data!G1827</f>
        <v>0</v>
      </c>
      <c r="H1827" s="8">
        <f>[1]Data!H1827</f>
        <v>0</v>
      </c>
      <c r="I1827" s="8">
        <f>[1]Data!I1827</f>
        <v>26.34</v>
      </c>
      <c r="J1827" s="8">
        <f>[1]Data!J1827</f>
        <v>20.366851260000001</v>
      </c>
      <c r="K1827" s="8">
        <f>[1]Data!K1827</f>
        <v>25.366851260000001</v>
      </c>
      <c r="L1827" s="8">
        <f>[1]Data!L1827</f>
        <v>0.97352218807899404</v>
      </c>
      <c r="M1827" s="8">
        <f>[1]Data!M1827</f>
        <v>26.340373448078999</v>
      </c>
      <c r="N1827" s="8">
        <f>[1]Data!N1827</f>
        <v>0.35</v>
      </c>
      <c r="O1827" s="8">
        <f>[1]Data!O1827</f>
        <v>0</v>
      </c>
      <c r="P1827" s="8">
        <f>[1]Data!P1827</f>
        <v>0.55000000000000004</v>
      </c>
      <c r="Q1827" s="8">
        <f>[1]Data!Q1827</f>
        <v>1</v>
      </c>
      <c r="R1827" s="8">
        <f>[1]Data!R1827</f>
        <v>0.41176470588235298</v>
      </c>
      <c r="S1827" s="8">
        <f>[1]Data!S1827</f>
        <v>0</v>
      </c>
      <c r="T1827">
        <f t="shared" si="140"/>
        <v>0.61764705882352944</v>
      </c>
      <c r="U1827">
        <f t="shared" si="141"/>
        <v>0</v>
      </c>
      <c r="V1827" s="4" t="str">
        <f t="shared" si="142"/>
        <v>11</v>
      </c>
      <c r="W1827" s="4" t="str">
        <f t="shared" si="143"/>
        <v>5</v>
      </c>
      <c r="X1827" s="4" t="str">
        <f t="shared" si="144"/>
        <v>11CVCTE5</v>
      </c>
      <c r="Y1827">
        <f>VLOOKUP(X1827,Sheet1!$J$5:$K$121,2,FALSE)</f>
        <v>0.41176470588235298</v>
      </c>
    </row>
    <row r="1828" spans="1:25" x14ac:dyDescent="0.25">
      <c r="A1828" s="8">
        <f>[1]Data!A1828</f>
        <v>275603</v>
      </c>
      <c r="B1828" s="8">
        <f>[1]Data!B1828</f>
        <v>5</v>
      </c>
      <c r="C1828" s="8">
        <f>[1]Data!C1828</f>
        <v>11</v>
      </c>
      <c r="D1828" s="8">
        <f>[1]Data!D1828</f>
        <v>2</v>
      </c>
      <c r="E1828" s="8" t="str">
        <f>[1]Data!E1828</f>
        <v>CVCTE</v>
      </c>
      <c r="F1828" s="8" t="str">
        <f>[1]Data!F1828</f>
        <v>Del Rey</v>
      </c>
      <c r="G1828" s="8">
        <f>[1]Data!G1828</f>
        <v>1</v>
      </c>
      <c r="H1828" s="8">
        <f>[1]Data!H1828</f>
        <v>1</v>
      </c>
      <c r="I1828" s="8">
        <f>[1]Data!I1828</f>
        <v>44.497</v>
      </c>
      <c r="J1828" s="8">
        <f>[1]Data!J1828</f>
        <v>38.282578979999997</v>
      </c>
      <c r="K1828" s="8">
        <f>[1]Data!K1828</f>
        <v>42.282578979999997</v>
      </c>
      <c r="L1828" s="8">
        <f>[1]Data!L1828</f>
        <v>2.2143301675403899</v>
      </c>
      <c r="M1828" s="8">
        <f>[1]Data!M1828</f>
        <v>44.4969091475404</v>
      </c>
      <c r="N1828" s="8">
        <f>[1]Data!N1828</f>
        <v>0.35</v>
      </c>
      <c r="O1828" s="8">
        <f>[1]Data!O1828</f>
        <v>2.8571428571428599</v>
      </c>
      <c r="P1828" s="8">
        <f>[1]Data!P1828</f>
        <v>0.55000000000000004</v>
      </c>
      <c r="Q1828" s="8">
        <f>[1]Data!Q1828</f>
        <v>1</v>
      </c>
      <c r="R1828" s="8">
        <f>[1]Data!R1828</f>
        <v>0</v>
      </c>
      <c r="S1828" s="8">
        <f>[1]Data!S1828</f>
        <v>0</v>
      </c>
      <c r="T1828">
        <f t="shared" si="140"/>
        <v>0.61764705882352944</v>
      </c>
      <c r="U1828">
        <f t="shared" si="141"/>
        <v>1.6190476190476191</v>
      </c>
      <c r="V1828" s="4" t="str">
        <f t="shared" si="142"/>
        <v>11</v>
      </c>
      <c r="W1828" s="4" t="str">
        <f t="shared" si="143"/>
        <v>5</v>
      </c>
      <c r="X1828" s="4" t="str">
        <f t="shared" si="144"/>
        <v>11CVCTE5</v>
      </c>
      <c r="Y1828">
        <f>VLOOKUP(X1828,Sheet1!$J$5:$K$121,2,FALSE)</f>
        <v>0.41176470588235298</v>
      </c>
    </row>
    <row r="1829" spans="1:25" x14ac:dyDescent="0.25">
      <c r="A1829" s="8">
        <f>[1]Data!A1829</f>
        <v>276601</v>
      </c>
      <c r="B1829" s="8">
        <f>[1]Data!B1829</f>
        <v>5</v>
      </c>
      <c r="C1829" s="8">
        <f>[1]Data!C1829</f>
        <v>11</v>
      </c>
      <c r="D1829" s="8">
        <f>[1]Data!D1829</f>
        <v>4</v>
      </c>
      <c r="E1829" s="8" t="str">
        <f>[1]Data!E1829</f>
        <v>CVCTE</v>
      </c>
      <c r="F1829" s="8" t="str">
        <f>[1]Data!F1829</f>
        <v>Westchester/Playa Del Rey</v>
      </c>
      <c r="G1829" s="8">
        <f>[1]Data!G1829</f>
        <v>0</v>
      </c>
      <c r="H1829" s="8">
        <f>[1]Data!H1829</f>
        <v>0</v>
      </c>
      <c r="I1829" s="8">
        <f>[1]Data!I1829</f>
        <v>14.7</v>
      </c>
      <c r="J1829" s="8">
        <f>[1]Data!J1829</f>
        <v>13.320051250000001</v>
      </c>
      <c r="K1829" s="8">
        <f>[1]Data!K1829</f>
        <v>14.320051250000001</v>
      </c>
      <c r="L1829" s="8">
        <f>[1]Data!L1829</f>
        <v>0.37983200138240603</v>
      </c>
      <c r="M1829" s="8">
        <f>[1]Data!M1829</f>
        <v>14.699883251382399</v>
      </c>
      <c r="N1829" s="8">
        <f>[1]Data!N1829</f>
        <v>0.35</v>
      </c>
      <c r="O1829" s="8">
        <f>[1]Data!O1829</f>
        <v>0</v>
      </c>
      <c r="P1829" s="8">
        <f>[1]Data!P1829</f>
        <v>0.55000000000000004</v>
      </c>
      <c r="Q1829" s="8">
        <f>[1]Data!Q1829</f>
        <v>1</v>
      </c>
      <c r="R1829" s="8">
        <f>[1]Data!R1829</f>
        <v>0.41176470588235298</v>
      </c>
      <c r="S1829" s="8">
        <f>[1]Data!S1829</f>
        <v>0</v>
      </c>
      <c r="T1829">
        <f t="shared" si="140"/>
        <v>0.61764705882352944</v>
      </c>
      <c r="U1829">
        <f t="shared" si="141"/>
        <v>0</v>
      </c>
      <c r="V1829" s="4" t="str">
        <f t="shared" si="142"/>
        <v>11</v>
      </c>
      <c r="W1829" s="4" t="str">
        <f t="shared" si="143"/>
        <v>5</v>
      </c>
      <c r="X1829" s="4" t="str">
        <f t="shared" si="144"/>
        <v>11CVCTE5</v>
      </c>
      <c r="Y1829">
        <f>VLOOKUP(X1829,Sheet1!$J$5:$K$121,2,FALSE)</f>
        <v>0.41176470588235298</v>
      </c>
    </row>
    <row r="1830" spans="1:25" x14ac:dyDescent="0.25">
      <c r="A1830" s="8">
        <f>[1]Data!A1830</f>
        <v>276603</v>
      </c>
      <c r="B1830" s="8">
        <f>[1]Data!B1830</f>
        <v>5</v>
      </c>
      <c r="C1830" s="8">
        <f>[1]Data!C1830</f>
        <v>11</v>
      </c>
      <c r="D1830" s="8">
        <f>[1]Data!D1830</f>
        <v>4</v>
      </c>
      <c r="E1830" s="8" t="str">
        <f>[1]Data!E1830</f>
        <v>CVCTE</v>
      </c>
      <c r="F1830" s="8" t="str">
        <f>[1]Data!F1830</f>
        <v>Westchester/Playa Del Rey</v>
      </c>
      <c r="G1830" s="8">
        <f>[1]Data!G1830</f>
        <v>1</v>
      </c>
      <c r="H1830" s="8">
        <f>[1]Data!H1830</f>
        <v>1</v>
      </c>
      <c r="I1830" s="8">
        <f>[1]Data!I1830</f>
        <v>26.66</v>
      </c>
      <c r="J1830" s="8">
        <f>[1]Data!J1830</f>
        <v>25.2869606</v>
      </c>
      <c r="K1830" s="8">
        <f>[1]Data!K1830</f>
        <v>25.2869606</v>
      </c>
      <c r="L1830" s="8">
        <f>[1]Data!L1830</f>
        <v>1.37286963578097</v>
      </c>
      <c r="M1830" s="8">
        <f>[1]Data!M1830</f>
        <v>26.659830235781001</v>
      </c>
      <c r="N1830" s="8">
        <f>[1]Data!N1830</f>
        <v>0.35</v>
      </c>
      <c r="O1830" s="8">
        <f>[1]Data!O1830</f>
        <v>2.8571428571428599</v>
      </c>
      <c r="P1830" s="8">
        <f>[1]Data!P1830</f>
        <v>0.55000000000000004</v>
      </c>
      <c r="Q1830" s="8">
        <f>[1]Data!Q1830</f>
        <v>1</v>
      </c>
      <c r="R1830" s="8">
        <f>[1]Data!R1830</f>
        <v>0</v>
      </c>
      <c r="S1830" s="8">
        <f>[1]Data!S1830</f>
        <v>0</v>
      </c>
      <c r="T1830">
        <f t="shared" si="140"/>
        <v>0.61764705882352944</v>
      </c>
      <c r="U1830">
        <f t="shared" si="141"/>
        <v>1.6190476190476191</v>
      </c>
      <c r="V1830" s="4" t="str">
        <f t="shared" si="142"/>
        <v>11</v>
      </c>
      <c r="W1830" s="4" t="str">
        <f t="shared" si="143"/>
        <v>5</v>
      </c>
      <c r="X1830" s="4" t="str">
        <f t="shared" si="144"/>
        <v>11CVCTE5</v>
      </c>
      <c r="Y1830">
        <f>VLOOKUP(X1830,Sheet1!$J$5:$K$121,2,FALSE)</f>
        <v>0.41176470588235298</v>
      </c>
    </row>
    <row r="1831" spans="1:25" x14ac:dyDescent="0.25">
      <c r="A1831" s="8">
        <f>[1]Data!A1831</f>
        <v>276604</v>
      </c>
      <c r="B1831" s="8">
        <f>[1]Data!B1831</f>
        <v>5</v>
      </c>
      <c r="C1831" s="8">
        <f>[1]Data!C1831</f>
        <v>11</v>
      </c>
      <c r="D1831" s="8">
        <f>[1]Data!D1831</f>
        <v>4</v>
      </c>
      <c r="E1831" s="8" t="str">
        <f>[1]Data!E1831</f>
        <v>CVCTE</v>
      </c>
      <c r="F1831" s="8" t="str">
        <f>[1]Data!F1831</f>
        <v>Westchester/Playa Del Rey</v>
      </c>
      <c r="G1831" s="8">
        <f>[1]Data!G1831</f>
        <v>0</v>
      </c>
      <c r="H1831" s="8">
        <f>[1]Data!H1831</f>
        <v>1</v>
      </c>
      <c r="I1831" s="8">
        <f>[1]Data!I1831</f>
        <v>23.47</v>
      </c>
      <c r="J1831" s="8">
        <f>[1]Data!J1831</f>
        <v>20.658506249999999</v>
      </c>
      <c r="K1831" s="8">
        <f>[1]Data!K1831</f>
        <v>22.658506249999999</v>
      </c>
      <c r="L1831" s="8">
        <f>[1]Data!L1831</f>
        <v>0.81130823314183098</v>
      </c>
      <c r="M1831" s="8">
        <f>[1]Data!M1831</f>
        <v>23.4698144831418</v>
      </c>
      <c r="N1831" s="8">
        <f>[1]Data!N1831</f>
        <v>0.35</v>
      </c>
      <c r="O1831" s="8">
        <f>[1]Data!O1831</f>
        <v>0</v>
      </c>
      <c r="P1831" s="8">
        <f>[1]Data!P1831</f>
        <v>0.55000000000000004</v>
      </c>
      <c r="Q1831" s="8">
        <f>[1]Data!Q1831</f>
        <v>1</v>
      </c>
      <c r="R1831" s="8">
        <f>[1]Data!R1831</f>
        <v>0.41176470588235298</v>
      </c>
      <c r="S1831" s="8">
        <f>[1]Data!S1831</f>
        <v>2.4285714285714302</v>
      </c>
      <c r="T1831">
        <f t="shared" si="140"/>
        <v>0.61764705882352944</v>
      </c>
      <c r="U1831">
        <f t="shared" si="141"/>
        <v>1.6190476190476191</v>
      </c>
      <c r="V1831" s="4" t="str">
        <f t="shared" si="142"/>
        <v>11</v>
      </c>
      <c r="W1831" s="4" t="str">
        <f t="shared" si="143"/>
        <v>5</v>
      </c>
      <c r="X1831" s="4" t="str">
        <f t="shared" si="144"/>
        <v>11CVCTE5</v>
      </c>
      <c r="Y1831">
        <f>VLOOKUP(X1831,Sheet1!$J$5:$K$121,2,FALSE)</f>
        <v>0.41176470588235298</v>
      </c>
    </row>
    <row r="1832" spans="1:25" x14ac:dyDescent="0.25">
      <c r="A1832" s="8">
        <f>[1]Data!A1832</f>
        <v>277200</v>
      </c>
      <c r="B1832" s="8">
        <f>[1]Data!B1832</f>
        <v>5</v>
      </c>
      <c r="C1832" s="8">
        <f>[1]Data!C1832</f>
        <v>11</v>
      </c>
      <c r="D1832" s="8">
        <f>[1]Data!D1832</f>
        <v>2</v>
      </c>
      <c r="E1832" s="8" t="str">
        <f>[1]Data!E1832</f>
        <v>CVCTE</v>
      </c>
      <c r="F1832" s="8" t="str">
        <f>[1]Data!F1832</f>
        <v>Westchester/Playa Del Rey</v>
      </c>
      <c r="G1832" s="8">
        <f>[1]Data!G1832</f>
        <v>0</v>
      </c>
      <c r="H1832" s="8">
        <f>[1]Data!H1832</f>
        <v>0</v>
      </c>
      <c r="I1832" s="8">
        <f>[1]Data!I1832</f>
        <v>32.841000000000001</v>
      </c>
      <c r="J1832" s="8">
        <f>[1]Data!J1832</f>
        <v>29.80641679</v>
      </c>
      <c r="K1832" s="8">
        <f>[1]Data!K1832</f>
        <v>31.80641679</v>
      </c>
      <c r="L1832" s="8">
        <f>[1]Data!L1832</f>
        <v>1.0357660263375199</v>
      </c>
      <c r="M1832" s="8">
        <f>[1]Data!M1832</f>
        <v>32.842182816337498</v>
      </c>
      <c r="N1832" s="8">
        <f>[1]Data!N1832</f>
        <v>0.35</v>
      </c>
      <c r="O1832" s="8">
        <f>[1]Data!O1832</f>
        <v>0</v>
      </c>
      <c r="P1832" s="8">
        <f>[1]Data!P1832</f>
        <v>0.55000000000000004</v>
      </c>
      <c r="Q1832" s="8">
        <f>[1]Data!Q1832</f>
        <v>1</v>
      </c>
      <c r="R1832" s="8">
        <f>[1]Data!R1832</f>
        <v>0.41176470588235298</v>
      </c>
      <c r="S1832" s="8">
        <f>[1]Data!S1832</f>
        <v>0</v>
      </c>
      <c r="T1832">
        <f t="shared" si="140"/>
        <v>0.61764705882352944</v>
      </c>
      <c r="U1832">
        <f t="shared" si="141"/>
        <v>0</v>
      </c>
      <c r="V1832" s="4" t="str">
        <f t="shared" si="142"/>
        <v>11</v>
      </c>
      <c r="W1832" s="4" t="str">
        <f t="shared" si="143"/>
        <v>5</v>
      </c>
      <c r="X1832" s="4" t="str">
        <f t="shared" si="144"/>
        <v>11CVCTE5</v>
      </c>
      <c r="Y1832">
        <f>VLOOKUP(X1832,Sheet1!$J$5:$K$121,2,FALSE)</f>
        <v>0.41176470588235298</v>
      </c>
    </row>
    <row r="1833" spans="1:25" x14ac:dyDescent="0.25">
      <c r="A1833" s="8">
        <f>[1]Data!A1833</f>
        <v>277400</v>
      </c>
      <c r="B1833" s="8">
        <f>[1]Data!B1833</f>
        <v>5</v>
      </c>
      <c r="C1833" s="8">
        <f>[1]Data!C1833</f>
        <v>11</v>
      </c>
      <c r="D1833" s="8">
        <f>[1]Data!D1833</f>
        <v>2</v>
      </c>
      <c r="E1833" s="8" t="str">
        <f>[1]Data!E1833</f>
        <v>CVCTE</v>
      </c>
      <c r="F1833" s="8" t="str">
        <f>[1]Data!F1833</f>
        <v>Westchester/Playa Del Rey</v>
      </c>
      <c r="G1833" s="8">
        <f>[1]Data!G1833</f>
        <v>1</v>
      </c>
      <c r="H1833" s="8">
        <f>[1]Data!H1833</f>
        <v>1</v>
      </c>
      <c r="I1833" s="8">
        <f>[1]Data!I1833</f>
        <v>420.67700000000002</v>
      </c>
      <c r="J1833" s="8">
        <f>[1]Data!J1833</f>
        <v>397.39406099000001</v>
      </c>
      <c r="K1833" s="8">
        <f>[1]Data!K1833</f>
        <v>402.39406099000001</v>
      </c>
      <c r="L1833" s="8">
        <f>[1]Data!L1833</f>
        <v>18.280589617181299</v>
      </c>
      <c r="M1833" s="8">
        <f>[1]Data!M1833</f>
        <v>420.67465060718098</v>
      </c>
      <c r="N1833" s="8">
        <f>[1]Data!N1833</f>
        <v>0.35</v>
      </c>
      <c r="O1833" s="8">
        <f>[1]Data!O1833</f>
        <v>2.8571428571428599</v>
      </c>
      <c r="P1833" s="8">
        <f>[1]Data!P1833</f>
        <v>0.55000000000000004</v>
      </c>
      <c r="Q1833" s="8">
        <f>[1]Data!Q1833</f>
        <v>1</v>
      </c>
      <c r="R1833" s="8">
        <f>[1]Data!R1833</f>
        <v>0</v>
      </c>
      <c r="S1833" s="8">
        <f>[1]Data!S1833</f>
        <v>0</v>
      </c>
      <c r="T1833">
        <f t="shared" si="140"/>
        <v>0.61764705882352944</v>
      </c>
      <c r="U1833">
        <f t="shared" si="141"/>
        <v>1.6190476190476191</v>
      </c>
      <c r="V1833" s="4" t="str">
        <f t="shared" si="142"/>
        <v>11</v>
      </c>
      <c r="W1833" s="4" t="str">
        <f t="shared" si="143"/>
        <v>5</v>
      </c>
      <c r="X1833" s="4" t="str">
        <f t="shared" si="144"/>
        <v>11CVCTE5</v>
      </c>
      <c r="Y1833">
        <f>VLOOKUP(X1833,Sheet1!$J$5:$K$121,2,FALSE)</f>
        <v>0.41176470588235298</v>
      </c>
    </row>
    <row r="1834" spans="1:25" x14ac:dyDescent="0.25">
      <c r="A1834" s="8">
        <f>[1]Data!A1834</f>
        <v>278001</v>
      </c>
      <c r="B1834" s="8">
        <f>[1]Data!B1834</f>
        <v>5</v>
      </c>
      <c r="C1834" s="8">
        <f>[1]Data!C1834</f>
        <v>11</v>
      </c>
      <c r="D1834" s="8">
        <f>[1]Data!D1834</f>
        <v>2</v>
      </c>
      <c r="E1834" s="8" t="str">
        <f>[1]Data!E1834</f>
        <v>CVCTE</v>
      </c>
      <c r="F1834" s="8" t="str">
        <f>[1]Data!F1834</f>
        <v>Westchester/Playa Del Rey</v>
      </c>
      <c r="G1834" s="8">
        <f>[1]Data!G1834</f>
        <v>0</v>
      </c>
      <c r="H1834" s="8">
        <f>[1]Data!H1834</f>
        <v>0</v>
      </c>
      <c r="I1834" s="8">
        <f>[1]Data!I1834</f>
        <v>35.886000000000003</v>
      </c>
      <c r="J1834" s="8">
        <f>[1]Data!J1834</f>
        <v>22.75028541</v>
      </c>
      <c r="K1834" s="8">
        <f>[1]Data!K1834</f>
        <v>34.750285409999996</v>
      </c>
      <c r="L1834" s="8">
        <f>[1]Data!L1834</f>
        <v>1.1358292736804301</v>
      </c>
      <c r="M1834" s="8">
        <f>[1]Data!M1834</f>
        <v>35.886114683680397</v>
      </c>
      <c r="N1834" s="8">
        <f>[1]Data!N1834</f>
        <v>0.35</v>
      </c>
      <c r="O1834" s="8">
        <f>[1]Data!O1834</f>
        <v>0</v>
      </c>
      <c r="P1834" s="8">
        <f>[1]Data!P1834</f>
        <v>0.55000000000000004</v>
      </c>
      <c r="Q1834" s="8">
        <f>[1]Data!Q1834</f>
        <v>1</v>
      </c>
      <c r="R1834" s="8">
        <f>[1]Data!R1834</f>
        <v>0.41176470588235298</v>
      </c>
      <c r="S1834" s="8">
        <f>[1]Data!S1834</f>
        <v>0</v>
      </c>
      <c r="T1834">
        <f t="shared" si="140"/>
        <v>0.61764705882352944</v>
      </c>
      <c r="U1834">
        <f t="shared" si="141"/>
        <v>0</v>
      </c>
      <c r="V1834" s="4" t="str">
        <f t="shared" si="142"/>
        <v>11</v>
      </c>
      <c r="W1834" s="4" t="str">
        <f t="shared" si="143"/>
        <v>5</v>
      </c>
      <c r="X1834" s="4" t="str">
        <f t="shared" si="144"/>
        <v>11CVCTE5</v>
      </c>
      <c r="Y1834">
        <f>VLOOKUP(X1834,Sheet1!$J$5:$K$121,2,FALSE)</f>
        <v>0.41176470588235298</v>
      </c>
    </row>
    <row r="1835" spans="1:25" x14ac:dyDescent="0.25">
      <c r="A1835" s="8">
        <f>[1]Data!A1835</f>
        <v>267600</v>
      </c>
      <c r="B1835" s="8">
        <f>[1]Data!B1835</f>
        <v>5</v>
      </c>
      <c r="C1835" s="8">
        <f>[1]Data!C1835</f>
        <v>11</v>
      </c>
      <c r="D1835" s="8">
        <f>[1]Data!D1835</f>
        <v>3</v>
      </c>
      <c r="E1835" s="8" t="str">
        <f>[1]Data!E1835</f>
        <v>FAMILY</v>
      </c>
      <c r="F1835" s="8" t="str">
        <f>[1]Data!F1835</f>
        <v>West Los Angeles</v>
      </c>
      <c r="G1835" s="8">
        <f>[1]Data!G1835</f>
        <v>1</v>
      </c>
      <c r="H1835" s="8">
        <f>[1]Data!H1835</f>
        <v>1</v>
      </c>
      <c r="I1835" s="8">
        <f>[1]Data!I1835</f>
        <v>22.771999999999998</v>
      </c>
      <c r="J1835" s="8">
        <f>[1]Data!J1835</f>
        <v>17.115702800000001</v>
      </c>
      <c r="K1835" s="8">
        <f>[1]Data!K1835</f>
        <v>22.115702800000001</v>
      </c>
      <c r="L1835" s="8">
        <f>[1]Data!L1835</f>
        <v>2.65653739235188</v>
      </c>
      <c r="M1835" s="8">
        <f>[1]Data!M1835</f>
        <v>24.772240192351902</v>
      </c>
      <c r="N1835" s="8">
        <f>[1]Data!N1835</f>
        <v>1</v>
      </c>
      <c r="O1835" s="8">
        <f>[1]Data!O1835</f>
        <v>1</v>
      </c>
      <c r="P1835" s="8">
        <f>[1]Data!P1835</f>
        <v>0</v>
      </c>
      <c r="Q1835" s="8">
        <f>[1]Data!Q1835</f>
        <v>0</v>
      </c>
      <c r="R1835" s="8">
        <f>[1]Data!R1835</f>
        <v>0</v>
      </c>
      <c r="S1835" s="8">
        <f>[1]Data!S1835</f>
        <v>0</v>
      </c>
      <c r="T1835">
        <f t="shared" si="140"/>
        <v>1</v>
      </c>
      <c r="U1835">
        <f t="shared" si="141"/>
        <v>1</v>
      </c>
      <c r="V1835" s="4" t="str">
        <f t="shared" si="142"/>
        <v>11</v>
      </c>
      <c r="W1835" s="4" t="str">
        <f t="shared" si="143"/>
        <v>5</v>
      </c>
      <c r="X1835" s="4" t="str">
        <f t="shared" si="144"/>
        <v>11FAMILY5</v>
      </c>
      <c r="Y1835">
        <f>VLOOKUP(X1835,Sheet1!$J$5:$K$121,2,FALSE)</f>
        <v>0</v>
      </c>
    </row>
    <row r="1836" spans="1:25" x14ac:dyDescent="0.25">
      <c r="A1836" s="8">
        <f>[1]Data!A1836</f>
        <v>262704</v>
      </c>
      <c r="B1836" s="8">
        <f>[1]Data!B1836</f>
        <v>5</v>
      </c>
      <c r="C1836" s="8">
        <f>[1]Data!C1836</f>
        <v>11</v>
      </c>
      <c r="D1836" s="8">
        <f>[1]Data!D1836</f>
        <v>3</v>
      </c>
      <c r="E1836" s="8" t="str">
        <f>[1]Data!E1836</f>
        <v>FAMILY</v>
      </c>
      <c r="F1836" s="8" t="str">
        <f>[1]Data!F1836</f>
        <v>Pacific Palisades</v>
      </c>
      <c r="G1836" s="8">
        <f>[1]Data!G1836</f>
        <v>1</v>
      </c>
      <c r="H1836" s="8">
        <f>[1]Data!H1836</f>
        <v>1</v>
      </c>
      <c r="I1836" s="8">
        <f>[1]Data!I1836</f>
        <v>38.831000000000003</v>
      </c>
      <c r="J1836" s="8">
        <f>[1]Data!J1836</f>
        <v>32.667037800000003</v>
      </c>
      <c r="K1836" s="8">
        <f>[1]Data!K1836</f>
        <v>36.667037800000003</v>
      </c>
      <c r="L1836" s="8">
        <f>[1]Data!L1836</f>
        <v>6.1635212089407503</v>
      </c>
      <c r="M1836" s="8">
        <f>[1]Data!M1836</f>
        <v>42.830559008940803</v>
      </c>
      <c r="N1836" s="8">
        <f>[1]Data!N1836</f>
        <v>1</v>
      </c>
      <c r="O1836" s="8">
        <f>[1]Data!O1836</f>
        <v>1</v>
      </c>
      <c r="P1836" s="8">
        <f>[1]Data!P1836</f>
        <v>0</v>
      </c>
      <c r="Q1836" s="8">
        <f>[1]Data!Q1836</f>
        <v>0</v>
      </c>
      <c r="R1836" s="8">
        <f>[1]Data!R1836</f>
        <v>0</v>
      </c>
      <c r="S1836" s="8">
        <f>[1]Data!S1836</f>
        <v>0</v>
      </c>
      <c r="T1836">
        <f t="shared" si="140"/>
        <v>1</v>
      </c>
      <c r="U1836">
        <f t="shared" si="141"/>
        <v>1</v>
      </c>
      <c r="V1836" s="4" t="str">
        <f t="shared" si="142"/>
        <v>11</v>
      </c>
      <c r="W1836" s="4" t="str">
        <f t="shared" si="143"/>
        <v>5</v>
      </c>
      <c r="X1836" s="4" t="str">
        <f t="shared" si="144"/>
        <v>11FAMILY5</v>
      </c>
      <c r="Y1836">
        <f>VLOOKUP(X1836,Sheet1!$J$5:$K$121,2,FALSE)</f>
        <v>0</v>
      </c>
    </row>
    <row r="1837" spans="1:25" x14ac:dyDescent="0.25">
      <c r="A1837" s="8">
        <f>[1]Data!A1837</f>
        <v>262604</v>
      </c>
      <c r="B1837" s="8">
        <f>[1]Data!B1837</f>
        <v>5</v>
      </c>
      <c r="C1837" s="8">
        <f>[1]Data!C1837</f>
        <v>11</v>
      </c>
      <c r="D1837" s="8">
        <f>[1]Data!D1837</f>
        <v>3</v>
      </c>
      <c r="E1837" s="8" t="str">
        <f>[1]Data!E1837</f>
        <v>INDIV</v>
      </c>
      <c r="F1837" s="8" t="str">
        <f>[1]Data!F1837</f>
        <v>Pacific Palisades</v>
      </c>
      <c r="G1837" s="8">
        <f>[1]Data!G1837</f>
        <v>0</v>
      </c>
      <c r="H1837" s="8">
        <f>[1]Data!H1837</f>
        <v>0</v>
      </c>
      <c r="I1837" s="8">
        <f>[1]Data!I1837</f>
        <v>26.439</v>
      </c>
      <c r="J1837" s="8">
        <f>[1]Data!J1837</f>
        <v>16.249566179999999</v>
      </c>
      <c r="K1837" s="8">
        <f>[1]Data!K1837</f>
        <v>26.249566179999999</v>
      </c>
      <c r="L1837" s="8">
        <f>[1]Data!L1837</f>
        <v>0.18909433745062801</v>
      </c>
      <c r="M1837" s="8">
        <f>[1]Data!M1837</f>
        <v>26.4386605174506</v>
      </c>
      <c r="N1837" s="8">
        <f>[1]Data!N1837</f>
        <v>7.69230769230769E-2</v>
      </c>
      <c r="O1837" s="8">
        <f>[1]Data!O1837</f>
        <v>0</v>
      </c>
      <c r="P1837" s="8">
        <f>[1]Data!P1837</f>
        <v>0.15384615384615399</v>
      </c>
      <c r="Q1837" s="8">
        <f>[1]Data!Q1837</f>
        <v>1</v>
      </c>
      <c r="R1837" s="8">
        <f>[1]Data!R1837</f>
        <v>0.5</v>
      </c>
      <c r="S1837" s="8">
        <f>[1]Data!S1837</f>
        <v>0</v>
      </c>
      <c r="T1837">
        <f t="shared" si="140"/>
        <v>0.53846153846153844</v>
      </c>
      <c r="U1837">
        <f t="shared" si="141"/>
        <v>0</v>
      </c>
      <c r="V1837" s="4" t="str">
        <f t="shared" si="142"/>
        <v>11</v>
      </c>
      <c r="W1837" s="4" t="str">
        <f t="shared" si="143"/>
        <v>5</v>
      </c>
      <c r="X1837" s="4" t="str">
        <f t="shared" si="144"/>
        <v>11INDIV5</v>
      </c>
      <c r="Y1837">
        <f>VLOOKUP(X1837,Sheet1!$J$5:$K$121,2,FALSE)</f>
        <v>0.5</v>
      </c>
    </row>
    <row r="1838" spans="1:25" x14ac:dyDescent="0.25">
      <c r="A1838" s="8">
        <f>[1]Data!A1838</f>
        <v>262706</v>
      </c>
      <c r="B1838" s="8">
        <f>[1]Data!B1838</f>
        <v>5</v>
      </c>
      <c r="C1838" s="8">
        <f>[1]Data!C1838</f>
        <v>11</v>
      </c>
      <c r="D1838" s="8">
        <f>[1]Data!D1838</f>
        <v>3</v>
      </c>
      <c r="E1838" s="8" t="str">
        <f>[1]Data!E1838</f>
        <v>INDIV</v>
      </c>
      <c r="F1838" s="8" t="str">
        <f>[1]Data!F1838</f>
        <v>Pacific Palisades</v>
      </c>
      <c r="G1838" s="8">
        <f>[1]Data!G1838</f>
        <v>0</v>
      </c>
      <c r="H1838" s="8">
        <f>[1]Data!H1838</f>
        <v>1</v>
      </c>
      <c r="I1838" s="8">
        <f>[1]Data!I1838</f>
        <v>14.798</v>
      </c>
      <c r="J1838" s="8">
        <f>[1]Data!J1838</f>
        <v>3.6649912800000002</v>
      </c>
      <c r="K1838" s="8">
        <f>[1]Data!K1838</f>
        <v>14.664991280000001</v>
      </c>
      <c r="L1838" s="8">
        <f>[1]Data!L1838</f>
        <v>0.13266453314183099</v>
      </c>
      <c r="M1838" s="8">
        <f>[1]Data!M1838</f>
        <v>14.7976558131418</v>
      </c>
      <c r="N1838" s="8">
        <f>[1]Data!N1838</f>
        <v>7.69230769230769E-2</v>
      </c>
      <c r="O1838" s="8">
        <f>[1]Data!O1838</f>
        <v>0</v>
      </c>
      <c r="P1838" s="8">
        <f>[1]Data!P1838</f>
        <v>0.15384615384615399</v>
      </c>
      <c r="Q1838" s="8">
        <f>[1]Data!Q1838</f>
        <v>1</v>
      </c>
      <c r="R1838" s="8">
        <f>[1]Data!R1838</f>
        <v>0.5</v>
      </c>
      <c r="S1838" s="8">
        <f>[1]Data!S1838</f>
        <v>2</v>
      </c>
      <c r="T1838">
        <f t="shared" si="140"/>
        <v>0.53846153846153844</v>
      </c>
      <c r="U1838">
        <f t="shared" si="141"/>
        <v>1.8571428571428572</v>
      </c>
      <c r="V1838" s="4" t="str">
        <f t="shared" si="142"/>
        <v>11</v>
      </c>
      <c r="W1838" s="4" t="str">
        <f t="shared" si="143"/>
        <v>5</v>
      </c>
      <c r="X1838" s="4" t="str">
        <f t="shared" si="144"/>
        <v>11INDIV5</v>
      </c>
      <c r="Y1838">
        <f>VLOOKUP(X1838,Sheet1!$J$5:$K$121,2,FALSE)</f>
        <v>0.5</v>
      </c>
    </row>
    <row r="1839" spans="1:25" x14ac:dyDescent="0.25">
      <c r="A1839" s="8">
        <f>[1]Data!A1839</f>
        <v>275200</v>
      </c>
      <c r="B1839" s="8">
        <f>[1]Data!B1839</f>
        <v>5</v>
      </c>
      <c r="C1839" s="8">
        <f>[1]Data!C1839</f>
        <v>11</v>
      </c>
      <c r="D1839" s="8">
        <f>[1]Data!D1839</f>
        <v>2</v>
      </c>
      <c r="E1839" s="8" t="str">
        <f>[1]Data!E1839</f>
        <v>NON-HS</v>
      </c>
      <c r="F1839" s="8" t="str">
        <f>[1]Data!F1839</f>
        <v>Del Rey</v>
      </c>
      <c r="G1839" s="8">
        <f>[1]Data!G1839</f>
        <v>0</v>
      </c>
      <c r="H1839" s="8">
        <f>[1]Data!H1839</f>
        <v>0</v>
      </c>
      <c r="I1839" s="8">
        <f>[1]Data!I1839</f>
        <v>3.9260000000000002</v>
      </c>
      <c r="J1839" s="8">
        <f>[1]Data!J1839</f>
        <v>1.90487994</v>
      </c>
      <c r="K1839" s="8">
        <f>[1]Data!K1839</f>
        <v>3.9048799399999998</v>
      </c>
      <c r="L1839" s="8">
        <f>[1]Data!L1839</f>
        <v>2.0625322082585301E-2</v>
      </c>
      <c r="M1839" s="8">
        <f>[1]Data!M1839</f>
        <v>3.9255052620825901</v>
      </c>
      <c r="N1839" s="8">
        <f>[1]Data!N1839</f>
        <v>3.2258064516128997E-2</v>
      </c>
      <c r="O1839" s="8">
        <f>[1]Data!O1839</f>
        <v>0</v>
      </c>
      <c r="P1839" s="8">
        <f>[1]Data!P1839</f>
        <v>0.37634408602150499</v>
      </c>
      <c r="Q1839" s="8">
        <f>[1]Data!Q1839</f>
        <v>1</v>
      </c>
      <c r="R1839" s="8">
        <f>[1]Data!R1839</f>
        <v>0</v>
      </c>
      <c r="S1839" s="8">
        <f>[1]Data!S1839</f>
        <v>0</v>
      </c>
      <c r="T1839">
        <f t="shared" si="140"/>
        <v>3.2258064516128997E-2</v>
      </c>
      <c r="U1839">
        <f t="shared" si="141"/>
        <v>0</v>
      </c>
      <c r="V1839" s="4" t="str">
        <f t="shared" si="142"/>
        <v>11</v>
      </c>
      <c r="W1839" s="4" t="str">
        <f t="shared" si="143"/>
        <v>5</v>
      </c>
      <c r="X1839" s="4" t="str">
        <f t="shared" si="144"/>
        <v>11NON-HS5</v>
      </c>
      <c r="Y1839">
        <f>VLOOKUP(X1839,Sheet1!$J$5:$K$121,2,FALSE)</f>
        <v>0</v>
      </c>
    </row>
    <row r="1840" spans="1:25" x14ac:dyDescent="0.25">
      <c r="A1840" s="8">
        <f>[1]Data!A1840</f>
        <v>272202</v>
      </c>
      <c r="B1840" s="8">
        <f>[1]Data!B1840</f>
        <v>5</v>
      </c>
      <c r="C1840" s="8">
        <f>[1]Data!C1840</f>
        <v>11</v>
      </c>
      <c r="D1840" s="8">
        <f>[1]Data!D1840</f>
        <v>2</v>
      </c>
      <c r="E1840" s="8" t="str">
        <f>[1]Data!E1840</f>
        <v>NON-HS</v>
      </c>
      <c r="F1840" s="8" t="str">
        <f>[1]Data!F1840</f>
        <v>Mar Vista</v>
      </c>
      <c r="G1840" s="8">
        <f>[1]Data!G1840</f>
        <v>0</v>
      </c>
      <c r="H1840" s="8">
        <f>[1]Data!H1840</f>
        <v>0</v>
      </c>
      <c r="I1840" s="8">
        <f>[1]Data!I1840</f>
        <v>20.998999999999999</v>
      </c>
      <c r="J1840" s="8">
        <f>[1]Data!J1840</f>
        <v>17.25869381</v>
      </c>
      <c r="K1840" s="8">
        <f>[1]Data!K1840</f>
        <v>20.25869381</v>
      </c>
      <c r="L1840" s="8">
        <f>[1]Data!L1840</f>
        <v>0.73970752996409395</v>
      </c>
      <c r="M1840" s="8">
        <f>[1]Data!M1840</f>
        <v>20.998401339964101</v>
      </c>
      <c r="N1840" s="8">
        <f>[1]Data!N1840</f>
        <v>3.2258064516128997E-2</v>
      </c>
      <c r="O1840" s="8">
        <f>[1]Data!O1840</f>
        <v>0</v>
      </c>
      <c r="P1840" s="8">
        <f>[1]Data!P1840</f>
        <v>0.37634408602150499</v>
      </c>
      <c r="Q1840" s="8">
        <f>[1]Data!Q1840</f>
        <v>1</v>
      </c>
      <c r="R1840" s="8">
        <f>[1]Data!R1840</f>
        <v>0</v>
      </c>
      <c r="S1840" s="8">
        <f>[1]Data!S1840</f>
        <v>0</v>
      </c>
      <c r="T1840">
        <f t="shared" si="140"/>
        <v>3.2258064516128997E-2</v>
      </c>
      <c r="U1840">
        <f t="shared" si="141"/>
        <v>0</v>
      </c>
      <c r="V1840" s="4" t="str">
        <f t="shared" si="142"/>
        <v>11</v>
      </c>
      <c r="W1840" s="4" t="str">
        <f t="shared" si="143"/>
        <v>5</v>
      </c>
      <c r="X1840" s="4" t="str">
        <f t="shared" si="144"/>
        <v>11NON-HS5</v>
      </c>
      <c r="Y1840">
        <f>VLOOKUP(X1840,Sheet1!$J$5:$K$121,2,FALSE)</f>
        <v>0</v>
      </c>
    </row>
    <row r="1841" spans="1:25" x14ac:dyDescent="0.25">
      <c r="A1841" s="8">
        <f>[1]Data!A1841</f>
        <v>271400</v>
      </c>
      <c r="B1841" s="8">
        <f>[1]Data!B1841</f>
        <v>5</v>
      </c>
      <c r="C1841" s="8">
        <f>[1]Data!C1841</f>
        <v>11</v>
      </c>
      <c r="D1841" s="8">
        <f>[1]Data!D1841</f>
        <v>2</v>
      </c>
      <c r="E1841" s="8" t="str">
        <f>[1]Data!E1841</f>
        <v>NON-HS</v>
      </c>
      <c r="F1841" s="8" t="str">
        <f>[1]Data!F1841</f>
        <v>Mar Vista</v>
      </c>
      <c r="G1841" s="8">
        <f>[1]Data!G1841</f>
        <v>0</v>
      </c>
      <c r="H1841" s="8">
        <f>[1]Data!H1841</f>
        <v>0</v>
      </c>
      <c r="I1841" s="8">
        <f>[1]Data!I1841</f>
        <v>6.2850000000000001</v>
      </c>
      <c r="J1841" s="8">
        <f>[1]Data!J1841</f>
        <v>5.9510989800000003</v>
      </c>
      <c r="K1841" s="8">
        <f>[1]Data!K1841</f>
        <v>5.9510989800000003</v>
      </c>
      <c r="L1841" s="8">
        <f>[1]Data!L1841</f>
        <v>0.33351780414721699</v>
      </c>
      <c r="M1841" s="8">
        <f>[1]Data!M1841</f>
        <v>6.2846167841472198</v>
      </c>
      <c r="N1841" s="8">
        <f>[1]Data!N1841</f>
        <v>3.2258064516128997E-2</v>
      </c>
      <c r="O1841" s="8">
        <f>[1]Data!O1841</f>
        <v>0</v>
      </c>
      <c r="P1841" s="8">
        <f>[1]Data!P1841</f>
        <v>0.37634408602150499</v>
      </c>
      <c r="Q1841" s="8">
        <f>[1]Data!Q1841</f>
        <v>1</v>
      </c>
      <c r="R1841" s="8">
        <f>[1]Data!R1841</f>
        <v>0</v>
      </c>
      <c r="S1841" s="8">
        <f>[1]Data!S1841</f>
        <v>0</v>
      </c>
      <c r="T1841">
        <f t="shared" si="140"/>
        <v>3.2258064516128997E-2</v>
      </c>
      <c r="U1841">
        <f t="shared" si="141"/>
        <v>0</v>
      </c>
      <c r="V1841" s="4" t="str">
        <f t="shared" si="142"/>
        <v>11</v>
      </c>
      <c r="W1841" s="4" t="str">
        <f t="shared" si="143"/>
        <v>5</v>
      </c>
      <c r="X1841" s="4" t="str">
        <f t="shared" si="144"/>
        <v>11NON-HS5</v>
      </c>
      <c r="Y1841">
        <f>VLOOKUP(X1841,Sheet1!$J$5:$K$121,2,FALSE)</f>
        <v>0</v>
      </c>
    </row>
    <row r="1842" spans="1:25" x14ac:dyDescent="0.25">
      <c r="A1842" s="8">
        <f>[1]Data!A1842</f>
        <v>264301</v>
      </c>
      <c r="B1842" s="8">
        <f>[1]Data!B1842</f>
        <v>5</v>
      </c>
      <c r="C1842" s="8">
        <f>[1]Data!C1842</f>
        <v>11</v>
      </c>
      <c r="D1842" s="8">
        <f>[1]Data!D1842</f>
        <v>3</v>
      </c>
      <c r="E1842" s="8" t="str">
        <f>[1]Data!E1842</f>
        <v>NON-HS</v>
      </c>
      <c r="F1842" s="8" t="str">
        <f>[1]Data!F1842</f>
        <v>Brentwood</v>
      </c>
      <c r="G1842" s="8">
        <f>[1]Data!G1842</f>
        <v>0</v>
      </c>
      <c r="H1842" s="8">
        <f>[1]Data!H1842</f>
        <v>0</v>
      </c>
      <c r="I1842" s="8">
        <f>[1]Data!I1842</f>
        <v>15.561999999999999</v>
      </c>
      <c r="J1842" s="8">
        <f>[1]Data!J1842</f>
        <v>9.2597238799999992</v>
      </c>
      <c r="K1842" s="8">
        <f>[1]Data!K1842</f>
        <v>15.259723879999999</v>
      </c>
      <c r="L1842" s="8">
        <f>[1]Data!L1842</f>
        <v>0.30239426612208298</v>
      </c>
      <c r="M1842" s="8">
        <f>[1]Data!M1842</f>
        <v>15.562118146122099</v>
      </c>
      <c r="N1842" s="8">
        <f>[1]Data!N1842</f>
        <v>3.2258064516128997E-2</v>
      </c>
      <c r="O1842" s="8">
        <f>[1]Data!O1842</f>
        <v>0</v>
      </c>
      <c r="P1842" s="8">
        <f>[1]Data!P1842</f>
        <v>0.37634408602150499</v>
      </c>
      <c r="Q1842" s="8">
        <f>[1]Data!Q1842</f>
        <v>1</v>
      </c>
      <c r="R1842" s="8">
        <f>[1]Data!R1842</f>
        <v>0</v>
      </c>
      <c r="S1842" s="8">
        <f>[1]Data!S1842</f>
        <v>0</v>
      </c>
      <c r="T1842">
        <f t="shared" si="140"/>
        <v>3.2258064516128997E-2</v>
      </c>
      <c r="U1842">
        <f t="shared" si="141"/>
        <v>0</v>
      </c>
      <c r="V1842" s="4" t="str">
        <f t="shared" si="142"/>
        <v>11</v>
      </c>
      <c r="W1842" s="4" t="str">
        <f t="shared" si="143"/>
        <v>5</v>
      </c>
      <c r="X1842" s="4" t="str">
        <f t="shared" si="144"/>
        <v>11NON-HS5</v>
      </c>
      <c r="Y1842">
        <f>VLOOKUP(X1842,Sheet1!$J$5:$K$121,2,FALSE)</f>
        <v>0</v>
      </c>
    </row>
    <row r="1843" spans="1:25" x14ac:dyDescent="0.25">
      <c r="A1843" s="8">
        <f>[1]Data!A1843</f>
        <v>262802</v>
      </c>
      <c r="B1843" s="8">
        <f>[1]Data!B1843</f>
        <v>5</v>
      </c>
      <c r="C1843" s="8">
        <f>[1]Data!C1843</f>
        <v>11</v>
      </c>
      <c r="D1843" s="8">
        <f>[1]Data!D1843</f>
        <v>3</v>
      </c>
      <c r="E1843" s="8" t="str">
        <f>[1]Data!E1843</f>
        <v>NON-HS</v>
      </c>
      <c r="F1843" s="8" t="str">
        <f>[1]Data!F1843</f>
        <v>Pacific Palisades</v>
      </c>
      <c r="G1843" s="8">
        <f>[1]Data!G1843</f>
        <v>0</v>
      </c>
      <c r="H1843" s="8">
        <f>[1]Data!H1843</f>
        <v>0</v>
      </c>
      <c r="I1843" s="8">
        <f>[1]Data!I1843</f>
        <v>17.058</v>
      </c>
      <c r="J1843" s="8">
        <f>[1]Data!J1843</f>
        <v>8.7152207900000001</v>
      </c>
      <c r="K1843" s="8">
        <f>[1]Data!K1843</f>
        <v>16.71522079</v>
      </c>
      <c r="L1843" s="8">
        <f>[1]Data!L1843</f>
        <v>0.34267367087971301</v>
      </c>
      <c r="M1843" s="8">
        <f>[1]Data!M1843</f>
        <v>17.057894460879702</v>
      </c>
      <c r="N1843" s="8">
        <f>[1]Data!N1843</f>
        <v>3.2258064516128997E-2</v>
      </c>
      <c r="O1843" s="8">
        <f>[1]Data!O1843</f>
        <v>0</v>
      </c>
      <c r="P1843" s="8">
        <f>[1]Data!P1843</f>
        <v>0.37634408602150499</v>
      </c>
      <c r="Q1843" s="8">
        <f>[1]Data!Q1843</f>
        <v>1</v>
      </c>
      <c r="R1843" s="8">
        <f>[1]Data!R1843</f>
        <v>0</v>
      </c>
      <c r="S1843" s="8">
        <f>[1]Data!S1843</f>
        <v>0</v>
      </c>
      <c r="T1843">
        <f t="shared" si="140"/>
        <v>3.2258064516128997E-2</v>
      </c>
      <c r="U1843">
        <f t="shared" si="141"/>
        <v>0</v>
      </c>
      <c r="V1843" s="4" t="str">
        <f t="shared" si="142"/>
        <v>11</v>
      </c>
      <c r="W1843" s="4" t="str">
        <f t="shared" si="143"/>
        <v>5</v>
      </c>
      <c r="X1843" s="4" t="str">
        <f t="shared" si="144"/>
        <v>11NON-HS5</v>
      </c>
      <c r="Y1843">
        <f>VLOOKUP(X1843,Sheet1!$J$5:$K$121,2,FALSE)</f>
        <v>0</v>
      </c>
    </row>
    <row r="1844" spans="1:25" x14ac:dyDescent="0.25">
      <c r="A1844" s="8">
        <f>[1]Data!A1844</f>
        <v>980019</v>
      </c>
      <c r="B1844" s="8">
        <f>[1]Data!B1844</f>
        <v>5</v>
      </c>
      <c r="C1844" s="8">
        <f>[1]Data!C1844</f>
        <v>11</v>
      </c>
      <c r="D1844" s="8">
        <f>[1]Data!D1844</f>
        <v>3</v>
      </c>
      <c r="E1844" s="8" t="str">
        <f>[1]Data!E1844</f>
        <v>NON-HS</v>
      </c>
      <c r="F1844" s="8" t="str">
        <f>[1]Data!F1844</f>
        <v>Pacific Palisades</v>
      </c>
      <c r="G1844" s="8">
        <f>[1]Data!G1844</f>
        <v>0</v>
      </c>
      <c r="H1844" s="8">
        <f>[1]Data!H1844</f>
        <v>0</v>
      </c>
      <c r="I1844" s="8">
        <f>[1]Data!I1844</f>
        <v>0</v>
      </c>
      <c r="J1844" s="8">
        <f>[1]Data!J1844</f>
        <v>0</v>
      </c>
      <c r="K1844" s="8">
        <f>[1]Data!K1844</f>
        <v>0</v>
      </c>
      <c r="L1844" s="8">
        <f>[1]Data!L1844</f>
        <v>0</v>
      </c>
      <c r="M1844" s="8">
        <f>[1]Data!M1844</f>
        <v>0</v>
      </c>
      <c r="N1844" s="8">
        <f>[1]Data!N1844</f>
        <v>3.2258064516128997E-2</v>
      </c>
      <c r="O1844" s="8">
        <f>[1]Data!O1844</f>
        <v>0</v>
      </c>
      <c r="P1844" s="8">
        <f>[1]Data!P1844</f>
        <v>0.37634408602150499</v>
      </c>
      <c r="Q1844" s="8">
        <f>[1]Data!Q1844</f>
        <v>1</v>
      </c>
      <c r="R1844" s="8">
        <f>[1]Data!R1844</f>
        <v>0</v>
      </c>
      <c r="S1844" s="8">
        <f>[1]Data!S1844</f>
        <v>0</v>
      </c>
      <c r="T1844">
        <f t="shared" si="140"/>
        <v>3.2258064516128997E-2</v>
      </c>
      <c r="U1844">
        <f t="shared" si="141"/>
        <v>0</v>
      </c>
      <c r="V1844" s="4" t="str">
        <f t="shared" si="142"/>
        <v>11</v>
      </c>
      <c r="W1844" s="4" t="str">
        <f t="shared" si="143"/>
        <v>5</v>
      </c>
      <c r="X1844" s="4" t="str">
        <f t="shared" si="144"/>
        <v>11NON-HS5</v>
      </c>
      <c r="Y1844">
        <f>VLOOKUP(X1844,Sheet1!$J$5:$K$121,2,FALSE)</f>
        <v>0</v>
      </c>
    </row>
    <row r="1845" spans="1:25" x14ac:dyDescent="0.25">
      <c r="A1845" s="8">
        <f>[1]Data!A1845</f>
        <v>262301</v>
      </c>
      <c r="B1845" s="8">
        <f>[1]Data!B1845</f>
        <v>5</v>
      </c>
      <c r="C1845" s="8">
        <f>[1]Data!C1845</f>
        <v>11</v>
      </c>
      <c r="D1845" s="8">
        <f>[1]Data!D1845</f>
        <v>3</v>
      </c>
      <c r="E1845" s="8" t="str">
        <f>[1]Data!E1845</f>
        <v>NON-HS</v>
      </c>
      <c r="F1845" s="8" t="str">
        <f>[1]Data!F1845</f>
        <v>Brentwood</v>
      </c>
      <c r="G1845" s="8">
        <f>[1]Data!G1845</f>
        <v>0</v>
      </c>
      <c r="H1845" s="8">
        <f>[1]Data!H1845</f>
        <v>0</v>
      </c>
      <c r="I1845" s="8">
        <f>[1]Data!I1845</f>
        <v>3.399</v>
      </c>
      <c r="J1845" s="8">
        <f>[1]Data!J1845</f>
        <v>3.1723287400000002</v>
      </c>
      <c r="K1845" s="8">
        <f>[1]Data!K1845</f>
        <v>3.1723287400000002</v>
      </c>
      <c r="L1845" s="8">
        <f>[1]Data!L1845</f>
        <v>0.22643751642728899</v>
      </c>
      <c r="M1845" s="8">
        <f>[1]Data!M1845</f>
        <v>3.3987662564272898</v>
      </c>
      <c r="N1845" s="8">
        <f>[1]Data!N1845</f>
        <v>3.2258064516128997E-2</v>
      </c>
      <c r="O1845" s="8">
        <f>[1]Data!O1845</f>
        <v>0</v>
      </c>
      <c r="P1845" s="8">
        <f>[1]Data!P1845</f>
        <v>0.37634408602150499</v>
      </c>
      <c r="Q1845" s="8">
        <f>[1]Data!Q1845</f>
        <v>1</v>
      </c>
      <c r="R1845" s="8">
        <f>[1]Data!R1845</f>
        <v>0</v>
      </c>
      <c r="S1845" s="8">
        <f>[1]Data!S1845</f>
        <v>0</v>
      </c>
      <c r="T1845">
        <f t="shared" si="140"/>
        <v>3.2258064516128997E-2</v>
      </c>
      <c r="U1845">
        <f t="shared" si="141"/>
        <v>0</v>
      </c>
      <c r="V1845" s="4" t="str">
        <f t="shared" si="142"/>
        <v>11</v>
      </c>
      <c r="W1845" s="4" t="str">
        <f t="shared" si="143"/>
        <v>5</v>
      </c>
      <c r="X1845" s="4" t="str">
        <f t="shared" si="144"/>
        <v>11NON-HS5</v>
      </c>
      <c r="Y1845">
        <f>VLOOKUP(X1845,Sheet1!$J$5:$K$121,2,FALSE)</f>
        <v>0</v>
      </c>
    </row>
    <row r="1846" spans="1:25" x14ac:dyDescent="0.25">
      <c r="A1846" s="8">
        <f>[1]Data!A1846</f>
        <v>262302</v>
      </c>
      <c r="B1846" s="8">
        <f>[1]Data!B1846</f>
        <v>5</v>
      </c>
      <c r="C1846" s="8">
        <f>[1]Data!C1846</f>
        <v>11</v>
      </c>
      <c r="D1846" s="8">
        <f>[1]Data!D1846</f>
        <v>3</v>
      </c>
      <c r="E1846" s="8" t="str">
        <f>[1]Data!E1846</f>
        <v>NON-HS</v>
      </c>
      <c r="F1846" s="8" t="str">
        <f>[1]Data!F1846</f>
        <v>Brentwood</v>
      </c>
      <c r="G1846" s="8">
        <f>[1]Data!G1846</f>
        <v>0</v>
      </c>
      <c r="H1846" s="8">
        <f>[1]Data!H1846</f>
        <v>0</v>
      </c>
      <c r="I1846" s="8">
        <f>[1]Data!I1846</f>
        <v>0</v>
      </c>
      <c r="J1846" s="8">
        <f>[1]Data!J1846</f>
        <v>0</v>
      </c>
      <c r="K1846" s="8">
        <f>[1]Data!K1846</f>
        <v>0</v>
      </c>
      <c r="L1846" s="8">
        <f>[1]Data!L1846</f>
        <v>0</v>
      </c>
      <c r="M1846" s="8">
        <f>[1]Data!M1846</f>
        <v>0</v>
      </c>
      <c r="N1846" s="8">
        <f>[1]Data!N1846</f>
        <v>3.2258064516128997E-2</v>
      </c>
      <c r="O1846" s="8">
        <f>[1]Data!O1846</f>
        <v>0</v>
      </c>
      <c r="P1846" s="8">
        <f>[1]Data!P1846</f>
        <v>0.37634408602150499</v>
      </c>
      <c r="Q1846" s="8">
        <f>[1]Data!Q1846</f>
        <v>1</v>
      </c>
      <c r="R1846" s="8">
        <f>[1]Data!R1846</f>
        <v>0</v>
      </c>
      <c r="S1846" s="8">
        <f>[1]Data!S1846</f>
        <v>0</v>
      </c>
      <c r="T1846">
        <f t="shared" si="140"/>
        <v>3.2258064516128997E-2</v>
      </c>
      <c r="U1846">
        <f t="shared" si="141"/>
        <v>0</v>
      </c>
      <c r="V1846" s="4" t="str">
        <f t="shared" si="142"/>
        <v>11</v>
      </c>
      <c r="W1846" s="4" t="str">
        <f t="shared" si="143"/>
        <v>5</v>
      </c>
      <c r="X1846" s="4" t="str">
        <f t="shared" si="144"/>
        <v>11NON-HS5</v>
      </c>
      <c r="Y1846">
        <f>VLOOKUP(X1846,Sheet1!$J$5:$K$121,2,FALSE)</f>
        <v>0</v>
      </c>
    </row>
    <row r="1847" spans="1:25" x14ac:dyDescent="0.25">
      <c r="A1847" s="8">
        <f>[1]Data!A1847</f>
        <v>262303</v>
      </c>
      <c r="B1847" s="8">
        <f>[1]Data!B1847</f>
        <v>5</v>
      </c>
      <c r="C1847" s="8">
        <f>[1]Data!C1847</f>
        <v>11</v>
      </c>
      <c r="D1847" s="8">
        <f>[1]Data!D1847</f>
        <v>3</v>
      </c>
      <c r="E1847" s="8" t="str">
        <f>[1]Data!E1847</f>
        <v>NON-HS</v>
      </c>
      <c r="F1847" s="8" t="str">
        <f>[1]Data!F1847</f>
        <v>Brentwood</v>
      </c>
      <c r="G1847" s="8">
        <f>[1]Data!G1847</f>
        <v>0</v>
      </c>
      <c r="H1847" s="8">
        <f>[1]Data!H1847</f>
        <v>0</v>
      </c>
      <c r="I1847" s="8">
        <f>[1]Data!I1847</f>
        <v>1.8080000000000001</v>
      </c>
      <c r="J1847" s="8">
        <f>[1]Data!J1847</f>
        <v>1.73313217</v>
      </c>
      <c r="K1847" s="8">
        <f>[1]Data!K1847</f>
        <v>1.73313217</v>
      </c>
      <c r="L1847" s="8">
        <f>[1]Data!L1847</f>
        <v>7.4985510287253102E-2</v>
      </c>
      <c r="M1847" s="8">
        <f>[1]Data!M1847</f>
        <v>1.8081176802872501</v>
      </c>
      <c r="N1847" s="8">
        <f>[1]Data!N1847</f>
        <v>3.2258064516128997E-2</v>
      </c>
      <c r="O1847" s="8">
        <f>[1]Data!O1847</f>
        <v>0</v>
      </c>
      <c r="P1847" s="8">
        <f>[1]Data!P1847</f>
        <v>0.37634408602150499</v>
      </c>
      <c r="Q1847" s="8">
        <f>[1]Data!Q1847</f>
        <v>1</v>
      </c>
      <c r="R1847" s="8">
        <f>[1]Data!R1847</f>
        <v>0</v>
      </c>
      <c r="S1847" s="8">
        <f>[1]Data!S1847</f>
        <v>0</v>
      </c>
      <c r="T1847">
        <f t="shared" si="140"/>
        <v>3.2258064516128997E-2</v>
      </c>
      <c r="U1847">
        <f t="shared" si="141"/>
        <v>0</v>
      </c>
      <c r="V1847" s="4" t="str">
        <f t="shared" si="142"/>
        <v>11</v>
      </c>
      <c r="W1847" s="4" t="str">
        <f t="shared" si="143"/>
        <v>5</v>
      </c>
      <c r="X1847" s="4" t="str">
        <f t="shared" si="144"/>
        <v>11NON-HS5</v>
      </c>
      <c r="Y1847">
        <f>VLOOKUP(X1847,Sheet1!$J$5:$K$121,2,FALSE)</f>
        <v>0</v>
      </c>
    </row>
    <row r="1848" spans="1:25" x14ac:dyDescent="0.25">
      <c r="A1848" s="8">
        <f>[1]Data!A1848</f>
        <v>262400</v>
      </c>
      <c r="B1848" s="8">
        <f>[1]Data!B1848</f>
        <v>5</v>
      </c>
      <c r="C1848" s="8">
        <f>[1]Data!C1848</f>
        <v>11</v>
      </c>
      <c r="D1848" s="8">
        <f>[1]Data!D1848</f>
        <v>3</v>
      </c>
      <c r="E1848" s="8" t="str">
        <f>[1]Data!E1848</f>
        <v>NON-HS</v>
      </c>
      <c r="F1848" s="8" t="str">
        <f>[1]Data!F1848</f>
        <v>Brentwood</v>
      </c>
      <c r="G1848" s="8">
        <f>[1]Data!G1848</f>
        <v>0</v>
      </c>
      <c r="H1848" s="8">
        <f>[1]Data!H1848</f>
        <v>0</v>
      </c>
      <c r="I1848" s="8">
        <f>[1]Data!I1848</f>
        <v>0</v>
      </c>
      <c r="J1848" s="8">
        <f>[1]Data!J1848</f>
        <v>0</v>
      </c>
      <c r="K1848" s="8">
        <f>[1]Data!K1848</f>
        <v>0</v>
      </c>
      <c r="L1848" s="8">
        <f>[1]Data!L1848</f>
        <v>0</v>
      </c>
      <c r="M1848" s="8">
        <f>[1]Data!M1848</f>
        <v>0</v>
      </c>
      <c r="N1848" s="8">
        <f>[1]Data!N1848</f>
        <v>3.2258064516128997E-2</v>
      </c>
      <c r="O1848" s="8">
        <f>[1]Data!O1848</f>
        <v>0</v>
      </c>
      <c r="P1848" s="8">
        <f>[1]Data!P1848</f>
        <v>0.37634408602150499</v>
      </c>
      <c r="Q1848" s="8">
        <f>[1]Data!Q1848</f>
        <v>1</v>
      </c>
      <c r="R1848" s="8">
        <f>[1]Data!R1848</f>
        <v>0</v>
      </c>
      <c r="S1848" s="8">
        <f>[1]Data!S1848</f>
        <v>0</v>
      </c>
      <c r="T1848">
        <f t="shared" si="140"/>
        <v>3.2258064516128997E-2</v>
      </c>
      <c r="U1848">
        <f t="shared" si="141"/>
        <v>0</v>
      </c>
      <c r="V1848" s="4" t="str">
        <f t="shared" si="142"/>
        <v>11</v>
      </c>
      <c r="W1848" s="4" t="str">
        <f t="shared" si="143"/>
        <v>5</v>
      </c>
      <c r="X1848" s="4" t="str">
        <f t="shared" si="144"/>
        <v>11NON-HS5</v>
      </c>
      <c r="Y1848">
        <f>VLOOKUP(X1848,Sheet1!$J$5:$K$121,2,FALSE)</f>
        <v>0</v>
      </c>
    </row>
    <row r="1849" spans="1:25" x14ac:dyDescent="0.25">
      <c r="A1849" s="8">
        <f>[1]Data!A1849</f>
        <v>262501</v>
      </c>
      <c r="B1849" s="8">
        <f>[1]Data!B1849</f>
        <v>5</v>
      </c>
      <c r="C1849" s="8">
        <f>[1]Data!C1849</f>
        <v>11</v>
      </c>
      <c r="D1849" s="8">
        <f>[1]Data!D1849</f>
        <v>3</v>
      </c>
      <c r="E1849" s="8" t="str">
        <f>[1]Data!E1849</f>
        <v>NON-HS</v>
      </c>
      <c r="F1849" s="8" t="str">
        <f>[1]Data!F1849</f>
        <v>Pacific Palisades</v>
      </c>
      <c r="G1849" s="8">
        <f>[1]Data!G1849</f>
        <v>0</v>
      </c>
      <c r="H1849" s="8">
        <f>[1]Data!H1849</f>
        <v>0</v>
      </c>
      <c r="I1849" s="8">
        <f>[1]Data!I1849</f>
        <v>0</v>
      </c>
      <c r="J1849" s="8">
        <f>[1]Data!J1849</f>
        <v>0</v>
      </c>
      <c r="K1849" s="8">
        <f>[1]Data!K1849</f>
        <v>0</v>
      </c>
      <c r="L1849" s="8">
        <f>[1]Data!L1849</f>
        <v>0</v>
      </c>
      <c r="M1849" s="8">
        <f>[1]Data!M1849</f>
        <v>0</v>
      </c>
      <c r="N1849" s="8">
        <f>[1]Data!N1849</f>
        <v>3.2258064516128997E-2</v>
      </c>
      <c r="O1849" s="8">
        <f>[1]Data!O1849</f>
        <v>0</v>
      </c>
      <c r="P1849" s="8">
        <f>[1]Data!P1849</f>
        <v>0.37634408602150499</v>
      </c>
      <c r="Q1849" s="8">
        <f>[1]Data!Q1849</f>
        <v>1</v>
      </c>
      <c r="R1849" s="8">
        <f>[1]Data!R1849</f>
        <v>0</v>
      </c>
      <c r="S1849" s="8">
        <f>[1]Data!S1849</f>
        <v>0</v>
      </c>
      <c r="T1849">
        <f t="shared" si="140"/>
        <v>3.2258064516128997E-2</v>
      </c>
      <c r="U1849">
        <f t="shared" si="141"/>
        <v>0</v>
      </c>
      <c r="V1849" s="4" t="str">
        <f t="shared" si="142"/>
        <v>11</v>
      </c>
      <c r="W1849" s="4" t="str">
        <f t="shared" si="143"/>
        <v>5</v>
      </c>
      <c r="X1849" s="4" t="str">
        <f t="shared" si="144"/>
        <v>11NON-HS5</v>
      </c>
      <c r="Y1849">
        <f>VLOOKUP(X1849,Sheet1!$J$5:$K$121,2,FALSE)</f>
        <v>0</v>
      </c>
    </row>
    <row r="1850" spans="1:25" x14ac:dyDescent="0.25">
      <c r="A1850" s="8">
        <f>[1]Data!A1850</f>
        <v>262601</v>
      </c>
      <c r="B1850" s="8">
        <f>[1]Data!B1850</f>
        <v>5</v>
      </c>
      <c r="C1850" s="8">
        <f>[1]Data!C1850</f>
        <v>11</v>
      </c>
      <c r="D1850" s="8">
        <f>[1]Data!D1850</f>
        <v>3</v>
      </c>
      <c r="E1850" s="8" t="str">
        <f>[1]Data!E1850</f>
        <v>NON-HS</v>
      </c>
      <c r="F1850" s="8" t="str">
        <f>[1]Data!F1850</f>
        <v>Pacific Palisades</v>
      </c>
      <c r="G1850" s="8">
        <f>[1]Data!G1850</f>
        <v>0</v>
      </c>
      <c r="H1850" s="8">
        <f>[1]Data!H1850</f>
        <v>0</v>
      </c>
      <c r="I1850" s="8">
        <f>[1]Data!I1850</f>
        <v>0</v>
      </c>
      <c r="J1850" s="8">
        <f>[1]Data!J1850</f>
        <v>0</v>
      </c>
      <c r="K1850" s="8">
        <f>[1]Data!K1850</f>
        <v>0</v>
      </c>
      <c r="L1850" s="8">
        <f>[1]Data!L1850</f>
        <v>0</v>
      </c>
      <c r="M1850" s="8">
        <f>[1]Data!M1850</f>
        <v>0</v>
      </c>
      <c r="N1850" s="8">
        <f>[1]Data!N1850</f>
        <v>3.2258064516128997E-2</v>
      </c>
      <c r="O1850" s="8">
        <f>[1]Data!O1850</f>
        <v>0</v>
      </c>
      <c r="P1850" s="8">
        <f>[1]Data!P1850</f>
        <v>0.37634408602150499</v>
      </c>
      <c r="Q1850" s="8">
        <f>[1]Data!Q1850</f>
        <v>1</v>
      </c>
      <c r="R1850" s="8">
        <f>[1]Data!R1850</f>
        <v>0</v>
      </c>
      <c r="S1850" s="8">
        <f>[1]Data!S1850</f>
        <v>0</v>
      </c>
      <c r="T1850">
        <f t="shared" si="140"/>
        <v>3.2258064516128997E-2</v>
      </c>
      <c r="U1850">
        <f t="shared" si="141"/>
        <v>0</v>
      </c>
      <c r="V1850" s="4" t="str">
        <f t="shared" si="142"/>
        <v>11</v>
      </c>
      <c r="W1850" s="4" t="str">
        <f t="shared" si="143"/>
        <v>5</v>
      </c>
      <c r="X1850" s="4" t="str">
        <f t="shared" si="144"/>
        <v>11NON-HS5</v>
      </c>
      <c r="Y1850">
        <f>VLOOKUP(X1850,Sheet1!$J$5:$K$121,2,FALSE)</f>
        <v>0</v>
      </c>
    </row>
    <row r="1851" spans="1:25" x14ac:dyDescent="0.25">
      <c r="A1851" s="8">
        <f>[1]Data!A1851</f>
        <v>264000</v>
      </c>
      <c r="B1851" s="8">
        <f>[1]Data!B1851</f>
        <v>5</v>
      </c>
      <c r="C1851" s="8">
        <f>[1]Data!C1851</f>
        <v>11</v>
      </c>
      <c r="D1851" s="8">
        <f>[1]Data!D1851</f>
        <v>3</v>
      </c>
      <c r="E1851" s="8" t="str">
        <f>[1]Data!E1851</f>
        <v>NON-HS</v>
      </c>
      <c r="F1851" s="8" t="str">
        <f>[1]Data!F1851</f>
        <v>Brentwood</v>
      </c>
      <c r="G1851" s="8">
        <f>[1]Data!G1851</f>
        <v>0</v>
      </c>
      <c r="H1851" s="8">
        <f>[1]Data!H1851</f>
        <v>0</v>
      </c>
      <c r="I1851" s="8">
        <f>[1]Data!I1851</f>
        <v>1.9259999999999999</v>
      </c>
      <c r="J1851" s="8">
        <f>[1]Data!J1851</f>
        <v>1.90487994</v>
      </c>
      <c r="K1851" s="8">
        <f>[1]Data!K1851</f>
        <v>1.90487994</v>
      </c>
      <c r="L1851" s="8">
        <f>[1]Data!L1851</f>
        <v>2.0625322082585301E-2</v>
      </c>
      <c r="M1851" s="8">
        <f>[1]Data!M1851</f>
        <v>1.9255052620825901</v>
      </c>
      <c r="N1851" s="8">
        <f>[1]Data!N1851</f>
        <v>3.2258064516128997E-2</v>
      </c>
      <c r="O1851" s="8">
        <f>[1]Data!O1851</f>
        <v>0</v>
      </c>
      <c r="P1851" s="8">
        <f>[1]Data!P1851</f>
        <v>0.37634408602150499</v>
      </c>
      <c r="Q1851" s="8">
        <f>[1]Data!Q1851</f>
        <v>1</v>
      </c>
      <c r="R1851" s="8">
        <f>[1]Data!R1851</f>
        <v>0</v>
      </c>
      <c r="S1851" s="8">
        <f>[1]Data!S1851</f>
        <v>0</v>
      </c>
      <c r="T1851">
        <f t="shared" si="140"/>
        <v>3.2258064516128997E-2</v>
      </c>
      <c r="U1851">
        <f t="shared" si="141"/>
        <v>0</v>
      </c>
      <c r="V1851" s="4" t="str">
        <f t="shared" si="142"/>
        <v>11</v>
      </c>
      <c r="W1851" s="4" t="str">
        <f t="shared" si="143"/>
        <v>5</v>
      </c>
      <c r="X1851" s="4" t="str">
        <f t="shared" si="144"/>
        <v>11NON-HS5</v>
      </c>
      <c r="Y1851">
        <f>VLOOKUP(X1851,Sheet1!$J$5:$K$121,2,FALSE)</f>
        <v>0</v>
      </c>
    </row>
    <row r="1852" spans="1:25" x14ac:dyDescent="0.25">
      <c r="A1852" s="8">
        <f>[1]Data!A1852</f>
        <v>264102</v>
      </c>
      <c r="B1852" s="8">
        <f>[1]Data!B1852</f>
        <v>5</v>
      </c>
      <c r="C1852" s="8">
        <f>[1]Data!C1852</f>
        <v>11</v>
      </c>
      <c r="D1852" s="8">
        <f>[1]Data!D1852</f>
        <v>3</v>
      </c>
      <c r="E1852" s="8" t="str">
        <f>[1]Data!E1852</f>
        <v>NON-HS</v>
      </c>
      <c r="F1852" s="8" t="str">
        <f>[1]Data!F1852</f>
        <v>Brentwood</v>
      </c>
      <c r="G1852" s="8">
        <f>[1]Data!G1852</f>
        <v>0</v>
      </c>
      <c r="H1852" s="8">
        <f>[1]Data!H1852</f>
        <v>0</v>
      </c>
      <c r="I1852" s="8">
        <f>[1]Data!I1852</f>
        <v>0</v>
      </c>
      <c r="J1852" s="8">
        <f>[1]Data!J1852</f>
        <v>0</v>
      </c>
      <c r="K1852" s="8">
        <f>[1]Data!K1852</f>
        <v>0</v>
      </c>
      <c r="L1852" s="8">
        <f>[1]Data!L1852</f>
        <v>0</v>
      </c>
      <c r="M1852" s="8">
        <f>[1]Data!M1852</f>
        <v>0</v>
      </c>
      <c r="N1852" s="8">
        <f>[1]Data!N1852</f>
        <v>3.2258064516128997E-2</v>
      </c>
      <c r="O1852" s="8">
        <f>[1]Data!O1852</f>
        <v>0</v>
      </c>
      <c r="P1852" s="8">
        <f>[1]Data!P1852</f>
        <v>0.37634408602150499</v>
      </c>
      <c r="Q1852" s="8">
        <f>[1]Data!Q1852</f>
        <v>1</v>
      </c>
      <c r="R1852" s="8">
        <f>[1]Data!R1852</f>
        <v>0</v>
      </c>
      <c r="S1852" s="8">
        <f>[1]Data!S1852</f>
        <v>0</v>
      </c>
      <c r="T1852">
        <f t="shared" si="140"/>
        <v>3.2258064516128997E-2</v>
      </c>
      <c r="U1852">
        <f t="shared" si="141"/>
        <v>0</v>
      </c>
      <c r="V1852" s="4" t="str">
        <f t="shared" si="142"/>
        <v>11</v>
      </c>
      <c r="W1852" s="4" t="str">
        <f t="shared" si="143"/>
        <v>5</v>
      </c>
      <c r="X1852" s="4" t="str">
        <f t="shared" si="144"/>
        <v>11NON-HS5</v>
      </c>
      <c r="Y1852">
        <f>VLOOKUP(X1852,Sheet1!$J$5:$K$121,2,FALSE)</f>
        <v>0</v>
      </c>
    </row>
    <row r="1853" spans="1:25" x14ac:dyDescent="0.25">
      <c r="A1853" s="8">
        <f>[1]Data!A1853</f>
        <v>264103</v>
      </c>
      <c r="B1853" s="8">
        <f>[1]Data!B1853</f>
        <v>5</v>
      </c>
      <c r="C1853" s="8">
        <f>[1]Data!C1853</f>
        <v>11</v>
      </c>
      <c r="D1853" s="8">
        <f>[1]Data!D1853</f>
        <v>3</v>
      </c>
      <c r="E1853" s="8" t="str">
        <f>[1]Data!E1853</f>
        <v>NON-HS</v>
      </c>
      <c r="F1853" s="8" t="str">
        <f>[1]Data!F1853</f>
        <v>Brentwood</v>
      </c>
      <c r="G1853" s="8">
        <f>[1]Data!G1853</f>
        <v>0</v>
      </c>
      <c r="H1853" s="8">
        <f>[1]Data!H1853</f>
        <v>0</v>
      </c>
      <c r="I1853" s="8">
        <f>[1]Data!I1853</f>
        <v>2.8079999999999998</v>
      </c>
      <c r="J1853" s="8">
        <f>[1]Data!J1853</f>
        <v>1.73313217</v>
      </c>
      <c r="K1853" s="8">
        <f>[1]Data!K1853</f>
        <v>2.7331321700000002</v>
      </c>
      <c r="L1853" s="8">
        <f>[1]Data!L1853</f>
        <v>7.4985510287253102E-2</v>
      </c>
      <c r="M1853" s="8">
        <f>[1]Data!M1853</f>
        <v>2.8081176802872498</v>
      </c>
      <c r="N1853" s="8">
        <f>[1]Data!N1853</f>
        <v>3.2258064516128997E-2</v>
      </c>
      <c r="O1853" s="8">
        <f>[1]Data!O1853</f>
        <v>0</v>
      </c>
      <c r="P1853" s="8">
        <f>[1]Data!P1853</f>
        <v>0.37634408602150499</v>
      </c>
      <c r="Q1853" s="8">
        <f>[1]Data!Q1853</f>
        <v>1</v>
      </c>
      <c r="R1853" s="8">
        <f>[1]Data!R1853</f>
        <v>0</v>
      </c>
      <c r="S1853" s="8">
        <f>[1]Data!S1853</f>
        <v>0</v>
      </c>
      <c r="T1853">
        <f t="shared" si="140"/>
        <v>3.2258064516128997E-2</v>
      </c>
      <c r="U1853">
        <f t="shared" si="141"/>
        <v>0</v>
      </c>
      <c r="V1853" s="4" t="str">
        <f t="shared" si="142"/>
        <v>11</v>
      </c>
      <c r="W1853" s="4" t="str">
        <f t="shared" si="143"/>
        <v>5</v>
      </c>
      <c r="X1853" s="4" t="str">
        <f t="shared" si="144"/>
        <v>11NON-HS5</v>
      </c>
      <c r="Y1853">
        <f>VLOOKUP(X1853,Sheet1!$J$5:$K$121,2,FALSE)</f>
        <v>0</v>
      </c>
    </row>
    <row r="1854" spans="1:25" x14ac:dyDescent="0.25">
      <c r="A1854" s="8">
        <f>[1]Data!A1854</f>
        <v>264302</v>
      </c>
      <c r="B1854" s="8">
        <f>[1]Data!B1854</f>
        <v>5</v>
      </c>
      <c r="C1854" s="8">
        <f>[1]Data!C1854</f>
        <v>11</v>
      </c>
      <c r="D1854" s="8">
        <f>[1]Data!D1854</f>
        <v>3</v>
      </c>
      <c r="E1854" s="8" t="str">
        <f>[1]Data!E1854</f>
        <v>NON-HS</v>
      </c>
      <c r="F1854" s="8" t="str">
        <f>[1]Data!F1854</f>
        <v>Brentwood</v>
      </c>
      <c r="G1854" s="8">
        <f>[1]Data!G1854</f>
        <v>0</v>
      </c>
      <c r="H1854" s="8">
        <f>[1]Data!H1854</f>
        <v>0</v>
      </c>
      <c r="I1854" s="8">
        <f>[1]Data!I1854</f>
        <v>14.722</v>
      </c>
      <c r="J1854" s="8">
        <f>[1]Data!J1854</f>
        <v>11.270402710000001</v>
      </c>
      <c r="K1854" s="8">
        <f>[1]Data!K1854</f>
        <v>14.270402710000001</v>
      </c>
      <c r="L1854" s="8">
        <f>[1]Data!L1854</f>
        <v>0.450620568276481</v>
      </c>
      <c r="M1854" s="8">
        <f>[1]Data!M1854</f>
        <v>14.721023278276499</v>
      </c>
      <c r="N1854" s="8">
        <f>[1]Data!N1854</f>
        <v>3.2258064516128997E-2</v>
      </c>
      <c r="O1854" s="8">
        <f>[1]Data!O1854</f>
        <v>0</v>
      </c>
      <c r="P1854" s="8">
        <f>[1]Data!P1854</f>
        <v>0.37634408602150499</v>
      </c>
      <c r="Q1854" s="8">
        <f>[1]Data!Q1854</f>
        <v>1</v>
      </c>
      <c r="R1854" s="8">
        <f>[1]Data!R1854</f>
        <v>0</v>
      </c>
      <c r="S1854" s="8">
        <f>[1]Data!S1854</f>
        <v>0</v>
      </c>
      <c r="T1854">
        <f t="shared" si="140"/>
        <v>3.2258064516128997E-2</v>
      </c>
      <c r="U1854">
        <f t="shared" si="141"/>
        <v>0</v>
      </c>
      <c r="V1854" s="4" t="str">
        <f t="shared" si="142"/>
        <v>11</v>
      </c>
      <c r="W1854" s="4" t="str">
        <f t="shared" si="143"/>
        <v>5</v>
      </c>
      <c r="X1854" s="4" t="str">
        <f t="shared" si="144"/>
        <v>11NON-HS5</v>
      </c>
      <c r="Y1854">
        <f>VLOOKUP(X1854,Sheet1!$J$5:$K$121,2,FALSE)</f>
        <v>0</v>
      </c>
    </row>
    <row r="1855" spans="1:25" x14ac:dyDescent="0.25">
      <c r="A1855" s="8">
        <f>[1]Data!A1855</f>
        <v>265410</v>
      </c>
      <c r="B1855" s="8">
        <f>[1]Data!B1855</f>
        <v>5</v>
      </c>
      <c r="C1855" s="8">
        <f>[1]Data!C1855</f>
        <v>11</v>
      </c>
      <c r="D1855" s="8">
        <f>[1]Data!D1855</f>
        <v>3</v>
      </c>
      <c r="E1855" s="8" t="str">
        <f>[1]Data!E1855</f>
        <v>NON-HS</v>
      </c>
      <c r="F1855" s="8" t="str">
        <f>[1]Data!F1855</f>
        <v>Brentwood</v>
      </c>
      <c r="G1855" s="8">
        <f>[1]Data!G1855</f>
        <v>0</v>
      </c>
      <c r="H1855" s="8">
        <f>[1]Data!H1855</f>
        <v>0</v>
      </c>
      <c r="I1855" s="8">
        <f>[1]Data!I1855</f>
        <v>1</v>
      </c>
      <c r="J1855" s="8">
        <f>[1]Data!J1855</f>
        <v>0</v>
      </c>
      <c r="K1855" s="8">
        <f>[1]Data!K1855</f>
        <v>1</v>
      </c>
      <c r="L1855" s="8">
        <f>[1]Data!L1855</f>
        <v>0</v>
      </c>
      <c r="M1855" s="8">
        <f>[1]Data!M1855</f>
        <v>1</v>
      </c>
      <c r="N1855" s="8">
        <f>[1]Data!N1855</f>
        <v>3.2258064516128997E-2</v>
      </c>
      <c r="O1855" s="8">
        <f>[1]Data!O1855</f>
        <v>0</v>
      </c>
      <c r="P1855" s="8">
        <f>[1]Data!P1855</f>
        <v>0.37634408602150499</v>
      </c>
      <c r="Q1855" s="8">
        <f>[1]Data!Q1855</f>
        <v>1</v>
      </c>
      <c r="R1855" s="8">
        <f>[1]Data!R1855</f>
        <v>0</v>
      </c>
      <c r="S1855" s="8">
        <f>[1]Data!S1855</f>
        <v>0</v>
      </c>
      <c r="T1855">
        <f t="shared" si="140"/>
        <v>3.2258064516128997E-2</v>
      </c>
      <c r="U1855">
        <f t="shared" si="141"/>
        <v>0</v>
      </c>
      <c r="V1855" s="4" t="str">
        <f t="shared" si="142"/>
        <v>11</v>
      </c>
      <c r="W1855" s="4" t="str">
        <f t="shared" si="143"/>
        <v>5</v>
      </c>
      <c r="X1855" s="4" t="str">
        <f t="shared" si="144"/>
        <v>11NON-HS5</v>
      </c>
      <c r="Y1855">
        <f>VLOOKUP(X1855,Sheet1!$J$5:$K$121,2,FALSE)</f>
        <v>0</v>
      </c>
    </row>
    <row r="1856" spans="1:25" x14ac:dyDescent="0.25">
      <c r="A1856" s="8">
        <f>[1]Data!A1856</f>
        <v>267403</v>
      </c>
      <c r="B1856" s="8">
        <f>[1]Data!B1856</f>
        <v>5</v>
      </c>
      <c r="C1856" s="8">
        <f>[1]Data!C1856</f>
        <v>11</v>
      </c>
      <c r="D1856" s="8">
        <f>[1]Data!D1856</f>
        <v>3</v>
      </c>
      <c r="E1856" s="8" t="str">
        <f>[1]Data!E1856</f>
        <v>NON-HS</v>
      </c>
      <c r="F1856" s="8" t="str">
        <f>[1]Data!F1856</f>
        <v>West Los Angeles</v>
      </c>
      <c r="G1856" s="8">
        <f>[1]Data!G1856</f>
        <v>0</v>
      </c>
      <c r="H1856" s="8">
        <f>[1]Data!H1856</f>
        <v>0</v>
      </c>
      <c r="I1856" s="8">
        <f>[1]Data!I1856</f>
        <v>4.9260000000000002</v>
      </c>
      <c r="J1856" s="8">
        <f>[1]Data!J1856</f>
        <v>1.90487994</v>
      </c>
      <c r="K1856" s="8">
        <f>[1]Data!K1856</f>
        <v>4.9048799399999998</v>
      </c>
      <c r="L1856" s="8">
        <f>[1]Data!L1856</f>
        <v>2.0625322082585301E-2</v>
      </c>
      <c r="M1856" s="8">
        <f>[1]Data!M1856</f>
        <v>4.9255052620825897</v>
      </c>
      <c r="N1856" s="8">
        <f>[1]Data!N1856</f>
        <v>3.2258064516128997E-2</v>
      </c>
      <c r="O1856" s="8">
        <f>[1]Data!O1856</f>
        <v>0</v>
      </c>
      <c r="P1856" s="8">
        <f>[1]Data!P1856</f>
        <v>0.37634408602150499</v>
      </c>
      <c r="Q1856" s="8">
        <f>[1]Data!Q1856</f>
        <v>1</v>
      </c>
      <c r="R1856" s="8">
        <f>[1]Data!R1856</f>
        <v>0</v>
      </c>
      <c r="S1856" s="8">
        <f>[1]Data!S1856</f>
        <v>0</v>
      </c>
      <c r="T1856">
        <f t="shared" si="140"/>
        <v>3.2258064516128997E-2</v>
      </c>
      <c r="U1856">
        <f t="shared" si="141"/>
        <v>0</v>
      </c>
      <c r="V1856" s="4" t="str">
        <f t="shared" si="142"/>
        <v>11</v>
      </c>
      <c r="W1856" s="4" t="str">
        <f t="shared" si="143"/>
        <v>5</v>
      </c>
      <c r="X1856" s="4" t="str">
        <f t="shared" si="144"/>
        <v>11NON-HS5</v>
      </c>
      <c r="Y1856">
        <f>VLOOKUP(X1856,Sheet1!$J$5:$K$121,2,FALSE)</f>
        <v>0</v>
      </c>
    </row>
    <row r="1857" spans="1:25" x14ac:dyDescent="0.25">
      <c r="A1857" s="8">
        <f>[1]Data!A1857</f>
        <v>267404</v>
      </c>
      <c r="B1857" s="8">
        <f>[1]Data!B1857</f>
        <v>5</v>
      </c>
      <c r="C1857" s="8">
        <f>[1]Data!C1857</f>
        <v>11</v>
      </c>
      <c r="D1857" s="8">
        <f>[1]Data!D1857</f>
        <v>3</v>
      </c>
      <c r="E1857" s="8" t="str">
        <f>[1]Data!E1857</f>
        <v>NON-HS</v>
      </c>
      <c r="F1857" s="8" t="str">
        <f>[1]Data!F1857</f>
        <v>West Los Angeles</v>
      </c>
      <c r="G1857" s="8">
        <f>[1]Data!G1857</f>
        <v>0</v>
      </c>
      <c r="H1857" s="8">
        <f>[1]Data!H1857</f>
        <v>0</v>
      </c>
      <c r="I1857" s="8">
        <f>[1]Data!I1857</f>
        <v>6.851</v>
      </c>
      <c r="J1857" s="8">
        <f>[1]Data!J1857</f>
        <v>3.8097598800000001</v>
      </c>
      <c r="K1857" s="8">
        <f>[1]Data!K1857</f>
        <v>6.8097598799999997</v>
      </c>
      <c r="L1857" s="8">
        <f>[1]Data!L1857</f>
        <v>4.1250644165170602E-2</v>
      </c>
      <c r="M1857" s="8">
        <f>[1]Data!M1857</f>
        <v>6.8510105241651704</v>
      </c>
      <c r="N1857" s="8">
        <f>[1]Data!N1857</f>
        <v>3.2258064516128997E-2</v>
      </c>
      <c r="O1857" s="8">
        <f>[1]Data!O1857</f>
        <v>0</v>
      </c>
      <c r="P1857" s="8">
        <f>[1]Data!P1857</f>
        <v>0.37634408602150499</v>
      </c>
      <c r="Q1857" s="8">
        <f>[1]Data!Q1857</f>
        <v>1</v>
      </c>
      <c r="R1857" s="8">
        <f>[1]Data!R1857</f>
        <v>0</v>
      </c>
      <c r="S1857" s="8">
        <f>[1]Data!S1857</f>
        <v>0</v>
      </c>
      <c r="T1857">
        <f t="shared" si="140"/>
        <v>3.2258064516128997E-2</v>
      </c>
      <c r="U1857">
        <f t="shared" si="141"/>
        <v>0</v>
      </c>
      <c r="V1857" s="4" t="str">
        <f t="shared" si="142"/>
        <v>11</v>
      </c>
      <c r="W1857" s="4" t="str">
        <f t="shared" si="143"/>
        <v>5</v>
      </c>
      <c r="X1857" s="4" t="str">
        <f t="shared" si="144"/>
        <v>11NON-HS5</v>
      </c>
      <c r="Y1857">
        <f>VLOOKUP(X1857,Sheet1!$J$5:$K$121,2,FALSE)</f>
        <v>0</v>
      </c>
    </row>
    <row r="1858" spans="1:25" x14ac:dyDescent="0.25">
      <c r="A1858" s="8">
        <f>[1]Data!A1858</f>
        <v>267501</v>
      </c>
      <c r="B1858" s="8">
        <f>[1]Data!B1858</f>
        <v>5</v>
      </c>
      <c r="C1858" s="8">
        <f>[1]Data!C1858</f>
        <v>11</v>
      </c>
      <c r="D1858" s="8">
        <f>[1]Data!D1858</f>
        <v>3</v>
      </c>
      <c r="E1858" s="8" t="str">
        <f>[1]Data!E1858</f>
        <v>NON-HS</v>
      </c>
      <c r="F1858" s="8" t="str">
        <f>[1]Data!F1858</f>
        <v>West Los Angeles</v>
      </c>
      <c r="G1858" s="8">
        <f>[1]Data!G1858</f>
        <v>0</v>
      </c>
      <c r="H1858" s="8">
        <f>[1]Data!H1858</f>
        <v>0</v>
      </c>
      <c r="I1858" s="8">
        <f>[1]Data!I1858</f>
        <v>14.61</v>
      </c>
      <c r="J1858" s="8">
        <f>[1]Data!J1858</f>
        <v>11.028307659999999</v>
      </c>
      <c r="K1858" s="8">
        <f>[1]Data!K1858</f>
        <v>14.028307659999999</v>
      </c>
      <c r="L1858" s="8">
        <f>[1]Data!L1858</f>
        <v>0.58058064265709197</v>
      </c>
      <c r="M1858" s="8">
        <f>[1]Data!M1858</f>
        <v>14.6088883026571</v>
      </c>
      <c r="N1858" s="8">
        <f>[1]Data!N1858</f>
        <v>3.2258064516128997E-2</v>
      </c>
      <c r="O1858" s="8">
        <f>[1]Data!O1858</f>
        <v>0</v>
      </c>
      <c r="P1858" s="8">
        <f>[1]Data!P1858</f>
        <v>0.37634408602150499</v>
      </c>
      <c r="Q1858" s="8">
        <f>[1]Data!Q1858</f>
        <v>1</v>
      </c>
      <c r="R1858" s="8">
        <f>[1]Data!R1858</f>
        <v>0</v>
      </c>
      <c r="S1858" s="8">
        <f>[1]Data!S1858</f>
        <v>0</v>
      </c>
      <c r="T1858">
        <f t="shared" si="140"/>
        <v>3.2258064516128997E-2</v>
      </c>
      <c r="U1858">
        <f t="shared" si="141"/>
        <v>0</v>
      </c>
      <c r="V1858" s="4" t="str">
        <f t="shared" si="142"/>
        <v>11</v>
      </c>
      <c r="W1858" s="4" t="str">
        <f t="shared" si="143"/>
        <v>5</v>
      </c>
      <c r="X1858" s="4" t="str">
        <f t="shared" si="144"/>
        <v>11NON-HS5</v>
      </c>
      <c r="Y1858">
        <f>VLOOKUP(X1858,Sheet1!$J$5:$K$121,2,FALSE)</f>
        <v>0</v>
      </c>
    </row>
    <row r="1859" spans="1:25" x14ac:dyDescent="0.25">
      <c r="A1859" s="8">
        <f>[1]Data!A1859</f>
        <v>267700</v>
      </c>
      <c r="B1859" s="8">
        <f>[1]Data!B1859</f>
        <v>5</v>
      </c>
      <c r="C1859" s="8">
        <f>[1]Data!C1859</f>
        <v>11</v>
      </c>
      <c r="D1859" s="8">
        <f>[1]Data!D1859</f>
        <v>2</v>
      </c>
      <c r="E1859" s="8" t="str">
        <f>[1]Data!E1859</f>
        <v>NON-HS</v>
      </c>
      <c r="F1859" s="8" t="str">
        <f>[1]Data!F1859</f>
        <v>West Los Angeles</v>
      </c>
      <c r="G1859" s="8">
        <f>[1]Data!G1859</f>
        <v>0</v>
      </c>
      <c r="H1859" s="8">
        <f>[1]Data!H1859</f>
        <v>0</v>
      </c>
      <c r="I1859" s="8">
        <f>[1]Data!I1859</f>
        <v>17.388999999999999</v>
      </c>
      <c r="J1859" s="8">
        <f>[1]Data!J1859</f>
        <v>16.434903550000001</v>
      </c>
      <c r="K1859" s="8">
        <f>[1]Data!K1859</f>
        <v>16.434903550000001</v>
      </c>
      <c r="L1859" s="8">
        <f>[1]Data!L1859</f>
        <v>0.95437785156193899</v>
      </c>
      <c r="M1859" s="8">
        <f>[1]Data!M1859</f>
        <v>17.389281401561899</v>
      </c>
      <c r="N1859" s="8">
        <f>[1]Data!N1859</f>
        <v>3.2258064516128997E-2</v>
      </c>
      <c r="O1859" s="8">
        <f>[1]Data!O1859</f>
        <v>0</v>
      </c>
      <c r="P1859" s="8">
        <f>[1]Data!P1859</f>
        <v>0.37634408602150499</v>
      </c>
      <c r="Q1859" s="8">
        <f>[1]Data!Q1859</f>
        <v>1</v>
      </c>
      <c r="R1859" s="8">
        <f>[1]Data!R1859</f>
        <v>0</v>
      </c>
      <c r="S1859" s="8">
        <f>[1]Data!S1859</f>
        <v>0</v>
      </c>
      <c r="T1859">
        <f t="shared" ref="T1859:T1922" si="145">N1859+Y1859*(1-N1859)</f>
        <v>3.2258064516128997E-2</v>
      </c>
      <c r="U1859">
        <f t="shared" ref="U1859:U1922" si="146">IF(T1859="",0,1/T1859*H1859)</f>
        <v>0</v>
      </c>
      <c r="V1859" s="4" t="str">
        <f t="shared" ref="V1859:V1922" si="147">TEXT(C1859,"0")</f>
        <v>11</v>
      </c>
      <c r="W1859" s="4" t="str">
        <f t="shared" ref="W1859:W1922" si="148">TEXT(B1859,"0")</f>
        <v>5</v>
      </c>
      <c r="X1859" s="4" t="str">
        <f t="shared" ref="X1859:X1922" si="149">CONCATENATE(V1859,E1859,W1859)</f>
        <v>11NON-HS5</v>
      </c>
      <c r="Y1859">
        <f>VLOOKUP(X1859,Sheet1!$J$5:$K$121,2,FALSE)</f>
        <v>0</v>
      </c>
    </row>
    <row r="1860" spans="1:25" x14ac:dyDescent="0.25">
      <c r="A1860" s="8">
        <f>[1]Data!A1860</f>
        <v>271300</v>
      </c>
      <c r="B1860" s="8">
        <f>[1]Data!B1860</f>
        <v>5</v>
      </c>
      <c r="C1860" s="8">
        <f>[1]Data!C1860</f>
        <v>11</v>
      </c>
      <c r="D1860" s="8">
        <f>[1]Data!D1860</f>
        <v>2</v>
      </c>
      <c r="E1860" s="8" t="str">
        <f>[1]Data!E1860</f>
        <v>NON-HS</v>
      </c>
      <c r="F1860" s="8" t="str">
        <f>[1]Data!F1860</f>
        <v>Mar Vista</v>
      </c>
      <c r="G1860" s="8">
        <f>[1]Data!G1860</f>
        <v>0</v>
      </c>
      <c r="H1860" s="8">
        <f>[1]Data!H1860</f>
        <v>0</v>
      </c>
      <c r="I1860" s="8">
        <f>[1]Data!I1860</f>
        <v>19.399999999999999</v>
      </c>
      <c r="J1860" s="8">
        <f>[1]Data!J1860</f>
        <v>11.82337824</v>
      </c>
      <c r="K1860" s="8">
        <f>[1]Data!K1860</f>
        <v>18.82337824</v>
      </c>
      <c r="L1860" s="8">
        <f>[1]Data!L1860</f>
        <v>0.576488328994614</v>
      </c>
      <c r="M1860" s="8">
        <f>[1]Data!M1860</f>
        <v>19.3998665689946</v>
      </c>
      <c r="N1860" s="8">
        <f>[1]Data!N1860</f>
        <v>3.2258064516128997E-2</v>
      </c>
      <c r="O1860" s="8">
        <f>[1]Data!O1860</f>
        <v>0</v>
      </c>
      <c r="P1860" s="8">
        <f>[1]Data!P1860</f>
        <v>0.37634408602150499</v>
      </c>
      <c r="Q1860" s="8">
        <f>[1]Data!Q1860</f>
        <v>1</v>
      </c>
      <c r="R1860" s="8">
        <f>[1]Data!R1860</f>
        <v>0</v>
      </c>
      <c r="S1860" s="8">
        <f>[1]Data!S1860</f>
        <v>0</v>
      </c>
      <c r="T1860">
        <f t="shared" si="145"/>
        <v>3.2258064516128997E-2</v>
      </c>
      <c r="U1860">
        <f t="shared" si="146"/>
        <v>0</v>
      </c>
      <c r="V1860" s="4" t="str">
        <f t="shared" si="147"/>
        <v>11</v>
      </c>
      <c r="W1860" s="4" t="str">
        <f t="shared" si="148"/>
        <v>5</v>
      </c>
      <c r="X1860" s="4" t="str">
        <f t="shared" si="149"/>
        <v>11NON-HS5</v>
      </c>
      <c r="Y1860">
        <f>VLOOKUP(X1860,Sheet1!$J$5:$K$121,2,FALSE)</f>
        <v>0</v>
      </c>
    </row>
    <row r="1861" spans="1:25" x14ac:dyDescent="0.25">
      <c r="A1861" s="8">
        <f>[1]Data!A1861</f>
        <v>271500</v>
      </c>
      <c r="B1861" s="8">
        <f>[1]Data!B1861</f>
        <v>5</v>
      </c>
      <c r="C1861" s="8">
        <f>[1]Data!C1861</f>
        <v>11</v>
      </c>
      <c r="D1861" s="8">
        <f>[1]Data!D1861</f>
        <v>2</v>
      </c>
      <c r="E1861" s="8" t="str">
        <f>[1]Data!E1861</f>
        <v>NON-HS</v>
      </c>
      <c r="F1861" s="8" t="str">
        <f>[1]Data!F1861</f>
        <v>Mar Vista</v>
      </c>
      <c r="G1861" s="8">
        <f>[1]Data!G1861</f>
        <v>0</v>
      </c>
      <c r="H1861" s="8">
        <f>[1]Data!H1861</f>
        <v>0</v>
      </c>
      <c r="I1861" s="8">
        <f>[1]Data!I1861</f>
        <v>1.591</v>
      </c>
      <c r="J1861" s="8">
        <f>[1]Data!J1861</f>
        <v>1.43919657</v>
      </c>
      <c r="K1861" s="8">
        <f>[1]Data!K1861</f>
        <v>1.43919657</v>
      </c>
      <c r="L1861" s="8">
        <f>[1]Data!L1861</f>
        <v>0.15145200614003601</v>
      </c>
      <c r="M1861" s="8">
        <f>[1]Data!M1861</f>
        <v>1.59064857614004</v>
      </c>
      <c r="N1861" s="8">
        <f>[1]Data!N1861</f>
        <v>3.2258064516128997E-2</v>
      </c>
      <c r="O1861" s="8">
        <f>[1]Data!O1861</f>
        <v>0</v>
      </c>
      <c r="P1861" s="8">
        <f>[1]Data!P1861</f>
        <v>0.37634408602150499</v>
      </c>
      <c r="Q1861" s="8">
        <f>[1]Data!Q1861</f>
        <v>1</v>
      </c>
      <c r="R1861" s="8">
        <f>[1]Data!R1861</f>
        <v>0</v>
      </c>
      <c r="S1861" s="8">
        <f>[1]Data!S1861</f>
        <v>0</v>
      </c>
      <c r="T1861">
        <f t="shared" si="145"/>
        <v>3.2258064516128997E-2</v>
      </c>
      <c r="U1861">
        <f t="shared" si="146"/>
        <v>0</v>
      </c>
      <c r="V1861" s="4" t="str">
        <f t="shared" si="147"/>
        <v>11</v>
      </c>
      <c r="W1861" s="4" t="str">
        <f t="shared" si="148"/>
        <v>5</v>
      </c>
      <c r="X1861" s="4" t="str">
        <f t="shared" si="149"/>
        <v>11NON-HS5</v>
      </c>
      <c r="Y1861">
        <f>VLOOKUP(X1861,Sheet1!$J$5:$K$121,2,FALSE)</f>
        <v>0</v>
      </c>
    </row>
    <row r="1862" spans="1:25" x14ac:dyDescent="0.25">
      <c r="A1862" s="8">
        <f>[1]Data!A1862</f>
        <v>271902</v>
      </c>
      <c r="B1862" s="8">
        <f>[1]Data!B1862</f>
        <v>5</v>
      </c>
      <c r="C1862" s="8">
        <f>[1]Data!C1862</f>
        <v>11</v>
      </c>
      <c r="D1862" s="8">
        <f>[1]Data!D1862</f>
        <v>2</v>
      </c>
      <c r="E1862" s="8" t="str">
        <f>[1]Data!E1862</f>
        <v>NON-HS</v>
      </c>
      <c r="F1862" s="8" t="str">
        <f>[1]Data!F1862</f>
        <v>Mar Vista</v>
      </c>
      <c r="G1862" s="8">
        <f>[1]Data!G1862</f>
        <v>0</v>
      </c>
      <c r="H1862" s="8">
        <f>[1]Data!H1862</f>
        <v>0</v>
      </c>
      <c r="I1862" s="8">
        <f>[1]Data!I1862</f>
        <v>0</v>
      </c>
      <c r="J1862" s="8">
        <f>[1]Data!J1862</f>
        <v>0</v>
      </c>
      <c r="K1862" s="8">
        <f>[1]Data!K1862</f>
        <v>0</v>
      </c>
      <c r="L1862" s="8">
        <f>[1]Data!L1862</f>
        <v>0</v>
      </c>
      <c r="M1862" s="8">
        <f>[1]Data!M1862</f>
        <v>0</v>
      </c>
      <c r="N1862" s="8">
        <f>[1]Data!N1862</f>
        <v>3.2258064516128997E-2</v>
      </c>
      <c r="O1862" s="8">
        <f>[1]Data!O1862</f>
        <v>0</v>
      </c>
      <c r="P1862" s="8">
        <f>[1]Data!P1862</f>
        <v>0.37634408602150499</v>
      </c>
      <c r="Q1862" s="8">
        <f>[1]Data!Q1862</f>
        <v>1</v>
      </c>
      <c r="R1862" s="8">
        <f>[1]Data!R1862</f>
        <v>0</v>
      </c>
      <c r="S1862" s="8">
        <f>[1]Data!S1862</f>
        <v>0</v>
      </c>
      <c r="T1862">
        <f t="shared" si="145"/>
        <v>3.2258064516128997E-2</v>
      </c>
      <c r="U1862">
        <f t="shared" si="146"/>
        <v>0</v>
      </c>
      <c r="V1862" s="4" t="str">
        <f t="shared" si="147"/>
        <v>11</v>
      </c>
      <c r="W1862" s="4" t="str">
        <f t="shared" si="148"/>
        <v>5</v>
      </c>
      <c r="X1862" s="4" t="str">
        <f t="shared" si="149"/>
        <v>11NON-HS5</v>
      </c>
      <c r="Y1862">
        <f>VLOOKUP(X1862,Sheet1!$J$5:$K$121,2,FALSE)</f>
        <v>0</v>
      </c>
    </row>
    <row r="1863" spans="1:25" x14ac:dyDescent="0.25">
      <c r="A1863" s="8">
        <f>[1]Data!A1863</f>
        <v>272100</v>
      </c>
      <c r="B1863" s="8">
        <f>[1]Data!B1863</f>
        <v>5</v>
      </c>
      <c r="C1863" s="8">
        <f>[1]Data!C1863</f>
        <v>11</v>
      </c>
      <c r="D1863" s="8">
        <f>[1]Data!D1863</f>
        <v>2</v>
      </c>
      <c r="E1863" s="8" t="str">
        <f>[1]Data!E1863</f>
        <v>NON-HS</v>
      </c>
      <c r="F1863" s="8" t="str">
        <f>[1]Data!F1863</f>
        <v>Mar Vista</v>
      </c>
      <c r="G1863" s="8">
        <f>[1]Data!G1863</f>
        <v>0</v>
      </c>
      <c r="H1863" s="8">
        <f>[1]Data!H1863</f>
        <v>0</v>
      </c>
      <c r="I1863" s="8">
        <f>[1]Data!I1863</f>
        <v>1.8080000000000001</v>
      </c>
      <c r="J1863" s="8">
        <f>[1]Data!J1863</f>
        <v>1.73313217</v>
      </c>
      <c r="K1863" s="8">
        <f>[1]Data!K1863</f>
        <v>1.73313217</v>
      </c>
      <c r="L1863" s="8">
        <f>[1]Data!L1863</f>
        <v>7.4985510287253102E-2</v>
      </c>
      <c r="M1863" s="8">
        <f>[1]Data!M1863</f>
        <v>1.8081176802872501</v>
      </c>
      <c r="N1863" s="8">
        <f>[1]Data!N1863</f>
        <v>3.2258064516128997E-2</v>
      </c>
      <c r="O1863" s="8">
        <f>[1]Data!O1863</f>
        <v>0</v>
      </c>
      <c r="P1863" s="8">
        <f>[1]Data!P1863</f>
        <v>0.37634408602150499</v>
      </c>
      <c r="Q1863" s="8">
        <f>[1]Data!Q1863</f>
        <v>1</v>
      </c>
      <c r="R1863" s="8">
        <f>[1]Data!R1863</f>
        <v>0</v>
      </c>
      <c r="S1863" s="8">
        <f>[1]Data!S1863</f>
        <v>0</v>
      </c>
      <c r="T1863">
        <f t="shared" si="145"/>
        <v>3.2258064516128997E-2</v>
      </c>
      <c r="U1863">
        <f t="shared" si="146"/>
        <v>0</v>
      </c>
      <c r="V1863" s="4" t="str">
        <f t="shared" si="147"/>
        <v>11</v>
      </c>
      <c r="W1863" s="4" t="str">
        <f t="shared" si="148"/>
        <v>5</v>
      </c>
      <c r="X1863" s="4" t="str">
        <f t="shared" si="149"/>
        <v>11NON-HS5</v>
      </c>
      <c r="Y1863">
        <f>VLOOKUP(X1863,Sheet1!$J$5:$K$121,2,FALSE)</f>
        <v>0</v>
      </c>
    </row>
    <row r="1864" spans="1:25" x14ac:dyDescent="0.25">
      <c r="A1864" s="8">
        <f>[1]Data!A1864</f>
        <v>272301</v>
      </c>
      <c r="B1864" s="8">
        <f>[1]Data!B1864</f>
        <v>5</v>
      </c>
      <c r="C1864" s="8">
        <f>[1]Data!C1864</f>
        <v>11</v>
      </c>
      <c r="D1864" s="8">
        <f>[1]Data!D1864</f>
        <v>2</v>
      </c>
      <c r="E1864" s="8" t="str">
        <f>[1]Data!E1864</f>
        <v>NON-HS</v>
      </c>
      <c r="F1864" s="8" t="str">
        <f>[1]Data!F1864</f>
        <v>Mar Vista</v>
      </c>
      <c r="G1864" s="8">
        <f>[1]Data!G1864</f>
        <v>0</v>
      </c>
      <c r="H1864" s="8">
        <f>[1]Data!H1864</f>
        <v>0</v>
      </c>
      <c r="I1864" s="8">
        <f>[1]Data!I1864</f>
        <v>4.1900000000000004</v>
      </c>
      <c r="J1864" s="8">
        <f>[1]Data!J1864</f>
        <v>3.9673993200000002</v>
      </c>
      <c r="K1864" s="8">
        <f>[1]Data!K1864</f>
        <v>3.9673993200000002</v>
      </c>
      <c r="L1864" s="8">
        <f>[1]Data!L1864</f>
        <v>0.22234520276481101</v>
      </c>
      <c r="M1864" s="8">
        <f>[1]Data!M1864</f>
        <v>4.1897445227648102</v>
      </c>
      <c r="N1864" s="8">
        <f>[1]Data!N1864</f>
        <v>3.2258064516128997E-2</v>
      </c>
      <c r="O1864" s="8">
        <f>[1]Data!O1864</f>
        <v>0</v>
      </c>
      <c r="P1864" s="8">
        <f>[1]Data!P1864</f>
        <v>0.37634408602150499</v>
      </c>
      <c r="Q1864" s="8">
        <f>[1]Data!Q1864</f>
        <v>1</v>
      </c>
      <c r="R1864" s="8">
        <f>[1]Data!R1864</f>
        <v>0</v>
      </c>
      <c r="S1864" s="8">
        <f>[1]Data!S1864</f>
        <v>0</v>
      </c>
      <c r="T1864">
        <f t="shared" si="145"/>
        <v>3.2258064516128997E-2</v>
      </c>
      <c r="U1864">
        <f t="shared" si="146"/>
        <v>0</v>
      </c>
      <c r="V1864" s="4" t="str">
        <f t="shared" si="147"/>
        <v>11</v>
      </c>
      <c r="W1864" s="4" t="str">
        <f t="shared" si="148"/>
        <v>5</v>
      </c>
      <c r="X1864" s="4" t="str">
        <f t="shared" si="149"/>
        <v>11NON-HS5</v>
      </c>
      <c r="Y1864">
        <f>VLOOKUP(X1864,Sheet1!$J$5:$K$121,2,FALSE)</f>
        <v>0</v>
      </c>
    </row>
    <row r="1865" spans="1:25" x14ac:dyDescent="0.25">
      <c r="A1865" s="8">
        <f>[1]Data!A1865</f>
        <v>272302</v>
      </c>
      <c r="B1865" s="8">
        <f>[1]Data!B1865</f>
        <v>5</v>
      </c>
      <c r="C1865" s="8">
        <f>[1]Data!C1865</f>
        <v>11</v>
      </c>
      <c r="D1865" s="8">
        <f>[1]Data!D1865</f>
        <v>2</v>
      </c>
      <c r="E1865" s="8" t="str">
        <f>[1]Data!E1865</f>
        <v>NON-HS</v>
      </c>
      <c r="F1865" s="8" t="str">
        <f>[1]Data!F1865</f>
        <v>Mar Vista</v>
      </c>
      <c r="G1865" s="8">
        <f>[1]Data!G1865</f>
        <v>1</v>
      </c>
      <c r="H1865" s="8">
        <f>[1]Data!H1865</f>
        <v>1</v>
      </c>
      <c r="I1865" s="8">
        <f>[1]Data!I1865</f>
        <v>1.9259999999999999</v>
      </c>
      <c r="J1865" s="8">
        <f>[1]Data!J1865</f>
        <v>1.90487994</v>
      </c>
      <c r="K1865" s="8">
        <f>[1]Data!K1865</f>
        <v>1.90487994</v>
      </c>
      <c r="L1865" s="8">
        <f>[1]Data!L1865</f>
        <v>2.0625322082585301E-2</v>
      </c>
      <c r="M1865" s="8">
        <f>[1]Data!M1865</f>
        <v>1.9255052620825901</v>
      </c>
      <c r="N1865" s="8">
        <f>[1]Data!N1865</f>
        <v>3.2258064516128997E-2</v>
      </c>
      <c r="O1865" s="8">
        <f>[1]Data!O1865</f>
        <v>31</v>
      </c>
      <c r="P1865" s="8">
        <f>[1]Data!P1865</f>
        <v>0.37634408602150499</v>
      </c>
      <c r="Q1865" s="8">
        <f>[1]Data!Q1865</f>
        <v>1</v>
      </c>
      <c r="R1865" s="8">
        <f>[1]Data!R1865</f>
        <v>0</v>
      </c>
      <c r="S1865" s="8">
        <f>[1]Data!S1865</f>
        <v>0</v>
      </c>
      <c r="T1865">
        <f t="shared" si="145"/>
        <v>3.2258064516128997E-2</v>
      </c>
      <c r="U1865">
        <f t="shared" si="146"/>
        <v>31.000000000000036</v>
      </c>
      <c r="V1865" s="4" t="str">
        <f t="shared" si="147"/>
        <v>11</v>
      </c>
      <c r="W1865" s="4" t="str">
        <f t="shared" si="148"/>
        <v>5</v>
      </c>
      <c r="X1865" s="4" t="str">
        <f t="shared" si="149"/>
        <v>11NON-HS5</v>
      </c>
      <c r="Y1865">
        <f>VLOOKUP(X1865,Sheet1!$J$5:$K$121,2,FALSE)</f>
        <v>0</v>
      </c>
    </row>
    <row r="1866" spans="1:25" x14ac:dyDescent="0.25">
      <c r="A1866" s="8">
        <f>[1]Data!A1866</f>
        <v>275101</v>
      </c>
      <c r="B1866" s="8">
        <f>[1]Data!B1866</f>
        <v>5</v>
      </c>
      <c r="C1866" s="8">
        <f>[1]Data!C1866</f>
        <v>11</v>
      </c>
      <c r="D1866" s="8">
        <f>[1]Data!D1866</f>
        <v>2</v>
      </c>
      <c r="E1866" s="8" t="str">
        <f>[1]Data!E1866</f>
        <v>NON-HS</v>
      </c>
      <c r="F1866" s="8" t="str">
        <f>[1]Data!F1866</f>
        <v>Del Rey</v>
      </c>
      <c r="G1866" s="8">
        <f>[1]Data!G1866</f>
        <v>0</v>
      </c>
      <c r="H1866" s="8">
        <f>[1]Data!H1866</f>
        <v>0</v>
      </c>
      <c r="I1866" s="8">
        <f>[1]Data!I1866</f>
        <v>18.010999999999999</v>
      </c>
      <c r="J1866" s="8">
        <f>[1]Data!J1866</f>
        <v>17.15115441</v>
      </c>
      <c r="K1866" s="8">
        <f>[1]Data!K1866</f>
        <v>17.15115441</v>
      </c>
      <c r="L1866" s="8">
        <f>[1]Data!L1866</f>
        <v>0.85973825859964104</v>
      </c>
      <c r="M1866" s="8">
        <f>[1]Data!M1866</f>
        <v>18.010892668599599</v>
      </c>
      <c r="N1866" s="8">
        <f>[1]Data!N1866</f>
        <v>3.2258064516128997E-2</v>
      </c>
      <c r="O1866" s="8">
        <f>[1]Data!O1866</f>
        <v>0</v>
      </c>
      <c r="P1866" s="8">
        <f>[1]Data!P1866</f>
        <v>0.37634408602150499</v>
      </c>
      <c r="Q1866" s="8">
        <f>[1]Data!Q1866</f>
        <v>1</v>
      </c>
      <c r="R1866" s="8">
        <f>[1]Data!R1866</f>
        <v>0</v>
      </c>
      <c r="S1866" s="8">
        <f>[1]Data!S1866</f>
        <v>0</v>
      </c>
      <c r="T1866">
        <f t="shared" si="145"/>
        <v>3.2258064516128997E-2</v>
      </c>
      <c r="U1866">
        <f t="shared" si="146"/>
        <v>0</v>
      </c>
      <c r="V1866" s="4" t="str">
        <f t="shared" si="147"/>
        <v>11</v>
      </c>
      <c r="W1866" s="4" t="str">
        <f t="shared" si="148"/>
        <v>5</v>
      </c>
      <c r="X1866" s="4" t="str">
        <f t="shared" si="149"/>
        <v>11NON-HS5</v>
      </c>
      <c r="Y1866">
        <f>VLOOKUP(X1866,Sheet1!$J$5:$K$121,2,FALSE)</f>
        <v>0</v>
      </c>
    </row>
    <row r="1867" spans="1:25" x14ac:dyDescent="0.25">
      <c r="A1867" s="8">
        <f>[1]Data!A1867</f>
        <v>275400</v>
      </c>
      <c r="B1867" s="8">
        <f>[1]Data!B1867</f>
        <v>5</v>
      </c>
      <c r="C1867" s="8">
        <f>[1]Data!C1867</f>
        <v>11</v>
      </c>
      <c r="D1867" s="8">
        <f>[1]Data!D1867</f>
        <v>2</v>
      </c>
      <c r="E1867" s="8" t="str">
        <f>[1]Data!E1867</f>
        <v>NON-HS</v>
      </c>
      <c r="F1867" s="8" t="str">
        <f>[1]Data!F1867</f>
        <v>Del Rey</v>
      </c>
      <c r="G1867" s="8">
        <f>[1]Data!G1867</f>
        <v>0</v>
      </c>
      <c r="H1867" s="8">
        <f>[1]Data!H1867</f>
        <v>0</v>
      </c>
      <c r="I1867" s="8">
        <f>[1]Data!I1867</f>
        <v>22.515000000000001</v>
      </c>
      <c r="J1867" s="8">
        <f>[1]Data!J1867</f>
        <v>17.695657499999999</v>
      </c>
      <c r="K1867" s="8">
        <f>[1]Data!K1867</f>
        <v>21.695657499999999</v>
      </c>
      <c r="L1867" s="8">
        <f>[1]Data!L1867</f>
        <v>0.819458853842011</v>
      </c>
      <c r="M1867" s="8">
        <f>[1]Data!M1867</f>
        <v>22.515116353842</v>
      </c>
      <c r="N1867" s="8">
        <f>[1]Data!N1867</f>
        <v>3.2258064516128997E-2</v>
      </c>
      <c r="O1867" s="8">
        <f>[1]Data!O1867</f>
        <v>0</v>
      </c>
      <c r="P1867" s="8">
        <f>[1]Data!P1867</f>
        <v>0.37634408602150499</v>
      </c>
      <c r="Q1867" s="8">
        <f>[1]Data!Q1867</f>
        <v>1</v>
      </c>
      <c r="R1867" s="8">
        <f>[1]Data!R1867</f>
        <v>0</v>
      </c>
      <c r="S1867" s="8">
        <f>[1]Data!S1867</f>
        <v>0</v>
      </c>
      <c r="T1867">
        <f t="shared" si="145"/>
        <v>3.2258064516128997E-2</v>
      </c>
      <c r="U1867">
        <f t="shared" si="146"/>
        <v>0</v>
      </c>
      <c r="V1867" s="4" t="str">
        <f t="shared" si="147"/>
        <v>11</v>
      </c>
      <c r="W1867" s="4" t="str">
        <f t="shared" si="148"/>
        <v>5</v>
      </c>
      <c r="X1867" s="4" t="str">
        <f t="shared" si="149"/>
        <v>11NON-HS5</v>
      </c>
      <c r="Y1867">
        <f>VLOOKUP(X1867,Sheet1!$J$5:$K$121,2,FALSE)</f>
        <v>0</v>
      </c>
    </row>
    <row r="1868" spans="1:25" x14ac:dyDescent="0.25">
      <c r="A1868" s="8">
        <f>[1]Data!A1868</f>
        <v>275500</v>
      </c>
      <c r="B1868" s="8">
        <f>[1]Data!B1868</f>
        <v>5</v>
      </c>
      <c r="C1868" s="8">
        <f>[1]Data!C1868</f>
        <v>11</v>
      </c>
      <c r="D1868" s="8">
        <f>[1]Data!D1868</f>
        <v>2</v>
      </c>
      <c r="E1868" s="8" t="str">
        <f>[1]Data!E1868</f>
        <v>NON-HS</v>
      </c>
      <c r="F1868" s="8" t="str">
        <f>[1]Data!F1868</f>
        <v>Del Rey</v>
      </c>
      <c r="G1868" s="8">
        <f>[1]Data!G1868</f>
        <v>0</v>
      </c>
      <c r="H1868" s="8">
        <f>[1]Data!H1868</f>
        <v>0</v>
      </c>
      <c r="I1868" s="8">
        <f>[1]Data!I1868</f>
        <v>16.184999999999999</v>
      </c>
      <c r="J1868" s="8">
        <f>[1]Data!J1868</f>
        <v>15.368462299999999</v>
      </c>
      <c r="K1868" s="8">
        <f>[1]Data!K1868</f>
        <v>15.368462299999999</v>
      </c>
      <c r="L1868" s="8">
        <f>[1]Data!L1868</f>
        <v>0.81700662886894104</v>
      </c>
      <c r="M1868" s="8">
        <f>[1]Data!M1868</f>
        <v>16.1854689288689</v>
      </c>
      <c r="N1868" s="8">
        <f>[1]Data!N1868</f>
        <v>3.2258064516128997E-2</v>
      </c>
      <c r="O1868" s="8">
        <f>[1]Data!O1868</f>
        <v>0</v>
      </c>
      <c r="P1868" s="8">
        <f>[1]Data!P1868</f>
        <v>0.37634408602150499</v>
      </c>
      <c r="Q1868" s="8">
        <f>[1]Data!Q1868</f>
        <v>1</v>
      </c>
      <c r="R1868" s="8">
        <f>[1]Data!R1868</f>
        <v>0</v>
      </c>
      <c r="S1868" s="8">
        <f>[1]Data!S1868</f>
        <v>0</v>
      </c>
      <c r="T1868">
        <f t="shared" si="145"/>
        <v>3.2258064516128997E-2</v>
      </c>
      <c r="U1868">
        <f t="shared" si="146"/>
        <v>0</v>
      </c>
      <c r="V1868" s="4" t="str">
        <f t="shared" si="147"/>
        <v>11</v>
      </c>
      <c r="W1868" s="4" t="str">
        <f t="shared" si="148"/>
        <v>5</v>
      </c>
      <c r="X1868" s="4" t="str">
        <f t="shared" si="149"/>
        <v>11NON-HS5</v>
      </c>
      <c r="Y1868">
        <f>VLOOKUP(X1868,Sheet1!$J$5:$K$121,2,FALSE)</f>
        <v>0</v>
      </c>
    </row>
    <row r="1869" spans="1:25" x14ac:dyDescent="0.25">
      <c r="A1869" s="8">
        <f>[1]Data!A1869</f>
        <v>276000</v>
      </c>
      <c r="B1869" s="8">
        <f>[1]Data!B1869</f>
        <v>5</v>
      </c>
      <c r="C1869" s="8">
        <f>[1]Data!C1869</f>
        <v>11</v>
      </c>
      <c r="D1869" s="8">
        <f>[1]Data!D1869</f>
        <v>2</v>
      </c>
      <c r="E1869" s="8" t="str">
        <f>[1]Data!E1869</f>
        <v>NON-HS</v>
      </c>
      <c r="F1869" s="8" t="str">
        <f>[1]Data!F1869</f>
        <v>Westchester/Playa Del Rey</v>
      </c>
      <c r="G1869" s="8">
        <f>[1]Data!G1869</f>
        <v>1</v>
      </c>
      <c r="H1869" s="8">
        <f>[1]Data!H1869</f>
        <v>1</v>
      </c>
      <c r="I1869" s="8">
        <f>[1]Data!I1869</f>
        <v>15.368</v>
      </c>
      <c r="J1869" s="8">
        <f>[1]Data!J1869</f>
        <v>12.54632395</v>
      </c>
      <c r="K1869" s="8">
        <f>[1]Data!K1869</f>
        <v>14.54632395</v>
      </c>
      <c r="L1869" s="8">
        <f>[1]Data!L1869</f>
        <v>0.82257992809694802</v>
      </c>
      <c r="M1869" s="8">
        <f>[1]Data!M1869</f>
        <v>15.3689038780969</v>
      </c>
      <c r="N1869" s="8">
        <f>[1]Data!N1869</f>
        <v>3.2258064516128997E-2</v>
      </c>
      <c r="O1869" s="8">
        <f>[1]Data!O1869</f>
        <v>31</v>
      </c>
      <c r="P1869" s="8">
        <f>[1]Data!P1869</f>
        <v>0.37634408602150499</v>
      </c>
      <c r="Q1869" s="8">
        <f>[1]Data!Q1869</f>
        <v>1</v>
      </c>
      <c r="R1869" s="8">
        <f>[1]Data!R1869</f>
        <v>0</v>
      </c>
      <c r="S1869" s="8">
        <f>[1]Data!S1869</f>
        <v>0</v>
      </c>
      <c r="T1869">
        <f t="shared" si="145"/>
        <v>3.2258064516128997E-2</v>
      </c>
      <c r="U1869">
        <f t="shared" si="146"/>
        <v>31.000000000000036</v>
      </c>
      <c r="V1869" s="4" t="str">
        <f t="shared" si="147"/>
        <v>11</v>
      </c>
      <c r="W1869" s="4" t="str">
        <f t="shared" si="148"/>
        <v>5</v>
      </c>
      <c r="X1869" s="4" t="str">
        <f t="shared" si="149"/>
        <v>11NON-HS5</v>
      </c>
      <c r="Y1869">
        <f>VLOOKUP(X1869,Sheet1!$J$5:$K$121,2,FALSE)</f>
        <v>0</v>
      </c>
    </row>
    <row r="1870" spans="1:25" x14ac:dyDescent="0.25">
      <c r="A1870" s="8">
        <f>[1]Data!A1870</f>
        <v>276400</v>
      </c>
      <c r="B1870" s="8">
        <f>[1]Data!B1870</f>
        <v>5</v>
      </c>
      <c r="C1870" s="8">
        <f>[1]Data!C1870</f>
        <v>11</v>
      </c>
      <c r="D1870" s="8">
        <f>[1]Data!D1870</f>
        <v>2</v>
      </c>
      <c r="E1870" s="8" t="str">
        <f>[1]Data!E1870</f>
        <v>NON-HS</v>
      </c>
      <c r="F1870" s="8" t="str">
        <f>[1]Data!F1870</f>
        <v>Westchester/Playa Del Rey</v>
      </c>
      <c r="G1870" s="8">
        <f>[1]Data!G1870</f>
        <v>0</v>
      </c>
      <c r="H1870" s="8">
        <f>[1]Data!H1870</f>
        <v>0</v>
      </c>
      <c r="I1870" s="8">
        <f>[1]Data!I1870</f>
        <v>3.903</v>
      </c>
      <c r="J1870" s="8">
        <f>[1]Data!J1870</f>
        <v>3.7168318299999998</v>
      </c>
      <c r="K1870" s="8">
        <f>[1]Data!K1870</f>
        <v>3.7168318299999998</v>
      </c>
      <c r="L1870" s="8">
        <f>[1]Data!L1870</f>
        <v>0.18615811166965901</v>
      </c>
      <c r="M1870" s="8">
        <f>[1]Data!M1870</f>
        <v>3.9029899416696598</v>
      </c>
      <c r="N1870" s="8">
        <f>[1]Data!N1870</f>
        <v>3.2258064516128997E-2</v>
      </c>
      <c r="O1870" s="8">
        <f>[1]Data!O1870</f>
        <v>0</v>
      </c>
      <c r="P1870" s="8">
        <f>[1]Data!P1870</f>
        <v>0.37634408602150499</v>
      </c>
      <c r="Q1870" s="8">
        <f>[1]Data!Q1870</f>
        <v>1</v>
      </c>
      <c r="R1870" s="8">
        <f>[1]Data!R1870</f>
        <v>0</v>
      </c>
      <c r="S1870" s="8">
        <f>[1]Data!S1870</f>
        <v>0</v>
      </c>
      <c r="T1870">
        <f t="shared" si="145"/>
        <v>3.2258064516128997E-2</v>
      </c>
      <c r="U1870">
        <f t="shared" si="146"/>
        <v>0</v>
      </c>
      <c r="V1870" s="4" t="str">
        <f t="shared" si="147"/>
        <v>11</v>
      </c>
      <c r="W1870" s="4" t="str">
        <f t="shared" si="148"/>
        <v>5</v>
      </c>
      <c r="X1870" s="4" t="str">
        <f t="shared" si="149"/>
        <v>11NON-HS5</v>
      </c>
      <c r="Y1870">
        <f>VLOOKUP(X1870,Sheet1!$J$5:$K$121,2,FALSE)</f>
        <v>0</v>
      </c>
    </row>
    <row r="1871" spans="1:25" x14ac:dyDescent="0.25">
      <c r="A1871" s="8">
        <f>[1]Data!A1871</f>
        <v>276500</v>
      </c>
      <c r="B1871" s="8">
        <f>[1]Data!B1871</f>
        <v>5</v>
      </c>
      <c r="C1871" s="8">
        <f>[1]Data!C1871</f>
        <v>11</v>
      </c>
      <c r="D1871" s="8">
        <f>[1]Data!D1871</f>
        <v>2</v>
      </c>
      <c r="E1871" s="8" t="str">
        <f>[1]Data!E1871</f>
        <v>NON-HS</v>
      </c>
      <c r="F1871" s="8" t="str">
        <f>[1]Data!F1871</f>
        <v>Westchester/Playa Del Rey</v>
      </c>
      <c r="G1871" s="8">
        <f>[1]Data!G1871</f>
        <v>0</v>
      </c>
      <c r="H1871" s="8">
        <f>[1]Data!H1871</f>
        <v>0</v>
      </c>
      <c r="I1871" s="8">
        <f>[1]Data!I1871</f>
        <v>5.9980000000000002</v>
      </c>
      <c r="J1871" s="8">
        <f>[1]Data!J1871</f>
        <v>5.7005314900000004</v>
      </c>
      <c r="K1871" s="8">
        <f>[1]Data!K1871</f>
        <v>5.7005314900000004</v>
      </c>
      <c r="L1871" s="8">
        <f>[1]Data!L1871</f>
        <v>0.29733071305206499</v>
      </c>
      <c r="M1871" s="8">
        <f>[1]Data!M1871</f>
        <v>5.9978622030520699</v>
      </c>
      <c r="N1871" s="8">
        <f>[1]Data!N1871</f>
        <v>3.2258064516128997E-2</v>
      </c>
      <c r="O1871" s="8">
        <f>[1]Data!O1871</f>
        <v>0</v>
      </c>
      <c r="P1871" s="8">
        <f>[1]Data!P1871</f>
        <v>0.37634408602150499</v>
      </c>
      <c r="Q1871" s="8">
        <f>[1]Data!Q1871</f>
        <v>1</v>
      </c>
      <c r="R1871" s="8">
        <f>[1]Data!R1871</f>
        <v>0</v>
      </c>
      <c r="S1871" s="8">
        <f>[1]Data!S1871</f>
        <v>0</v>
      </c>
      <c r="T1871">
        <f t="shared" si="145"/>
        <v>3.2258064516128997E-2</v>
      </c>
      <c r="U1871">
        <f t="shared" si="146"/>
        <v>0</v>
      </c>
      <c r="V1871" s="4" t="str">
        <f t="shared" si="147"/>
        <v>11</v>
      </c>
      <c r="W1871" s="4" t="str">
        <f t="shared" si="148"/>
        <v>5</v>
      </c>
      <c r="X1871" s="4" t="str">
        <f t="shared" si="149"/>
        <v>11NON-HS5</v>
      </c>
      <c r="Y1871">
        <f>VLOOKUP(X1871,Sheet1!$J$5:$K$121,2,FALSE)</f>
        <v>0</v>
      </c>
    </row>
    <row r="1872" spans="1:25" x14ac:dyDescent="0.25">
      <c r="A1872" s="8">
        <f>[1]Data!A1872</f>
        <v>277000</v>
      </c>
      <c r="B1872" s="8">
        <f>[1]Data!B1872</f>
        <v>5</v>
      </c>
      <c r="C1872" s="8">
        <f>[1]Data!C1872</f>
        <v>11</v>
      </c>
      <c r="D1872" s="8">
        <f>[1]Data!D1872</f>
        <v>2</v>
      </c>
      <c r="E1872" s="8" t="str">
        <f>[1]Data!E1872</f>
        <v>NON-HS</v>
      </c>
      <c r="F1872" s="8" t="str">
        <f>[1]Data!F1872</f>
        <v>Westchester/Playa Del Rey</v>
      </c>
      <c r="G1872" s="8">
        <f>[1]Data!G1872</f>
        <v>0</v>
      </c>
      <c r="H1872" s="8">
        <f>[1]Data!H1872</f>
        <v>0</v>
      </c>
      <c r="I1872" s="8">
        <f>[1]Data!I1872</f>
        <v>8.2029999999999994</v>
      </c>
      <c r="J1872" s="8">
        <f>[1]Data!J1872</f>
        <v>7.0275745199999999</v>
      </c>
      <c r="K1872" s="8">
        <f>[1]Data!K1872</f>
        <v>8.0275745199999999</v>
      </c>
      <c r="L1872" s="8">
        <f>[1]Data!L1872</f>
        <v>0.17564839666068199</v>
      </c>
      <c r="M1872" s="8">
        <f>[1]Data!M1872</f>
        <v>8.20322291666068</v>
      </c>
      <c r="N1872" s="8">
        <f>[1]Data!N1872</f>
        <v>3.2258064516128997E-2</v>
      </c>
      <c r="O1872" s="8">
        <f>[1]Data!O1872</f>
        <v>0</v>
      </c>
      <c r="P1872" s="8">
        <f>[1]Data!P1872</f>
        <v>0.37634408602150499</v>
      </c>
      <c r="Q1872" s="8">
        <f>[1]Data!Q1872</f>
        <v>1</v>
      </c>
      <c r="R1872" s="8">
        <f>[1]Data!R1872</f>
        <v>0</v>
      </c>
      <c r="S1872" s="8">
        <f>[1]Data!S1872</f>
        <v>0</v>
      </c>
      <c r="T1872">
        <f t="shared" si="145"/>
        <v>3.2258064516128997E-2</v>
      </c>
      <c r="U1872">
        <f t="shared" si="146"/>
        <v>0</v>
      </c>
      <c r="V1872" s="4" t="str">
        <f t="shared" si="147"/>
        <v>11</v>
      </c>
      <c r="W1872" s="4" t="str">
        <f t="shared" si="148"/>
        <v>5</v>
      </c>
      <c r="X1872" s="4" t="str">
        <f t="shared" si="149"/>
        <v>11NON-HS5</v>
      </c>
      <c r="Y1872">
        <f>VLOOKUP(X1872,Sheet1!$J$5:$K$121,2,FALSE)</f>
        <v>0</v>
      </c>
    </row>
    <row r="1873" spans="1:25" x14ac:dyDescent="0.25">
      <c r="A1873" s="8">
        <f>[1]Data!A1873</f>
        <v>278102</v>
      </c>
      <c r="B1873" s="8">
        <f>[1]Data!B1873</f>
        <v>5</v>
      </c>
      <c r="C1873" s="8">
        <f>[1]Data!C1873</f>
        <v>11</v>
      </c>
      <c r="D1873" s="8">
        <f>[1]Data!D1873</f>
        <v>4</v>
      </c>
      <c r="E1873" s="8" t="str">
        <f>[1]Data!E1873</f>
        <v>NON-HS</v>
      </c>
      <c r="F1873" s="8" t="str">
        <f>[1]Data!F1873</f>
        <v>Westchester/Playa Del Rey</v>
      </c>
      <c r="G1873" s="8">
        <f>[1]Data!G1873</f>
        <v>0</v>
      </c>
      <c r="H1873" s="8">
        <f>[1]Data!H1873</f>
        <v>0</v>
      </c>
      <c r="I1873" s="8">
        <f>[1]Data!I1873</f>
        <v>13.426</v>
      </c>
      <c r="J1873" s="8">
        <f>[1]Data!J1873</f>
        <v>9.9308290400000008</v>
      </c>
      <c r="K1873" s="8">
        <f>[1]Data!K1873</f>
        <v>12.930829040000001</v>
      </c>
      <c r="L1873" s="8">
        <f>[1]Data!L1873</f>
        <v>0.49499228669658901</v>
      </c>
      <c r="M1873" s="8">
        <f>[1]Data!M1873</f>
        <v>13.4258213266966</v>
      </c>
      <c r="N1873" s="8">
        <f>[1]Data!N1873</f>
        <v>3.2258064516128997E-2</v>
      </c>
      <c r="O1873" s="8">
        <f>[1]Data!O1873</f>
        <v>0</v>
      </c>
      <c r="P1873" s="8">
        <f>[1]Data!P1873</f>
        <v>0.37634408602150499</v>
      </c>
      <c r="Q1873" s="8">
        <f>[1]Data!Q1873</f>
        <v>1</v>
      </c>
      <c r="R1873" s="8">
        <f>[1]Data!R1873</f>
        <v>0</v>
      </c>
      <c r="S1873" s="8">
        <f>[1]Data!S1873</f>
        <v>0</v>
      </c>
      <c r="T1873">
        <f t="shared" si="145"/>
        <v>3.2258064516128997E-2</v>
      </c>
      <c r="U1873">
        <f t="shared" si="146"/>
        <v>0</v>
      </c>
      <c r="V1873" s="4" t="str">
        <f t="shared" si="147"/>
        <v>11</v>
      </c>
      <c r="W1873" s="4" t="str">
        <f t="shared" si="148"/>
        <v>5</v>
      </c>
      <c r="X1873" s="4" t="str">
        <f t="shared" si="149"/>
        <v>11NON-HS5</v>
      </c>
      <c r="Y1873">
        <f>VLOOKUP(X1873,Sheet1!$J$5:$K$121,2,FALSE)</f>
        <v>0</v>
      </c>
    </row>
    <row r="1874" spans="1:25" x14ac:dyDescent="0.25">
      <c r="A1874" s="8">
        <f>[1]Data!A1874</f>
        <v>273100</v>
      </c>
      <c r="B1874" s="8">
        <f>[1]Data!B1874</f>
        <v>10</v>
      </c>
      <c r="C1874" s="8">
        <f>[1]Data!C1874</f>
        <v>11</v>
      </c>
      <c r="D1874" s="8">
        <f>[1]Data!D1874</f>
        <v>3</v>
      </c>
      <c r="E1874" s="8" t="str">
        <f>[1]Data!E1874</f>
        <v>VENICE</v>
      </c>
      <c r="F1874" s="8" t="str">
        <f>[1]Data!F1874</f>
        <v>Venice</v>
      </c>
      <c r="G1874" s="8">
        <f>[1]Data!G1874</f>
        <v>1</v>
      </c>
      <c r="H1874" s="8">
        <f>[1]Data!H1874</f>
        <v>1</v>
      </c>
      <c r="I1874" s="8">
        <f>[1]Data!I1874</f>
        <v>53.963999999999999</v>
      </c>
      <c r="J1874" s="8">
        <f>[1]Data!J1874</f>
        <v>43.994885269999997</v>
      </c>
      <c r="K1874" s="8">
        <f>[1]Data!K1874</f>
        <v>51.994885269999997</v>
      </c>
      <c r="L1874" s="8">
        <f>[1]Data!L1874</f>
        <v>1.9687885417055699</v>
      </c>
      <c r="M1874" s="8">
        <f>[1]Data!M1874</f>
        <v>53.963673811705597</v>
      </c>
      <c r="N1874" s="8">
        <f>[1]Data!N1874</f>
        <v>1</v>
      </c>
      <c r="O1874" s="8">
        <f>[1]Data!O1874</f>
        <v>1</v>
      </c>
      <c r="P1874" s="8">
        <f>[1]Data!P1874</f>
        <v>0</v>
      </c>
      <c r="Q1874" s="8">
        <f>[1]Data!Q1874</f>
        <v>0</v>
      </c>
      <c r="R1874" s="8">
        <f>[1]Data!R1874</f>
        <v>0</v>
      </c>
      <c r="S1874" s="8">
        <f>[1]Data!S1874</f>
        <v>0</v>
      </c>
      <c r="T1874">
        <f t="shared" si="145"/>
        <v>1</v>
      </c>
      <c r="U1874">
        <f t="shared" si="146"/>
        <v>1</v>
      </c>
      <c r="V1874" s="4" t="str">
        <f t="shared" si="147"/>
        <v>11</v>
      </c>
      <c r="W1874" s="4" t="str">
        <f t="shared" si="148"/>
        <v>10</v>
      </c>
      <c r="X1874" s="4" t="str">
        <f t="shared" si="149"/>
        <v>11VENICE10</v>
      </c>
      <c r="Y1874">
        <f>VLOOKUP(X1874,Sheet1!$J$5:$K$121,2,FALSE)</f>
        <v>0</v>
      </c>
    </row>
    <row r="1875" spans="1:25" x14ac:dyDescent="0.25">
      <c r="A1875" s="8">
        <f>[1]Data!A1875</f>
        <v>273200</v>
      </c>
      <c r="B1875" s="8">
        <f>[1]Data!B1875</f>
        <v>10</v>
      </c>
      <c r="C1875" s="8">
        <f>[1]Data!C1875</f>
        <v>11</v>
      </c>
      <c r="D1875" s="8">
        <f>[1]Data!D1875</f>
        <v>3</v>
      </c>
      <c r="E1875" s="8" t="str">
        <f>[1]Data!E1875</f>
        <v>VENICE</v>
      </c>
      <c r="F1875" s="8" t="str">
        <f>[1]Data!F1875</f>
        <v>Venice</v>
      </c>
      <c r="G1875" s="8">
        <f>[1]Data!G1875</f>
        <v>1</v>
      </c>
      <c r="H1875" s="8">
        <f>[1]Data!H1875</f>
        <v>1</v>
      </c>
      <c r="I1875" s="8">
        <f>[1]Data!I1875</f>
        <v>110.09399999999999</v>
      </c>
      <c r="J1875" s="8">
        <f>[1]Data!J1875</f>
        <v>84.206665470000004</v>
      </c>
      <c r="K1875" s="8">
        <f>[1]Data!K1875</f>
        <v>106.20666547</v>
      </c>
      <c r="L1875" s="8">
        <f>[1]Data!L1875</f>
        <v>3.8868047412926399</v>
      </c>
      <c r="M1875" s="8">
        <f>[1]Data!M1875</f>
        <v>110.093470211293</v>
      </c>
      <c r="N1875" s="8">
        <f>[1]Data!N1875</f>
        <v>1</v>
      </c>
      <c r="O1875" s="8">
        <f>[1]Data!O1875</f>
        <v>1</v>
      </c>
      <c r="P1875" s="8">
        <f>[1]Data!P1875</f>
        <v>0</v>
      </c>
      <c r="Q1875" s="8">
        <f>[1]Data!Q1875</f>
        <v>0</v>
      </c>
      <c r="R1875" s="8">
        <f>[1]Data!R1875</f>
        <v>0</v>
      </c>
      <c r="S1875" s="8">
        <f>[1]Data!S1875</f>
        <v>0</v>
      </c>
      <c r="T1875">
        <f t="shared" si="145"/>
        <v>1</v>
      </c>
      <c r="U1875">
        <f t="shared" si="146"/>
        <v>1</v>
      </c>
      <c r="V1875" s="4" t="str">
        <f t="shared" si="147"/>
        <v>11</v>
      </c>
      <c r="W1875" s="4" t="str">
        <f t="shared" si="148"/>
        <v>10</v>
      </c>
      <c r="X1875" s="4" t="str">
        <f t="shared" si="149"/>
        <v>11VENICE10</v>
      </c>
      <c r="Y1875">
        <f>VLOOKUP(X1875,Sheet1!$J$5:$K$121,2,FALSE)</f>
        <v>0</v>
      </c>
    </row>
    <row r="1876" spans="1:25" x14ac:dyDescent="0.25">
      <c r="A1876" s="8">
        <f>[1]Data!A1876</f>
        <v>273300</v>
      </c>
      <c r="B1876" s="8">
        <f>[1]Data!B1876</f>
        <v>10</v>
      </c>
      <c r="C1876" s="8">
        <f>[1]Data!C1876</f>
        <v>11</v>
      </c>
      <c r="D1876" s="8">
        <f>[1]Data!D1876</f>
        <v>3</v>
      </c>
      <c r="E1876" s="8" t="str">
        <f>[1]Data!E1876</f>
        <v>VENICE</v>
      </c>
      <c r="F1876" s="8" t="str">
        <f>[1]Data!F1876</f>
        <v>Venice</v>
      </c>
      <c r="G1876" s="8">
        <f>[1]Data!G1876</f>
        <v>1</v>
      </c>
      <c r="H1876" s="8">
        <f>[1]Data!H1876</f>
        <v>1</v>
      </c>
      <c r="I1876" s="8">
        <f>[1]Data!I1876</f>
        <v>232.108</v>
      </c>
      <c r="J1876" s="8">
        <f>[1]Data!J1876</f>
        <v>206.13290509999999</v>
      </c>
      <c r="K1876" s="8">
        <f>[1]Data!K1876</f>
        <v>225.13290509999999</v>
      </c>
      <c r="L1876" s="8">
        <f>[1]Data!L1876</f>
        <v>6.9752722552423698</v>
      </c>
      <c r="M1876" s="8">
        <f>[1]Data!M1876</f>
        <v>232.10817735524199</v>
      </c>
      <c r="N1876" s="8">
        <f>[1]Data!N1876</f>
        <v>1</v>
      </c>
      <c r="O1876" s="8">
        <f>[1]Data!O1876</f>
        <v>1</v>
      </c>
      <c r="P1876" s="8">
        <f>[1]Data!P1876</f>
        <v>0</v>
      </c>
      <c r="Q1876" s="8">
        <f>[1]Data!Q1876</f>
        <v>0</v>
      </c>
      <c r="R1876" s="8">
        <f>[1]Data!R1876</f>
        <v>0</v>
      </c>
      <c r="S1876" s="8">
        <f>[1]Data!S1876</f>
        <v>0</v>
      </c>
      <c r="T1876">
        <f t="shared" si="145"/>
        <v>1</v>
      </c>
      <c r="U1876">
        <f t="shared" si="146"/>
        <v>1</v>
      </c>
      <c r="V1876" s="4" t="str">
        <f t="shared" si="147"/>
        <v>11</v>
      </c>
      <c r="W1876" s="4" t="str">
        <f t="shared" si="148"/>
        <v>10</v>
      </c>
      <c r="X1876" s="4" t="str">
        <f t="shared" si="149"/>
        <v>11VENICE10</v>
      </c>
      <c r="Y1876">
        <f>VLOOKUP(X1876,Sheet1!$J$5:$K$121,2,FALSE)</f>
        <v>0</v>
      </c>
    </row>
    <row r="1877" spans="1:25" x14ac:dyDescent="0.25">
      <c r="A1877" s="8">
        <f>[1]Data!A1877</f>
        <v>273402</v>
      </c>
      <c r="B1877" s="8">
        <f>[1]Data!B1877</f>
        <v>10</v>
      </c>
      <c r="C1877" s="8">
        <f>[1]Data!C1877</f>
        <v>11</v>
      </c>
      <c r="D1877" s="8">
        <f>[1]Data!D1877</f>
        <v>3</v>
      </c>
      <c r="E1877" s="8" t="str">
        <f>[1]Data!E1877</f>
        <v>VENICE</v>
      </c>
      <c r="F1877" s="8" t="str">
        <f>[1]Data!F1877</f>
        <v>Venice</v>
      </c>
      <c r="G1877" s="8">
        <f>[1]Data!G1877</f>
        <v>1</v>
      </c>
      <c r="H1877" s="8">
        <f>[1]Data!H1877</f>
        <v>1</v>
      </c>
      <c r="I1877" s="8">
        <f>[1]Data!I1877</f>
        <v>202.62100000000001</v>
      </c>
      <c r="J1877" s="8">
        <f>[1]Data!J1877</f>
        <v>153.43167256000001</v>
      </c>
      <c r="K1877" s="8">
        <f>[1]Data!K1877</f>
        <v>197.43167256000001</v>
      </c>
      <c r="L1877" s="8">
        <f>[1]Data!L1877</f>
        <v>5.1900117179174101</v>
      </c>
      <c r="M1877" s="8">
        <f>[1]Data!M1877</f>
        <v>202.62168427791701</v>
      </c>
      <c r="N1877" s="8">
        <f>[1]Data!N1877</f>
        <v>1</v>
      </c>
      <c r="O1877" s="8">
        <f>[1]Data!O1877</f>
        <v>1</v>
      </c>
      <c r="P1877" s="8">
        <f>[1]Data!P1877</f>
        <v>0</v>
      </c>
      <c r="Q1877" s="8">
        <f>[1]Data!Q1877</f>
        <v>0</v>
      </c>
      <c r="R1877" s="8">
        <f>[1]Data!R1877</f>
        <v>0</v>
      </c>
      <c r="S1877" s="8">
        <f>[1]Data!S1877</f>
        <v>0</v>
      </c>
      <c r="T1877">
        <f t="shared" si="145"/>
        <v>1</v>
      </c>
      <c r="U1877">
        <f t="shared" si="146"/>
        <v>1</v>
      </c>
      <c r="V1877" s="4" t="str">
        <f t="shared" si="147"/>
        <v>11</v>
      </c>
      <c r="W1877" s="4" t="str">
        <f t="shared" si="148"/>
        <v>10</v>
      </c>
      <c r="X1877" s="4" t="str">
        <f t="shared" si="149"/>
        <v>11VENICE10</v>
      </c>
      <c r="Y1877">
        <f>VLOOKUP(X1877,Sheet1!$J$5:$K$121,2,FALSE)</f>
        <v>0</v>
      </c>
    </row>
    <row r="1878" spans="1:25" x14ac:dyDescent="0.25">
      <c r="A1878" s="8">
        <f>[1]Data!A1878</f>
        <v>273502</v>
      </c>
      <c r="B1878" s="8">
        <f>[1]Data!B1878</f>
        <v>10</v>
      </c>
      <c r="C1878" s="8">
        <f>[1]Data!C1878</f>
        <v>11</v>
      </c>
      <c r="D1878" s="8">
        <f>[1]Data!D1878</f>
        <v>3</v>
      </c>
      <c r="E1878" s="8" t="str">
        <f>[1]Data!E1878</f>
        <v>VENICE</v>
      </c>
      <c r="F1878" s="8" t="str">
        <f>[1]Data!F1878</f>
        <v>Venice</v>
      </c>
      <c r="G1878" s="8">
        <f>[1]Data!G1878</f>
        <v>1</v>
      </c>
      <c r="H1878" s="8">
        <f>[1]Data!H1878</f>
        <v>1</v>
      </c>
      <c r="I1878" s="8">
        <f>[1]Data!I1878</f>
        <v>121.93</v>
      </c>
      <c r="J1878" s="8">
        <f>[1]Data!J1878</f>
        <v>91.622628410000004</v>
      </c>
      <c r="K1878" s="8">
        <f>[1]Data!K1878</f>
        <v>118.62262841</v>
      </c>
      <c r="L1878" s="8">
        <f>[1]Data!L1878</f>
        <v>3.3066436968222601</v>
      </c>
      <c r="M1878" s="8">
        <f>[1]Data!M1878</f>
        <v>121.929272106822</v>
      </c>
      <c r="N1878" s="8">
        <f>[1]Data!N1878</f>
        <v>1</v>
      </c>
      <c r="O1878" s="8">
        <f>[1]Data!O1878</f>
        <v>1</v>
      </c>
      <c r="P1878" s="8">
        <f>[1]Data!P1878</f>
        <v>0</v>
      </c>
      <c r="Q1878" s="8">
        <f>[1]Data!Q1878</f>
        <v>0</v>
      </c>
      <c r="R1878" s="8">
        <f>[1]Data!R1878</f>
        <v>0</v>
      </c>
      <c r="S1878" s="8">
        <f>[1]Data!S1878</f>
        <v>0</v>
      </c>
      <c r="T1878">
        <f t="shared" si="145"/>
        <v>1</v>
      </c>
      <c r="U1878">
        <f t="shared" si="146"/>
        <v>1</v>
      </c>
      <c r="V1878" s="4" t="str">
        <f t="shared" si="147"/>
        <v>11</v>
      </c>
      <c r="W1878" s="4" t="str">
        <f t="shared" si="148"/>
        <v>10</v>
      </c>
      <c r="X1878" s="4" t="str">
        <f t="shared" si="149"/>
        <v>11VENICE10</v>
      </c>
      <c r="Y1878">
        <f>VLOOKUP(X1878,Sheet1!$J$5:$K$121,2,FALSE)</f>
        <v>0</v>
      </c>
    </row>
    <row r="1879" spans="1:25" x14ac:dyDescent="0.25">
      <c r="A1879" s="8">
        <f>[1]Data!A1879</f>
        <v>273600</v>
      </c>
      <c r="B1879" s="8">
        <f>[1]Data!B1879</f>
        <v>10</v>
      </c>
      <c r="C1879" s="8">
        <f>[1]Data!C1879</f>
        <v>11</v>
      </c>
      <c r="D1879" s="8">
        <f>[1]Data!D1879</f>
        <v>3</v>
      </c>
      <c r="E1879" s="8" t="str">
        <f>[1]Data!E1879</f>
        <v>VENICE</v>
      </c>
      <c r="F1879" s="8" t="str">
        <f>[1]Data!F1879</f>
        <v>Venice</v>
      </c>
      <c r="G1879" s="8">
        <f>[1]Data!G1879</f>
        <v>1</v>
      </c>
      <c r="H1879" s="8">
        <f>[1]Data!H1879</f>
        <v>1</v>
      </c>
      <c r="I1879" s="8">
        <f>[1]Data!I1879</f>
        <v>71.881</v>
      </c>
      <c r="J1879" s="8">
        <f>[1]Data!J1879</f>
        <v>44.149704</v>
      </c>
      <c r="K1879" s="8">
        <f>[1]Data!K1879</f>
        <v>70.149704</v>
      </c>
      <c r="L1879" s="8">
        <f>[1]Data!L1879</f>
        <v>1.7307564734290799</v>
      </c>
      <c r="M1879" s="8">
        <f>[1]Data!M1879</f>
        <v>71.880460473429096</v>
      </c>
      <c r="N1879" s="8">
        <f>[1]Data!N1879</f>
        <v>1</v>
      </c>
      <c r="O1879" s="8">
        <f>[1]Data!O1879</f>
        <v>1</v>
      </c>
      <c r="P1879" s="8">
        <f>[1]Data!P1879</f>
        <v>0</v>
      </c>
      <c r="Q1879" s="8">
        <f>[1]Data!Q1879</f>
        <v>0</v>
      </c>
      <c r="R1879" s="8">
        <f>[1]Data!R1879</f>
        <v>0</v>
      </c>
      <c r="S1879" s="8">
        <f>[1]Data!S1879</f>
        <v>0</v>
      </c>
      <c r="T1879">
        <f t="shared" si="145"/>
        <v>1</v>
      </c>
      <c r="U1879">
        <f t="shared" si="146"/>
        <v>1</v>
      </c>
      <c r="V1879" s="4" t="str">
        <f t="shared" si="147"/>
        <v>11</v>
      </c>
      <c r="W1879" s="4" t="str">
        <f t="shared" si="148"/>
        <v>10</v>
      </c>
      <c r="X1879" s="4" t="str">
        <f t="shared" si="149"/>
        <v>11VENICE10</v>
      </c>
      <c r="Y1879">
        <f>VLOOKUP(X1879,Sheet1!$J$5:$K$121,2,FALSE)</f>
        <v>0</v>
      </c>
    </row>
    <row r="1880" spans="1:25" x14ac:dyDescent="0.25">
      <c r="A1880" s="8">
        <f>[1]Data!A1880</f>
        <v>273700</v>
      </c>
      <c r="B1880" s="8">
        <f>[1]Data!B1880</f>
        <v>10</v>
      </c>
      <c r="C1880" s="8">
        <f>[1]Data!C1880</f>
        <v>11</v>
      </c>
      <c r="D1880" s="8">
        <f>[1]Data!D1880</f>
        <v>3</v>
      </c>
      <c r="E1880" s="8" t="str">
        <f>[1]Data!E1880</f>
        <v>VENICE</v>
      </c>
      <c r="F1880" s="8" t="str">
        <f>[1]Data!F1880</f>
        <v>Venice</v>
      </c>
      <c r="G1880" s="8">
        <f>[1]Data!G1880</f>
        <v>1</v>
      </c>
      <c r="H1880" s="8">
        <f>[1]Data!H1880</f>
        <v>1</v>
      </c>
      <c r="I1880" s="8">
        <f>[1]Data!I1880</f>
        <v>8.3789999999999996</v>
      </c>
      <c r="J1880" s="8">
        <f>[1]Data!J1880</f>
        <v>7.9347986400000003</v>
      </c>
      <c r="K1880" s="8">
        <f>[1]Data!K1880</f>
        <v>7.9347986400000003</v>
      </c>
      <c r="L1880" s="8">
        <f>[1]Data!L1880</f>
        <v>0.44469040552962302</v>
      </c>
      <c r="M1880" s="8">
        <f>[1]Data!M1880</f>
        <v>8.3794890455296205</v>
      </c>
      <c r="N1880" s="8">
        <f>[1]Data!N1880</f>
        <v>1</v>
      </c>
      <c r="O1880" s="8">
        <f>[1]Data!O1880</f>
        <v>1</v>
      </c>
      <c r="P1880" s="8">
        <f>[1]Data!P1880</f>
        <v>0</v>
      </c>
      <c r="Q1880" s="8">
        <f>[1]Data!Q1880</f>
        <v>0</v>
      </c>
      <c r="R1880" s="8">
        <f>[1]Data!R1880</f>
        <v>0</v>
      </c>
      <c r="S1880" s="8">
        <f>[1]Data!S1880</f>
        <v>0</v>
      </c>
      <c r="T1880">
        <f t="shared" si="145"/>
        <v>1</v>
      </c>
      <c r="U1880">
        <f t="shared" si="146"/>
        <v>1</v>
      </c>
      <c r="V1880" s="4" t="str">
        <f t="shared" si="147"/>
        <v>11</v>
      </c>
      <c r="W1880" s="4" t="str">
        <f t="shared" si="148"/>
        <v>10</v>
      </c>
      <c r="X1880" s="4" t="str">
        <f t="shared" si="149"/>
        <v>11VENICE10</v>
      </c>
      <c r="Y1880">
        <f>VLOOKUP(X1880,Sheet1!$J$5:$K$121,2,FALSE)</f>
        <v>0</v>
      </c>
    </row>
    <row r="1881" spans="1:25" x14ac:dyDescent="0.25">
      <c r="A1881" s="8">
        <f>[1]Data!A1881</f>
        <v>273800</v>
      </c>
      <c r="B1881" s="8">
        <f>[1]Data!B1881</f>
        <v>10</v>
      </c>
      <c r="C1881" s="8">
        <f>[1]Data!C1881</f>
        <v>11</v>
      </c>
      <c r="D1881" s="8">
        <f>[1]Data!D1881</f>
        <v>2</v>
      </c>
      <c r="E1881" s="8" t="str">
        <f>[1]Data!E1881</f>
        <v>VENICE</v>
      </c>
      <c r="F1881" s="8" t="str">
        <f>[1]Data!F1881</f>
        <v>Venice</v>
      </c>
      <c r="G1881" s="8">
        <f>[1]Data!G1881</f>
        <v>1</v>
      </c>
      <c r="H1881" s="8">
        <f>[1]Data!H1881</f>
        <v>1</v>
      </c>
      <c r="I1881" s="8">
        <f>[1]Data!I1881</f>
        <v>43.029000000000003</v>
      </c>
      <c r="J1881" s="8">
        <f>[1]Data!J1881</f>
        <v>34.055043689999998</v>
      </c>
      <c r="K1881" s="8">
        <f>[1]Data!K1881</f>
        <v>42.055043689999998</v>
      </c>
      <c r="L1881" s="8">
        <f>[1]Data!L1881</f>
        <v>0.97426992174147198</v>
      </c>
      <c r="M1881" s="8">
        <f>[1]Data!M1881</f>
        <v>43.0293136117415</v>
      </c>
      <c r="N1881" s="8">
        <f>[1]Data!N1881</f>
        <v>1</v>
      </c>
      <c r="O1881" s="8">
        <f>[1]Data!O1881</f>
        <v>1</v>
      </c>
      <c r="P1881" s="8">
        <f>[1]Data!P1881</f>
        <v>0</v>
      </c>
      <c r="Q1881" s="8">
        <f>[1]Data!Q1881</f>
        <v>0</v>
      </c>
      <c r="R1881" s="8">
        <f>[1]Data!R1881</f>
        <v>0</v>
      </c>
      <c r="S1881" s="8">
        <f>[1]Data!S1881</f>
        <v>0</v>
      </c>
      <c r="T1881">
        <f t="shared" si="145"/>
        <v>1</v>
      </c>
      <c r="U1881">
        <f t="shared" si="146"/>
        <v>1</v>
      </c>
      <c r="V1881" s="4" t="str">
        <f t="shared" si="147"/>
        <v>11</v>
      </c>
      <c r="W1881" s="4" t="str">
        <f t="shared" si="148"/>
        <v>10</v>
      </c>
      <c r="X1881" s="4" t="str">
        <f t="shared" si="149"/>
        <v>11VENICE10</v>
      </c>
      <c r="Y1881">
        <f>VLOOKUP(X1881,Sheet1!$J$5:$K$121,2,FALSE)</f>
        <v>0</v>
      </c>
    </row>
    <row r="1882" spans="1:25" x14ac:dyDescent="0.25">
      <c r="A1882" s="8">
        <f>[1]Data!A1882</f>
        <v>273902</v>
      </c>
      <c r="B1882" s="8">
        <f>[1]Data!B1882</f>
        <v>10</v>
      </c>
      <c r="C1882" s="8">
        <f>[1]Data!C1882</f>
        <v>11</v>
      </c>
      <c r="D1882" s="8">
        <f>[1]Data!D1882</f>
        <v>3</v>
      </c>
      <c r="E1882" s="8" t="str">
        <f>[1]Data!E1882</f>
        <v>VENICE</v>
      </c>
      <c r="F1882" s="8" t="str">
        <f>[1]Data!F1882</f>
        <v>Venice</v>
      </c>
      <c r="G1882" s="8">
        <f>[1]Data!G1882</f>
        <v>1</v>
      </c>
      <c r="H1882" s="8">
        <f>[1]Data!H1882</f>
        <v>1</v>
      </c>
      <c r="I1882" s="8">
        <f>[1]Data!I1882</f>
        <v>43.603000000000002</v>
      </c>
      <c r="J1882" s="8">
        <f>[1]Data!J1882</f>
        <v>24.789180900000002</v>
      </c>
      <c r="K1882" s="8">
        <f>[1]Data!K1882</f>
        <v>42.789180899999998</v>
      </c>
      <c r="L1882" s="8">
        <f>[1]Data!L1882</f>
        <v>0.81314608222621199</v>
      </c>
      <c r="M1882" s="8">
        <f>[1]Data!M1882</f>
        <v>43.602326982226202</v>
      </c>
      <c r="N1882" s="8">
        <f>[1]Data!N1882</f>
        <v>1</v>
      </c>
      <c r="O1882" s="8">
        <f>[1]Data!O1882</f>
        <v>1</v>
      </c>
      <c r="P1882" s="8">
        <f>[1]Data!P1882</f>
        <v>0</v>
      </c>
      <c r="Q1882" s="8">
        <f>[1]Data!Q1882</f>
        <v>0</v>
      </c>
      <c r="R1882" s="8">
        <f>[1]Data!R1882</f>
        <v>0</v>
      </c>
      <c r="S1882" s="8">
        <f>[1]Data!S1882</f>
        <v>0</v>
      </c>
      <c r="T1882">
        <f t="shared" si="145"/>
        <v>1</v>
      </c>
      <c r="U1882">
        <f t="shared" si="146"/>
        <v>1</v>
      </c>
      <c r="V1882" s="4" t="str">
        <f t="shared" si="147"/>
        <v>11</v>
      </c>
      <c r="W1882" s="4" t="str">
        <f t="shared" si="148"/>
        <v>10</v>
      </c>
      <c r="X1882" s="4" t="str">
        <f t="shared" si="149"/>
        <v>11VENICE10</v>
      </c>
      <c r="Y1882">
        <f>VLOOKUP(X1882,Sheet1!$J$5:$K$121,2,FALSE)</f>
        <v>0</v>
      </c>
    </row>
    <row r="1883" spans="1:25" x14ac:dyDescent="0.25">
      <c r="A1883" s="8">
        <f>[1]Data!A1883</f>
        <v>274100</v>
      </c>
      <c r="B1883" s="8">
        <f>[1]Data!B1883</f>
        <v>10</v>
      </c>
      <c r="C1883" s="8">
        <f>[1]Data!C1883</f>
        <v>11</v>
      </c>
      <c r="D1883" s="8">
        <f>[1]Data!D1883</f>
        <v>2</v>
      </c>
      <c r="E1883" s="8" t="str">
        <f>[1]Data!E1883</f>
        <v>VENICE</v>
      </c>
      <c r="F1883" s="8" t="str">
        <f>[1]Data!F1883</f>
        <v>Venice</v>
      </c>
      <c r="G1883" s="8">
        <f>[1]Data!G1883</f>
        <v>1</v>
      </c>
      <c r="H1883" s="8">
        <f>[1]Data!H1883</f>
        <v>1</v>
      </c>
      <c r="I1883" s="8">
        <f>[1]Data!I1883</f>
        <v>30.367999999999999</v>
      </c>
      <c r="J1883" s="8">
        <f>[1]Data!J1883</f>
        <v>12.54632395</v>
      </c>
      <c r="K1883" s="8">
        <f>[1]Data!K1883</f>
        <v>29.546323950000001</v>
      </c>
      <c r="L1883" s="8">
        <f>[1]Data!L1883</f>
        <v>0.82257992809694802</v>
      </c>
      <c r="M1883" s="8">
        <f>[1]Data!M1883</f>
        <v>30.368903878097001</v>
      </c>
      <c r="N1883" s="8">
        <f>[1]Data!N1883</f>
        <v>1</v>
      </c>
      <c r="O1883" s="8">
        <f>[1]Data!O1883</f>
        <v>1</v>
      </c>
      <c r="P1883" s="8">
        <f>[1]Data!P1883</f>
        <v>0</v>
      </c>
      <c r="Q1883" s="8">
        <f>[1]Data!Q1883</f>
        <v>0</v>
      </c>
      <c r="R1883" s="8">
        <f>[1]Data!R1883</f>
        <v>0</v>
      </c>
      <c r="S1883" s="8">
        <f>[1]Data!S1883</f>
        <v>0</v>
      </c>
      <c r="T1883">
        <f t="shared" si="145"/>
        <v>1</v>
      </c>
      <c r="U1883">
        <f t="shared" si="146"/>
        <v>1</v>
      </c>
      <c r="V1883" s="4" t="str">
        <f t="shared" si="147"/>
        <v>11</v>
      </c>
      <c r="W1883" s="4" t="str">
        <f t="shared" si="148"/>
        <v>10</v>
      </c>
      <c r="X1883" s="4" t="str">
        <f t="shared" si="149"/>
        <v>11VENICE10</v>
      </c>
      <c r="Y1883">
        <f>VLOOKUP(X1883,Sheet1!$J$5:$K$121,2,FALSE)</f>
        <v>0</v>
      </c>
    </row>
    <row r="1884" spans="1:25" x14ac:dyDescent="0.25">
      <c r="A1884" s="8">
        <f>[1]Data!A1884</f>
        <v>274202</v>
      </c>
      <c r="B1884" s="8">
        <f>[1]Data!B1884</f>
        <v>10</v>
      </c>
      <c r="C1884" s="8">
        <f>[1]Data!C1884</f>
        <v>11</v>
      </c>
      <c r="D1884" s="8">
        <f>[1]Data!D1884</f>
        <v>3</v>
      </c>
      <c r="E1884" s="8" t="str">
        <f>[1]Data!E1884</f>
        <v>VENICE</v>
      </c>
      <c r="F1884" s="8" t="str">
        <f>[1]Data!F1884</f>
        <v>Venice</v>
      </c>
      <c r="G1884" s="8">
        <f>[1]Data!G1884</f>
        <v>1</v>
      </c>
      <c r="H1884" s="8">
        <f>[1]Data!H1884</f>
        <v>1</v>
      </c>
      <c r="I1884" s="8">
        <f>[1]Data!I1884</f>
        <v>25.228000000000002</v>
      </c>
      <c r="J1884" s="8">
        <f>[1]Data!J1884</f>
        <v>18.33359166</v>
      </c>
      <c r="K1884" s="8">
        <f>[1]Data!K1884</f>
        <v>24.33359166</v>
      </c>
      <c r="L1884" s="8">
        <f>[1]Data!L1884</f>
        <v>0.89460346725314199</v>
      </c>
      <c r="M1884" s="8">
        <f>[1]Data!M1884</f>
        <v>25.228195127253102</v>
      </c>
      <c r="N1884" s="8">
        <f>[1]Data!N1884</f>
        <v>1</v>
      </c>
      <c r="O1884" s="8">
        <f>[1]Data!O1884</f>
        <v>1</v>
      </c>
      <c r="P1884" s="8">
        <f>[1]Data!P1884</f>
        <v>0</v>
      </c>
      <c r="Q1884" s="8">
        <f>[1]Data!Q1884</f>
        <v>0</v>
      </c>
      <c r="R1884" s="8">
        <f>[1]Data!R1884</f>
        <v>0</v>
      </c>
      <c r="S1884" s="8">
        <f>[1]Data!S1884</f>
        <v>0</v>
      </c>
      <c r="T1884">
        <f t="shared" si="145"/>
        <v>1</v>
      </c>
      <c r="U1884">
        <f t="shared" si="146"/>
        <v>1</v>
      </c>
      <c r="V1884" s="4" t="str">
        <f t="shared" si="147"/>
        <v>11</v>
      </c>
      <c r="W1884" s="4" t="str">
        <f t="shared" si="148"/>
        <v>10</v>
      </c>
      <c r="X1884" s="4" t="str">
        <f t="shared" si="149"/>
        <v>11VENICE10</v>
      </c>
      <c r="Y1884">
        <f>VLOOKUP(X1884,Sheet1!$J$5:$K$121,2,FALSE)</f>
        <v>0</v>
      </c>
    </row>
    <row r="1885" spans="1:25" x14ac:dyDescent="0.25">
      <c r="A1885" s="8">
        <f>[1]Data!A1885</f>
        <v>113237</v>
      </c>
      <c r="B1885" s="8">
        <f>[1]Data!B1885</f>
        <v>2</v>
      </c>
      <c r="C1885" s="8">
        <f>[1]Data!C1885</f>
        <v>12</v>
      </c>
      <c r="D1885" s="8">
        <f>[1]Data!D1885</f>
        <v>5</v>
      </c>
      <c r="E1885" s="8" t="str">
        <f>[1]Data!E1885</f>
        <v>CVCTE</v>
      </c>
      <c r="F1885" s="8" t="str">
        <f>[1]Data!F1885</f>
        <v>Chatsworth</v>
      </c>
      <c r="G1885" s="8">
        <f>[1]Data!G1885</f>
        <v>0</v>
      </c>
      <c r="H1885" s="8">
        <f>[1]Data!H1885</f>
        <v>1</v>
      </c>
      <c r="I1885" s="8">
        <f>[1]Data!I1885</f>
        <v>46.734000000000002</v>
      </c>
      <c r="J1885" s="8">
        <f>[1]Data!J1885</f>
        <v>44.506610479999999</v>
      </c>
      <c r="K1885" s="8">
        <f>[1]Data!K1885</f>
        <v>44.506610479999999</v>
      </c>
      <c r="L1885" s="8">
        <f>[1]Data!L1885</f>
        <v>2.2279237123877902</v>
      </c>
      <c r="M1885" s="8">
        <f>[1]Data!M1885</f>
        <v>46.734534192387798</v>
      </c>
      <c r="N1885" s="8">
        <f>[1]Data!N1885</f>
        <v>0.17910447761194001</v>
      </c>
      <c r="O1885" s="8">
        <f>[1]Data!O1885</f>
        <v>0</v>
      </c>
      <c r="P1885" s="8">
        <f>[1]Data!P1885</f>
        <v>0.104477611940299</v>
      </c>
      <c r="Q1885" s="8">
        <f>[1]Data!Q1885</f>
        <v>1</v>
      </c>
      <c r="R1885" s="8">
        <f>[1]Data!R1885</f>
        <v>1</v>
      </c>
      <c r="S1885" s="8">
        <f>[1]Data!S1885</f>
        <v>1</v>
      </c>
      <c r="T1885">
        <f t="shared" si="145"/>
        <v>1</v>
      </c>
      <c r="U1885">
        <f t="shared" si="146"/>
        <v>1</v>
      </c>
      <c r="V1885" s="4" t="str">
        <f t="shared" si="147"/>
        <v>12</v>
      </c>
      <c r="W1885" s="4" t="str">
        <f t="shared" si="148"/>
        <v>2</v>
      </c>
      <c r="X1885" s="4" t="str">
        <f t="shared" si="149"/>
        <v>12CVCTE2</v>
      </c>
      <c r="Y1885">
        <f>VLOOKUP(X1885,Sheet1!$J$5:$K$121,2,FALSE)</f>
        <v>1</v>
      </c>
    </row>
    <row r="1886" spans="1:25" x14ac:dyDescent="0.25">
      <c r="A1886" s="8">
        <f>[1]Data!A1886</f>
        <v>113213</v>
      </c>
      <c r="B1886" s="8">
        <f>[1]Data!B1886</f>
        <v>2</v>
      </c>
      <c r="C1886" s="8">
        <f>[1]Data!C1886</f>
        <v>12</v>
      </c>
      <c r="D1886" s="8">
        <f>[1]Data!D1886</f>
        <v>5</v>
      </c>
      <c r="E1886" s="8" t="str">
        <f>[1]Data!E1886</f>
        <v>CVCTE</v>
      </c>
      <c r="F1886" s="8" t="str">
        <f>[1]Data!F1886</f>
        <v>Chatsworth</v>
      </c>
      <c r="G1886" s="8">
        <f>[1]Data!G1886</f>
        <v>0</v>
      </c>
      <c r="H1886" s="8">
        <f>[1]Data!H1886</f>
        <v>1</v>
      </c>
      <c r="I1886" s="8">
        <f>[1]Data!I1886</f>
        <v>13.368</v>
      </c>
      <c r="J1886" s="8">
        <f>[1]Data!J1886</f>
        <v>12.54632395</v>
      </c>
      <c r="K1886" s="8">
        <f>[1]Data!K1886</f>
        <v>12.54632395</v>
      </c>
      <c r="L1886" s="8">
        <f>[1]Data!L1886</f>
        <v>0.82257992809694802</v>
      </c>
      <c r="M1886" s="8">
        <f>[1]Data!M1886</f>
        <v>13.3689038780969</v>
      </c>
      <c r="N1886" s="8">
        <f>[1]Data!N1886</f>
        <v>0.17910447761194001</v>
      </c>
      <c r="O1886" s="8">
        <f>[1]Data!O1886</f>
        <v>0</v>
      </c>
      <c r="P1886" s="8">
        <f>[1]Data!P1886</f>
        <v>0.104477611940299</v>
      </c>
      <c r="Q1886" s="8">
        <f>[1]Data!Q1886</f>
        <v>1</v>
      </c>
      <c r="R1886" s="8">
        <f>[1]Data!R1886</f>
        <v>1</v>
      </c>
      <c r="S1886" s="8">
        <f>[1]Data!S1886</f>
        <v>1</v>
      </c>
      <c r="T1886">
        <f t="shared" si="145"/>
        <v>1</v>
      </c>
      <c r="U1886">
        <f t="shared" si="146"/>
        <v>1</v>
      </c>
      <c r="V1886" s="4" t="str">
        <f t="shared" si="147"/>
        <v>12</v>
      </c>
      <c r="W1886" s="4" t="str">
        <f t="shared" si="148"/>
        <v>2</v>
      </c>
      <c r="X1886" s="4" t="str">
        <f t="shared" si="149"/>
        <v>12CVCTE2</v>
      </c>
      <c r="Y1886">
        <f>VLOOKUP(X1886,Sheet1!$J$5:$K$121,2,FALSE)</f>
        <v>1</v>
      </c>
    </row>
    <row r="1887" spans="1:25" x14ac:dyDescent="0.25">
      <c r="A1887" s="8">
        <f>[1]Data!A1887</f>
        <v>113102</v>
      </c>
      <c r="B1887" s="8">
        <f>[1]Data!B1887</f>
        <v>2</v>
      </c>
      <c r="C1887" s="8">
        <f>[1]Data!C1887</f>
        <v>12</v>
      </c>
      <c r="D1887" s="8">
        <f>[1]Data!D1887</f>
        <v>5</v>
      </c>
      <c r="E1887" s="8" t="str">
        <f>[1]Data!E1887</f>
        <v>CVCTE</v>
      </c>
      <c r="F1887" s="8" t="str">
        <f>[1]Data!F1887</f>
        <v>Chatsworth</v>
      </c>
      <c r="G1887" s="8">
        <f>[1]Data!G1887</f>
        <v>0</v>
      </c>
      <c r="H1887" s="8">
        <f>[1]Data!H1887</f>
        <v>1</v>
      </c>
      <c r="I1887" s="8">
        <f>[1]Data!I1887</f>
        <v>14.664</v>
      </c>
      <c r="J1887" s="8">
        <f>[1]Data!J1887</f>
        <v>13.88589762</v>
      </c>
      <c r="K1887" s="8">
        <f>[1]Data!K1887</f>
        <v>13.88589762</v>
      </c>
      <c r="L1887" s="8">
        <f>[1]Data!L1887</f>
        <v>0.77820820967684001</v>
      </c>
      <c r="M1887" s="8">
        <f>[1]Data!M1887</f>
        <v>14.664105829676799</v>
      </c>
      <c r="N1887" s="8">
        <f>[1]Data!N1887</f>
        <v>0.17910447761194001</v>
      </c>
      <c r="O1887" s="8">
        <f>[1]Data!O1887</f>
        <v>0</v>
      </c>
      <c r="P1887" s="8">
        <f>[1]Data!P1887</f>
        <v>0.104477611940299</v>
      </c>
      <c r="Q1887" s="8">
        <f>[1]Data!Q1887</f>
        <v>1</v>
      </c>
      <c r="R1887" s="8">
        <f>[1]Data!R1887</f>
        <v>1</v>
      </c>
      <c r="S1887" s="8">
        <f>[1]Data!S1887</f>
        <v>1</v>
      </c>
      <c r="T1887">
        <f t="shared" si="145"/>
        <v>1</v>
      </c>
      <c r="U1887">
        <f t="shared" si="146"/>
        <v>1</v>
      </c>
      <c r="V1887" s="4" t="str">
        <f t="shared" si="147"/>
        <v>12</v>
      </c>
      <c r="W1887" s="4" t="str">
        <f t="shared" si="148"/>
        <v>2</v>
      </c>
      <c r="X1887" s="4" t="str">
        <f t="shared" si="149"/>
        <v>12CVCTE2</v>
      </c>
      <c r="Y1887">
        <f>VLOOKUP(X1887,Sheet1!$J$5:$K$121,2,FALSE)</f>
        <v>1</v>
      </c>
    </row>
    <row r="1888" spans="1:25" x14ac:dyDescent="0.25">
      <c r="A1888" s="8">
        <f>[1]Data!A1888</f>
        <v>117202</v>
      </c>
      <c r="B1888" s="8">
        <f>[1]Data!B1888</f>
        <v>2</v>
      </c>
      <c r="C1888" s="8">
        <f>[1]Data!C1888</f>
        <v>12</v>
      </c>
      <c r="D1888" s="8">
        <f>[1]Data!D1888</f>
        <v>3</v>
      </c>
      <c r="E1888" s="8" t="str">
        <f>[1]Data!E1888</f>
        <v>CVCTE</v>
      </c>
      <c r="F1888" s="8" t="str">
        <f>[1]Data!F1888</f>
        <v>North Hills</v>
      </c>
      <c r="G1888" s="8">
        <f>[1]Data!G1888</f>
        <v>0</v>
      </c>
      <c r="H1888" s="8">
        <f>[1]Data!H1888</f>
        <v>1</v>
      </c>
      <c r="I1888" s="8">
        <f>[1]Data!I1888</f>
        <v>5</v>
      </c>
      <c r="J1888" s="8">
        <f>[1]Data!J1888</f>
        <v>0</v>
      </c>
      <c r="K1888" s="8">
        <f>[1]Data!K1888</f>
        <v>5</v>
      </c>
      <c r="L1888" s="8">
        <f>[1]Data!L1888</f>
        <v>0</v>
      </c>
      <c r="M1888" s="8">
        <f>[1]Data!M1888</f>
        <v>5</v>
      </c>
      <c r="N1888" s="8">
        <f>[1]Data!N1888</f>
        <v>0.17910447761194001</v>
      </c>
      <c r="O1888" s="8">
        <f>[1]Data!O1888</f>
        <v>0</v>
      </c>
      <c r="P1888" s="8">
        <f>[1]Data!P1888</f>
        <v>0.104477611940299</v>
      </c>
      <c r="Q1888" s="8">
        <f>[1]Data!Q1888</f>
        <v>1</v>
      </c>
      <c r="R1888" s="8">
        <f>[1]Data!R1888</f>
        <v>1</v>
      </c>
      <c r="S1888" s="8">
        <f>[1]Data!S1888</f>
        <v>1</v>
      </c>
      <c r="T1888">
        <f t="shared" si="145"/>
        <v>1</v>
      </c>
      <c r="U1888">
        <f t="shared" si="146"/>
        <v>1</v>
      </c>
      <c r="V1888" s="4" t="str">
        <f t="shared" si="147"/>
        <v>12</v>
      </c>
      <c r="W1888" s="4" t="str">
        <f t="shared" si="148"/>
        <v>2</v>
      </c>
      <c r="X1888" s="4" t="str">
        <f t="shared" si="149"/>
        <v>12CVCTE2</v>
      </c>
      <c r="Y1888">
        <f>VLOOKUP(X1888,Sheet1!$J$5:$K$121,2,FALSE)</f>
        <v>1</v>
      </c>
    </row>
    <row r="1889" spans="1:25" x14ac:dyDescent="0.25">
      <c r="A1889" s="8">
        <f>[1]Data!A1889</f>
        <v>113321</v>
      </c>
      <c r="B1889" s="8">
        <f>[1]Data!B1889</f>
        <v>2</v>
      </c>
      <c r="C1889" s="8">
        <f>[1]Data!C1889</f>
        <v>12</v>
      </c>
      <c r="D1889" s="8">
        <f>[1]Data!D1889</f>
        <v>5</v>
      </c>
      <c r="E1889" s="8" t="str">
        <f>[1]Data!E1889</f>
        <v>CVCTE</v>
      </c>
      <c r="F1889" s="8" t="str">
        <f>[1]Data!F1889</f>
        <v>Chatsworth</v>
      </c>
      <c r="G1889" s="8">
        <f>[1]Data!G1889</f>
        <v>0</v>
      </c>
      <c r="H1889" s="8">
        <f>[1]Data!H1889</f>
        <v>1</v>
      </c>
      <c r="I1889" s="8">
        <f>[1]Data!I1889</f>
        <v>14.16</v>
      </c>
      <c r="J1889" s="8">
        <f>[1]Data!J1889</f>
        <v>13.341394530000001</v>
      </c>
      <c r="K1889" s="8">
        <f>[1]Data!K1889</f>
        <v>13.341394530000001</v>
      </c>
      <c r="L1889" s="8">
        <f>[1]Data!L1889</f>
        <v>0.81848761443447005</v>
      </c>
      <c r="M1889" s="8">
        <f>[1]Data!M1889</f>
        <v>14.1598821444345</v>
      </c>
      <c r="N1889" s="8">
        <f>[1]Data!N1889</f>
        <v>0.17910447761194001</v>
      </c>
      <c r="O1889" s="8">
        <f>[1]Data!O1889</f>
        <v>0</v>
      </c>
      <c r="P1889" s="8">
        <f>[1]Data!P1889</f>
        <v>0.104477611940299</v>
      </c>
      <c r="Q1889" s="8">
        <f>[1]Data!Q1889</f>
        <v>1</v>
      </c>
      <c r="R1889" s="8">
        <f>[1]Data!R1889</f>
        <v>1</v>
      </c>
      <c r="S1889" s="8">
        <f>[1]Data!S1889</f>
        <v>1</v>
      </c>
      <c r="T1889">
        <f t="shared" si="145"/>
        <v>1</v>
      </c>
      <c r="U1889">
        <f t="shared" si="146"/>
        <v>1</v>
      </c>
      <c r="V1889" s="4" t="str">
        <f t="shared" si="147"/>
        <v>12</v>
      </c>
      <c r="W1889" s="4" t="str">
        <f t="shared" si="148"/>
        <v>2</v>
      </c>
      <c r="X1889" s="4" t="str">
        <f t="shared" si="149"/>
        <v>12CVCTE2</v>
      </c>
      <c r="Y1889">
        <f>VLOOKUP(X1889,Sheet1!$J$5:$K$121,2,FALSE)</f>
        <v>1</v>
      </c>
    </row>
    <row r="1890" spans="1:25" x14ac:dyDescent="0.25">
      <c r="A1890" s="8">
        <f>[1]Data!A1890</f>
        <v>135201</v>
      </c>
      <c r="B1890" s="8">
        <f>[1]Data!B1890</f>
        <v>2</v>
      </c>
      <c r="C1890" s="8">
        <f>[1]Data!C1890</f>
        <v>12</v>
      </c>
      <c r="D1890" s="8">
        <f>[1]Data!D1890</f>
        <v>3</v>
      </c>
      <c r="E1890" s="8" t="str">
        <f>[1]Data!E1890</f>
        <v>CVCTE</v>
      </c>
      <c r="F1890" s="8" t="str">
        <f>[1]Data!F1890</f>
        <v>West Hills</v>
      </c>
      <c r="G1890" s="8">
        <f>[1]Data!G1890</f>
        <v>0</v>
      </c>
      <c r="H1890" s="8">
        <f>[1]Data!H1890</f>
        <v>1</v>
      </c>
      <c r="I1890" s="8">
        <f>[1]Data!I1890</f>
        <v>21.51</v>
      </c>
      <c r="J1890" s="8">
        <f>[1]Data!J1890</f>
        <v>20.445670979999999</v>
      </c>
      <c r="K1890" s="8">
        <f>[1]Data!K1890</f>
        <v>20.445670979999999</v>
      </c>
      <c r="L1890" s="8">
        <f>[1]Data!L1890</f>
        <v>1.06406946737882</v>
      </c>
      <c r="M1890" s="8">
        <f>[1]Data!M1890</f>
        <v>21.5097404473788</v>
      </c>
      <c r="N1890" s="8">
        <f>[1]Data!N1890</f>
        <v>0.17910447761194001</v>
      </c>
      <c r="O1890" s="8">
        <f>[1]Data!O1890</f>
        <v>0</v>
      </c>
      <c r="P1890" s="8">
        <f>[1]Data!P1890</f>
        <v>0.104477611940299</v>
      </c>
      <c r="Q1890" s="8">
        <f>[1]Data!Q1890</f>
        <v>1</v>
      </c>
      <c r="R1890" s="8">
        <f>[1]Data!R1890</f>
        <v>1</v>
      </c>
      <c r="S1890" s="8">
        <f>[1]Data!S1890</f>
        <v>1</v>
      </c>
      <c r="T1890">
        <f t="shared" si="145"/>
        <v>1</v>
      </c>
      <c r="U1890">
        <f t="shared" si="146"/>
        <v>1</v>
      </c>
      <c r="V1890" s="4" t="str">
        <f t="shared" si="147"/>
        <v>12</v>
      </c>
      <c r="W1890" s="4" t="str">
        <f t="shared" si="148"/>
        <v>2</v>
      </c>
      <c r="X1890" s="4" t="str">
        <f t="shared" si="149"/>
        <v>12CVCTE2</v>
      </c>
      <c r="Y1890">
        <f>VLOOKUP(X1890,Sheet1!$J$5:$K$121,2,FALSE)</f>
        <v>1</v>
      </c>
    </row>
    <row r="1891" spans="1:25" x14ac:dyDescent="0.25">
      <c r="A1891" s="8">
        <f>[1]Data!A1891</f>
        <v>113301</v>
      </c>
      <c r="B1891" s="8">
        <f>[1]Data!B1891</f>
        <v>2</v>
      </c>
      <c r="C1891" s="8">
        <f>[1]Data!C1891</f>
        <v>12</v>
      </c>
      <c r="D1891" s="8">
        <f>[1]Data!D1891</f>
        <v>5</v>
      </c>
      <c r="E1891" s="8" t="str">
        <f>[1]Data!E1891</f>
        <v>CVCTE</v>
      </c>
      <c r="F1891" s="8" t="str">
        <f>[1]Data!F1891</f>
        <v>Northridge</v>
      </c>
      <c r="G1891" s="8">
        <f>[1]Data!G1891</f>
        <v>0</v>
      </c>
      <c r="H1891" s="8">
        <f>[1]Data!H1891</f>
        <v>1</v>
      </c>
      <c r="I1891" s="8">
        <f>[1]Data!I1891</f>
        <v>14.791</v>
      </c>
      <c r="J1891" s="8">
        <f>[1]Data!J1891</f>
        <v>13.906700799999999</v>
      </c>
      <c r="K1891" s="8">
        <f>[1]Data!K1891</f>
        <v>13.906700799999999</v>
      </c>
      <c r="L1891" s="8">
        <f>[1]Data!L1891</f>
        <v>0.88348465493716299</v>
      </c>
      <c r="M1891" s="8">
        <f>[1]Data!M1891</f>
        <v>14.7901854549372</v>
      </c>
      <c r="N1891" s="8">
        <f>[1]Data!N1891</f>
        <v>0.17910447761194001</v>
      </c>
      <c r="O1891" s="8">
        <f>[1]Data!O1891</f>
        <v>0</v>
      </c>
      <c r="P1891" s="8">
        <f>[1]Data!P1891</f>
        <v>0.104477611940299</v>
      </c>
      <c r="Q1891" s="8">
        <f>[1]Data!Q1891</f>
        <v>1</v>
      </c>
      <c r="R1891" s="8">
        <f>[1]Data!R1891</f>
        <v>1</v>
      </c>
      <c r="S1891" s="8">
        <f>[1]Data!S1891</f>
        <v>1</v>
      </c>
      <c r="T1891">
        <f t="shared" si="145"/>
        <v>1</v>
      </c>
      <c r="U1891">
        <f t="shared" si="146"/>
        <v>1</v>
      </c>
      <c r="V1891" s="4" t="str">
        <f t="shared" si="147"/>
        <v>12</v>
      </c>
      <c r="W1891" s="4" t="str">
        <f t="shared" si="148"/>
        <v>2</v>
      </c>
      <c r="X1891" s="4" t="str">
        <f t="shared" si="149"/>
        <v>12CVCTE2</v>
      </c>
      <c r="Y1891">
        <f>VLOOKUP(X1891,Sheet1!$J$5:$K$121,2,FALSE)</f>
        <v>1</v>
      </c>
    </row>
    <row r="1892" spans="1:25" x14ac:dyDescent="0.25">
      <c r="A1892" s="8">
        <f>[1]Data!A1892</f>
        <v>115202</v>
      </c>
      <c r="B1892" s="8">
        <f>[1]Data!B1892</f>
        <v>2</v>
      </c>
      <c r="C1892" s="8">
        <f>[1]Data!C1892</f>
        <v>12</v>
      </c>
      <c r="D1892" s="8">
        <f>[1]Data!D1892</f>
        <v>3</v>
      </c>
      <c r="E1892" s="8" t="str">
        <f>[1]Data!E1892</f>
        <v>CVCTE</v>
      </c>
      <c r="F1892" s="8" t="str">
        <f>[1]Data!F1892</f>
        <v>Northridge</v>
      </c>
      <c r="G1892" s="8">
        <f>[1]Data!G1892</f>
        <v>0</v>
      </c>
      <c r="H1892" s="8">
        <f>[1]Data!H1892</f>
        <v>1</v>
      </c>
      <c r="I1892" s="8">
        <f>[1]Data!I1892</f>
        <v>25.673999999999999</v>
      </c>
      <c r="J1892" s="8">
        <f>[1]Data!J1892</f>
        <v>21.747852630000001</v>
      </c>
      <c r="K1892" s="8">
        <f>[1]Data!K1892</f>
        <v>24.747852630000001</v>
      </c>
      <c r="L1892" s="8">
        <f>[1]Data!L1892</f>
        <v>0.92594727323159798</v>
      </c>
      <c r="M1892" s="8">
        <f>[1]Data!M1892</f>
        <v>25.6737999032316</v>
      </c>
      <c r="N1892" s="8">
        <f>[1]Data!N1892</f>
        <v>0.17910447761194001</v>
      </c>
      <c r="O1892" s="8">
        <f>[1]Data!O1892</f>
        <v>0</v>
      </c>
      <c r="P1892" s="8">
        <f>[1]Data!P1892</f>
        <v>0.104477611940299</v>
      </c>
      <c r="Q1892" s="8">
        <f>[1]Data!Q1892</f>
        <v>1</v>
      </c>
      <c r="R1892" s="8">
        <f>[1]Data!R1892</f>
        <v>1</v>
      </c>
      <c r="S1892" s="8">
        <f>[1]Data!S1892</f>
        <v>1</v>
      </c>
      <c r="T1892">
        <f t="shared" si="145"/>
        <v>1</v>
      </c>
      <c r="U1892">
        <f t="shared" si="146"/>
        <v>1</v>
      </c>
      <c r="V1892" s="4" t="str">
        <f t="shared" si="147"/>
        <v>12</v>
      </c>
      <c r="W1892" s="4" t="str">
        <f t="shared" si="148"/>
        <v>2</v>
      </c>
      <c r="X1892" s="4" t="str">
        <f t="shared" si="149"/>
        <v>12CVCTE2</v>
      </c>
      <c r="Y1892">
        <f>VLOOKUP(X1892,Sheet1!$J$5:$K$121,2,FALSE)</f>
        <v>1</v>
      </c>
    </row>
    <row r="1893" spans="1:25" x14ac:dyDescent="0.25">
      <c r="A1893" s="8">
        <f>[1]Data!A1893</f>
        <v>134422</v>
      </c>
      <c r="B1893" s="8">
        <f>[1]Data!B1893</f>
        <v>2</v>
      </c>
      <c r="C1893" s="8">
        <f>[1]Data!C1893</f>
        <v>12</v>
      </c>
      <c r="D1893" s="8">
        <f>[1]Data!D1893</f>
        <v>3</v>
      </c>
      <c r="E1893" s="8" t="str">
        <f>[1]Data!E1893</f>
        <v>CVCTE</v>
      </c>
      <c r="F1893" s="8" t="str">
        <f>[1]Data!F1893</f>
        <v>West Hills</v>
      </c>
      <c r="G1893" s="8">
        <f>[1]Data!G1893</f>
        <v>0</v>
      </c>
      <c r="H1893" s="8">
        <f>[1]Data!H1893</f>
        <v>1</v>
      </c>
      <c r="I1893" s="8">
        <f>[1]Data!I1893</f>
        <v>25.53</v>
      </c>
      <c r="J1893" s="8">
        <f>[1]Data!J1893</f>
        <v>24.334250579999999</v>
      </c>
      <c r="K1893" s="8">
        <f>[1]Data!K1893</f>
        <v>24.334250579999999</v>
      </c>
      <c r="L1893" s="8">
        <f>[1]Data!L1893</f>
        <v>1.19586739084381</v>
      </c>
      <c r="M1893" s="8">
        <f>[1]Data!M1893</f>
        <v>25.530117970843801</v>
      </c>
      <c r="N1893" s="8">
        <f>[1]Data!N1893</f>
        <v>0.17910447761194001</v>
      </c>
      <c r="O1893" s="8">
        <f>[1]Data!O1893</f>
        <v>0</v>
      </c>
      <c r="P1893" s="8">
        <f>[1]Data!P1893</f>
        <v>0.104477611940299</v>
      </c>
      <c r="Q1893" s="8">
        <f>[1]Data!Q1893</f>
        <v>1</v>
      </c>
      <c r="R1893" s="8">
        <f>[1]Data!R1893</f>
        <v>1</v>
      </c>
      <c r="S1893" s="8">
        <f>[1]Data!S1893</f>
        <v>1</v>
      </c>
      <c r="T1893">
        <f t="shared" si="145"/>
        <v>1</v>
      </c>
      <c r="U1893">
        <f t="shared" si="146"/>
        <v>1</v>
      </c>
      <c r="V1893" s="4" t="str">
        <f t="shared" si="147"/>
        <v>12</v>
      </c>
      <c r="W1893" s="4" t="str">
        <f t="shared" si="148"/>
        <v>2</v>
      </c>
      <c r="X1893" s="4" t="str">
        <f t="shared" si="149"/>
        <v>12CVCTE2</v>
      </c>
      <c r="Y1893">
        <f>VLOOKUP(X1893,Sheet1!$J$5:$K$121,2,FALSE)</f>
        <v>1</v>
      </c>
    </row>
    <row r="1894" spans="1:25" x14ac:dyDescent="0.25">
      <c r="A1894" s="8">
        <f>[1]Data!A1894</f>
        <v>117404</v>
      </c>
      <c r="B1894" s="8">
        <f>[1]Data!B1894</f>
        <v>2</v>
      </c>
      <c r="C1894" s="8">
        <f>[1]Data!C1894</f>
        <v>12</v>
      </c>
      <c r="D1894" s="8">
        <f>[1]Data!D1894</f>
        <v>3</v>
      </c>
      <c r="E1894" s="8" t="str">
        <f>[1]Data!E1894</f>
        <v>CVCTE</v>
      </c>
      <c r="F1894" s="8" t="str">
        <f>[1]Data!F1894</f>
        <v>North Hills</v>
      </c>
      <c r="G1894" s="8">
        <f>[1]Data!G1894</f>
        <v>0</v>
      </c>
      <c r="H1894" s="8">
        <f>[1]Data!H1894</f>
        <v>1</v>
      </c>
      <c r="I1894" s="8">
        <f>[1]Data!I1894</f>
        <v>34.101999999999997</v>
      </c>
      <c r="J1894" s="8">
        <f>[1]Data!J1894</f>
        <v>19.442898</v>
      </c>
      <c r="K1894" s="8">
        <f>[1]Data!K1894</f>
        <v>33.442898</v>
      </c>
      <c r="L1894" s="8">
        <f>[1]Data!L1894</f>
        <v>0.65898961732495498</v>
      </c>
      <c r="M1894" s="8">
        <f>[1]Data!M1894</f>
        <v>34.101887617324998</v>
      </c>
      <c r="N1894" s="8">
        <f>[1]Data!N1894</f>
        <v>0.17910447761194001</v>
      </c>
      <c r="O1894" s="8">
        <f>[1]Data!O1894</f>
        <v>0</v>
      </c>
      <c r="P1894" s="8">
        <f>[1]Data!P1894</f>
        <v>0.104477611940299</v>
      </c>
      <c r="Q1894" s="8">
        <f>[1]Data!Q1894</f>
        <v>1</v>
      </c>
      <c r="R1894" s="8">
        <f>[1]Data!R1894</f>
        <v>1</v>
      </c>
      <c r="S1894" s="8">
        <f>[1]Data!S1894</f>
        <v>1</v>
      </c>
      <c r="T1894">
        <f t="shared" si="145"/>
        <v>1</v>
      </c>
      <c r="U1894">
        <f t="shared" si="146"/>
        <v>1</v>
      </c>
      <c r="V1894" s="4" t="str">
        <f t="shared" si="147"/>
        <v>12</v>
      </c>
      <c r="W1894" s="4" t="str">
        <f t="shared" si="148"/>
        <v>2</v>
      </c>
      <c r="X1894" s="4" t="str">
        <f t="shared" si="149"/>
        <v>12CVCTE2</v>
      </c>
      <c r="Y1894">
        <f>VLOOKUP(X1894,Sheet1!$J$5:$K$121,2,FALSE)</f>
        <v>1</v>
      </c>
    </row>
    <row r="1895" spans="1:25" x14ac:dyDescent="0.25">
      <c r="A1895" s="8">
        <f>[1]Data!A1895</f>
        <v>115302</v>
      </c>
      <c r="B1895" s="8">
        <f>[1]Data!B1895</f>
        <v>2</v>
      </c>
      <c r="C1895" s="8">
        <f>[1]Data!C1895</f>
        <v>12</v>
      </c>
      <c r="D1895" s="8">
        <f>[1]Data!D1895</f>
        <v>3</v>
      </c>
      <c r="E1895" s="8" t="str">
        <f>[1]Data!E1895</f>
        <v>CVCTE</v>
      </c>
      <c r="F1895" s="8" t="str">
        <f>[1]Data!F1895</f>
        <v>Northridge</v>
      </c>
      <c r="G1895" s="8">
        <f>[1]Data!G1895</f>
        <v>0</v>
      </c>
      <c r="H1895" s="8">
        <f>[1]Data!H1895</f>
        <v>1</v>
      </c>
      <c r="I1895" s="8">
        <f>[1]Data!I1895</f>
        <v>16.898</v>
      </c>
      <c r="J1895" s="8">
        <f>[1]Data!J1895</f>
        <v>15.117894809999999</v>
      </c>
      <c r="K1895" s="8">
        <f>[1]Data!K1895</f>
        <v>16.117894809999999</v>
      </c>
      <c r="L1895" s="8">
        <f>[1]Data!L1895</f>
        <v>0.78081953777378799</v>
      </c>
      <c r="M1895" s="8">
        <f>[1]Data!M1895</f>
        <v>16.898714347773801</v>
      </c>
      <c r="N1895" s="8">
        <f>[1]Data!N1895</f>
        <v>0.17910447761194001</v>
      </c>
      <c r="O1895" s="8">
        <f>[1]Data!O1895</f>
        <v>0</v>
      </c>
      <c r="P1895" s="8">
        <f>[1]Data!P1895</f>
        <v>0.104477611940299</v>
      </c>
      <c r="Q1895" s="8">
        <f>[1]Data!Q1895</f>
        <v>1</v>
      </c>
      <c r="R1895" s="8">
        <f>[1]Data!R1895</f>
        <v>1</v>
      </c>
      <c r="S1895" s="8">
        <f>[1]Data!S1895</f>
        <v>1</v>
      </c>
      <c r="T1895">
        <f t="shared" si="145"/>
        <v>1</v>
      </c>
      <c r="U1895">
        <f t="shared" si="146"/>
        <v>1</v>
      </c>
      <c r="V1895" s="4" t="str">
        <f t="shared" si="147"/>
        <v>12</v>
      </c>
      <c r="W1895" s="4" t="str">
        <f t="shared" si="148"/>
        <v>2</v>
      </c>
      <c r="X1895" s="4" t="str">
        <f t="shared" si="149"/>
        <v>12CVCTE2</v>
      </c>
      <c r="Y1895">
        <f>VLOOKUP(X1895,Sheet1!$J$5:$K$121,2,FALSE)</f>
        <v>1</v>
      </c>
    </row>
    <row r="1896" spans="1:25" x14ac:dyDescent="0.25">
      <c r="A1896" s="8">
        <f>[1]Data!A1896</f>
        <v>117303</v>
      </c>
      <c r="B1896" s="8">
        <f>[1]Data!B1896</f>
        <v>2</v>
      </c>
      <c r="C1896" s="8">
        <f>[1]Data!C1896</f>
        <v>12</v>
      </c>
      <c r="D1896" s="8">
        <f>[1]Data!D1896</f>
        <v>3</v>
      </c>
      <c r="E1896" s="8" t="str">
        <f>[1]Data!E1896</f>
        <v>CVCTE</v>
      </c>
      <c r="F1896" s="8" t="str">
        <f>[1]Data!F1896</f>
        <v>North Hills</v>
      </c>
      <c r="G1896" s="8">
        <f>[1]Data!G1896</f>
        <v>0</v>
      </c>
      <c r="H1896" s="8">
        <f>[1]Data!H1896</f>
        <v>1</v>
      </c>
      <c r="I1896" s="8">
        <f>[1]Data!I1896</f>
        <v>49.22</v>
      </c>
      <c r="J1896" s="8">
        <f>[1]Data!J1896</f>
        <v>37.457708519999997</v>
      </c>
      <c r="K1896" s="8">
        <f>[1]Data!K1896</f>
        <v>47.457708519999997</v>
      </c>
      <c r="L1896" s="8">
        <f>[1]Data!L1896</f>
        <v>1.7622421535547601</v>
      </c>
      <c r="M1896" s="8">
        <f>[1]Data!M1896</f>
        <v>49.219950673554798</v>
      </c>
      <c r="N1896" s="8">
        <f>[1]Data!N1896</f>
        <v>0.17910447761194001</v>
      </c>
      <c r="O1896" s="8">
        <f>[1]Data!O1896</f>
        <v>0</v>
      </c>
      <c r="P1896" s="8">
        <f>[1]Data!P1896</f>
        <v>0.104477611940299</v>
      </c>
      <c r="Q1896" s="8">
        <f>[1]Data!Q1896</f>
        <v>1</v>
      </c>
      <c r="R1896" s="8">
        <f>[1]Data!R1896</f>
        <v>1</v>
      </c>
      <c r="S1896" s="8">
        <f>[1]Data!S1896</f>
        <v>1</v>
      </c>
      <c r="T1896">
        <f t="shared" si="145"/>
        <v>1</v>
      </c>
      <c r="U1896">
        <f t="shared" si="146"/>
        <v>1</v>
      </c>
      <c r="V1896" s="4" t="str">
        <f t="shared" si="147"/>
        <v>12</v>
      </c>
      <c r="W1896" s="4" t="str">
        <f t="shared" si="148"/>
        <v>2</v>
      </c>
      <c r="X1896" s="4" t="str">
        <f t="shared" si="149"/>
        <v>12CVCTE2</v>
      </c>
      <c r="Y1896">
        <f>VLOOKUP(X1896,Sheet1!$J$5:$K$121,2,FALSE)</f>
        <v>1</v>
      </c>
    </row>
    <row r="1897" spans="1:25" x14ac:dyDescent="0.25">
      <c r="A1897" s="8">
        <f>[1]Data!A1897</f>
        <v>115104</v>
      </c>
      <c r="B1897" s="8">
        <f>[1]Data!B1897</f>
        <v>2</v>
      </c>
      <c r="C1897" s="8">
        <f>[1]Data!C1897</f>
        <v>12</v>
      </c>
      <c r="D1897" s="8">
        <f>[1]Data!D1897</f>
        <v>3</v>
      </c>
      <c r="E1897" s="8" t="str">
        <f>[1]Data!E1897</f>
        <v>CVCTE</v>
      </c>
      <c r="F1897" s="8" t="str">
        <f>[1]Data!F1897</f>
        <v>Northridge</v>
      </c>
      <c r="G1897" s="8">
        <f>[1]Data!G1897</f>
        <v>0</v>
      </c>
      <c r="H1897" s="8">
        <f>[1]Data!H1897</f>
        <v>1</v>
      </c>
      <c r="I1897" s="8">
        <f>[1]Data!I1897</f>
        <v>12.361000000000001</v>
      </c>
      <c r="J1897" s="8">
        <f>[1]Data!J1897</f>
        <v>11.45731777</v>
      </c>
      <c r="K1897" s="8">
        <f>[1]Data!K1897</f>
        <v>11.45731777</v>
      </c>
      <c r="L1897" s="8">
        <f>[1]Data!L1897</f>
        <v>0.90313873761220798</v>
      </c>
      <c r="M1897" s="8">
        <f>[1]Data!M1897</f>
        <v>12.3604565076122</v>
      </c>
      <c r="N1897" s="8">
        <f>[1]Data!N1897</f>
        <v>0.17910447761194001</v>
      </c>
      <c r="O1897" s="8">
        <f>[1]Data!O1897</f>
        <v>0</v>
      </c>
      <c r="P1897" s="8">
        <f>[1]Data!P1897</f>
        <v>0.104477611940299</v>
      </c>
      <c r="Q1897" s="8">
        <f>[1]Data!Q1897</f>
        <v>1</v>
      </c>
      <c r="R1897" s="8">
        <f>[1]Data!R1897</f>
        <v>1</v>
      </c>
      <c r="S1897" s="8">
        <f>[1]Data!S1897</f>
        <v>1</v>
      </c>
      <c r="T1897">
        <f t="shared" si="145"/>
        <v>1</v>
      </c>
      <c r="U1897">
        <f t="shared" si="146"/>
        <v>1</v>
      </c>
      <c r="V1897" s="4" t="str">
        <f t="shared" si="147"/>
        <v>12</v>
      </c>
      <c r="W1897" s="4" t="str">
        <f t="shared" si="148"/>
        <v>2</v>
      </c>
      <c r="X1897" s="4" t="str">
        <f t="shared" si="149"/>
        <v>12CVCTE2</v>
      </c>
      <c r="Y1897">
        <f>VLOOKUP(X1897,Sheet1!$J$5:$K$121,2,FALSE)</f>
        <v>1</v>
      </c>
    </row>
    <row r="1898" spans="1:25" x14ac:dyDescent="0.25">
      <c r="A1898" s="8">
        <f>[1]Data!A1898</f>
        <v>113303</v>
      </c>
      <c r="B1898" s="8">
        <f>[1]Data!B1898</f>
        <v>2</v>
      </c>
      <c r="C1898" s="8">
        <f>[1]Data!C1898</f>
        <v>12</v>
      </c>
      <c r="D1898" s="8">
        <f>[1]Data!D1898</f>
        <v>5</v>
      </c>
      <c r="E1898" s="8" t="str">
        <f>[1]Data!E1898</f>
        <v>CVCTE</v>
      </c>
      <c r="F1898" s="8" t="str">
        <f>[1]Data!F1898</f>
        <v>Chatsworth</v>
      </c>
      <c r="G1898" s="8">
        <f>[1]Data!G1898</f>
        <v>0</v>
      </c>
      <c r="H1898" s="8">
        <f>[1]Data!H1898</f>
        <v>1</v>
      </c>
      <c r="I1898" s="8">
        <f>[1]Data!I1898</f>
        <v>50.502000000000002</v>
      </c>
      <c r="J1898" s="8">
        <f>[1]Data!J1898</f>
        <v>47.751782849999998</v>
      </c>
      <c r="K1898" s="8">
        <f>[1]Data!K1898</f>
        <v>47.751782849999998</v>
      </c>
      <c r="L1898" s="8">
        <f>[1]Data!L1898</f>
        <v>2.75131257078995</v>
      </c>
      <c r="M1898" s="8">
        <f>[1]Data!M1898</f>
        <v>50.503095420789897</v>
      </c>
      <c r="N1898" s="8">
        <f>[1]Data!N1898</f>
        <v>0.17910447761194001</v>
      </c>
      <c r="O1898" s="8">
        <f>[1]Data!O1898</f>
        <v>0</v>
      </c>
      <c r="P1898" s="8">
        <f>[1]Data!P1898</f>
        <v>0.104477611940299</v>
      </c>
      <c r="Q1898" s="8">
        <f>[1]Data!Q1898</f>
        <v>1</v>
      </c>
      <c r="R1898" s="8">
        <f>[1]Data!R1898</f>
        <v>1</v>
      </c>
      <c r="S1898" s="8">
        <f>[1]Data!S1898</f>
        <v>1</v>
      </c>
      <c r="T1898">
        <f t="shared" si="145"/>
        <v>1</v>
      </c>
      <c r="U1898">
        <f t="shared" si="146"/>
        <v>1</v>
      </c>
      <c r="V1898" s="4" t="str">
        <f t="shared" si="147"/>
        <v>12</v>
      </c>
      <c r="W1898" s="4" t="str">
        <f t="shared" si="148"/>
        <v>2</v>
      </c>
      <c r="X1898" s="4" t="str">
        <f t="shared" si="149"/>
        <v>12CVCTE2</v>
      </c>
      <c r="Y1898">
        <f>VLOOKUP(X1898,Sheet1!$J$5:$K$121,2,FALSE)</f>
        <v>1</v>
      </c>
    </row>
    <row r="1899" spans="1:25" x14ac:dyDescent="0.25">
      <c r="A1899" s="8">
        <f>[1]Data!A1899</f>
        <v>109300</v>
      </c>
      <c r="B1899" s="8">
        <f>[1]Data!B1899</f>
        <v>2</v>
      </c>
      <c r="C1899" s="8">
        <f>[1]Data!C1899</f>
        <v>12</v>
      </c>
      <c r="D1899" s="8">
        <f>[1]Data!D1899</f>
        <v>3</v>
      </c>
      <c r="E1899" s="8" t="str">
        <f>[1]Data!E1899</f>
        <v>FAMILY</v>
      </c>
      <c r="F1899" s="8" t="str">
        <f>[1]Data!F1899</f>
        <v>Granada Hills</v>
      </c>
      <c r="G1899" s="8">
        <f>[1]Data!G1899</f>
        <v>1</v>
      </c>
      <c r="H1899" s="8">
        <f>[1]Data!H1899</f>
        <v>1</v>
      </c>
      <c r="I1899" s="8">
        <f>[1]Data!I1899</f>
        <v>52.286999999999999</v>
      </c>
      <c r="J1899" s="8">
        <f>[1]Data!J1899</f>
        <v>35.124877429999998</v>
      </c>
      <c r="K1899" s="8">
        <f>[1]Data!K1899</f>
        <v>50.124877429999998</v>
      </c>
      <c r="L1899" s="8">
        <f>[1]Data!L1899</f>
        <v>5.1613918408617598</v>
      </c>
      <c r="M1899" s="8">
        <f>[1]Data!M1899</f>
        <v>55.286269270861801</v>
      </c>
      <c r="N1899" s="8">
        <f>[1]Data!N1899</f>
        <v>1</v>
      </c>
      <c r="O1899" s="8">
        <f>[1]Data!O1899</f>
        <v>1</v>
      </c>
      <c r="P1899" s="8">
        <f>[1]Data!P1899</f>
        <v>0</v>
      </c>
      <c r="Q1899" s="8">
        <f>[1]Data!Q1899</f>
        <v>0</v>
      </c>
      <c r="R1899" s="8">
        <f>[1]Data!R1899</f>
        <v>0</v>
      </c>
      <c r="S1899" s="8">
        <f>[1]Data!S1899</f>
        <v>0</v>
      </c>
      <c r="T1899">
        <f t="shared" si="145"/>
        <v>1</v>
      </c>
      <c r="U1899">
        <f t="shared" si="146"/>
        <v>1</v>
      </c>
      <c r="V1899" s="4" t="str">
        <f t="shared" si="147"/>
        <v>12</v>
      </c>
      <c r="W1899" s="4" t="str">
        <f t="shared" si="148"/>
        <v>2</v>
      </c>
      <c r="X1899" s="4" t="str">
        <f t="shared" si="149"/>
        <v>12FAMILY2</v>
      </c>
      <c r="Y1899">
        <f>VLOOKUP(X1899,Sheet1!$J$5:$K$121,2,FALSE)</f>
        <v>0</v>
      </c>
    </row>
    <row r="1900" spans="1:25" x14ac:dyDescent="0.25">
      <c r="A1900" s="8">
        <f>[1]Data!A1900</f>
        <v>113401</v>
      </c>
      <c r="B1900" s="8">
        <f>[1]Data!B1900</f>
        <v>2</v>
      </c>
      <c r="C1900" s="8">
        <f>[1]Data!C1900</f>
        <v>12</v>
      </c>
      <c r="D1900" s="8">
        <f>[1]Data!D1900</f>
        <v>3</v>
      </c>
      <c r="E1900" s="8" t="str">
        <f>[1]Data!E1900</f>
        <v>INDIV</v>
      </c>
      <c r="F1900" s="8" t="str">
        <f>[1]Data!F1900</f>
        <v>Northridge</v>
      </c>
      <c r="G1900" s="8">
        <f>[1]Data!G1900</f>
        <v>0</v>
      </c>
      <c r="H1900" s="8">
        <f>[1]Data!H1900</f>
        <v>0</v>
      </c>
      <c r="I1900" s="8">
        <f>[1]Data!I1900</f>
        <v>9.19</v>
      </c>
      <c r="J1900" s="8">
        <f>[1]Data!J1900</f>
        <v>3.9673993200000002</v>
      </c>
      <c r="K1900" s="8">
        <f>[1]Data!K1900</f>
        <v>8.9673993200000002</v>
      </c>
      <c r="L1900" s="8">
        <f>[1]Data!L1900</f>
        <v>0.22234520276481101</v>
      </c>
      <c r="M1900" s="8">
        <f>[1]Data!M1900</f>
        <v>9.1897445227648102</v>
      </c>
      <c r="N1900" s="8">
        <f>[1]Data!N1900</f>
        <v>4.8387096774193498E-2</v>
      </c>
      <c r="O1900" s="8">
        <f>[1]Data!O1900</f>
        <v>0</v>
      </c>
      <c r="P1900" s="8">
        <f>[1]Data!P1900</f>
        <v>6.4516129032258104E-2</v>
      </c>
      <c r="Q1900" s="8">
        <f>[1]Data!Q1900</f>
        <v>1</v>
      </c>
      <c r="R1900" s="8">
        <f>[1]Data!R1900</f>
        <v>0.25</v>
      </c>
      <c r="S1900" s="8">
        <f>[1]Data!S1900</f>
        <v>0</v>
      </c>
      <c r="T1900">
        <f t="shared" si="145"/>
        <v>0.28629032258064513</v>
      </c>
      <c r="U1900">
        <f t="shared" si="146"/>
        <v>0</v>
      </c>
      <c r="V1900" s="4" t="str">
        <f t="shared" si="147"/>
        <v>12</v>
      </c>
      <c r="W1900" s="4" t="str">
        <f t="shared" si="148"/>
        <v>2</v>
      </c>
      <c r="X1900" s="4" t="str">
        <f t="shared" si="149"/>
        <v>12INDIV2</v>
      </c>
      <c r="Y1900">
        <f>VLOOKUP(X1900,Sheet1!$J$5:$K$121,2,FALSE)</f>
        <v>0.25</v>
      </c>
    </row>
    <row r="1901" spans="1:25" x14ac:dyDescent="0.25">
      <c r="A1901" s="8">
        <f>[1]Data!A1901</f>
        <v>115101</v>
      </c>
      <c r="B1901" s="8">
        <f>[1]Data!B1901</f>
        <v>2</v>
      </c>
      <c r="C1901" s="8">
        <f>[1]Data!C1901</f>
        <v>12</v>
      </c>
      <c r="D1901" s="8">
        <f>[1]Data!D1901</f>
        <v>3</v>
      </c>
      <c r="E1901" s="8" t="str">
        <f>[1]Data!E1901</f>
        <v>INDIV</v>
      </c>
      <c r="F1901" s="8" t="str">
        <f>[1]Data!F1901</f>
        <v>Northridge</v>
      </c>
      <c r="G1901" s="8">
        <f>[1]Data!G1901</f>
        <v>0</v>
      </c>
      <c r="H1901" s="8">
        <f>[1]Data!H1901</f>
        <v>1</v>
      </c>
      <c r="I1901" s="8">
        <f>[1]Data!I1901</f>
        <v>5</v>
      </c>
      <c r="J1901" s="8">
        <f>[1]Data!J1901</f>
        <v>0</v>
      </c>
      <c r="K1901" s="8">
        <f>[1]Data!K1901</f>
        <v>5</v>
      </c>
      <c r="L1901" s="8">
        <f>[1]Data!L1901</f>
        <v>0</v>
      </c>
      <c r="M1901" s="8">
        <f>[1]Data!M1901</f>
        <v>5</v>
      </c>
      <c r="N1901" s="8">
        <f>[1]Data!N1901</f>
        <v>4.8387096774193498E-2</v>
      </c>
      <c r="O1901" s="8">
        <f>[1]Data!O1901</f>
        <v>0</v>
      </c>
      <c r="P1901" s="8">
        <f>[1]Data!P1901</f>
        <v>6.4516129032258104E-2</v>
      </c>
      <c r="Q1901" s="8">
        <f>[1]Data!Q1901</f>
        <v>1</v>
      </c>
      <c r="R1901" s="8">
        <f>[1]Data!R1901</f>
        <v>0.25</v>
      </c>
      <c r="S1901" s="8">
        <f>[1]Data!S1901</f>
        <v>4</v>
      </c>
      <c r="T1901">
        <f t="shared" si="145"/>
        <v>0.28629032258064513</v>
      </c>
      <c r="U1901">
        <f t="shared" si="146"/>
        <v>3.4929577464788735</v>
      </c>
      <c r="V1901" s="4" t="str">
        <f t="shared" si="147"/>
        <v>12</v>
      </c>
      <c r="W1901" s="4" t="str">
        <f t="shared" si="148"/>
        <v>2</v>
      </c>
      <c r="X1901" s="4" t="str">
        <f t="shared" si="149"/>
        <v>12INDIV2</v>
      </c>
      <c r="Y1901">
        <f>VLOOKUP(X1901,Sheet1!$J$5:$K$121,2,FALSE)</f>
        <v>0.25</v>
      </c>
    </row>
    <row r="1902" spans="1:25" x14ac:dyDescent="0.25">
      <c r="A1902" s="8">
        <f>[1]Data!A1902</f>
        <v>111301</v>
      </c>
      <c r="B1902" s="8">
        <f>[1]Data!B1902</f>
        <v>2</v>
      </c>
      <c r="C1902" s="8">
        <f>[1]Data!C1902</f>
        <v>12</v>
      </c>
      <c r="D1902" s="8">
        <f>[1]Data!D1902</f>
        <v>5</v>
      </c>
      <c r="E1902" s="8" t="str">
        <f>[1]Data!E1902</f>
        <v>INDIV</v>
      </c>
      <c r="F1902" s="8" t="str">
        <f>[1]Data!F1902</f>
        <v>Granada Hills</v>
      </c>
      <c r="G1902" s="8">
        <f>[1]Data!G1902</f>
        <v>0</v>
      </c>
      <c r="H1902" s="8">
        <f>[1]Data!H1902</f>
        <v>0</v>
      </c>
      <c r="I1902" s="8">
        <f>[1]Data!I1902</f>
        <v>10.532</v>
      </c>
      <c r="J1902" s="8">
        <f>[1]Data!J1902</f>
        <v>7.3030033899999998</v>
      </c>
      <c r="K1902" s="8">
        <f>[1]Data!K1902</f>
        <v>10.303003390000001</v>
      </c>
      <c r="L1902" s="8">
        <f>[1]Data!L1902</f>
        <v>0.22827536551166999</v>
      </c>
      <c r="M1902" s="8">
        <f>[1]Data!M1902</f>
        <v>10.5312787555117</v>
      </c>
      <c r="N1902" s="8">
        <f>[1]Data!N1902</f>
        <v>4.8387096774193498E-2</v>
      </c>
      <c r="O1902" s="8">
        <f>[1]Data!O1902</f>
        <v>0</v>
      </c>
      <c r="P1902" s="8">
        <f>[1]Data!P1902</f>
        <v>6.4516129032258104E-2</v>
      </c>
      <c r="Q1902" s="8">
        <f>[1]Data!Q1902</f>
        <v>1</v>
      </c>
      <c r="R1902" s="8">
        <f>[1]Data!R1902</f>
        <v>0.25</v>
      </c>
      <c r="S1902" s="8">
        <f>[1]Data!S1902</f>
        <v>0</v>
      </c>
      <c r="T1902">
        <f t="shared" si="145"/>
        <v>0.28629032258064513</v>
      </c>
      <c r="U1902">
        <f t="shared" si="146"/>
        <v>0</v>
      </c>
      <c r="V1902" s="4" t="str">
        <f t="shared" si="147"/>
        <v>12</v>
      </c>
      <c r="W1902" s="4" t="str">
        <f t="shared" si="148"/>
        <v>2</v>
      </c>
      <c r="X1902" s="4" t="str">
        <f t="shared" si="149"/>
        <v>12INDIV2</v>
      </c>
      <c r="Y1902">
        <f>VLOOKUP(X1902,Sheet1!$J$5:$K$121,2,FALSE)</f>
        <v>0.25</v>
      </c>
    </row>
    <row r="1903" spans="1:25" x14ac:dyDescent="0.25">
      <c r="A1903" s="8">
        <f>[1]Data!A1903</f>
        <v>109700</v>
      </c>
      <c r="B1903" s="8">
        <f>[1]Data!B1903</f>
        <v>2</v>
      </c>
      <c r="C1903" s="8">
        <f>[1]Data!C1903</f>
        <v>12</v>
      </c>
      <c r="D1903" s="8">
        <f>[1]Data!D1903</f>
        <v>3</v>
      </c>
      <c r="E1903" s="8" t="str">
        <f>[1]Data!E1903</f>
        <v>INDIV</v>
      </c>
      <c r="F1903" s="8" t="str">
        <f>[1]Data!F1903</f>
        <v>Granada Hills</v>
      </c>
      <c r="G1903" s="8">
        <f>[1]Data!G1903</f>
        <v>0</v>
      </c>
      <c r="H1903" s="8">
        <f>[1]Data!H1903</f>
        <v>0</v>
      </c>
      <c r="I1903" s="8">
        <f>[1]Data!I1903</f>
        <v>13.202</v>
      </c>
      <c r="J1903" s="8">
        <f>[1]Data!J1903</f>
        <v>6.7669727399999999</v>
      </c>
      <c r="K1903" s="8">
        <f>[1]Data!K1903</f>
        <v>12.76697274</v>
      </c>
      <c r="L1903" s="8">
        <f>[1]Data!L1903</f>
        <v>0.434701935745063</v>
      </c>
      <c r="M1903" s="8">
        <f>[1]Data!M1903</f>
        <v>13.2016746757451</v>
      </c>
      <c r="N1903" s="8">
        <f>[1]Data!N1903</f>
        <v>4.8387096774193498E-2</v>
      </c>
      <c r="O1903" s="8">
        <f>[1]Data!O1903</f>
        <v>0</v>
      </c>
      <c r="P1903" s="8">
        <f>[1]Data!P1903</f>
        <v>6.4516129032258104E-2</v>
      </c>
      <c r="Q1903" s="8">
        <f>[1]Data!Q1903</f>
        <v>1</v>
      </c>
      <c r="R1903" s="8">
        <f>[1]Data!R1903</f>
        <v>0.25</v>
      </c>
      <c r="S1903" s="8">
        <f>[1]Data!S1903</f>
        <v>0</v>
      </c>
      <c r="T1903">
        <f t="shared" si="145"/>
        <v>0.28629032258064513</v>
      </c>
      <c r="U1903">
        <f t="shared" si="146"/>
        <v>0</v>
      </c>
      <c r="V1903" s="4" t="str">
        <f t="shared" si="147"/>
        <v>12</v>
      </c>
      <c r="W1903" s="4" t="str">
        <f t="shared" si="148"/>
        <v>2</v>
      </c>
      <c r="X1903" s="4" t="str">
        <f t="shared" si="149"/>
        <v>12INDIV2</v>
      </c>
      <c r="Y1903">
        <f>VLOOKUP(X1903,Sheet1!$J$5:$K$121,2,FALSE)</f>
        <v>0.25</v>
      </c>
    </row>
    <row r="1904" spans="1:25" x14ac:dyDescent="0.25">
      <c r="A1904" s="8">
        <f>[1]Data!A1904</f>
        <v>115301</v>
      </c>
      <c r="B1904" s="8">
        <f>[1]Data!B1904</f>
        <v>2</v>
      </c>
      <c r="C1904" s="8">
        <f>[1]Data!C1904</f>
        <v>12</v>
      </c>
      <c r="D1904" s="8">
        <f>[1]Data!D1904</f>
        <v>3</v>
      </c>
      <c r="E1904" s="8" t="str">
        <f>[1]Data!E1904</f>
        <v>NON-HS</v>
      </c>
      <c r="F1904" s="8" t="str">
        <f>[1]Data!F1904</f>
        <v>Northridge</v>
      </c>
      <c r="G1904" s="8">
        <f>[1]Data!G1904</f>
        <v>0</v>
      </c>
      <c r="H1904" s="8">
        <f>[1]Data!H1904</f>
        <v>1</v>
      </c>
      <c r="I1904" s="8">
        <f>[1]Data!I1904</f>
        <v>0</v>
      </c>
      <c r="J1904" s="8">
        <f>[1]Data!J1904</f>
        <v>0</v>
      </c>
      <c r="K1904" s="8">
        <f>[1]Data!K1904</f>
        <v>0</v>
      </c>
      <c r="L1904" s="8">
        <f>[1]Data!L1904</f>
        <v>0</v>
      </c>
      <c r="M1904" s="8">
        <f>[1]Data!M1904</f>
        <v>0</v>
      </c>
      <c r="N1904" s="8">
        <f>[1]Data!N1904</f>
        <v>2.2140221402214E-2</v>
      </c>
      <c r="O1904" s="8">
        <f>[1]Data!O1904</f>
        <v>0</v>
      </c>
      <c r="P1904" s="8">
        <f>[1]Data!P1904</f>
        <v>0.18081180811808101</v>
      </c>
      <c r="Q1904" s="8">
        <f>[1]Data!Q1904</f>
        <v>1</v>
      </c>
      <c r="R1904" s="8">
        <f>[1]Data!R1904</f>
        <v>0.30612244897959201</v>
      </c>
      <c r="S1904" s="8">
        <f>[1]Data!S1904</f>
        <v>3.2666666666666702</v>
      </c>
      <c r="T1904">
        <f t="shared" si="145"/>
        <v>0.3214850515852099</v>
      </c>
      <c r="U1904">
        <f t="shared" si="146"/>
        <v>3.1105645350199094</v>
      </c>
      <c r="V1904" s="4" t="str">
        <f t="shared" si="147"/>
        <v>12</v>
      </c>
      <c r="W1904" s="4" t="str">
        <f t="shared" si="148"/>
        <v>2</v>
      </c>
      <c r="X1904" s="4" t="str">
        <f t="shared" si="149"/>
        <v>12NON-HS2</v>
      </c>
      <c r="Y1904">
        <f>VLOOKUP(X1904,Sheet1!$J$5:$K$121,2,FALSE)</f>
        <v>0.30612244897959201</v>
      </c>
    </row>
    <row r="1905" spans="1:25" x14ac:dyDescent="0.25">
      <c r="A1905" s="8">
        <f>[1]Data!A1905</f>
        <v>108101</v>
      </c>
      <c r="B1905" s="8">
        <f>[1]Data!B1905</f>
        <v>2</v>
      </c>
      <c r="C1905" s="8">
        <f>[1]Data!C1905</f>
        <v>12</v>
      </c>
      <c r="D1905" s="8">
        <f>[1]Data!D1905</f>
        <v>5</v>
      </c>
      <c r="E1905" s="8" t="str">
        <f>[1]Data!E1905</f>
        <v>NON-HS</v>
      </c>
      <c r="F1905" s="8" t="str">
        <f>[1]Data!F1905</f>
        <v>Porter Ranch</v>
      </c>
      <c r="G1905" s="8">
        <f>[1]Data!G1905</f>
        <v>0</v>
      </c>
      <c r="H1905" s="8">
        <f>[1]Data!H1905</f>
        <v>1</v>
      </c>
      <c r="I1905" s="8">
        <f>[1]Data!I1905</f>
        <v>0</v>
      </c>
      <c r="J1905" s="8">
        <f>[1]Data!J1905</f>
        <v>0</v>
      </c>
      <c r="K1905" s="8">
        <f>[1]Data!K1905</f>
        <v>0</v>
      </c>
      <c r="L1905" s="8">
        <f>[1]Data!L1905</f>
        <v>0</v>
      </c>
      <c r="M1905" s="8">
        <f>[1]Data!M1905</f>
        <v>0</v>
      </c>
      <c r="N1905" s="8">
        <f>[1]Data!N1905</f>
        <v>2.2140221402214E-2</v>
      </c>
      <c r="O1905" s="8">
        <f>[1]Data!O1905</f>
        <v>0</v>
      </c>
      <c r="P1905" s="8">
        <f>[1]Data!P1905</f>
        <v>0.18081180811808101</v>
      </c>
      <c r="Q1905" s="8">
        <f>[1]Data!Q1905</f>
        <v>1</v>
      </c>
      <c r="R1905" s="8">
        <f>[1]Data!R1905</f>
        <v>0.30612244897959201</v>
      </c>
      <c r="S1905" s="8">
        <f>[1]Data!S1905</f>
        <v>3.2666666666666702</v>
      </c>
      <c r="T1905">
        <f t="shared" si="145"/>
        <v>0.3214850515852099</v>
      </c>
      <c r="U1905">
        <f t="shared" si="146"/>
        <v>3.1105645350199094</v>
      </c>
      <c r="V1905" s="4" t="str">
        <f t="shared" si="147"/>
        <v>12</v>
      </c>
      <c r="W1905" s="4" t="str">
        <f t="shared" si="148"/>
        <v>2</v>
      </c>
      <c r="X1905" s="4" t="str">
        <f t="shared" si="149"/>
        <v>12NON-HS2</v>
      </c>
      <c r="Y1905">
        <f>VLOOKUP(X1905,Sheet1!$J$5:$K$121,2,FALSE)</f>
        <v>0.30612244897959201</v>
      </c>
    </row>
    <row r="1906" spans="1:25" x14ac:dyDescent="0.25">
      <c r="A1906" s="8">
        <f>[1]Data!A1906</f>
        <v>108103</v>
      </c>
      <c r="B1906" s="8">
        <f>[1]Data!B1906</f>
        <v>2</v>
      </c>
      <c r="C1906" s="8">
        <f>[1]Data!C1906</f>
        <v>12</v>
      </c>
      <c r="D1906" s="8">
        <f>[1]Data!D1906</f>
        <v>5</v>
      </c>
      <c r="E1906" s="8" t="str">
        <f>[1]Data!E1906</f>
        <v>NON-HS</v>
      </c>
      <c r="F1906" s="8" t="str">
        <f>[1]Data!F1906</f>
        <v>Porter Ranch</v>
      </c>
      <c r="G1906" s="8">
        <f>[1]Data!G1906</f>
        <v>0</v>
      </c>
      <c r="H1906" s="8">
        <f>[1]Data!H1906</f>
        <v>1</v>
      </c>
      <c r="I1906" s="8">
        <f>[1]Data!I1906</f>
        <v>0</v>
      </c>
      <c r="J1906" s="8">
        <f>[1]Data!J1906</f>
        <v>0</v>
      </c>
      <c r="K1906" s="8">
        <f>[1]Data!K1906</f>
        <v>0</v>
      </c>
      <c r="L1906" s="8">
        <f>[1]Data!L1906</f>
        <v>0</v>
      </c>
      <c r="M1906" s="8">
        <f>[1]Data!M1906</f>
        <v>0</v>
      </c>
      <c r="N1906" s="8">
        <f>[1]Data!N1906</f>
        <v>2.2140221402214E-2</v>
      </c>
      <c r="O1906" s="8">
        <f>[1]Data!O1906</f>
        <v>0</v>
      </c>
      <c r="P1906" s="8">
        <f>[1]Data!P1906</f>
        <v>0.18081180811808101</v>
      </c>
      <c r="Q1906" s="8">
        <f>[1]Data!Q1906</f>
        <v>1</v>
      </c>
      <c r="R1906" s="8">
        <f>[1]Data!R1906</f>
        <v>0.30612244897959201</v>
      </c>
      <c r="S1906" s="8">
        <f>[1]Data!S1906</f>
        <v>3.2666666666666702</v>
      </c>
      <c r="T1906">
        <f t="shared" si="145"/>
        <v>0.3214850515852099</v>
      </c>
      <c r="U1906">
        <f t="shared" si="146"/>
        <v>3.1105645350199094</v>
      </c>
      <c r="V1906" s="4" t="str">
        <f t="shared" si="147"/>
        <v>12</v>
      </c>
      <c r="W1906" s="4" t="str">
        <f t="shared" si="148"/>
        <v>2</v>
      </c>
      <c r="X1906" s="4" t="str">
        <f t="shared" si="149"/>
        <v>12NON-HS2</v>
      </c>
      <c r="Y1906">
        <f>VLOOKUP(X1906,Sheet1!$J$5:$K$121,2,FALSE)</f>
        <v>0.30612244897959201</v>
      </c>
    </row>
    <row r="1907" spans="1:25" x14ac:dyDescent="0.25">
      <c r="A1907" s="8">
        <f>[1]Data!A1907</f>
        <v>117301</v>
      </c>
      <c r="B1907" s="8">
        <f>[1]Data!B1907</f>
        <v>2</v>
      </c>
      <c r="C1907" s="8">
        <f>[1]Data!C1907</f>
        <v>12</v>
      </c>
      <c r="D1907" s="8">
        <f>[1]Data!D1907</f>
        <v>3</v>
      </c>
      <c r="E1907" s="8" t="str">
        <f>[1]Data!E1907</f>
        <v>NON-HS</v>
      </c>
      <c r="F1907" s="8" t="str">
        <f>[1]Data!F1907</f>
        <v>North Hills</v>
      </c>
      <c r="G1907" s="8">
        <f>[1]Data!G1907</f>
        <v>0</v>
      </c>
      <c r="H1907" s="8">
        <f>[1]Data!H1907</f>
        <v>0</v>
      </c>
      <c r="I1907" s="8">
        <f>[1]Data!I1907</f>
        <v>0</v>
      </c>
      <c r="J1907" s="8">
        <f>[1]Data!J1907</f>
        <v>0</v>
      </c>
      <c r="K1907" s="8">
        <f>[1]Data!K1907</f>
        <v>0</v>
      </c>
      <c r="L1907" s="8">
        <f>[1]Data!L1907</f>
        <v>0</v>
      </c>
      <c r="M1907" s="8">
        <f>[1]Data!M1907</f>
        <v>0</v>
      </c>
      <c r="N1907" s="8">
        <f>[1]Data!N1907</f>
        <v>2.2140221402214E-2</v>
      </c>
      <c r="O1907" s="8">
        <f>[1]Data!O1907</f>
        <v>0</v>
      </c>
      <c r="P1907" s="8">
        <f>[1]Data!P1907</f>
        <v>0.18081180811808101</v>
      </c>
      <c r="Q1907" s="8">
        <f>[1]Data!Q1907</f>
        <v>1</v>
      </c>
      <c r="R1907" s="8">
        <f>[1]Data!R1907</f>
        <v>0.30612244897959201</v>
      </c>
      <c r="S1907" s="8">
        <f>[1]Data!S1907</f>
        <v>0</v>
      </c>
      <c r="T1907">
        <f t="shared" si="145"/>
        <v>0.3214850515852099</v>
      </c>
      <c r="U1907">
        <f t="shared" si="146"/>
        <v>0</v>
      </c>
      <c r="V1907" s="4" t="str">
        <f t="shared" si="147"/>
        <v>12</v>
      </c>
      <c r="W1907" s="4" t="str">
        <f t="shared" si="148"/>
        <v>2</v>
      </c>
      <c r="X1907" s="4" t="str">
        <f t="shared" si="149"/>
        <v>12NON-HS2</v>
      </c>
      <c r="Y1907">
        <f>VLOOKUP(X1907,Sheet1!$J$5:$K$121,2,FALSE)</f>
        <v>0.30612244897959201</v>
      </c>
    </row>
    <row r="1908" spans="1:25" x14ac:dyDescent="0.25">
      <c r="A1908" s="8">
        <f>[1]Data!A1908</f>
        <v>115404</v>
      </c>
      <c r="B1908" s="8">
        <f>[1]Data!B1908</f>
        <v>2</v>
      </c>
      <c r="C1908" s="8">
        <f>[1]Data!C1908</f>
        <v>12</v>
      </c>
      <c r="D1908" s="8">
        <f>[1]Data!D1908</f>
        <v>3</v>
      </c>
      <c r="E1908" s="8" t="str">
        <f>[1]Data!E1908</f>
        <v>NON-HS</v>
      </c>
      <c r="F1908" s="8" t="str">
        <f>[1]Data!F1908</f>
        <v>Northridge</v>
      </c>
      <c r="G1908" s="8">
        <f>[1]Data!G1908</f>
        <v>0</v>
      </c>
      <c r="H1908" s="8">
        <f>[1]Data!H1908</f>
        <v>0</v>
      </c>
      <c r="I1908" s="8">
        <f>[1]Data!I1908</f>
        <v>2.0950000000000002</v>
      </c>
      <c r="J1908" s="8">
        <f>[1]Data!J1908</f>
        <v>1.9836996600000001</v>
      </c>
      <c r="K1908" s="8">
        <f>[1]Data!K1908</f>
        <v>1.9836996600000001</v>
      </c>
      <c r="L1908" s="8">
        <f>[1]Data!L1908</f>
        <v>0.11117260138240601</v>
      </c>
      <c r="M1908" s="8">
        <f>[1]Data!M1908</f>
        <v>2.09487226138241</v>
      </c>
      <c r="N1908" s="8">
        <f>[1]Data!N1908</f>
        <v>2.2140221402214E-2</v>
      </c>
      <c r="O1908" s="8">
        <f>[1]Data!O1908</f>
        <v>0</v>
      </c>
      <c r="P1908" s="8">
        <f>[1]Data!P1908</f>
        <v>0.18081180811808101</v>
      </c>
      <c r="Q1908" s="8">
        <f>[1]Data!Q1908</f>
        <v>1</v>
      </c>
      <c r="R1908" s="8">
        <f>[1]Data!R1908</f>
        <v>0.30612244897959201</v>
      </c>
      <c r="S1908" s="8">
        <f>[1]Data!S1908</f>
        <v>0</v>
      </c>
      <c r="T1908">
        <f t="shared" si="145"/>
        <v>0.3214850515852099</v>
      </c>
      <c r="U1908">
        <f t="shared" si="146"/>
        <v>0</v>
      </c>
      <c r="V1908" s="4" t="str">
        <f t="shared" si="147"/>
        <v>12</v>
      </c>
      <c r="W1908" s="4" t="str">
        <f t="shared" si="148"/>
        <v>2</v>
      </c>
      <c r="X1908" s="4" t="str">
        <f t="shared" si="149"/>
        <v>12NON-HS2</v>
      </c>
      <c r="Y1908">
        <f>VLOOKUP(X1908,Sheet1!$J$5:$K$121,2,FALSE)</f>
        <v>0.30612244897959201</v>
      </c>
    </row>
    <row r="1909" spans="1:25" x14ac:dyDescent="0.25">
      <c r="A1909" s="8">
        <f>[1]Data!A1909</f>
        <v>115403</v>
      </c>
      <c r="B1909" s="8">
        <f>[1]Data!B1909</f>
        <v>2</v>
      </c>
      <c r="C1909" s="8">
        <f>[1]Data!C1909</f>
        <v>12</v>
      </c>
      <c r="D1909" s="8">
        <f>[1]Data!D1909</f>
        <v>3</v>
      </c>
      <c r="E1909" s="8" t="str">
        <f>[1]Data!E1909</f>
        <v>NON-HS</v>
      </c>
      <c r="F1909" s="8" t="str">
        <f>[1]Data!F1909</f>
        <v>Northridge</v>
      </c>
      <c r="G1909" s="8">
        <f>[1]Data!G1909</f>
        <v>0</v>
      </c>
      <c r="H1909" s="8">
        <f>[1]Data!H1909</f>
        <v>0</v>
      </c>
      <c r="I1909" s="8">
        <f>[1]Data!I1909</f>
        <v>10.379</v>
      </c>
      <c r="J1909" s="8">
        <f>[1]Data!J1909</f>
        <v>7.9347986400000003</v>
      </c>
      <c r="K1909" s="8">
        <f>[1]Data!K1909</f>
        <v>9.9347986400000003</v>
      </c>
      <c r="L1909" s="8">
        <f>[1]Data!L1909</f>
        <v>0.44469040552962302</v>
      </c>
      <c r="M1909" s="8">
        <f>[1]Data!M1909</f>
        <v>10.379489045529599</v>
      </c>
      <c r="N1909" s="8">
        <f>[1]Data!N1909</f>
        <v>2.2140221402214E-2</v>
      </c>
      <c r="O1909" s="8">
        <f>[1]Data!O1909</f>
        <v>0</v>
      </c>
      <c r="P1909" s="8">
        <f>[1]Data!P1909</f>
        <v>0.18081180811808101</v>
      </c>
      <c r="Q1909" s="8">
        <f>[1]Data!Q1909</f>
        <v>1</v>
      </c>
      <c r="R1909" s="8">
        <f>[1]Data!R1909</f>
        <v>0.30612244897959201</v>
      </c>
      <c r="S1909" s="8">
        <f>[1]Data!S1909</f>
        <v>0</v>
      </c>
      <c r="T1909">
        <f t="shared" si="145"/>
        <v>0.3214850515852099</v>
      </c>
      <c r="U1909">
        <f t="shared" si="146"/>
        <v>0</v>
      </c>
      <c r="V1909" s="4" t="str">
        <f t="shared" si="147"/>
        <v>12</v>
      </c>
      <c r="W1909" s="4" t="str">
        <f t="shared" si="148"/>
        <v>2</v>
      </c>
      <c r="X1909" s="4" t="str">
        <f t="shared" si="149"/>
        <v>12NON-HS2</v>
      </c>
      <c r="Y1909">
        <f>VLOOKUP(X1909,Sheet1!$J$5:$K$121,2,FALSE)</f>
        <v>0.30612244897959201</v>
      </c>
    </row>
    <row r="1910" spans="1:25" x14ac:dyDescent="0.25">
      <c r="A1910" s="8">
        <f>[1]Data!A1910</f>
        <v>106643</v>
      </c>
      <c r="B1910" s="8">
        <f>[1]Data!B1910</f>
        <v>2</v>
      </c>
      <c r="C1910" s="8">
        <f>[1]Data!C1910</f>
        <v>12</v>
      </c>
      <c r="D1910" s="8">
        <f>[1]Data!D1910</f>
        <v>5</v>
      </c>
      <c r="E1910" s="8" t="str">
        <f>[1]Data!E1910</f>
        <v>NON-HS</v>
      </c>
      <c r="F1910" s="8" t="str">
        <f>[1]Data!F1910</f>
        <v>Granada Hills</v>
      </c>
      <c r="G1910" s="8">
        <f>[1]Data!G1910</f>
        <v>0</v>
      </c>
      <c r="H1910" s="8">
        <f>[1]Data!H1910</f>
        <v>0</v>
      </c>
      <c r="I1910" s="8">
        <f>[1]Data!I1910</f>
        <v>2.0950000000000002</v>
      </c>
      <c r="J1910" s="8">
        <f>[1]Data!J1910</f>
        <v>1.9836996600000001</v>
      </c>
      <c r="K1910" s="8">
        <f>[1]Data!K1910</f>
        <v>1.9836996600000001</v>
      </c>
      <c r="L1910" s="8">
        <f>[1]Data!L1910</f>
        <v>0.11117260138240601</v>
      </c>
      <c r="M1910" s="8">
        <f>[1]Data!M1910</f>
        <v>2.09487226138241</v>
      </c>
      <c r="N1910" s="8">
        <f>[1]Data!N1910</f>
        <v>2.2140221402214E-2</v>
      </c>
      <c r="O1910" s="8">
        <f>[1]Data!O1910</f>
        <v>0</v>
      </c>
      <c r="P1910" s="8">
        <f>[1]Data!P1910</f>
        <v>0.18081180811808101</v>
      </c>
      <c r="Q1910" s="8">
        <f>[1]Data!Q1910</f>
        <v>1</v>
      </c>
      <c r="R1910" s="8">
        <f>[1]Data!R1910</f>
        <v>0.30612244897959201</v>
      </c>
      <c r="S1910" s="8">
        <f>[1]Data!S1910</f>
        <v>0</v>
      </c>
      <c r="T1910">
        <f t="shared" si="145"/>
        <v>0.3214850515852099</v>
      </c>
      <c r="U1910">
        <f t="shared" si="146"/>
        <v>0</v>
      </c>
      <c r="V1910" s="4" t="str">
        <f t="shared" si="147"/>
        <v>12</v>
      </c>
      <c r="W1910" s="4" t="str">
        <f t="shared" si="148"/>
        <v>2</v>
      </c>
      <c r="X1910" s="4" t="str">
        <f t="shared" si="149"/>
        <v>12NON-HS2</v>
      </c>
      <c r="Y1910">
        <f>VLOOKUP(X1910,Sheet1!$J$5:$K$121,2,FALSE)</f>
        <v>0.30612244897959201</v>
      </c>
    </row>
    <row r="1911" spans="1:25" x14ac:dyDescent="0.25">
      <c r="A1911" s="8">
        <f>[1]Data!A1911</f>
        <v>131200</v>
      </c>
      <c r="B1911" s="8">
        <f>[1]Data!B1911</f>
        <v>2</v>
      </c>
      <c r="C1911" s="8">
        <f>[1]Data!C1911</f>
        <v>12</v>
      </c>
      <c r="D1911" s="8">
        <f>[1]Data!D1911</f>
        <v>3</v>
      </c>
      <c r="E1911" s="8" t="str">
        <f>[1]Data!E1911</f>
        <v>NON-HS</v>
      </c>
      <c r="F1911" s="8" t="str">
        <f>[1]Data!F1911</f>
        <v>Northridge</v>
      </c>
      <c r="G1911" s="8">
        <f>[1]Data!G1911</f>
        <v>0</v>
      </c>
      <c r="H1911" s="8">
        <f>[1]Data!H1911</f>
        <v>0</v>
      </c>
      <c r="I1911" s="8">
        <f>[1]Data!I1911</f>
        <v>0</v>
      </c>
      <c r="J1911" s="8">
        <f>[1]Data!J1911</f>
        <v>0</v>
      </c>
      <c r="K1911" s="8">
        <f>[1]Data!K1911</f>
        <v>0</v>
      </c>
      <c r="L1911" s="8">
        <f>[1]Data!L1911</f>
        <v>0</v>
      </c>
      <c r="M1911" s="8">
        <f>[1]Data!M1911</f>
        <v>0</v>
      </c>
      <c r="N1911" s="8">
        <f>[1]Data!N1911</f>
        <v>2.2140221402214E-2</v>
      </c>
      <c r="O1911" s="8">
        <f>[1]Data!O1911</f>
        <v>0</v>
      </c>
      <c r="P1911" s="8">
        <f>[1]Data!P1911</f>
        <v>0.18081180811808101</v>
      </c>
      <c r="Q1911" s="8">
        <f>[1]Data!Q1911</f>
        <v>1</v>
      </c>
      <c r="R1911" s="8">
        <f>[1]Data!R1911</f>
        <v>0.30612244897959201</v>
      </c>
      <c r="S1911" s="8">
        <f>[1]Data!S1911</f>
        <v>0</v>
      </c>
      <c r="T1911">
        <f t="shared" si="145"/>
        <v>0.3214850515852099</v>
      </c>
      <c r="U1911">
        <f t="shared" si="146"/>
        <v>0</v>
      </c>
      <c r="V1911" s="4" t="str">
        <f t="shared" si="147"/>
        <v>12</v>
      </c>
      <c r="W1911" s="4" t="str">
        <f t="shared" si="148"/>
        <v>2</v>
      </c>
      <c r="X1911" s="4" t="str">
        <f t="shared" si="149"/>
        <v>12NON-HS2</v>
      </c>
      <c r="Y1911">
        <f>VLOOKUP(X1911,Sheet1!$J$5:$K$121,2,FALSE)</f>
        <v>0.30612244897959201</v>
      </c>
    </row>
    <row r="1912" spans="1:25" x14ac:dyDescent="0.25">
      <c r="A1912" s="8">
        <f>[1]Data!A1912</f>
        <v>106646</v>
      </c>
      <c r="B1912" s="8">
        <f>[1]Data!B1912</f>
        <v>2</v>
      </c>
      <c r="C1912" s="8">
        <f>[1]Data!C1912</f>
        <v>12</v>
      </c>
      <c r="D1912" s="8">
        <f>[1]Data!D1912</f>
        <v>5</v>
      </c>
      <c r="E1912" s="8" t="str">
        <f>[1]Data!E1912</f>
        <v>NON-HS</v>
      </c>
      <c r="F1912" s="8" t="str">
        <f>[1]Data!F1912</f>
        <v>Granada Hills</v>
      </c>
      <c r="G1912" s="8">
        <f>[1]Data!G1912</f>
        <v>0</v>
      </c>
      <c r="H1912" s="8">
        <f>[1]Data!H1912</f>
        <v>1</v>
      </c>
      <c r="I1912" s="8">
        <f>[1]Data!I1912</f>
        <v>2.7029999999999998</v>
      </c>
      <c r="J1912" s="8">
        <f>[1]Data!J1912</f>
        <v>1.6812916200000001</v>
      </c>
      <c r="K1912" s="8">
        <f>[1]Data!K1912</f>
        <v>2.6812916200000001</v>
      </c>
      <c r="L1912" s="8">
        <f>[1]Data!L1912</f>
        <v>2.14919317594255E-2</v>
      </c>
      <c r="M1912" s="8">
        <f>[1]Data!M1912</f>
        <v>2.7027835517594299</v>
      </c>
      <c r="N1912" s="8">
        <f>[1]Data!N1912</f>
        <v>2.2140221402214E-2</v>
      </c>
      <c r="O1912" s="8">
        <f>[1]Data!O1912</f>
        <v>0</v>
      </c>
      <c r="P1912" s="8">
        <f>[1]Data!P1912</f>
        <v>0.18081180811808101</v>
      </c>
      <c r="Q1912" s="8">
        <f>[1]Data!Q1912</f>
        <v>1</v>
      </c>
      <c r="R1912" s="8">
        <f>[1]Data!R1912</f>
        <v>0.30612244897959201</v>
      </c>
      <c r="S1912" s="8">
        <f>[1]Data!S1912</f>
        <v>3.2666666666666702</v>
      </c>
      <c r="T1912">
        <f t="shared" si="145"/>
        <v>0.3214850515852099</v>
      </c>
      <c r="U1912">
        <f t="shared" si="146"/>
        <v>3.1105645350199094</v>
      </c>
      <c r="V1912" s="4" t="str">
        <f t="shared" si="147"/>
        <v>12</v>
      </c>
      <c r="W1912" s="4" t="str">
        <f t="shared" si="148"/>
        <v>2</v>
      </c>
      <c r="X1912" s="4" t="str">
        <f t="shared" si="149"/>
        <v>12NON-HS2</v>
      </c>
      <c r="Y1912">
        <f>VLOOKUP(X1912,Sheet1!$J$5:$K$121,2,FALSE)</f>
        <v>0.30612244897959201</v>
      </c>
    </row>
    <row r="1913" spans="1:25" x14ac:dyDescent="0.25">
      <c r="A1913" s="8">
        <f>[1]Data!A1913</f>
        <v>106641</v>
      </c>
      <c r="B1913" s="8">
        <f>[1]Data!B1913</f>
        <v>2</v>
      </c>
      <c r="C1913" s="8">
        <f>[1]Data!C1913</f>
        <v>12</v>
      </c>
      <c r="D1913" s="8">
        <f>[1]Data!D1913</f>
        <v>5</v>
      </c>
      <c r="E1913" s="8" t="str">
        <f>[1]Data!E1913</f>
        <v>NON-HS</v>
      </c>
      <c r="F1913" s="8" t="str">
        <f>[1]Data!F1913</f>
        <v>Granada Hills</v>
      </c>
      <c r="G1913" s="8">
        <f>[1]Data!G1913</f>
        <v>0</v>
      </c>
      <c r="H1913" s="8">
        <f>[1]Data!H1913</f>
        <v>0</v>
      </c>
      <c r="I1913" s="8">
        <f>[1]Data!I1913</f>
        <v>0</v>
      </c>
      <c r="J1913" s="8">
        <f>[1]Data!J1913</f>
        <v>0</v>
      </c>
      <c r="K1913" s="8">
        <f>[1]Data!K1913</f>
        <v>0</v>
      </c>
      <c r="L1913" s="8">
        <f>[1]Data!L1913</f>
        <v>0</v>
      </c>
      <c r="M1913" s="8">
        <f>[1]Data!M1913</f>
        <v>0</v>
      </c>
      <c r="N1913" s="8">
        <f>[1]Data!N1913</f>
        <v>2.2140221402214E-2</v>
      </c>
      <c r="O1913" s="8">
        <f>[1]Data!O1913</f>
        <v>0</v>
      </c>
      <c r="P1913" s="8">
        <f>[1]Data!P1913</f>
        <v>0.18081180811808101</v>
      </c>
      <c r="Q1913" s="8">
        <f>[1]Data!Q1913</f>
        <v>1</v>
      </c>
      <c r="R1913" s="8">
        <f>[1]Data!R1913</f>
        <v>0.30612244897959201</v>
      </c>
      <c r="S1913" s="8">
        <f>[1]Data!S1913</f>
        <v>0</v>
      </c>
      <c r="T1913">
        <f t="shared" si="145"/>
        <v>0.3214850515852099</v>
      </c>
      <c r="U1913">
        <f t="shared" si="146"/>
        <v>0</v>
      </c>
      <c r="V1913" s="4" t="str">
        <f t="shared" si="147"/>
        <v>12</v>
      </c>
      <c r="W1913" s="4" t="str">
        <f t="shared" si="148"/>
        <v>2</v>
      </c>
      <c r="X1913" s="4" t="str">
        <f t="shared" si="149"/>
        <v>12NON-HS2</v>
      </c>
      <c r="Y1913">
        <f>VLOOKUP(X1913,Sheet1!$J$5:$K$121,2,FALSE)</f>
        <v>0.30612244897959201</v>
      </c>
    </row>
    <row r="1914" spans="1:25" x14ac:dyDescent="0.25">
      <c r="A1914" s="8">
        <f>[1]Data!A1914</f>
        <v>113322</v>
      </c>
      <c r="B1914" s="8">
        <f>[1]Data!B1914</f>
        <v>2</v>
      </c>
      <c r="C1914" s="8">
        <f>[1]Data!C1914</f>
        <v>12</v>
      </c>
      <c r="D1914" s="8">
        <f>[1]Data!D1914</f>
        <v>5</v>
      </c>
      <c r="E1914" s="8" t="str">
        <f>[1]Data!E1914</f>
        <v>NON-HS</v>
      </c>
      <c r="F1914" s="8" t="str">
        <f>[1]Data!F1914</f>
        <v>Chatsworth</v>
      </c>
      <c r="G1914" s="8">
        <f>[1]Data!G1914</f>
        <v>0</v>
      </c>
      <c r="H1914" s="8">
        <f>[1]Data!H1914</f>
        <v>0</v>
      </c>
      <c r="I1914" s="8">
        <f>[1]Data!I1914</f>
        <v>10.186999999999999</v>
      </c>
      <c r="J1914" s="8">
        <f>[1]Data!J1914</f>
        <v>9.6679308099999997</v>
      </c>
      <c r="K1914" s="8">
        <f>[1]Data!K1914</f>
        <v>9.6679308099999997</v>
      </c>
      <c r="L1914" s="8">
        <f>[1]Data!L1914</f>
        <v>0.519675915816876</v>
      </c>
      <c r="M1914" s="8">
        <f>[1]Data!M1914</f>
        <v>10.187606725816901</v>
      </c>
      <c r="N1914" s="8">
        <f>[1]Data!N1914</f>
        <v>2.2140221402214E-2</v>
      </c>
      <c r="O1914" s="8">
        <f>[1]Data!O1914</f>
        <v>0</v>
      </c>
      <c r="P1914" s="8">
        <f>[1]Data!P1914</f>
        <v>0.18081180811808101</v>
      </c>
      <c r="Q1914" s="8">
        <f>[1]Data!Q1914</f>
        <v>1</v>
      </c>
      <c r="R1914" s="8">
        <f>[1]Data!R1914</f>
        <v>0.30612244897959201</v>
      </c>
      <c r="S1914" s="8">
        <f>[1]Data!S1914</f>
        <v>0</v>
      </c>
      <c r="T1914">
        <f t="shared" si="145"/>
        <v>0.3214850515852099</v>
      </c>
      <c r="U1914">
        <f t="shared" si="146"/>
        <v>0</v>
      </c>
      <c r="V1914" s="4" t="str">
        <f t="shared" si="147"/>
        <v>12</v>
      </c>
      <c r="W1914" s="4" t="str">
        <f t="shared" si="148"/>
        <v>2</v>
      </c>
      <c r="X1914" s="4" t="str">
        <f t="shared" si="149"/>
        <v>12NON-HS2</v>
      </c>
      <c r="Y1914">
        <f>VLOOKUP(X1914,Sheet1!$J$5:$K$121,2,FALSE)</f>
        <v>0.30612244897959201</v>
      </c>
    </row>
    <row r="1915" spans="1:25" x14ac:dyDescent="0.25">
      <c r="A1915" s="8">
        <f>[1]Data!A1915</f>
        <v>115401</v>
      </c>
      <c r="B1915" s="8">
        <f>[1]Data!B1915</f>
        <v>2</v>
      </c>
      <c r="C1915" s="8">
        <f>[1]Data!C1915</f>
        <v>12</v>
      </c>
      <c r="D1915" s="8">
        <f>[1]Data!D1915</f>
        <v>3</v>
      </c>
      <c r="E1915" s="8" t="str">
        <f>[1]Data!E1915</f>
        <v>NON-HS</v>
      </c>
      <c r="F1915" s="8" t="str">
        <f>[1]Data!F1915</f>
        <v>Northridge</v>
      </c>
      <c r="G1915" s="8">
        <f>[1]Data!G1915</f>
        <v>0</v>
      </c>
      <c r="H1915" s="8">
        <f>[1]Data!H1915</f>
        <v>1</v>
      </c>
      <c r="I1915" s="8">
        <f>[1]Data!I1915</f>
        <v>1</v>
      </c>
      <c r="J1915" s="8">
        <f>[1]Data!J1915</f>
        <v>0</v>
      </c>
      <c r="K1915" s="8">
        <f>[1]Data!K1915</f>
        <v>1</v>
      </c>
      <c r="L1915" s="8">
        <f>[1]Data!L1915</f>
        <v>0</v>
      </c>
      <c r="M1915" s="8">
        <f>[1]Data!M1915</f>
        <v>1</v>
      </c>
      <c r="N1915" s="8">
        <f>[1]Data!N1915</f>
        <v>2.2140221402214E-2</v>
      </c>
      <c r="O1915" s="8">
        <f>[1]Data!O1915</f>
        <v>0</v>
      </c>
      <c r="P1915" s="8">
        <f>[1]Data!P1915</f>
        <v>0.18081180811808101</v>
      </c>
      <c r="Q1915" s="8">
        <f>[1]Data!Q1915</f>
        <v>1</v>
      </c>
      <c r="R1915" s="8">
        <f>[1]Data!R1915</f>
        <v>0.30612244897959201</v>
      </c>
      <c r="S1915" s="8">
        <f>[1]Data!S1915</f>
        <v>3.2666666666666702</v>
      </c>
      <c r="T1915">
        <f t="shared" si="145"/>
        <v>0.3214850515852099</v>
      </c>
      <c r="U1915">
        <f t="shared" si="146"/>
        <v>3.1105645350199094</v>
      </c>
      <c r="V1915" s="4" t="str">
        <f t="shared" si="147"/>
        <v>12</v>
      </c>
      <c r="W1915" s="4" t="str">
        <f t="shared" si="148"/>
        <v>2</v>
      </c>
      <c r="X1915" s="4" t="str">
        <f t="shared" si="149"/>
        <v>12NON-HS2</v>
      </c>
      <c r="Y1915">
        <f>VLOOKUP(X1915,Sheet1!$J$5:$K$121,2,FALSE)</f>
        <v>0.30612244897959201</v>
      </c>
    </row>
    <row r="1916" spans="1:25" x14ac:dyDescent="0.25">
      <c r="A1916" s="8">
        <f>[1]Data!A1916</f>
        <v>131300</v>
      </c>
      <c r="B1916" s="8">
        <f>[1]Data!B1916</f>
        <v>2</v>
      </c>
      <c r="C1916" s="8">
        <f>[1]Data!C1916</f>
        <v>12</v>
      </c>
      <c r="D1916" s="8">
        <f>[1]Data!D1916</f>
        <v>3</v>
      </c>
      <c r="E1916" s="8" t="str">
        <f>[1]Data!E1916</f>
        <v>NON-HS</v>
      </c>
      <c r="F1916" s="8" t="str">
        <f>[1]Data!F1916</f>
        <v>Reseda</v>
      </c>
      <c r="G1916" s="8">
        <f>[1]Data!G1916</f>
        <v>0</v>
      </c>
      <c r="H1916" s="8">
        <f>[1]Data!H1916</f>
        <v>0</v>
      </c>
      <c r="I1916" s="8">
        <f>[1]Data!I1916</f>
        <v>3.5169999999999999</v>
      </c>
      <c r="J1916" s="8">
        <f>[1]Data!J1916</f>
        <v>3.3440765099999998</v>
      </c>
      <c r="K1916" s="8">
        <f>[1]Data!K1916</f>
        <v>3.3440765099999998</v>
      </c>
      <c r="L1916" s="8">
        <f>[1]Data!L1916</f>
        <v>0.17207732822262101</v>
      </c>
      <c r="M1916" s="8">
        <f>[1]Data!M1916</f>
        <v>3.5161538382226198</v>
      </c>
      <c r="N1916" s="8">
        <f>[1]Data!N1916</f>
        <v>2.2140221402214E-2</v>
      </c>
      <c r="O1916" s="8">
        <f>[1]Data!O1916</f>
        <v>0</v>
      </c>
      <c r="P1916" s="8">
        <f>[1]Data!P1916</f>
        <v>0.18081180811808101</v>
      </c>
      <c r="Q1916" s="8">
        <f>[1]Data!Q1916</f>
        <v>1</v>
      </c>
      <c r="R1916" s="8">
        <f>[1]Data!R1916</f>
        <v>0.30612244897959201</v>
      </c>
      <c r="S1916" s="8">
        <f>[1]Data!S1916</f>
        <v>0</v>
      </c>
      <c r="T1916">
        <f t="shared" si="145"/>
        <v>0.3214850515852099</v>
      </c>
      <c r="U1916">
        <f t="shared" si="146"/>
        <v>0</v>
      </c>
      <c r="V1916" s="4" t="str">
        <f t="shared" si="147"/>
        <v>12</v>
      </c>
      <c r="W1916" s="4" t="str">
        <f t="shared" si="148"/>
        <v>2</v>
      </c>
      <c r="X1916" s="4" t="str">
        <f t="shared" si="149"/>
        <v>12NON-HS2</v>
      </c>
      <c r="Y1916">
        <f>VLOOKUP(X1916,Sheet1!$J$5:$K$121,2,FALSE)</f>
        <v>0.30612244897959201</v>
      </c>
    </row>
    <row r="1917" spans="1:25" x14ac:dyDescent="0.25">
      <c r="A1917" s="8">
        <f>[1]Data!A1917</f>
        <v>113101</v>
      </c>
      <c r="B1917" s="8">
        <f>[1]Data!B1917</f>
        <v>2</v>
      </c>
      <c r="C1917" s="8">
        <f>[1]Data!C1917</f>
        <v>12</v>
      </c>
      <c r="D1917" s="8">
        <f>[1]Data!D1917</f>
        <v>5</v>
      </c>
      <c r="E1917" s="8" t="str">
        <f>[1]Data!E1917</f>
        <v>NON-HS</v>
      </c>
      <c r="F1917" s="8" t="str">
        <f>[1]Data!F1917</f>
        <v>Chatsworth</v>
      </c>
      <c r="G1917" s="8">
        <f>[1]Data!G1917</f>
        <v>0</v>
      </c>
      <c r="H1917" s="8">
        <f>[1]Data!H1917</f>
        <v>0</v>
      </c>
      <c r="I1917" s="8">
        <f>[1]Data!I1917</f>
        <v>3.0950000000000002</v>
      </c>
      <c r="J1917" s="8">
        <f>[1]Data!J1917</f>
        <v>1.9836996600000001</v>
      </c>
      <c r="K1917" s="8">
        <f>[1]Data!K1917</f>
        <v>2.9836996600000001</v>
      </c>
      <c r="L1917" s="8">
        <f>[1]Data!L1917</f>
        <v>0.11117260138240601</v>
      </c>
      <c r="M1917" s="8">
        <f>[1]Data!M1917</f>
        <v>3.09487226138241</v>
      </c>
      <c r="N1917" s="8">
        <f>[1]Data!N1917</f>
        <v>2.2140221402214E-2</v>
      </c>
      <c r="O1917" s="8">
        <f>[1]Data!O1917</f>
        <v>0</v>
      </c>
      <c r="P1917" s="8">
        <f>[1]Data!P1917</f>
        <v>0.18081180811808101</v>
      </c>
      <c r="Q1917" s="8">
        <f>[1]Data!Q1917</f>
        <v>1</v>
      </c>
      <c r="R1917" s="8">
        <f>[1]Data!R1917</f>
        <v>0.30612244897959201</v>
      </c>
      <c r="S1917" s="8">
        <f>[1]Data!S1917</f>
        <v>0</v>
      </c>
      <c r="T1917">
        <f t="shared" si="145"/>
        <v>0.3214850515852099</v>
      </c>
      <c r="U1917">
        <f t="shared" si="146"/>
        <v>0</v>
      </c>
      <c r="V1917" s="4" t="str">
        <f t="shared" si="147"/>
        <v>12</v>
      </c>
      <c r="W1917" s="4" t="str">
        <f t="shared" si="148"/>
        <v>2</v>
      </c>
      <c r="X1917" s="4" t="str">
        <f t="shared" si="149"/>
        <v>12NON-HS2</v>
      </c>
      <c r="Y1917">
        <f>VLOOKUP(X1917,Sheet1!$J$5:$K$121,2,FALSE)</f>
        <v>0.30612244897959201</v>
      </c>
    </row>
    <row r="1918" spans="1:25" x14ac:dyDescent="0.25">
      <c r="A1918" s="8">
        <f>[1]Data!A1918</f>
        <v>113211</v>
      </c>
      <c r="B1918" s="8">
        <f>[1]Data!B1918</f>
        <v>2</v>
      </c>
      <c r="C1918" s="8">
        <f>[1]Data!C1918</f>
        <v>12</v>
      </c>
      <c r="D1918" s="8">
        <f>[1]Data!D1918</f>
        <v>5</v>
      </c>
      <c r="E1918" s="8" t="str">
        <f>[1]Data!E1918</f>
        <v>NON-HS</v>
      </c>
      <c r="F1918" s="8" t="str">
        <f>[1]Data!F1918</f>
        <v>Chatsworth</v>
      </c>
      <c r="G1918" s="8">
        <f>[1]Data!G1918</f>
        <v>0</v>
      </c>
      <c r="H1918" s="8">
        <f>[1]Data!H1918</f>
        <v>0</v>
      </c>
      <c r="I1918" s="8">
        <f>[1]Data!I1918</f>
        <v>0</v>
      </c>
      <c r="J1918" s="8">
        <f>[1]Data!J1918</f>
        <v>0</v>
      </c>
      <c r="K1918" s="8">
        <f>[1]Data!K1918</f>
        <v>0</v>
      </c>
      <c r="L1918" s="8">
        <f>[1]Data!L1918</f>
        <v>0</v>
      </c>
      <c r="M1918" s="8">
        <f>[1]Data!M1918</f>
        <v>0</v>
      </c>
      <c r="N1918" s="8">
        <f>[1]Data!N1918</f>
        <v>2.2140221402214E-2</v>
      </c>
      <c r="O1918" s="8">
        <f>[1]Data!O1918</f>
        <v>0</v>
      </c>
      <c r="P1918" s="8">
        <f>[1]Data!P1918</f>
        <v>0.18081180811808101</v>
      </c>
      <c r="Q1918" s="8">
        <f>[1]Data!Q1918</f>
        <v>1</v>
      </c>
      <c r="R1918" s="8">
        <f>[1]Data!R1918</f>
        <v>0.30612244897959201</v>
      </c>
      <c r="S1918" s="8">
        <f>[1]Data!S1918</f>
        <v>0</v>
      </c>
      <c r="T1918">
        <f t="shared" si="145"/>
        <v>0.3214850515852099</v>
      </c>
      <c r="U1918">
        <f t="shared" si="146"/>
        <v>0</v>
      </c>
      <c r="V1918" s="4" t="str">
        <f t="shared" si="147"/>
        <v>12</v>
      </c>
      <c r="W1918" s="4" t="str">
        <f t="shared" si="148"/>
        <v>2</v>
      </c>
      <c r="X1918" s="4" t="str">
        <f t="shared" si="149"/>
        <v>12NON-HS2</v>
      </c>
      <c r="Y1918">
        <f>VLOOKUP(X1918,Sheet1!$J$5:$K$121,2,FALSE)</f>
        <v>0.30612244897959201</v>
      </c>
    </row>
    <row r="1919" spans="1:25" x14ac:dyDescent="0.25">
      <c r="A1919" s="8">
        <f>[1]Data!A1919</f>
        <v>980023</v>
      </c>
      <c r="B1919" s="8">
        <f>[1]Data!B1919</f>
        <v>2</v>
      </c>
      <c r="C1919" s="8">
        <f>[1]Data!C1919</f>
        <v>12</v>
      </c>
      <c r="D1919" s="8">
        <f>[1]Data!D1919</f>
        <v>5</v>
      </c>
      <c r="E1919" s="8" t="str">
        <f>[1]Data!E1919</f>
        <v>NON-HS</v>
      </c>
      <c r="F1919" s="8" t="str">
        <f>[1]Data!F1919</f>
        <v>Chatsworth</v>
      </c>
      <c r="G1919" s="8">
        <f>[1]Data!G1919</f>
        <v>0</v>
      </c>
      <c r="H1919" s="8">
        <f>[1]Data!H1919</f>
        <v>1</v>
      </c>
      <c r="I1919" s="8">
        <f>[1]Data!I1919</f>
        <v>0</v>
      </c>
      <c r="J1919" s="8">
        <f>[1]Data!J1919</f>
        <v>0</v>
      </c>
      <c r="K1919" s="8">
        <f>[1]Data!K1919</f>
        <v>0</v>
      </c>
      <c r="L1919" s="8">
        <f>[1]Data!L1919</f>
        <v>0</v>
      </c>
      <c r="M1919" s="8">
        <f>[1]Data!M1919</f>
        <v>0</v>
      </c>
      <c r="N1919" s="8">
        <f>[1]Data!N1919</f>
        <v>2.2140221402214E-2</v>
      </c>
      <c r="O1919" s="8">
        <f>[1]Data!O1919</f>
        <v>0</v>
      </c>
      <c r="P1919" s="8">
        <f>[1]Data!P1919</f>
        <v>0.18081180811808101</v>
      </c>
      <c r="Q1919" s="8">
        <f>[1]Data!Q1919</f>
        <v>1</v>
      </c>
      <c r="R1919" s="8">
        <f>[1]Data!R1919</f>
        <v>0.30612244897959201</v>
      </c>
      <c r="S1919" s="8">
        <f>[1]Data!S1919</f>
        <v>3.2666666666666702</v>
      </c>
      <c r="T1919">
        <f t="shared" si="145"/>
        <v>0.3214850515852099</v>
      </c>
      <c r="U1919">
        <f t="shared" si="146"/>
        <v>3.1105645350199094</v>
      </c>
      <c r="V1919" s="4" t="str">
        <f t="shared" si="147"/>
        <v>12</v>
      </c>
      <c r="W1919" s="4" t="str">
        <f t="shared" si="148"/>
        <v>2</v>
      </c>
      <c r="X1919" s="4" t="str">
        <f t="shared" si="149"/>
        <v>12NON-HS2</v>
      </c>
      <c r="Y1919">
        <f>VLOOKUP(X1919,Sheet1!$J$5:$K$121,2,FALSE)</f>
        <v>0.30612244897959201</v>
      </c>
    </row>
    <row r="1920" spans="1:25" x14ac:dyDescent="0.25">
      <c r="A1920" s="8">
        <f>[1]Data!A1920</f>
        <v>117302</v>
      </c>
      <c r="B1920" s="8">
        <f>[1]Data!B1920</f>
        <v>2</v>
      </c>
      <c r="C1920" s="8">
        <f>[1]Data!C1920</f>
        <v>12</v>
      </c>
      <c r="D1920" s="8">
        <f>[1]Data!D1920</f>
        <v>3</v>
      </c>
      <c r="E1920" s="8" t="str">
        <f>[1]Data!E1920</f>
        <v>NON-HS</v>
      </c>
      <c r="F1920" s="8" t="str">
        <f>[1]Data!F1920</f>
        <v>Northridge</v>
      </c>
      <c r="G1920" s="8">
        <f>[1]Data!G1920</f>
        <v>0</v>
      </c>
      <c r="H1920" s="8">
        <f>[1]Data!H1920</f>
        <v>0</v>
      </c>
      <c r="I1920" s="8">
        <f>[1]Data!I1920</f>
        <v>0</v>
      </c>
      <c r="J1920" s="8">
        <f>[1]Data!J1920</f>
        <v>0</v>
      </c>
      <c r="K1920" s="8">
        <f>[1]Data!K1920</f>
        <v>0</v>
      </c>
      <c r="L1920" s="8">
        <f>[1]Data!L1920</f>
        <v>0</v>
      </c>
      <c r="M1920" s="8">
        <f>[1]Data!M1920</f>
        <v>0</v>
      </c>
      <c r="N1920" s="8">
        <f>[1]Data!N1920</f>
        <v>2.2140221402214E-2</v>
      </c>
      <c r="O1920" s="8">
        <f>[1]Data!O1920</f>
        <v>0</v>
      </c>
      <c r="P1920" s="8">
        <f>[1]Data!P1920</f>
        <v>0.18081180811808101</v>
      </c>
      <c r="Q1920" s="8">
        <f>[1]Data!Q1920</f>
        <v>1</v>
      </c>
      <c r="R1920" s="8">
        <f>[1]Data!R1920</f>
        <v>0.30612244897959201</v>
      </c>
      <c r="S1920" s="8">
        <f>[1]Data!S1920</f>
        <v>0</v>
      </c>
      <c r="T1920">
        <f t="shared" si="145"/>
        <v>0.3214850515852099</v>
      </c>
      <c r="U1920">
        <f t="shared" si="146"/>
        <v>0</v>
      </c>
      <c r="V1920" s="4" t="str">
        <f t="shared" si="147"/>
        <v>12</v>
      </c>
      <c r="W1920" s="4" t="str">
        <f t="shared" si="148"/>
        <v>2</v>
      </c>
      <c r="X1920" s="4" t="str">
        <f t="shared" si="149"/>
        <v>12NON-HS2</v>
      </c>
      <c r="Y1920">
        <f>VLOOKUP(X1920,Sheet1!$J$5:$K$121,2,FALSE)</f>
        <v>0.30612244897959201</v>
      </c>
    </row>
    <row r="1921" spans="1:25" x14ac:dyDescent="0.25">
      <c r="A1921" s="8">
        <f>[1]Data!A1921</f>
        <v>134424</v>
      </c>
      <c r="B1921" s="8">
        <f>[1]Data!B1921</f>
        <v>2</v>
      </c>
      <c r="C1921" s="8">
        <f>[1]Data!C1921</f>
        <v>12</v>
      </c>
      <c r="D1921" s="8">
        <f>[1]Data!D1921</f>
        <v>5</v>
      </c>
      <c r="E1921" s="8" t="str">
        <f>[1]Data!E1921</f>
        <v>NON-HS</v>
      </c>
      <c r="F1921" s="8" t="str">
        <f>[1]Data!F1921</f>
        <v>West Hills</v>
      </c>
      <c r="G1921" s="8">
        <f>[1]Data!G1921</f>
        <v>0</v>
      </c>
      <c r="H1921" s="8">
        <f>[1]Data!H1921</f>
        <v>0</v>
      </c>
      <c r="I1921" s="8">
        <f>[1]Data!I1921</f>
        <v>1.591</v>
      </c>
      <c r="J1921" s="8">
        <f>[1]Data!J1921</f>
        <v>1.43919657</v>
      </c>
      <c r="K1921" s="8">
        <f>[1]Data!K1921</f>
        <v>1.43919657</v>
      </c>
      <c r="L1921" s="8">
        <f>[1]Data!L1921</f>
        <v>0.15145200614003601</v>
      </c>
      <c r="M1921" s="8">
        <f>[1]Data!M1921</f>
        <v>1.59064857614004</v>
      </c>
      <c r="N1921" s="8">
        <f>[1]Data!N1921</f>
        <v>2.2140221402214E-2</v>
      </c>
      <c r="O1921" s="8">
        <f>[1]Data!O1921</f>
        <v>0</v>
      </c>
      <c r="P1921" s="8">
        <f>[1]Data!P1921</f>
        <v>0.18081180811808101</v>
      </c>
      <c r="Q1921" s="8">
        <f>[1]Data!Q1921</f>
        <v>1</v>
      </c>
      <c r="R1921" s="8">
        <f>[1]Data!R1921</f>
        <v>0.30612244897959201</v>
      </c>
      <c r="S1921" s="8">
        <f>[1]Data!S1921</f>
        <v>0</v>
      </c>
      <c r="T1921">
        <f t="shared" si="145"/>
        <v>0.3214850515852099</v>
      </c>
      <c r="U1921">
        <f t="shared" si="146"/>
        <v>0</v>
      </c>
      <c r="V1921" s="4" t="str">
        <f t="shared" si="147"/>
        <v>12</v>
      </c>
      <c r="W1921" s="4" t="str">
        <f t="shared" si="148"/>
        <v>2</v>
      </c>
      <c r="X1921" s="4" t="str">
        <f t="shared" si="149"/>
        <v>12NON-HS2</v>
      </c>
      <c r="Y1921">
        <f>VLOOKUP(X1921,Sheet1!$J$5:$K$121,2,FALSE)</f>
        <v>0.30612244897959201</v>
      </c>
    </row>
    <row r="1922" spans="1:25" x14ac:dyDescent="0.25">
      <c r="A1922" s="8">
        <f>[1]Data!A1922</f>
        <v>108104</v>
      </c>
      <c r="B1922" s="8">
        <f>[1]Data!B1922</f>
        <v>2</v>
      </c>
      <c r="C1922" s="8">
        <f>[1]Data!C1922</f>
        <v>12</v>
      </c>
      <c r="D1922" s="8">
        <f>[1]Data!D1922</f>
        <v>5</v>
      </c>
      <c r="E1922" s="8" t="str">
        <f>[1]Data!E1922</f>
        <v>NON-HS</v>
      </c>
      <c r="F1922" s="8" t="str">
        <f>[1]Data!F1922</f>
        <v>Porter Ranch</v>
      </c>
      <c r="G1922" s="8">
        <f>[1]Data!G1922</f>
        <v>0</v>
      </c>
      <c r="H1922" s="8">
        <f>[1]Data!H1922</f>
        <v>1</v>
      </c>
      <c r="I1922" s="8">
        <f>[1]Data!I1922</f>
        <v>0</v>
      </c>
      <c r="J1922" s="8">
        <f>[1]Data!J1922</f>
        <v>0</v>
      </c>
      <c r="K1922" s="8">
        <f>[1]Data!K1922</f>
        <v>0</v>
      </c>
      <c r="L1922" s="8">
        <f>[1]Data!L1922</f>
        <v>0</v>
      </c>
      <c r="M1922" s="8">
        <f>[1]Data!M1922</f>
        <v>0</v>
      </c>
      <c r="N1922" s="8">
        <f>[1]Data!N1922</f>
        <v>2.2140221402214E-2</v>
      </c>
      <c r="O1922" s="8">
        <f>[1]Data!O1922</f>
        <v>0</v>
      </c>
      <c r="P1922" s="8">
        <f>[1]Data!P1922</f>
        <v>0.18081180811808101</v>
      </c>
      <c r="Q1922" s="8">
        <f>[1]Data!Q1922</f>
        <v>1</v>
      </c>
      <c r="R1922" s="8">
        <f>[1]Data!R1922</f>
        <v>0.30612244897959201</v>
      </c>
      <c r="S1922" s="8">
        <f>[1]Data!S1922</f>
        <v>3.2666666666666702</v>
      </c>
      <c r="T1922">
        <f t="shared" si="145"/>
        <v>0.3214850515852099</v>
      </c>
      <c r="U1922">
        <f t="shared" si="146"/>
        <v>3.1105645350199094</v>
      </c>
      <c r="V1922" s="4" t="str">
        <f t="shared" si="147"/>
        <v>12</v>
      </c>
      <c r="W1922" s="4" t="str">
        <f t="shared" si="148"/>
        <v>2</v>
      </c>
      <c r="X1922" s="4" t="str">
        <f t="shared" si="149"/>
        <v>12NON-HS2</v>
      </c>
      <c r="Y1922">
        <f>VLOOKUP(X1922,Sheet1!$J$5:$K$121,2,FALSE)</f>
        <v>0.30612244897959201</v>
      </c>
    </row>
    <row r="1923" spans="1:25" x14ac:dyDescent="0.25">
      <c r="A1923" s="8">
        <f>[1]Data!A1923</f>
        <v>134421</v>
      </c>
      <c r="B1923" s="8">
        <f>[1]Data!B1923</f>
        <v>2</v>
      </c>
      <c r="C1923" s="8">
        <f>[1]Data!C1923</f>
        <v>12</v>
      </c>
      <c r="D1923" s="8">
        <f>[1]Data!D1923</f>
        <v>3</v>
      </c>
      <c r="E1923" s="8" t="str">
        <f>[1]Data!E1923</f>
        <v>NON-HS</v>
      </c>
      <c r="F1923" s="8" t="str">
        <f>[1]Data!F1923</f>
        <v>West Hills</v>
      </c>
      <c r="G1923" s="8">
        <f>[1]Data!G1923</f>
        <v>0</v>
      </c>
      <c r="H1923" s="8">
        <f>[1]Data!H1923</f>
        <v>0</v>
      </c>
      <c r="I1923" s="8">
        <f>[1]Data!I1923</f>
        <v>2.0950000000000002</v>
      </c>
      <c r="J1923" s="8">
        <f>[1]Data!J1923</f>
        <v>1.9836996600000001</v>
      </c>
      <c r="K1923" s="8">
        <f>[1]Data!K1923</f>
        <v>1.9836996600000001</v>
      </c>
      <c r="L1923" s="8">
        <f>[1]Data!L1923</f>
        <v>0.11117260138240601</v>
      </c>
      <c r="M1923" s="8">
        <f>[1]Data!M1923</f>
        <v>2.09487226138241</v>
      </c>
      <c r="N1923" s="8">
        <f>[1]Data!N1923</f>
        <v>2.2140221402214E-2</v>
      </c>
      <c r="O1923" s="8">
        <f>[1]Data!O1923</f>
        <v>0</v>
      </c>
      <c r="P1923" s="8">
        <f>[1]Data!P1923</f>
        <v>0.18081180811808101</v>
      </c>
      <c r="Q1923" s="8">
        <f>[1]Data!Q1923</f>
        <v>1</v>
      </c>
      <c r="R1923" s="8">
        <f>[1]Data!R1923</f>
        <v>0.30612244897959201</v>
      </c>
      <c r="S1923" s="8">
        <f>[1]Data!S1923</f>
        <v>0</v>
      </c>
      <c r="T1923">
        <f t="shared" ref="T1923:T1986" si="150">N1923+Y1923*(1-N1923)</f>
        <v>0.3214850515852099</v>
      </c>
      <c r="U1923">
        <f t="shared" ref="U1923:U1986" si="151">IF(T1923="",0,1/T1923*H1923)</f>
        <v>0</v>
      </c>
      <c r="V1923" s="4" t="str">
        <f t="shared" ref="V1923:V1986" si="152">TEXT(C1923,"0")</f>
        <v>12</v>
      </c>
      <c r="W1923" s="4" t="str">
        <f t="shared" ref="W1923:W1986" si="153">TEXT(B1923,"0")</f>
        <v>2</v>
      </c>
      <c r="X1923" s="4" t="str">
        <f t="shared" ref="X1923:X1986" si="154">CONCATENATE(V1923,E1923,W1923)</f>
        <v>12NON-HS2</v>
      </c>
      <c r="Y1923">
        <f>VLOOKUP(X1923,Sheet1!$J$5:$K$121,2,FALSE)</f>
        <v>0.30612244897959201</v>
      </c>
    </row>
    <row r="1924" spans="1:25" x14ac:dyDescent="0.25">
      <c r="A1924" s="8">
        <f>[1]Data!A1924</f>
        <v>109800</v>
      </c>
      <c r="B1924" s="8">
        <f>[1]Data!B1924</f>
        <v>2</v>
      </c>
      <c r="C1924" s="8">
        <f>[1]Data!C1924</f>
        <v>12</v>
      </c>
      <c r="D1924" s="8">
        <f>[1]Data!D1924</f>
        <v>3</v>
      </c>
      <c r="E1924" s="8" t="str">
        <f>[1]Data!E1924</f>
        <v>NON-HS</v>
      </c>
      <c r="F1924" s="8" t="str">
        <f>[1]Data!F1924</f>
        <v>North Hills</v>
      </c>
      <c r="G1924" s="8">
        <f>[1]Data!G1924</f>
        <v>0</v>
      </c>
      <c r="H1924" s="8">
        <f>[1]Data!H1924</f>
        <v>1</v>
      </c>
      <c r="I1924" s="8">
        <f>[1]Data!I1924</f>
        <v>5.1020000000000003</v>
      </c>
      <c r="J1924" s="8">
        <f>[1]Data!J1924</f>
        <v>4.8536203599999999</v>
      </c>
      <c r="K1924" s="8">
        <f>[1]Data!K1924</f>
        <v>4.8536203599999999</v>
      </c>
      <c r="L1924" s="8">
        <f>[1]Data!L1924</f>
        <v>0.247929448186715</v>
      </c>
      <c r="M1924" s="8">
        <f>[1]Data!M1924</f>
        <v>5.1015498081867197</v>
      </c>
      <c r="N1924" s="8">
        <f>[1]Data!N1924</f>
        <v>2.2140221402214E-2</v>
      </c>
      <c r="O1924" s="8">
        <f>[1]Data!O1924</f>
        <v>0</v>
      </c>
      <c r="P1924" s="8">
        <f>[1]Data!P1924</f>
        <v>0.18081180811808101</v>
      </c>
      <c r="Q1924" s="8">
        <f>[1]Data!Q1924</f>
        <v>1</v>
      </c>
      <c r="R1924" s="8">
        <f>[1]Data!R1924</f>
        <v>0.30612244897959201</v>
      </c>
      <c r="S1924" s="8">
        <f>[1]Data!S1924</f>
        <v>3.2666666666666702</v>
      </c>
      <c r="T1924">
        <f t="shared" si="150"/>
        <v>0.3214850515852099</v>
      </c>
      <c r="U1924">
        <f t="shared" si="151"/>
        <v>3.1105645350199094</v>
      </c>
      <c r="V1924" s="4" t="str">
        <f t="shared" si="152"/>
        <v>12</v>
      </c>
      <c r="W1924" s="4" t="str">
        <f t="shared" si="153"/>
        <v>2</v>
      </c>
      <c r="X1924" s="4" t="str">
        <f t="shared" si="154"/>
        <v>12NON-HS2</v>
      </c>
      <c r="Y1924">
        <f>VLOOKUP(X1924,Sheet1!$J$5:$K$121,2,FALSE)</f>
        <v>0.30612244897959201</v>
      </c>
    </row>
    <row r="1925" spans="1:25" x14ac:dyDescent="0.25">
      <c r="A1925" s="8">
        <f>[1]Data!A1925</f>
        <v>111201</v>
      </c>
      <c r="B1925" s="8">
        <f>[1]Data!B1925</f>
        <v>2</v>
      </c>
      <c r="C1925" s="8">
        <f>[1]Data!C1925</f>
        <v>12</v>
      </c>
      <c r="D1925" s="8">
        <f>[1]Data!D1925</f>
        <v>5</v>
      </c>
      <c r="E1925" s="8" t="str">
        <f>[1]Data!E1925</f>
        <v>NON-HS</v>
      </c>
      <c r="F1925" s="8" t="str">
        <f>[1]Data!F1925</f>
        <v>Granada Hills</v>
      </c>
      <c r="G1925" s="8">
        <f>[1]Data!G1925</f>
        <v>0</v>
      </c>
      <c r="H1925" s="8">
        <f>[1]Data!H1925</f>
        <v>0</v>
      </c>
      <c r="I1925" s="8">
        <f>[1]Data!I1925</f>
        <v>1.7030000000000001</v>
      </c>
      <c r="J1925" s="8">
        <f>[1]Data!J1925</f>
        <v>1.6812916200000001</v>
      </c>
      <c r="K1925" s="8">
        <f>[1]Data!K1925</f>
        <v>1.6812916200000001</v>
      </c>
      <c r="L1925" s="8">
        <f>[1]Data!L1925</f>
        <v>2.14919317594255E-2</v>
      </c>
      <c r="M1925" s="8">
        <f>[1]Data!M1925</f>
        <v>1.7027835517594301</v>
      </c>
      <c r="N1925" s="8">
        <f>[1]Data!N1925</f>
        <v>2.2140221402214E-2</v>
      </c>
      <c r="O1925" s="8">
        <f>[1]Data!O1925</f>
        <v>0</v>
      </c>
      <c r="P1925" s="8">
        <f>[1]Data!P1925</f>
        <v>0.18081180811808101</v>
      </c>
      <c r="Q1925" s="8">
        <f>[1]Data!Q1925</f>
        <v>1</v>
      </c>
      <c r="R1925" s="8">
        <f>[1]Data!R1925</f>
        <v>0.30612244897959201</v>
      </c>
      <c r="S1925" s="8">
        <f>[1]Data!S1925</f>
        <v>0</v>
      </c>
      <c r="T1925">
        <f t="shared" si="150"/>
        <v>0.3214850515852099</v>
      </c>
      <c r="U1925">
        <f t="shared" si="151"/>
        <v>0</v>
      </c>
      <c r="V1925" s="4" t="str">
        <f t="shared" si="152"/>
        <v>12</v>
      </c>
      <c r="W1925" s="4" t="str">
        <f t="shared" si="153"/>
        <v>2</v>
      </c>
      <c r="X1925" s="4" t="str">
        <f t="shared" si="154"/>
        <v>12NON-HS2</v>
      </c>
      <c r="Y1925">
        <f>VLOOKUP(X1925,Sheet1!$J$5:$K$121,2,FALSE)</f>
        <v>0.30612244897959201</v>
      </c>
    </row>
    <row r="1926" spans="1:25" x14ac:dyDescent="0.25">
      <c r="A1926" s="8">
        <f>[1]Data!A1926</f>
        <v>108201</v>
      </c>
      <c r="B1926" s="8">
        <f>[1]Data!B1926</f>
        <v>2</v>
      </c>
      <c r="C1926" s="8">
        <f>[1]Data!C1926</f>
        <v>12</v>
      </c>
      <c r="D1926" s="8">
        <f>[1]Data!D1926</f>
        <v>5</v>
      </c>
      <c r="E1926" s="8" t="str">
        <f>[1]Data!E1926</f>
        <v>NON-HS</v>
      </c>
      <c r="F1926" s="8" t="str">
        <f>[1]Data!F1926</f>
        <v>Porter Ranch</v>
      </c>
      <c r="G1926" s="8">
        <f>[1]Data!G1926</f>
        <v>0</v>
      </c>
      <c r="H1926" s="8">
        <f>[1]Data!H1926</f>
        <v>1</v>
      </c>
      <c r="I1926" s="8">
        <f>[1]Data!I1926</f>
        <v>4.6859999999999999</v>
      </c>
      <c r="J1926" s="8">
        <f>[1]Data!J1926</f>
        <v>3.4228962300000001</v>
      </c>
      <c r="K1926" s="8">
        <f>[1]Data!K1926</f>
        <v>4.4228962300000001</v>
      </c>
      <c r="L1926" s="8">
        <f>[1]Data!L1926</f>
        <v>0.26262460752244199</v>
      </c>
      <c r="M1926" s="8">
        <f>[1]Data!M1926</f>
        <v>4.6855208375224402</v>
      </c>
      <c r="N1926" s="8">
        <f>[1]Data!N1926</f>
        <v>2.2140221402214E-2</v>
      </c>
      <c r="O1926" s="8">
        <f>[1]Data!O1926</f>
        <v>0</v>
      </c>
      <c r="P1926" s="8">
        <f>[1]Data!P1926</f>
        <v>0.18081180811808101</v>
      </c>
      <c r="Q1926" s="8">
        <f>[1]Data!Q1926</f>
        <v>1</v>
      </c>
      <c r="R1926" s="8">
        <f>[1]Data!R1926</f>
        <v>0.30612244897959201</v>
      </c>
      <c r="S1926" s="8">
        <f>[1]Data!S1926</f>
        <v>3.2666666666666702</v>
      </c>
      <c r="T1926">
        <f t="shared" si="150"/>
        <v>0.3214850515852099</v>
      </c>
      <c r="U1926">
        <f t="shared" si="151"/>
        <v>3.1105645350199094</v>
      </c>
      <c r="V1926" s="4" t="str">
        <f t="shared" si="152"/>
        <v>12</v>
      </c>
      <c r="W1926" s="4" t="str">
        <f t="shared" si="153"/>
        <v>2</v>
      </c>
      <c r="X1926" s="4" t="str">
        <f t="shared" si="154"/>
        <v>12NON-HS2</v>
      </c>
      <c r="Y1926">
        <f>VLOOKUP(X1926,Sheet1!$J$5:$K$121,2,FALSE)</f>
        <v>0.30612244897959201</v>
      </c>
    </row>
    <row r="1927" spans="1:25" x14ac:dyDescent="0.25">
      <c r="A1927" s="8">
        <f>[1]Data!A1927</f>
        <v>115103</v>
      </c>
      <c r="B1927" s="8">
        <f>[1]Data!B1927</f>
        <v>2</v>
      </c>
      <c r="C1927" s="8">
        <f>[1]Data!C1927</f>
        <v>12</v>
      </c>
      <c r="D1927" s="8">
        <f>[1]Data!D1927</f>
        <v>5</v>
      </c>
      <c r="E1927" s="8" t="str">
        <f>[1]Data!E1927</f>
        <v>NON-HS</v>
      </c>
      <c r="F1927" s="8" t="str">
        <f>[1]Data!F1927</f>
        <v>Northridge</v>
      </c>
      <c r="G1927" s="8">
        <f>[1]Data!G1927</f>
        <v>0</v>
      </c>
      <c r="H1927" s="8">
        <f>[1]Data!H1927</f>
        <v>0</v>
      </c>
      <c r="I1927" s="8">
        <f>[1]Data!I1927</f>
        <v>0</v>
      </c>
      <c r="J1927" s="8">
        <f>[1]Data!J1927</f>
        <v>0</v>
      </c>
      <c r="K1927" s="8">
        <f>[1]Data!K1927</f>
        <v>0</v>
      </c>
      <c r="L1927" s="8">
        <f>[1]Data!L1927</f>
        <v>0</v>
      </c>
      <c r="M1927" s="8">
        <f>[1]Data!M1927</f>
        <v>0</v>
      </c>
      <c r="N1927" s="8">
        <f>[1]Data!N1927</f>
        <v>2.2140221402214E-2</v>
      </c>
      <c r="O1927" s="8">
        <f>[1]Data!O1927</f>
        <v>0</v>
      </c>
      <c r="P1927" s="8">
        <f>[1]Data!P1927</f>
        <v>0.18081180811808101</v>
      </c>
      <c r="Q1927" s="8">
        <f>[1]Data!Q1927</f>
        <v>1</v>
      </c>
      <c r="R1927" s="8">
        <f>[1]Data!R1927</f>
        <v>0.30612244897959201</v>
      </c>
      <c r="S1927" s="8">
        <f>[1]Data!S1927</f>
        <v>0</v>
      </c>
      <c r="T1927">
        <f t="shared" si="150"/>
        <v>0.3214850515852099</v>
      </c>
      <c r="U1927">
        <f t="shared" si="151"/>
        <v>0</v>
      </c>
      <c r="V1927" s="4" t="str">
        <f t="shared" si="152"/>
        <v>12</v>
      </c>
      <c r="W1927" s="4" t="str">
        <f t="shared" si="153"/>
        <v>2</v>
      </c>
      <c r="X1927" s="4" t="str">
        <f t="shared" si="154"/>
        <v>12NON-HS2</v>
      </c>
      <c r="Y1927">
        <f>VLOOKUP(X1927,Sheet1!$J$5:$K$121,2,FALSE)</f>
        <v>0.30612244897959201</v>
      </c>
    </row>
    <row r="1928" spans="1:25" x14ac:dyDescent="0.25">
      <c r="A1928" s="8">
        <f>[1]Data!A1928</f>
        <v>111206</v>
      </c>
      <c r="B1928" s="8">
        <f>[1]Data!B1928</f>
        <v>2</v>
      </c>
      <c r="C1928" s="8">
        <f>[1]Data!C1928</f>
        <v>12</v>
      </c>
      <c r="D1928" s="8">
        <f>[1]Data!D1928</f>
        <v>5</v>
      </c>
      <c r="E1928" s="8" t="str">
        <f>[1]Data!E1928</f>
        <v>NON-HS</v>
      </c>
      <c r="F1928" s="8" t="str">
        <f>[1]Data!F1928</f>
        <v>Northridge</v>
      </c>
      <c r="G1928" s="8">
        <f>[1]Data!G1928</f>
        <v>0</v>
      </c>
      <c r="H1928" s="8">
        <f>[1]Data!H1928</f>
        <v>0</v>
      </c>
      <c r="I1928" s="8">
        <f>[1]Data!I1928</f>
        <v>0</v>
      </c>
      <c r="J1928" s="8">
        <f>[1]Data!J1928</f>
        <v>0</v>
      </c>
      <c r="K1928" s="8">
        <f>[1]Data!K1928</f>
        <v>0</v>
      </c>
      <c r="L1928" s="8">
        <f>[1]Data!L1928</f>
        <v>0</v>
      </c>
      <c r="M1928" s="8">
        <f>[1]Data!M1928</f>
        <v>0</v>
      </c>
      <c r="N1928" s="8">
        <f>[1]Data!N1928</f>
        <v>2.2140221402214E-2</v>
      </c>
      <c r="O1928" s="8">
        <f>[1]Data!O1928</f>
        <v>0</v>
      </c>
      <c r="P1928" s="8">
        <f>[1]Data!P1928</f>
        <v>0.18081180811808101</v>
      </c>
      <c r="Q1928" s="8">
        <f>[1]Data!Q1928</f>
        <v>1</v>
      </c>
      <c r="R1928" s="8">
        <f>[1]Data!R1928</f>
        <v>0.30612244897959201</v>
      </c>
      <c r="S1928" s="8">
        <f>[1]Data!S1928</f>
        <v>0</v>
      </c>
      <c r="T1928">
        <f t="shared" si="150"/>
        <v>0.3214850515852099</v>
      </c>
      <c r="U1928">
        <f t="shared" si="151"/>
        <v>0</v>
      </c>
      <c r="V1928" s="4" t="str">
        <f t="shared" si="152"/>
        <v>12</v>
      </c>
      <c r="W1928" s="4" t="str">
        <f t="shared" si="153"/>
        <v>2</v>
      </c>
      <c r="X1928" s="4" t="str">
        <f t="shared" si="154"/>
        <v>12NON-HS2</v>
      </c>
      <c r="Y1928">
        <f>VLOOKUP(X1928,Sheet1!$J$5:$K$121,2,FALSE)</f>
        <v>0.30612244897959201</v>
      </c>
    </row>
    <row r="1929" spans="1:25" x14ac:dyDescent="0.25">
      <c r="A1929" s="8">
        <f>[1]Data!A1929</f>
        <v>134302</v>
      </c>
      <c r="B1929" s="8">
        <f>[1]Data!B1929</f>
        <v>2</v>
      </c>
      <c r="C1929" s="8">
        <f>[1]Data!C1929</f>
        <v>12</v>
      </c>
      <c r="D1929" s="8">
        <f>[1]Data!D1929</f>
        <v>5</v>
      </c>
      <c r="E1929" s="8" t="str">
        <f>[1]Data!E1929</f>
        <v>NON-HS</v>
      </c>
      <c r="F1929" s="8" t="str">
        <f>[1]Data!F1929</f>
        <v>West Hills</v>
      </c>
      <c r="G1929" s="8">
        <f>[1]Data!G1929</f>
        <v>0</v>
      </c>
      <c r="H1929" s="8">
        <f>[1]Data!H1929</f>
        <v>0</v>
      </c>
      <c r="I1929" s="8">
        <f>[1]Data!I1929</f>
        <v>1.8080000000000001</v>
      </c>
      <c r="J1929" s="8">
        <f>[1]Data!J1929</f>
        <v>1.73313217</v>
      </c>
      <c r="K1929" s="8">
        <f>[1]Data!K1929</f>
        <v>1.73313217</v>
      </c>
      <c r="L1929" s="8">
        <f>[1]Data!L1929</f>
        <v>7.4985510287253102E-2</v>
      </c>
      <c r="M1929" s="8">
        <f>[1]Data!M1929</f>
        <v>1.8081176802872501</v>
      </c>
      <c r="N1929" s="8">
        <f>[1]Data!N1929</f>
        <v>2.2140221402214E-2</v>
      </c>
      <c r="O1929" s="8">
        <f>[1]Data!O1929</f>
        <v>0</v>
      </c>
      <c r="P1929" s="8">
        <f>[1]Data!P1929</f>
        <v>0.18081180811808101</v>
      </c>
      <c r="Q1929" s="8">
        <f>[1]Data!Q1929</f>
        <v>1</v>
      </c>
      <c r="R1929" s="8">
        <f>[1]Data!R1929</f>
        <v>0.30612244897959201</v>
      </c>
      <c r="S1929" s="8">
        <f>[1]Data!S1929</f>
        <v>0</v>
      </c>
      <c r="T1929">
        <f t="shared" si="150"/>
        <v>0.3214850515852099</v>
      </c>
      <c r="U1929">
        <f t="shared" si="151"/>
        <v>0</v>
      </c>
      <c r="V1929" s="4" t="str">
        <f t="shared" si="152"/>
        <v>12</v>
      </c>
      <c r="W1929" s="4" t="str">
        <f t="shared" si="153"/>
        <v>2</v>
      </c>
      <c r="X1929" s="4" t="str">
        <f t="shared" si="154"/>
        <v>12NON-HS2</v>
      </c>
      <c r="Y1929">
        <f>VLOOKUP(X1929,Sheet1!$J$5:$K$121,2,FALSE)</f>
        <v>0.30612244897959201</v>
      </c>
    </row>
    <row r="1930" spans="1:25" x14ac:dyDescent="0.25">
      <c r="A1930" s="8">
        <f>[1]Data!A1930</f>
        <v>113232</v>
      </c>
      <c r="B1930" s="8">
        <f>[1]Data!B1930</f>
        <v>2</v>
      </c>
      <c r="C1930" s="8">
        <f>[1]Data!C1930</f>
        <v>12</v>
      </c>
      <c r="D1930" s="8">
        <f>[1]Data!D1930</f>
        <v>5</v>
      </c>
      <c r="E1930" s="8" t="str">
        <f>[1]Data!E1930</f>
        <v>NON-HS</v>
      </c>
      <c r="F1930" s="8" t="str">
        <f>[1]Data!F1930</f>
        <v>West Hills</v>
      </c>
      <c r="G1930" s="8">
        <f>[1]Data!G1930</f>
        <v>0</v>
      </c>
      <c r="H1930" s="8">
        <f>[1]Data!H1930</f>
        <v>0</v>
      </c>
      <c r="I1930" s="8">
        <f>[1]Data!I1930</f>
        <v>6.2850000000000001</v>
      </c>
      <c r="J1930" s="8">
        <f>[1]Data!J1930</f>
        <v>5.9510989800000003</v>
      </c>
      <c r="K1930" s="8">
        <f>[1]Data!K1930</f>
        <v>5.9510989800000003</v>
      </c>
      <c r="L1930" s="8">
        <f>[1]Data!L1930</f>
        <v>0.33351780414721699</v>
      </c>
      <c r="M1930" s="8">
        <f>[1]Data!M1930</f>
        <v>6.2846167841472198</v>
      </c>
      <c r="N1930" s="8">
        <f>[1]Data!N1930</f>
        <v>2.2140221402214E-2</v>
      </c>
      <c r="O1930" s="8">
        <f>[1]Data!O1930</f>
        <v>0</v>
      </c>
      <c r="P1930" s="8">
        <f>[1]Data!P1930</f>
        <v>0.18081180811808101</v>
      </c>
      <c r="Q1930" s="8">
        <f>[1]Data!Q1930</f>
        <v>1</v>
      </c>
      <c r="R1930" s="8">
        <f>[1]Data!R1930</f>
        <v>0.30612244897959201</v>
      </c>
      <c r="S1930" s="8">
        <f>[1]Data!S1930</f>
        <v>0</v>
      </c>
      <c r="T1930">
        <f t="shared" si="150"/>
        <v>0.3214850515852099</v>
      </c>
      <c r="U1930">
        <f t="shared" si="151"/>
        <v>0</v>
      </c>
      <c r="V1930" s="4" t="str">
        <f t="shared" si="152"/>
        <v>12</v>
      </c>
      <c r="W1930" s="4" t="str">
        <f t="shared" si="153"/>
        <v>2</v>
      </c>
      <c r="X1930" s="4" t="str">
        <f t="shared" si="154"/>
        <v>12NON-HS2</v>
      </c>
      <c r="Y1930">
        <f>VLOOKUP(X1930,Sheet1!$J$5:$K$121,2,FALSE)</f>
        <v>0.30612244897959201</v>
      </c>
    </row>
    <row r="1931" spans="1:25" x14ac:dyDescent="0.25">
      <c r="A1931" s="8">
        <f>[1]Data!A1931</f>
        <v>131010</v>
      </c>
      <c r="B1931" s="8">
        <f>[1]Data!B1931</f>
        <v>2</v>
      </c>
      <c r="C1931" s="8">
        <f>[1]Data!C1931</f>
        <v>12</v>
      </c>
      <c r="D1931" s="8">
        <f>[1]Data!D1931</f>
        <v>3</v>
      </c>
      <c r="E1931" s="8" t="str">
        <f>[1]Data!E1931</f>
        <v>NON-HS</v>
      </c>
      <c r="F1931" s="8" t="str">
        <f>[1]Data!F1931</f>
        <v>Reseda</v>
      </c>
      <c r="G1931" s="8">
        <f>[1]Data!G1931</f>
        <v>0</v>
      </c>
      <c r="H1931" s="8">
        <f>[1]Data!H1931</f>
        <v>1</v>
      </c>
      <c r="I1931" s="8">
        <f>[1]Data!I1931</f>
        <v>3.0950000000000002</v>
      </c>
      <c r="J1931" s="8">
        <f>[1]Data!J1931</f>
        <v>1.9836996600000001</v>
      </c>
      <c r="K1931" s="8">
        <f>[1]Data!K1931</f>
        <v>2.9836996600000001</v>
      </c>
      <c r="L1931" s="8">
        <f>[1]Data!L1931</f>
        <v>0.11117260138240601</v>
      </c>
      <c r="M1931" s="8">
        <f>[1]Data!M1931</f>
        <v>3.09487226138241</v>
      </c>
      <c r="N1931" s="8">
        <f>[1]Data!N1931</f>
        <v>2.2140221402214E-2</v>
      </c>
      <c r="O1931" s="8">
        <f>[1]Data!O1931</f>
        <v>0</v>
      </c>
      <c r="P1931" s="8">
        <f>[1]Data!P1931</f>
        <v>0.18081180811808101</v>
      </c>
      <c r="Q1931" s="8">
        <f>[1]Data!Q1931</f>
        <v>1</v>
      </c>
      <c r="R1931" s="8">
        <f>[1]Data!R1931</f>
        <v>0.30612244897959201</v>
      </c>
      <c r="S1931" s="8">
        <f>[1]Data!S1931</f>
        <v>3.2666666666666702</v>
      </c>
      <c r="T1931">
        <f t="shared" si="150"/>
        <v>0.3214850515852099</v>
      </c>
      <c r="U1931">
        <f t="shared" si="151"/>
        <v>3.1105645350199094</v>
      </c>
      <c r="V1931" s="4" t="str">
        <f t="shared" si="152"/>
        <v>12</v>
      </c>
      <c r="W1931" s="4" t="str">
        <f t="shared" si="153"/>
        <v>2</v>
      </c>
      <c r="X1931" s="4" t="str">
        <f t="shared" si="154"/>
        <v>12NON-HS2</v>
      </c>
      <c r="Y1931">
        <f>VLOOKUP(X1931,Sheet1!$J$5:$K$121,2,FALSE)</f>
        <v>0.30612244897959201</v>
      </c>
    </row>
    <row r="1932" spans="1:25" x14ac:dyDescent="0.25">
      <c r="A1932" s="8">
        <f>[1]Data!A1932</f>
        <v>135203</v>
      </c>
      <c r="B1932" s="8">
        <f>[1]Data!B1932</f>
        <v>2</v>
      </c>
      <c r="C1932" s="8">
        <f>[1]Data!C1932</f>
        <v>12</v>
      </c>
      <c r="D1932" s="8">
        <f>[1]Data!D1932</f>
        <v>3</v>
      </c>
      <c r="E1932" s="8" t="str">
        <f>[1]Data!E1932</f>
        <v>NON-HS</v>
      </c>
      <c r="F1932" s="8" t="str">
        <f>[1]Data!F1932</f>
        <v>West Hills</v>
      </c>
      <c r="G1932" s="8">
        <f>[1]Data!G1932</f>
        <v>0</v>
      </c>
      <c r="H1932" s="8">
        <f>[1]Data!H1932</f>
        <v>0</v>
      </c>
      <c r="I1932" s="8">
        <f>[1]Data!I1932</f>
        <v>3.798</v>
      </c>
      <c r="J1932" s="8">
        <f>[1]Data!J1932</f>
        <v>3.6649912800000002</v>
      </c>
      <c r="K1932" s="8">
        <f>[1]Data!K1932</f>
        <v>3.6649912800000002</v>
      </c>
      <c r="L1932" s="8">
        <f>[1]Data!L1932</f>
        <v>0.13266453314183099</v>
      </c>
      <c r="M1932" s="8">
        <f>[1]Data!M1932</f>
        <v>3.7976558131418301</v>
      </c>
      <c r="N1932" s="8">
        <f>[1]Data!N1932</f>
        <v>2.2140221402214E-2</v>
      </c>
      <c r="O1932" s="8">
        <f>[1]Data!O1932</f>
        <v>0</v>
      </c>
      <c r="P1932" s="8">
        <f>[1]Data!P1932</f>
        <v>0.18081180811808101</v>
      </c>
      <c r="Q1932" s="8">
        <f>[1]Data!Q1932</f>
        <v>1</v>
      </c>
      <c r="R1932" s="8">
        <f>[1]Data!R1932</f>
        <v>0.30612244897959201</v>
      </c>
      <c r="S1932" s="8">
        <f>[1]Data!S1932</f>
        <v>0</v>
      </c>
      <c r="T1932">
        <f t="shared" si="150"/>
        <v>0.3214850515852099</v>
      </c>
      <c r="U1932">
        <f t="shared" si="151"/>
        <v>0</v>
      </c>
      <c r="V1932" s="4" t="str">
        <f t="shared" si="152"/>
        <v>12</v>
      </c>
      <c r="W1932" s="4" t="str">
        <f t="shared" si="153"/>
        <v>2</v>
      </c>
      <c r="X1932" s="4" t="str">
        <f t="shared" si="154"/>
        <v>12NON-HS2</v>
      </c>
      <c r="Y1932">
        <f>VLOOKUP(X1932,Sheet1!$J$5:$K$121,2,FALSE)</f>
        <v>0.30612244897959201</v>
      </c>
    </row>
    <row r="1933" spans="1:25" x14ac:dyDescent="0.25">
      <c r="A1933" s="8">
        <f>[1]Data!A1933</f>
        <v>111202</v>
      </c>
      <c r="B1933" s="8">
        <f>[1]Data!B1933</f>
        <v>2</v>
      </c>
      <c r="C1933" s="8">
        <f>[1]Data!C1933</f>
        <v>12</v>
      </c>
      <c r="D1933" s="8">
        <f>[1]Data!D1933</f>
        <v>5</v>
      </c>
      <c r="E1933" s="8" t="str">
        <f>[1]Data!E1933</f>
        <v>NON-HS</v>
      </c>
      <c r="F1933" s="8" t="str">
        <f>[1]Data!F1933</f>
        <v>Granada Hills</v>
      </c>
      <c r="G1933" s="8">
        <f>[1]Data!G1933</f>
        <v>0</v>
      </c>
      <c r="H1933" s="8">
        <f>[1]Data!H1933</f>
        <v>0</v>
      </c>
      <c r="I1933" s="8">
        <f>[1]Data!I1933</f>
        <v>4.181</v>
      </c>
      <c r="J1933" s="8">
        <f>[1]Data!J1933</f>
        <v>2.87839314</v>
      </c>
      <c r="K1933" s="8">
        <f>[1]Data!K1933</f>
        <v>3.87839314</v>
      </c>
      <c r="L1933" s="8">
        <f>[1]Data!L1933</f>
        <v>0.30290401228007202</v>
      </c>
      <c r="M1933" s="8">
        <f>[1]Data!M1933</f>
        <v>4.1812971522800702</v>
      </c>
      <c r="N1933" s="8">
        <f>[1]Data!N1933</f>
        <v>2.2140221402214E-2</v>
      </c>
      <c r="O1933" s="8">
        <f>[1]Data!O1933</f>
        <v>0</v>
      </c>
      <c r="P1933" s="8">
        <f>[1]Data!P1933</f>
        <v>0.18081180811808101</v>
      </c>
      <c r="Q1933" s="8">
        <f>[1]Data!Q1933</f>
        <v>1</v>
      </c>
      <c r="R1933" s="8">
        <f>[1]Data!R1933</f>
        <v>0.30612244897959201</v>
      </c>
      <c r="S1933" s="8">
        <f>[1]Data!S1933</f>
        <v>0</v>
      </c>
      <c r="T1933">
        <f t="shared" si="150"/>
        <v>0.3214850515852099</v>
      </c>
      <c r="U1933">
        <f t="shared" si="151"/>
        <v>0</v>
      </c>
      <c r="V1933" s="4" t="str">
        <f t="shared" si="152"/>
        <v>12</v>
      </c>
      <c r="W1933" s="4" t="str">
        <f t="shared" si="153"/>
        <v>2</v>
      </c>
      <c r="X1933" s="4" t="str">
        <f t="shared" si="154"/>
        <v>12NON-HS2</v>
      </c>
      <c r="Y1933">
        <f>VLOOKUP(X1933,Sheet1!$J$5:$K$121,2,FALSE)</f>
        <v>0.30612244897959201</v>
      </c>
    </row>
    <row r="1934" spans="1:25" x14ac:dyDescent="0.25">
      <c r="A1934" s="8">
        <f>[1]Data!A1934</f>
        <v>135102</v>
      </c>
      <c r="B1934" s="8">
        <f>[1]Data!B1934</f>
        <v>2</v>
      </c>
      <c r="C1934" s="8">
        <f>[1]Data!C1934</f>
        <v>12</v>
      </c>
      <c r="D1934" s="8">
        <f>[1]Data!D1934</f>
        <v>3</v>
      </c>
      <c r="E1934" s="8" t="str">
        <f>[1]Data!E1934</f>
        <v>NON-HS</v>
      </c>
      <c r="F1934" s="8" t="str">
        <f>[1]Data!F1934</f>
        <v>West Hills</v>
      </c>
      <c r="G1934" s="8">
        <f>[1]Data!G1934</f>
        <v>0</v>
      </c>
      <c r="H1934" s="8">
        <f>[1]Data!H1934</f>
        <v>0</v>
      </c>
      <c r="I1934" s="8">
        <f>[1]Data!I1934</f>
        <v>0</v>
      </c>
      <c r="J1934" s="8">
        <f>[1]Data!J1934</f>
        <v>0</v>
      </c>
      <c r="K1934" s="8">
        <f>[1]Data!K1934</f>
        <v>0</v>
      </c>
      <c r="L1934" s="8">
        <f>[1]Data!L1934</f>
        <v>0</v>
      </c>
      <c r="M1934" s="8">
        <f>[1]Data!M1934</f>
        <v>0</v>
      </c>
      <c r="N1934" s="8">
        <f>[1]Data!N1934</f>
        <v>2.2140221402214E-2</v>
      </c>
      <c r="O1934" s="8">
        <f>[1]Data!O1934</f>
        <v>0</v>
      </c>
      <c r="P1934" s="8">
        <f>[1]Data!P1934</f>
        <v>0.18081180811808101</v>
      </c>
      <c r="Q1934" s="8">
        <f>[1]Data!Q1934</f>
        <v>1</v>
      </c>
      <c r="R1934" s="8">
        <f>[1]Data!R1934</f>
        <v>0.30612244897959201</v>
      </c>
      <c r="S1934" s="8">
        <f>[1]Data!S1934</f>
        <v>0</v>
      </c>
      <c r="T1934">
        <f t="shared" si="150"/>
        <v>0.3214850515852099</v>
      </c>
      <c r="U1934">
        <f t="shared" si="151"/>
        <v>0</v>
      </c>
      <c r="V1934" s="4" t="str">
        <f t="shared" si="152"/>
        <v>12</v>
      </c>
      <c r="W1934" s="4" t="str">
        <f t="shared" si="153"/>
        <v>2</v>
      </c>
      <c r="X1934" s="4" t="str">
        <f t="shared" si="154"/>
        <v>12NON-HS2</v>
      </c>
      <c r="Y1934">
        <f>VLOOKUP(X1934,Sheet1!$J$5:$K$121,2,FALSE)</f>
        <v>0.30612244897959201</v>
      </c>
    </row>
    <row r="1935" spans="1:25" x14ac:dyDescent="0.25">
      <c r="A1935" s="8">
        <f>[1]Data!A1935</f>
        <v>111100</v>
      </c>
      <c r="B1935" s="8">
        <f>[1]Data!B1935</f>
        <v>2</v>
      </c>
      <c r="C1935" s="8">
        <f>[1]Data!C1935</f>
        <v>12</v>
      </c>
      <c r="D1935" s="8">
        <f>[1]Data!D1935</f>
        <v>5</v>
      </c>
      <c r="E1935" s="8" t="str">
        <f>[1]Data!E1935</f>
        <v>NON-HS</v>
      </c>
      <c r="F1935" s="8" t="str">
        <f>[1]Data!F1935</f>
        <v>Granada Hills</v>
      </c>
      <c r="G1935" s="8">
        <f>[1]Data!G1935</f>
        <v>0</v>
      </c>
      <c r="H1935" s="8">
        <f>[1]Data!H1935</f>
        <v>0</v>
      </c>
      <c r="I1935" s="8">
        <f>[1]Data!I1935</f>
        <v>0</v>
      </c>
      <c r="J1935" s="8">
        <f>[1]Data!J1935</f>
        <v>0</v>
      </c>
      <c r="K1935" s="8">
        <f>[1]Data!K1935</f>
        <v>0</v>
      </c>
      <c r="L1935" s="8">
        <f>[1]Data!L1935</f>
        <v>0</v>
      </c>
      <c r="M1935" s="8">
        <f>[1]Data!M1935</f>
        <v>0</v>
      </c>
      <c r="N1935" s="8">
        <f>[1]Data!N1935</f>
        <v>2.2140221402214E-2</v>
      </c>
      <c r="O1935" s="8">
        <f>[1]Data!O1935</f>
        <v>0</v>
      </c>
      <c r="P1935" s="8">
        <f>[1]Data!P1935</f>
        <v>0.18081180811808101</v>
      </c>
      <c r="Q1935" s="8">
        <f>[1]Data!Q1935</f>
        <v>1</v>
      </c>
      <c r="R1935" s="8">
        <f>[1]Data!R1935</f>
        <v>0.30612244897959201</v>
      </c>
      <c r="S1935" s="8">
        <f>[1]Data!S1935</f>
        <v>0</v>
      </c>
      <c r="T1935">
        <f t="shared" si="150"/>
        <v>0.3214850515852099</v>
      </c>
      <c r="U1935">
        <f t="shared" si="151"/>
        <v>0</v>
      </c>
      <c r="V1935" s="4" t="str">
        <f t="shared" si="152"/>
        <v>12</v>
      </c>
      <c r="W1935" s="4" t="str">
        <f t="shared" si="153"/>
        <v>2</v>
      </c>
      <c r="X1935" s="4" t="str">
        <f t="shared" si="154"/>
        <v>12NON-HS2</v>
      </c>
      <c r="Y1935">
        <f>VLOOKUP(X1935,Sheet1!$J$5:$K$121,2,FALSE)</f>
        <v>0.30612244897959201</v>
      </c>
    </row>
    <row r="1936" spans="1:25" x14ac:dyDescent="0.25">
      <c r="A1936" s="8">
        <f>[1]Data!A1936</f>
        <v>109200</v>
      </c>
      <c r="B1936" s="8">
        <f>[1]Data!B1936</f>
        <v>2</v>
      </c>
      <c r="C1936" s="8">
        <f>[1]Data!C1936</f>
        <v>12</v>
      </c>
      <c r="D1936" s="8">
        <f>[1]Data!D1936</f>
        <v>3</v>
      </c>
      <c r="E1936" s="8" t="str">
        <f>[1]Data!E1936</f>
        <v>NON-HS</v>
      </c>
      <c r="F1936" s="8" t="str">
        <f>[1]Data!F1936</f>
        <v>Granada Hills</v>
      </c>
      <c r="G1936" s="8">
        <f>[1]Data!G1936</f>
        <v>0</v>
      </c>
      <c r="H1936" s="8">
        <f>[1]Data!H1936</f>
        <v>0</v>
      </c>
      <c r="I1936" s="8">
        <f>[1]Data!I1936</f>
        <v>0</v>
      </c>
      <c r="J1936" s="8">
        <f>[1]Data!J1936</f>
        <v>0</v>
      </c>
      <c r="K1936" s="8">
        <f>[1]Data!K1936</f>
        <v>0</v>
      </c>
      <c r="L1936" s="8">
        <f>[1]Data!L1936</f>
        <v>0</v>
      </c>
      <c r="M1936" s="8">
        <f>[1]Data!M1936</f>
        <v>0</v>
      </c>
      <c r="N1936" s="8">
        <f>[1]Data!N1936</f>
        <v>2.2140221402214E-2</v>
      </c>
      <c r="O1936" s="8">
        <f>[1]Data!O1936</f>
        <v>0</v>
      </c>
      <c r="P1936" s="8">
        <f>[1]Data!P1936</f>
        <v>0.18081180811808101</v>
      </c>
      <c r="Q1936" s="8">
        <f>[1]Data!Q1936</f>
        <v>1</v>
      </c>
      <c r="R1936" s="8">
        <f>[1]Data!R1936</f>
        <v>0.30612244897959201</v>
      </c>
      <c r="S1936" s="8">
        <f>[1]Data!S1936</f>
        <v>0</v>
      </c>
      <c r="T1936">
        <f t="shared" si="150"/>
        <v>0.3214850515852099</v>
      </c>
      <c r="U1936">
        <f t="shared" si="151"/>
        <v>0</v>
      </c>
      <c r="V1936" s="4" t="str">
        <f t="shared" si="152"/>
        <v>12</v>
      </c>
      <c r="W1936" s="4" t="str">
        <f t="shared" si="153"/>
        <v>2</v>
      </c>
      <c r="X1936" s="4" t="str">
        <f t="shared" si="154"/>
        <v>12NON-HS2</v>
      </c>
      <c r="Y1936">
        <f>VLOOKUP(X1936,Sheet1!$J$5:$K$121,2,FALSE)</f>
        <v>0.30612244897959201</v>
      </c>
    </row>
    <row r="1937" spans="1:25" x14ac:dyDescent="0.25">
      <c r="A1937" s="8">
        <f>[1]Data!A1937</f>
        <v>111204</v>
      </c>
      <c r="B1937" s="8">
        <f>[1]Data!B1937</f>
        <v>2</v>
      </c>
      <c r="C1937" s="8">
        <f>[1]Data!C1937</f>
        <v>12</v>
      </c>
      <c r="D1937" s="8">
        <f>[1]Data!D1937</f>
        <v>5</v>
      </c>
      <c r="E1937" s="8" t="str">
        <f>[1]Data!E1937</f>
        <v>NON-HS</v>
      </c>
      <c r="F1937" s="8" t="str">
        <f>[1]Data!F1937</f>
        <v>Northridge</v>
      </c>
      <c r="G1937" s="8">
        <f>[1]Data!G1937</f>
        <v>0</v>
      </c>
      <c r="H1937" s="8">
        <f>[1]Data!H1937</f>
        <v>1</v>
      </c>
      <c r="I1937" s="8">
        <f>[1]Data!I1937</f>
        <v>2.5910000000000002</v>
      </c>
      <c r="J1937" s="8">
        <f>[1]Data!J1937</f>
        <v>1.43919657</v>
      </c>
      <c r="K1937" s="8">
        <f>[1]Data!K1937</f>
        <v>2.43919657</v>
      </c>
      <c r="L1937" s="8">
        <f>[1]Data!L1937</f>
        <v>0.15145200614003601</v>
      </c>
      <c r="M1937" s="8">
        <f>[1]Data!M1937</f>
        <v>2.59064857614004</v>
      </c>
      <c r="N1937" s="8">
        <f>[1]Data!N1937</f>
        <v>2.2140221402214E-2</v>
      </c>
      <c r="O1937" s="8">
        <f>[1]Data!O1937</f>
        <v>0</v>
      </c>
      <c r="P1937" s="8">
        <f>[1]Data!P1937</f>
        <v>0.18081180811808101</v>
      </c>
      <c r="Q1937" s="8">
        <f>[1]Data!Q1937</f>
        <v>1</v>
      </c>
      <c r="R1937" s="8">
        <f>[1]Data!R1937</f>
        <v>0.30612244897959201</v>
      </c>
      <c r="S1937" s="8">
        <f>[1]Data!S1937</f>
        <v>3.2666666666666702</v>
      </c>
      <c r="T1937">
        <f t="shared" si="150"/>
        <v>0.3214850515852099</v>
      </c>
      <c r="U1937">
        <f t="shared" si="151"/>
        <v>3.1105645350199094</v>
      </c>
      <c r="V1937" s="4" t="str">
        <f t="shared" si="152"/>
        <v>12</v>
      </c>
      <c r="W1937" s="4" t="str">
        <f t="shared" si="153"/>
        <v>2</v>
      </c>
      <c r="X1937" s="4" t="str">
        <f t="shared" si="154"/>
        <v>12NON-HS2</v>
      </c>
      <c r="Y1937">
        <f>VLOOKUP(X1937,Sheet1!$J$5:$K$121,2,FALSE)</f>
        <v>0.30612244897959201</v>
      </c>
    </row>
    <row r="1938" spans="1:25" x14ac:dyDescent="0.25">
      <c r="A1938" s="8">
        <f>[1]Data!A1938</f>
        <v>111205</v>
      </c>
      <c r="B1938" s="8">
        <f>[1]Data!B1938</f>
        <v>2</v>
      </c>
      <c r="C1938" s="8">
        <f>[1]Data!C1938</f>
        <v>12</v>
      </c>
      <c r="D1938" s="8">
        <f>[1]Data!D1938</f>
        <v>5</v>
      </c>
      <c r="E1938" s="8" t="str">
        <f>[1]Data!E1938</f>
        <v>NON-HS</v>
      </c>
      <c r="F1938" s="8" t="str">
        <f>[1]Data!F1938</f>
        <v>Northridge</v>
      </c>
      <c r="G1938" s="8">
        <f>[1]Data!G1938</f>
        <v>0</v>
      </c>
      <c r="H1938" s="8">
        <f>[1]Data!H1938</f>
        <v>1</v>
      </c>
      <c r="I1938" s="8">
        <f>[1]Data!I1938</f>
        <v>1.591</v>
      </c>
      <c r="J1938" s="8">
        <f>[1]Data!J1938</f>
        <v>1.43919657</v>
      </c>
      <c r="K1938" s="8">
        <f>[1]Data!K1938</f>
        <v>1.43919657</v>
      </c>
      <c r="L1938" s="8">
        <f>[1]Data!L1938</f>
        <v>0.15145200614003601</v>
      </c>
      <c r="M1938" s="8">
        <f>[1]Data!M1938</f>
        <v>1.59064857614004</v>
      </c>
      <c r="N1938" s="8">
        <f>[1]Data!N1938</f>
        <v>2.2140221402214E-2</v>
      </c>
      <c r="O1938" s="8">
        <f>[1]Data!O1938</f>
        <v>0</v>
      </c>
      <c r="P1938" s="8">
        <f>[1]Data!P1938</f>
        <v>0.18081180811808101</v>
      </c>
      <c r="Q1938" s="8">
        <f>[1]Data!Q1938</f>
        <v>1</v>
      </c>
      <c r="R1938" s="8">
        <f>[1]Data!R1938</f>
        <v>0.30612244897959201</v>
      </c>
      <c r="S1938" s="8">
        <f>[1]Data!S1938</f>
        <v>3.2666666666666702</v>
      </c>
      <c r="T1938">
        <f t="shared" si="150"/>
        <v>0.3214850515852099</v>
      </c>
      <c r="U1938">
        <f t="shared" si="151"/>
        <v>3.1105645350199094</v>
      </c>
      <c r="V1938" s="4" t="str">
        <f t="shared" si="152"/>
        <v>12</v>
      </c>
      <c r="W1938" s="4" t="str">
        <f t="shared" si="153"/>
        <v>2</v>
      </c>
      <c r="X1938" s="4" t="str">
        <f t="shared" si="154"/>
        <v>12NON-HS2</v>
      </c>
      <c r="Y1938">
        <f>VLOOKUP(X1938,Sheet1!$J$5:$K$121,2,FALSE)</f>
        <v>0.30612244897959201</v>
      </c>
    </row>
    <row r="1939" spans="1:25" x14ac:dyDescent="0.25">
      <c r="A1939" s="8">
        <f>[1]Data!A1939</f>
        <v>108102</v>
      </c>
      <c r="B1939" s="8">
        <f>[1]Data!B1939</f>
        <v>2</v>
      </c>
      <c r="C1939" s="8">
        <f>[1]Data!C1939</f>
        <v>12</v>
      </c>
      <c r="D1939" s="8">
        <f>[1]Data!D1939</f>
        <v>5</v>
      </c>
      <c r="E1939" s="8" t="str">
        <f>[1]Data!E1939</f>
        <v>NON-HS</v>
      </c>
      <c r="F1939" s="8" t="str">
        <f>[1]Data!F1939</f>
        <v>Porter Ranch</v>
      </c>
      <c r="G1939" s="8">
        <f>[1]Data!G1939</f>
        <v>0</v>
      </c>
      <c r="H1939" s="8">
        <f>[1]Data!H1939</f>
        <v>1</v>
      </c>
      <c r="I1939" s="8">
        <f>[1]Data!I1939</f>
        <v>0</v>
      </c>
      <c r="J1939" s="8">
        <f>[1]Data!J1939</f>
        <v>0</v>
      </c>
      <c r="K1939" s="8">
        <f>[1]Data!K1939</f>
        <v>0</v>
      </c>
      <c r="L1939" s="8">
        <f>[1]Data!L1939</f>
        <v>0</v>
      </c>
      <c r="M1939" s="8">
        <f>[1]Data!M1939</f>
        <v>0</v>
      </c>
      <c r="N1939" s="8">
        <f>[1]Data!N1939</f>
        <v>2.2140221402214E-2</v>
      </c>
      <c r="O1939" s="8">
        <f>[1]Data!O1939</f>
        <v>0</v>
      </c>
      <c r="P1939" s="8">
        <f>[1]Data!P1939</f>
        <v>0.18081180811808101</v>
      </c>
      <c r="Q1939" s="8">
        <f>[1]Data!Q1939</f>
        <v>1</v>
      </c>
      <c r="R1939" s="8">
        <f>[1]Data!R1939</f>
        <v>0.30612244897959201</v>
      </c>
      <c r="S1939" s="8">
        <f>[1]Data!S1939</f>
        <v>3.2666666666666702</v>
      </c>
      <c r="T1939">
        <f t="shared" si="150"/>
        <v>0.3214850515852099</v>
      </c>
      <c r="U1939">
        <f t="shared" si="151"/>
        <v>3.1105645350199094</v>
      </c>
      <c r="V1939" s="4" t="str">
        <f t="shared" si="152"/>
        <v>12</v>
      </c>
      <c r="W1939" s="4" t="str">
        <f t="shared" si="153"/>
        <v>2</v>
      </c>
      <c r="X1939" s="4" t="str">
        <f t="shared" si="154"/>
        <v>12NON-HS2</v>
      </c>
      <c r="Y1939">
        <f>VLOOKUP(X1939,Sheet1!$J$5:$K$121,2,FALSE)</f>
        <v>0.30612244897959201</v>
      </c>
    </row>
    <row r="1940" spans="1:25" x14ac:dyDescent="0.25">
      <c r="A1940" s="8">
        <f>[1]Data!A1940</f>
        <v>108202</v>
      </c>
      <c r="B1940" s="8">
        <f>[1]Data!B1940</f>
        <v>2</v>
      </c>
      <c r="C1940" s="8">
        <f>[1]Data!C1940</f>
        <v>12</v>
      </c>
      <c r="D1940" s="8">
        <f>[1]Data!D1940</f>
        <v>5</v>
      </c>
      <c r="E1940" s="8" t="str">
        <f>[1]Data!E1940</f>
        <v>NON-HS</v>
      </c>
      <c r="F1940" s="8" t="str">
        <f>[1]Data!F1940</f>
        <v>Porter Ranch</v>
      </c>
      <c r="G1940" s="8">
        <f>[1]Data!G1940</f>
        <v>0</v>
      </c>
      <c r="H1940" s="8">
        <f>[1]Data!H1940</f>
        <v>0</v>
      </c>
      <c r="I1940" s="8">
        <f>[1]Data!I1940</f>
        <v>0</v>
      </c>
      <c r="J1940" s="8">
        <f>[1]Data!J1940</f>
        <v>0</v>
      </c>
      <c r="K1940" s="8">
        <f>[1]Data!K1940</f>
        <v>0</v>
      </c>
      <c r="L1940" s="8">
        <f>[1]Data!L1940</f>
        <v>0</v>
      </c>
      <c r="M1940" s="8">
        <f>[1]Data!M1940</f>
        <v>0</v>
      </c>
      <c r="N1940" s="8">
        <f>[1]Data!N1940</f>
        <v>2.2140221402214E-2</v>
      </c>
      <c r="O1940" s="8">
        <f>[1]Data!O1940</f>
        <v>0</v>
      </c>
      <c r="P1940" s="8">
        <f>[1]Data!P1940</f>
        <v>0.18081180811808101</v>
      </c>
      <c r="Q1940" s="8">
        <f>[1]Data!Q1940</f>
        <v>1</v>
      </c>
      <c r="R1940" s="8">
        <f>[1]Data!R1940</f>
        <v>0.30612244897959201</v>
      </c>
      <c r="S1940" s="8">
        <f>[1]Data!S1940</f>
        <v>0</v>
      </c>
      <c r="T1940">
        <f t="shared" si="150"/>
        <v>0.3214850515852099</v>
      </c>
      <c r="U1940">
        <f t="shared" si="151"/>
        <v>0</v>
      </c>
      <c r="V1940" s="4" t="str">
        <f t="shared" si="152"/>
        <v>12</v>
      </c>
      <c r="W1940" s="4" t="str">
        <f t="shared" si="153"/>
        <v>2</v>
      </c>
      <c r="X1940" s="4" t="str">
        <f t="shared" si="154"/>
        <v>12NON-HS2</v>
      </c>
      <c r="Y1940">
        <f>VLOOKUP(X1940,Sheet1!$J$5:$K$121,2,FALSE)</f>
        <v>0.30612244897959201</v>
      </c>
    </row>
    <row r="1941" spans="1:25" x14ac:dyDescent="0.25">
      <c r="A1941" s="8">
        <f>[1]Data!A1941</f>
        <v>980022</v>
      </c>
      <c r="B1941" s="8">
        <f>[1]Data!B1941</f>
        <v>2</v>
      </c>
      <c r="C1941" s="8">
        <f>[1]Data!C1941</f>
        <v>12</v>
      </c>
      <c r="D1941" s="8">
        <f>[1]Data!D1941</f>
        <v>5</v>
      </c>
      <c r="E1941" s="8" t="str">
        <f>[1]Data!E1941</f>
        <v>NON-HS</v>
      </c>
      <c r="F1941" s="8" t="str">
        <f>[1]Data!F1941</f>
        <v>Granada Hills</v>
      </c>
      <c r="G1941" s="8">
        <f>[1]Data!G1941</f>
        <v>0</v>
      </c>
      <c r="H1941" s="8">
        <f>[1]Data!H1941</f>
        <v>0</v>
      </c>
      <c r="I1941" s="8">
        <f>[1]Data!I1941</f>
        <v>0</v>
      </c>
      <c r="J1941" s="8">
        <f>[1]Data!J1941</f>
        <v>0</v>
      </c>
      <c r="K1941" s="8">
        <f>[1]Data!K1941</f>
        <v>0</v>
      </c>
      <c r="L1941" s="8">
        <f>[1]Data!L1941</f>
        <v>0</v>
      </c>
      <c r="M1941" s="8">
        <f>[1]Data!M1941</f>
        <v>0</v>
      </c>
      <c r="N1941" s="8">
        <f>[1]Data!N1941</f>
        <v>2.2140221402214E-2</v>
      </c>
      <c r="O1941" s="8">
        <f>[1]Data!O1941</f>
        <v>0</v>
      </c>
      <c r="P1941" s="8">
        <f>[1]Data!P1941</f>
        <v>0.18081180811808101</v>
      </c>
      <c r="Q1941" s="8">
        <f>[1]Data!Q1941</f>
        <v>1</v>
      </c>
      <c r="R1941" s="8">
        <f>[1]Data!R1941</f>
        <v>0.30612244897959201</v>
      </c>
      <c r="S1941" s="8">
        <f>[1]Data!S1941</f>
        <v>0</v>
      </c>
      <c r="T1941">
        <f t="shared" si="150"/>
        <v>0.3214850515852099</v>
      </c>
      <c r="U1941">
        <f t="shared" si="151"/>
        <v>0</v>
      </c>
      <c r="V1941" s="4" t="str">
        <f t="shared" si="152"/>
        <v>12</v>
      </c>
      <c r="W1941" s="4" t="str">
        <f t="shared" si="153"/>
        <v>2</v>
      </c>
      <c r="X1941" s="4" t="str">
        <f t="shared" si="154"/>
        <v>12NON-HS2</v>
      </c>
      <c r="Y1941">
        <f>VLOOKUP(X1941,Sheet1!$J$5:$K$121,2,FALSE)</f>
        <v>0.30612244897959201</v>
      </c>
    </row>
    <row r="1942" spans="1:25" x14ac:dyDescent="0.25">
      <c r="A1942" s="8">
        <f>[1]Data!A1942</f>
        <v>106603</v>
      </c>
      <c r="B1942" s="8">
        <f>[1]Data!B1942</f>
        <v>2</v>
      </c>
      <c r="C1942" s="8">
        <f>[1]Data!C1942</f>
        <v>12</v>
      </c>
      <c r="D1942" s="8">
        <f>[1]Data!D1942</f>
        <v>5</v>
      </c>
      <c r="E1942" s="8" t="str">
        <f>[1]Data!E1942</f>
        <v>NON-HS</v>
      </c>
      <c r="F1942" s="8" t="str">
        <f>[1]Data!F1942</f>
        <v>Granada Hills</v>
      </c>
      <c r="G1942" s="8">
        <f>[1]Data!G1942</f>
        <v>0</v>
      </c>
      <c r="H1942" s="8">
        <f>[1]Data!H1942</f>
        <v>0</v>
      </c>
      <c r="I1942" s="8">
        <f>[1]Data!I1942</f>
        <v>0</v>
      </c>
      <c r="J1942" s="8">
        <f>[1]Data!J1942</f>
        <v>0</v>
      </c>
      <c r="K1942" s="8">
        <f>[1]Data!K1942</f>
        <v>0</v>
      </c>
      <c r="L1942" s="8">
        <f>[1]Data!L1942</f>
        <v>0</v>
      </c>
      <c r="M1942" s="8">
        <f>[1]Data!M1942</f>
        <v>0</v>
      </c>
      <c r="N1942" s="8">
        <f>[1]Data!N1942</f>
        <v>2.2140221402214E-2</v>
      </c>
      <c r="O1942" s="8">
        <f>[1]Data!O1942</f>
        <v>0</v>
      </c>
      <c r="P1942" s="8">
        <f>[1]Data!P1942</f>
        <v>0.18081180811808101</v>
      </c>
      <c r="Q1942" s="8">
        <f>[1]Data!Q1942</f>
        <v>1</v>
      </c>
      <c r="R1942" s="8">
        <f>[1]Data!R1942</f>
        <v>0.30612244897959201</v>
      </c>
      <c r="S1942" s="8">
        <f>[1]Data!S1942</f>
        <v>0</v>
      </c>
      <c r="T1942">
        <f t="shared" si="150"/>
        <v>0.3214850515852099</v>
      </c>
      <c r="U1942">
        <f t="shared" si="151"/>
        <v>0</v>
      </c>
      <c r="V1942" s="4" t="str">
        <f t="shared" si="152"/>
        <v>12</v>
      </c>
      <c r="W1942" s="4" t="str">
        <f t="shared" si="153"/>
        <v>2</v>
      </c>
      <c r="X1942" s="4" t="str">
        <f t="shared" si="154"/>
        <v>12NON-HS2</v>
      </c>
      <c r="Y1942">
        <f>VLOOKUP(X1942,Sheet1!$J$5:$K$121,2,FALSE)</f>
        <v>0.30612244897959201</v>
      </c>
    </row>
    <row r="1943" spans="1:25" x14ac:dyDescent="0.25">
      <c r="A1943" s="8">
        <f>[1]Data!A1943</f>
        <v>135202</v>
      </c>
      <c r="B1943" s="8">
        <f>[1]Data!B1943</f>
        <v>2</v>
      </c>
      <c r="C1943" s="8">
        <f>[1]Data!C1943</f>
        <v>12</v>
      </c>
      <c r="D1943" s="8">
        <f>[1]Data!D1943</f>
        <v>3</v>
      </c>
      <c r="E1943" s="8" t="str">
        <f>[1]Data!E1943</f>
        <v>NON-HS</v>
      </c>
      <c r="F1943" s="8" t="str">
        <f>[1]Data!F1943</f>
        <v>West Hills</v>
      </c>
      <c r="G1943" s="8">
        <f>[1]Data!G1943</f>
        <v>0</v>
      </c>
      <c r="H1943" s="8">
        <f>[1]Data!H1943</f>
        <v>0</v>
      </c>
      <c r="I1943" s="8">
        <f>[1]Data!I1943</f>
        <v>4.0949999999999998</v>
      </c>
      <c r="J1943" s="8">
        <f>[1]Data!J1943</f>
        <v>1.9836996600000001</v>
      </c>
      <c r="K1943" s="8">
        <f>[1]Data!K1943</f>
        <v>3.9836996600000001</v>
      </c>
      <c r="L1943" s="8">
        <f>[1]Data!L1943</f>
        <v>0.11117260138240601</v>
      </c>
      <c r="M1943" s="8">
        <f>[1]Data!M1943</f>
        <v>4.0948722613824096</v>
      </c>
      <c r="N1943" s="8">
        <f>[1]Data!N1943</f>
        <v>2.2140221402214E-2</v>
      </c>
      <c r="O1943" s="8">
        <f>[1]Data!O1943</f>
        <v>0</v>
      </c>
      <c r="P1943" s="8">
        <f>[1]Data!P1943</f>
        <v>0.18081180811808101</v>
      </c>
      <c r="Q1943" s="8">
        <f>[1]Data!Q1943</f>
        <v>1</v>
      </c>
      <c r="R1943" s="8">
        <f>[1]Data!R1943</f>
        <v>0.30612244897959201</v>
      </c>
      <c r="S1943" s="8">
        <f>[1]Data!S1943</f>
        <v>0</v>
      </c>
      <c r="T1943">
        <f t="shared" si="150"/>
        <v>0.3214850515852099</v>
      </c>
      <c r="U1943">
        <f t="shared" si="151"/>
        <v>0</v>
      </c>
      <c r="V1943" s="4" t="str">
        <f t="shared" si="152"/>
        <v>12</v>
      </c>
      <c r="W1943" s="4" t="str">
        <f t="shared" si="153"/>
        <v>2</v>
      </c>
      <c r="X1943" s="4" t="str">
        <f t="shared" si="154"/>
        <v>12NON-HS2</v>
      </c>
      <c r="Y1943">
        <f>VLOOKUP(X1943,Sheet1!$J$5:$K$121,2,FALSE)</f>
        <v>0.30612244897959201</v>
      </c>
    </row>
    <row r="1944" spans="1:25" x14ac:dyDescent="0.25">
      <c r="A1944" s="8">
        <f>[1]Data!A1944</f>
        <v>134423</v>
      </c>
      <c r="B1944" s="8">
        <f>[1]Data!B1944</f>
        <v>2</v>
      </c>
      <c r="C1944" s="8">
        <f>[1]Data!C1944</f>
        <v>12</v>
      </c>
      <c r="D1944" s="8">
        <f>[1]Data!D1944</f>
        <v>5</v>
      </c>
      <c r="E1944" s="8" t="str">
        <f>[1]Data!E1944</f>
        <v>NON-HS</v>
      </c>
      <c r="F1944" s="8" t="str">
        <f>[1]Data!F1944</f>
        <v>West Hills</v>
      </c>
      <c r="G1944" s="8">
        <f>[1]Data!G1944</f>
        <v>0</v>
      </c>
      <c r="H1944" s="8">
        <f>[1]Data!H1944</f>
        <v>0</v>
      </c>
      <c r="I1944" s="8">
        <f>[1]Data!I1944</f>
        <v>6.2850000000000001</v>
      </c>
      <c r="J1944" s="8">
        <f>[1]Data!J1944</f>
        <v>5.9510989800000003</v>
      </c>
      <c r="K1944" s="8">
        <f>[1]Data!K1944</f>
        <v>5.9510989800000003</v>
      </c>
      <c r="L1944" s="8">
        <f>[1]Data!L1944</f>
        <v>0.33351780414721699</v>
      </c>
      <c r="M1944" s="8">
        <f>[1]Data!M1944</f>
        <v>6.2846167841472198</v>
      </c>
      <c r="N1944" s="8">
        <f>[1]Data!N1944</f>
        <v>2.2140221402214E-2</v>
      </c>
      <c r="O1944" s="8">
        <f>[1]Data!O1944</f>
        <v>0</v>
      </c>
      <c r="P1944" s="8">
        <f>[1]Data!P1944</f>
        <v>0.18081180811808101</v>
      </c>
      <c r="Q1944" s="8">
        <f>[1]Data!Q1944</f>
        <v>1</v>
      </c>
      <c r="R1944" s="8">
        <f>[1]Data!R1944</f>
        <v>0.30612244897959201</v>
      </c>
      <c r="S1944" s="8">
        <f>[1]Data!S1944</f>
        <v>0</v>
      </c>
      <c r="T1944">
        <f t="shared" si="150"/>
        <v>0.3214850515852099</v>
      </c>
      <c r="U1944">
        <f t="shared" si="151"/>
        <v>0</v>
      </c>
      <c r="V1944" s="4" t="str">
        <f t="shared" si="152"/>
        <v>12</v>
      </c>
      <c r="W1944" s="4" t="str">
        <f t="shared" si="153"/>
        <v>2</v>
      </c>
      <c r="X1944" s="4" t="str">
        <f t="shared" si="154"/>
        <v>12NON-HS2</v>
      </c>
      <c r="Y1944">
        <f>VLOOKUP(X1944,Sheet1!$J$5:$K$121,2,FALSE)</f>
        <v>0.30612244897959201</v>
      </c>
    </row>
    <row r="1945" spans="1:25" x14ac:dyDescent="0.25">
      <c r="A1945" s="8">
        <f>[1]Data!A1945</f>
        <v>131400</v>
      </c>
      <c r="B1945" s="8">
        <f>[1]Data!B1945</f>
        <v>2</v>
      </c>
      <c r="C1945" s="8">
        <f>[1]Data!C1945</f>
        <v>12</v>
      </c>
      <c r="D1945" s="8">
        <f>[1]Data!D1945</f>
        <v>3</v>
      </c>
      <c r="E1945" s="8" t="str">
        <f>[1]Data!E1945</f>
        <v>NON-HS</v>
      </c>
      <c r="F1945" s="8" t="str">
        <f>[1]Data!F1945</f>
        <v>Reseda</v>
      </c>
      <c r="G1945" s="8">
        <f>[1]Data!G1945</f>
        <v>0</v>
      </c>
      <c r="H1945" s="8">
        <f>[1]Data!H1945</f>
        <v>0</v>
      </c>
      <c r="I1945" s="8">
        <f>[1]Data!I1945</f>
        <v>0</v>
      </c>
      <c r="J1945" s="8">
        <f>[1]Data!J1945</f>
        <v>0</v>
      </c>
      <c r="K1945" s="8">
        <f>[1]Data!K1945</f>
        <v>0</v>
      </c>
      <c r="L1945" s="8">
        <f>[1]Data!L1945</f>
        <v>0</v>
      </c>
      <c r="M1945" s="8">
        <f>[1]Data!M1945</f>
        <v>0</v>
      </c>
      <c r="N1945" s="8">
        <f>[1]Data!N1945</f>
        <v>2.2140221402214E-2</v>
      </c>
      <c r="O1945" s="8">
        <f>[1]Data!O1945</f>
        <v>0</v>
      </c>
      <c r="P1945" s="8">
        <f>[1]Data!P1945</f>
        <v>0.18081180811808101</v>
      </c>
      <c r="Q1945" s="8">
        <f>[1]Data!Q1945</f>
        <v>1</v>
      </c>
      <c r="R1945" s="8">
        <f>[1]Data!R1945</f>
        <v>0.30612244897959201</v>
      </c>
      <c r="S1945" s="8">
        <f>[1]Data!S1945</f>
        <v>0</v>
      </c>
      <c r="T1945">
        <f t="shared" si="150"/>
        <v>0.3214850515852099</v>
      </c>
      <c r="U1945">
        <f t="shared" si="151"/>
        <v>0</v>
      </c>
      <c r="V1945" s="4" t="str">
        <f t="shared" si="152"/>
        <v>12</v>
      </c>
      <c r="W1945" s="4" t="str">
        <f t="shared" si="153"/>
        <v>2</v>
      </c>
      <c r="X1945" s="4" t="str">
        <f t="shared" si="154"/>
        <v>12NON-HS2</v>
      </c>
      <c r="Y1945">
        <f>VLOOKUP(X1945,Sheet1!$J$5:$K$121,2,FALSE)</f>
        <v>0.30612244897959201</v>
      </c>
    </row>
    <row r="1946" spans="1:25" x14ac:dyDescent="0.25">
      <c r="A1946" s="8">
        <f>[1]Data!A1946</f>
        <v>113231</v>
      </c>
      <c r="B1946" s="8">
        <f>[1]Data!B1946</f>
        <v>2</v>
      </c>
      <c r="C1946" s="8">
        <f>[1]Data!C1946</f>
        <v>12</v>
      </c>
      <c r="D1946" s="8">
        <f>[1]Data!D1946</f>
        <v>5</v>
      </c>
      <c r="E1946" s="8" t="str">
        <f>[1]Data!E1946</f>
        <v>NON-HS</v>
      </c>
      <c r="F1946" s="8" t="str">
        <f>[1]Data!F1946</f>
        <v>West Hills</v>
      </c>
      <c r="G1946" s="8">
        <f>[1]Data!G1946</f>
        <v>0</v>
      </c>
      <c r="H1946" s="8">
        <f>[1]Data!H1946</f>
        <v>1</v>
      </c>
      <c r="I1946" s="8">
        <f>[1]Data!I1946</f>
        <v>11.56</v>
      </c>
      <c r="J1946" s="8">
        <f>[1]Data!J1946</f>
        <v>10.81319178</v>
      </c>
      <c r="K1946" s="8">
        <f>[1]Data!K1946</f>
        <v>10.81319178</v>
      </c>
      <c r="L1946" s="8">
        <f>[1]Data!L1946</f>
        <v>0.74759441780969504</v>
      </c>
      <c r="M1946" s="8">
        <f>[1]Data!M1946</f>
        <v>11.5607861978097</v>
      </c>
      <c r="N1946" s="8">
        <f>[1]Data!N1946</f>
        <v>2.2140221402214E-2</v>
      </c>
      <c r="O1946" s="8">
        <f>[1]Data!O1946</f>
        <v>0</v>
      </c>
      <c r="P1946" s="8">
        <f>[1]Data!P1946</f>
        <v>0.18081180811808101</v>
      </c>
      <c r="Q1946" s="8">
        <f>[1]Data!Q1946</f>
        <v>1</v>
      </c>
      <c r="R1946" s="8">
        <f>[1]Data!R1946</f>
        <v>0.30612244897959201</v>
      </c>
      <c r="S1946" s="8">
        <f>[1]Data!S1946</f>
        <v>3.2666666666666702</v>
      </c>
      <c r="T1946">
        <f t="shared" si="150"/>
        <v>0.3214850515852099</v>
      </c>
      <c r="U1946">
        <f t="shared" si="151"/>
        <v>3.1105645350199094</v>
      </c>
      <c r="V1946" s="4" t="str">
        <f t="shared" si="152"/>
        <v>12</v>
      </c>
      <c r="W1946" s="4" t="str">
        <f t="shared" si="153"/>
        <v>2</v>
      </c>
      <c r="X1946" s="4" t="str">
        <f t="shared" si="154"/>
        <v>12NON-HS2</v>
      </c>
      <c r="Y1946">
        <f>VLOOKUP(X1946,Sheet1!$J$5:$K$121,2,FALSE)</f>
        <v>0.30612244897959201</v>
      </c>
    </row>
    <row r="1947" spans="1:25" x14ac:dyDescent="0.25">
      <c r="A1947" s="8">
        <f>[1]Data!A1947</f>
        <v>113212</v>
      </c>
      <c r="B1947" s="8">
        <f>[1]Data!B1947</f>
        <v>2</v>
      </c>
      <c r="C1947" s="8">
        <f>[1]Data!C1947</f>
        <v>12</v>
      </c>
      <c r="D1947" s="8">
        <f>[1]Data!D1947</f>
        <v>5</v>
      </c>
      <c r="E1947" s="8" t="str">
        <f>[1]Data!E1947</f>
        <v>NON-HS</v>
      </c>
      <c r="F1947" s="8" t="str">
        <f>[1]Data!F1947</f>
        <v>Chatsworth</v>
      </c>
      <c r="G1947" s="8">
        <f>[1]Data!G1947</f>
        <v>0</v>
      </c>
      <c r="H1947" s="8">
        <f>[1]Data!H1947</f>
        <v>0</v>
      </c>
      <c r="I1947" s="8">
        <f>[1]Data!I1947</f>
        <v>0</v>
      </c>
      <c r="J1947" s="8">
        <f>[1]Data!J1947</f>
        <v>0</v>
      </c>
      <c r="K1947" s="8">
        <f>[1]Data!K1947</f>
        <v>0</v>
      </c>
      <c r="L1947" s="8">
        <f>[1]Data!L1947</f>
        <v>0</v>
      </c>
      <c r="M1947" s="8">
        <f>[1]Data!M1947</f>
        <v>0</v>
      </c>
      <c r="N1947" s="8">
        <f>[1]Data!N1947</f>
        <v>2.2140221402214E-2</v>
      </c>
      <c r="O1947" s="8">
        <f>[1]Data!O1947</f>
        <v>0</v>
      </c>
      <c r="P1947" s="8">
        <f>[1]Data!P1947</f>
        <v>0.18081180811808101</v>
      </c>
      <c r="Q1947" s="8">
        <f>[1]Data!Q1947</f>
        <v>1</v>
      </c>
      <c r="R1947" s="8">
        <f>[1]Data!R1947</f>
        <v>0.30612244897959201</v>
      </c>
      <c r="S1947" s="8">
        <f>[1]Data!S1947</f>
        <v>0</v>
      </c>
      <c r="T1947">
        <f t="shared" si="150"/>
        <v>0.3214850515852099</v>
      </c>
      <c r="U1947">
        <f t="shared" si="151"/>
        <v>0</v>
      </c>
      <c r="V1947" s="4" t="str">
        <f t="shared" si="152"/>
        <v>12</v>
      </c>
      <c r="W1947" s="4" t="str">
        <f t="shared" si="153"/>
        <v>2</v>
      </c>
      <c r="X1947" s="4" t="str">
        <f t="shared" si="154"/>
        <v>12NON-HS2</v>
      </c>
      <c r="Y1947">
        <f>VLOOKUP(X1947,Sheet1!$J$5:$K$121,2,FALSE)</f>
        <v>0.30612244897959201</v>
      </c>
    </row>
    <row r="1948" spans="1:25" x14ac:dyDescent="0.25">
      <c r="A1948" s="8">
        <f>[1]Data!A1948</f>
        <v>111302</v>
      </c>
      <c r="B1948" s="8">
        <f>[1]Data!B1948</f>
        <v>2</v>
      </c>
      <c r="C1948" s="8">
        <f>[1]Data!C1948</f>
        <v>12</v>
      </c>
      <c r="D1948" s="8">
        <f>[1]Data!D1948</f>
        <v>5</v>
      </c>
      <c r="E1948" s="8" t="str">
        <f>[1]Data!E1948</f>
        <v>NON-HS</v>
      </c>
      <c r="F1948" s="8" t="str">
        <f>[1]Data!F1948</f>
        <v>Northridge</v>
      </c>
      <c r="G1948" s="8">
        <f>[1]Data!G1948</f>
        <v>0</v>
      </c>
      <c r="H1948" s="8">
        <f>[1]Data!H1948</f>
        <v>0</v>
      </c>
      <c r="I1948" s="8">
        <f>[1]Data!I1948</f>
        <v>0</v>
      </c>
      <c r="J1948" s="8">
        <f>[1]Data!J1948</f>
        <v>0</v>
      </c>
      <c r="K1948" s="8">
        <f>[1]Data!K1948</f>
        <v>0</v>
      </c>
      <c r="L1948" s="8">
        <f>[1]Data!L1948</f>
        <v>0</v>
      </c>
      <c r="M1948" s="8">
        <f>[1]Data!M1948</f>
        <v>0</v>
      </c>
      <c r="N1948" s="8">
        <f>[1]Data!N1948</f>
        <v>2.2140221402214E-2</v>
      </c>
      <c r="O1948" s="8">
        <f>[1]Data!O1948</f>
        <v>0</v>
      </c>
      <c r="P1948" s="8">
        <f>[1]Data!P1948</f>
        <v>0.18081180811808101</v>
      </c>
      <c r="Q1948" s="8">
        <f>[1]Data!Q1948</f>
        <v>1</v>
      </c>
      <c r="R1948" s="8">
        <f>[1]Data!R1948</f>
        <v>0.30612244897959201</v>
      </c>
      <c r="S1948" s="8">
        <f>[1]Data!S1948</f>
        <v>0</v>
      </c>
      <c r="T1948">
        <f t="shared" si="150"/>
        <v>0.3214850515852099</v>
      </c>
      <c r="U1948">
        <f t="shared" si="151"/>
        <v>0</v>
      </c>
      <c r="V1948" s="4" t="str">
        <f t="shared" si="152"/>
        <v>12</v>
      </c>
      <c r="W1948" s="4" t="str">
        <f t="shared" si="153"/>
        <v>2</v>
      </c>
      <c r="X1948" s="4" t="str">
        <f t="shared" si="154"/>
        <v>12NON-HS2</v>
      </c>
      <c r="Y1948">
        <f>VLOOKUP(X1948,Sheet1!$J$5:$K$121,2,FALSE)</f>
        <v>0.30612244897959201</v>
      </c>
    </row>
    <row r="1949" spans="1:25" x14ac:dyDescent="0.25">
      <c r="A1949" s="8">
        <f>[1]Data!A1949</f>
        <v>111400</v>
      </c>
      <c r="B1949" s="8">
        <f>[1]Data!B1949</f>
        <v>2</v>
      </c>
      <c r="C1949" s="8">
        <f>[1]Data!C1949</f>
        <v>12</v>
      </c>
      <c r="D1949" s="8">
        <f>[1]Data!D1949</f>
        <v>5</v>
      </c>
      <c r="E1949" s="8" t="str">
        <f>[1]Data!E1949</f>
        <v>NON-HS</v>
      </c>
      <c r="F1949" s="8" t="str">
        <f>[1]Data!F1949</f>
        <v>Granada Hills</v>
      </c>
      <c r="G1949" s="8">
        <f>[1]Data!G1949</f>
        <v>0</v>
      </c>
      <c r="H1949" s="8">
        <f>[1]Data!H1949</f>
        <v>0</v>
      </c>
      <c r="I1949" s="8">
        <f>[1]Data!I1949</f>
        <v>2</v>
      </c>
      <c r="J1949" s="8">
        <f>[1]Data!J1949</f>
        <v>0</v>
      </c>
      <c r="K1949" s="8">
        <f>[1]Data!K1949</f>
        <v>2</v>
      </c>
      <c r="L1949" s="8">
        <f>[1]Data!L1949</f>
        <v>0</v>
      </c>
      <c r="M1949" s="8">
        <f>[1]Data!M1949</f>
        <v>2</v>
      </c>
      <c r="N1949" s="8">
        <f>[1]Data!N1949</f>
        <v>2.2140221402214E-2</v>
      </c>
      <c r="O1949" s="8">
        <f>[1]Data!O1949</f>
        <v>0</v>
      </c>
      <c r="P1949" s="8">
        <f>[1]Data!P1949</f>
        <v>0.18081180811808101</v>
      </c>
      <c r="Q1949" s="8">
        <f>[1]Data!Q1949</f>
        <v>1</v>
      </c>
      <c r="R1949" s="8">
        <f>[1]Data!R1949</f>
        <v>0.30612244897959201</v>
      </c>
      <c r="S1949" s="8">
        <f>[1]Data!S1949</f>
        <v>0</v>
      </c>
      <c r="T1949">
        <f t="shared" si="150"/>
        <v>0.3214850515852099</v>
      </c>
      <c r="U1949">
        <f t="shared" si="151"/>
        <v>0</v>
      </c>
      <c r="V1949" s="4" t="str">
        <f t="shared" si="152"/>
        <v>12</v>
      </c>
      <c r="W1949" s="4" t="str">
        <f t="shared" si="153"/>
        <v>2</v>
      </c>
      <c r="X1949" s="4" t="str">
        <f t="shared" si="154"/>
        <v>12NON-HS2</v>
      </c>
      <c r="Y1949">
        <f>VLOOKUP(X1949,Sheet1!$J$5:$K$121,2,FALSE)</f>
        <v>0.30612244897959201</v>
      </c>
    </row>
    <row r="1950" spans="1:25" x14ac:dyDescent="0.25">
      <c r="A1950" s="8">
        <f>[1]Data!A1950</f>
        <v>106645</v>
      </c>
      <c r="B1950" s="8">
        <f>[1]Data!B1950</f>
        <v>2</v>
      </c>
      <c r="C1950" s="8">
        <f>[1]Data!C1950</f>
        <v>12</v>
      </c>
      <c r="D1950" s="8">
        <f>[1]Data!D1950</f>
        <v>5</v>
      </c>
      <c r="E1950" s="8" t="str">
        <f>[1]Data!E1950</f>
        <v>NON-HS</v>
      </c>
      <c r="F1950" s="8" t="str">
        <f>[1]Data!F1950</f>
        <v>Granada Hills</v>
      </c>
      <c r="G1950" s="8">
        <f>[1]Data!G1950</f>
        <v>0</v>
      </c>
      <c r="H1950" s="8">
        <f>[1]Data!H1950</f>
        <v>0</v>
      </c>
      <c r="I1950" s="8">
        <f>[1]Data!I1950</f>
        <v>0</v>
      </c>
      <c r="J1950" s="8">
        <f>[1]Data!J1950</f>
        <v>0</v>
      </c>
      <c r="K1950" s="8">
        <f>[1]Data!K1950</f>
        <v>0</v>
      </c>
      <c r="L1950" s="8">
        <f>[1]Data!L1950</f>
        <v>0</v>
      </c>
      <c r="M1950" s="8">
        <f>[1]Data!M1950</f>
        <v>0</v>
      </c>
      <c r="N1950" s="8">
        <f>[1]Data!N1950</f>
        <v>2.2140221402214E-2</v>
      </c>
      <c r="O1950" s="8">
        <f>[1]Data!O1950</f>
        <v>0</v>
      </c>
      <c r="P1950" s="8">
        <f>[1]Data!P1950</f>
        <v>0.18081180811808101</v>
      </c>
      <c r="Q1950" s="8">
        <f>[1]Data!Q1950</f>
        <v>1</v>
      </c>
      <c r="R1950" s="8">
        <f>[1]Data!R1950</f>
        <v>0.30612244897959201</v>
      </c>
      <c r="S1950" s="8">
        <f>[1]Data!S1950</f>
        <v>0</v>
      </c>
      <c r="T1950">
        <f t="shared" si="150"/>
        <v>0.3214850515852099</v>
      </c>
      <c r="U1950">
        <f t="shared" si="151"/>
        <v>0</v>
      </c>
      <c r="V1950" s="4" t="str">
        <f t="shared" si="152"/>
        <v>12</v>
      </c>
      <c r="W1950" s="4" t="str">
        <f t="shared" si="153"/>
        <v>2</v>
      </c>
      <c r="X1950" s="4" t="str">
        <f t="shared" si="154"/>
        <v>12NON-HS2</v>
      </c>
      <c r="Y1950">
        <f>VLOOKUP(X1950,Sheet1!$J$5:$K$121,2,FALSE)</f>
        <v>0.30612244897959201</v>
      </c>
    </row>
    <row r="1951" spans="1:25" x14ac:dyDescent="0.25">
      <c r="A1951" s="8">
        <f>[1]Data!A1951</f>
        <v>106642</v>
      </c>
      <c r="B1951" s="8">
        <f>[1]Data!B1951</f>
        <v>2</v>
      </c>
      <c r="C1951" s="8">
        <f>[1]Data!C1951</f>
        <v>12</v>
      </c>
      <c r="D1951" s="8">
        <f>[1]Data!D1951</f>
        <v>5</v>
      </c>
      <c r="E1951" s="8" t="str">
        <f>[1]Data!E1951</f>
        <v>NON-HS</v>
      </c>
      <c r="F1951" s="8" t="str">
        <f>[1]Data!F1951</f>
        <v>Granada Hills</v>
      </c>
      <c r="G1951" s="8">
        <f>[1]Data!G1951</f>
        <v>0</v>
      </c>
      <c r="H1951" s="8">
        <f>[1]Data!H1951</f>
        <v>0</v>
      </c>
      <c r="I1951" s="8">
        <f>[1]Data!I1951</f>
        <v>4.1900000000000004</v>
      </c>
      <c r="J1951" s="8">
        <f>[1]Data!J1951</f>
        <v>3.9673993200000002</v>
      </c>
      <c r="K1951" s="8">
        <f>[1]Data!K1951</f>
        <v>3.9673993200000002</v>
      </c>
      <c r="L1951" s="8">
        <f>[1]Data!L1951</f>
        <v>0.22234520276481101</v>
      </c>
      <c r="M1951" s="8">
        <f>[1]Data!M1951</f>
        <v>4.1897445227648102</v>
      </c>
      <c r="N1951" s="8">
        <f>[1]Data!N1951</f>
        <v>2.2140221402214E-2</v>
      </c>
      <c r="O1951" s="8">
        <f>[1]Data!O1951</f>
        <v>0</v>
      </c>
      <c r="P1951" s="8">
        <f>[1]Data!P1951</f>
        <v>0.18081180811808101</v>
      </c>
      <c r="Q1951" s="8">
        <f>[1]Data!Q1951</f>
        <v>1</v>
      </c>
      <c r="R1951" s="8">
        <f>[1]Data!R1951</f>
        <v>0.30612244897959201</v>
      </c>
      <c r="S1951" s="8">
        <f>[1]Data!S1951</f>
        <v>0</v>
      </c>
      <c r="T1951">
        <f t="shared" si="150"/>
        <v>0.3214850515852099</v>
      </c>
      <c r="U1951">
        <f t="shared" si="151"/>
        <v>0</v>
      </c>
      <c r="V1951" s="4" t="str">
        <f t="shared" si="152"/>
        <v>12</v>
      </c>
      <c r="W1951" s="4" t="str">
        <f t="shared" si="153"/>
        <v>2</v>
      </c>
      <c r="X1951" s="4" t="str">
        <f t="shared" si="154"/>
        <v>12NON-HS2</v>
      </c>
      <c r="Y1951">
        <f>VLOOKUP(X1951,Sheet1!$J$5:$K$121,2,FALSE)</f>
        <v>0.30612244897959201</v>
      </c>
    </row>
    <row r="1952" spans="1:25" x14ac:dyDescent="0.25">
      <c r="A1952" s="8">
        <f>[1]Data!A1952</f>
        <v>115201</v>
      </c>
      <c r="B1952" s="8">
        <f>[1]Data!B1952</f>
        <v>2</v>
      </c>
      <c r="C1952" s="8">
        <f>[1]Data!C1952</f>
        <v>12</v>
      </c>
      <c r="D1952" s="8">
        <f>[1]Data!D1952</f>
        <v>3</v>
      </c>
      <c r="E1952" s="8" t="str">
        <f>[1]Data!E1952</f>
        <v>NON-HS</v>
      </c>
      <c r="F1952" s="8" t="str">
        <f>[1]Data!F1952</f>
        <v>Northridge</v>
      </c>
      <c r="G1952" s="8">
        <f>[1]Data!G1952</f>
        <v>0</v>
      </c>
      <c r="H1952" s="8">
        <f>[1]Data!H1952</f>
        <v>1</v>
      </c>
      <c r="I1952" s="8">
        <f>[1]Data!I1952</f>
        <v>3.0950000000000002</v>
      </c>
      <c r="J1952" s="8">
        <f>[1]Data!J1952</f>
        <v>1.9836996600000001</v>
      </c>
      <c r="K1952" s="8">
        <f>[1]Data!K1952</f>
        <v>2.9836996600000001</v>
      </c>
      <c r="L1952" s="8">
        <f>[1]Data!L1952</f>
        <v>0.11117260138240601</v>
      </c>
      <c r="M1952" s="8">
        <f>[1]Data!M1952</f>
        <v>3.09487226138241</v>
      </c>
      <c r="N1952" s="8">
        <f>[1]Data!N1952</f>
        <v>2.2140221402214E-2</v>
      </c>
      <c r="O1952" s="8">
        <f>[1]Data!O1952</f>
        <v>0</v>
      </c>
      <c r="P1952" s="8">
        <f>[1]Data!P1952</f>
        <v>0.18081180811808101</v>
      </c>
      <c r="Q1952" s="8">
        <f>[1]Data!Q1952</f>
        <v>1</v>
      </c>
      <c r="R1952" s="8">
        <f>[1]Data!R1952</f>
        <v>0.30612244897959201</v>
      </c>
      <c r="S1952" s="8">
        <f>[1]Data!S1952</f>
        <v>3.2666666666666702</v>
      </c>
      <c r="T1952">
        <f t="shared" si="150"/>
        <v>0.3214850515852099</v>
      </c>
      <c r="U1952">
        <f t="shared" si="151"/>
        <v>3.1105645350199094</v>
      </c>
      <c r="V1952" s="4" t="str">
        <f t="shared" si="152"/>
        <v>12</v>
      </c>
      <c r="W1952" s="4" t="str">
        <f t="shared" si="153"/>
        <v>2</v>
      </c>
      <c r="X1952" s="4" t="str">
        <f t="shared" si="154"/>
        <v>12NON-HS2</v>
      </c>
      <c r="Y1952">
        <f>VLOOKUP(X1952,Sheet1!$J$5:$K$121,2,FALSE)</f>
        <v>0.30612244897959201</v>
      </c>
    </row>
    <row r="1953" spans="1:25" x14ac:dyDescent="0.25">
      <c r="A1953" s="8">
        <f>[1]Data!A1953</f>
        <v>192610</v>
      </c>
      <c r="B1953" s="8">
        <f>[1]Data!B1953</f>
        <v>4</v>
      </c>
      <c r="C1953" s="8">
        <f>[1]Data!C1953</f>
        <v>13</v>
      </c>
      <c r="D1953" s="8">
        <f>[1]Data!D1953</f>
        <v>2</v>
      </c>
      <c r="E1953" s="8" t="str">
        <f>[1]Data!E1953</f>
        <v>CVCTE</v>
      </c>
      <c r="F1953" s="8" t="str">
        <f>[1]Data!F1953</f>
        <v>Wilshire Center-Koreatown</v>
      </c>
      <c r="G1953" s="8">
        <f>[1]Data!G1953</f>
        <v>0</v>
      </c>
      <c r="H1953" s="8">
        <f>[1]Data!H1953</f>
        <v>0</v>
      </c>
      <c r="I1953" s="8">
        <f>[1]Data!I1953</f>
        <v>81.813999999999993</v>
      </c>
      <c r="J1953" s="8">
        <f>[1]Data!J1953</f>
        <v>68.932956419999996</v>
      </c>
      <c r="K1953" s="8">
        <f>[1]Data!K1953</f>
        <v>80.932956419999996</v>
      </c>
      <c r="L1953" s="8">
        <f>[1]Data!L1953</f>
        <v>0.88116920213644501</v>
      </c>
      <c r="M1953" s="8">
        <f>[1]Data!M1953</f>
        <v>81.814125622136402</v>
      </c>
      <c r="N1953" s="8">
        <f>[1]Data!N1953</f>
        <v>0.164383561643836</v>
      </c>
      <c r="O1953" s="8">
        <f>[1]Data!O1953</f>
        <v>0</v>
      </c>
      <c r="P1953" s="8">
        <f>[1]Data!P1953</f>
        <v>0.20547945205479501</v>
      </c>
      <c r="Q1953" s="8">
        <f>[1]Data!Q1953</f>
        <v>0.53571428571428603</v>
      </c>
      <c r="R1953" s="8">
        <f>[1]Data!R1953</f>
        <v>0.230769230769231</v>
      </c>
      <c r="S1953" s="8">
        <f>[1]Data!S1953</f>
        <v>0</v>
      </c>
      <c r="T1953">
        <f t="shared" si="150"/>
        <v>0.35721812434141248</v>
      </c>
      <c r="U1953">
        <f t="shared" si="151"/>
        <v>0</v>
      </c>
      <c r="V1953" s="4" t="str">
        <f t="shared" si="152"/>
        <v>13</v>
      </c>
      <c r="W1953" s="4" t="str">
        <f t="shared" si="153"/>
        <v>4</v>
      </c>
      <c r="X1953" s="4" t="str">
        <f t="shared" si="154"/>
        <v>13CVCTE4</v>
      </c>
      <c r="Y1953">
        <f>VLOOKUP(X1953,Sheet1!$J$5:$K$121,2,FALSE)</f>
        <v>0.230769230769231</v>
      </c>
    </row>
    <row r="1954" spans="1:25" x14ac:dyDescent="0.25">
      <c r="A1954" s="8">
        <f>[1]Data!A1954</f>
        <v>211122</v>
      </c>
      <c r="B1954" s="8">
        <f>[1]Data!B1954</f>
        <v>4</v>
      </c>
      <c r="C1954" s="8">
        <f>[1]Data!C1954</f>
        <v>13</v>
      </c>
      <c r="D1954" s="8">
        <f>[1]Data!D1954</f>
        <v>2</v>
      </c>
      <c r="E1954" s="8" t="str">
        <f>[1]Data!E1954</f>
        <v>CVCTE</v>
      </c>
      <c r="F1954" s="8" t="str">
        <f>[1]Data!F1954</f>
        <v>Rampart Village</v>
      </c>
      <c r="G1954" s="8">
        <f>[1]Data!G1954</f>
        <v>0</v>
      </c>
      <c r="H1954" s="8">
        <f>[1]Data!H1954</f>
        <v>0</v>
      </c>
      <c r="I1954" s="8">
        <f>[1]Data!I1954</f>
        <v>71.459999999999994</v>
      </c>
      <c r="J1954" s="8">
        <f>[1]Data!J1954</f>
        <v>52.241942180000002</v>
      </c>
      <c r="K1954" s="8">
        <f>[1]Data!K1954</f>
        <v>69.241942179999995</v>
      </c>
      <c r="L1954" s="8">
        <f>[1]Data!L1954</f>
        <v>2.21836011937163</v>
      </c>
      <c r="M1954" s="8">
        <f>[1]Data!M1954</f>
        <v>71.460302299371605</v>
      </c>
      <c r="N1954" s="8">
        <f>[1]Data!N1954</f>
        <v>0.164383561643836</v>
      </c>
      <c r="O1954" s="8">
        <f>[1]Data!O1954</f>
        <v>0</v>
      </c>
      <c r="P1954" s="8">
        <f>[1]Data!P1954</f>
        <v>0.20547945205479501</v>
      </c>
      <c r="Q1954" s="8">
        <f>[1]Data!Q1954</f>
        <v>0.53571428571428603</v>
      </c>
      <c r="R1954" s="8">
        <f>[1]Data!R1954</f>
        <v>0.230769230769231</v>
      </c>
      <c r="S1954" s="8">
        <f>[1]Data!S1954</f>
        <v>0</v>
      </c>
      <c r="T1954">
        <f t="shared" si="150"/>
        <v>0.35721812434141248</v>
      </c>
      <c r="U1954">
        <f t="shared" si="151"/>
        <v>0</v>
      </c>
      <c r="V1954" s="4" t="str">
        <f t="shared" si="152"/>
        <v>13</v>
      </c>
      <c r="W1954" s="4" t="str">
        <f t="shared" si="153"/>
        <v>4</v>
      </c>
      <c r="X1954" s="4" t="str">
        <f t="shared" si="154"/>
        <v>13CVCTE4</v>
      </c>
      <c r="Y1954">
        <f>VLOOKUP(X1954,Sheet1!$J$5:$K$121,2,FALSE)</f>
        <v>0.230769230769231</v>
      </c>
    </row>
    <row r="1955" spans="1:25" x14ac:dyDescent="0.25">
      <c r="A1955" s="8">
        <f>[1]Data!A1955</f>
        <v>208402</v>
      </c>
      <c r="B1955" s="8">
        <f>[1]Data!B1955</f>
        <v>4</v>
      </c>
      <c r="C1955" s="8">
        <f>[1]Data!C1955</f>
        <v>13</v>
      </c>
      <c r="D1955" s="8">
        <f>[1]Data!D1955</f>
        <v>1</v>
      </c>
      <c r="E1955" s="8" t="str">
        <f>[1]Data!E1955</f>
        <v>CVCTE</v>
      </c>
      <c r="F1955" s="8" t="str">
        <f>[1]Data!F1955</f>
        <v>Echo Park</v>
      </c>
      <c r="G1955" s="8">
        <f>[1]Data!G1955</f>
        <v>0</v>
      </c>
      <c r="H1955" s="8">
        <f>[1]Data!H1955</f>
        <v>0</v>
      </c>
      <c r="I1955" s="8">
        <f>[1]Data!I1955</f>
        <v>43.831000000000003</v>
      </c>
      <c r="J1955" s="8">
        <f>[1]Data!J1955</f>
        <v>36.523489390000002</v>
      </c>
      <c r="K1955" s="8">
        <f>[1]Data!K1955</f>
        <v>42.523489390000002</v>
      </c>
      <c r="L1955" s="8">
        <f>[1]Data!L1955</f>
        <v>1.30752399303411</v>
      </c>
      <c r="M1955" s="8">
        <f>[1]Data!M1955</f>
        <v>43.831013383034097</v>
      </c>
      <c r="N1955" s="8">
        <f>[1]Data!N1955</f>
        <v>0.164383561643836</v>
      </c>
      <c r="O1955" s="8">
        <f>[1]Data!O1955</f>
        <v>0</v>
      </c>
      <c r="P1955" s="8">
        <f>[1]Data!P1955</f>
        <v>0.20547945205479501</v>
      </c>
      <c r="Q1955" s="8">
        <f>[1]Data!Q1955</f>
        <v>0.53571428571428603</v>
      </c>
      <c r="R1955" s="8">
        <f>[1]Data!R1955</f>
        <v>0.230769230769231</v>
      </c>
      <c r="S1955" s="8">
        <f>[1]Data!S1955</f>
        <v>0</v>
      </c>
      <c r="T1955">
        <f t="shared" si="150"/>
        <v>0.35721812434141248</v>
      </c>
      <c r="U1955">
        <f t="shared" si="151"/>
        <v>0</v>
      </c>
      <c r="V1955" s="4" t="str">
        <f t="shared" si="152"/>
        <v>13</v>
      </c>
      <c r="W1955" s="4" t="str">
        <f t="shared" si="153"/>
        <v>4</v>
      </c>
      <c r="X1955" s="4" t="str">
        <f t="shared" si="154"/>
        <v>13CVCTE4</v>
      </c>
      <c r="Y1955">
        <f>VLOOKUP(X1955,Sheet1!$J$5:$K$121,2,FALSE)</f>
        <v>0.230769230769231</v>
      </c>
    </row>
    <row r="1956" spans="1:25" x14ac:dyDescent="0.25">
      <c r="A1956" s="8">
        <f>[1]Data!A1956</f>
        <v>208501</v>
      </c>
      <c r="B1956" s="8">
        <f>[1]Data!B1956</f>
        <v>4</v>
      </c>
      <c r="C1956" s="8">
        <f>[1]Data!C1956</f>
        <v>13</v>
      </c>
      <c r="D1956" s="8">
        <f>[1]Data!D1956</f>
        <v>1</v>
      </c>
      <c r="E1956" s="8" t="str">
        <f>[1]Data!E1956</f>
        <v>CVCTE</v>
      </c>
      <c r="F1956" s="8" t="str">
        <f>[1]Data!F1956</f>
        <v>Echo Park</v>
      </c>
      <c r="G1956" s="8">
        <f>[1]Data!G1956</f>
        <v>0</v>
      </c>
      <c r="H1956" s="8">
        <f>[1]Data!H1956</f>
        <v>1</v>
      </c>
      <c r="I1956" s="8">
        <f>[1]Data!I1956</f>
        <v>27.754000000000001</v>
      </c>
      <c r="J1956" s="8">
        <f>[1]Data!J1956</f>
        <v>24.157385649999998</v>
      </c>
      <c r="K1956" s="8">
        <f>[1]Data!K1956</f>
        <v>27.157385649999998</v>
      </c>
      <c r="L1956" s="8">
        <f>[1]Data!L1956</f>
        <v>0.59673104220825801</v>
      </c>
      <c r="M1956" s="8">
        <f>[1]Data!M1956</f>
        <v>27.754116692208299</v>
      </c>
      <c r="N1956" s="8">
        <f>[1]Data!N1956</f>
        <v>0.164383561643836</v>
      </c>
      <c r="O1956" s="8">
        <f>[1]Data!O1956</f>
        <v>0</v>
      </c>
      <c r="P1956" s="8">
        <f>[1]Data!P1956</f>
        <v>0.20547945205479501</v>
      </c>
      <c r="Q1956" s="8">
        <f>[1]Data!Q1956</f>
        <v>0.53571428571428603</v>
      </c>
      <c r="R1956" s="8">
        <f>[1]Data!R1956</f>
        <v>0.230769230769231</v>
      </c>
      <c r="S1956" s="8">
        <f>[1]Data!S1956</f>
        <v>4.3333333333333304</v>
      </c>
      <c r="T1956">
        <f t="shared" si="150"/>
        <v>0.35721812434141248</v>
      </c>
      <c r="U1956">
        <f t="shared" si="151"/>
        <v>2.7994100294985214</v>
      </c>
      <c r="V1956" s="4" t="str">
        <f t="shared" si="152"/>
        <v>13</v>
      </c>
      <c r="W1956" s="4" t="str">
        <f t="shared" si="153"/>
        <v>4</v>
      </c>
      <c r="X1956" s="4" t="str">
        <f t="shared" si="154"/>
        <v>13CVCTE4</v>
      </c>
      <c r="Y1956">
        <f>VLOOKUP(X1956,Sheet1!$J$5:$K$121,2,FALSE)</f>
        <v>0.230769230769231</v>
      </c>
    </row>
    <row r="1957" spans="1:25" x14ac:dyDescent="0.25">
      <c r="A1957" s="8">
        <f>[1]Data!A1957</f>
        <v>188100</v>
      </c>
      <c r="B1957" s="8">
        <f>[1]Data!B1957</f>
        <v>4</v>
      </c>
      <c r="C1957" s="8">
        <f>[1]Data!C1957</f>
        <v>13</v>
      </c>
      <c r="D1957" s="8">
        <f>[1]Data!D1957</f>
        <v>3</v>
      </c>
      <c r="E1957" s="8" t="str">
        <f>[1]Data!E1957</f>
        <v>CVCTE</v>
      </c>
      <c r="F1957" s="8" t="str">
        <f>[1]Data!F1957</f>
        <v>Atwater Village</v>
      </c>
      <c r="G1957" s="8">
        <f>[1]Data!G1957</f>
        <v>0</v>
      </c>
      <c r="H1957" s="8">
        <f>[1]Data!H1957</f>
        <v>0</v>
      </c>
      <c r="I1957" s="8">
        <f>[1]Data!I1957</f>
        <v>38.29</v>
      </c>
      <c r="J1957" s="8">
        <f>[1]Data!J1957</f>
        <v>34.493066339999999</v>
      </c>
      <c r="K1957" s="8">
        <f>[1]Data!K1957</f>
        <v>36.493066339999999</v>
      </c>
      <c r="L1957" s="8">
        <f>[1]Data!L1957</f>
        <v>1.7963543499640899</v>
      </c>
      <c r="M1957" s="8">
        <f>[1]Data!M1957</f>
        <v>38.289420689964103</v>
      </c>
      <c r="N1957" s="8">
        <f>[1]Data!N1957</f>
        <v>0.164383561643836</v>
      </c>
      <c r="O1957" s="8">
        <f>[1]Data!O1957</f>
        <v>0</v>
      </c>
      <c r="P1957" s="8">
        <f>[1]Data!P1957</f>
        <v>0.20547945205479501</v>
      </c>
      <c r="Q1957" s="8">
        <f>[1]Data!Q1957</f>
        <v>0.53571428571428603</v>
      </c>
      <c r="R1957" s="8">
        <f>[1]Data!R1957</f>
        <v>0.230769230769231</v>
      </c>
      <c r="S1957" s="8">
        <f>[1]Data!S1957</f>
        <v>0</v>
      </c>
      <c r="T1957">
        <f t="shared" si="150"/>
        <v>0.35721812434141248</v>
      </c>
      <c r="U1957">
        <f t="shared" si="151"/>
        <v>0</v>
      </c>
      <c r="V1957" s="4" t="str">
        <f t="shared" si="152"/>
        <v>13</v>
      </c>
      <c r="W1957" s="4" t="str">
        <f t="shared" si="153"/>
        <v>4</v>
      </c>
      <c r="X1957" s="4" t="str">
        <f t="shared" si="154"/>
        <v>13CVCTE4</v>
      </c>
      <c r="Y1957">
        <f>VLOOKUP(X1957,Sheet1!$J$5:$K$121,2,FALSE)</f>
        <v>0.230769230769231</v>
      </c>
    </row>
    <row r="1958" spans="1:25" x14ac:dyDescent="0.25">
      <c r="A1958" s="8">
        <f>[1]Data!A1958</f>
        <v>187102</v>
      </c>
      <c r="B1958" s="8">
        <f>[1]Data!B1958</f>
        <v>4</v>
      </c>
      <c r="C1958" s="8">
        <f>[1]Data!C1958</f>
        <v>13</v>
      </c>
      <c r="D1958" s="8">
        <f>[1]Data!D1958</f>
        <v>1</v>
      </c>
      <c r="E1958" s="8" t="str">
        <f>[1]Data!E1958</f>
        <v>CVCTE</v>
      </c>
      <c r="F1958" s="8" t="str">
        <f>[1]Data!F1958</f>
        <v>Atwater Village</v>
      </c>
      <c r="G1958" s="8">
        <f>[1]Data!G1958</f>
        <v>0</v>
      </c>
      <c r="H1958" s="8">
        <f>[1]Data!H1958</f>
        <v>1</v>
      </c>
      <c r="I1958" s="8">
        <f>[1]Data!I1958</f>
        <v>18.239999999999998</v>
      </c>
      <c r="J1958" s="8">
        <f>[1]Data!J1958</f>
        <v>8.9139477300000003</v>
      </c>
      <c r="K1958" s="8">
        <f>[1]Data!K1958</f>
        <v>17.91394773</v>
      </c>
      <c r="L1958" s="8">
        <f>[1]Data!L1958</f>
        <v>0.32536718344703802</v>
      </c>
      <c r="M1958" s="8">
        <f>[1]Data!M1958</f>
        <v>18.239314913447</v>
      </c>
      <c r="N1958" s="8">
        <f>[1]Data!N1958</f>
        <v>0.164383561643836</v>
      </c>
      <c r="O1958" s="8">
        <f>[1]Data!O1958</f>
        <v>0</v>
      </c>
      <c r="P1958" s="8">
        <f>[1]Data!P1958</f>
        <v>0.20547945205479501</v>
      </c>
      <c r="Q1958" s="8">
        <f>[1]Data!Q1958</f>
        <v>0.53571428571428603</v>
      </c>
      <c r="R1958" s="8">
        <f>[1]Data!R1958</f>
        <v>0.230769230769231</v>
      </c>
      <c r="S1958" s="8">
        <f>[1]Data!S1958</f>
        <v>4.3333333333333304</v>
      </c>
      <c r="T1958">
        <f t="shared" si="150"/>
        <v>0.35721812434141248</v>
      </c>
      <c r="U1958">
        <f t="shared" si="151"/>
        <v>2.7994100294985214</v>
      </c>
      <c r="V1958" s="4" t="str">
        <f t="shared" si="152"/>
        <v>13</v>
      </c>
      <c r="W1958" s="4" t="str">
        <f t="shared" si="153"/>
        <v>4</v>
      </c>
      <c r="X1958" s="4" t="str">
        <f t="shared" si="154"/>
        <v>13CVCTE4</v>
      </c>
      <c r="Y1958">
        <f>VLOOKUP(X1958,Sheet1!$J$5:$K$121,2,FALSE)</f>
        <v>0.230769230769231</v>
      </c>
    </row>
    <row r="1959" spans="1:25" x14ac:dyDescent="0.25">
      <c r="A1959" s="8">
        <f>[1]Data!A1959</f>
        <v>187300</v>
      </c>
      <c r="B1959" s="8">
        <f>[1]Data!B1959</f>
        <v>4</v>
      </c>
      <c r="C1959" s="8">
        <f>[1]Data!C1959</f>
        <v>13</v>
      </c>
      <c r="D1959" s="8">
        <f>[1]Data!D1959</f>
        <v>1</v>
      </c>
      <c r="E1959" s="8" t="str">
        <f>[1]Data!E1959</f>
        <v>CVCTE</v>
      </c>
      <c r="F1959" s="8" t="str">
        <f>[1]Data!F1959</f>
        <v>Silver Lake</v>
      </c>
      <c r="G1959" s="8">
        <f>[1]Data!G1959</f>
        <v>0</v>
      </c>
      <c r="H1959" s="8">
        <f>[1]Data!H1959</f>
        <v>0</v>
      </c>
      <c r="I1959" s="8">
        <f>[1]Data!I1959</f>
        <v>18.606999999999999</v>
      </c>
      <c r="J1959" s="8">
        <f>[1]Data!J1959</f>
        <v>16.728839149999999</v>
      </c>
      <c r="K1959" s="8">
        <f>[1]Data!K1959</f>
        <v>17.728839149999999</v>
      </c>
      <c r="L1959" s="8">
        <f>[1]Data!L1959</f>
        <v>0.87791135570915602</v>
      </c>
      <c r="M1959" s="8">
        <f>[1]Data!M1959</f>
        <v>18.606750505709201</v>
      </c>
      <c r="N1959" s="8">
        <f>[1]Data!N1959</f>
        <v>0.164383561643836</v>
      </c>
      <c r="O1959" s="8">
        <f>[1]Data!O1959</f>
        <v>0</v>
      </c>
      <c r="P1959" s="8">
        <f>[1]Data!P1959</f>
        <v>0.20547945205479501</v>
      </c>
      <c r="Q1959" s="8">
        <f>[1]Data!Q1959</f>
        <v>0.53571428571428603</v>
      </c>
      <c r="R1959" s="8">
        <f>[1]Data!R1959</f>
        <v>0.230769230769231</v>
      </c>
      <c r="S1959" s="8">
        <f>[1]Data!S1959</f>
        <v>0</v>
      </c>
      <c r="T1959">
        <f t="shared" si="150"/>
        <v>0.35721812434141248</v>
      </c>
      <c r="U1959">
        <f t="shared" si="151"/>
        <v>0</v>
      </c>
      <c r="V1959" s="4" t="str">
        <f t="shared" si="152"/>
        <v>13</v>
      </c>
      <c r="W1959" s="4" t="str">
        <f t="shared" si="153"/>
        <v>4</v>
      </c>
      <c r="X1959" s="4" t="str">
        <f t="shared" si="154"/>
        <v>13CVCTE4</v>
      </c>
      <c r="Y1959">
        <f>VLOOKUP(X1959,Sheet1!$J$5:$K$121,2,FALSE)</f>
        <v>0.230769230769231</v>
      </c>
    </row>
    <row r="1960" spans="1:25" x14ac:dyDescent="0.25">
      <c r="A1960" s="8">
        <f>[1]Data!A1960</f>
        <v>192620</v>
      </c>
      <c r="B1960" s="8">
        <f>[1]Data!B1960</f>
        <v>4</v>
      </c>
      <c r="C1960" s="8">
        <f>[1]Data!C1960</f>
        <v>13</v>
      </c>
      <c r="D1960" s="8">
        <f>[1]Data!D1960</f>
        <v>2</v>
      </c>
      <c r="E1960" s="8" t="str">
        <f>[1]Data!E1960</f>
        <v>CVCTE</v>
      </c>
      <c r="F1960" s="8" t="str">
        <f>[1]Data!F1960</f>
        <v>Wilshire Center-Koreatown</v>
      </c>
      <c r="G1960" s="8">
        <f>[1]Data!G1960</f>
        <v>1</v>
      </c>
      <c r="H1960" s="8">
        <f>[1]Data!H1960</f>
        <v>1</v>
      </c>
      <c r="I1960" s="8">
        <f>[1]Data!I1960</f>
        <v>31.512</v>
      </c>
      <c r="J1960" s="8">
        <f>[1]Data!J1960</f>
        <v>26.221142520000001</v>
      </c>
      <c r="K1960" s="8">
        <f>[1]Data!K1960</f>
        <v>31.221142520000001</v>
      </c>
      <c r="L1960" s="8">
        <f>[1]Data!L1960</f>
        <v>0.29048772850987398</v>
      </c>
      <c r="M1960" s="8">
        <f>[1]Data!M1960</f>
        <v>31.511630248509899</v>
      </c>
      <c r="N1960" s="8">
        <f>[1]Data!N1960</f>
        <v>0.164383561643836</v>
      </c>
      <c r="O1960" s="8">
        <f>[1]Data!O1960</f>
        <v>6.0833333333333304</v>
      </c>
      <c r="P1960" s="8">
        <f>[1]Data!P1960</f>
        <v>0.20547945205479501</v>
      </c>
      <c r="Q1960" s="8">
        <f>[1]Data!Q1960</f>
        <v>0.53571428571428603</v>
      </c>
      <c r="R1960" s="8">
        <f>[1]Data!R1960</f>
        <v>0</v>
      </c>
      <c r="S1960" s="8">
        <f>[1]Data!S1960</f>
        <v>0</v>
      </c>
      <c r="T1960">
        <f t="shared" si="150"/>
        <v>0.35721812434141248</v>
      </c>
      <c r="U1960">
        <f t="shared" si="151"/>
        <v>2.7994100294985214</v>
      </c>
      <c r="V1960" s="4" t="str">
        <f t="shared" si="152"/>
        <v>13</v>
      </c>
      <c r="W1960" s="4" t="str">
        <f t="shared" si="153"/>
        <v>4</v>
      </c>
      <c r="X1960" s="4" t="str">
        <f t="shared" si="154"/>
        <v>13CVCTE4</v>
      </c>
      <c r="Y1960">
        <f>VLOOKUP(X1960,Sheet1!$J$5:$K$121,2,FALSE)</f>
        <v>0.230769230769231</v>
      </c>
    </row>
    <row r="1961" spans="1:25" x14ac:dyDescent="0.25">
      <c r="A1961" s="8">
        <f>[1]Data!A1961</f>
        <v>195804</v>
      </c>
      <c r="B1961" s="8">
        <f>[1]Data!B1961</f>
        <v>4</v>
      </c>
      <c r="C1961" s="8">
        <f>[1]Data!C1961</f>
        <v>13</v>
      </c>
      <c r="D1961" s="8">
        <f>[1]Data!D1961</f>
        <v>1</v>
      </c>
      <c r="E1961" s="8" t="str">
        <f>[1]Data!E1961</f>
        <v>CVCTE</v>
      </c>
      <c r="F1961" s="8" t="str">
        <f>[1]Data!F1961</f>
        <v>Silver Lake</v>
      </c>
      <c r="G1961" s="8">
        <f>[1]Data!G1961</f>
        <v>0</v>
      </c>
      <c r="H1961" s="8">
        <f>[1]Data!H1961</f>
        <v>0</v>
      </c>
      <c r="I1961" s="8">
        <f>[1]Data!I1961</f>
        <v>30.765000000000001</v>
      </c>
      <c r="J1961" s="8">
        <f>[1]Data!J1961</f>
        <v>28.40145133</v>
      </c>
      <c r="K1961" s="8">
        <f>[1]Data!K1961</f>
        <v>30.40145133</v>
      </c>
      <c r="L1961" s="8">
        <f>[1]Data!L1961</f>
        <v>0.36374001944344703</v>
      </c>
      <c r="M1961" s="8">
        <f>[1]Data!M1961</f>
        <v>30.765191349443398</v>
      </c>
      <c r="N1961" s="8">
        <f>[1]Data!N1961</f>
        <v>0.164383561643836</v>
      </c>
      <c r="O1961" s="8">
        <f>[1]Data!O1961</f>
        <v>0</v>
      </c>
      <c r="P1961" s="8">
        <f>[1]Data!P1961</f>
        <v>0.20547945205479501</v>
      </c>
      <c r="Q1961" s="8">
        <f>[1]Data!Q1961</f>
        <v>0.53571428571428603</v>
      </c>
      <c r="R1961" s="8">
        <f>[1]Data!R1961</f>
        <v>0.230769230769231</v>
      </c>
      <c r="S1961" s="8">
        <f>[1]Data!S1961</f>
        <v>0</v>
      </c>
      <c r="T1961">
        <f t="shared" si="150"/>
        <v>0.35721812434141248</v>
      </c>
      <c r="U1961">
        <f t="shared" si="151"/>
        <v>0</v>
      </c>
      <c r="V1961" s="4" t="str">
        <f t="shared" si="152"/>
        <v>13</v>
      </c>
      <c r="W1961" s="4" t="str">
        <f t="shared" si="153"/>
        <v>4</v>
      </c>
      <c r="X1961" s="4" t="str">
        <f t="shared" si="154"/>
        <v>13CVCTE4</v>
      </c>
      <c r="Y1961">
        <f>VLOOKUP(X1961,Sheet1!$J$5:$K$121,2,FALSE)</f>
        <v>0.230769230769231</v>
      </c>
    </row>
    <row r="1962" spans="1:25" x14ac:dyDescent="0.25">
      <c r="A1962" s="8">
        <f>[1]Data!A1962</f>
        <v>195720</v>
      </c>
      <c r="B1962" s="8">
        <f>[1]Data!B1962</f>
        <v>4</v>
      </c>
      <c r="C1962" s="8">
        <f>[1]Data!C1962</f>
        <v>13</v>
      </c>
      <c r="D1962" s="8">
        <f>[1]Data!D1962</f>
        <v>1</v>
      </c>
      <c r="E1962" s="8" t="str">
        <f>[1]Data!E1962</f>
        <v>CVCTE</v>
      </c>
      <c r="F1962" s="8" t="str">
        <f>[1]Data!F1962</f>
        <v>Echo Park</v>
      </c>
      <c r="G1962" s="8">
        <f>[1]Data!G1962</f>
        <v>0</v>
      </c>
      <c r="H1962" s="8">
        <f>[1]Data!H1962</f>
        <v>0</v>
      </c>
      <c r="I1962" s="8">
        <f>[1]Data!I1962</f>
        <v>30.321000000000002</v>
      </c>
      <c r="J1962" s="8">
        <f>[1]Data!J1962</f>
        <v>27.170837460000001</v>
      </c>
      <c r="K1962" s="8">
        <f>[1]Data!K1962</f>
        <v>29.170837460000001</v>
      </c>
      <c r="L1962" s="8">
        <f>[1]Data!L1962</f>
        <v>1.15003719441652</v>
      </c>
      <c r="M1962" s="8">
        <f>[1]Data!M1962</f>
        <v>30.3208746544165</v>
      </c>
      <c r="N1962" s="8">
        <f>[1]Data!N1962</f>
        <v>0.164383561643836</v>
      </c>
      <c r="O1962" s="8">
        <f>[1]Data!O1962</f>
        <v>0</v>
      </c>
      <c r="P1962" s="8">
        <f>[1]Data!P1962</f>
        <v>0.20547945205479501</v>
      </c>
      <c r="Q1962" s="8">
        <f>[1]Data!Q1962</f>
        <v>0.53571428571428603</v>
      </c>
      <c r="R1962" s="8">
        <f>[1]Data!R1962</f>
        <v>0.230769230769231</v>
      </c>
      <c r="S1962" s="8">
        <f>[1]Data!S1962</f>
        <v>0</v>
      </c>
      <c r="T1962">
        <f t="shared" si="150"/>
        <v>0.35721812434141248</v>
      </c>
      <c r="U1962">
        <f t="shared" si="151"/>
        <v>0</v>
      </c>
      <c r="V1962" s="4" t="str">
        <f t="shared" si="152"/>
        <v>13</v>
      </c>
      <c r="W1962" s="4" t="str">
        <f t="shared" si="153"/>
        <v>4</v>
      </c>
      <c r="X1962" s="4" t="str">
        <f t="shared" si="154"/>
        <v>13CVCTE4</v>
      </c>
      <c r="Y1962">
        <f>VLOOKUP(X1962,Sheet1!$J$5:$K$121,2,FALSE)</f>
        <v>0.230769230769231</v>
      </c>
    </row>
    <row r="1963" spans="1:25" x14ac:dyDescent="0.25">
      <c r="A1963" s="8">
        <f>[1]Data!A1963</f>
        <v>195903</v>
      </c>
      <c r="B1963" s="8">
        <f>[1]Data!B1963</f>
        <v>4</v>
      </c>
      <c r="C1963" s="8">
        <f>[1]Data!C1963</f>
        <v>13</v>
      </c>
      <c r="D1963" s="8">
        <f>[1]Data!D1963</f>
        <v>1</v>
      </c>
      <c r="E1963" s="8" t="str">
        <f>[1]Data!E1963</f>
        <v>CVCTE</v>
      </c>
      <c r="F1963" s="8" t="str">
        <f>[1]Data!F1963</f>
        <v>Silver Lake</v>
      </c>
      <c r="G1963" s="8">
        <f>[1]Data!G1963</f>
        <v>0</v>
      </c>
      <c r="H1963" s="8">
        <f>[1]Data!H1963</f>
        <v>0</v>
      </c>
      <c r="I1963" s="8">
        <f>[1]Data!I1963</f>
        <v>13.612</v>
      </c>
      <c r="J1963" s="8">
        <f>[1]Data!J1963</f>
        <v>12.738874900000001</v>
      </c>
      <c r="K1963" s="8">
        <f>[1]Data!K1963</f>
        <v>12.738874900000001</v>
      </c>
      <c r="L1963" s="8">
        <f>[1]Data!L1963</f>
        <v>0.87349618515260297</v>
      </c>
      <c r="M1963" s="8">
        <f>[1]Data!M1963</f>
        <v>13.612371085152599</v>
      </c>
      <c r="N1963" s="8">
        <f>[1]Data!N1963</f>
        <v>0.164383561643836</v>
      </c>
      <c r="O1963" s="8">
        <f>[1]Data!O1963</f>
        <v>0</v>
      </c>
      <c r="P1963" s="8">
        <f>[1]Data!P1963</f>
        <v>0.20547945205479501</v>
      </c>
      <c r="Q1963" s="8">
        <f>[1]Data!Q1963</f>
        <v>0.53571428571428603</v>
      </c>
      <c r="R1963" s="8">
        <f>[1]Data!R1963</f>
        <v>0.230769230769231</v>
      </c>
      <c r="S1963" s="8">
        <f>[1]Data!S1963</f>
        <v>0</v>
      </c>
      <c r="T1963">
        <f t="shared" si="150"/>
        <v>0.35721812434141248</v>
      </c>
      <c r="U1963">
        <f t="shared" si="151"/>
        <v>0</v>
      </c>
      <c r="V1963" s="4" t="str">
        <f t="shared" si="152"/>
        <v>13</v>
      </c>
      <c r="W1963" s="4" t="str">
        <f t="shared" si="153"/>
        <v>4</v>
      </c>
      <c r="X1963" s="4" t="str">
        <f t="shared" si="154"/>
        <v>13CVCTE4</v>
      </c>
      <c r="Y1963">
        <f>VLOOKUP(X1963,Sheet1!$J$5:$K$121,2,FALSE)</f>
        <v>0.230769230769231</v>
      </c>
    </row>
    <row r="1964" spans="1:25" x14ac:dyDescent="0.25">
      <c r="A1964" s="8">
        <f>[1]Data!A1964</f>
        <v>195400</v>
      </c>
      <c r="B1964" s="8">
        <f>[1]Data!B1964</f>
        <v>4</v>
      </c>
      <c r="C1964" s="8">
        <f>[1]Data!C1964</f>
        <v>13</v>
      </c>
      <c r="D1964" s="8">
        <f>[1]Data!D1964</f>
        <v>1</v>
      </c>
      <c r="E1964" s="8" t="str">
        <f>[1]Data!E1964</f>
        <v>CVCTE</v>
      </c>
      <c r="F1964" s="8" t="str">
        <f>[1]Data!F1964</f>
        <v>Silver Lake</v>
      </c>
      <c r="G1964" s="8">
        <f>[1]Data!G1964</f>
        <v>0</v>
      </c>
      <c r="H1964" s="8">
        <f>[1]Data!H1964</f>
        <v>0</v>
      </c>
      <c r="I1964" s="8">
        <f>[1]Data!I1964</f>
        <v>27.939</v>
      </c>
      <c r="J1964" s="8">
        <f>[1]Data!J1964</f>
        <v>27.53407722</v>
      </c>
      <c r="K1964" s="8">
        <f>[1]Data!K1964</f>
        <v>27.53407722</v>
      </c>
      <c r="L1964" s="8">
        <f>[1]Data!L1964</f>
        <v>0.40426015892280098</v>
      </c>
      <c r="M1964" s="8">
        <f>[1]Data!M1964</f>
        <v>27.9383373789228</v>
      </c>
      <c r="N1964" s="8">
        <f>[1]Data!N1964</f>
        <v>0.164383561643836</v>
      </c>
      <c r="O1964" s="8">
        <f>[1]Data!O1964</f>
        <v>0</v>
      </c>
      <c r="P1964" s="8">
        <f>[1]Data!P1964</f>
        <v>0.20547945205479501</v>
      </c>
      <c r="Q1964" s="8">
        <f>[1]Data!Q1964</f>
        <v>0.53571428571428603</v>
      </c>
      <c r="R1964" s="8">
        <f>[1]Data!R1964</f>
        <v>0.230769230769231</v>
      </c>
      <c r="S1964" s="8">
        <f>[1]Data!S1964</f>
        <v>0</v>
      </c>
      <c r="T1964">
        <f t="shared" si="150"/>
        <v>0.35721812434141248</v>
      </c>
      <c r="U1964">
        <f t="shared" si="151"/>
        <v>0</v>
      </c>
      <c r="V1964" s="4" t="str">
        <f t="shared" si="152"/>
        <v>13</v>
      </c>
      <c r="W1964" s="4" t="str">
        <f t="shared" si="153"/>
        <v>4</v>
      </c>
      <c r="X1964" s="4" t="str">
        <f t="shared" si="154"/>
        <v>13CVCTE4</v>
      </c>
      <c r="Y1964">
        <f>VLOOKUP(X1964,Sheet1!$J$5:$K$121,2,FALSE)</f>
        <v>0.230769230769231</v>
      </c>
    </row>
    <row r="1965" spans="1:25" x14ac:dyDescent="0.25">
      <c r="A1965" s="8">
        <f>[1]Data!A1965</f>
        <v>211121</v>
      </c>
      <c r="B1965" s="8">
        <f>[1]Data!B1965</f>
        <v>4</v>
      </c>
      <c r="C1965" s="8">
        <f>[1]Data!C1965</f>
        <v>13</v>
      </c>
      <c r="D1965" s="8">
        <f>[1]Data!D1965</f>
        <v>2</v>
      </c>
      <c r="E1965" s="8" t="str">
        <f>[1]Data!E1965</f>
        <v>CVCTE</v>
      </c>
      <c r="F1965" s="8" t="str">
        <f>[1]Data!F1965</f>
        <v>Rampart Village</v>
      </c>
      <c r="G1965" s="8">
        <f>[1]Data!G1965</f>
        <v>1</v>
      </c>
      <c r="H1965" s="8">
        <f>[1]Data!H1965</f>
        <v>1</v>
      </c>
      <c r="I1965" s="8">
        <f>[1]Data!I1965</f>
        <v>33.06</v>
      </c>
      <c r="J1965" s="8">
        <f>[1]Data!J1965</f>
        <v>25.58371138</v>
      </c>
      <c r="K1965" s="8">
        <f>[1]Data!K1965</f>
        <v>32.583711379999997</v>
      </c>
      <c r="L1965" s="8">
        <f>[1]Data!L1965</f>
        <v>0.47567460077199297</v>
      </c>
      <c r="M1965" s="8">
        <f>[1]Data!M1965</f>
        <v>33.059385980771999</v>
      </c>
      <c r="N1965" s="8">
        <f>[1]Data!N1965</f>
        <v>0.164383561643836</v>
      </c>
      <c r="O1965" s="8">
        <f>[1]Data!O1965</f>
        <v>6.0833333333333304</v>
      </c>
      <c r="P1965" s="8">
        <f>[1]Data!P1965</f>
        <v>0.20547945205479501</v>
      </c>
      <c r="Q1965" s="8">
        <f>[1]Data!Q1965</f>
        <v>0.53571428571428603</v>
      </c>
      <c r="R1965" s="8">
        <f>[1]Data!R1965</f>
        <v>0</v>
      </c>
      <c r="S1965" s="8">
        <f>[1]Data!S1965</f>
        <v>0</v>
      </c>
      <c r="T1965">
        <f t="shared" si="150"/>
        <v>0.35721812434141248</v>
      </c>
      <c r="U1965">
        <f t="shared" si="151"/>
        <v>2.7994100294985214</v>
      </c>
      <c r="V1965" s="4" t="str">
        <f t="shared" si="152"/>
        <v>13</v>
      </c>
      <c r="W1965" s="4" t="str">
        <f t="shared" si="153"/>
        <v>4</v>
      </c>
      <c r="X1965" s="4" t="str">
        <f t="shared" si="154"/>
        <v>13CVCTE4</v>
      </c>
      <c r="Y1965">
        <f>VLOOKUP(X1965,Sheet1!$J$5:$K$121,2,FALSE)</f>
        <v>0.230769230769231</v>
      </c>
    </row>
    <row r="1966" spans="1:25" x14ac:dyDescent="0.25">
      <c r="A1966" s="8">
        <f>[1]Data!A1966</f>
        <v>187200</v>
      </c>
      <c r="B1966" s="8">
        <f>[1]Data!B1966</f>
        <v>4</v>
      </c>
      <c r="C1966" s="8">
        <f>[1]Data!C1966</f>
        <v>13</v>
      </c>
      <c r="D1966" s="8">
        <f>[1]Data!D1966</f>
        <v>1</v>
      </c>
      <c r="E1966" s="8" t="str">
        <f>[1]Data!E1966</f>
        <v>CVCTE</v>
      </c>
      <c r="F1966" s="8" t="str">
        <f>[1]Data!F1966</f>
        <v>Elysian Valley</v>
      </c>
      <c r="G1966" s="8">
        <f>[1]Data!G1966</f>
        <v>0</v>
      </c>
      <c r="H1966" s="8">
        <f>[1]Data!H1966</f>
        <v>1</v>
      </c>
      <c r="I1966" s="8">
        <f>[1]Data!I1966</f>
        <v>14.038</v>
      </c>
      <c r="J1966" s="8">
        <f>[1]Data!J1966</f>
        <v>13.477690689999999</v>
      </c>
      <c r="K1966" s="8">
        <f>[1]Data!K1966</f>
        <v>13.477690689999999</v>
      </c>
      <c r="L1966" s="8">
        <f>[1]Data!L1966</f>
        <v>0.56092655998204699</v>
      </c>
      <c r="M1966" s="8">
        <f>[1]Data!M1966</f>
        <v>14.038617249982</v>
      </c>
      <c r="N1966" s="8">
        <f>[1]Data!N1966</f>
        <v>0.164383561643836</v>
      </c>
      <c r="O1966" s="8">
        <f>[1]Data!O1966</f>
        <v>0</v>
      </c>
      <c r="P1966" s="8">
        <f>[1]Data!P1966</f>
        <v>0.20547945205479501</v>
      </c>
      <c r="Q1966" s="8">
        <f>[1]Data!Q1966</f>
        <v>0.53571428571428603</v>
      </c>
      <c r="R1966" s="8">
        <f>[1]Data!R1966</f>
        <v>0.230769230769231</v>
      </c>
      <c r="S1966" s="8">
        <f>[1]Data!S1966</f>
        <v>4.3333333333333304</v>
      </c>
      <c r="T1966">
        <f t="shared" si="150"/>
        <v>0.35721812434141248</v>
      </c>
      <c r="U1966">
        <f t="shared" si="151"/>
        <v>2.7994100294985214</v>
      </c>
      <c r="V1966" s="4" t="str">
        <f t="shared" si="152"/>
        <v>13</v>
      </c>
      <c r="W1966" s="4" t="str">
        <f t="shared" si="153"/>
        <v>4</v>
      </c>
      <c r="X1966" s="4" t="str">
        <f t="shared" si="154"/>
        <v>13CVCTE4</v>
      </c>
      <c r="Y1966">
        <f>VLOOKUP(X1966,Sheet1!$J$5:$K$121,2,FALSE)</f>
        <v>0.230769230769231</v>
      </c>
    </row>
    <row r="1967" spans="1:25" x14ac:dyDescent="0.25">
      <c r="A1967" s="8">
        <f>[1]Data!A1967</f>
        <v>195600</v>
      </c>
      <c r="B1967" s="8">
        <f>[1]Data!B1967</f>
        <v>4</v>
      </c>
      <c r="C1967" s="8">
        <f>[1]Data!C1967</f>
        <v>13</v>
      </c>
      <c r="D1967" s="8">
        <f>[1]Data!D1967</f>
        <v>1</v>
      </c>
      <c r="E1967" s="8" t="str">
        <f>[1]Data!E1967</f>
        <v>CVCTE</v>
      </c>
      <c r="F1967" s="8" t="str">
        <f>[1]Data!F1967</f>
        <v>Echo Park</v>
      </c>
      <c r="G1967" s="8">
        <f>[1]Data!G1967</f>
        <v>0</v>
      </c>
      <c r="H1967" s="8">
        <f>[1]Data!H1967</f>
        <v>0</v>
      </c>
      <c r="I1967" s="8">
        <f>[1]Data!I1967</f>
        <v>34.442</v>
      </c>
      <c r="J1967" s="8">
        <f>[1]Data!J1967</f>
        <v>21.879750390000002</v>
      </c>
      <c r="K1967" s="8">
        <f>[1]Data!K1967</f>
        <v>33.879750389999998</v>
      </c>
      <c r="L1967" s="8">
        <f>[1]Data!L1967</f>
        <v>0.56202493667863596</v>
      </c>
      <c r="M1967" s="8">
        <f>[1]Data!M1967</f>
        <v>34.441775326678602</v>
      </c>
      <c r="N1967" s="8">
        <f>[1]Data!N1967</f>
        <v>0.164383561643836</v>
      </c>
      <c r="O1967" s="8">
        <f>[1]Data!O1967</f>
        <v>0</v>
      </c>
      <c r="P1967" s="8">
        <f>[1]Data!P1967</f>
        <v>0.20547945205479501</v>
      </c>
      <c r="Q1967" s="8">
        <f>[1]Data!Q1967</f>
        <v>0.53571428571428603</v>
      </c>
      <c r="R1967" s="8">
        <f>[1]Data!R1967</f>
        <v>0.230769230769231</v>
      </c>
      <c r="S1967" s="8">
        <f>[1]Data!S1967</f>
        <v>0</v>
      </c>
      <c r="T1967">
        <f t="shared" si="150"/>
        <v>0.35721812434141248</v>
      </c>
      <c r="U1967">
        <f t="shared" si="151"/>
        <v>0</v>
      </c>
      <c r="V1967" s="4" t="str">
        <f t="shared" si="152"/>
        <v>13</v>
      </c>
      <c r="W1967" s="4" t="str">
        <f t="shared" si="153"/>
        <v>4</v>
      </c>
      <c r="X1967" s="4" t="str">
        <f t="shared" si="154"/>
        <v>13CVCTE4</v>
      </c>
      <c r="Y1967">
        <f>VLOOKUP(X1967,Sheet1!$J$5:$K$121,2,FALSE)</f>
        <v>0.230769230769231</v>
      </c>
    </row>
    <row r="1968" spans="1:25" x14ac:dyDescent="0.25">
      <c r="A1968" s="8">
        <f>[1]Data!A1968</f>
        <v>190700</v>
      </c>
      <c r="B1968" s="8">
        <f>[1]Data!B1968</f>
        <v>11</v>
      </c>
      <c r="C1968" s="8">
        <f>[1]Data!C1968</f>
        <v>13</v>
      </c>
      <c r="D1968" s="8">
        <f>[1]Data!D1968</f>
        <v>3</v>
      </c>
      <c r="E1968" s="8" t="str">
        <f>[1]Data!E1968</f>
        <v>CVCTE</v>
      </c>
      <c r="F1968" s="8" t="str">
        <f>[1]Data!F1968</f>
        <v>Hollywood</v>
      </c>
      <c r="G1968" s="8">
        <f>[1]Data!G1968</f>
        <v>0</v>
      </c>
      <c r="H1968" s="8">
        <f>[1]Data!H1968</f>
        <v>0</v>
      </c>
      <c r="I1968" s="8">
        <f>[1]Data!I1968</f>
        <v>83.406000000000006</v>
      </c>
      <c r="J1968" s="8">
        <f>[1]Data!J1968</f>
        <v>54.658331459999999</v>
      </c>
      <c r="K1968" s="8">
        <f>[1]Data!K1968</f>
        <v>82.658331459999999</v>
      </c>
      <c r="L1968" s="8">
        <f>[1]Data!L1968</f>
        <v>0.74726445739676794</v>
      </c>
      <c r="M1968" s="8">
        <f>[1]Data!M1968</f>
        <v>83.405595917396795</v>
      </c>
      <c r="N1968" s="8">
        <f>[1]Data!N1968</f>
        <v>0.46666666666666701</v>
      </c>
      <c r="O1968" s="8">
        <f>[1]Data!O1968</f>
        <v>0</v>
      </c>
      <c r="P1968" s="8">
        <f>[1]Data!P1968</f>
        <v>0.86666666666666703</v>
      </c>
      <c r="Q1968" s="8">
        <f>[1]Data!Q1968</f>
        <v>0.46428571428571402</v>
      </c>
      <c r="R1968" s="8">
        <f>[1]Data!R1968</f>
        <v>0</v>
      </c>
      <c r="S1968" s="8">
        <f>[1]Data!S1968</f>
        <v>0</v>
      </c>
      <c r="T1968">
        <f t="shared" si="150"/>
        <v>0.46666666666666701</v>
      </c>
      <c r="U1968">
        <f t="shared" si="151"/>
        <v>0</v>
      </c>
      <c r="V1968" s="4" t="str">
        <f t="shared" si="152"/>
        <v>13</v>
      </c>
      <c r="W1968" s="4" t="str">
        <f t="shared" si="153"/>
        <v>11</v>
      </c>
      <c r="X1968" s="4" t="str">
        <f t="shared" si="154"/>
        <v>13CVCTE11</v>
      </c>
      <c r="Y1968">
        <f>VLOOKUP(X1968,Sheet1!$J$5:$K$121,2,FALSE)</f>
        <v>0</v>
      </c>
    </row>
    <row r="1969" spans="1:25" x14ac:dyDescent="0.25">
      <c r="A1969" s="8">
        <f>[1]Data!A1969</f>
        <v>190801</v>
      </c>
      <c r="B1969" s="8">
        <f>[1]Data!B1969</f>
        <v>11</v>
      </c>
      <c r="C1969" s="8">
        <f>[1]Data!C1969</f>
        <v>13</v>
      </c>
      <c r="D1969" s="8">
        <f>[1]Data!D1969</f>
        <v>3</v>
      </c>
      <c r="E1969" s="8" t="str">
        <f>[1]Data!E1969</f>
        <v>CVCTE</v>
      </c>
      <c r="F1969" s="8" t="str">
        <f>[1]Data!F1969</f>
        <v>Hollywood</v>
      </c>
      <c r="G1969" s="8">
        <f>[1]Data!G1969</f>
        <v>1</v>
      </c>
      <c r="H1969" s="8">
        <f>[1]Data!H1969</f>
        <v>1</v>
      </c>
      <c r="I1969" s="8">
        <f>[1]Data!I1969</f>
        <v>139.22300000000001</v>
      </c>
      <c r="J1969" s="8">
        <f>[1]Data!J1969</f>
        <v>93.567048560000003</v>
      </c>
      <c r="K1969" s="8">
        <f>[1]Data!K1969</f>
        <v>135.56704855999999</v>
      </c>
      <c r="L1969" s="8">
        <f>[1]Data!L1969</f>
        <v>3.6551863459964098</v>
      </c>
      <c r="M1969" s="8">
        <f>[1]Data!M1969</f>
        <v>139.222234905996</v>
      </c>
      <c r="N1969" s="8">
        <f>[1]Data!N1969</f>
        <v>0.46666666666666701</v>
      </c>
      <c r="O1969" s="8">
        <f>[1]Data!O1969</f>
        <v>2.1428571428571401</v>
      </c>
      <c r="P1969" s="8">
        <f>[1]Data!P1969</f>
        <v>0.86666666666666703</v>
      </c>
      <c r="Q1969" s="8">
        <f>[1]Data!Q1969</f>
        <v>0.46428571428571402</v>
      </c>
      <c r="R1969" s="8">
        <f>[1]Data!R1969</f>
        <v>0</v>
      </c>
      <c r="S1969" s="8">
        <f>[1]Data!S1969</f>
        <v>0</v>
      </c>
      <c r="T1969">
        <f t="shared" si="150"/>
        <v>0.46666666666666701</v>
      </c>
      <c r="U1969">
        <f t="shared" si="151"/>
        <v>2.1428571428571415</v>
      </c>
      <c r="V1969" s="4" t="str">
        <f t="shared" si="152"/>
        <v>13</v>
      </c>
      <c r="W1969" s="4" t="str">
        <f t="shared" si="153"/>
        <v>11</v>
      </c>
      <c r="X1969" s="4" t="str">
        <f t="shared" si="154"/>
        <v>13CVCTE11</v>
      </c>
      <c r="Y1969">
        <f>VLOOKUP(X1969,Sheet1!$J$5:$K$121,2,FALSE)</f>
        <v>0</v>
      </c>
    </row>
    <row r="1970" spans="1:25" x14ac:dyDescent="0.25">
      <c r="A1970" s="8">
        <f>[1]Data!A1970</f>
        <v>190802</v>
      </c>
      <c r="B1970" s="8">
        <f>[1]Data!B1970</f>
        <v>11</v>
      </c>
      <c r="C1970" s="8">
        <f>[1]Data!C1970</f>
        <v>13</v>
      </c>
      <c r="D1970" s="8">
        <f>[1]Data!D1970</f>
        <v>3</v>
      </c>
      <c r="E1970" s="8" t="str">
        <f>[1]Data!E1970</f>
        <v>CVCTE</v>
      </c>
      <c r="F1970" s="8" t="str">
        <f>[1]Data!F1970</f>
        <v>Hollywood</v>
      </c>
      <c r="G1970" s="8">
        <f>[1]Data!G1970</f>
        <v>0</v>
      </c>
      <c r="H1970" s="8">
        <f>[1]Data!H1970</f>
        <v>0</v>
      </c>
      <c r="I1970" s="8">
        <f>[1]Data!I1970</f>
        <v>38.219000000000001</v>
      </c>
      <c r="J1970" s="8">
        <f>[1]Data!J1970</f>
        <v>26.14989795</v>
      </c>
      <c r="K1970" s="8">
        <f>[1]Data!K1970</f>
        <v>37.149897950000003</v>
      </c>
      <c r="L1970" s="8">
        <f>[1]Data!L1970</f>
        <v>1.06924865867145</v>
      </c>
      <c r="M1970" s="8">
        <f>[1]Data!M1970</f>
        <v>38.219146608671501</v>
      </c>
      <c r="N1970" s="8">
        <f>[1]Data!N1970</f>
        <v>0.46666666666666701</v>
      </c>
      <c r="O1970" s="8">
        <f>[1]Data!O1970</f>
        <v>0</v>
      </c>
      <c r="P1970" s="8">
        <f>[1]Data!P1970</f>
        <v>0.86666666666666703</v>
      </c>
      <c r="Q1970" s="8">
        <f>[1]Data!Q1970</f>
        <v>0.46428571428571402</v>
      </c>
      <c r="R1970" s="8">
        <f>[1]Data!R1970</f>
        <v>0</v>
      </c>
      <c r="S1970" s="8">
        <f>[1]Data!S1970</f>
        <v>0</v>
      </c>
      <c r="T1970">
        <f t="shared" si="150"/>
        <v>0.46666666666666701</v>
      </c>
      <c r="U1970">
        <f t="shared" si="151"/>
        <v>0</v>
      </c>
      <c r="V1970" s="4" t="str">
        <f t="shared" si="152"/>
        <v>13</v>
      </c>
      <c r="W1970" s="4" t="str">
        <f t="shared" si="153"/>
        <v>11</v>
      </c>
      <c r="X1970" s="4" t="str">
        <f t="shared" si="154"/>
        <v>13CVCTE11</v>
      </c>
      <c r="Y1970">
        <f>VLOOKUP(X1970,Sheet1!$J$5:$K$121,2,FALSE)</f>
        <v>0</v>
      </c>
    </row>
    <row r="1971" spans="1:25" x14ac:dyDescent="0.25">
      <c r="A1971" s="8">
        <f>[1]Data!A1971</f>
        <v>190901</v>
      </c>
      <c r="B1971" s="8">
        <f>[1]Data!B1971</f>
        <v>11</v>
      </c>
      <c r="C1971" s="8">
        <f>[1]Data!C1971</f>
        <v>13</v>
      </c>
      <c r="D1971" s="8">
        <f>[1]Data!D1971</f>
        <v>3</v>
      </c>
      <c r="E1971" s="8" t="str">
        <f>[1]Data!E1971</f>
        <v>CVCTE</v>
      </c>
      <c r="F1971" s="8" t="str">
        <f>[1]Data!F1971</f>
        <v>Hollywood</v>
      </c>
      <c r="G1971" s="8">
        <f>[1]Data!G1971</f>
        <v>0</v>
      </c>
      <c r="H1971" s="8">
        <f>[1]Data!H1971</f>
        <v>0</v>
      </c>
      <c r="I1971" s="8">
        <f>[1]Data!I1971</f>
        <v>71.058999999999997</v>
      </c>
      <c r="J1971" s="8">
        <f>[1]Data!J1971</f>
        <v>35.400430630000002</v>
      </c>
      <c r="K1971" s="8">
        <f>[1]Data!K1971</f>
        <v>70.400430630000002</v>
      </c>
      <c r="L1971" s="8">
        <f>[1]Data!L1971</f>
        <v>0.65836050457809703</v>
      </c>
      <c r="M1971" s="8">
        <f>[1]Data!M1971</f>
        <v>71.058791134578101</v>
      </c>
      <c r="N1971" s="8">
        <f>[1]Data!N1971</f>
        <v>0.46666666666666701</v>
      </c>
      <c r="O1971" s="8">
        <f>[1]Data!O1971</f>
        <v>0</v>
      </c>
      <c r="P1971" s="8">
        <f>[1]Data!P1971</f>
        <v>0.86666666666666703</v>
      </c>
      <c r="Q1971" s="8">
        <f>[1]Data!Q1971</f>
        <v>0.46428571428571402</v>
      </c>
      <c r="R1971" s="8">
        <f>[1]Data!R1971</f>
        <v>0</v>
      </c>
      <c r="S1971" s="8">
        <f>[1]Data!S1971</f>
        <v>0</v>
      </c>
      <c r="T1971">
        <f t="shared" si="150"/>
        <v>0.46666666666666701</v>
      </c>
      <c r="U1971">
        <f t="shared" si="151"/>
        <v>0</v>
      </c>
      <c r="V1971" s="4" t="str">
        <f t="shared" si="152"/>
        <v>13</v>
      </c>
      <c r="W1971" s="4" t="str">
        <f t="shared" si="153"/>
        <v>11</v>
      </c>
      <c r="X1971" s="4" t="str">
        <f t="shared" si="154"/>
        <v>13CVCTE11</v>
      </c>
      <c r="Y1971">
        <f>VLOOKUP(X1971,Sheet1!$J$5:$K$121,2,FALSE)</f>
        <v>0</v>
      </c>
    </row>
    <row r="1972" spans="1:25" x14ac:dyDescent="0.25">
      <c r="A1972" s="8">
        <f>[1]Data!A1972</f>
        <v>191000</v>
      </c>
      <c r="B1972" s="8">
        <f>[1]Data!B1972</f>
        <v>11</v>
      </c>
      <c r="C1972" s="8">
        <f>[1]Data!C1972</f>
        <v>13</v>
      </c>
      <c r="D1972" s="8">
        <f>[1]Data!D1972</f>
        <v>3</v>
      </c>
      <c r="E1972" s="8" t="str">
        <f>[1]Data!E1972</f>
        <v>CVCTE</v>
      </c>
      <c r="F1972" s="8" t="str">
        <f>[1]Data!F1972</f>
        <v>Hollywood</v>
      </c>
      <c r="G1972" s="8">
        <f>[1]Data!G1972</f>
        <v>0</v>
      </c>
      <c r="H1972" s="8">
        <f>[1]Data!H1972</f>
        <v>0</v>
      </c>
      <c r="I1972" s="8">
        <f>[1]Data!I1972</f>
        <v>52.250999999999998</v>
      </c>
      <c r="J1972" s="8">
        <f>[1]Data!J1972</f>
        <v>33.667298459999998</v>
      </c>
      <c r="K1972" s="8">
        <f>[1]Data!K1972</f>
        <v>51.667298459999998</v>
      </c>
      <c r="L1972" s="8">
        <f>[1]Data!L1972</f>
        <v>0.58337499429084405</v>
      </c>
      <c r="M1972" s="8">
        <f>[1]Data!M1972</f>
        <v>52.250673454290798</v>
      </c>
      <c r="N1972" s="8">
        <f>[1]Data!N1972</f>
        <v>0.46666666666666701</v>
      </c>
      <c r="O1972" s="8">
        <f>[1]Data!O1972</f>
        <v>0</v>
      </c>
      <c r="P1972" s="8">
        <f>[1]Data!P1972</f>
        <v>0.86666666666666703</v>
      </c>
      <c r="Q1972" s="8">
        <f>[1]Data!Q1972</f>
        <v>0.46428571428571402</v>
      </c>
      <c r="R1972" s="8">
        <f>[1]Data!R1972</f>
        <v>0</v>
      </c>
      <c r="S1972" s="8">
        <f>[1]Data!S1972</f>
        <v>0</v>
      </c>
      <c r="T1972">
        <f t="shared" si="150"/>
        <v>0.46666666666666701</v>
      </c>
      <c r="U1972">
        <f t="shared" si="151"/>
        <v>0</v>
      </c>
      <c r="V1972" s="4" t="str">
        <f t="shared" si="152"/>
        <v>13</v>
      </c>
      <c r="W1972" s="4" t="str">
        <f t="shared" si="153"/>
        <v>11</v>
      </c>
      <c r="X1972" s="4" t="str">
        <f t="shared" si="154"/>
        <v>13CVCTE11</v>
      </c>
      <c r="Y1972">
        <f>VLOOKUP(X1972,Sheet1!$J$5:$K$121,2,FALSE)</f>
        <v>0</v>
      </c>
    </row>
    <row r="1973" spans="1:25" x14ac:dyDescent="0.25">
      <c r="A1973" s="8">
        <f>[1]Data!A1973</f>
        <v>191120</v>
      </c>
      <c r="B1973" s="8">
        <f>[1]Data!B1973</f>
        <v>11</v>
      </c>
      <c r="C1973" s="8">
        <f>[1]Data!C1973</f>
        <v>13</v>
      </c>
      <c r="D1973" s="8">
        <f>[1]Data!D1973</f>
        <v>3</v>
      </c>
      <c r="E1973" s="8" t="str">
        <f>[1]Data!E1973</f>
        <v>CVCTE</v>
      </c>
      <c r="F1973" s="8" t="str">
        <f>[1]Data!F1973</f>
        <v>Hollywood</v>
      </c>
      <c r="G1973" s="8">
        <f>[1]Data!G1973</f>
        <v>0</v>
      </c>
      <c r="H1973" s="8">
        <f>[1]Data!H1973</f>
        <v>0</v>
      </c>
      <c r="I1973" s="8">
        <f>[1]Data!I1973</f>
        <v>22.388999999999999</v>
      </c>
      <c r="J1973" s="8">
        <f>[1]Data!J1973</f>
        <v>15.536151869999999</v>
      </c>
      <c r="K1973" s="8">
        <f>[1]Data!K1973</f>
        <v>21.536151870000001</v>
      </c>
      <c r="L1973" s="8">
        <f>[1]Data!L1973</f>
        <v>0.85148300816876099</v>
      </c>
      <c r="M1973" s="8">
        <f>[1]Data!M1973</f>
        <v>22.3876348781688</v>
      </c>
      <c r="N1973" s="8">
        <f>[1]Data!N1973</f>
        <v>0.46666666666666701</v>
      </c>
      <c r="O1973" s="8">
        <f>[1]Data!O1973</f>
        <v>0</v>
      </c>
      <c r="P1973" s="8">
        <f>[1]Data!P1973</f>
        <v>0.86666666666666703</v>
      </c>
      <c r="Q1973" s="8">
        <f>[1]Data!Q1973</f>
        <v>0.46428571428571402</v>
      </c>
      <c r="R1973" s="8">
        <f>[1]Data!R1973</f>
        <v>0</v>
      </c>
      <c r="S1973" s="8">
        <f>[1]Data!S1973</f>
        <v>0</v>
      </c>
      <c r="T1973">
        <f t="shared" si="150"/>
        <v>0.46666666666666701</v>
      </c>
      <c r="U1973">
        <f t="shared" si="151"/>
        <v>0</v>
      </c>
      <c r="V1973" s="4" t="str">
        <f t="shared" si="152"/>
        <v>13</v>
      </c>
      <c r="W1973" s="4" t="str">
        <f t="shared" si="153"/>
        <v>11</v>
      </c>
      <c r="X1973" s="4" t="str">
        <f t="shared" si="154"/>
        <v>13CVCTE11</v>
      </c>
      <c r="Y1973">
        <f>VLOOKUP(X1973,Sheet1!$J$5:$K$121,2,FALSE)</f>
        <v>0</v>
      </c>
    </row>
    <row r="1974" spans="1:25" x14ac:dyDescent="0.25">
      <c r="A1974" s="8">
        <f>[1]Data!A1974</f>
        <v>191301</v>
      </c>
      <c r="B1974" s="8">
        <f>[1]Data!B1974</f>
        <v>11</v>
      </c>
      <c r="C1974" s="8">
        <f>[1]Data!C1974</f>
        <v>13</v>
      </c>
      <c r="D1974" s="8">
        <f>[1]Data!D1974</f>
        <v>3</v>
      </c>
      <c r="E1974" s="8" t="str">
        <f>[1]Data!E1974</f>
        <v>CVCTE</v>
      </c>
      <c r="F1974" s="8" t="str">
        <f>[1]Data!F1974</f>
        <v>Hollywood</v>
      </c>
      <c r="G1974" s="8">
        <f>[1]Data!G1974</f>
        <v>0</v>
      </c>
      <c r="H1974" s="8">
        <f>[1]Data!H1974</f>
        <v>0</v>
      </c>
      <c r="I1974" s="8">
        <f>[1]Data!I1974</f>
        <v>50.807000000000002</v>
      </c>
      <c r="J1974" s="8">
        <f>[1]Data!J1974</f>
        <v>45.038885919999998</v>
      </c>
      <c r="K1974" s="8">
        <f>[1]Data!K1974</f>
        <v>50.038885919999998</v>
      </c>
      <c r="L1974" s="8">
        <f>[1]Data!L1974</f>
        <v>0.76843149147217205</v>
      </c>
      <c r="M1974" s="8">
        <f>[1]Data!M1974</f>
        <v>50.807317411472198</v>
      </c>
      <c r="N1974" s="8">
        <f>[1]Data!N1974</f>
        <v>0.46666666666666701</v>
      </c>
      <c r="O1974" s="8">
        <f>[1]Data!O1974</f>
        <v>0</v>
      </c>
      <c r="P1974" s="8">
        <f>[1]Data!P1974</f>
        <v>0.86666666666666703</v>
      </c>
      <c r="Q1974" s="8">
        <f>[1]Data!Q1974</f>
        <v>0.46428571428571402</v>
      </c>
      <c r="R1974" s="8">
        <f>[1]Data!R1974</f>
        <v>0</v>
      </c>
      <c r="S1974" s="8">
        <f>[1]Data!S1974</f>
        <v>0</v>
      </c>
      <c r="T1974">
        <f t="shared" si="150"/>
        <v>0.46666666666666701</v>
      </c>
      <c r="U1974">
        <f t="shared" si="151"/>
        <v>0</v>
      </c>
      <c r="V1974" s="4" t="str">
        <f t="shared" si="152"/>
        <v>13</v>
      </c>
      <c r="W1974" s="4" t="str">
        <f t="shared" si="153"/>
        <v>11</v>
      </c>
      <c r="X1974" s="4" t="str">
        <f t="shared" si="154"/>
        <v>13CVCTE11</v>
      </c>
      <c r="Y1974">
        <f>VLOOKUP(X1974,Sheet1!$J$5:$K$121,2,FALSE)</f>
        <v>0</v>
      </c>
    </row>
    <row r="1975" spans="1:25" x14ac:dyDescent="0.25">
      <c r="A1975" s="8">
        <f>[1]Data!A1975</f>
        <v>191500</v>
      </c>
      <c r="B1975" s="8">
        <f>[1]Data!B1975</f>
        <v>11</v>
      </c>
      <c r="C1975" s="8">
        <f>[1]Data!C1975</f>
        <v>13</v>
      </c>
      <c r="D1975" s="8">
        <f>[1]Data!D1975</f>
        <v>3</v>
      </c>
      <c r="E1975" s="8" t="str">
        <f>[1]Data!E1975</f>
        <v>CVCTE</v>
      </c>
      <c r="F1975" s="8" t="str">
        <f>[1]Data!F1975</f>
        <v>Hollywood</v>
      </c>
      <c r="G1975" s="8">
        <f>[1]Data!G1975</f>
        <v>1</v>
      </c>
      <c r="H1975" s="8">
        <f>[1]Data!H1975</f>
        <v>1</v>
      </c>
      <c r="I1975" s="8">
        <f>[1]Data!I1975</f>
        <v>16.808</v>
      </c>
      <c r="J1975" s="8">
        <f>[1]Data!J1975</f>
        <v>1.73313217</v>
      </c>
      <c r="K1975" s="8">
        <f>[1]Data!K1975</f>
        <v>16.733132170000001</v>
      </c>
      <c r="L1975" s="8">
        <f>[1]Data!L1975</f>
        <v>7.4985510287253102E-2</v>
      </c>
      <c r="M1975" s="8">
        <f>[1]Data!M1975</f>
        <v>16.8081176802873</v>
      </c>
      <c r="N1975" s="8">
        <f>[1]Data!N1975</f>
        <v>0.46666666666666701</v>
      </c>
      <c r="O1975" s="8">
        <f>[1]Data!O1975</f>
        <v>2.1428571428571401</v>
      </c>
      <c r="P1975" s="8">
        <f>[1]Data!P1975</f>
        <v>0.86666666666666703</v>
      </c>
      <c r="Q1975" s="8">
        <f>[1]Data!Q1975</f>
        <v>0.46428571428571402</v>
      </c>
      <c r="R1975" s="8">
        <f>[1]Data!R1975</f>
        <v>0</v>
      </c>
      <c r="S1975" s="8">
        <f>[1]Data!S1975</f>
        <v>0</v>
      </c>
      <c r="T1975">
        <f t="shared" si="150"/>
        <v>0.46666666666666701</v>
      </c>
      <c r="U1975">
        <f t="shared" si="151"/>
        <v>2.1428571428571415</v>
      </c>
      <c r="V1975" s="4" t="str">
        <f t="shared" si="152"/>
        <v>13</v>
      </c>
      <c r="W1975" s="4" t="str">
        <f t="shared" si="153"/>
        <v>11</v>
      </c>
      <c r="X1975" s="4" t="str">
        <f t="shared" si="154"/>
        <v>13CVCTE11</v>
      </c>
      <c r="Y1975">
        <f>VLOOKUP(X1975,Sheet1!$J$5:$K$121,2,FALSE)</f>
        <v>0</v>
      </c>
    </row>
    <row r="1976" spans="1:25" x14ac:dyDescent="0.25">
      <c r="A1976" s="8">
        <f>[1]Data!A1976</f>
        <v>191620</v>
      </c>
      <c r="B1976" s="8">
        <f>[1]Data!B1976</f>
        <v>11</v>
      </c>
      <c r="C1976" s="8">
        <f>[1]Data!C1976</f>
        <v>13</v>
      </c>
      <c r="D1976" s="8">
        <f>[1]Data!D1976</f>
        <v>3</v>
      </c>
      <c r="E1976" s="8" t="str">
        <f>[1]Data!E1976</f>
        <v>CVCTE</v>
      </c>
      <c r="F1976" s="8" t="str">
        <f>[1]Data!F1976</f>
        <v>Hollywood</v>
      </c>
      <c r="G1976" s="8">
        <f>[1]Data!G1976</f>
        <v>1</v>
      </c>
      <c r="H1976" s="8">
        <f>[1]Data!H1976</f>
        <v>1</v>
      </c>
      <c r="I1976" s="8">
        <f>[1]Data!I1976</f>
        <v>38.517000000000003</v>
      </c>
      <c r="J1976" s="8">
        <f>[1]Data!J1976</f>
        <v>36.664918550000003</v>
      </c>
      <c r="K1976" s="8">
        <f>[1]Data!K1976</f>
        <v>36.664918550000003</v>
      </c>
      <c r="L1976" s="8">
        <f>[1]Data!L1976</f>
        <v>1.8520819263016199</v>
      </c>
      <c r="M1976" s="8">
        <f>[1]Data!M1976</f>
        <v>38.517000476301597</v>
      </c>
      <c r="N1976" s="8">
        <f>[1]Data!N1976</f>
        <v>0.46666666666666701</v>
      </c>
      <c r="O1976" s="8">
        <f>[1]Data!O1976</f>
        <v>2.1428571428571401</v>
      </c>
      <c r="P1976" s="8">
        <f>[1]Data!P1976</f>
        <v>0.86666666666666703</v>
      </c>
      <c r="Q1976" s="8">
        <f>[1]Data!Q1976</f>
        <v>0.46428571428571402</v>
      </c>
      <c r="R1976" s="8">
        <f>[1]Data!R1976</f>
        <v>0</v>
      </c>
      <c r="S1976" s="8">
        <f>[1]Data!S1976</f>
        <v>0</v>
      </c>
      <c r="T1976">
        <f t="shared" si="150"/>
        <v>0.46666666666666701</v>
      </c>
      <c r="U1976">
        <f t="shared" si="151"/>
        <v>2.1428571428571415</v>
      </c>
      <c r="V1976" s="4" t="str">
        <f t="shared" si="152"/>
        <v>13</v>
      </c>
      <c r="W1976" s="4" t="str">
        <f t="shared" si="153"/>
        <v>11</v>
      </c>
      <c r="X1976" s="4" t="str">
        <f t="shared" si="154"/>
        <v>13CVCTE11</v>
      </c>
      <c r="Y1976">
        <f>VLOOKUP(X1976,Sheet1!$J$5:$K$121,2,FALSE)</f>
        <v>0</v>
      </c>
    </row>
    <row r="1977" spans="1:25" x14ac:dyDescent="0.25">
      <c r="A1977" s="8">
        <f>[1]Data!A1977</f>
        <v>191610</v>
      </c>
      <c r="B1977" s="8">
        <f>[1]Data!B1977</f>
        <v>11</v>
      </c>
      <c r="C1977" s="8">
        <f>[1]Data!C1977</f>
        <v>13</v>
      </c>
      <c r="D1977" s="8">
        <f>[1]Data!D1977</f>
        <v>2</v>
      </c>
      <c r="E1977" s="8" t="str">
        <f>[1]Data!E1977</f>
        <v>CVCTE</v>
      </c>
      <c r="F1977" s="8" t="str">
        <f>[1]Data!F1977</f>
        <v>Hollywood</v>
      </c>
      <c r="G1977" s="8">
        <f>[1]Data!G1977</f>
        <v>1</v>
      </c>
      <c r="H1977" s="8">
        <f>[1]Data!H1977</f>
        <v>1</v>
      </c>
      <c r="I1977" s="8">
        <f>[1]Data!I1977</f>
        <v>79.066999999999993</v>
      </c>
      <c r="J1977" s="8">
        <f>[1]Data!J1977</f>
        <v>52.339987389999997</v>
      </c>
      <c r="K1977" s="8">
        <f>[1]Data!K1977</f>
        <v>76.339987390000005</v>
      </c>
      <c r="L1977" s="8">
        <f>[1]Data!L1977</f>
        <v>2.7269491887073598</v>
      </c>
      <c r="M1977" s="8">
        <f>[1]Data!M1977</f>
        <v>79.066936578707399</v>
      </c>
      <c r="N1977" s="8">
        <f>[1]Data!N1977</f>
        <v>0.46666666666666701</v>
      </c>
      <c r="O1977" s="8">
        <f>[1]Data!O1977</f>
        <v>2.1428571428571401</v>
      </c>
      <c r="P1977" s="8">
        <f>[1]Data!P1977</f>
        <v>0.86666666666666703</v>
      </c>
      <c r="Q1977" s="8">
        <f>[1]Data!Q1977</f>
        <v>0.46428571428571402</v>
      </c>
      <c r="R1977" s="8">
        <f>[1]Data!R1977</f>
        <v>0</v>
      </c>
      <c r="S1977" s="8">
        <f>[1]Data!S1977</f>
        <v>0</v>
      </c>
      <c r="T1977">
        <f t="shared" si="150"/>
        <v>0.46666666666666701</v>
      </c>
      <c r="U1977">
        <f t="shared" si="151"/>
        <v>2.1428571428571415</v>
      </c>
      <c r="V1977" s="4" t="str">
        <f t="shared" si="152"/>
        <v>13</v>
      </c>
      <c r="W1977" s="4" t="str">
        <f t="shared" si="153"/>
        <v>11</v>
      </c>
      <c r="X1977" s="4" t="str">
        <f t="shared" si="154"/>
        <v>13CVCTE11</v>
      </c>
      <c r="Y1977">
        <f>VLOOKUP(X1977,Sheet1!$J$5:$K$121,2,FALSE)</f>
        <v>0</v>
      </c>
    </row>
    <row r="1978" spans="1:25" x14ac:dyDescent="0.25">
      <c r="A1978" s="8">
        <f>[1]Data!A1978</f>
        <v>191810</v>
      </c>
      <c r="B1978" s="8">
        <f>[1]Data!B1978</f>
        <v>11</v>
      </c>
      <c r="C1978" s="8">
        <f>[1]Data!C1978</f>
        <v>13</v>
      </c>
      <c r="D1978" s="8">
        <f>[1]Data!D1978</f>
        <v>3</v>
      </c>
      <c r="E1978" s="8" t="str">
        <f>[1]Data!E1978</f>
        <v>CVCTE</v>
      </c>
      <c r="F1978" s="8" t="str">
        <f>[1]Data!F1978</f>
        <v>Hollywood</v>
      </c>
      <c r="G1978" s="8">
        <f>[1]Data!G1978</f>
        <v>1</v>
      </c>
      <c r="H1978" s="8">
        <f>[1]Data!H1978</f>
        <v>1</v>
      </c>
      <c r="I1978" s="8">
        <f>[1]Data!I1978</f>
        <v>48.704000000000001</v>
      </c>
      <c r="J1978" s="8">
        <f>[1]Data!J1978</f>
        <v>41.20096358</v>
      </c>
      <c r="K1978" s="8">
        <f>[1]Data!K1978</f>
        <v>47.20096358</v>
      </c>
      <c r="L1978" s="8">
        <f>[1]Data!L1978</f>
        <v>1.5034523473249599</v>
      </c>
      <c r="M1978" s="8">
        <f>[1]Data!M1978</f>
        <v>48.704415927325002</v>
      </c>
      <c r="N1978" s="8">
        <f>[1]Data!N1978</f>
        <v>0.46666666666666701</v>
      </c>
      <c r="O1978" s="8">
        <f>[1]Data!O1978</f>
        <v>2.1428571428571401</v>
      </c>
      <c r="P1978" s="8">
        <f>[1]Data!P1978</f>
        <v>0.86666666666666703</v>
      </c>
      <c r="Q1978" s="8">
        <f>[1]Data!Q1978</f>
        <v>0.46428571428571402</v>
      </c>
      <c r="R1978" s="8">
        <f>[1]Data!R1978</f>
        <v>0</v>
      </c>
      <c r="S1978" s="8">
        <f>[1]Data!S1978</f>
        <v>0</v>
      </c>
      <c r="T1978">
        <f t="shared" si="150"/>
        <v>0.46666666666666701</v>
      </c>
      <c r="U1978">
        <f t="shared" si="151"/>
        <v>2.1428571428571415</v>
      </c>
      <c r="V1978" s="4" t="str">
        <f t="shared" si="152"/>
        <v>13</v>
      </c>
      <c r="W1978" s="4" t="str">
        <f t="shared" si="153"/>
        <v>11</v>
      </c>
      <c r="X1978" s="4" t="str">
        <f t="shared" si="154"/>
        <v>13CVCTE11</v>
      </c>
      <c r="Y1978">
        <f>VLOOKUP(X1978,Sheet1!$J$5:$K$121,2,FALSE)</f>
        <v>0</v>
      </c>
    </row>
    <row r="1979" spans="1:25" x14ac:dyDescent="0.25">
      <c r="A1979" s="8">
        <f>[1]Data!A1979</f>
        <v>191820</v>
      </c>
      <c r="B1979" s="8">
        <f>[1]Data!B1979</f>
        <v>11</v>
      </c>
      <c r="C1979" s="8">
        <f>[1]Data!C1979</f>
        <v>13</v>
      </c>
      <c r="D1979" s="8">
        <f>[1]Data!D1979</f>
        <v>3</v>
      </c>
      <c r="E1979" s="8" t="str">
        <f>[1]Data!E1979</f>
        <v>CVCTE</v>
      </c>
      <c r="F1979" s="8" t="str">
        <f>[1]Data!F1979</f>
        <v>Hollywood</v>
      </c>
      <c r="G1979" s="8">
        <f>[1]Data!G1979</f>
        <v>0</v>
      </c>
      <c r="H1979" s="8">
        <f>[1]Data!H1979</f>
        <v>0</v>
      </c>
      <c r="I1979" s="8">
        <f>[1]Data!I1979</f>
        <v>44.003999999999998</v>
      </c>
      <c r="J1979" s="8">
        <f>[1]Data!J1979</f>
        <v>38.335781480000001</v>
      </c>
      <c r="K1979" s="8">
        <f>[1]Data!K1979</f>
        <v>42.335781480000001</v>
      </c>
      <c r="L1979" s="8">
        <f>[1]Data!L1979</f>
        <v>1.66825463222621</v>
      </c>
      <c r="M1979" s="8">
        <f>[1]Data!M1979</f>
        <v>44.004036112226203</v>
      </c>
      <c r="N1979" s="8">
        <f>[1]Data!N1979</f>
        <v>0.46666666666666701</v>
      </c>
      <c r="O1979" s="8">
        <f>[1]Data!O1979</f>
        <v>0</v>
      </c>
      <c r="P1979" s="8">
        <f>[1]Data!P1979</f>
        <v>0.86666666666666703</v>
      </c>
      <c r="Q1979" s="8">
        <f>[1]Data!Q1979</f>
        <v>0.46428571428571402</v>
      </c>
      <c r="R1979" s="8">
        <f>[1]Data!R1979</f>
        <v>0</v>
      </c>
      <c r="S1979" s="8">
        <f>[1]Data!S1979</f>
        <v>0</v>
      </c>
      <c r="T1979">
        <f t="shared" si="150"/>
        <v>0.46666666666666701</v>
      </c>
      <c r="U1979">
        <f t="shared" si="151"/>
        <v>0</v>
      </c>
      <c r="V1979" s="4" t="str">
        <f t="shared" si="152"/>
        <v>13</v>
      </c>
      <c r="W1979" s="4" t="str">
        <f t="shared" si="153"/>
        <v>11</v>
      </c>
      <c r="X1979" s="4" t="str">
        <f t="shared" si="154"/>
        <v>13CVCTE11</v>
      </c>
      <c r="Y1979">
        <f>VLOOKUP(X1979,Sheet1!$J$5:$K$121,2,FALSE)</f>
        <v>0</v>
      </c>
    </row>
    <row r="1980" spans="1:25" x14ac:dyDescent="0.25">
      <c r="A1980" s="8">
        <f>[1]Data!A1980</f>
        <v>192700</v>
      </c>
      <c r="B1980" s="8">
        <f>[1]Data!B1980</f>
        <v>11</v>
      </c>
      <c r="C1980" s="8">
        <f>[1]Data!C1980</f>
        <v>13</v>
      </c>
      <c r="D1980" s="8">
        <f>[1]Data!D1980</f>
        <v>2</v>
      </c>
      <c r="E1980" s="8" t="str">
        <f>[1]Data!E1980</f>
        <v>CVCTE</v>
      </c>
      <c r="F1980" s="8" t="str">
        <f>[1]Data!F1980</f>
        <v>Hollywood</v>
      </c>
      <c r="G1980" s="8">
        <f>[1]Data!G1980</f>
        <v>0</v>
      </c>
      <c r="H1980" s="8">
        <f>[1]Data!H1980</f>
        <v>0</v>
      </c>
      <c r="I1980" s="8">
        <f>[1]Data!I1980</f>
        <v>117.051</v>
      </c>
      <c r="J1980" s="8">
        <f>[1]Data!J1980</f>
        <v>97.206460849999999</v>
      </c>
      <c r="K1980" s="8">
        <f>[1]Data!K1980</f>
        <v>115.20646085</v>
      </c>
      <c r="L1980" s="8">
        <f>[1]Data!L1980</f>
        <v>1.84391523438061</v>
      </c>
      <c r="M1980" s="8">
        <f>[1]Data!M1980</f>
        <v>117.050376084381</v>
      </c>
      <c r="N1980" s="8">
        <f>[1]Data!N1980</f>
        <v>0.46666666666666701</v>
      </c>
      <c r="O1980" s="8">
        <f>[1]Data!O1980</f>
        <v>0</v>
      </c>
      <c r="P1980" s="8">
        <f>[1]Data!P1980</f>
        <v>0.86666666666666703</v>
      </c>
      <c r="Q1980" s="8">
        <f>[1]Data!Q1980</f>
        <v>0.46428571428571402</v>
      </c>
      <c r="R1980" s="8">
        <f>[1]Data!R1980</f>
        <v>0</v>
      </c>
      <c r="S1980" s="8">
        <f>[1]Data!S1980</f>
        <v>0</v>
      </c>
      <c r="T1980">
        <f t="shared" si="150"/>
        <v>0.46666666666666701</v>
      </c>
      <c r="U1980">
        <f t="shared" si="151"/>
        <v>0</v>
      </c>
      <c r="V1980" s="4" t="str">
        <f t="shared" si="152"/>
        <v>13</v>
      </c>
      <c r="W1980" s="4" t="str">
        <f t="shared" si="153"/>
        <v>11</v>
      </c>
      <c r="X1980" s="4" t="str">
        <f t="shared" si="154"/>
        <v>13CVCTE11</v>
      </c>
      <c r="Y1980">
        <f>VLOOKUP(X1980,Sheet1!$J$5:$K$121,2,FALSE)</f>
        <v>0</v>
      </c>
    </row>
    <row r="1981" spans="1:25" x14ac:dyDescent="0.25">
      <c r="A1981" s="8">
        <f>[1]Data!A1981</f>
        <v>195802</v>
      </c>
      <c r="B1981" s="8">
        <f>[1]Data!B1981</f>
        <v>4</v>
      </c>
      <c r="C1981" s="8">
        <f>[1]Data!C1981</f>
        <v>13</v>
      </c>
      <c r="D1981" s="8">
        <f>[1]Data!D1981</f>
        <v>1</v>
      </c>
      <c r="E1981" s="8" t="str">
        <f>[1]Data!E1981</f>
        <v>FAMILY</v>
      </c>
      <c r="F1981" s="8" t="str">
        <f>[1]Data!F1981</f>
        <v>Rampart Village</v>
      </c>
      <c r="G1981" s="8">
        <f>[1]Data!G1981</f>
        <v>1</v>
      </c>
      <c r="H1981" s="8">
        <f>[1]Data!H1981</f>
        <v>1</v>
      </c>
      <c r="I1981" s="8">
        <f>[1]Data!I1981</f>
        <v>53.527000000000001</v>
      </c>
      <c r="J1981" s="8">
        <f>[1]Data!J1981</f>
        <v>45.356121049999999</v>
      </c>
      <c r="K1981" s="8">
        <f>[1]Data!K1981</f>
        <v>52.356121049999999</v>
      </c>
      <c r="L1981" s="8">
        <f>[1]Data!L1981</f>
        <v>4.16979266903052</v>
      </c>
      <c r="M1981" s="8">
        <f>[1]Data!M1981</f>
        <v>56.525913719030498</v>
      </c>
      <c r="N1981" s="8">
        <f>[1]Data!N1981</f>
        <v>1</v>
      </c>
      <c r="O1981" s="8">
        <f>[1]Data!O1981</f>
        <v>1</v>
      </c>
      <c r="P1981" s="8">
        <f>[1]Data!P1981</f>
        <v>0</v>
      </c>
      <c r="Q1981" s="8">
        <f>[1]Data!Q1981</f>
        <v>0</v>
      </c>
      <c r="R1981" s="8">
        <f>[1]Data!R1981</f>
        <v>0</v>
      </c>
      <c r="S1981" s="8">
        <f>[1]Data!S1981</f>
        <v>0</v>
      </c>
      <c r="T1981">
        <f t="shared" si="150"/>
        <v>1</v>
      </c>
      <c r="U1981">
        <f t="shared" si="151"/>
        <v>1</v>
      </c>
      <c r="V1981" s="4" t="str">
        <f t="shared" si="152"/>
        <v>13</v>
      </c>
      <c r="W1981" s="4" t="str">
        <f t="shared" si="153"/>
        <v>4</v>
      </c>
      <c r="X1981" s="4" t="str">
        <f t="shared" si="154"/>
        <v>13FAMILY4</v>
      </c>
      <c r="Y1981">
        <f>VLOOKUP(X1981,Sheet1!$J$5:$K$121,2,FALSE)</f>
        <v>0</v>
      </c>
    </row>
    <row r="1982" spans="1:25" x14ac:dyDescent="0.25">
      <c r="A1982" s="8">
        <f>[1]Data!A1982</f>
        <v>187101</v>
      </c>
      <c r="B1982" s="8">
        <f>[1]Data!B1982</f>
        <v>4</v>
      </c>
      <c r="C1982" s="8">
        <f>[1]Data!C1982</f>
        <v>13</v>
      </c>
      <c r="D1982" s="8">
        <f>[1]Data!D1982</f>
        <v>1</v>
      </c>
      <c r="E1982" s="8" t="str">
        <f>[1]Data!E1982</f>
        <v>FAMILY</v>
      </c>
      <c r="F1982" s="8" t="str">
        <f>[1]Data!F1982</f>
        <v>Atwater Village</v>
      </c>
      <c r="G1982" s="8">
        <f>[1]Data!G1982</f>
        <v>1</v>
      </c>
      <c r="H1982" s="8">
        <f>[1]Data!H1982</f>
        <v>1</v>
      </c>
      <c r="I1982" s="8">
        <f>[1]Data!I1982</f>
        <v>10.397</v>
      </c>
      <c r="J1982" s="8">
        <f>[1]Data!J1982</f>
        <v>8.8728602300000006</v>
      </c>
      <c r="K1982" s="8">
        <f>[1]Data!K1982</f>
        <v>9.8728602300000006</v>
      </c>
      <c r="L1982" s="8">
        <f>[1]Data!L1982</f>
        <v>4.5237682294793498</v>
      </c>
      <c r="M1982" s="8">
        <f>[1]Data!M1982</f>
        <v>14.3966284594794</v>
      </c>
      <c r="N1982" s="8">
        <f>[1]Data!N1982</f>
        <v>1</v>
      </c>
      <c r="O1982" s="8">
        <f>[1]Data!O1982</f>
        <v>1</v>
      </c>
      <c r="P1982" s="8">
        <f>[1]Data!P1982</f>
        <v>0</v>
      </c>
      <c r="Q1982" s="8">
        <f>[1]Data!Q1982</f>
        <v>0</v>
      </c>
      <c r="R1982" s="8">
        <f>[1]Data!R1982</f>
        <v>0</v>
      </c>
      <c r="S1982" s="8">
        <f>[1]Data!S1982</f>
        <v>0</v>
      </c>
      <c r="T1982">
        <f t="shared" si="150"/>
        <v>1</v>
      </c>
      <c r="U1982">
        <f t="shared" si="151"/>
        <v>1</v>
      </c>
      <c r="V1982" s="4" t="str">
        <f t="shared" si="152"/>
        <v>13</v>
      </c>
      <c r="W1982" s="4" t="str">
        <f t="shared" si="153"/>
        <v>4</v>
      </c>
      <c r="X1982" s="4" t="str">
        <f t="shared" si="154"/>
        <v>13FAMILY4</v>
      </c>
      <c r="Y1982">
        <f>VLOOKUP(X1982,Sheet1!$J$5:$K$121,2,FALSE)</f>
        <v>0</v>
      </c>
    </row>
    <row r="1983" spans="1:25" x14ac:dyDescent="0.25">
      <c r="A1983" s="8">
        <f>[1]Data!A1983</f>
        <v>195710</v>
      </c>
      <c r="B1983" s="8">
        <f>[1]Data!B1983</f>
        <v>4</v>
      </c>
      <c r="C1983" s="8">
        <f>[1]Data!C1983</f>
        <v>13</v>
      </c>
      <c r="D1983" s="8">
        <f>[1]Data!D1983</f>
        <v>1</v>
      </c>
      <c r="E1983" s="8" t="str">
        <f>[1]Data!E1983</f>
        <v>FAMILY</v>
      </c>
      <c r="F1983" s="8" t="str">
        <f>[1]Data!F1983</f>
        <v>Echo Park</v>
      </c>
      <c r="G1983" s="8">
        <f>[1]Data!G1983</f>
        <v>1</v>
      </c>
      <c r="H1983" s="8">
        <f>[1]Data!H1983</f>
        <v>1</v>
      </c>
      <c r="I1983" s="8">
        <f>[1]Data!I1983</f>
        <v>45.046999999999997</v>
      </c>
      <c r="J1983" s="8">
        <f>[1]Data!J1983</f>
        <v>26.402027289999999</v>
      </c>
      <c r="K1983" s="8">
        <f>[1]Data!K1983</f>
        <v>44.402027289999999</v>
      </c>
      <c r="L1983" s="8">
        <f>[1]Data!L1983</f>
        <v>0.64404795411131099</v>
      </c>
      <c r="M1983" s="8">
        <f>[1]Data!M1983</f>
        <v>45.0460752441113</v>
      </c>
      <c r="N1983" s="8">
        <f>[1]Data!N1983</f>
        <v>1</v>
      </c>
      <c r="O1983" s="8">
        <f>[1]Data!O1983</f>
        <v>1</v>
      </c>
      <c r="P1983" s="8">
        <f>[1]Data!P1983</f>
        <v>0</v>
      </c>
      <c r="Q1983" s="8">
        <f>[1]Data!Q1983</f>
        <v>0</v>
      </c>
      <c r="R1983" s="8">
        <f>[1]Data!R1983</f>
        <v>0</v>
      </c>
      <c r="S1983" s="8">
        <f>[1]Data!S1983</f>
        <v>0</v>
      </c>
      <c r="T1983">
        <f t="shared" si="150"/>
        <v>1</v>
      </c>
      <c r="U1983">
        <f t="shared" si="151"/>
        <v>1</v>
      </c>
      <c r="V1983" s="4" t="str">
        <f t="shared" si="152"/>
        <v>13</v>
      </c>
      <c r="W1983" s="4" t="str">
        <f t="shared" si="153"/>
        <v>4</v>
      </c>
      <c r="X1983" s="4" t="str">
        <f t="shared" si="154"/>
        <v>13FAMILY4</v>
      </c>
      <c r="Y1983">
        <f>VLOOKUP(X1983,Sheet1!$J$5:$K$121,2,FALSE)</f>
        <v>0</v>
      </c>
    </row>
    <row r="1984" spans="1:25" x14ac:dyDescent="0.25">
      <c r="A1984" s="8">
        <f>[1]Data!A1984</f>
        <v>186401</v>
      </c>
      <c r="B1984" s="8">
        <f>[1]Data!B1984</f>
        <v>4</v>
      </c>
      <c r="C1984" s="8">
        <f>[1]Data!C1984</f>
        <v>13</v>
      </c>
      <c r="D1984" s="8">
        <f>[1]Data!D1984</f>
        <v>1</v>
      </c>
      <c r="E1984" s="8" t="str">
        <f>[1]Data!E1984</f>
        <v>INDIV</v>
      </c>
      <c r="F1984" s="8" t="str">
        <f>[1]Data!F1984</f>
        <v>Glassell Park</v>
      </c>
      <c r="G1984" s="8">
        <f>[1]Data!G1984</f>
        <v>0</v>
      </c>
      <c r="H1984" s="8">
        <f>[1]Data!H1984</f>
        <v>0</v>
      </c>
      <c r="I1984" s="8">
        <f>[1]Data!I1984</f>
        <v>19.350000000000001</v>
      </c>
      <c r="J1984" s="8">
        <f>[1]Data!J1984</f>
        <v>17.308793850000001</v>
      </c>
      <c r="K1984" s="8">
        <f>[1]Data!K1984</f>
        <v>18.308793850000001</v>
      </c>
      <c r="L1984" s="8">
        <f>[1]Data!L1984</f>
        <v>1.04083281719928</v>
      </c>
      <c r="M1984" s="8">
        <f>[1]Data!M1984</f>
        <v>19.349626667199299</v>
      </c>
      <c r="N1984" s="8">
        <f>[1]Data!N1984</f>
        <v>8.5106382978723402E-2</v>
      </c>
      <c r="O1984" s="8">
        <f>[1]Data!O1984</f>
        <v>0</v>
      </c>
      <c r="P1984" s="8">
        <f>[1]Data!P1984</f>
        <v>0.12765957446808501</v>
      </c>
      <c r="Q1984" s="8">
        <f>[1]Data!Q1984</f>
        <v>0.6</v>
      </c>
      <c r="R1984" s="8">
        <f>[1]Data!R1984</f>
        <v>0</v>
      </c>
      <c r="S1984" s="8">
        <f>[1]Data!S1984</f>
        <v>0</v>
      </c>
      <c r="T1984">
        <f t="shared" si="150"/>
        <v>8.5106382978723402E-2</v>
      </c>
      <c r="U1984">
        <f t="shared" si="151"/>
        <v>0</v>
      </c>
      <c r="V1984" s="4" t="str">
        <f t="shared" si="152"/>
        <v>13</v>
      </c>
      <c r="W1984" s="4" t="str">
        <f t="shared" si="153"/>
        <v>4</v>
      </c>
      <c r="X1984" s="4" t="str">
        <f t="shared" si="154"/>
        <v>13INDIV4</v>
      </c>
      <c r="Y1984">
        <f>VLOOKUP(X1984,Sheet1!$J$5:$K$121,2,FALSE)</f>
        <v>0</v>
      </c>
    </row>
    <row r="1985" spans="1:25" x14ac:dyDescent="0.25">
      <c r="A1985" s="8">
        <f>[1]Data!A1985</f>
        <v>211120</v>
      </c>
      <c r="B1985" s="8">
        <f>[1]Data!B1985</f>
        <v>4</v>
      </c>
      <c r="C1985" s="8">
        <f>[1]Data!C1985</f>
        <v>13</v>
      </c>
      <c r="D1985" s="8">
        <f>[1]Data!D1985</f>
        <v>2</v>
      </c>
      <c r="E1985" s="8" t="str">
        <f>[1]Data!E1985</f>
        <v>INDIV</v>
      </c>
      <c r="F1985" s="8" t="str">
        <f>[1]Data!F1985</f>
        <v>Rampart Village</v>
      </c>
      <c r="G1985" s="8">
        <f>[1]Data!G1985</f>
        <v>0</v>
      </c>
      <c r="H1985" s="8">
        <f>[1]Data!H1985</f>
        <v>0</v>
      </c>
      <c r="I1985" s="8">
        <f>[1]Data!I1985</f>
        <v>49.304000000000002</v>
      </c>
      <c r="J1985" s="8">
        <f>[1]Data!J1985</f>
        <v>17.819423019999999</v>
      </c>
      <c r="K1985" s="8">
        <f>[1]Data!K1985</f>
        <v>48.819423020000002</v>
      </c>
      <c r="L1985" s="8">
        <f>[1]Data!L1985</f>
        <v>0.48458720141831202</v>
      </c>
      <c r="M1985" s="8">
        <f>[1]Data!M1985</f>
        <v>49.304010221418302</v>
      </c>
      <c r="N1985" s="8">
        <f>[1]Data!N1985</f>
        <v>8.5106382978723402E-2</v>
      </c>
      <c r="O1985" s="8">
        <f>[1]Data!O1985</f>
        <v>0</v>
      </c>
      <c r="P1985" s="8">
        <f>[1]Data!P1985</f>
        <v>0.12765957446808501</v>
      </c>
      <c r="Q1985" s="8">
        <f>[1]Data!Q1985</f>
        <v>0.6</v>
      </c>
      <c r="R1985" s="8">
        <f>[1]Data!R1985</f>
        <v>0</v>
      </c>
      <c r="S1985" s="8">
        <f>[1]Data!S1985</f>
        <v>0</v>
      </c>
      <c r="T1985">
        <f t="shared" si="150"/>
        <v>8.5106382978723402E-2</v>
      </c>
      <c r="U1985">
        <f t="shared" si="151"/>
        <v>0</v>
      </c>
      <c r="V1985" s="4" t="str">
        <f t="shared" si="152"/>
        <v>13</v>
      </c>
      <c r="W1985" s="4" t="str">
        <f t="shared" si="153"/>
        <v>4</v>
      </c>
      <c r="X1985" s="4" t="str">
        <f t="shared" si="154"/>
        <v>13INDIV4</v>
      </c>
      <c r="Y1985">
        <f>VLOOKUP(X1985,Sheet1!$J$5:$K$121,2,FALSE)</f>
        <v>0</v>
      </c>
    </row>
    <row r="1986" spans="1:25" x14ac:dyDescent="0.25">
      <c r="A1986" s="8">
        <f>[1]Data!A1986</f>
        <v>208401</v>
      </c>
      <c r="B1986" s="8">
        <f>[1]Data!B1986</f>
        <v>4</v>
      </c>
      <c r="C1986" s="8">
        <f>[1]Data!C1986</f>
        <v>13</v>
      </c>
      <c r="D1986" s="8">
        <f>[1]Data!D1986</f>
        <v>1</v>
      </c>
      <c r="E1986" s="8" t="str">
        <f>[1]Data!E1986</f>
        <v>INDIV</v>
      </c>
      <c r="F1986" s="8" t="str">
        <f>[1]Data!F1986</f>
        <v>Echo Park</v>
      </c>
      <c r="G1986" s="8">
        <f>[1]Data!G1986</f>
        <v>0</v>
      </c>
      <c r="H1986" s="8">
        <f>[1]Data!H1986</f>
        <v>0</v>
      </c>
      <c r="I1986" s="8">
        <f>[1]Data!I1986</f>
        <v>5.6289999999999996</v>
      </c>
      <c r="J1986" s="8">
        <f>[1]Data!J1986</f>
        <v>3.5861715599999999</v>
      </c>
      <c r="K1986" s="8">
        <f>[1]Data!K1986</f>
        <v>5.5861715600000004</v>
      </c>
      <c r="L1986" s="8">
        <f>[1]Data!L1986</f>
        <v>4.2117253842010802E-2</v>
      </c>
      <c r="M1986" s="8">
        <f>[1]Data!M1986</f>
        <v>5.6282888138420102</v>
      </c>
      <c r="N1986" s="8">
        <f>[1]Data!N1986</f>
        <v>8.5106382978723402E-2</v>
      </c>
      <c r="O1986" s="8">
        <f>[1]Data!O1986</f>
        <v>0</v>
      </c>
      <c r="P1986" s="8">
        <f>[1]Data!P1986</f>
        <v>0.12765957446808501</v>
      </c>
      <c r="Q1986" s="8">
        <f>[1]Data!Q1986</f>
        <v>0.6</v>
      </c>
      <c r="R1986" s="8">
        <f>[1]Data!R1986</f>
        <v>0</v>
      </c>
      <c r="S1986" s="8">
        <f>[1]Data!S1986</f>
        <v>0</v>
      </c>
      <c r="T1986">
        <f t="shared" si="150"/>
        <v>8.5106382978723402E-2</v>
      </c>
      <c r="U1986">
        <f t="shared" si="151"/>
        <v>0</v>
      </c>
      <c r="V1986" s="4" t="str">
        <f t="shared" si="152"/>
        <v>13</v>
      </c>
      <c r="W1986" s="4" t="str">
        <f t="shared" si="153"/>
        <v>4</v>
      </c>
      <c r="X1986" s="4" t="str">
        <f t="shared" si="154"/>
        <v>13INDIV4</v>
      </c>
      <c r="Y1986">
        <f>VLOOKUP(X1986,Sheet1!$J$5:$K$121,2,FALSE)</f>
        <v>0</v>
      </c>
    </row>
    <row r="1987" spans="1:25" x14ac:dyDescent="0.25">
      <c r="A1987" s="8">
        <f>[1]Data!A1987</f>
        <v>195902</v>
      </c>
      <c r="B1987" s="8">
        <f>[1]Data!B1987</f>
        <v>4</v>
      </c>
      <c r="C1987" s="8">
        <f>[1]Data!C1987</f>
        <v>13</v>
      </c>
      <c r="D1987" s="8">
        <f>[1]Data!D1987</f>
        <v>1</v>
      </c>
      <c r="E1987" s="8" t="str">
        <f>[1]Data!E1987</f>
        <v>INDIV</v>
      </c>
      <c r="F1987" s="8" t="str">
        <f>[1]Data!F1987</f>
        <v>Silver Lake</v>
      </c>
      <c r="G1987" s="8">
        <f>[1]Data!G1987</f>
        <v>0</v>
      </c>
      <c r="H1987" s="8">
        <f>[1]Data!H1987</f>
        <v>0</v>
      </c>
      <c r="I1987" s="8">
        <f>[1]Data!I1987</f>
        <v>0</v>
      </c>
      <c r="J1987" s="8">
        <f>[1]Data!J1987</f>
        <v>0</v>
      </c>
      <c r="K1987" s="8">
        <f>[1]Data!K1987</f>
        <v>0</v>
      </c>
      <c r="L1987" s="8">
        <f>[1]Data!L1987</f>
        <v>0</v>
      </c>
      <c r="M1987" s="8">
        <f>[1]Data!M1987</f>
        <v>0</v>
      </c>
      <c r="N1987" s="8">
        <f>[1]Data!N1987</f>
        <v>8.5106382978723402E-2</v>
      </c>
      <c r="O1987" s="8">
        <f>[1]Data!O1987</f>
        <v>0</v>
      </c>
      <c r="P1987" s="8">
        <f>[1]Data!P1987</f>
        <v>0.12765957446808501</v>
      </c>
      <c r="Q1987" s="8">
        <f>[1]Data!Q1987</f>
        <v>0.6</v>
      </c>
      <c r="R1987" s="8">
        <f>[1]Data!R1987</f>
        <v>0</v>
      </c>
      <c r="S1987" s="8">
        <f>[1]Data!S1987</f>
        <v>0</v>
      </c>
      <c r="T1987">
        <f t="shared" ref="T1987:T2050" si="155">N1987+Y1987*(1-N1987)</f>
        <v>8.5106382978723402E-2</v>
      </c>
      <c r="U1987">
        <f t="shared" ref="U1987:U2050" si="156">IF(T1987="",0,1/T1987*H1987)</f>
        <v>0</v>
      </c>
      <c r="V1987" s="4" t="str">
        <f t="shared" ref="V1987:V2050" si="157">TEXT(C1987,"0")</f>
        <v>13</v>
      </c>
      <c r="W1987" s="4" t="str">
        <f t="shared" ref="W1987:W2050" si="158">TEXT(B1987,"0")</f>
        <v>4</v>
      </c>
      <c r="X1987" s="4" t="str">
        <f t="shared" ref="X1987:X2050" si="159">CONCATENATE(V1987,E1987,W1987)</f>
        <v>13INDIV4</v>
      </c>
      <c r="Y1987">
        <f>VLOOKUP(X1987,Sheet1!$J$5:$K$121,2,FALSE)</f>
        <v>0</v>
      </c>
    </row>
    <row r="1988" spans="1:25" x14ac:dyDescent="0.25">
      <c r="A1988" s="8">
        <f>[1]Data!A1988</f>
        <v>190201</v>
      </c>
      <c r="B1988" s="8">
        <f>[1]Data!B1988</f>
        <v>4</v>
      </c>
      <c r="C1988" s="8">
        <f>[1]Data!C1988</f>
        <v>13</v>
      </c>
      <c r="D1988" s="8">
        <f>[1]Data!D1988</f>
        <v>3</v>
      </c>
      <c r="E1988" s="8" t="str">
        <f>[1]Data!E1988</f>
        <v>INDIV</v>
      </c>
      <c r="F1988" s="8" t="str">
        <f>[1]Data!F1988</f>
        <v>Hollywood Hills West</v>
      </c>
      <c r="G1988" s="8">
        <f>[1]Data!G1988</f>
        <v>0</v>
      </c>
      <c r="H1988" s="8">
        <f>[1]Data!H1988</f>
        <v>0</v>
      </c>
      <c r="I1988" s="8">
        <f>[1]Data!I1988</f>
        <v>16.850999999999999</v>
      </c>
      <c r="J1988" s="8">
        <f>[1]Data!J1988</f>
        <v>3.8097598800000001</v>
      </c>
      <c r="K1988" s="8">
        <f>[1]Data!K1988</f>
        <v>16.809759880000001</v>
      </c>
      <c r="L1988" s="8">
        <f>[1]Data!L1988</f>
        <v>4.1250644165170602E-2</v>
      </c>
      <c r="M1988" s="8">
        <f>[1]Data!M1988</f>
        <v>16.851010524165201</v>
      </c>
      <c r="N1988" s="8">
        <f>[1]Data!N1988</f>
        <v>8.5106382978723402E-2</v>
      </c>
      <c r="O1988" s="8">
        <f>[1]Data!O1988</f>
        <v>0</v>
      </c>
      <c r="P1988" s="8">
        <f>[1]Data!P1988</f>
        <v>0.12765957446808501</v>
      </c>
      <c r="Q1988" s="8">
        <f>[1]Data!Q1988</f>
        <v>0.6</v>
      </c>
      <c r="R1988" s="8">
        <f>[1]Data!R1988</f>
        <v>0</v>
      </c>
      <c r="S1988" s="8">
        <f>[1]Data!S1988</f>
        <v>0</v>
      </c>
      <c r="T1988">
        <f t="shared" si="155"/>
        <v>8.5106382978723402E-2</v>
      </c>
      <c r="U1988">
        <f t="shared" si="156"/>
        <v>0</v>
      </c>
      <c r="V1988" s="4" t="str">
        <f t="shared" si="157"/>
        <v>13</v>
      </c>
      <c r="W1988" s="4" t="str">
        <f t="shared" si="158"/>
        <v>4</v>
      </c>
      <c r="X1988" s="4" t="str">
        <f t="shared" si="159"/>
        <v>13INDIV4</v>
      </c>
      <c r="Y1988">
        <f>VLOOKUP(X1988,Sheet1!$J$5:$K$121,2,FALSE)</f>
        <v>0</v>
      </c>
    </row>
    <row r="1989" spans="1:25" x14ac:dyDescent="0.25">
      <c r="A1989" s="8">
        <f>[1]Data!A1989</f>
        <v>190202</v>
      </c>
      <c r="B1989" s="8">
        <f>[1]Data!B1989</f>
        <v>4</v>
      </c>
      <c r="C1989" s="8">
        <f>[1]Data!C1989</f>
        <v>13</v>
      </c>
      <c r="D1989" s="8">
        <f>[1]Data!D1989</f>
        <v>3</v>
      </c>
      <c r="E1989" s="8" t="str">
        <f>[1]Data!E1989</f>
        <v>INDIV</v>
      </c>
      <c r="F1989" s="8" t="str">
        <f>[1]Data!F1989</f>
        <v>Hollywood Hills West</v>
      </c>
      <c r="G1989" s="8">
        <f>[1]Data!G1989</f>
        <v>1</v>
      </c>
      <c r="H1989" s="8">
        <f>[1]Data!H1989</f>
        <v>1</v>
      </c>
      <c r="I1989" s="8">
        <f>[1]Data!I1989</f>
        <v>38.213999999999999</v>
      </c>
      <c r="J1989" s="8">
        <f>[1]Data!J1989</f>
        <v>9.5665461599999997</v>
      </c>
      <c r="K1989" s="8">
        <f>[1]Data!K1989</f>
        <v>37.566546160000001</v>
      </c>
      <c r="L1989" s="8">
        <f>[1]Data!L1989</f>
        <v>0.64705866872531403</v>
      </c>
      <c r="M1989" s="8">
        <f>[1]Data!M1989</f>
        <v>38.213604828725302</v>
      </c>
      <c r="N1989" s="8">
        <f>[1]Data!N1989</f>
        <v>8.5106382978723402E-2</v>
      </c>
      <c r="O1989" s="8">
        <f>[1]Data!O1989</f>
        <v>11.75</v>
      </c>
      <c r="P1989" s="8">
        <f>[1]Data!P1989</f>
        <v>0.12765957446808501</v>
      </c>
      <c r="Q1989" s="8">
        <f>[1]Data!Q1989</f>
        <v>0.6</v>
      </c>
      <c r="R1989" s="8">
        <f>[1]Data!R1989</f>
        <v>0</v>
      </c>
      <c r="S1989" s="8">
        <f>[1]Data!S1989</f>
        <v>0</v>
      </c>
      <c r="T1989">
        <f t="shared" si="155"/>
        <v>8.5106382978723402E-2</v>
      </c>
      <c r="U1989">
        <f t="shared" si="156"/>
        <v>11.75</v>
      </c>
      <c r="V1989" s="4" t="str">
        <f t="shared" si="157"/>
        <v>13</v>
      </c>
      <c r="W1989" s="4" t="str">
        <f t="shared" si="158"/>
        <v>4</v>
      </c>
      <c r="X1989" s="4" t="str">
        <f t="shared" si="159"/>
        <v>13INDIV4</v>
      </c>
      <c r="Y1989">
        <f>VLOOKUP(X1989,Sheet1!$J$5:$K$121,2,FALSE)</f>
        <v>0</v>
      </c>
    </row>
    <row r="1990" spans="1:25" x14ac:dyDescent="0.25">
      <c r="A1990" s="8">
        <f>[1]Data!A1990</f>
        <v>190100</v>
      </c>
      <c r="B1990" s="8">
        <f>[1]Data!B1990</f>
        <v>11</v>
      </c>
      <c r="C1990" s="8">
        <f>[1]Data!C1990</f>
        <v>13</v>
      </c>
      <c r="D1990" s="8">
        <f>[1]Data!D1990</f>
        <v>3</v>
      </c>
      <c r="E1990" s="8" t="str">
        <f>[1]Data!E1990</f>
        <v>INDIV</v>
      </c>
      <c r="F1990" s="8" t="str">
        <f>[1]Data!F1990</f>
        <v>Hollywood</v>
      </c>
      <c r="G1990" s="8">
        <f>[1]Data!G1990</f>
        <v>1</v>
      </c>
      <c r="H1990" s="8">
        <f>[1]Data!H1990</f>
        <v>1</v>
      </c>
      <c r="I1990" s="8">
        <f>[1]Data!I1990</f>
        <v>36.389000000000003</v>
      </c>
      <c r="J1990" s="8">
        <f>[1]Data!J1990</f>
        <v>16.434903550000001</v>
      </c>
      <c r="K1990" s="8">
        <f>[1]Data!K1990</f>
        <v>35.434903550000001</v>
      </c>
      <c r="L1990" s="8">
        <f>[1]Data!L1990</f>
        <v>0.95437785156193899</v>
      </c>
      <c r="M1990" s="8">
        <f>[1]Data!M1990</f>
        <v>36.389281401561902</v>
      </c>
      <c r="N1990" s="8">
        <f>[1]Data!N1990</f>
        <v>0.2</v>
      </c>
      <c r="O1990" s="8">
        <f>[1]Data!O1990</f>
        <v>5</v>
      </c>
      <c r="P1990" s="8">
        <f>[1]Data!P1990</f>
        <v>0.8</v>
      </c>
      <c r="Q1990" s="8">
        <f>[1]Data!Q1990</f>
        <v>0.4</v>
      </c>
      <c r="R1990" s="8">
        <f>[1]Data!R1990</f>
        <v>0</v>
      </c>
      <c r="S1990" s="8">
        <f>[1]Data!S1990</f>
        <v>0</v>
      </c>
      <c r="T1990">
        <f t="shared" si="155"/>
        <v>0.2</v>
      </c>
      <c r="U1990">
        <f t="shared" si="156"/>
        <v>5</v>
      </c>
      <c r="V1990" s="4" t="str">
        <f t="shared" si="157"/>
        <v>13</v>
      </c>
      <c r="W1990" s="4" t="str">
        <f t="shared" si="158"/>
        <v>11</v>
      </c>
      <c r="X1990" s="4" t="str">
        <f t="shared" si="159"/>
        <v>13INDIV11</v>
      </c>
      <c r="Y1990">
        <f>VLOOKUP(X1990,Sheet1!$J$5:$K$121,2,FALSE)</f>
        <v>0</v>
      </c>
    </row>
    <row r="1991" spans="1:25" x14ac:dyDescent="0.25">
      <c r="A1991" s="8">
        <f>[1]Data!A1991</f>
        <v>190510</v>
      </c>
      <c r="B1991" s="8">
        <f>[1]Data!B1991</f>
        <v>11</v>
      </c>
      <c r="C1991" s="8">
        <f>[1]Data!C1991</f>
        <v>13</v>
      </c>
      <c r="D1991" s="8">
        <f>[1]Data!D1991</f>
        <v>3</v>
      </c>
      <c r="E1991" s="8" t="str">
        <f>[1]Data!E1991</f>
        <v>INDIV</v>
      </c>
      <c r="F1991" s="8" t="str">
        <f>[1]Data!F1991</f>
        <v>Hollywood</v>
      </c>
      <c r="G1991" s="8">
        <f>[1]Data!G1991</f>
        <v>0</v>
      </c>
      <c r="H1991" s="8">
        <f>[1]Data!H1991</f>
        <v>0</v>
      </c>
      <c r="I1991" s="8">
        <f>[1]Data!I1991</f>
        <v>10.926</v>
      </c>
      <c r="J1991" s="8">
        <f>[1]Data!J1991</f>
        <v>1.90487994</v>
      </c>
      <c r="K1991" s="8">
        <f>[1]Data!K1991</f>
        <v>10.904879940000001</v>
      </c>
      <c r="L1991" s="8">
        <f>[1]Data!L1991</f>
        <v>2.0625322082585301E-2</v>
      </c>
      <c r="M1991" s="8">
        <f>[1]Data!M1991</f>
        <v>10.9255052620826</v>
      </c>
      <c r="N1991" s="8">
        <f>[1]Data!N1991</f>
        <v>0.2</v>
      </c>
      <c r="O1991" s="8">
        <f>[1]Data!O1991</f>
        <v>0</v>
      </c>
      <c r="P1991" s="8">
        <f>[1]Data!P1991</f>
        <v>0.8</v>
      </c>
      <c r="Q1991" s="8">
        <f>[1]Data!Q1991</f>
        <v>0.4</v>
      </c>
      <c r="R1991" s="8">
        <f>[1]Data!R1991</f>
        <v>0</v>
      </c>
      <c r="S1991" s="8">
        <f>[1]Data!S1991</f>
        <v>0</v>
      </c>
      <c r="T1991">
        <f t="shared" si="155"/>
        <v>0.2</v>
      </c>
      <c r="U1991">
        <f t="shared" si="156"/>
        <v>0</v>
      </c>
      <c r="V1991" s="4" t="str">
        <f t="shared" si="157"/>
        <v>13</v>
      </c>
      <c r="W1991" s="4" t="str">
        <f t="shared" si="158"/>
        <v>11</v>
      </c>
      <c r="X1991" s="4" t="str">
        <f t="shared" si="159"/>
        <v>13INDIV11</v>
      </c>
      <c r="Y1991">
        <f>VLOOKUP(X1991,Sheet1!$J$5:$K$121,2,FALSE)</f>
        <v>0</v>
      </c>
    </row>
    <row r="1992" spans="1:25" x14ac:dyDescent="0.25">
      <c r="A1992" s="8">
        <f>[1]Data!A1992</f>
        <v>191110</v>
      </c>
      <c r="B1992" s="8">
        <f>[1]Data!B1992</f>
        <v>11</v>
      </c>
      <c r="C1992" s="8">
        <f>[1]Data!C1992</f>
        <v>13</v>
      </c>
      <c r="D1992" s="8">
        <f>[1]Data!D1992</f>
        <v>3</v>
      </c>
      <c r="E1992" s="8" t="str">
        <f>[1]Data!E1992</f>
        <v>INDIV</v>
      </c>
      <c r="F1992" s="8" t="str">
        <f>[1]Data!F1992</f>
        <v>Hollywood</v>
      </c>
      <c r="G1992" s="8">
        <f>[1]Data!G1992</f>
        <v>0</v>
      </c>
      <c r="H1992" s="8">
        <f>[1]Data!H1992</f>
        <v>0</v>
      </c>
      <c r="I1992" s="8">
        <f>[1]Data!I1992</f>
        <v>24.213999999999999</v>
      </c>
      <c r="J1992" s="8">
        <f>[1]Data!J1992</f>
        <v>5.0957154100000004</v>
      </c>
      <c r="K1992" s="8">
        <f>[1]Data!K1992</f>
        <v>24.09571541</v>
      </c>
      <c r="L1992" s="8">
        <f>[1]Data!L1992</f>
        <v>0.11796937380610401</v>
      </c>
      <c r="M1992" s="8">
        <f>[1]Data!M1992</f>
        <v>24.213684783806102</v>
      </c>
      <c r="N1992" s="8">
        <f>[1]Data!N1992</f>
        <v>0.2</v>
      </c>
      <c r="O1992" s="8">
        <f>[1]Data!O1992</f>
        <v>0</v>
      </c>
      <c r="P1992" s="8">
        <f>[1]Data!P1992</f>
        <v>0.8</v>
      </c>
      <c r="Q1992" s="8">
        <f>[1]Data!Q1992</f>
        <v>0.4</v>
      </c>
      <c r="R1992" s="8">
        <f>[1]Data!R1992</f>
        <v>0</v>
      </c>
      <c r="S1992" s="8">
        <f>[1]Data!S1992</f>
        <v>0</v>
      </c>
      <c r="T1992">
        <f t="shared" si="155"/>
        <v>0.2</v>
      </c>
      <c r="U1992">
        <f t="shared" si="156"/>
        <v>0</v>
      </c>
      <c r="V1992" s="4" t="str">
        <f t="shared" si="157"/>
        <v>13</v>
      </c>
      <c r="W1992" s="4" t="str">
        <f t="shared" si="158"/>
        <v>11</v>
      </c>
      <c r="X1992" s="4" t="str">
        <f t="shared" si="159"/>
        <v>13INDIV11</v>
      </c>
      <c r="Y1992">
        <f>VLOOKUP(X1992,Sheet1!$J$5:$K$121,2,FALSE)</f>
        <v>0</v>
      </c>
    </row>
    <row r="1993" spans="1:25" x14ac:dyDescent="0.25">
      <c r="A1993" s="8">
        <f>[1]Data!A1993</f>
        <v>191201</v>
      </c>
      <c r="B1993" s="8">
        <f>[1]Data!B1993</f>
        <v>11</v>
      </c>
      <c r="C1993" s="8">
        <f>[1]Data!C1993</f>
        <v>13</v>
      </c>
      <c r="D1993" s="8">
        <f>[1]Data!D1993</f>
        <v>3</v>
      </c>
      <c r="E1993" s="8" t="str">
        <f>[1]Data!E1993</f>
        <v>INDIV</v>
      </c>
      <c r="F1993" s="8" t="str">
        <f>[1]Data!F1993</f>
        <v>Hollywood</v>
      </c>
      <c r="G1993" s="8">
        <f>[1]Data!G1993</f>
        <v>0</v>
      </c>
      <c r="H1993" s="8">
        <f>[1]Data!H1993</f>
        <v>0</v>
      </c>
      <c r="I1993" s="8">
        <f>[1]Data!I1993</f>
        <v>29.959</v>
      </c>
      <c r="J1993" s="8">
        <f>[1]Data!J1993</f>
        <v>14.79186288</v>
      </c>
      <c r="K1993" s="8">
        <f>[1]Data!K1993</f>
        <v>29.79186288</v>
      </c>
      <c r="L1993" s="8">
        <f>[1]Data!L1993</f>
        <v>0.166735796014363</v>
      </c>
      <c r="M1993" s="8">
        <f>[1]Data!M1993</f>
        <v>29.9585986760144</v>
      </c>
      <c r="N1993" s="8">
        <f>[1]Data!N1993</f>
        <v>0.2</v>
      </c>
      <c r="O1993" s="8">
        <f>[1]Data!O1993</f>
        <v>0</v>
      </c>
      <c r="P1993" s="8">
        <f>[1]Data!P1993</f>
        <v>0.8</v>
      </c>
      <c r="Q1993" s="8">
        <f>[1]Data!Q1993</f>
        <v>0.4</v>
      </c>
      <c r="R1993" s="8">
        <f>[1]Data!R1993</f>
        <v>0</v>
      </c>
      <c r="S1993" s="8">
        <f>[1]Data!S1993</f>
        <v>0</v>
      </c>
      <c r="T1993">
        <f t="shared" si="155"/>
        <v>0.2</v>
      </c>
      <c r="U1993">
        <f t="shared" si="156"/>
        <v>0</v>
      </c>
      <c r="V1993" s="4" t="str">
        <f t="shared" si="157"/>
        <v>13</v>
      </c>
      <c r="W1993" s="4" t="str">
        <f t="shared" si="158"/>
        <v>11</v>
      </c>
      <c r="X1993" s="4" t="str">
        <f t="shared" si="159"/>
        <v>13INDIV11</v>
      </c>
      <c r="Y1993">
        <f>VLOOKUP(X1993,Sheet1!$J$5:$K$121,2,FALSE)</f>
        <v>0</v>
      </c>
    </row>
    <row r="1994" spans="1:25" x14ac:dyDescent="0.25">
      <c r="A1994" s="8">
        <f>[1]Data!A1994</f>
        <v>208301</v>
      </c>
      <c r="B1994" s="8">
        <f>[1]Data!B1994</f>
        <v>4</v>
      </c>
      <c r="C1994" s="8">
        <f>[1]Data!C1994</f>
        <v>13</v>
      </c>
      <c r="D1994" s="8">
        <f>[1]Data!D1994</f>
        <v>1</v>
      </c>
      <c r="E1994" s="8" t="str">
        <f>[1]Data!E1994</f>
        <v>NON-HS</v>
      </c>
      <c r="F1994" s="8" t="str">
        <f>[1]Data!F1994</f>
        <v>Westlake</v>
      </c>
      <c r="G1994" s="8">
        <f>[1]Data!G1994</f>
        <v>0</v>
      </c>
      <c r="H1994" s="8">
        <f>[1]Data!H1994</f>
        <v>0</v>
      </c>
      <c r="I1994" s="8">
        <f>[1]Data!I1994</f>
        <v>2.8079999999999998</v>
      </c>
      <c r="J1994" s="8">
        <f>[1]Data!J1994</f>
        <v>1.73313217</v>
      </c>
      <c r="K1994" s="8">
        <f>[1]Data!K1994</f>
        <v>2.7331321700000002</v>
      </c>
      <c r="L1994" s="8">
        <f>[1]Data!L1994</f>
        <v>7.4985510287253102E-2</v>
      </c>
      <c r="M1994" s="8">
        <f>[1]Data!M1994</f>
        <v>2.8081176802872498</v>
      </c>
      <c r="N1994" s="8">
        <f>[1]Data!N1994</f>
        <v>2.6315789473684199E-2</v>
      </c>
      <c r="O1994" s="8">
        <f>[1]Data!O1994</f>
        <v>0</v>
      </c>
      <c r="P1994" s="8">
        <f>[1]Data!P1994</f>
        <v>0.144736842105263</v>
      </c>
      <c r="Q1994" s="8">
        <f>[1]Data!Q1994</f>
        <v>0.6875</v>
      </c>
      <c r="R1994" s="8">
        <f>[1]Data!R1994</f>
        <v>9.0909090909090898E-2</v>
      </c>
      <c r="S1994" s="8">
        <f>[1]Data!S1994</f>
        <v>0</v>
      </c>
      <c r="T1994">
        <f t="shared" si="155"/>
        <v>0.11483253588516744</v>
      </c>
      <c r="U1994">
        <f t="shared" si="156"/>
        <v>0</v>
      </c>
      <c r="V1994" s="4" t="str">
        <f t="shared" si="157"/>
        <v>13</v>
      </c>
      <c r="W1994" s="4" t="str">
        <f t="shared" si="158"/>
        <v>4</v>
      </c>
      <c r="X1994" s="4" t="str">
        <f t="shared" si="159"/>
        <v>13NON-HS4</v>
      </c>
      <c r="Y1994">
        <f>VLOOKUP(X1994,Sheet1!$J$5:$K$121,2,FALSE)</f>
        <v>9.0909090909090898E-2</v>
      </c>
    </row>
    <row r="1995" spans="1:25" x14ac:dyDescent="0.25">
      <c r="A1995" s="8">
        <f>[1]Data!A1995</f>
        <v>208302</v>
      </c>
      <c r="B1995" s="8">
        <f>[1]Data!B1995</f>
        <v>4</v>
      </c>
      <c r="C1995" s="8">
        <f>[1]Data!C1995</f>
        <v>13</v>
      </c>
      <c r="D1995" s="8">
        <f>[1]Data!D1995</f>
        <v>1</v>
      </c>
      <c r="E1995" s="8" t="str">
        <f>[1]Data!E1995</f>
        <v>NON-HS</v>
      </c>
      <c r="F1995" s="8" t="str">
        <f>[1]Data!F1995</f>
        <v>Westlake</v>
      </c>
      <c r="G1995" s="8">
        <f>[1]Data!G1995</f>
        <v>0</v>
      </c>
      <c r="H1995" s="8">
        <f>[1]Data!H1995</f>
        <v>0</v>
      </c>
      <c r="I1995" s="8">
        <f>[1]Data!I1995</f>
        <v>3.6859999999999999</v>
      </c>
      <c r="J1995" s="8">
        <f>[1]Data!J1995</f>
        <v>3.4228962300000001</v>
      </c>
      <c r="K1995" s="8">
        <f>[1]Data!K1995</f>
        <v>3.4228962300000001</v>
      </c>
      <c r="L1995" s="8">
        <f>[1]Data!L1995</f>
        <v>0.26262460752244199</v>
      </c>
      <c r="M1995" s="8">
        <f>[1]Data!M1995</f>
        <v>3.6855208375224402</v>
      </c>
      <c r="N1995" s="8">
        <f>[1]Data!N1995</f>
        <v>2.6315789473684199E-2</v>
      </c>
      <c r="O1995" s="8">
        <f>[1]Data!O1995</f>
        <v>0</v>
      </c>
      <c r="P1995" s="8">
        <f>[1]Data!P1995</f>
        <v>0.144736842105263</v>
      </c>
      <c r="Q1995" s="8">
        <f>[1]Data!Q1995</f>
        <v>0.6875</v>
      </c>
      <c r="R1995" s="8">
        <f>[1]Data!R1995</f>
        <v>9.0909090909090898E-2</v>
      </c>
      <c r="S1995" s="8">
        <f>[1]Data!S1995</f>
        <v>0</v>
      </c>
      <c r="T1995">
        <f t="shared" si="155"/>
        <v>0.11483253588516744</v>
      </c>
      <c r="U1995">
        <f t="shared" si="156"/>
        <v>0</v>
      </c>
      <c r="V1995" s="4" t="str">
        <f t="shared" si="157"/>
        <v>13</v>
      </c>
      <c r="W1995" s="4" t="str">
        <f t="shared" si="158"/>
        <v>4</v>
      </c>
      <c r="X1995" s="4" t="str">
        <f t="shared" si="159"/>
        <v>13NON-HS4</v>
      </c>
      <c r="Y1995">
        <f>VLOOKUP(X1995,Sheet1!$J$5:$K$121,2,FALSE)</f>
        <v>9.0909090909090898E-2</v>
      </c>
    </row>
    <row r="1996" spans="1:25" x14ac:dyDescent="0.25">
      <c r="A1996" s="8">
        <f>[1]Data!A1996</f>
        <v>208502</v>
      </c>
      <c r="B1996" s="8">
        <f>[1]Data!B1996</f>
        <v>4</v>
      </c>
      <c r="C1996" s="8">
        <f>[1]Data!C1996</f>
        <v>13</v>
      </c>
      <c r="D1996" s="8">
        <f>[1]Data!D1996</f>
        <v>1</v>
      </c>
      <c r="E1996" s="8" t="str">
        <f>[1]Data!E1996</f>
        <v>NON-HS</v>
      </c>
      <c r="F1996" s="8" t="str">
        <f>[1]Data!F1996</f>
        <v>Echo Park</v>
      </c>
      <c r="G1996" s="8">
        <f>[1]Data!G1996</f>
        <v>0</v>
      </c>
      <c r="H1996" s="8">
        <f>[1]Data!H1996</f>
        <v>0</v>
      </c>
      <c r="I1996" s="8">
        <f>[1]Data!I1996</f>
        <v>19.106999999999999</v>
      </c>
      <c r="J1996" s="8">
        <f>[1]Data!J1996</f>
        <v>16.103738750000002</v>
      </c>
      <c r="K1996" s="8">
        <f>[1]Data!K1996</f>
        <v>18.103738750000002</v>
      </c>
      <c r="L1996" s="8">
        <f>[1]Data!L1996</f>
        <v>1.00222750775583</v>
      </c>
      <c r="M1996" s="8">
        <f>[1]Data!M1996</f>
        <v>19.105966257755799</v>
      </c>
      <c r="N1996" s="8">
        <f>[1]Data!N1996</f>
        <v>2.6315789473684199E-2</v>
      </c>
      <c r="O1996" s="8">
        <f>[1]Data!O1996</f>
        <v>0</v>
      </c>
      <c r="P1996" s="8">
        <f>[1]Data!P1996</f>
        <v>0.144736842105263</v>
      </c>
      <c r="Q1996" s="8">
        <f>[1]Data!Q1996</f>
        <v>0.6875</v>
      </c>
      <c r="R1996" s="8">
        <f>[1]Data!R1996</f>
        <v>9.0909090909090898E-2</v>
      </c>
      <c r="S1996" s="8">
        <f>[1]Data!S1996</f>
        <v>0</v>
      </c>
      <c r="T1996">
        <f t="shared" si="155"/>
        <v>0.11483253588516744</v>
      </c>
      <c r="U1996">
        <f t="shared" si="156"/>
        <v>0</v>
      </c>
      <c r="V1996" s="4" t="str">
        <f t="shared" si="157"/>
        <v>13</v>
      </c>
      <c r="W1996" s="4" t="str">
        <f t="shared" si="158"/>
        <v>4</v>
      </c>
      <c r="X1996" s="4" t="str">
        <f t="shared" si="159"/>
        <v>13NON-HS4</v>
      </c>
      <c r="Y1996">
        <f>VLOOKUP(X1996,Sheet1!$J$5:$K$121,2,FALSE)</f>
        <v>9.0909090909090898E-2</v>
      </c>
    </row>
    <row r="1997" spans="1:25" x14ac:dyDescent="0.25">
      <c r="A1997" s="8">
        <f>[1]Data!A1997</f>
        <v>208610</v>
      </c>
      <c r="B1997" s="8">
        <f>[1]Data!B1997</f>
        <v>4</v>
      </c>
      <c r="C1997" s="8">
        <f>[1]Data!C1997</f>
        <v>13</v>
      </c>
      <c r="D1997" s="8">
        <f>[1]Data!D1997</f>
        <v>1</v>
      </c>
      <c r="E1997" s="8" t="str">
        <f>[1]Data!E1997</f>
        <v>NON-HS</v>
      </c>
      <c r="F1997" s="8" t="str">
        <f>[1]Data!F1997</f>
        <v>Rampart Village</v>
      </c>
      <c r="G1997" s="8">
        <f>[1]Data!G1997</f>
        <v>0</v>
      </c>
      <c r="H1997" s="8">
        <f>[1]Data!H1997</f>
        <v>1</v>
      </c>
      <c r="I1997" s="8">
        <f>[1]Data!I1997</f>
        <v>21.806000000000001</v>
      </c>
      <c r="J1997" s="8">
        <f>[1]Data!J1997</f>
        <v>15.18596148</v>
      </c>
      <c r="K1997" s="8">
        <f>[1]Data!K1997</f>
        <v>21.18596148</v>
      </c>
      <c r="L1997" s="8">
        <f>[1]Data!L1997</f>
        <v>0.61947219251346497</v>
      </c>
      <c r="M1997" s="8">
        <f>[1]Data!M1997</f>
        <v>21.805433672513502</v>
      </c>
      <c r="N1997" s="8">
        <f>[1]Data!N1997</f>
        <v>2.6315789473684199E-2</v>
      </c>
      <c r="O1997" s="8">
        <f>[1]Data!O1997</f>
        <v>0</v>
      </c>
      <c r="P1997" s="8">
        <f>[1]Data!P1997</f>
        <v>0.144736842105263</v>
      </c>
      <c r="Q1997" s="8">
        <f>[1]Data!Q1997</f>
        <v>0.6875</v>
      </c>
      <c r="R1997" s="8">
        <f>[1]Data!R1997</f>
        <v>9.0909090909090898E-2</v>
      </c>
      <c r="S1997" s="8">
        <f>[1]Data!S1997</f>
        <v>11</v>
      </c>
      <c r="T1997">
        <f t="shared" si="155"/>
        <v>0.11483253588516744</v>
      </c>
      <c r="U1997">
        <f t="shared" si="156"/>
        <v>8.7083333333333357</v>
      </c>
      <c r="V1997" s="4" t="str">
        <f t="shared" si="157"/>
        <v>13</v>
      </c>
      <c r="W1997" s="4" t="str">
        <f t="shared" si="158"/>
        <v>4</v>
      </c>
      <c r="X1997" s="4" t="str">
        <f t="shared" si="159"/>
        <v>13NON-HS4</v>
      </c>
      <c r="Y1997">
        <f>VLOOKUP(X1997,Sheet1!$J$5:$K$121,2,FALSE)</f>
        <v>9.0909090909090898E-2</v>
      </c>
    </row>
    <row r="1998" spans="1:25" x14ac:dyDescent="0.25">
      <c r="A1998" s="8">
        <f>[1]Data!A1998</f>
        <v>208620</v>
      </c>
      <c r="B1998" s="8">
        <f>[1]Data!B1998</f>
        <v>4</v>
      </c>
      <c r="C1998" s="8">
        <f>[1]Data!C1998</f>
        <v>13</v>
      </c>
      <c r="D1998" s="8">
        <f>[1]Data!D1998</f>
        <v>1</v>
      </c>
      <c r="E1998" s="8" t="str">
        <f>[1]Data!E1998</f>
        <v>NON-HS</v>
      </c>
      <c r="F1998" s="8" t="str">
        <f>[1]Data!F1998</f>
        <v>Rampart Village</v>
      </c>
      <c r="G1998" s="8">
        <f>[1]Data!G1998</f>
        <v>0</v>
      </c>
      <c r="H1998" s="8">
        <f>[1]Data!H1998</f>
        <v>0</v>
      </c>
      <c r="I1998" s="8">
        <f>[1]Data!I1998</f>
        <v>8.8190000000000008</v>
      </c>
      <c r="J1998" s="8">
        <f>[1]Data!J1998</f>
        <v>7.5535708799999997</v>
      </c>
      <c r="K1998" s="8">
        <f>[1]Data!K1998</f>
        <v>8.5535708800000005</v>
      </c>
      <c r="L1998" s="8">
        <f>[1]Data!L1998</f>
        <v>0.26446245660682199</v>
      </c>
      <c r="M1998" s="8">
        <f>[1]Data!M1998</f>
        <v>8.8180333366068204</v>
      </c>
      <c r="N1998" s="8">
        <f>[1]Data!N1998</f>
        <v>2.6315789473684199E-2</v>
      </c>
      <c r="O1998" s="8">
        <f>[1]Data!O1998</f>
        <v>0</v>
      </c>
      <c r="P1998" s="8">
        <f>[1]Data!P1998</f>
        <v>0.144736842105263</v>
      </c>
      <c r="Q1998" s="8">
        <f>[1]Data!Q1998</f>
        <v>0.6875</v>
      </c>
      <c r="R1998" s="8">
        <f>[1]Data!R1998</f>
        <v>9.0909090909090898E-2</v>
      </c>
      <c r="S1998" s="8">
        <f>[1]Data!S1998</f>
        <v>0</v>
      </c>
      <c r="T1998">
        <f t="shared" si="155"/>
        <v>0.11483253588516744</v>
      </c>
      <c r="U1998">
        <f t="shared" si="156"/>
        <v>0</v>
      </c>
      <c r="V1998" s="4" t="str">
        <f t="shared" si="157"/>
        <v>13</v>
      </c>
      <c r="W1998" s="4" t="str">
        <f t="shared" si="158"/>
        <v>4</v>
      </c>
      <c r="X1998" s="4" t="str">
        <f t="shared" si="159"/>
        <v>13NON-HS4</v>
      </c>
      <c r="Y1998">
        <f>VLOOKUP(X1998,Sheet1!$J$5:$K$121,2,FALSE)</f>
        <v>9.0909090909090898E-2</v>
      </c>
    </row>
    <row r="1999" spans="1:25" x14ac:dyDescent="0.25">
      <c r="A1999" s="8">
        <f>[1]Data!A1999</f>
        <v>211201</v>
      </c>
      <c r="B1999" s="8">
        <f>[1]Data!B1999</f>
        <v>4</v>
      </c>
      <c r="C1999" s="8">
        <f>[1]Data!C1999</f>
        <v>13</v>
      </c>
      <c r="D1999" s="8">
        <f>[1]Data!D1999</f>
        <v>2</v>
      </c>
      <c r="E1999" s="8" t="str">
        <f>[1]Data!E1999</f>
        <v>NON-HS</v>
      </c>
      <c r="F1999" s="8" t="str">
        <f>[1]Data!F1999</f>
        <v>Wilshire Center-Koreatown</v>
      </c>
      <c r="G1999" s="8">
        <f>[1]Data!G1999</f>
        <v>0</v>
      </c>
      <c r="H1999" s="8">
        <f>[1]Data!H1999</f>
        <v>0</v>
      </c>
      <c r="I1999" s="8">
        <f>[1]Data!I1999</f>
        <v>1.9259999999999999</v>
      </c>
      <c r="J1999" s="8">
        <f>[1]Data!J1999</f>
        <v>1.90487994</v>
      </c>
      <c r="K1999" s="8">
        <f>[1]Data!K1999</f>
        <v>1.90487994</v>
      </c>
      <c r="L1999" s="8">
        <f>[1]Data!L1999</f>
        <v>2.0625322082585301E-2</v>
      </c>
      <c r="M1999" s="8">
        <f>[1]Data!M1999</f>
        <v>1.9255052620825901</v>
      </c>
      <c r="N1999" s="8">
        <f>[1]Data!N1999</f>
        <v>2.6315789473684199E-2</v>
      </c>
      <c r="O1999" s="8">
        <f>[1]Data!O1999</f>
        <v>0</v>
      </c>
      <c r="P1999" s="8">
        <f>[1]Data!P1999</f>
        <v>0.144736842105263</v>
      </c>
      <c r="Q1999" s="8">
        <f>[1]Data!Q1999</f>
        <v>0.6875</v>
      </c>
      <c r="R1999" s="8">
        <f>[1]Data!R1999</f>
        <v>9.0909090909090898E-2</v>
      </c>
      <c r="S1999" s="8">
        <f>[1]Data!S1999</f>
        <v>0</v>
      </c>
      <c r="T1999">
        <f t="shared" si="155"/>
        <v>0.11483253588516744</v>
      </c>
      <c r="U1999">
        <f t="shared" si="156"/>
        <v>0</v>
      </c>
      <c r="V1999" s="4" t="str">
        <f t="shared" si="157"/>
        <v>13</v>
      </c>
      <c r="W1999" s="4" t="str">
        <f t="shared" si="158"/>
        <v>4</v>
      </c>
      <c r="X1999" s="4" t="str">
        <f t="shared" si="159"/>
        <v>13NON-HS4</v>
      </c>
      <c r="Y1999">
        <f>VLOOKUP(X1999,Sheet1!$J$5:$K$121,2,FALSE)</f>
        <v>9.0909090909090898E-2</v>
      </c>
    </row>
    <row r="2000" spans="1:25" x14ac:dyDescent="0.25">
      <c r="A2000" s="8">
        <f>[1]Data!A2000</f>
        <v>211202</v>
      </c>
      <c r="B2000" s="8">
        <f>[1]Data!B2000</f>
        <v>4</v>
      </c>
      <c r="C2000" s="8">
        <f>[1]Data!C2000</f>
        <v>13</v>
      </c>
      <c r="D2000" s="8">
        <f>[1]Data!D2000</f>
        <v>2</v>
      </c>
      <c r="E2000" s="8" t="str">
        <f>[1]Data!E2000</f>
        <v>NON-HS</v>
      </c>
      <c r="F2000" s="8" t="str">
        <f>[1]Data!F2000</f>
        <v>Wilshire Center-Koreatown</v>
      </c>
      <c r="G2000" s="8">
        <f>[1]Data!G2000</f>
        <v>0</v>
      </c>
      <c r="H2000" s="8">
        <f>[1]Data!H2000</f>
        <v>0</v>
      </c>
      <c r="I2000" s="8">
        <f>[1]Data!I2000</f>
        <v>2.9260000000000002</v>
      </c>
      <c r="J2000" s="8">
        <f>[1]Data!J2000</f>
        <v>1.90487994</v>
      </c>
      <c r="K2000" s="8">
        <f>[1]Data!K2000</f>
        <v>2.9048799399999998</v>
      </c>
      <c r="L2000" s="8">
        <f>[1]Data!L2000</f>
        <v>2.0625322082585301E-2</v>
      </c>
      <c r="M2000" s="8">
        <f>[1]Data!M2000</f>
        <v>2.9255052620825901</v>
      </c>
      <c r="N2000" s="8">
        <f>[1]Data!N2000</f>
        <v>2.6315789473684199E-2</v>
      </c>
      <c r="O2000" s="8">
        <f>[1]Data!O2000</f>
        <v>0</v>
      </c>
      <c r="P2000" s="8">
        <f>[1]Data!P2000</f>
        <v>0.144736842105263</v>
      </c>
      <c r="Q2000" s="8">
        <f>[1]Data!Q2000</f>
        <v>0.6875</v>
      </c>
      <c r="R2000" s="8">
        <f>[1]Data!R2000</f>
        <v>9.0909090909090898E-2</v>
      </c>
      <c r="S2000" s="8">
        <f>[1]Data!S2000</f>
        <v>0</v>
      </c>
      <c r="T2000">
        <f t="shared" si="155"/>
        <v>0.11483253588516744</v>
      </c>
      <c r="U2000">
        <f t="shared" si="156"/>
        <v>0</v>
      </c>
      <c r="V2000" s="4" t="str">
        <f t="shared" si="157"/>
        <v>13</v>
      </c>
      <c r="W2000" s="4" t="str">
        <f t="shared" si="158"/>
        <v>4</v>
      </c>
      <c r="X2000" s="4" t="str">
        <f t="shared" si="159"/>
        <v>13NON-HS4</v>
      </c>
      <c r="Y2000">
        <f>VLOOKUP(X2000,Sheet1!$J$5:$K$121,2,FALSE)</f>
        <v>9.0909090909090898E-2</v>
      </c>
    </row>
    <row r="2001" spans="1:25" x14ac:dyDescent="0.25">
      <c r="A2001" s="8">
        <f>[1]Data!A2001</f>
        <v>211310</v>
      </c>
      <c r="B2001" s="8">
        <f>[1]Data!B2001</f>
        <v>4</v>
      </c>
      <c r="C2001" s="8">
        <f>[1]Data!C2001</f>
        <v>13</v>
      </c>
      <c r="D2001" s="8">
        <f>[1]Data!D2001</f>
        <v>2</v>
      </c>
      <c r="E2001" s="8" t="str">
        <f>[1]Data!E2001</f>
        <v>NON-HS</v>
      </c>
      <c r="F2001" s="8" t="str">
        <f>[1]Data!F2001</f>
        <v>Wilshire Center-Koreatown</v>
      </c>
      <c r="G2001" s="8">
        <f>[1]Data!G2001</f>
        <v>0</v>
      </c>
      <c r="H2001" s="8">
        <f>[1]Data!H2001</f>
        <v>0</v>
      </c>
      <c r="I2001" s="8">
        <f>[1]Data!I2001</f>
        <v>0</v>
      </c>
      <c r="J2001" s="8">
        <f>[1]Data!J2001</f>
        <v>0</v>
      </c>
      <c r="K2001" s="8">
        <f>[1]Data!K2001</f>
        <v>0</v>
      </c>
      <c r="L2001" s="8">
        <f>[1]Data!L2001</f>
        <v>0</v>
      </c>
      <c r="M2001" s="8">
        <f>[1]Data!M2001</f>
        <v>0</v>
      </c>
      <c r="N2001" s="8">
        <f>[1]Data!N2001</f>
        <v>2.6315789473684199E-2</v>
      </c>
      <c r="O2001" s="8">
        <f>[1]Data!O2001</f>
        <v>0</v>
      </c>
      <c r="P2001" s="8">
        <f>[1]Data!P2001</f>
        <v>0.144736842105263</v>
      </c>
      <c r="Q2001" s="8">
        <f>[1]Data!Q2001</f>
        <v>0.6875</v>
      </c>
      <c r="R2001" s="8">
        <f>[1]Data!R2001</f>
        <v>9.0909090909090898E-2</v>
      </c>
      <c r="S2001" s="8">
        <f>[1]Data!S2001</f>
        <v>0</v>
      </c>
      <c r="T2001">
        <f t="shared" si="155"/>
        <v>0.11483253588516744</v>
      </c>
      <c r="U2001">
        <f t="shared" si="156"/>
        <v>0</v>
      </c>
      <c r="V2001" s="4" t="str">
        <f t="shared" si="157"/>
        <v>13</v>
      </c>
      <c r="W2001" s="4" t="str">
        <f t="shared" si="158"/>
        <v>4</v>
      </c>
      <c r="X2001" s="4" t="str">
        <f t="shared" si="159"/>
        <v>13NON-HS4</v>
      </c>
      <c r="Y2001">
        <f>VLOOKUP(X2001,Sheet1!$J$5:$K$121,2,FALSE)</f>
        <v>9.0909090909090898E-2</v>
      </c>
    </row>
    <row r="2002" spans="1:25" x14ac:dyDescent="0.25">
      <c r="A2002" s="8">
        <f>[1]Data!A2002</f>
        <v>211320</v>
      </c>
      <c r="B2002" s="8">
        <f>[1]Data!B2002</f>
        <v>4</v>
      </c>
      <c r="C2002" s="8">
        <f>[1]Data!C2002</f>
        <v>13</v>
      </c>
      <c r="D2002" s="8">
        <f>[1]Data!D2002</f>
        <v>2</v>
      </c>
      <c r="E2002" s="8" t="str">
        <f>[1]Data!E2002</f>
        <v>NON-HS</v>
      </c>
      <c r="F2002" s="8" t="str">
        <f>[1]Data!F2002</f>
        <v>Wilshire Center-Koreatown</v>
      </c>
      <c r="G2002" s="8">
        <f>[1]Data!G2002</f>
        <v>0</v>
      </c>
      <c r="H2002" s="8">
        <f>[1]Data!H2002</f>
        <v>0</v>
      </c>
      <c r="I2002" s="8">
        <f>[1]Data!I2002</f>
        <v>7.6120000000000001</v>
      </c>
      <c r="J2002" s="8">
        <f>[1]Data!J2002</f>
        <v>5.3277761699999999</v>
      </c>
      <c r="K2002" s="8">
        <f>[1]Data!K2002</f>
        <v>7.3277761699999999</v>
      </c>
      <c r="L2002" s="8">
        <f>[1]Data!L2002</f>
        <v>0.28324992960502698</v>
      </c>
      <c r="M2002" s="8">
        <f>[1]Data!M2002</f>
        <v>7.6110260996050298</v>
      </c>
      <c r="N2002" s="8">
        <f>[1]Data!N2002</f>
        <v>2.6315789473684199E-2</v>
      </c>
      <c r="O2002" s="8">
        <f>[1]Data!O2002</f>
        <v>0</v>
      </c>
      <c r="P2002" s="8">
        <f>[1]Data!P2002</f>
        <v>0.144736842105263</v>
      </c>
      <c r="Q2002" s="8">
        <f>[1]Data!Q2002</f>
        <v>0.6875</v>
      </c>
      <c r="R2002" s="8">
        <f>[1]Data!R2002</f>
        <v>9.0909090909090898E-2</v>
      </c>
      <c r="S2002" s="8">
        <f>[1]Data!S2002</f>
        <v>0</v>
      </c>
      <c r="T2002">
        <f t="shared" si="155"/>
        <v>0.11483253588516744</v>
      </c>
      <c r="U2002">
        <f t="shared" si="156"/>
        <v>0</v>
      </c>
      <c r="V2002" s="4" t="str">
        <f t="shared" si="157"/>
        <v>13</v>
      </c>
      <c r="W2002" s="4" t="str">
        <f t="shared" si="158"/>
        <v>4</v>
      </c>
      <c r="X2002" s="4" t="str">
        <f t="shared" si="159"/>
        <v>13NON-HS4</v>
      </c>
      <c r="Y2002">
        <f>VLOOKUP(X2002,Sheet1!$J$5:$K$121,2,FALSE)</f>
        <v>9.0909090909090898E-2</v>
      </c>
    </row>
    <row r="2003" spans="1:25" x14ac:dyDescent="0.25">
      <c r="A2003" s="8">
        <f>[1]Data!A2003</f>
        <v>186301</v>
      </c>
      <c r="B2003" s="8">
        <f>[1]Data!B2003</f>
        <v>4</v>
      </c>
      <c r="C2003" s="8">
        <f>[1]Data!C2003</f>
        <v>13</v>
      </c>
      <c r="D2003" s="8">
        <f>[1]Data!D2003</f>
        <v>1</v>
      </c>
      <c r="E2003" s="8" t="str">
        <f>[1]Data!E2003</f>
        <v>NON-HS</v>
      </c>
      <c r="F2003" s="8" t="str">
        <f>[1]Data!F2003</f>
        <v>Glassell Park</v>
      </c>
      <c r="G2003" s="8">
        <f>[1]Data!G2003</f>
        <v>0</v>
      </c>
      <c r="H2003" s="8">
        <f>[1]Data!H2003</f>
        <v>0</v>
      </c>
      <c r="I2003" s="8">
        <f>[1]Data!I2003</f>
        <v>2.9260000000000002</v>
      </c>
      <c r="J2003" s="8">
        <f>[1]Data!J2003</f>
        <v>1.90487994</v>
      </c>
      <c r="K2003" s="8">
        <f>[1]Data!K2003</f>
        <v>2.9048799399999998</v>
      </c>
      <c r="L2003" s="8">
        <f>[1]Data!L2003</f>
        <v>2.0625322082585301E-2</v>
      </c>
      <c r="M2003" s="8">
        <f>[1]Data!M2003</f>
        <v>2.9255052620825901</v>
      </c>
      <c r="N2003" s="8">
        <f>[1]Data!N2003</f>
        <v>2.6315789473684199E-2</v>
      </c>
      <c r="O2003" s="8">
        <f>[1]Data!O2003</f>
        <v>0</v>
      </c>
      <c r="P2003" s="8">
        <f>[1]Data!P2003</f>
        <v>0.144736842105263</v>
      </c>
      <c r="Q2003" s="8">
        <f>[1]Data!Q2003</f>
        <v>0.6875</v>
      </c>
      <c r="R2003" s="8">
        <f>[1]Data!R2003</f>
        <v>9.0909090909090898E-2</v>
      </c>
      <c r="S2003" s="8">
        <f>[1]Data!S2003</f>
        <v>0</v>
      </c>
      <c r="T2003">
        <f t="shared" si="155"/>
        <v>0.11483253588516744</v>
      </c>
      <c r="U2003">
        <f t="shared" si="156"/>
        <v>0</v>
      </c>
      <c r="V2003" s="4" t="str">
        <f t="shared" si="157"/>
        <v>13</v>
      </c>
      <c r="W2003" s="4" t="str">
        <f t="shared" si="158"/>
        <v>4</v>
      </c>
      <c r="X2003" s="4" t="str">
        <f t="shared" si="159"/>
        <v>13NON-HS4</v>
      </c>
      <c r="Y2003">
        <f>VLOOKUP(X2003,Sheet1!$J$5:$K$121,2,FALSE)</f>
        <v>9.0909090909090898E-2</v>
      </c>
    </row>
    <row r="2004" spans="1:25" x14ac:dyDescent="0.25">
      <c r="A2004" s="8">
        <f>[1]Data!A2004</f>
        <v>190401</v>
      </c>
      <c r="B2004" s="8">
        <f>[1]Data!B2004</f>
        <v>4</v>
      </c>
      <c r="C2004" s="8">
        <f>[1]Data!C2004</f>
        <v>13</v>
      </c>
      <c r="D2004" s="8">
        <f>[1]Data!D2004</f>
        <v>3</v>
      </c>
      <c r="E2004" s="8" t="str">
        <f>[1]Data!E2004</f>
        <v>NON-HS</v>
      </c>
      <c r="F2004" s="8" t="str">
        <f>[1]Data!F2004</f>
        <v>Los Feliz</v>
      </c>
      <c r="G2004" s="8">
        <f>[1]Data!G2004</f>
        <v>0</v>
      </c>
      <c r="H2004" s="8">
        <f>[1]Data!H2004</f>
        <v>0</v>
      </c>
      <c r="I2004" s="8">
        <f>[1]Data!I2004</f>
        <v>5.1079999999999997</v>
      </c>
      <c r="J2004" s="8">
        <f>[1]Data!J2004</f>
        <v>5.0438748599999998</v>
      </c>
      <c r="K2004" s="8">
        <f>[1]Data!K2004</f>
        <v>5.0438748599999998</v>
      </c>
      <c r="L2004" s="8">
        <f>[1]Data!L2004</f>
        <v>6.4475795278276501E-2</v>
      </c>
      <c r="M2004" s="8">
        <f>[1]Data!M2004</f>
        <v>5.1083506552782803</v>
      </c>
      <c r="N2004" s="8">
        <f>[1]Data!N2004</f>
        <v>2.6315789473684199E-2</v>
      </c>
      <c r="O2004" s="8">
        <f>[1]Data!O2004</f>
        <v>0</v>
      </c>
      <c r="P2004" s="8">
        <f>[1]Data!P2004</f>
        <v>0.144736842105263</v>
      </c>
      <c r="Q2004" s="8">
        <f>[1]Data!Q2004</f>
        <v>0.6875</v>
      </c>
      <c r="R2004" s="8">
        <f>[1]Data!R2004</f>
        <v>9.0909090909090898E-2</v>
      </c>
      <c r="S2004" s="8">
        <f>[1]Data!S2004</f>
        <v>0</v>
      </c>
      <c r="T2004">
        <f t="shared" si="155"/>
        <v>0.11483253588516744</v>
      </c>
      <c r="U2004">
        <f t="shared" si="156"/>
        <v>0</v>
      </c>
      <c r="V2004" s="4" t="str">
        <f t="shared" si="157"/>
        <v>13</v>
      </c>
      <c r="W2004" s="4" t="str">
        <f t="shared" si="158"/>
        <v>4</v>
      </c>
      <c r="X2004" s="4" t="str">
        <f t="shared" si="159"/>
        <v>13NON-HS4</v>
      </c>
      <c r="Y2004">
        <f>VLOOKUP(X2004,Sheet1!$J$5:$K$121,2,FALSE)</f>
        <v>9.0909090909090898E-2</v>
      </c>
    </row>
    <row r="2005" spans="1:25" x14ac:dyDescent="0.25">
      <c r="A2005" s="8">
        <f>[1]Data!A2005</f>
        <v>190402</v>
      </c>
      <c r="B2005" s="8">
        <f>[1]Data!B2005</f>
        <v>4</v>
      </c>
      <c r="C2005" s="8">
        <f>[1]Data!C2005</f>
        <v>13</v>
      </c>
      <c r="D2005" s="8">
        <f>[1]Data!D2005</f>
        <v>3</v>
      </c>
      <c r="E2005" s="8" t="str">
        <f>[1]Data!E2005</f>
        <v>NON-HS</v>
      </c>
      <c r="F2005" s="8" t="str">
        <f>[1]Data!F2005</f>
        <v>Los Feliz</v>
      </c>
      <c r="G2005" s="8">
        <f>[1]Data!G2005</f>
        <v>0</v>
      </c>
      <c r="H2005" s="8">
        <f>[1]Data!H2005</f>
        <v>0</v>
      </c>
      <c r="I2005" s="8">
        <f>[1]Data!I2005</f>
        <v>6.8079999999999998</v>
      </c>
      <c r="J2005" s="8">
        <f>[1]Data!J2005</f>
        <v>1.73313217</v>
      </c>
      <c r="K2005" s="8">
        <f>[1]Data!K2005</f>
        <v>6.7331321700000002</v>
      </c>
      <c r="L2005" s="8">
        <f>[1]Data!L2005</f>
        <v>7.4985510287253102E-2</v>
      </c>
      <c r="M2005" s="8">
        <f>[1]Data!M2005</f>
        <v>6.8081176802872498</v>
      </c>
      <c r="N2005" s="8">
        <f>[1]Data!N2005</f>
        <v>2.6315789473684199E-2</v>
      </c>
      <c r="O2005" s="8">
        <f>[1]Data!O2005</f>
        <v>0</v>
      </c>
      <c r="P2005" s="8">
        <f>[1]Data!P2005</f>
        <v>0.144736842105263</v>
      </c>
      <c r="Q2005" s="8">
        <f>[1]Data!Q2005</f>
        <v>0.6875</v>
      </c>
      <c r="R2005" s="8">
        <f>[1]Data!R2005</f>
        <v>9.0909090909090898E-2</v>
      </c>
      <c r="S2005" s="8">
        <f>[1]Data!S2005</f>
        <v>0</v>
      </c>
      <c r="T2005">
        <f t="shared" si="155"/>
        <v>0.11483253588516744</v>
      </c>
      <c r="U2005">
        <f t="shared" si="156"/>
        <v>0</v>
      </c>
      <c r="V2005" s="4" t="str">
        <f t="shared" si="157"/>
        <v>13</v>
      </c>
      <c r="W2005" s="4" t="str">
        <f t="shared" si="158"/>
        <v>4</v>
      </c>
      <c r="X2005" s="4" t="str">
        <f t="shared" si="159"/>
        <v>13NON-HS4</v>
      </c>
      <c r="Y2005">
        <f>VLOOKUP(X2005,Sheet1!$J$5:$K$121,2,FALSE)</f>
        <v>9.0909090909090898E-2</v>
      </c>
    </row>
    <row r="2006" spans="1:25" x14ac:dyDescent="0.25">
      <c r="A2006" s="8">
        <f>[1]Data!A2006</f>
        <v>188300</v>
      </c>
      <c r="B2006" s="8">
        <f>[1]Data!B2006</f>
        <v>4</v>
      </c>
      <c r="C2006" s="8">
        <f>[1]Data!C2006</f>
        <v>13</v>
      </c>
      <c r="D2006" s="8">
        <f>[1]Data!D2006</f>
        <v>3</v>
      </c>
      <c r="E2006" s="8" t="str">
        <f>[1]Data!E2006</f>
        <v>NON-HS</v>
      </c>
      <c r="F2006" s="8" t="str">
        <f>[1]Data!F2006</f>
        <v>Atwater Village</v>
      </c>
      <c r="G2006" s="8">
        <f>[1]Data!G2006</f>
        <v>0</v>
      </c>
      <c r="H2006" s="8">
        <f>[1]Data!H2006</f>
        <v>1</v>
      </c>
      <c r="I2006" s="8">
        <f>[1]Data!I2006</f>
        <v>6.2759999999999998</v>
      </c>
      <c r="J2006" s="8">
        <f>[1]Data!J2006</f>
        <v>4.8620928000000001</v>
      </c>
      <c r="K2006" s="8">
        <f>[1]Data!K2006</f>
        <v>5.8620928000000001</v>
      </c>
      <c r="L2006" s="8">
        <f>[1]Data!L2006</f>
        <v>0.414076613662478</v>
      </c>
      <c r="M2006" s="8">
        <f>[1]Data!M2006</f>
        <v>6.2761694136624797</v>
      </c>
      <c r="N2006" s="8">
        <f>[1]Data!N2006</f>
        <v>2.6315789473684199E-2</v>
      </c>
      <c r="O2006" s="8">
        <f>[1]Data!O2006</f>
        <v>0</v>
      </c>
      <c r="P2006" s="8">
        <f>[1]Data!P2006</f>
        <v>0.144736842105263</v>
      </c>
      <c r="Q2006" s="8">
        <f>[1]Data!Q2006</f>
        <v>0.6875</v>
      </c>
      <c r="R2006" s="8">
        <f>[1]Data!R2006</f>
        <v>9.0909090909090898E-2</v>
      </c>
      <c r="S2006" s="8">
        <f>[1]Data!S2006</f>
        <v>11</v>
      </c>
      <c r="T2006">
        <f t="shared" si="155"/>
        <v>0.11483253588516744</v>
      </c>
      <c r="U2006">
        <f t="shared" si="156"/>
        <v>8.7083333333333357</v>
      </c>
      <c r="V2006" s="4" t="str">
        <f t="shared" si="157"/>
        <v>13</v>
      </c>
      <c r="W2006" s="4" t="str">
        <f t="shared" si="158"/>
        <v>4</v>
      </c>
      <c r="X2006" s="4" t="str">
        <f t="shared" si="159"/>
        <v>13NON-HS4</v>
      </c>
      <c r="Y2006">
        <f>VLOOKUP(X2006,Sheet1!$J$5:$K$121,2,FALSE)</f>
        <v>9.0909090909090898E-2</v>
      </c>
    </row>
    <row r="2007" spans="1:25" x14ac:dyDescent="0.25">
      <c r="A2007" s="8">
        <f>[1]Data!A2007</f>
        <v>192510</v>
      </c>
      <c r="B2007" s="8">
        <f>[1]Data!B2007</f>
        <v>4</v>
      </c>
      <c r="C2007" s="8">
        <f>[1]Data!C2007</f>
        <v>13</v>
      </c>
      <c r="D2007" s="8">
        <f>[1]Data!D2007</f>
        <v>2</v>
      </c>
      <c r="E2007" s="8" t="str">
        <f>[1]Data!E2007</f>
        <v>NON-HS</v>
      </c>
      <c r="F2007" s="8" t="str">
        <f>[1]Data!F2007</f>
        <v>Wilshire Center-Koreatown</v>
      </c>
      <c r="G2007" s="8">
        <f>[1]Data!G2007</f>
        <v>0</v>
      </c>
      <c r="H2007" s="8">
        <f>[1]Data!H2007</f>
        <v>0</v>
      </c>
      <c r="I2007" s="8">
        <f>[1]Data!I2007</f>
        <v>14.574</v>
      </c>
      <c r="J2007" s="8">
        <f>[1]Data!J2007</f>
        <v>12.059297300000001</v>
      </c>
      <c r="K2007" s="8">
        <f>[1]Data!K2007</f>
        <v>14.059297300000001</v>
      </c>
      <c r="L2007" s="8">
        <f>[1]Data!L2007</f>
        <v>0.51475099910233402</v>
      </c>
      <c r="M2007" s="8">
        <f>[1]Data!M2007</f>
        <v>14.5740482991023</v>
      </c>
      <c r="N2007" s="8">
        <f>[1]Data!N2007</f>
        <v>2.6315789473684199E-2</v>
      </c>
      <c r="O2007" s="8">
        <f>[1]Data!O2007</f>
        <v>0</v>
      </c>
      <c r="P2007" s="8">
        <f>[1]Data!P2007</f>
        <v>0.144736842105263</v>
      </c>
      <c r="Q2007" s="8">
        <f>[1]Data!Q2007</f>
        <v>0.6875</v>
      </c>
      <c r="R2007" s="8">
        <f>[1]Data!R2007</f>
        <v>9.0909090909090898E-2</v>
      </c>
      <c r="S2007" s="8">
        <f>[1]Data!S2007</f>
        <v>0</v>
      </c>
      <c r="T2007">
        <f t="shared" si="155"/>
        <v>0.11483253588516744</v>
      </c>
      <c r="U2007">
        <f t="shared" si="156"/>
        <v>0</v>
      </c>
      <c r="V2007" s="4" t="str">
        <f t="shared" si="157"/>
        <v>13</v>
      </c>
      <c r="W2007" s="4" t="str">
        <f t="shared" si="158"/>
        <v>4</v>
      </c>
      <c r="X2007" s="4" t="str">
        <f t="shared" si="159"/>
        <v>13NON-HS4</v>
      </c>
      <c r="Y2007">
        <f>VLOOKUP(X2007,Sheet1!$J$5:$K$121,2,FALSE)</f>
        <v>9.0909090909090898E-2</v>
      </c>
    </row>
    <row r="2008" spans="1:25" x14ac:dyDescent="0.25">
      <c r="A2008" s="8">
        <f>[1]Data!A2008</f>
        <v>192520</v>
      </c>
      <c r="B2008" s="8">
        <f>[1]Data!B2008</f>
        <v>4</v>
      </c>
      <c r="C2008" s="8">
        <f>[1]Data!C2008</f>
        <v>13</v>
      </c>
      <c r="D2008" s="8">
        <f>[1]Data!D2008</f>
        <v>2</v>
      </c>
      <c r="E2008" s="8" t="str">
        <f>[1]Data!E2008</f>
        <v>NON-HS</v>
      </c>
      <c r="F2008" s="8" t="str">
        <f>[1]Data!F2008</f>
        <v>Wilshire Center-Koreatown</v>
      </c>
      <c r="G2008" s="8">
        <f>[1]Data!G2008</f>
        <v>0</v>
      </c>
      <c r="H2008" s="8">
        <f>[1]Data!H2008</f>
        <v>0</v>
      </c>
      <c r="I2008" s="8">
        <f>[1]Data!I2008</f>
        <v>1</v>
      </c>
      <c r="J2008" s="8">
        <f>[1]Data!J2008</f>
        <v>0</v>
      </c>
      <c r="K2008" s="8">
        <f>[1]Data!K2008</f>
        <v>1</v>
      </c>
      <c r="L2008" s="8">
        <f>[1]Data!L2008</f>
        <v>0</v>
      </c>
      <c r="M2008" s="8">
        <f>[1]Data!M2008</f>
        <v>1</v>
      </c>
      <c r="N2008" s="8">
        <f>[1]Data!N2008</f>
        <v>2.6315789473684199E-2</v>
      </c>
      <c r="O2008" s="8">
        <f>[1]Data!O2008</f>
        <v>0</v>
      </c>
      <c r="P2008" s="8">
        <f>[1]Data!P2008</f>
        <v>0.144736842105263</v>
      </c>
      <c r="Q2008" s="8">
        <f>[1]Data!Q2008</f>
        <v>0.6875</v>
      </c>
      <c r="R2008" s="8">
        <f>[1]Data!R2008</f>
        <v>9.0909090909090898E-2</v>
      </c>
      <c r="S2008" s="8">
        <f>[1]Data!S2008</f>
        <v>0</v>
      </c>
      <c r="T2008">
        <f t="shared" si="155"/>
        <v>0.11483253588516744</v>
      </c>
      <c r="U2008">
        <f t="shared" si="156"/>
        <v>0</v>
      </c>
      <c r="V2008" s="4" t="str">
        <f t="shared" si="157"/>
        <v>13</v>
      </c>
      <c r="W2008" s="4" t="str">
        <f t="shared" si="158"/>
        <v>4</v>
      </c>
      <c r="X2008" s="4" t="str">
        <f t="shared" si="159"/>
        <v>13NON-HS4</v>
      </c>
      <c r="Y2008">
        <f>VLOOKUP(X2008,Sheet1!$J$5:$K$121,2,FALSE)</f>
        <v>9.0909090909090898E-2</v>
      </c>
    </row>
    <row r="2009" spans="1:25" x14ac:dyDescent="0.25">
      <c r="A2009" s="8">
        <f>[1]Data!A2009</f>
        <v>195500</v>
      </c>
      <c r="B2009" s="8">
        <f>[1]Data!B2009</f>
        <v>4</v>
      </c>
      <c r="C2009" s="8">
        <f>[1]Data!C2009</f>
        <v>13</v>
      </c>
      <c r="D2009" s="8">
        <f>[1]Data!D2009</f>
        <v>1</v>
      </c>
      <c r="E2009" s="8" t="str">
        <f>[1]Data!E2009</f>
        <v>NON-HS</v>
      </c>
      <c r="F2009" s="8" t="str">
        <f>[1]Data!F2009</f>
        <v>Silver Lake</v>
      </c>
      <c r="G2009" s="8">
        <f>[1]Data!G2009</f>
        <v>0</v>
      </c>
      <c r="H2009" s="8">
        <f>[1]Data!H2009</f>
        <v>0</v>
      </c>
      <c r="I2009" s="8">
        <f>[1]Data!I2009</f>
        <v>21.867999999999999</v>
      </c>
      <c r="J2009" s="8">
        <f>[1]Data!J2009</f>
        <v>18.43834743</v>
      </c>
      <c r="K2009" s="8">
        <f>[1]Data!K2009</f>
        <v>21.43834743</v>
      </c>
      <c r="L2009" s="8">
        <f>[1]Data!L2009</f>
        <v>0.428493793859964</v>
      </c>
      <c r="M2009" s="8">
        <f>[1]Data!M2009</f>
        <v>21.86684122386</v>
      </c>
      <c r="N2009" s="8">
        <f>[1]Data!N2009</f>
        <v>2.6315789473684199E-2</v>
      </c>
      <c r="O2009" s="8">
        <f>[1]Data!O2009</f>
        <v>0</v>
      </c>
      <c r="P2009" s="8">
        <f>[1]Data!P2009</f>
        <v>0.144736842105263</v>
      </c>
      <c r="Q2009" s="8">
        <f>[1]Data!Q2009</f>
        <v>0.6875</v>
      </c>
      <c r="R2009" s="8">
        <f>[1]Data!R2009</f>
        <v>9.0909090909090898E-2</v>
      </c>
      <c r="S2009" s="8">
        <f>[1]Data!S2009</f>
        <v>0</v>
      </c>
      <c r="T2009">
        <f t="shared" si="155"/>
        <v>0.11483253588516744</v>
      </c>
      <c r="U2009">
        <f t="shared" si="156"/>
        <v>0</v>
      </c>
      <c r="V2009" s="4" t="str">
        <f t="shared" si="157"/>
        <v>13</v>
      </c>
      <c r="W2009" s="4" t="str">
        <f t="shared" si="158"/>
        <v>4</v>
      </c>
      <c r="X2009" s="4" t="str">
        <f t="shared" si="159"/>
        <v>13NON-HS4</v>
      </c>
      <c r="Y2009">
        <f>VLOOKUP(X2009,Sheet1!$J$5:$K$121,2,FALSE)</f>
        <v>9.0909090909090898E-2</v>
      </c>
    </row>
    <row r="2010" spans="1:25" x14ac:dyDescent="0.25">
      <c r="A2010" s="8">
        <f>[1]Data!A2010</f>
        <v>195803</v>
      </c>
      <c r="B2010" s="8">
        <f>[1]Data!B2010</f>
        <v>4</v>
      </c>
      <c r="C2010" s="8">
        <f>[1]Data!C2010</f>
        <v>13</v>
      </c>
      <c r="D2010" s="8">
        <f>[1]Data!D2010</f>
        <v>1</v>
      </c>
      <c r="E2010" s="8" t="str">
        <f>[1]Data!E2010</f>
        <v>NON-HS</v>
      </c>
      <c r="F2010" s="8" t="str">
        <f>[1]Data!F2010</f>
        <v>Silver Lake</v>
      </c>
      <c r="G2010" s="8">
        <f>[1]Data!G2010</f>
        <v>0</v>
      </c>
      <c r="H2010" s="8">
        <f>[1]Data!H2010</f>
        <v>0</v>
      </c>
      <c r="I2010" s="8">
        <f>[1]Data!I2010</f>
        <v>6.19</v>
      </c>
      <c r="J2010" s="8">
        <f>[1]Data!J2010</f>
        <v>3.9673993200000002</v>
      </c>
      <c r="K2010" s="8">
        <f>[1]Data!K2010</f>
        <v>5.9673993200000002</v>
      </c>
      <c r="L2010" s="8">
        <f>[1]Data!L2010</f>
        <v>0.22234520276481101</v>
      </c>
      <c r="M2010" s="8">
        <f>[1]Data!M2010</f>
        <v>6.1897445227648102</v>
      </c>
      <c r="N2010" s="8">
        <f>[1]Data!N2010</f>
        <v>2.6315789473684199E-2</v>
      </c>
      <c r="O2010" s="8">
        <f>[1]Data!O2010</f>
        <v>0</v>
      </c>
      <c r="P2010" s="8">
        <f>[1]Data!P2010</f>
        <v>0.144736842105263</v>
      </c>
      <c r="Q2010" s="8">
        <f>[1]Data!Q2010</f>
        <v>0.6875</v>
      </c>
      <c r="R2010" s="8">
        <f>[1]Data!R2010</f>
        <v>9.0909090909090898E-2</v>
      </c>
      <c r="S2010" s="8">
        <f>[1]Data!S2010</f>
        <v>0</v>
      </c>
      <c r="T2010">
        <f t="shared" si="155"/>
        <v>0.11483253588516744</v>
      </c>
      <c r="U2010">
        <f t="shared" si="156"/>
        <v>0</v>
      </c>
      <c r="V2010" s="4" t="str">
        <f t="shared" si="157"/>
        <v>13</v>
      </c>
      <c r="W2010" s="4" t="str">
        <f t="shared" si="158"/>
        <v>4</v>
      </c>
      <c r="X2010" s="4" t="str">
        <f t="shared" si="159"/>
        <v>13NON-HS4</v>
      </c>
      <c r="Y2010">
        <f>VLOOKUP(X2010,Sheet1!$J$5:$K$121,2,FALSE)</f>
        <v>9.0909090909090898E-2</v>
      </c>
    </row>
    <row r="2011" spans="1:25" x14ac:dyDescent="0.25">
      <c r="A2011" s="8">
        <f>[1]Data!A2011</f>
        <v>195901</v>
      </c>
      <c r="B2011" s="8">
        <f>[1]Data!B2011</f>
        <v>4</v>
      </c>
      <c r="C2011" s="8">
        <f>[1]Data!C2011</f>
        <v>13</v>
      </c>
      <c r="D2011" s="8">
        <f>[1]Data!D2011</f>
        <v>1</v>
      </c>
      <c r="E2011" s="8" t="str">
        <f>[1]Data!E2011</f>
        <v>NON-HS</v>
      </c>
      <c r="F2011" s="8" t="str">
        <f>[1]Data!F2011</f>
        <v>Silver Lake</v>
      </c>
      <c r="G2011" s="8">
        <f>[1]Data!G2011</f>
        <v>0</v>
      </c>
      <c r="H2011" s="8">
        <f>[1]Data!H2011</f>
        <v>0</v>
      </c>
      <c r="I2011" s="8">
        <f>[1]Data!I2011</f>
        <v>7.4939999999999998</v>
      </c>
      <c r="J2011" s="8">
        <f>[1]Data!J2011</f>
        <v>5.1560284000000003</v>
      </c>
      <c r="K2011" s="8">
        <f>[1]Data!K2011</f>
        <v>7.1560284000000003</v>
      </c>
      <c r="L2011" s="8">
        <f>[1]Data!L2011</f>
        <v>0.33761011780969502</v>
      </c>
      <c r="M2011" s="8">
        <f>[1]Data!M2011</f>
        <v>7.4936385178096998</v>
      </c>
      <c r="N2011" s="8">
        <f>[1]Data!N2011</f>
        <v>2.6315789473684199E-2</v>
      </c>
      <c r="O2011" s="8">
        <f>[1]Data!O2011</f>
        <v>0</v>
      </c>
      <c r="P2011" s="8">
        <f>[1]Data!P2011</f>
        <v>0.144736842105263</v>
      </c>
      <c r="Q2011" s="8">
        <f>[1]Data!Q2011</f>
        <v>0.6875</v>
      </c>
      <c r="R2011" s="8">
        <f>[1]Data!R2011</f>
        <v>9.0909090909090898E-2</v>
      </c>
      <c r="S2011" s="8">
        <f>[1]Data!S2011</f>
        <v>0</v>
      </c>
      <c r="T2011">
        <f t="shared" si="155"/>
        <v>0.11483253588516744</v>
      </c>
      <c r="U2011">
        <f t="shared" si="156"/>
        <v>0</v>
      </c>
      <c r="V2011" s="4" t="str">
        <f t="shared" si="157"/>
        <v>13</v>
      </c>
      <c r="W2011" s="4" t="str">
        <f t="shared" si="158"/>
        <v>4</v>
      </c>
      <c r="X2011" s="4" t="str">
        <f t="shared" si="159"/>
        <v>13NON-HS4</v>
      </c>
      <c r="Y2011">
        <f>VLOOKUP(X2011,Sheet1!$J$5:$K$121,2,FALSE)</f>
        <v>9.0909090909090898E-2</v>
      </c>
    </row>
    <row r="2012" spans="1:25" x14ac:dyDescent="0.25">
      <c r="A2012" s="8">
        <f>[1]Data!A2012</f>
        <v>197200</v>
      </c>
      <c r="B2012" s="8">
        <f>[1]Data!B2012</f>
        <v>4</v>
      </c>
      <c r="C2012" s="8">
        <f>[1]Data!C2012</f>
        <v>13</v>
      </c>
      <c r="D2012" s="8">
        <f>[1]Data!D2012</f>
        <v>1</v>
      </c>
      <c r="E2012" s="8" t="str">
        <f>[1]Data!E2012</f>
        <v>NON-HS</v>
      </c>
      <c r="F2012" s="8" t="str">
        <f>[1]Data!F2012</f>
        <v>Elysian Valley</v>
      </c>
      <c r="G2012" s="8">
        <f>[1]Data!G2012</f>
        <v>0</v>
      </c>
      <c r="H2012" s="8">
        <f>[1]Data!H2012</f>
        <v>0</v>
      </c>
      <c r="I2012" s="8">
        <f>[1]Data!I2012</f>
        <v>20.446999999999999</v>
      </c>
      <c r="J2012" s="8">
        <f>[1]Data!J2012</f>
        <v>12.35201125</v>
      </c>
      <c r="K2012" s="8">
        <f>[1]Data!K2012</f>
        <v>19.35201125</v>
      </c>
      <c r="L2012" s="8">
        <f>[1]Data!L2012</f>
        <v>1.09487014850987</v>
      </c>
      <c r="M2012" s="8">
        <f>[1]Data!M2012</f>
        <v>20.446881398509898</v>
      </c>
      <c r="N2012" s="8">
        <f>[1]Data!N2012</f>
        <v>2.6315789473684199E-2</v>
      </c>
      <c r="O2012" s="8">
        <f>[1]Data!O2012</f>
        <v>0</v>
      </c>
      <c r="P2012" s="8">
        <f>[1]Data!P2012</f>
        <v>0.144736842105263</v>
      </c>
      <c r="Q2012" s="8">
        <f>[1]Data!Q2012</f>
        <v>0.6875</v>
      </c>
      <c r="R2012" s="8">
        <f>[1]Data!R2012</f>
        <v>9.0909090909090898E-2</v>
      </c>
      <c r="S2012" s="8">
        <f>[1]Data!S2012</f>
        <v>0</v>
      </c>
      <c r="T2012">
        <f t="shared" si="155"/>
        <v>0.11483253588516744</v>
      </c>
      <c r="U2012">
        <f t="shared" si="156"/>
        <v>0</v>
      </c>
      <c r="V2012" s="4" t="str">
        <f t="shared" si="157"/>
        <v>13</v>
      </c>
      <c r="W2012" s="4" t="str">
        <f t="shared" si="158"/>
        <v>4</v>
      </c>
      <c r="X2012" s="4" t="str">
        <f t="shared" si="159"/>
        <v>13NON-HS4</v>
      </c>
      <c r="Y2012">
        <f>VLOOKUP(X2012,Sheet1!$J$5:$K$121,2,FALSE)</f>
        <v>9.0909090909090898E-2</v>
      </c>
    </row>
    <row r="2013" spans="1:25" x14ac:dyDescent="0.25">
      <c r="A2013" s="8">
        <f>[1]Data!A2013</f>
        <v>197300</v>
      </c>
      <c r="B2013" s="8">
        <f>[1]Data!B2013</f>
        <v>4</v>
      </c>
      <c r="C2013" s="8">
        <f>[1]Data!C2013</f>
        <v>13</v>
      </c>
      <c r="D2013" s="8">
        <f>[1]Data!D2013</f>
        <v>1</v>
      </c>
      <c r="E2013" s="8" t="str">
        <f>[1]Data!E2013</f>
        <v>NON-HS</v>
      </c>
      <c r="F2013" s="8" t="str">
        <f>[1]Data!F2013</f>
        <v>Echo Park</v>
      </c>
      <c r="G2013" s="8">
        <f>[1]Data!G2013</f>
        <v>0</v>
      </c>
      <c r="H2013" s="8">
        <f>[1]Data!H2013</f>
        <v>0</v>
      </c>
      <c r="I2013" s="8">
        <f>[1]Data!I2013</f>
        <v>1.7030000000000001</v>
      </c>
      <c r="J2013" s="8">
        <f>[1]Data!J2013</f>
        <v>1.6812916200000001</v>
      </c>
      <c r="K2013" s="8">
        <f>[1]Data!K2013</f>
        <v>1.6812916200000001</v>
      </c>
      <c r="L2013" s="8">
        <f>[1]Data!L2013</f>
        <v>2.14919317594255E-2</v>
      </c>
      <c r="M2013" s="8">
        <f>[1]Data!M2013</f>
        <v>1.7027835517594301</v>
      </c>
      <c r="N2013" s="8">
        <f>[1]Data!N2013</f>
        <v>2.6315789473684199E-2</v>
      </c>
      <c r="O2013" s="8">
        <f>[1]Data!O2013</f>
        <v>0</v>
      </c>
      <c r="P2013" s="8">
        <f>[1]Data!P2013</f>
        <v>0.144736842105263</v>
      </c>
      <c r="Q2013" s="8">
        <f>[1]Data!Q2013</f>
        <v>0.6875</v>
      </c>
      <c r="R2013" s="8">
        <f>[1]Data!R2013</f>
        <v>9.0909090909090898E-2</v>
      </c>
      <c r="S2013" s="8">
        <f>[1]Data!S2013</f>
        <v>0</v>
      </c>
      <c r="T2013">
        <f t="shared" si="155"/>
        <v>0.11483253588516744</v>
      </c>
      <c r="U2013">
        <f t="shared" si="156"/>
        <v>0</v>
      </c>
      <c r="V2013" s="4" t="str">
        <f t="shared" si="157"/>
        <v>13</v>
      </c>
      <c r="W2013" s="4" t="str">
        <f t="shared" si="158"/>
        <v>4</v>
      </c>
      <c r="X2013" s="4" t="str">
        <f t="shared" si="159"/>
        <v>13NON-HS4</v>
      </c>
      <c r="Y2013">
        <f>VLOOKUP(X2013,Sheet1!$J$5:$K$121,2,FALSE)</f>
        <v>9.0909090909090898E-2</v>
      </c>
    </row>
    <row r="2014" spans="1:25" x14ac:dyDescent="0.25">
      <c r="A2014" s="8">
        <f>[1]Data!A2014</f>
        <v>197410</v>
      </c>
      <c r="B2014" s="8">
        <f>[1]Data!B2014</f>
        <v>4</v>
      </c>
      <c r="C2014" s="8">
        <f>[1]Data!C2014</f>
        <v>13</v>
      </c>
      <c r="D2014" s="8">
        <f>[1]Data!D2014</f>
        <v>1</v>
      </c>
      <c r="E2014" s="8" t="str">
        <f>[1]Data!E2014</f>
        <v>NON-HS</v>
      </c>
      <c r="F2014" s="8" t="str">
        <f>[1]Data!F2014</f>
        <v>Echo Park</v>
      </c>
      <c r="G2014" s="8">
        <f>[1]Data!G2014</f>
        <v>0</v>
      </c>
      <c r="H2014" s="8">
        <f>[1]Data!H2014</f>
        <v>0</v>
      </c>
      <c r="I2014" s="8">
        <f>[1]Data!I2014</f>
        <v>8.4939999999999998</v>
      </c>
      <c r="J2014" s="8">
        <f>[1]Data!J2014</f>
        <v>5.1560284000000003</v>
      </c>
      <c r="K2014" s="8">
        <f>[1]Data!K2014</f>
        <v>8.1560284000000003</v>
      </c>
      <c r="L2014" s="8">
        <f>[1]Data!L2014</f>
        <v>0.33761011780969502</v>
      </c>
      <c r="M2014" s="8">
        <f>[1]Data!M2014</f>
        <v>8.4936385178096891</v>
      </c>
      <c r="N2014" s="8">
        <f>[1]Data!N2014</f>
        <v>2.6315789473684199E-2</v>
      </c>
      <c r="O2014" s="8">
        <f>[1]Data!O2014</f>
        <v>0</v>
      </c>
      <c r="P2014" s="8">
        <f>[1]Data!P2014</f>
        <v>0.144736842105263</v>
      </c>
      <c r="Q2014" s="8">
        <f>[1]Data!Q2014</f>
        <v>0.6875</v>
      </c>
      <c r="R2014" s="8">
        <f>[1]Data!R2014</f>
        <v>9.0909090909090898E-2</v>
      </c>
      <c r="S2014" s="8">
        <f>[1]Data!S2014</f>
        <v>0</v>
      </c>
      <c r="T2014">
        <f t="shared" si="155"/>
        <v>0.11483253588516744</v>
      </c>
      <c r="U2014">
        <f t="shared" si="156"/>
        <v>0</v>
      </c>
      <c r="V2014" s="4" t="str">
        <f t="shared" si="157"/>
        <v>13</v>
      </c>
      <c r="W2014" s="4" t="str">
        <f t="shared" si="158"/>
        <v>4</v>
      </c>
      <c r="X2014" s="4" t="str">
        <f t="shared" si="159"/>
        <v>13NON-HS4</v>
      </c>
      <c r="Y2014">
        <f>VLOOKUP(X2014,Sheet1!$J$5:$K$121,2,FALSE)</f>
        <v>9.0909090909090898E-2</v>
      </c>
    </row>
    <row r="2015" spans="1:25" x14ac:dyDescent="0.25">
      <c r="A2015" s="8">
        <f>[1]Data!A2015</f>
        <v>197420</v>
      </c>
      <c r="B2015" s="8">
        <f>[1]Data!B2015</f>
        <v>4</v>
      </c>
      <c r="C2015" s="8">
        <f>[1]Data!C2015</f>
        <v>13</v>
      </c>
      <c r="D2015" s="8">
        <f>[1]Data!D2015</f>
        <v>1</v>
      </c>
      <c r="E2015" s="8" t="str">
        <f>[1]Data!E2015</f>
        <v>NON-HS</v>
      </c>
      <c r="F2015" s="8" t="str">
        <f>[1]Data!F2015</f>
        <v>Echo Park</v>
      </c>
      <c r="G2015" s="8">
        <f>[1]Data!G2015</f>
        <v>0</v>
      </c>
      <c r="H2015" s="8">
        <f>[1]Data!H2015</f>
        <v>0</v>
      </c>
      <c r="I2015" s="8">
        <f>[1]Data!I2015</f>
        <v>4</v>
      </c>
      <c r="J2015" s="8">
        <f>[1]Data!J2015</f>
        <v>0</v>
      </c>
      <c r="K2015" s="8">
        <f>[1]Data!K2015</f>
        <v>4</v>
      </c>
      <c r="L2015" s="8">
        <f>[1]Data!L2015</f>
        <v>0</v>
      </c>
      <c r="M2015" s="8">
        <f>[1]Data!M2015</f>
        <v>4</v>
      </c>
      <c r="N2015" s="8">
        <f>[1]Data!N2015</f>
        <v>2.6315789473684199E-2</v>
      </c>
      <c r="O2015" s="8">
        <f>[1]Data!O2015</f>
        <v>0</v>
      </c>
      <c r="P2015" s="8">
        <f>[1]Data!P2015</f>
        <v>0.144736842105263</v>
      </c>
      <c r="Q2015" s="8">
        <f>[1]Data!Q2015</f>
        <v>0.6875</v>
      </c>
      <c r="R2015" s="8">
        <f>[1]Data!R2015</f>
        <v>9.0909090909090898E-2</v>
      </c>
      <c r="S2015" s="8">
        <f>[1]Data!S2015</f>
        <v>0</v>
      </c>
      <c r="T2015">
        <f t="shared" si="155"/>
        <v>0.11483253588516744</v>
      </c>
      <c r="U2015">
        <f t="shared" si="156"/>
        <v>0</v>
      </c>
      <c r="V2015" s="4" t="str">
        <f t="shared" si="157"/>
        <v>13</v>
      </c>
      <c r="W2015" s="4" t="str">
        <f t="shared" si="158"/>
        <v>4</v>
      </c>
      <c r="X2015" s="4" t="str">
        <f t="shared" si="159"/>
        <v>13NON-HS4</v>
      </c>
      <c r="Y2015">
        <f>VLOOKUP(X2015,Sheet1!$J$5:$K$121,2,FALSE)</f>
        <v>9.0909090909090898E-2</v>
      </c>
    </row>
    <row r="2016" spans="1:25" x14ac:dyDescent="0.25">
      <c r="A2016" s="8">
        <f>[1]Data!A2016</f>
        <v>190301</v>
      </c>
      <c r="B2016" s="8">
        <f>[1]Data!B2016</f>
        <v>11</v>
      </c>
      <c r="C2016" s="8">
        <f>[1]Data!C2016</f>
        <v>13</v>
      </c>
      <c r="D2016" s="8">
        <f>[1]Data!D2016</f>
        <v>3</v>
      </c>
      <c r="E2016" s="8" t="str">
        <f>[1]Data!E2016</f>
        <v>NON-HS</v>
      </c>
      <c r="F2016" s="8" t="str">
        <f>[1]Data!F2016</f>
        <v>Hollywood</v>
      </c>
      <c r="G2016" s="8">
        <f>[1]Data!G2016</f>
        <v>0</v>
      </c>
      <c r="H2016" s="8">
        <f>[1]Data!H2016</f>
        <v>0</v>
      </c>
      <c r="I2016" s="8">
        <f>[1]Data!I2016</f>
        <v>5.9260000000000002</v>
      </c>
      <c r="J2016" s="8">
        <f>[1]Data!J2016</f>
        <v>1.90487994</v>
      </c>
      <c r="K2016" s="8">
        <f>[1]Data!K2016</f>
        <v>5.9048799399999998</v>
      </c>
      <c r="L2016" s="8">
        <f>[1]Data!L2016</f>
        <v>2.0625322082585301E-2</v>
      </c>
      <c r="M2016" s="8">
        <f>[1]Data!M2016</f>
        <v>5.9255052620825897</v>
      </c>
      <c r="N2016" s="8">
        <f>[1]Data!N2016</f>
        <v>7.69230769230769E-2</v>
      </c>
      <c r="O2016" s="8">
        <f>[1]Data!O2016</f>
        <v>0</v>
      </c>
      <c r="P2016" s="8">
        <f>[1]Data!P2016</f>
        <v>0.76923076923076905</v>
      </c>
      <c r="Q2016" s="8">
        <f>[1]Data!Q2016</f>
        <v>0.3125</v>
      </c>
      <c r="R2016" s="8">
        <f>[1]Data!R2016</f>
        <v>0</v>
      </c>
      <c r="S2016" s="8">
        <f>[1]Data!S2016</f>
        <v>0</v>
      </c>
      <c r="T2016">
        <f t="shared" si="155"/>
        <v>7.69230769230769E-2</v>
      </c>
      <c r="U2016">
        <f t="shared" si="156"/>
        <v>0</v>
      </c>
      <c r="V2016" s="4" t="str">
        <f t="shared" si="157"/>
        <v>13</v>
      </c>
      <c r="W2016" s="4" t="str">
        <f t="shared" si="158"/>
        <v>11</v>
      </c>
      <c r="X2016" s="4" t="str">
        <f t="shared" si="159"/>
        <v>13NON-HS11</v>
      </c>
      <c r="Y2016">
        <f>VLOOKUP(X2016,Sheet1!$J$5:$K$121,2,FALSE)</f>
        <v>0</v>
      </c>
    </row>
    <row r="2017" spans="1:25" x14ac:dyDescent="0.25">
      <c r="A2017" s="8">
        <f>[1]Data!A2017</f>
        <v>190520</v>
      </c>
      <c r="B2017" s="8">
        <f>[1]Data!B2017</f>
        <v>11</v>
      </c>
      <c r="C2017" s="8">
        <f>[1]Data!C2017</f>
        <v>13</v>
      </c>
      <c r="D2017" s="8">
        <f>[1]Data!D2017</f>
        <v>3</v>
      </c>
      <c r="E2017" s="8" t="str">
        <f>[1]Data!E2017</f>
        <v>NON-HS</v>
      </c>
      <c r="F2017" s="8" t="str">
        <f>[1]Data!F2017</f>
        <v>Hollywood</v>
      </c>
      <c r="G2017" s="8">
        <f>[1]Data!G2017</f>
        <v>0</v>
      </c>
      <c r="H2017" s="8">
        <f>[1]Data!H2017</f>
        <v>0</v>
      </c>
      <c r="I2017" s="8">
        <f>[1]Data!I2017</f>
        <v>1.8080000000000001</v>
      </c>
      <c r="J2017" s="8">
        <f>[1]Data!J2017</f>
        <v>1.73313217</v>
      </c>
      <c r="K2017" s="8">
        <f>[1]Data!K2017</f>
        <v>1.73313217</v>
      </c>
      <c r="L2017" s="8">
        <f>[1]Data!L2017</f>
        <v>7.4985510287253102E-2</v>
      </c>
      <c r="M2017" s="8">
        <f>[1]Data!M2017</f>
        <v>1.8081176802872501</v>
      </c>
      <c r="N2017" s="8">
        <f>[1]Data!N2017</f>
        <v>7.69230769230769E-2</v>
      </c>
      <c r="O2017" s="8">
        <f>[1]Data!O2017</f>
        <v>0</v>
      </c>
      <c r="P2017" s="8">
        <f>[1]Data!P2017</f>
        <v>0.76923076923076905</v>
      </c>
      <c r="Q2017" s="8">
        <f>[1]Data!Q2017</f>
        <v>0.3125</v>
      </c>
      <c r="R2017" s="8">
        <f>[1]Data!R2017</f>
        <v>0</v>
      </c>
      <c r="S2017" s="8">
        <f>[1]Data!S2017</f>
        <v>0</v>
      </c>
      <c r="T2017">
        <f t="shared" si="155"/>
        <v>7.69230769230769E-2</v>
      </c>
      <c r="U2017">
        <f t="shared" si="156"/>
        <v>0</v>
      </c>
      <c r="V2017" s="4" t="str">
        <f t="shared" si="157"/>
        <v>13</v>
      </c>
      <c r="W2017" s="4" t="str">
        <f t="shared" si="158"/>
        <v>11</v>
      </c>
      <c r="X2017" s="4" t="str">
        <f t="shared" si="159"/>
        <v>13NON-HS11</v>
      </c>
      <c r="Y2017">
        <f>VLOOKUP(X2017,Sheet1!$J$5:$K$121,2,FALSE)</f>
        <v>0</v>
      </c>
    </row>
    <row r="2018" spans="1:25" x14ac:dyDescent="0.25">
      <c r="A2018" s="8">
        <f>[1]Data!A2018</f>
        <v>190902</v>
      </c>
      <c r="B2018" s="8">
        <f>[1]Data!B2018</f>
        <v>11</v>
      </c>
      <c r="C2018" s="8">
        <f>[1]Data!C2018</f>
        <v>13</v>
      </c>
      <c r="D2018" s="8">
        <f>[1]Data!D2018</f>
        <v>3</v>
      </c>
      <c r="E2018" s="8" t="str">
        <f>[1]Data!E2018</f>
        <v>NON-HS</v>
      </c>
      <c r="F2018" s="8" t="str">
        <f>[1]Data!F2018</f>
        <v>Hollywood</v>
      </c>
      <c r="G2018" s="8">
        <f>[1]Data!G2018</f>
        <v>1</v>
      </c>
      <c r="H2018" s="8">
        <f>[1]Data!H2018</f>
        <v>1</v>
      </c>
      <c r="I2018" s="8">
        <f>[1]Data!I2018</f>
        <v>28.312000000000001</v>
      </c>
      <c r="J2018" s="8">
        <f>[1]Data!J2018</f>
        <v>24.03006495</v>
      </c>
      <c r="K2018" s="8">
        <f>[1]Data!K2018</f>
        <v>27.03006495</v>
      </c>
      <c r="L2018" s="8">
        <f>[1]Data!L2018</f>
        <v>1.2807707478096999</v>
      </c>
      <c r="M2018" s="8">
        <f>[1]Data!M2018</f>
        <v>28.310835697809701</v>
      </c>
      <c r="N2018" s="8">
        <f>[1]Data!N2018</f>
        <v>7.69230769230769E-2</v>
      </c>
      <c r="O2018" s="8">
        <f>[1]Data!O2018</f>
        <v>13</v>
      </c>
      <c r="P2018" s="8">
        <f>[1]Data!P2018</f>
        <v>0.76923076923076905</v>
      </c>
      <c r="Q2018" s="8">
        <f>[1]Data!Q2018</f>
        <v>0.3125</v>
      </c>
      <c r="R2018" s="8">
        <f>[1]Data!R2018</f>
        <v>0</v>
      </c>
      <c r="S2018" s="8">
        <f>[1]Data!S2018</f>
        <v>0</v>
      </c>
      <c r="T2018">
        <f t="shared" si="155"/>
        <v>7.69230769230769E-2</v>
      </c>
      <c r="U2018">
        <f t="shared" si="156"/>
        <v>13.000000000000004</v>
      </c>
      <c r="V2018" s="4" t="str">
        <f t="shared" si="157"/>
        <v>13</v>
      </c>
      <c r="W2018" s="4" t="str">
        <f t="shared" si="158"/>
        <v>11</v>
      </c>
      <c r="X2018" s="4" t="str">
        <f t="shared" si="159"/>
        <v>13NON-HS11</v>
      </c>
      <c r="Y2018">
        <f>VLOOKUP(X2018,Sheet1!$J$5:$K$121,2,FALSE)</f>
        <v>0</v>
      </c>
    </row>
    <row r="2019" spans="1:25" x14ac:dyDescent="0.25">
      <c r="A2019" s="8">
        <f>[1]Data!A2019</f>
        <v>191203</v>
      </c>
      <c r="B2019" s="8">
        <f>[1]Data!B2019</f>
        <v>11</v>
      </c>
      <c r="C2019" s="8">
        <f>[1]Data!C2019</f>
        <v>13</v>
      </c>
      <c r="D2019" s="8">
        <f>[1]Data!D2019</f>
        <v>3</v>
      </c>
      <c r="E2019" s="8" t="str">
        <f>[1]Data!E2019</f>
        <v>NON-HS</v>
      </c>
      <c r="F2019" s="8" t="str">
        <f>[1]Data!F2019</f>
        <v>Hollywood</v>
      </c>
      <c r="G2019" s="8">
        <f>[1]Data!G2019</f>
        <v>0</v>
      </c>
      <c r="H2019" s="8">
        <f>[1]Data!H2019</f>
        <v>0</v>
      </c>
      <c r="I2019" s="8">
        <f>[1]Data!I2019</f>
        <v>24.521999999999998</v>
      </c>
      <c r="J2019" s="8">
        <f>[1]Data!J2019</f>
        <v>19.325627430000001</v>
      </c>
      <c r="K2019" s="8">
        <f>[1]Data!K2019</f>
        <v>23.325627430000001</v>
      </c>
      <c r="L2019" s="8">
        <f>[1]Data!L2019</f>
        <v>1.1964111436265701</v>
      </c>
      <c r="M2019" s="8">
        <f>[1]Data!M2019</f>
        <v>24.522038573626599</v>
      </c>
      <c r="N2019" s="8">
        <f>[1]Data!N2019</f>
        <v>7.69230769230769E-2</v>
      </c>
      <c r="O2019" s="8">
        <f>[1]Data!O2019</f>
        <v>0</v>
      </c>
      <c r="P2019" s="8">
        <f>[1]Data!P2019</f>
        <v>0.76923076923076905</v>
      </c>
      <c r="Q2019" s="8">
        <f>[1]Data!Q2019</f>
        <v>0.3125</v>
      </c>
      <c r="R2019" s="8">
        <f>[1]Data!R2019</f>
        <v>0</v>
      </c>
      <c r="S2019" s="8">
        <f>[1]Data!S2019</f>
        <v>0</v>
      </c>
      <c r="T2019">
        <f t="shared" si="155"/>
        <v>7.69230769230769E-2</v>
      </c>
      <c r="U2019">
        <f t="shared" si="156"/>
        <v>0</v>
      </c>
      <c r="V2019" s="4" t="str">
        <f t="shared" si="157"/>
        <v>13</v>
      </c>
      <c r="W2019" s="4" t="str">
        <f t="shared" si="158"/>
        <v>11</v>
      </c>
      <c r="X2019" s="4" t="str">
        <f t="shared" si="159"/>
        <v>13NON-HS11</v>
      </c>
      <c r="Y2019">
        <f>VLOOKUP(X2019,Sheet1!$J$5:$K$121,2,FALSE)</f>
        <v>0</v>
      </c>
    </row>
    <row r="2020" spans="1:25" x14ac:dyDescent="0.25">
      <c r="A2020" s="8">
        <f>[1]Data!A2020</f>
        <v>191204</v>
      </c>
      <c r="B2020" s="8">
        <f>[1]Data!B2020</f>
        <v>11</v>
      </c>
      <c r="C2020" s="8">
        <f>[1]Data!C2020</f>
        <v>13</v>
      </c>
      <c r="D2020" s="8">
        <f>[1]Data!D2020</f>
        <v>3</v>
      </c>
      <c r="E2020" s="8" t="str">
        <f>[1]Data!E2020</f>
        <v>NON-HS</v>
      </c>
      <c r="F2020" s="8" t="str">
        <f>[1]Data!F2020</f>
        <v>Hollywood</v>
      </c>
      <c r="G2020" s="8">
        <f>[1]Data!G2020</f>
        <v>0</v>
      </c>
      <c r="H2020" s="8">
        <f>[1]Data!H2020</f>
        <v>0</v>
      </c>
      <c r="I2020" s="8">
        <f>[1]Data!I2020</f>
        <v>6.9889999999999999</v>
      </c>
      <c r="J2020" s="8">
        <f>[1]Data!J2020</f>
        <v>4.6115253100000002</v>
      </c>
      <c r="K2020" s="8">
        <f>[1]Data!K2020</f>
        <v>6.6115253100000002</v>
      </c>
      <c r="L2020" s="8">
        <f>[1]Data!L2020</f>
        <v>0.377889522567325</v>
      </c>
      <c r="M2020" s="8">
        <f>[1]Data!M2020</f>
        <v>6.9894148325673298</v>
      </c>
      <c r="N2020" s="8">
        <f>[1]Data!N2020</f>
        <v>7.69230769230769E-2</v>
      </c>
      <c r="O2020" s="8">
        <f>[1]Data!O2020</f>
        <v>0</v>
      </c>
      <c r="P2020" s="8">
        <f>[1]Data!P2020</f>
        <v>0.76923076923076905</v>
      </c>
      <c r="Q2020" s="8">
        <f>[1]Data!Q2020</f>
        <v>0.3125</v>
      </c>
      <c r="R2020" s="8">
        <f>[1]Data!R2020</f>
        <v>0</v>
      </c>
      <c r="S2020" s="8">
        <f>[1]Data!S2020</f>
        <v>0</v>
      </c>
      <c r="T2020">
        <f t="shared" si="155"/>
        <v>7.69230769230769E-2</v>
      </c>
      <c r="U2020">
        <f t="shared" si="156"/>
        <v>0</v>
      </c>
      <c r="V2020" s="4" t="str">
        <f t="shared" si="157"/>
        <v>13</v>
      </c>
      <c r="W2020" s="4" t="str">
        <f t="shared" si="158"/>
        <v>11</v>
      </c>
      <c r="X2020" s="4" t="str">
        <f t="shared" si="159"/>
        <v>13NON-HS11</v>
      </c>
      <c r="Y2020">
        <f>VLOOKUP(X2020,Sheet1!$J$5:$K$121,2,FALSE)</f>
        <v>0</v>
      </c>
    </row>
    <row r="2021" spans="1:25" x14ac:dyDescent="0.25">
      <c r="A2021" s="8">
        <f>[1]Data!A2021</f>
        <v>191302</v>
      </c>
      <c r="B2021" s="8">
        <f>[1]Data!B2021</f>
        <v>11</v>
      </c>
      <c r="C2021" s="8">
        <f>[1]Data!C2021</f>
        <v>13</v>
      </c>
      <c r="D2021" s="8">
        <f>[1]Data!D2021</f>
        <v>3</v>
      </c>
      <c r="E2021" s="8" t="str">
        <f>[1]Data!E2021</f>
        <v>NON-HS</v>
      </c>
      <c r="F2021" s="8" t="str">
        <f>[1]Data!F2021</f>
        <v>Hollywood</v>
      </c>
      <c r="G2021" s="8">
        <f>[1]Data!G2021</f>
        <v>0</v>
      </c>
      <c r="H2021" s="8">
        <f>[1]Data!H2021</f>
        <v>0</v>
      </c>
      <c r="I2021" s="8">
        <f>[1]Data!I2021</f>
        <v>24.010999999999999</v>
      </c>
      <c r="J2021" s="8">
        <f>[1]Data!J2021</f>
        <v>14.698934830000001</v>
      </c>
      <c r="K2021" s="8">
        <f>[1]Data!K2021</f>
        <v>23.698934829999999</v>
      </c>
      <c r="L2021" s="8">
        <f>[1]Data!L2021</f>
        <v>0.31164326351885102</v>
      </c>
      <c r="M2021" s="8">
        <f>[1]Data!M2021</f>
        <v>24.010578093518799</v>
      </c>
      <c r="N2021" s="8">
        <f>[1]Data!N2021</f>
        <v>7.69230769230769E-2</v>
      </c>
      <c r="O2021" s="8">
        <f>[1]Data!O2021</f>
        <v>0</v>
      </c>
      <c r="P2021" s="8">
        <f>[1]Data!P2021</f>
        <v>0.76923076923076905</v>
      </c>
      <c r="Q2021" s="8">
        <f>[1]Data!Q2021</f>
        <v>0.3125</v>
      </c>
      <c r="R2021" s="8">
        <f>[1]Data!R2021</f>
        <v>0</v>
      </c>
      <c r="S2021" s="8">
        <f>[1]Data!S2021</f>
        <v>0</v>
      </c>
      <c r="T2021">
        <f t="shared" si="155"/>
        <v>7.69230769230769E-2</v>
      </c>
      <c r="U2021">
        <f t="shared" si="156"/>
        <v>0</v>
      </c>
      <c r="V2021" s="4" t="str">
        <f t="shared" si="157"/>
        <v>13</v>
      </c>
      <c r="W2021" s="4" t="str">
        <f t="shared" si="158"/>
        <v>11</v>
      </c>
      <c r="X2021" s="4" t="str">
        <f t="shared" si="159"/>
        <v>13NON-HS11</v>
      </c>
      <c r="Y2021">
        <f>VLOOKUP(X2021,Sheet1!$J$5:$K$121,2,FALSE)</f>
        <v>0</v>
      </c>
    </row>
    <row r="2022" spans="1:25" x14ac:dyDescent="0.25">
      <c r="A2022" s="8">
        <f>[1]Data!A2022</f>
        <v>191410</v>
      </c>
      <c r="B2022" s="8">
        <f>[1]Data!B2022</f>
        <v>11</v>
      </c>
      <c r="C2022" s="8">
        <f>[1]Data!C2022</f>
        <v>13</v>
      </c>
      <c r="D2022" s="8">
        <f>[1]Data!D2022</f>
        <v>3</v>
      </c>
      <c r="E2022" s="8" t="str">
        <f>[1]Data!E2022</f>
        <v>NON-HS</v>
      </c>
      <c r="F2022" s="8" t="str">
        <f>[1]Data!F2022</f>
        <v>Hollywood</v>
      </c>
      <c r="G2022" s="8">
        <f>[1]Data!G2022</f>
        <v>0</v>
      </c>
      <c r="H2022" s="8">
        <f>[1]Data!H2022</f>
        <v>0</v>
      </c>
      <c r="I2022" s="8">
        <f>[1]Data!I2022</f>
        <v>12.11</v>
      </c>
      <c r="J2022" s="8">
        <f>[1]Data!J2022</f>
        <v>8.6222927400000007</v>
      </c>
      <c r="K2022" s="8">
        <f>[1]Data!K2022</f>
        <v>11.622292740000001</v>
      </c>
      <c r="L2022" s="8">
        <f>[1]Data!L2022</f>
        <v>0.48758113838420097</v>
      </c>
      <c r="M2022" s="8">
        <f>[1]Data!M2022</f>
        <v>12.109873878384199</v>
      </c>
      <c r="N2022" s="8">
        <f>[1]Data!N2022</f>
        <v>7.69230769230769E-2</v>
      </c>
      <c r="O2022" s="8">
        <f>[1]Data!O2022</f>
        <v>0</v>
      </c>
      <c r="P2022" s="8">
        <f>[1]Data!P2022</f>
        <v>0.76923076923076905</v>
      </c>
      <c r="Q2022" s="8">
        <f>[1]Data!Q2022</f>
        <v>0.3125</v>
      </c>
      <c r="R2022" s="8">
        <f>[1]Data!R2022</f>
        <v>0</v>
      </c>
      <c r="S2022" s="8">
        <f>[1]Data!S2022</f>
        <v>0</v>
      </c>
      <c r="T2022">
        <f t="shared" si="155"/>
        <v>7.69230769230769E-2</v>
      </c>
      <c r="U2022">
        <f t="shared" si="156"/>
        <v>0</v>
      </c>
      <c r="V2022" s="4" t="str">
        <f t="shared" si="157"/>
        <v>13</v>
      </c>
      <c r="W2022" s="4" t="str">
        <f t="shared" si="158"/>
        <v>11</v>
      </c>
      <c r="X2022" s="4" t="str">
        <f t="shared" si="159"/>
        <v>13NON-HS11</v>
      </c>
      <c r="Y2022">
        <f>VLOOKUP(X2022,Sheet1!$J$5:$K$121,2,FALSE)</f>
        <v>0</v>
      </c>
    </row>
    <row r="2023" spans="1:25" x14ac:dyDescent="0.25">
      <c r="A2023" s="8">
        <f>[1]Data!A2023</f>
        <v>191420</v>
      </c>
      <c r="B2023" s="8">
        <f>[1]Data!B2023</f>
        <v>11</v>
      </c>
      <c r="C2023" s="8">
        <f>[1]Data!C2023</f>
        <v>13</v>
      </c>
      <c r="D2023" s="8">
        <f>[1]Data!D2023</f>
        <v>2</v>
      </c>
      <c r="E2023" s="8" t="str">
        <f>[1]Data!E2023</f>
        <v>NON-HS</v>
      </c>
      <c r="F2023" s="8" t="str">
        <f>[1]Data!F2023</f>
        <v>Hollywood</v>
      </c>
      <c r="G2023" s="8">
        <f>[1]Data!G2023</f>
        <v>0</v>
      </c>
      <c r="H2023" s="8">
        <f>[1]Data!H2023</f>
        <v>0</v>
      </c>
      <c r="I2023" s="8">
        <f>[1]Data!I2023</f>
        <v>6</v>
      </c>
      <c r="J2023" s="8">
        <f>[1]Data!J2023</f>
        <v>0</v>
      </c>
      <c r="K2023" s="8">
        <f>[1]Data!K2023</f>
        <v>6</v>
      </c>
      <c r="L2023" s="8">
        <f>[1]Data!L2023</f>
        <v>0</v>
      </c>
      <c r="M2023" s="8">
        <f>[1]Data!M2023</f>
        <v>6</v>
      </c>
      <c r="N2023" s="8">
        <f>[1]Data!N2023</f>
        <v>7.69230769230769E-2</v>
      </c>
      <c r="O2023" s="8">
        <f>[1]Data!O2023</f>
        <v>0</v>
      </c>
      <c r="P2023" s="8">
        <f>[1]Data!P2023</f>
        <v>0.76923076923076905</v>
      </c>
      <c r="Q2023" s="8">
        <f>[1]Data!Q2023</f>
        <v>0.3125</v>
      </c>
      <c r="R2023" s="8">
        <f>[1]Data!R2023</f>
        <v>0</v>
      </c>
      <c r="S2023" s="8">
        <f>[1]Data!S2023</f>
        <v>0</v>
      </c>
      <c r="T2023">
        <f t="shared" si="155"/>
        <v>7.69230769230769E-2</v>
      </c>
      <c r="U2023">
        <f t="shared" si="156"/>
        <v>0</v>
      </c>
      <c r="V2023" s="4" t="str">
        <f t="shared" si="157"/>
        <v>13</v>
      </c>
      <c r="W2023" s="4" t="str">
        <f t="shared" si="158"/>
        <v>11</v>
      </c>
      <c r="X2023" s="4" t="str">
        <f t="shared" si="159"/>
        <v>13NON-HS11</v>
      </c>
      <c r="Y2023">
        <f>VLOOKUP(X2023,Sheet1!$J$5:$K$121,2,FALSE)</f>
        <v>0</v>
      </c>
    </row>
    <row r="2024" spans="1:25" x14ac:dyDescent="0.25">
      <c r="A2024" s="8">
        <f>[1]Data!A2024</f>
        <v>191710</v>
      </c>
      <c r="B2024" s="8">
        <f>[1]Data!B2024</f>
        <v>11</v>
      </c>
      <c r="C2024" s="8">
        <f>[1]Data!C2024</f>
        <v>13</v>
      </c>
      <c r="D2024" s="8">
        <f>[1]Data!D2024</f>
        <v>3</v>
      </c>
      <c r="E2024" s="8" t="str">
        <f>[1]Data!E2024</f>
        <v>NON-HS</v>
      </c>
      <c r="F2024" s="8" t="str">
        <f>[1]Data!F2024</f>
        <v>Hollywood</v>
      </c>
      <c r="G2024" s="8">
        <f>[1]Data!G2024</f>
        <v>0</v>
      </c>
      <c r="H2024" s="8">
        <f>[1]Data!H2024</f>
        <v>0</v>
      </c>
      <c r="I2024" s="8">
        <f>[1]Data!I2024</f>
        <v>12.819000000000001</v>
      </c>
      <c r="J2024" s="8">
        <f>[1]Data!J2024</f>
        <v>7.5535708799999997</v>
      </c>
      <c r="K2024" s="8">
        <f>[1]Data!K2024</f>
        <v>12.553570880000001</v>
      </c>
      <c r="L2024" s="8">
        <f>[1]Data!L2024</f>
        <v>0.26446245660682199</v>
      </c>
      <c r="M2024" s="8">
        <f>[1]Data!M2024</f>
        <v>12.818033336606801</v>
      </c>
      <c r="N2024" s="8">
        <f>[1]Data!N2024</f>
        <v>7.69230769230769E-2</v>
      </c>
      <c r="O2024" s="8">
        <f>[1]Data!O2024</f>
        <v>0</v>
      </c>
      <c r="P2024" s="8">
        <f>[1]Data!P2024</f>
        <v>0.76923076923076905</v>
      </c>
      <c r="Q2024" s="8">
        <f>[1]Data!Q2024</f>
        <v>0.3125</v>
      </c>
      <c r="R2024" s="8">
        <f>[1]Data!R2024</f>
        <v>0</v>
      </c>
      <c r="S2024" s="8">
        <f>[1]Data!S2024</f>
        <v>0</v>
      </c>
      <c r="T2024">
        <f t="shared" si="155"/>
        <v>7.69230769230769E-2</v>
      </c>
      <c r="U2024">
        <f t="shared" si="156"/>
        <v>0</v>
      </c>
      <c r="V2024" s="4" t="str">
        <f t="shared" si="157"/>
        <v>13</v>
      </c>
      <c r="W2024" s="4" t="str">
        <f t="shared" si="158"/>
        <v>11</v>
      </c>
      <c r="X2024" s="4" t="str">
        <f t="shared" si="159"/>
        <v>13NON-HS11</v>
      </c>
      <c r="Y2024">
        <f>VLOOKUP(X2024,Sheet1!$J$5:$K$121,2,FALSE)</f>
        <v>0</v>
      </c>
    </row>
    <row r="2025" spans="1:25" x14ac:dyDescent="0.25">
      <c r="A2025" s="8">
        <f>[1]Data!A2025</f>
        <v>191720</v>
      </c>
      <c r="B2025" s="8">
        <f>[1]Data!B2025</f>
        <v>11</v>
      </c>
      <c r="C2025" s="8">
        <f>[1]Data!C2025</f>
        <v>13</v>
      </c>
      <c r="D2025" s="8">
        <f>[1]Data!D2025</f>
        <v>3</v>
      </c>
      <c r="E2025" s="8" t="str">
        <f>[1]Data!E2025</f>
        <v>NON-HS</v>
      </c>
      <c r="F2025" s="8" t="str">
        <f>[1]Data!F2025</f>
        <v>Hollywood</v>
      </c>
      <c r="G2025" s="8">
        <f>[1]Data!G2025</f>
        <v>0</v>
      </c>
      <c r="H2025" s="8">
        <f>[1]Data!H2025</f>
        <v>0</v>
      </c>
      <c r="I2025" s="8">
        <f>[1]Data!I2025</f>
        <v>6.923</v>
      </c>
      <c r="J2025" s="8">
        <f>[1]Data!J2025</f>
        <v>6.70665975</v>
      </c>
      <c r="K2025" s="8">
        <f>[1]Data!K2025</f>
        <v>6.70665975</v>
      </c>
      <c r="L2025" s="8">
        <f>[1]Data!L2025</f>
        <v>0.21506119174147201</v>
      </c>
      <c r="M2025" s="8">
        <f>[1]Data!M2025</f>
        <v>6.9217209417414702</v>
      </c>
      <c r="N2025" s="8">
        <f>[1]Data!N2025</f>
        <v>7.69230769230769E-2</v>
      </c>
      <c r="O2025" s="8">
        <f>[1]Data!O2025</f>
        <v>0</v>
      </c>
      <c r="P2025" s="8">
        <f>[1]Data!P2025</f>
        <v>0.76923076923076905</v>
      </c>
      <c r="Q2025" s="8">
        <f>[1]Data!Q2025</f>
        <v>0.3125</v>
      </c>
      <c r="R2025" s="8">
        <f>[1]Data!R2025</f>
        <v>0</v>
      </c>
      <c r="S2025" s="8">
        <f>[1]Data!S2025</f>
        <v>0</v>
      </c>
      <c r="T2025">
        <f t="shared" si="155"/>
        <v>7.69230769230769E-2</v>
      </c>
      <c r="U2025">
        <f t="shared" si="156"/>
        <v>0</v>
      </c>
      <c r="V2025" s="4" t="str">
        <f t="shared" si="157"/>
        <v>13</v>
      </c>
      <c r="W2025" s="4" t="str">
        <f t="shared" si="158"/>
        <v>11</v>
      </c>
      <c r="X2025" s="4" t="str">
        <f t="shared" si="159"/>
        <v>13NON-HS11</v>
      </c>
      <c r="Y2025">
        <f>VLOOKUP(X2025,Sheet1!$J$5:$K$121,2,FALSE)</f>
        <v>0</v>
      </c>
    </row>
    <row r="2026" spans="1:25" x14ac:dyDescent="0.25">
      <c r="A2026" s="8">
        <f>[1]Data!A2026</f>
        <v>203300</v>
      </c>
      <c r="B2026" s="8">
        <f>[1]Data!B2026</f>
        <v>4</v>
      </c>
      <c r="C2026" s="8">
        <f>[1]Data!C2026</f>
        <v>14</v>
      </c>
      <c r="D2026" s="8">
        <f>[1]Data!D2026</f>
        <v>1</v>
      </c>
      <c r="E2026" s="8" t="str">
        <f>[1]Data!E2026</f>
        <v>CVCTE</v>
      </c>
      <c r="F2026" s="8" t="str">
        <f>[1]Data!F2026</f>
        <v>Lincoln Heights</v>
      </c>
      <c r="G2026" s="8">
        <f>[1]Data!G2026</f>
        <v>1</v>
      </c>
      <c r="H2026" s="8">
        <f>[1]Data!H2026</f>
        <v>1</v>
      </c>
      <c r="I2026" s="8">
        <f>[1]Data!I2026</f>
        <v>22.343</v>
      </c>
      <c r="J2026" s="8">
        <f>[1]Data!J2026</f>
        <v>14.666319769999999</v>
      </c>
      <c r="K2026" s="8">
        <f>[1]Data!K2026</f>
        <v>21.666319770000001</v>
      </c>
      <c r="L2026" s="8">
        <f>[1]Data!L2026</f>
        <v>0.67619147502693</v>
      </c>
      <c r="M2026" s="8">
        <f>[1]Data!M2026</f>
        <v>22.342511245026898</v>
      </c>
      <c r="N2026" s="8">
        <f>[1]Data!N2026</f>
        <v>0.164383561643836</v>
      </c>
      <c r="O2026" s="8">
        <f>[1]Data!O2026</f>
        <v>6.0833333333333304</v>
      </c>
      <c r="P2026" s="8">
        <f>[1]Data!P2026</f>
        <v>0.219178082191781</v>
      </c>
      <c r="Q2026" s="8">
        <f>[1]Data!Q2026</f>
        <v>1</v>
      </c>
      <c r="R2026" s="8">
        <f>[1]Data!R2026</f>
        <v>0</v>
      </c>
      <c r="S2026" s="8">
        <f>[1]Data!S2026</f>
        <v>0</v>
      </c>
      <c r="T2026">
        <f t="shared" si="155"/>
        <v>0.48577449947313017</v>
      </c>
      <c r="U2026">
        <f t="shared" si="156"/>
        <v>2.058568329718002</v>
      </c>
      <c r="V2026" s="4" t="str">
        <f t="shared" si="157"/>
        <v>14</v>
      </c>
      <c r="W2026" s="4" t="str">
        <f t="shared" si="158"/>
        <v>4</v>
      </c>
      <c r="X2026" s="4" t="str">
        <f t="shared" si="159"/>
        <v>14CVCTE4</v>
      </c>
      <c r="Y2026">
        <f>VLOOKUP(X2026,Sheet1!$J$5:$K$121,2,FALSE)</f>
        <v>0.38461538461538503</v>
      </c>
    </row>
    <row r="2027" spans="1:25" x14ac:dyDescent="0.25">
      <c r="A2027" s="8">
        <f>[1]Data!A2027</f>
        <v>205120</v>
      </c>
      <c r="B2027" s="8">
        <f>[1]Data!B2027</f>
        <v>4</v>
      </c>
      <c r="C2027" s="8">
        <f>[1]Data!C2027</f>
        <v>14</v>
      </c>
      <c r="D2027" s="8">
        <f>[1]Data!D2027</f>
        <v>1</v>
      </c>
      <c r="E2027" s="8" t="str">
        <f>[1]Data!E2027</f>
        <v>CVCTE</v>
      </c>
      <c r="F2027" s="8" t="str">
        <f>[1]Data!F2027</f>
        <v>Boyle Heights</v>
      </c>
      <c r="G2027" s="8">
        <f>[1]Data!G2027</f>
        <v>0</v>
      </c>
      <c r="H2027" s="8">
        <f>[1]Data!H2027</f>
        <v>0</v>
      </c>
      <c r="I2027" s="8">
        <f>[1]Data!I2027</f>
        <v>35.090000000000003</v>
      </c>
      <c r="J2027" s="8">
        <f>[1]Data!J2027</f>
        <v>28.201486899999999</v>
      </c>
      <c r="K2027" s="8">
        <f>[1]Data!K2027</f>
        <v>34.201486899999999</v>
      </c>
      <c r="L2027" s="8">
        <f>[1]Data!L2027</f>
        <v>0.88900970125673295</v>
      </c>
      <c r="M2027" s="8">
        <f>[1]Data!M2027</f>
        <v>35.090496601256703</v>
      </c>
      <c r="N2027" s="8">
        <f>[1]Data!N2027</f>
        <v>0.164383561643836</v>
      </c>
      <c r="O2027" s="8">
        <f>[1]Data!O2027</f>
        <v>0</v>
      </c>
      <c r="P2027" s="8">
        <f>[1]Data!P2027</f>
        <v>0.219178082191781</v>
      </c>
      <c r="Q2027" s="8">
        <f>[1]Data!Q2027</f>
        <v>1</v>
      </c>
      <c r="R2027" s="8">
        <f>[1]Data!R2027</f>
        <v>0.38461538461538503</v>
      </c>
      <c r="S2027" s="8">
        <f>[1]Data!S2027</f>
        <v>0</v>
      </c>
      <c r="T2027">
        <f t="shared" si="155"/>
        <v>0.48577449947313017</v>
      </c>
      <c r="U2027">
        <f t="shared" si="156"/>
        <v>0</v>
      </c>
      <c r="V2027" s="4" t="str">
        <f t="shared" si="157"/>
        <v>14</v>
      </c>
      <c r="W2027" s="4" t="str">
        <f t="shared" si="158"/>
        <v>4</v>
      </c>
      <c r="X2027" s="4" t="str">
        <f t="shared" si="159"/>
        <v>14CVCTE4</v>
      </c>
      <c r="Y2027">
        <f>VLOOKUP(X2027,Sheet1!$J$5:$K$121,2,FALSE)</f>
        <v>0.38461538461538503</v>
      </c>
    </row>
    <row r="2028" spans="1:25" x14ac:dyDescent="0.25">
      <c r="A2028" s="8">
        <f>[1]Data!A2028</f>
        <v>181400</v>
      </c>
      <c r="B2028" s="8">
        <f>[1]Data!B2028</f>
        <v>4</v>
      </c>
      <c r="C2028" s="8">
        <f>[1]Data!C2028</f>
        <v>14</v>
      </c>
      <c r="D2028" s="8">
        <f>[1]Data!D2028</f>
        <v>1</v>
      </c>
      <c r="E2028" s="8" t="str">
        <f>[1]Data!E2028</f>
        <v>CVCTE</v>
      </c>
      <c r="F2028" s="8" t="str">
        <f>[1]Data!F2028</f>
        <v>Eagle Rock</v>
      </c>
      <c r="G2028" s="8">
        <f>[1]Data!G2028</f>
        <v>0</v>
      </c>
      <c r="H2028" s="8">
        <f>[1]Data!H2028</f>
        <v>1</v>
      </c>
      <c r="I2028" s="8">
        <f>[1]Data!I2028</f>
        <v>27.459</v>
      </c>
      <c r="J2028" s="8">
        <f>[1]Data!J2028</f>
        <v>23.478867009999998</v>
      </c>
      <c r="K2028" s="8">
        <f>[1]Data!K2028</f>
        <v>26.478867009999998</v>
      </c>
      <c r="L2028" s="8">
        <f>[1]Data!L2028</f>
        <v>0.98031896050269296</v>
      </c>
      <c r="M2028" s="8">
        <f>[1]Data!M2028</f>
        <v>27.459185970502698</v>
      </c>
      <c r="N2028" s="8">
        <f>[1]Data!N2028</f>
        <v>0.164383561643836</v>
      </c>
      <c r="O2028" s="8">
        <f>[1]Data!O2028</f>
        <v>0</v>
      </c>
      <c r="P2028" s="8">
        <f>[1]Data!P2028</f>
        <v>0.219178082191781</v>
      </c>
      <c r="Q2028" s="8">
        <f>[1]Data!Q2028</f>
        <v>1</v>
      </c>
      <c r="R2028" s="8">
        <f>[1]Data!R2028</f>
        <v>0.38461538461538503</v>
      </c>
      <c r="S2028" s="8">
        <f>[1]Data!S2028</f>
        <v>2.6</v>
      </c>
      <c r="T2028">
        <f t="shared" si="155"/>
        <v>0.48577449947313017</v>
      </c>
      <c r="U2028">
        <f t="shared" si="156"/>
        <v>2.058568329718002</v>
      </c>
      <c r="V2028" s="4" t="str">
        <f t="shared" si="157"/>
        <v>14</v>
      </c>
      <c r="W2028" s="4" t="str">
        <f t="shared" si="158"/>
        <v>4</v>
      </c>
      <c r="X2028" s="4" t="str">
        <f t="shared" si="159"/>
        <v>14CVCTE4</v>
      </c>
      <c r="Y2028">
        <f>VLOOKUP(X2028,Sheet1!$J$5:$K$121,2,FALSE)</f>
        <v>0.38461538461538503</v>
      </c>
    </row>
    <row r="2029" spans="1:25" x14ac:dyDescent="0.25">
      <c r="A2029" s="8">
        <f>[1]Data!A2029</f>
        <v>206031</v>
      </c>
      <c r="B2029" s="8">
        <f>[1]Data!B2029</f>
        <v>4</v>
      </c>
      <c r="C2029" s="8">
        <f>[1]Data!C2029</f>
        <v>14</v>
      </c>
      <c r="D2029" s="8">
        <f>[1]Data!D2029</f>
        <v>1</v>
      </c>
      <c r="E2029" s="8" t="str">
        <f>[1]Data!E2029</f>
        <v>CVCTE</v>
      </c>
      <c r="F2029" s="8" t="str">
        <f>[1]Data!F2029</f>
        <v>Downtown Los Angeles</v>
      </c>
      <c r="G2029" s="8">
        <f>[1]Data!G2029</f>
        <v>0</v>
      </c>
      <c r="H2029" s="8">
        <f>[1]Data!H2029</f>
        <v>1</v>
      </c>
      <c r="I2029" s="8">
        <f>[1]Data!I2029</f>
        <v>139.374</v>
      </c>
      <c r="J2029" s="8">
        <f>[1]Data!J2029</f>
        <v>91.601353759999995</v>
      </c>
      <c r="K2029" s="8">
        <f>[1]Data!K2029</f>
        <v>137.60135375999999</v>
      </c>
      <c r="L2029" s="8">
        <f>[1]Data!L2029</f>
        <v>1.77422828197487</v>
      </c>
      <c r="M2029" s="8">
        <f>[1]Data!M2029</f>
        <v>139.37558204197501</v>
      </c>
      <c r="N2029" s="8">
        <f>[1]Data!N2029</f>
        <v>0.164383561643836</v>
      </c>
      <c r="O2029" s="8">
        <f>[1]Data!O2029</f>
        <v>0</v>
      </c>
      <c r="P2029" s="8">
        <f>[1]Data!P2029</f>
        <v>0.219178082191781</v>
      </c>
      <c r="Q2029" s="8">
        <f>[1]Data!Q2029</f>
        <v>1</v>
      </c>
      <c r="R2029" s="8">
        <f>[1]Data!R2029</f>
        <v>0.38461538461538503</v>
      </c>
      <c r="S2029" s="8">
        <f>[1]Data!S2029</f>
        <v>2.6</v>
      </c>
      <c r="T2029">
        <f t="shared" si="155"/>
        <v>0.48577449947313017</v>
      </c>
      <c r="U2029">
        <f t="shared" si="156"/>
        <v>2.058568329718002</v>
      </c>
      <c r="V2029" s="4" t="str">
        <f t="shared" si="157"/>
        <v>14</v>
      </c>
      <c r="W2029" s="4" t="str">
        <f t="shared" si="158"/>
        <v>4</v>
      </c>
      <c r="X2029" s="4" t="str">
        <f t="shared" si="159"/>
        <v>14CVCTE4</v>
      </c>
      <c r="Y2029">
        <f>VLOOKUP(X2029,Sheet1!$J$5:$K$121,2,FALSE)</f>
        <v>0.38461538461538503</v>
      </c>
    </row>
    <row r="2030" spans="1:25" x14ac:dyDescent="0.25">
      <c r="A2030" s="8">
        <f>[1]Data!A2030</f>
        <v>204920</v>
      </c>
      <c r="B2030" s="8">
        <f>[1]Data!B2030</f>
        <v>4</v>
      </c>
      <c r="C2030" s="8">
        <f>[1]Data!C2030</f>
        <v>14</v>
      </c>
      <c r="D2030" s="8">
        <f>[1]Data!D2030</f>
        <v>1</v>
      </c>
      <c r="E2030" s="8" t="str">
        <f>[1]Data!E2030</f>
        <v>CVCTE</v>
      </c>
      <c r="F2030" s="8" t="str">
        <f>[1]Data!F2030</f>
        <v>Boyle Heights</v>
      </c>
      <c r="G2030" s="8">
        <f>[1]Data!G2030</f>
        <v>0</v>
      </c>
      <c r="H2030" s="8">
        <f>[1]Data!H2030</f>
        <v>0</v>
      </c>
      <c r="I2030" s="8">
        <f>[1]Data!I2030</f>
        <v>32.918999999999997</v>
      </c>
      <c r="J2030" s="8">
        <f>[1]Data!J2030</f>
        <v>29.210991809999999</v>
      </c>
      <c r="K2030" s="8">
        <f>[1]Data!K2030</f>
        <v>31.210991809999999</v>
      </c>
      <c r="L2030" s="8">
        <f>[1]Data!L2030</f>
        <v>1.70786842549372</v>
      </c>
      <c r="M2030" s="8">
        <f>[1]Data!M2030</f>
        <v>32.918860235493703</v>
      </c>
      <c r="N2030" s="8">
        <f>[1]Data!N2030</f>
        <v>0.164383561643836</v>
      </c>
      <c r="O2030" s="8">
        <f>[1]Data!O2030</f>
        <v>0</v>
      </c>
      <c r="P2030" s="8">
        <f>[1]Data!P2030</f>
        <v>0.219178082191781</v>
      </c>
      <c r="Q2030" s="8">
        <f>[1]Data!Q2030</f>
        <v>1</v>
      </c>
      <c r="R2030" s="8">
        <f>[1]Data!R2030</f>
        <v>0.38461538461538503</v>
      </c>
      <c r="S2030" s="8">
        <f>[1]Data!S2030</f>
        <v>0</v>
      </c>
      <c r="T2030">
        <f t="shared" si="155"/>
        <v>0.48577449947313017</v>
      </c>
      <c r="U2030">
        <f t="shared" si="156"/>
        <v>0</v>
      </c>
      <c r="V2030" s="4" t="str">
        <f t="shared" si="157"/>
        <v>14</v>
      </c>
      <c r="W2030" s="4" t="str">
        <f t="shared" si="158"/>
        <v>4</v>
      </c>
      <c r="X2030" s="4" t="str">
        <f t="shared" si="159"/>
        <v>14CVCTE4</v>
      </c>
      <c r="Y2030">
        <f>VLOOKUP(X2030,Sheet1!$J$5:$K$121,2,FALSE)</f>
        <v>0.38461538461538503</v>
      </c>
    </row>
    <row r="2031" spans="1:25" x14ac:dyDescent="0.25">
      <c r="A2031" s="8">
        <f>[1]Data!A2031</f>
        <v>204700</v>
      </c>
      <c r="B2031" s="8">
        <f>[1]Data!B2031</f>
        <v>4</v>
      </c>
      <c r="C2031" s="8">
        <f>[1]Data!C2031</f>
        <v>14</v>
      </c>
      <c r="D2031" s="8">
        <f>[1]Data!D2031</f>
        <v>1</v>
      </c>
      <c r="E2031" s="8" t="str">
        <f>[1]Data!E2031</f>
        <v>CVCTE</v>
      </c>
      <c r="F2031" s="8" t="str">
        <f>[1]Data!F2031</f>
        <v>Boyle Heights</v>
      </c>
      <c r="G2031" s="8">
        <f>[1]Data!G2031</f>
        <v>0</v>
      </c>
      <c r="H2031" s="8">
        <f>[1]Data!H2031</f>
        <v>0</v>
      </c>
      <c r="I2031" s="8">
        <f>[1]Data!I2031</f>
        <v>48.877000000000002</v>
      </c>
      <c r="J2031" s="8">
        <f>[1]Data!J2031</f>
        <v>37.631018140000002</v>
      </c>
      <c r="K2031" s="8">
        <f>[1]Data!K2031</f>
        <v>47.631018140000002</v>
      </c>
      <c r="L2031" s="8">
        <f>[1]Data!L2031</f>
        <v>1.24649416969479</v>
      </c>
      <c r="M2031" s="8">
        <f>[1]Data!M2031</f>
        <v>48.877512309694801</v>
      </c>
      <c r="N2031" s="8">
        <f>[1]Data!N2031</f>
        <v>0.164383561643836</v>
      </c>
      <c r="O2031" s="8">
        <f>[1]Data!O2031</f>
        <v>0</v>
      </c>
      <c r="P2031" s="8">
        <f>[1]Data!P2031</f>
        <v>0.219178082191781</v>
      </c>
      <c r="Q2031" s="8">
        <f>[1]Data!Q2031</f>
        <v>1</v>
      </c>
      <c r="R2031" s="8">
        <f>[1]Data!R2031</f>
        <v>0.38461538461538503</v>
      </c>
      <c r="S2031" s="8">
        <f>[1]Data!S2031</f>
        <v>0</v>
      </c>
      <c r="T2031">
        <f t="shared" si="155"/>
        <v>0.48577449947313017</v>
      </c>
      <c r="U2031">
        <f t="shared" si="156"/>
        <v>0</v>
      </c>
      <c r="V2031" s="4" t="str">
        <f t="shared" si="157"/>
        <v>14</v>
      </c>
      <c r="W2031" s="4" t="str">
        <f t="shared" si="158"/>
        <v>4</v>
      </c>
      <c r="X2031" s="4" t="str">
        <f t="shared" si="159"/>
        <v>14CVCTE4</v>
      </c>
      <c r="Y2031">
        <f>VLOOKUP(X2031,Sheet1!$J$5:$K$121,2,FALSE)</f>
        <v>0.38461538461538503</v>
      </c>
    </row>
    <row r="2032" spans="1:25" x14ac:dyDescent="0.25">
      <c r="A2032" s="8">
        <f>[1]Data!A2032</f>
        <v>207400</v>
      </c>
      <c r="B2032" s="8">
        <f>[1]Data!B2032</f>
        <v>4</v>
      </c>
      <c r="C2032" s="8">
        <f>[1]Data!C2032</f>
        <v>14</v>
      </c>
      <c r="D2032" s="8">
        <f>[1]Data!D2032</f>
        <v>1</v>
      </c>
      <c r="E2032" s="8" t="str">
        <f>[1]Data!E2032</f>
        <v>CVCTE</v>
      </c>
      <c r="F2032" s="8" t="str">
        <f>[1]Data!F2032</f>
        <v>Downtown Los Angeles</v>
      </c>
      <c r="G2032" s="8">
        <f>[1]Data!G2032</f>
        <v>0</v>
      </c>
      <c r="H2032" s="8">
        <f>[1]Data!H2032</f>
        <v>1</v>
      </c>
      <c r="I2032" s="8">
        <f>[1]Data!I2032</f>
        <v>129.02500000000001</v>
      </c>
      <c r="J2032" s="8">
        <f>[1]Data!J2032</f>
        <v>34.627600620000003</v>
      </c>
      <c r="K2032" s="8">
        <f>[1]Data!K2032</f>
        <v>128.62760062000001</v>
      </c>
      <c r="L2032" s="8">
        <f>[1]Data!L2032</f>
        <v>0.39794738730700202</v>
      </c>
      <c r="M2032" s="8">
        <f>[1]Data!M2032</f>
        <v>129.02554800730701</v>
      </c>
      <c r="N2032" s="8">
        <f>[1]Data!N2032</f>
        <v>0.164383561643836</v>
      </c>
      <c r="O2032" s="8">
        <f>[1]Data!O2032</f>
        <v>0</v>
      </c>
      <c r="P2032" s="8">
        <f>[1]Data!P2032</f>
        <v>0.219178082191781</v>
      </c>
      <c r="Q2032" s="8">
        <f>[1]Data!Q2032</f>
        <v>1</v>
      </c>
      <c r="R2032" s="8">
        <f>[1]Data!R2032</f>
        <v>0.38461538461538503</v>
      </c>
      <c r="S2032" s="8">
        <f>[1]Data!S2032</f>
        <v>2.6</v>
      </c>
      <c r="T2032">
        <f t="shared" si="155"/>
        <v>0.48577449947313017</v>
      </c>
      <c r="U2032">
        <f t="shared" si="156"/>
        <v>2.058568329718002</v>
      </c>
      <c r="V2032" s="4" t="str">
        <f t="shared" si="157"/>
        <v>14</v>
      </c>
      <c r="W2032" s="4" t="str">
        <f t="shared" si="158"/>
        <v>4</v>
      </c>
      <c r="X2032" s="4" t="str">
        <f t="shared" si="159"/>
        <v>14CVCTE4</v>
      </c>
      <c r="Y2032">
        <f>VLOOKUP(X2032,Sheet1!$J$5:$K$121,2,FALSE)</f>
        <v>0.38461538461538503</v>
      </c>
    </row>
    <row r="2033" spans="1:25" x14ac:dyDescent="0.25">
      <c r="A2033" s="8">
        <f>[1]Data!A2033</f>
        <v>224010</v>
      </c>
      <c r="B2033" s="8">
        <f>[1]Data!B2033</f>
        <v>4</v>
      </c>
      <c r="C2033" s="8">
        <f>[1]Data!C2033</f>
        <v>14</v>
      </c>
      <c r="D2033" s="8">
        <f>[1]Data!D2033</f>
        <v>1</v>
      </c>
      <c r="E2033" s="8" t="str">
        <f>[1]Data!E2033</f>
        <v>CVCTE</v>
      </c>
      <c r="F2033" s="8" t="str">
        <f>[1]Data!F2033</f>
        <v>Downtown Los Angeles</v>
      </c>
      <c r="G2033" s="8">
        <f>[1]Data!G2033</f>
        <v>0</v>
      </c>
      <c r="H2033" s="8">
        <f>[1]Data!H2033</f>
        <v>1</v>
      </c>
      <c r="I2033" s="8">
        <f>[1]Data!I2033</f>
        <v>60.512</v>
      </c>
      <c r="J2033" s="8">
        <f>[1]Data!J2033</f>
        <v>20.282914380000001</v>
      </c>
      <c r="K2033" s="8">
        <f>[1]Data!K2033</f>
        <v>60.282914380000001</v>
      </c>
      <c r="L2033" s="8">
        <f>[1]Data!L2033</f>
        <v>0.22947837193895901</v>
      </c>
      <c r="M2033" s="8">
        <f>[1]Data!M2033</f>
        <v>60.512392751938997</v>
      </c>
      <c r="N2033" s="8">
        <f>[1]Data!N2033</f>
        <v>0.164383561643836</v>
      </c>
      <c r="O2033" s="8">
        <f>[1]Data!O2033</f>
        <v>0</v>
      </c>
      <c r="P2033" s="8">
        <f>[1]Data!P2033</f>
        <v>0.219178082191781</v>
      </c>
      <c r="Q2033" s="8">
        <f>[1]Data!Q2033</f>
        <v>1</v>
      </c>
      <c r="R2033" s="8">
        <f>[1]Data!R2033</f>
        <v>0.38461538461538503</v>
      </c>
      <c r="S2033" s="8">
        <f>[1]Data!S2033</f>
        <v>2.6</v>
      </c>
      <c r="T2033">
        <f t="shared" si="155"/>
        <v>0.48577449947313017</v>
      </c>
      <c r="U2033">
        <f t="shared" si="156"/>
        <v>2.058568329718002</v>
      </c>
      <c r="V2033" s="4" t="str">
        <f t="shared" si="157"/>
        <v>14</v>
      </c>
      <c r="W2033" s="4" t="str">
        <f t="shared" si="158"/>
        <v>4</v>
      </c>
      <c r="X2033" s="4" t="str">
        <f t="shared" si="159"/>
        <v>14CVCTE4</v>
      </c>
      <c r="Y2033">
        <f>VLOOKUP(X2033,Sheet1!$J$5:$K$121,2,FALSE)</f>
        <v>0.38461538461538503</v>
      </c>
    </row>
    <row r="2034" spans="1:25" x14ac:dyDescent="0.25">
      <c r="A2034" s="8">
        <f>[1]Data!A2034</f>
        <v>201602</v>
      </c>
      <c r="B2034" s="8">
        <f>[1]Data!B2034</f>
        <v>4</v>
      </c>
      <c r="C2034" s="8">
        <f>[1]Data!C2034</f>
        <v>14</v>
      </c>
      <c r="D2034" s="8">
        <f>[1]Data!D2034</f>
        <v>1</v>
      </c>
      <c r="E2034" s="8" t="str">
        <f>[1]Data!E2034</f>
        <v>CVCTE</v>
      </c>
      <c r="F2034" s="8" t="str">
        <f>[1]Data!F2034</f>
        <v>El Sereno</v>
      </c>
      <c r="G2034" s="8">
        <f>[1]Data!G2034</f>
        <v>0</v>
      </c>
      <c r="H2034" s="8">
        <f>[1]Data!H2034</f>
        <v>1</v>
      </c>
      <c r="I2034" s="8">
        <f>[1]Data!I2034</f>
        <v>33.561</v>
      </c>
      <c r="J2034" s="8">
        <f>[1]Data!J2034</f>
        <v>21.245155799999999</v>
      </c>
      <c r="K2034" s="8">
        <f>[1]Data!K2034</f>
        <v>32.245155799999999</v>
      </c>
      <c r="L2034" s="8">
        <f>[1]Data!L2034</f>
        <v>1.3149608866965901</v>
      </c>
      <c r="M2034" s="8">
        <f>[1]Data!M2034</f>
        <v>33.560116686696603</v>
      </c>
      <c r="N2034" s="8">
        <f>[1]Data!N2034</f>
        <v>0.164383561643836</v>
      </c>
      <c r="O2034" s="8">
        <f>[1]Data!O2034</f>
        <v>0</v>
      </c>
      <c r="P2034" s="8">
        <f>[1]Data!P2034</f>
        <v>0.219178082191781</v>
      </c>
      <c r="Q2034" s="8">
        <f>[1]Data!Q2034</f>
        <v>1</v>
      </c>
      <c r="R2034" s="8">
        <f>[1]Data!R2034</f>
        <v>0.38461538461538503</v>
      </c>
      <c r="S2034" s="8">
        <f>[1]Data!S2034</f>
        <v>2.6</v>
      </c>
      <c r="T2034">
        <f t="shared" si="155"/>
        <v>0.48577449947313017</v>
      </c>
      <c r="U2034">
        <f t="shared" si="156"/>
        <v>2.058568329718002</v>
      </c>
      <c r="V2034" s="4" t="str">
        <f t="shared" si="157"/>
        <v>14</v>
      </c>
      <c r="W2034" s="4" t="str">
        <f t="shared" si="158"/>
        <v>4</v>
      </c>
      <c r="X2034" s="4" t="str">
        <f t="shared" si="159"/>
        <v>14CVCTE4</v>
      </c>
      <c r="Y2034">
        <f>VLOOKUP(X2034,Sheet1!$J$5:$K$121,2,FALSE)</f>
        <v>0.38461538461538503</v>
      </c>
    </row>
    <row r="2035" spans="1:25" x14ac:dyDescent="0.25">
      <c r="A2035" s="8">
        <f>[1]Data!A2035</f>
        <v>203500</v>
      </c>
      <c r="B2035" s="8">
        <f>[1]Data!B2035</f>
        <v>4</v>
      </c>
      <c r="C2035" s="8">
        <f>[1]Data!C2035</f>
        <v>14</v>
      </c>
      <c r="D2035" s="8">
        <f>[1]Data!D2035</f>
        <v>1</v>
      </c>
      <c r="E2035" s="8" t="str">
        <f>[1]Data!E2035</f>
        <v>CVCTE</v>
      </c>
      <c r="F2035" s="8" t="str">
        <f>[1]Data!F2035</f>
        <v>Boyle Heights</v>
      </c>
      <c r="G2035" s="8">
        <f>[1]Data!G2035</f>
        <v>0</v>
      </c>
      <c r="H2035" s="8">
        <f>[1]Data!H2035</f>
        <v>0</v>
      </c>
      <c r="I2035" s="8">
        <f>[1]Data!I2035</f>
        <v>41.838000000000001</v>
      </c>
      <c r="J2035" s="8">
        <f>[1]Data!J2035</f>
        <v>37.00044467</v>
      </c>
      <c r="K2035" s="8">
        <f>[1]Data!K2035</f>
        <v>40.00044467</v>
      </c>
      <c r="L2035" s="8">
        <f>[1]Data!L2035</f>
        <v>1.83754587008977</v>
      </c>
      <c r="M2035" s="8">
        <f>[1]Data!M2035</f>
        <v>41.837990540089798</v>
      </c>
      <c r="N2035" s="8">
        <f>[1]Data!N2035</f>
        <v>0.164383561643836</v>
      </c>
      <c r="O2035" s="8">
        <f>[1]Data!O2035</f>
        <v>0</v>
      </c>
      <c r="P2035" s="8">
        <f>[1]Data!P2035</f>
        <v>0.219178082191781</v>
      </c>
      <c r="Q2035" s="8">
        <f>[1]Data!Q2035</f>
        <v>1</v>
      </c>
      <c r="R2035" s="8">
        <f>[1]Data!R2035</f>
        <v>0.38461538461538503</v>
      </c>
      <c r="S2035" s="8">
        <f>[1]Data!S2035</f>
        <v>0</v>
      </c>
      <c r="T2035">
        <f t="shared" si="155"/>
        <v>0.48577449947313017</v>
      </c>
      <c r="U2035">
        <f t="shared" si="156"/>
        <v>0</v>
      </c>
      <c r="V2035" s="4" t="str">
        <f t="shared" si="157"/>
        <v>14</v>
      </c>
      <c r="W2035" s="4" t="str">
        <f t="shared" si="158"/>
        <v>4</v>
      </c>
      <c r="X2035" s="4" t="str">
        <f t="shared" si="159"/>
        <v>14CVCTE4</v>
      </c>
      <c r="Y2035">
        <f>VLOOKUP(X2035,Sheet1!$J$5:$K$121,2,FALSE)</f>
        <v>0.38461538461538503</v>
      </c>
    </row>
    <row r="2036" spans="1:25" x14ac:dyDescent="0.25">
      <c r="A2036" s="8">
        <f>[1]Data!A2036</f>
        <v>201301</v>
      </c>
      <c r="B2036" s="8">
        <f>[1]Data!B2036</f>
        <v>4</v>
      </c>
      <c r="C2036" s="8">
        <f>[1]Data!C2036</f>
        <v>14</v>
      </c>
      <c r="D2036" s="8">
        <f>[1]Data!D2036</f>
        <v>1</v>
      </c>
      <c r="E2036" s="8" t="str">
        <f>[1]Data!E2036</f>
        <v>CVCTE</v>
      </c>
      <c r="F2036" s="8" t="str">
        <f>[1]Data!F2036</f>
        <v>El Sereno</v>
      </c>
      <c r="G2036" s="8">
        <f>[1]Data!G2036</f>
        <v>0</v>
      </c>
      <c r="H2036" s="8">
        <f>[1]Data!H2036</f>
        <v>0</v>
      </c>
      <c r="I2036" s="8">
        <f>[1]Data!I2036</f>
        <v>19.989000000000001</v>
      </c>
      <c r="J2036" s="8">
        <f>[1]Data!J2036</f>
        <v>18.9631063</v>
      </c>
      <c r="K2036" s="8">
        <f>[1]Data!K2036</f>
        <v>18.9631063</v>
      </c>
      <c r="L2036" s="8">
        <f>[1]Data!L2036</f>
        <v>1.02527104818671</v>
      </c>
      <c r="M2036" s="8">
        <f>[1]Data!M2036</f>
        <v>19.988377348186699</v>
      </c>
      <c r="N2036" s="8">
        <f>[1]Data!N2036</f>
        <v>0.164383561643836</v>
      </c>
      <c r="O2036" s="8">
        <f>[1]Data!O2036</f>
        <v>0</v>
      </c>
      <c r="P2036" s="8">
        <f>[1]Data!P2036</f>
        <v>0.219178082191781</v>
      </c>
      <c r="Q2036" s="8">
        <f>[1]Data!Q2036</f>
        <v>1</v>
      </c>
      <c r="R2036" s="8">
        <f>[1]Data!R2036</f>
        <v>0.38461538461538503</v>
      </c>
      <c r="S2036" s="8">
        <f>[1]Data!S2036</f>
        <v>0</v>
      </c>
      <c r="T2036">
        <f t="shared" si="155"/>
        <v>0.48577449947313017</v>
      </c>
      <c r="U2036">
        <f t="shared" si="156"/>
        <v>0</v>
      </c>
      <c r="V2036" s="4" t="str">
        <f t="shared" si="157"/>
        <v>14</v>
      </c>
      <c r="W2036" s="4" t="str">
        <f t="shared" si="158"/>
        <v>4</v>
      </c>
      <c r="X2036" s="4" t="str">
        <f t="shared" si="159"/>
        <v>14CVCTE4</v>
      </c>
      <c r="Y2036">
        <f>VLOOKUP(X2036,Sheet1!$J$5:$K$121,2,FALSE)</f>
        <v>0.38461538461538503</v>
      </c>
    </row>
    <row r="2037" spans="1:25" x14ac:dyDescent="0.25">
      <c r="A2037" s="8">
        <f>[1]Data!A2037</f>
        <v>203200</v>
      </c>
      <c r="B2037" s="8">
        <f>[1]Data!B2037</f>
        <v>4</v>
      </c>
      <c r="C2037" s="8">
        <f>[1]Data!C2037</f>
        <v>14</v>
      </c>
      <c r="D2037" s="8">
        <f>[1]Data!D2037</f>
        <v>1</v>
      </c>
      <c r="E2037" s="8" t="str">
        <f>[1]Data!E2037</f>
        <v>CVCTE</v>
      </c>
      <c r="F2037" s="8" t="str">
        <f>[1]Data!F2037</f>
        <v>Boyle Heights</v>
      </c>
      <c r="G2037" s="8">
        <f>[1]Data!G2037</f>
        <v>0</v>
      </c>
      <c r="H2037" s="8">
        <f>[1]Data!H2037</f>
        <v>0</v>
      </c>
      <c r="I2037" s="8">
        <f>[1]Data!I2037</f>
        <v>2.9260000000000002</v>
      </c>
      <c r="J2037" s="8">
        <f>[1]Data!J2037</f>
        <v>1.90487994</v>
      </c>
      <c r="K2037" s="8">
        <f>[1]Data!K2037</f>
        <v>2.9048799399999998</v>
      </c>
      <c r="L2037" s="8">
        <f>[1]Data!L2037</f>
        <v>2.0625322082585301E-2</v>
      </c>
      <c r="M2037" s="8">
        <f>[1]Data!M2037</f>
        <v>2.9255052620825901</v>
      </c>
      <c r="N2037" s="8">
        <f>[1]Data!N2037</f>
        <v>0.164383561643836</v>
      </c>
      <c r="O2037" s="8">
        <f>[1]Data!O2037</f>
        <v>0</v>
      </c>
      <c r="P2037" s="8">
        <f>[1]Data!P2037</f>
        <v>0.219178082191781</v>
      </c>
      <c r="Q2037" s="8">
        <f>[1]Data!Q2037</f>
        <v>1</v>
      </c>
      <c r="R2037" s="8">
        <f>[1]Data!R2037</f>
        <v>0.38461538461538503</v>
      </c>
      <c r="S2037" s="8">
        <f>[1]Data!S2037</f>
        <v>0</v>
      </c>
      <c r="T2037">
        <f t="shared" si="155"/>
        <v>0.48577449947313017</v>
      </c>
      <c r="U2037">
        <f t="shared" si="156"/>
        <v>0</v>
      </c>
      <c r="V2037" s="4" t="str">
        <f t="shared" si="157"/>
        <v>14</v>
      </c>
      <c r="W2037" s="4" t="str">
        <f t="shared" si="158"/>
        <v>4</v>
      </c>
      <c r="X2037" s="4" t="str">
        <f t="shared" si="159"/>
        <v>14CVCTE4</v>
      </c>
      <c r="Y2037">
        <f>VLOOKUP(X2037,Sheet1!$J$5:$K$121,2,FALSE)</f>
        <v>0.38461538461538503</v>
      </c>
    </row>
    <row r="2038" spans="1:25" x14ac:dyDescent="0.25">
      <c r="A2038" s="8">
        <f>[1]Data!A2038</f>
        <v>183701</v>
      </c>
      <c r="B2038" s="8">
        <f>[1]Data!B2038</f>
        <v>4</v>
      </c>
      <c r="C2038" s="8">
        <f>[1]Data!C2038</f>
        <v>14</v>
      </c>
      <c r="D2038" s="8">
        <f>[1]Data!D2038</f>
        <v>1</v>
      </c>
      <c r="E2038" s="8" t="str">
        <f>[1]Data!E2038</f>
        <v>CVCTE</v>
      </c>
      <c r="F2038" s="8" t="str">
        <f>[1]Data!F2038</f>
        <v>Highland Park</v>
      </c>
      <c r="G2038" s="8">
        <f>[1]Data!G2038</f>
        <v>0</v>
      </c>
      <c r="H2038" s="8">
        <f>[1]Data!H2038</f>
        <v>0</v>
      </c>
      <c r="I2038" s="8">
        <f>[1]Data!I2038</f>
        <v>37.000999999999998</v>
      </c>
      <c r="J2038" s="8">
        <f>[1]Data!J2038</f>
        <v>21.385131600000001</v>
      </c>
      <c r="K2038" s="8">
        <f>[1]Data!K2038</f>
        <v>36.385131600000001</v>
      </c>
      <c r="L2038" s="8">
        <f>[1]Data!L2038</f>
        <v>0.61662585960502703</v>
      </c>
      <c r="M2038" s="8">
        <f>[1]Data!M2038</f>
        <v>37.001757459605003</v>
      </c>
      <c r="N2038" s="8">
        <f>[1]Data!N2038</f>
        <v>0.164383561643836</v>
      </c>
      <c r="O2038" s="8">
        <f>[1]Data!O2038</f>
        <v>0</v>
      </c>
      <c r="P2038" s="8">
        <f>[1]Data!P2038</f>
        <v>0.219178082191781</v>
      </c>
      <c r="Q2038" s="8">
        <f>[1]Data!Q2038</f>
        <v>1</v>
      </c>
      <c r="R2038" s="8">
        <f>[1]Data!R2038</f>
        <v>0.38461538461538503</v>
      </c>
      <c r="S2038" s="8">
        <f>[1]Data!S2038</f>
        <v>0</v>
      </c>
      <c r="T2038">
        <f t="shared" si="155"/>
        <v>0.48577449947313017</v>
      </c>
      <c r="U2038">
        <f t="shared" si="156"/>
        <v>0</v>
      </c>
      <c r="V2038" s="4" t="str">
        <f t="shared" si="157"/>
        <v>14</v>
      </c>
      <c r="W2038" s="4" t="str">
        <f t="shared" si="158"/>
        <v>4</v>
      </c>
      <c r="X2038" s="4" t="str">
        <f t="shared" si="159"/>
        <v>14CVCTE4</v>
      </c>
      <c r="Y2038">
        <f>VLOOKUP(X2038,Sheet1!$J$5:$K$121,2,FALSE)</f>
        <v>0.38461538461538503</v>
      </c>
    </row>
    <row r="2039" spans="1:25" x14ac:dyDescent="0.25">
      <c r="A2039" s="8">
        <f>[1]Data!A2039</f>
        <v>181300</v>
      </c>
      <c r="B2039" s="8">
        <f>[1]Data!B2039</f>
        <v>4</v>
      </c>
      <c r="C2039" s="8">
        <f>[1]Data!C2039</f>
        <v>14</v>
      </c>
      <c r="D2039" s="8">
        <f>[1]Data!D2039</f>
        <v>1</v>
      </c>
      <c r="E2039" s="8" t="str">
        <f>[1]Data!E2039</f>
        <v>CVCTE</v>
      </c>
      <c r="F2039" s="8" t="str">
        <f>[1]Data!F2039</f>
        <v>Eagle Rock</v>
      </c>
      <c r="G2039" s="8">
        <f>[1]Data!G2039</f>
        <v>1</v>
      </c>
      <c r="H2039" s="8">
        <f>[1]Data!H2039</f>
        <v>1</v>
      </c>
      <c r="I2039" s="8">
        <f>[1]Data!I2039</f>
        <v>24.077999999999999</v>
      </c>
      <c r="J2039" s="8">
        <f>[1]Data!J2039</f>
        <v>22.39761451</v>
      </c>
      <c r="K2039" s="8">
        <f>[1]Data!K2039</f>
        <v>23.39761451</v>
      </c>
      <c r="L2039" s="8">
        <f>[1]Data!L2039</f>
        <v>0.67988968075403999</v>
      </c>
      <c r="M2039" s="8">
        <f>[1]Data!M2039</f>
        <v>24.077504190753999</v>
      </c>
      <c r="N2039" s="8">
        <f>[1]Data!N2039</f>
        <v>0.164383561643836</v>
      </c>
      <c r="O2039" s="8">
        <f>[1]Data!O2039</f>
        <v>6.0833333333333304</v>
      </c>
      <c r="P2039" s="8">
        <f>[1]Data!P2039</f>
        <v>0.219178082191781</v>
      </c>
      <c r="Q2039" s="8">
        <f>[1]Data!Q2039</f>
        <v>1</v>
      </c>
      <c r="R2039" s="8">
        <f>[1]Data!R2039</f>
        <v>0</v>
      </c>
      <c r="S2039" s="8">
        <f>[1]Data!S2039</f>
        <v>0</v>
      </c>
      <c r="T2039">
        <f t="shared" si="155"/>
        <v>0.48577449947313017</v>
      </c>
      <c r="U2039">
        <f t="shared" si="156"/>
        <v>2.058568329718002</v>
      </c>
      <c r="V2039" s="4" t="str">
        <f t="shared" si="157"/>
        <v>14</v>
      </c>
      <c r="W2039" s="4" t="str">
        <f t="shared" si="158"/>
        <v>4</v>
      </c>
      <c r="X2039" s="4" t="str">
        <f t="shared" si="159"/>
        <v>14CVCTE4</v>
      </c>
      <c r="Y2039">
        <f>VLOOKUP(X2039,Sheet1!$J$5:$K$121,2,FALSE)</f>
        <v>0.38461538461538503</v>
      </c>
    </row>
    <row r="2040" spans="1:25" x14ac:dyDescent="0.25">
      <c r="A2040" s="8">
        <f>[1]Data!A2040</f>
        <v>181000</v>
      </c>
      <c r="B2040" s="8">
        <f>[1]Data!B2040</f>
        <v>4</v>
      </c>
      <c r="C2040" s="8">
        <f>[1]Data!C2040</f>
        <v>14</v>
      </c>
      <c r="D2040" s="8">
        <f>[1]Data!D2040</f>
        <v>1</v>
      </c>
      <c r="E2040" s="8" t="str">
        <f>[1]Data!E2040</f>
        <v>CVCTE</v>
      </c>
      <c r="F2040" s="8" t="str">
        <f>[1]Data!F2040</f>
        <v>Eagle Rock</v>
      </c>
      <c r="G2040" s="8">
        <f>[1]Data!G2040</f>
        <v>1</v>
      </c>
      <c r="H2040" s="8">
        <f>[1]Data!H2040</f>
        <v>1</v>
      </c>
      <c r="I2040" s="8">
        <f>[1]Data!I2040</f>
        <v>39.377000000000002</v>
      </c>
      <c r="J2040" s="8">
        <f>[1]Data!J2040</f>
        <v>32.307640370000001</v>
      </c>
      <c r="K2040" s="8">
        <f>[1]Data!K2040</f>
        <v>38.307640370000001</v>
      </c>
      <c r="L2040" s="8">
        <f>[1]Data!L2040</f>
        <v>1.06960552219031</v>
      </c>
      <c r="M2040" s="8">
        <f>[1]Data!M2040</f>
        <v>39.377245892190302</v>
      </c>
      <c r="N2040" s="8">
        <f>[1]Data!N2040</f>
        <v>0.164383561643836</v>
      </c>
      <c r="O2040" s="8">
        <f>[1]Data!O2040</f>
        <v>6.0833333333333304</v>
      </c>
      <c r="P2040" s="8">
        <f>[1]Data!P2040</f>
        <v>0.219178082191781</v>
      </c>
      <c r="Q2040" s="8">
        <f>[1]Data!Q2040</f>
        <v>1</v>
      </c>
      <c r="R2040" s="8">
        <f>[1]Data!R2040</f>
        <v>0</v>
      </c>
      <c r="S2040" s="8">
        <f>[1]Data!S2040</f>
        <v>0</v>
      </c>
      <c r="T2040">
        <f t="shared" si="155"/>
        <v>0.48577449947313017</v>
      </c>
      <c r="U2040">
        <f t="shared" si="156"/>
        <v>2.058568329718002</v>
      </c>
      <c r="V2040" s="4" t="str">
        <f t="shared" si="157"/>
        <v>14</v>
      </c>
      <c r="W2040" s="4" t="str">
        <f t="shared" si="158"/>
        <v>4</v>
      </c>
      <c r="X2040" s="4" t="str">
        <f t="shared" si="159"/>
        <v>14CVCTE4</v>
      </c>
      <c r="Y2040">
        <f>VLOOKUP(X2040,Sheet1!$J$5:$K$121,2,FALSE)</f>
        <v>0.38461538461538503</v>
      </c>
    </row>
    <row r="2041" spans="1:25" x14ac:dyDescent="0.25">
      <c r="A2041" s="8">
        <f>[1]Data!A2041</f>
        <v>207900</v>
      </c>
      <c r="B2041" s="8">
        <f>[1]Data!B2041</f>
        <v>4</v>
      </c>
      <c r="C2041" s="8">
        <f>[1]Data!C2041</f>
        <v>14</v>
      </c>
      <c r="D2041" s="8">
        <f>[1]Data!D2041</f>
        <v>1</v>
      </c>
      <c r="E2041" s="8" t="str">
        <f>[1]Data!E2041</f>
        <v>CVCTE</v>
      </c>
      <c r="F2041" s="8" t="str">
        <f>[1]Data!F2041</f>
        <v>Downtown Los Angeles</v>
      </c>
      <c r="G2041" s="8">
        <f>[1]Data!G2041</f>
        <v>0</v>
      </c>
      <c r="H2041" s="8">
        <f>[1]Data!H2041</f>
        <v>0</v>
      </c>
      <c r="I2041" s="8">
        <f>[1]Data!I2041</f>
        <v>81.412000000000006</v>
      </c>
      <c r="J2041" s="8">
        <f>[1]Data!J2041</f>
        <v>28.801526020000001</v>
      </c>
      <c r="K2041" s="8">
        <f>[1]Data!K2041</f>
        <v>80.801526019999997</v>
      </c>
      <c r="L2041" s="8">
        <f>[1]Data!L2041</f>
        <v>0.61007235326750497</v>
      </c>
      <c r="M2041" s="8">
        <f>[1]Data!M2041</f>
        <v>81.411598373267495</v>
      </c>
      <c r="N2041" s="8">
        <f>[1]Data!N2041</f>
        <v>0.164383561643836</v>
      </c>
      <c r="O2041" s="8">
        <f>[1]Data!O2041</f>
        <v>0</v>
      </c>
      <c r="P2041" s="8">
        <f>[1]Data!P2041</f>
        <v>0.219178082191781</v>
      </c>
      <c r="Q2041" s="8">
        <f>[1]Data!Q2041</f>
        <v>1</v>
      </c>
      <c r="R2041" s="8">
        <f>[1]Data!R2041</f>
        <v>0.38461538461538503</v>
      </c>
      <c r="S2041" s="8">
        <f>[1]Data!S2041</f>
        <v>0</v>
      </c>
      <c r="T2041">
        <f t="shared" si="155"/>
        <v>0.48577449947313017</v>
      </c>
      <c r="U2041">
        <f t="shared" si="156"/>
        <v>0</v>
      </c>
      <c r="V2041" s="4" t="str">
        <f t="shared" si="157"/>
        <v>14</v>
      </c>
      <c r="W2041" s="4" t="str">
        <f t="shared" si="158"/>
        <v>4</v>
      </c>
      <c r="X2041" s="4" t="str">
        <f t="shared" si="159"/>
        <v>14CVCTE4</v>
      </c>
      <c r="Y2041">
        <f>VLOOKUP(X2041,Sheet1!$J$5:$K$121,2,FALSE)</f>
        <v>0.38461538461538503</v>
      </c>
    </row>
    <row r="2042" spans="1:25" x14ac:dyDescent="0.25">
      <c r="A2042" s="8">
        <f>[1]Data!A2042</f>
        <v>183101</v>
      </c>
      <c r="B2042" s="8">
        <f>[1]Data!B2042</f>
        <v>4</v>
      </c>
      <c r="C2042" s="8">
        <f>[1]Data!C2042</f>
        <v>14</v>
      </c>
      <c r="D2042" s="8">
        <f>[1]Data!D2042</f>
        <v>1</v>
      </c>
      <c r="E2042" s="8" t="str">
        <f>[1]Data!E2042</f>
        <v>FAMILY</v>
      </c>
      <c r="F2042" s="8" t="str">
        <f>[1]Data!F2042</f>
        <v>Highland Park</v>
      </c>
      <c r="G2042" s="8">
        <f>[1]Data!G2042</f>
        <v>1</v>
      </c>
      <c r="H2042" s="8">
        <f>[1]Data!H2042</f>
        <v>1</v>
      </c>
      <c r="I2042" s="8">
        <f>[1]Data!I2042</f>
        <v>19.524000000000001</v>
      </c>
      <c r="J2042" s="8">
        <f>[1]Data!J2042</f>
        <v>14.86504671</v>
      </c>
      <c r="K2042" s="8">
        <f>[1]Data!K2042</f>
        <v>18.865046710000001</v>
      </c>
      <c r="L2042" s="8">
        <f>[1]Data!L2042</f>
        <v>0.65888498759425496</v>
      </c>
      <c r="M2042" s="8">
        <f>[1]Data!M2042</f>
        <v>19.5239316975943</v>
      </c>
      <c r="N2042" s="8">
        <f>[1]Data!N2042</f>
        <v>1</v>
      </c>
      <c r="O2042" s="8">
        <f>[1]Data!O2042</f>
        <v>1</v>
      </c>
      <c r="P2042" s="8">
        <f>[1]Data!P2042</f>
        <v>0</v>
      </c>
      <c r="Q2042" s="8">
        <f>[1]Data!Q2042</f>
        <v>0</v>
      </c>
      <c r="R2042" s="8">
        <f>[1]Data!R2042</f>
        <v>0</v>
      </c>
      <c r="S2042" s="8">
        <f>[1]Data!S2042</f>
        <v>0</v>
      </c>
      <c r="T2042">
        <f t="shared" si="155"/>
        <v>1</v>
      </c>
      <c r="U2042">
        <f t="shared" si="156"/>
        <v>1</v>
      </c>
      <c r="V2042" s="4" t="str">
        <f t="shared" si="157"/>
        <v>14</v>
      </c>
      <c r="W2042" s="4" t="str">
        <f t="shared" si="158"/>
        <v>4</v>
      </c>
      <c r="X2042" s="4" t="str">
        <f t="shared" si="159"/>
        <v>14FAMILY4</v>
      </c>
      <c r="Y2042">
        <f>VLOOKUP(X2042,Sheet1!$J$5:$K$121,2,FALSE)</f>
        <v>0</v>
      </c>
    </row>
    <row r="2043" spans="1:25" x14ac:dyDescent="0.25">
      <c r="A2043" s="8">
        <f>[1]Data!A2043</f>
        <v>226002</v>
      </c>
      <c r="B2043" s="8">
        <f>[1]Data!B2043</f>
        <v>4</v>
      </c>
      <c r="C2043" s="8">
        <f>[1]Data!C2043</f>
        <v>14</v>
      </c>
      <c r="D2043" s="8">
        <f>[1]Data!D2043</f>
        <v>2</v>
      </c>
      <c r="E2043" s="8" t="str">
        <f>[1]Data!E2043</f>
        <v>FAMILY</v>
      </c>
      <c r="F2043" s="8" t="str">
        <f>[1]Data!F2043</f>
        <v>Downtown Los Angeles</v>
      </c>
      <c r="G2043" s="8">
        <f>[1]Data!G2043</f>
        <v>1</v>
      </c>
      <c r="H2043" s="8">
        <f>[1]Data!H2043</f>
        <v>1</v>
      </c>
      <c r="I2043" s="8">
        <f>[1]Data!I2043</f>
        <v>489.60500000000002</v>
      </c>
      <c r="J2043" s="8">
        <f>[1]Data!J2043</f>
        <v>326.93036359000001</v>
      </c>
      <c r="K2043" s="8">
        <f>[1]Data!K2043</f>
        <v>483.93036359000001</v>
      </c>
      <c r="L2043" s="8">
        <f>[1]Data!L2043</f>
        <v>8.6723665109874304</v>
      </c>
      <c r="M2043" s="8">
        <f>[1]Data!M2043</f>
        <v>492.602730100987</v>
      </c>
      <c r="N2043" s="8">
        <f>[1]Data!N2043</f>
        <v>1</v>
      </c>
      <c r="O2043" s="8">
        <f>[1]Data!O2043</f>
        <v>1</v>
      </c>
      <c r="P2043" s="8">
        <f>[1]Data!P2043</f>
        <v>0</v>
      </c>
      <c r="Q2043" s="8">
        <f>[1]Data!Q2043</f>
        <v>0</v>
      </c>
      <c r="R2043" s="8">
        <f>[1]Data!R2043</f>
        <v>0</v>
      </c>
      <c r="S2043" s="8">
        <f>[1]Data!S2043</f>
        <v>0</v>
      </c>
      <c r="T2043">
        <f t="shared" si="155"/>
        <v>1</v>
      </c>
      <c r="U2043">
        <f t="shared" si="156"/>
        <v>1</v>
      </c>
      <c r="V2043" s="4" t="str">
        <f t="shared" si="157"/>
        <v>14</v>
      </c>
      <c r="W2043" s="4" t="str">
        <f t="shared" si="158"/>
        <v>4</v>
      </c>
      <c r="X2043" s="4" t="str">
        <f t="shared" si="159"/>
        <v>14FAMILY4</v>
      </c>
      <c r="Y2043">
        <f>VLOOKUP(X2043,Sheet1!$J$5:$K$121,2,FALSE)</f>
        <v>0</v>
      </c>
    </row>
    <row r="2044" spans="1:25" x14ac:dyDescent="0.25">
      <c r="A2044" s="8">
        <f>[1]Data!A2044</f>
        <v>206032</v>
      </c>
      <c r="B2044" s="8">
        <f>[1]Data!B2044</f>
        <v>4</v>
      </c>
      <c r="C2044" s="8">
        <f>[1]Data!C2044</f>
        <v>14</v>
      </c>
      <c r="D2044" s="8">
        <f>[1]Data!D2044</f>
        <v>1</v>
      </c>
      <c r="E2044" s="8" t="str">
        <f>[1]Data!E2044</f>
        <v>FAMILY</v>
      </c>
      <c r="F2044" s="8" t="str">
        <f>[1]Data!F2044</f>
        <v>Boyle Heights</v>
      </c>
      <c r="G2044" s="8">
        <f>[1]Data!G2044</f>
        <v>1</v>
      </c>
      <c r="H2044" s="8">
        <f>[1]Data!H2044</f>
        <v>1</v>
      </c>
      <c r="I2044" s="8">
        <f>[1]Data!I2044</f>
        <v>83.272999999999996</v>
      </c>
      <c r="J2044" s="8">
        <f>[1]Data!J2044</f>
        <v>72.667884650000005</v>
      </c>
      <c r="K2044" s="8">
        <f>[1]Data!K2044</f>
        <v>80.667884650000005</v>
      </c>
      <c r="L2044" s="8">
        <f>[1]Data!L2044</f>
        <v>4.6040563110412904</v>
      </c>
      <c r="M2044" s="8">
        <f>[1]Data!M2044</f>
        <v>85.271940961041295</v>
      </c>
      <c r="N2044" s="8">
        <f>[1]Data!N2044</f>
        <v>1</v>
      </c>
      <c r="O2044" s="8">
        <f>[1]Data!O2044</f>
        <v>1</v>
      </c>
      <c r="P2044" s="8">
        <f>[1]Data!P2044</f>
        <v>0</v>
      </c>
      <c r="Q2044" s="8">
        <f>[1]Data!Q2044</f>
        <v>0</v>
      </c>
      <c r="R2044" s="8">
        <f>[1]Data!R2044</f>
        <v>0</v>
      </c>
      <c r="S2044" s="8">
        <f>[1]Data!S2044</f>
        <v>0</v>
      </c>
      <c r="T2044">
        <f t="shared" si="155"/>
        <v>1</v>
      </c>
      <c r="U2044">
        <f t="shared" si="156"/>
        <v>1</v>
      </c>
      <c r="V2044" s="4" t="str">
        <f t="shared" si="157"/>
        <v>14</v>
      </c>
      <c r="W2044" s="4" t="str">
        <f t="shared" si="158"/>
        <v>4</v>
      </c>
      <c r="X2044" s="4" t="str">
        <f t="shared" si="159"/>
        <v>14FAMILY4</v>
      </c>
      <c r="Y2044">
        <f>VLOOKUP(X2044,Sheet1!$J$5:$K$121,2,FALSE)</f>
        <v>0</v>
      </c>
    </row>
    <row r="2045" spans="1:25" x14ac:dyDescent="0.25">
      <c r="A2045" s="8">
        <f>[1]Data!A2045</f>
        <v>183620</v>
      </c>
      <c r="B2045" s="8">
        <f>[1]Data!B2045</f>
        <v>4</v>
      </c>
      <c r="C2045" s="8">
        <f>[1]Data!C2045</f>
        <v>14</v>
      </c>
      <c r="D2045" s="8">
        <f>[1]Data!D2045</f>
        <v>1</v>
      </c>
      <c r="E2045" s="8" t="str">
        <f>[1]Data!E2045</f>
        <v>INDIV</v>
      </c>
      <c r="F2045" s="8" t="str">
        <f>[1]Data!F2045</f>
        <v>Highland Park</v>
      </c>
      <c r="G2045" s="8">
        <f>[1]Data!G2045</f>
        <v>0</v>
      </c>
      <c r="H2045" s="8">
        <f>[1]Data!H2045</f>
        <v>0</v>
      </c>
      <c r="I2045" s="8">
        <f>[1]Data!I2045</f>
        <v>5.2069999999999999</v>
      </c>
      <c r="J2045" s="8">
        <f>[1]Data!J2045</f>
        <v>4.9054609100000004</v>
      </c>
      <c r="K2045" s="8">
        <f>[1]Data!K2045</f>
        <v>4.9054609100000004</v>
      </c>
      <c r="L2045" s="8">
        <f>[1]Data!L2045</f>
        <v>0.30142302671454202</v>
      </c>
      <c r="M2045" s="8">
        <f>[1]Data!M2045</f>
        <v>5.2068839367145401</v>
      </c>
      <c r="N2045" s="8">
        <f>[1]Data!N2045</f>
        <v>8.5106382978723402E-2</v>
      </c>
      <c r="O2045" s="8">
        <f>[1]Data!O2045</f>
        <v>0</v>
      </c>
      <c r="P2045" s="8">
        <f>[1]Data!P2045</f>
        <v>0.21276595744680901</v>
      </c>
      <c r="Q2045" s="8">
        <f>[1]Data!Q2045</f>
        <v>1</v>
      </c>
      <c r="R2045" s="8">
        <f>[1]Data!R2045</f>
        <v>0.4</v>
      </c>
      <c r="S2045" s="8">
        <f>[1]Data!S2045</f>
        <v>0</v>
      </c>
      <c r="T2045">
        <f t="shared" si="155"/>
        <v>0.45106382978723408</v>
      </c>
      <c r="U2045">
        <f t="shared" si="156"/>
        <v>0</v>
      </c>
      <c r="V2045" s="4" t="str">
        <f t="shared" si="157"/>
        <v>14</v>
      </c>
      <c r="W2045" s="4" t="str">
        <f t="shared" si="158"/>
        <v>4</v>
      </c>
      <c r="X2045" s="4" t="str">
        <f t="shared" si="159"/>
        <v>14INDIV4</v>
      </c>
      <c r="Y2045">
        <f>VLOOKUP(X2045,Sheet1!$J$5:$K$121,2,FALSE)</f>
        <v>0.4</v>
      </c>
    </row>
    <row r="2046" spans="1:25" x14ac:dyDescent="0.25">
      <c r="A2046" s="8">
        <f>[1]Data!A2046</f>
        <v>204600</v>
      </c>
      <c r="B2046" s="8">
        <f>[1]Data!B2046</f>
        <v>4</v>
      </c>
      <c r="C2046" s="8">
        <f>[1]Data!C2046</f>
        <v>14</v>
      </c>
      <c r="D2046" s="8">
        <f>[1]Data!D2046</f>
        <v>1</v>
      </c>
      <c r="E2046" s="8" t="str">
        <f>[1]Data!E2046</f>
        <v>INDIV</v>
      </c>
      <c r="F2046" s="8" t="str">
        <f>[1]Data!F2046</f>
        <v>Boyle Heights</v>
      </c>
      <c r="G2046" s="8">
        <f>[1]Data!G2046</f>
        <v>0</v>
      </c>
      <c r="H2046" s="8">
        <f>[1]Data!H2046</f>
        <v>1</v>
      </c>
      <c r="I2046" s="8">
        <f>[1]Data!I2046</f>
        <v>29.532</v>
      </c>
      <c r="J2046" s="8">
        <f>[1]Data!J2046</f>
        <v>17.97266406</v>
      </c>
      <c r="K2046" s="8">
        <f>[1]Data!K2046</f>
        <v>28.97266406</v>
      </c>
      <c r="L2046" s="8">
        <f>[1]Data!L2046</f>
        <v>0.55932047791741502</v>
      </c>
      <c r="M2046" s="8">
        <f>[1]Data!M2046</f>
        <v>29.531984537917399</v>
      </c>
      <c r="N2046" s="8">
        <f>[1]Data!N2046</f>
        <v>8.5106382978723402E-2</v>
      </c>
      <c r="O2046" s="8">
        <f>[1]Data!O2046</f>
        <v>0</v>
      </c>
      <c r="P2046" s="8">
        <f>[1]Data!P2046</f>
        <v>0.21276595744680901</v>
      </c>
      <c r="Q2046" s="8">
        <f>[1]Data!Q2046</f>
        <v>1</v>
      </c>
      <c r="R2046" s="8">
        <f>[1]Data!R2046</f>
        <v>0.4</v>
      </c>
      <c r="S2046" s="8">
        <f>[1]Data!S2046</f>
        <v>2.5</v>
      </c>
      <c r="T2046">
        <f t="shared" si="155"/>
        <v>0.45106382978723408</v>
      </c>
      <c r="U2046">
        <f t="shared" si="156"/>
        <v>2.2169811320754715</v>
      </c>
      <c r="V2046" s="4" t="str">
        <f t="shared" si="157"/>
        <v>14</v>
      </c>
      <c r="W2046" s="4" t="str">
        <f t="shared" si="158"/>
        <v>4</v>
      </c>
      <c r="X2046" s="4" t="str">
        <f t="shared" si="159"/>
        <v>14INDIV4</v>
      </c>
      <c r="Y2046">
        <f>VLOOKUP(X2046,Sheet1!$J$5:$K$121,2,FALSE)</f>
        <v>0.4</v>
      </c>
    </row>
    <row r="2047" spans="1:25" x14ac:dyDescent="0.25">
      <c r="A2047" s="8">
        <f>[1]Data!A2047</f>
        <v>204300</v>
      </c>
      <c r="B2047" s="8">
        <f>[1]Data!B2047</f>
        <v>4</v>
      </c>
      <c r="C2047" s="8">
        <f>[1]Data!C2047</f>
        <v>14</v>
      </c>
      <c r="D2047" s="8">
        <f>[1]Data!D2047</f>
        <v>1</v>
      </c>
      <c r="E2047" s="8" t="str">
        <f>[1]Data!E2047</f>
        <v>INDIV</v>
      </c>
      <c r="F2047" s="8" t="str">
        <f>[1]Data!F2047</f>
        <v>Boyle Heights</v>
      </c>
      <c r="G2047" s="8">
        <f>[1]Data!G2047</f>
        <v>0</v>
      </c>
      <c r="H2047" s="8">
        <f>[1]Data!H2047</f>
        <v>0</v>
      </c>
      <c r="I2047" s="8">
        <f>[1]Data!I2047</f>
        <v>11.994999999999999</v>
      </c>
      <c r="J2047" s="8">
        <f>[1]Data!J2047</f>
        <v>11.401062980000001</v>
      </c>
      <c r="K2047" s="8">
        <f>[1]Data!K2047</f>
        <v>11.401062980000001</v>
      </c>
      <c r="L2047" s="8">
        <f>[1]Data!L2047</f>
        <v>0.59466142610412898</v>
      </c>
      <c r="M2047" s="8">
        <f>[1]Data!M2047</f>
        <v>11.995724406104101</v>
      </c>
      <c r="N2047" s="8">
        <f>[1]Data!N2047</f>
        <v>8.5106382978723402E-2</v>
      </c>
      <c r="O2047" s="8">
        <f>[1]Data!O2047</f>
        <v>0</v>
      </c>
      <c r="P2047" s="8">
        <f>[1]Data!P2047</f>
        <v>0.21276595744680901</v>
      </c>
      <c r="Q2047" s="8">
        <f>[1]Data!Q2047</f>
        <v>1</v>
      </c>
      <c r="R2047" s="8">
        <f>[1]Data!R2047</f>
        <v>0.4</v>
      </c>
      <c r="S2047" s="8">
        <f>[1]Data!S2047</f>
        <v>0</v>
      </c>
      <c r="T2047">
        <f t="shared" si="155"/>
        <v>0.45106382978723408</v>
      </c>
      <c r="U2047">
        <f t="shared" si="156"/>
        <v>0</v>
      </c>
      <c r="V2047" s="4" t="str">
        <f t="shared" si="157"/>
        <v>14</v>
      </c>
      <c r="W2047" s="4" t="str">
        <f t="shared" si="158"/>
        <v>4</v>
      </c>
      <c r="X2047" s="4" t="str">
        <f t="shared" si="159"/>
        <v>14INDIV4</v>
      </c>
      <c r="Y2047">
        <f>VLOOKUP(X2047,Sheet1!$J$5:$K$121,2,FALSE)</f>
        <v>0.4</v>
      </c>
    </row>
    <row r="2048" spans="1:25" x14ac:dyDescent="0.25">
      <c r="A2048" s="8">
        <f>[1]Data!A2048</f>
        <v>204110</v>
      </c>
      <c r="B2048" s="8">
        <f>[1]Data!B2048</f>
        <v>4</v>
      </c>
      <c r="C2048" s="8">
        <f>[1]Data!C2048</f>
        <v>14</v>
      </c>
      <c r="D2048" s="8">
        <f>[1]Data!D2048</f>
        <v>1</v>
      </c>
      <c r="E2048" s="8" t="str">
        <f>[1]Data!E2048</f>
        <v>INDIV</v>
      </c>
      <c r="F2048" s="8" t="str">
        <f>[1]Data!F2048</f>
        <v>Boyle Heights</v>
      </c>
      <c r="G2048" s="8">
        <f>[1]Data!G2048</f>
        <v>0</v>
      </c>
      <c r="H2048" s="8">
        <f>[1]Data!H2048</f>
        <v>0</v>
      </c>
      <c r="I2048" s="8">
        <f>[1]Data!I2048</f>
        <v>15.19</v>
      </c>
      <c r="J2048" s="8">
        <f>[1]Data!J2048</f>
        <v>3.9673993200000002</v>
      </c>
      <c r="K2048" s="8">
        <f>[1]Data!K2048</f>
        <v>14.96739932</v>
      </c>
      <c r="L2048" s="8">
        <f>[1]Data!L2048</f>
        <v>0.22234520276481101</v>
      </c>
      <c r="M2048" s="8">
        <f>[1]Data!M2048</f>
        <v>15.1897445227648</v>
      </c>
      <c r="N2048" s="8">
        <f>[1]Data!N2048</f>
        <v>8.5106382978723402E-2</v>
      </c>
      <c r="O2048" s="8">
        <f>[1]Data!O2048</f>
        <v>0</v>
      </c>
      <c r="P2048" s="8">
        <f>[1]Data!P2048</f>
        <v>0.21276595744680901</v>
      </c>
      <c r="Q2048" s="8">
        <f>[1]Data!Q2048</f>
        <v>1</v>
      </c>
      <c r="R2048" s="8">
        <f>[1]Data!R2048</f>
        <v>0.4</v>
      </c>
      <c r="S2048" s="8">
        <f>[1]Data!S2048</f>
        <v>0</v>
      </c>
      <c r="T2048">
        <f t="shared" si="155"/>
        <v>0.45106382978723408</v>
      </c>
      <c r="U2048">
        <f t="shared" si="156"/>
        <v>0</v>
      </c>
      <c r="V2048" s="4" t="str">
        <f t="shared" si="157"/>
        <v>14</v>
      </c>
      <c r="W2048" s="4" t="str">
        <f t="shared" si="158"/>
        <v>4</v>
      </c>
      <c r="X2048" s="4" t="str">
        <f t="shared" si="159"/>
        <v>14INDIV4</v>
      </c>
      <c r="Y2048">
        <f>VLOOKUP(X2048,Sheet1!$J$5:$K$121,2,FALSE)</f>
        <v>0.4</v>
      </c>
    </row>
    <row r="2049" spans="1:25" x14ac:dyDescent="0.25">
      <c r="A2049" s="8">
        <f>[1]Data!A2049</f>
        <v>203600</v>
      </c>
      <c r="B2049" s="8">
        <f>[1]Data!B2049</f>
        <v>4</v>
      </c>
      <c r="C2049" s="8">
        <f>[1]Data!C2049</f>
        <v>14</v>
      </c>
      <c r="D2049" s="8">
        <f>[1]Data!D2049</f>
        <v>1</v>
      </c>
      <c r="E2049" s="8" t="str">
        <f>[1]Data!E2049</f>
        <v>INDIV</v>
      </c>
      <c r="F2049" s="8" t="str">
        <f>[1]Data!F2049</f>
        <v>Boyle Heights</v>
      </c>
      <c r="G2049" s="8">
        <f>[1]Data!G2049</f>
        <v>0</v>
      </c>
      <c r="H2049" s="8">
        <f>[1]Data!H2049</f>
        <v>0</v>
      </c>
      <c r="I2049" s="8">
        <f>[1]Data!I2049</f>
        <v>3</v>
      </c>
      <c r="J2049" s="8">
        <f>[1]Data!J2049</f>
        <v>0</v>
      </c>
      <c r="K2049" s="8">
        <f>[1]Data!K2049</f>
        <v>3</v>
      </c>
      <c r="L2049" s="8">
        <f>[1]Data!L2049</f>
        <v>0</v>
      </c>
      <c r="M2049" s="8">
        <f>[1]Data!M2049</f>
        <v>3</v>
      </c>
      <c r="N2049" s="8">
        <f>[1]Data!N2049</f>
        <v>8.5106382978723402E-2</v>
      </c>
      <c r="O2049" s="8">
        <f>[1]Data!O2049</f>
        <v>0</v>
      </c>
      <c r="P2049" s="8">
        <f>[1]Data!P2049</f>
        <v>0.21276595744680901</v>
      </c>
      <c r="Q2049" s="8">
        <f>[1]Data!Q2049</f>
        <v>1</v>
      </c>
      <c r="R2049" s="8">
        <f>[1]Data!R2049</f>
        <v>0.4</v>
      </c>
      <c r="S2049" s="8">
        <f>[1]Data!S2049</f>
        <v>0</v>
      </c>
      <c r="T2049">
        <f t="shared" si="155"/>
        <v>0.45106382978723408</v>
      </c>
      <c r="U2049">
        <f t="shared" si="156"/>
        <v>0</v>
      </c>
      <c r="V2049" s="4" t="str">
        <f t="shared" si="157"/>
        <v>14</v>
      </c>
      <c r="W2049" s="4" t="str">
        <f t="shared" si="158"/>
        <v>4</v>
      </c>
      <c r="X2049" s="4" t="str">
        <f t="shared" si="159"/>
        <v>14INDIV4</v>
      </c>
      <c r="Y2049">
        <f>VLOOKUP(X2049,Sheet1!$J$5:$K$121,2,FALSE)</f>
        <v>0.4</v>
      </c>
    </row>
    <row r="2050" spans="1:25" x14ac:dyDescent="0.25">
      <c r="A2050" s="8">
        <f>[1]Data!A2050</f>
        <v>207501</v>
      </c>
      <c r="B2050" s="8">
        <f>[1]Data!B2050</f>
        <v>4</v>
      </c>
      <c r="C2050" s="8">
        <f>[1]Data!C2050</f>
        <v>14</v>
      </c>
      <c r="D2050" s="8">
        <f>[1]Data!D2050</f>
        <v>1</v>
      </c>
      <c r="E2050" s="8" t="str">
        <f>[1]Data!E2050</f>
        <v>INDIV</v>
      </c>
      <c r="F2050" s="8" t="str">
        <f>[1]Data!F2050</f>
        <v>Downtown Los Angeles</v>
      </c>
      <c r="G2050" s="8">
        <f>[1]Data!G2050</f>
        <v>0</v>
      </c>
      <c r="H2050" s="8">
        <f>[1]Data!H2050</f>
        <v>0</v>
      </c>
      <c r="I2050" s="8">
        <f>[1]Data!I2050</f>
        <v>18.925999999999998</v>
      </c>
      <c r="J2050" s="8">
        <f>[1]Data!J2050</f>
        <v>1.90487994</v>
      </c>
      <c r="K2050" s="8">
        <f>[1]Data!K2050</f>
        <v>18.904879940000001</v>
      </c>
      <c r="L2050" s="8">
        <f>[1]Data!L2050</f>
        <v>2.0625322082585301E-2</v>
      </c>
      <c r="M2050" s="8">
        <f>[1]Data!M2050</f>
        <v>18.925505262082599</v>
      </c>
      <c r="N2050" s="8">
        <f>[1]Data!N2050</f>
        <v>8.5106382978723402E-2</v>
      </c>
      <c r="O2050" s="8">
        <f>[1]Data!O2050</f>
        <v>0</v>
      </c>
      <c r="P2050" s="8">
        <f>[1]Data!P2050</f>
        <v>0.21276595744680901</v>
      </c>
      <c r="Q2050" s="8">
        <f>[1]Data!Q2050</f>
        <v>1</v>
      </c>
      <c r="R2050" s="8">
        <f>[1]Data!R2050</f>
        <v>0.4</v>
      </c>
      <c r="S2050" s="8">
        <f>[1]Data!S2050</f>
        <v>0</v>
      </c>
      <c r="T2050">
        <f t="shared" si="155"/>
        <v>0.45106382978723408</v>
      </c>
      <c r="U2050">
        <f t="shared" si="156"/>
        <v>0</v>
      </c>
      <c r="V2050" s="4" t="str">
        <f t="shared" si="157"/>
        <v>14</v>
      </c>
      <c r="W2050" s="4" t="str">
        <f t="shared" si="158"/>
        <v>4</v>
      </c>
      <c r="X2050" s="4" t="str">
        <f t="shared" si="159"/>
        <v>14INDIV4</v>
      </c>
      <c r="Y2050">
        <f>VLOOKUP(X2050,Sheet1!$J$5:$K$121,2,FALSE)</f>
        <v>0.4</v>
      </c>
    </row>
    <row r="2051" spans="1:25" x14ac:dyDescent="0.25">
      <c r="A2051" s="8">
        <f>[1]Data!A2051</f>
        <v>206050</v>
      </c>
      <c r="B2051" s="8">
        <f>[1]Data!B2051</f>
        <v>4</v>
      </c>
      <c r="C2051" s="8">
        <f>[1]Data!C2051</f>
        <v>14</v>
      </c>
      <c r="D2051" s="8">
        <f>[1]Data!D2051</f>
        <v>1</v>
      </c>
      <c r="E2051" s="8" t="str">
        <f>[1]Data!E2051</f>
        <v>INDIV</v>
      </c>
      <c r="F2051" s="8" t="str">
        <f>[1]Data!F2051</f>
        <v>Boyle Heights</v>
      </c>
      <c r="G2051" s="8">
        <f>[1]Data!G2051</f>
        <v>0</v>
      </c>
      <c r="H2051" s="8">
        <f>[1]Data!H2051</f>
        <v>1</v>
      </c>
      <c r="I2051" s="8">
        <f>[1]Data!I2051</f>
        <v>41.411000000000001</v>
      </c>
      <c r="J2051" s="8">
        <f>[1]Data!J2051</f>
        <v>14.62295166</v>
      </c>
      <c r="K2051" s="8">
        <f>[1]Data!K2051</f>
        <v>40.622951659999998</v>
      </c>
      <c r="L2051" s="8">
        <f>[1]Data!L2051</f>
        <v>0.78884506197486504</v>
      </c>
      <c r="M2051" s="8">
        <f>[1]Data!M2051</f>
        <v>41.411796721974902</v>
      </c>
      <c r="N2051" s="8">
        <f>[1]Data!N2051</f>
        <v>8.5106382978723402E-2</v>
      </c>
      <c r="O2051" s="8">
        <f>[1]Data!O2051</f>
        <v>0</v>
      </c>
      <c r="P2051" s="8">
        <f>[1]Data!P2051</f>
        <v>0.21276595744680901</v>
      </c>
      <c r="Q2051" s="8">
        <f>[1]Data!Q2051</f>
        <v>1</v>
      </c>
      <c r="R2051" s="8">
        <f>[1]Data!R2051</f>
        <v>0.4</v>
      </c>
      <c r="S2051" s="8">
        <f>[1]Data!S2051</f>
        <v>2.5</v>
      </c>
      <c r="T2051">
        <f t="shared" ref="T2051:T2114" si="160">N2051+Y2051*(1-N2051)</f>
        <v>0.45106382978723408</v>
      </c>
      <c r="U2051">
        <f t="shared" ref="U2051:U2114" si="161">IF(T2051="",0,1/T2051*H2051)</f>
        <v>2.2169811320754715</v>
      </c>
      <c r="V2051" s="4" t="str">
        <f t="shared" ref="V2051:V2114" si="162">TEXT(C2051,"0")</f>
        <v>14</v>
      </c>
      <c r="W2051" s="4" t="str">
        <f t="shared" ref="W2051:W2114" si="163">TEXT(B2051,"0")</f>
        <v>4</v>
      </c>
      <c r="X2051" s="4" t="str">
        <f t="shared" ref="X2051:X2114" si="164">CONCATENATE(V2051,E2051,W2051)</f>
        <v>14INDIV4</v>
      </c>
      <c r="Y2051">
        <f>VLOOKUP(X2051,Sheet1!$J$5:$K$121,2,FALSE)</f>
        <v>0.4</v>
      </c>
    </row>
    <row r="2052" spans="1:25" x14ac:dyDescent="0.25">
      <c r="A2052" s="8">
        <f>[1]Data!A2052</f>
        <v>206020</v>
      </c>
      <c r="B2052" s="8">
        <f>[1]Data!B2052</f>
        <v>4</v>
      </c>
      <c r="C2052" s="8">
        <f>[1]Data!C2052</f>
        <v>14</v>
      </c>
      <c r="D2052" s="8">
        <f>[1]Data!D2052</f>
        <v>1</v>
      </c>
      <c r="E2052" s="8" t="str">
        <f>[1]Data!E2052</f>
        <v>INDIV</v>
      </c>
      <c r="F2052" s="8" t="str">
        <f>[1]Data!F2052</f>
        <v>Chinatown</v>
      </c>
      <c r="G2052" s="8">
        <f>[1]Data!G2052</f>
        <v>0</v>
      </c>
      <c r="H2052" s="8">
        <f>[1]Data!H2052</f>
        <v>1</v>
      </c>
      <c r="I2052" s="8">
        <f>[1]Data!I2052</f>
        <v>22.478999999999999</v>
      </c>
      <c r="J2052" s="8">
        <f>[1]Data!J2052</f>
        <v>13.33415958</v>
      </c>
      <c r="K2052" s="8">
        <f>[1]Data!K2052</f>
        <v>22.334159580000001</v>
      </c>
      <c r="L2052" s="8">
        <f>[1]Data!L2052</f>
        <v>0.144377254578097</v>
      </c>
      <c r="M2052" s="8">
        <f>[1]Data!M2052</f>
        <v>22.478536834578101</v>
      </c>
      <c r="N2052" s="8">
        <f>[1]Data!N2052</f>
        <v>8.5106382978723402E-2</v>
      </c>
      <c r="O2052" s="8">
        <f>[1]Data!O2052</f>
        <v>0</v>
      </c>
      <c r="P2052" s="8">
        <f>[1]Data!P2052</f>
        <v>0.21276595744680901</v>
      </c>
      <c r="Q2052" s="8">
        <f>[1]Data!Q2052</f>
        <v>1</v>
      </c>
      <c r="R2052" s="8">
        <f>[1]Data!R2052</f>
        <v>0.4</v>
      </c>
      <c r="S2052" s="8">
        <f>[1]Data!S2052</f>
        <v>2.5</v>
      </c>
      <c r="T2052">
        <f t="shared" si="160"/>
        <v>0.45106382978723408</v>
      </c>
      <c r="U2052">
        <f t="shared" si="161"/>
        <v>2.2169811320754715</v>
      </c>
      <c r="V2052" s="4" t="str">
        <f t="shared" si="162"/>
        <v>14</v>
      </c>
      <c r="W2052" s="4" t="str">
        <f t="shared" si="163"/>
        <v>4</v>
      </c>
      <c r="X2052" s="4" t="str">
        <f t="shared" si="164"/>
        <v>14INDIV4</v>
      </c>
      <c r="Y2052">
        <f>VLOOKUP(X2052,Sheet1!$J$5:$K$121,2,FALSE)</f>
        <v>0.4</v>
      </c>
    </row>
    <row r="2053" spans="1:25" x14ac:dyDescent="0.25">
      <c r="A2053" s="8">
        <f>[1]Data!A2053</f>
        <v>207502</v>
      </c>
      <c r="B2053" s="8">
        <f>[1]Data!B2053</f>
        <v>4</v>
      </c>
      <c r="C2053" s="8">
        <f>[1]Data!C2053</f>
        <v>14</v>
      </c>
      <c r="D2053" s="8">
        <f>[1]Data!D2053</f>
        <v>1</v>
      </c>
      <c r="E2053" s="8" t="str">
        <f>[1]Data!E2053</f>
        <v>INDIV</v>
      </c>
      <c r="F2053" s="8" t="str">
        <f>[1]Data!F2053</f>
        <v>Downtown Los Angeles</v>
      </c>
      <c r="G2053" s="8">
        <f>[1]Data!G2053</f>
        <v>0</v>
      </c>
      <c r="H2053" s="8">
        <f>[1]Data!H2053</f>
        <v>0</v>
      </c>
      <c r="I2053" s="8">
        <f>[1]Data!I2053</f>
        <v>54.844999999999999</v>
      </c>
      <c r="J2053" s="8">
        <f>[1]Data!J2053</f>
        <v>19.612149420000001</v>
      </c>
      <c r="K2053" s="8">
        <f>[1]Data!K2053</f>
        <v>54.612149420000001</v>
      </c>
      <c r="L2053" s="8">
        <f>[1]Data!L2053</f>
        <v>0.23207820096947901</v>
      </c>
      <c r="M2053" s="8">
        <f>[1]Data!M2053</f>
        <v>54.844227620969498</v>
      </c>
      <c r="N2053" s="8">
        <f>[1]Data!N2053</f>
        <v>8.5106382978723402E-2</v>
      </c>
      <c r="O2053" s="8">
        <f>[1]Data!O2053</f>
        <v>0</v>
      </c>
      <c r="P2053" s="8">
        <f>[1]Data!P2053</f>
        <v>0.21276595744680901</v>
      </c>
      <c r="Q2053" s="8">
        <f>[1]Data!Q2053</f>
        <v>1</v>
      </c>
      <c r="R2053" s="8">
        <f>[1]Data!R2053</f>
        <v>0.4</v>
      </c>
      <c r="S2053" s="8">
        <f>[1]Data!S2053</f>
        <v>0</v>
      </c>
      <c r="T2053">
        <f t="shared" si="160"/>
        <v>0.45106382978723408</v>
      </c>
      <c r="U2053">
        <f t="shared" si="161"/>
        <v>0</v>
      </c>
      <c r="V2053" s="4" t="str">
        <f t="shared" si="162"/>
        <v>14</v>
      </c>
      <c r="W2053" s="4" t="str">
        <f t="shared" si="163"/>
        <v>4</v>
      </c>
      <c r="X2053" s="4" t="str">
        <f t="shared" si="164"/>
        <v>14INDIV4</v>
      </c>
      <c r="Y2053">
        <f>VLOOKUP(X2053,Sheet1!$J$5:$K$121,2,FALSE)</f>
        <v>0.4</v>
      </c>
    </row>
    <row r="2054" spans="1:25" x14ac:dyDescent="0.25">
      <c r="A2054" s="8">
        <f>[1]Data!A2054</f>
        <v>207710</v>
      </c>
      <c r="B2054" s="8">
        <f>[1]Data!B2054</f>
        <v>4</v>
      </c>
      <c r="C2054" s="8">
        <f>[1]Data!C2054</f>
        <v>14</v>
      </c>
      <c r="D2054" s="8">
        <f>[1]Data!D2054</f>
        <v>1</v>
      </c>
      <c r="E2054" s="8" t="str">
        <f>[1]Data!E2054</f>
        <v>INDIV</v>
      </c>
      <c r="F2054" s="8" t="str">
        <f>[1]Data!F2054</f>
        <v>Downtown Los Angeles</v>
      </c>
      <c r="G2054" s="8">
        <f>[1]Data!G2054</f>
        <v>0</v>
      </c>
      <c r="H2054" s="8">
        <f>[1]Data!H2054</f>
        <v>1</v>
      </c>
      <c r="I2054" s="8">
        <f>[1]Data!I2054</f>
        <v>100.845</v>
      </c>
      <c r="J2054" s="8">
        <f>[1]Data!J2054</f>
        <v>13.67392128</v>
      </c>
      <c r="K2054" s="8">
        <f>[1]Data!K2054</f>
        <v>100.67392128</v>
      </c>
      <c r="L2054" s="8">
        <f>[1]Data!L2054</f>
        <v>0.17106884439856401</v>
      </c>
      <c r="M2054" s="8">
        <f>[1]Data!M2054</f>
        <v>100.844990124399</v>
      </c>
      <c r="N2054" s="8">
        <f>[1]Data!N2054</f>
        <v>8.5106382978723402E-2</v>
      </c>
      <c r="O2054" s="8">
        <f>[1]Data!O2054</f>
        <v>0</v>
      </c>
      <c r="P2054" s="8">
        <f>[1]Data!P2054</f>
        <v>0.21276595744680901</v>
      </c>
      <c r="Q2054" s="8">
        <f>[1]Data!Q2054</f>
        <v>1</v>
      </c>
      <c r="R2054" s="8">
        <f>[1]Data!R2054</f>
        <v>0.4</v>
      </c>
      <c r="S2054" s="8">
        <f>[1]Data!S2054</f>
        <v>2.5</v>
      </c>
      <c r="T2054">
        <f t="shared" si="160"/>
        <v>0.45106382978723408</v>
      </c>
      <c r="U2054">
        <f t="shared" si="161"/>
        <v>2.2169811320754715</v>
      </c>
      <c r="V2054" s="4" t="str">
        <f t="shared" si="162"/>
        <v>14</v>
      </c>
      <c r="W2054" s="4" t="str">
        <f t="shared" si="163"/>
        <v>4</v>
      </c>
      <c r="X2054" s="4" t="str">
        <f t="shared" si="164"/>
        <v>14INDIV4</v>
      </c>
      <c r="Y2054">
        <f>VLOOKUP(X2054,Sheet1!$J$5:$K$121,2,FALSE)</f>
        <v>0.4</v>
      </c>
    </row>
    <row r="2055" spans="1:25" x14ac:dyDescent="0.25">
      <c r="A2055" s="8">
        <f>[1]Data!A2055</f>
        <v>201504</v>
      </c>
      <c r="B2055" s="8">
        <f>[1]Data!B2055</f>
        <v>4</v>
      </c>
      <c r="C2055" s="8">
        <f>[1]Data!C2055</f>
        <v>14</v>
      </c>
      <c r="D2055" s="8">
        <f>[1]Data!D2055</f>
        <v>1</v>
      </c>
      <c r="E2055" s="8" t="str">
        <f>[1]Data!E2055</f>
        <v>NON-HS</v>
      </c>
      <c r="F2055" s="8" t="str">
        <f>[1]Data!F2055</f>
        <v>El Sereno</v>
      </c>
      <c r="G2055" s="8">
        <f>[1]Data!G2055</f>
        <v>0</v>
      </c>
      <c r="H2055" s="8">
        <f>[1]Data!H2055</f>
        <v>0</v>
      </c>
      <c r="I2055" s="8">
        <f>[1]Data!I2055</f>
        <v>11.266</v>
      </c>
      <c r="J2055" s="8">
        <f>[1]Data!J2055</f>
        <v>9.4736181100000003</v>
      </c>
      <c r="K2055" s="8">
        <f>[1]Data!K2055</f>
        <v>10.47361811</v>
      </c>
      <c r="L2055" s="8">
        <f>[1]Data!L2055</f>
        <v>0.79196613622980205</v>
      </c>
      <c r="M2055" s="8">
        <f>[1]Data!M2055</f>
        <v>11.2655842462298</v>
      </c>
      <c r="N2055" s="8">
        <f>[1]Data!N2055</f>
        <v>2.6315789473684199E-2</v>
      </c>
      <c r="O2055" s="8">
        <f>[1]Data!O2055</f>
        <v>0</v>
      </c>
      <c r="P2055" s="8">
        <f>[1]Data!P2055</f>
        <v>0.24342105263157901</v>
      </c>
      <c r="Q2055" s="8">
        <f>[1]Data!Q2055</f>
        <v>1</v>
      </c>
      <c r="R2055" s="8">
        <f>[1]Data!R2055</f>
        <v>2.8571428571428598E-2</v>
      </c>
      <c r="S2055" s="8">
        <f>[1]Data!S2055</f>
        <v>0</v>
      </c>
      <c r="T2055">
        <f t="shared" si="160"/>
        <v>5.4135338345864675E-2</v>
      </c>
      <c r="U2055">
        <f t="shared" si="161"/>
        <v>0</v>
      </c>
      <c r="V2055" s="4" t="str">
        <f t="shared" si="162"/>
        <v>14</v>
      </c>
      <c r="W2055" s="4" t="str">
        <f t="shared" si="163"/>
        <v>4</v>
      </c>
      <c r="X2055" s="4" t="str">
        <f t="shared" si="164"/>
        <v>14NON-HS4</v>
      </c>
      <c r="Y2055">
        <f>VLOOKUP(X2055,Sheet1!$J$5:$K$121,2,FALSE)</f>
        <v>2.8571428571428598E-2</v>
      </c>
    </row>
    <row r="2056" spans="1:25" x14ac:dyDescent="0.25">
      <c r="A2056" s="8">
        <f>[1]Data!A2056</f>
        <v>201200</v>
      </c>
      <c r="B2056" s="8">
        <f>[1]Data!B2056</f>
        <v>4</v>
      </c>
      <c r="C2056" s="8">
        <f>[1]Data!C2056</f>
        <v>14</v>
      </c>
      <c r="D2056" s="8">
        <f>[1]Data!D2056</f>
        <v>1</v>
      </c>
      <c r="E2056" s="8" t="str">
        <f>[1]Data!E2056</f>
        <v>NON-HS</v>
      </c>
      <c r="F2056" s="8" t="str">
        <f>[1]Data!F2056</f>
        <v>El Sereno</v>
      </c>
      <c r="G2056" s="8">
        <f>[1]Data!G2056</f>
        <v>0</v>
      </c>
      <c r="H2056" s="8">
        <f>[1]Data!H2056</f>
        <v>0</v>
      </c>
      <c r="I2056" s="8">
        <f>[1]Data!I2056</f>
        <v>12.305</v>
      </c>
      <c r="J2056" s="8">
        <f>[1]Data!J2056</f>
        <v>9.8396785799999993</v>
      </c>
      <c r="K2056" s="8">
        <f>[1]Data!K2056</f>
        <v>11.839678579999999</v>
      </c>
      <c r="L2056" s="8">
        <f>[1]Data!L2056</f>
        <v>0.46531572761220802</v>
      </c>
      <c r="M2056" s="8">
        <f>[1]Data!M2056</f>
        <v>12.304994307612199</v>
      </c>
      <c r="N2056" s="8">
        <f>[1]Data!N2056</f>
        <v>2.6315789473684199E-2</v>
      </c>
      <c r="O2056" s="8">
        <f>[1]Data!O2056</f>
        <v>0</v>
      </c>
      <c r="P2056" s="8">
        <f>[1]Data!P2056</f>
        <v>0.24342105263157901</v>
      </c>
      <c r="Q2056" s="8">
        <f>[1]Data!Q2056</f>
        <v>1</v>
      </c>
      <c r="R2056" s="8">
        <f>[1]Data!R2056</f>
        <v>2.8571428571428598E-2</v>
      </c>
      <c r="S2056" s="8">
        <f>[1]Data!S2056</f>
        <v>0</v>
      </c>
      <c r="T2056">
        <f t="shared" si="160"/>
        <v>5.4135338345864675E-2</v>
      </c>
      <c r="U2056">
        <f t="shared" si="161"/>
        <v>0</v>
      </c>
      <c r="V2056" s="4" t="str">
        <f t="shared" si="162"/>
        <v>14</v>
      </c>
      <c r="W2056" s="4" t="str">
        <f t="shared" si="163"/>
        <v>4</v>
      </c>
      <c r="X2056" s="4" t="str">
        <f t="shared" si="164"/>
        <v>14NON-HS4</v>
      </c>
      <c r="Y2056">
        <f>VLOOKUP(X2056,Sheet1!$J$5:$K$121,2,FALSE)</f>
        <v>2.8571428571428598E-2</v>
      </c>
    </row>
    <row r="2057" spans="1:25" x14ac:dyDescent="0.25">
      <c r="A2057" s="8">
        <f>[1]Data!A2057</f>
        <v>186100</v>
      </c>
      <c r="B2057" s="8">
        <f>[1]Data!B2057</f>
        <v>4</v>
      </c>
      <c r="C2057" s="8">
        <f>[1]Data!C2057</f>
        <v>14</v>
      </c>
      <c r="D2057" s="8">
        <f>[1]Data!D2057</f>
        <v>1</v>
      </c>
      <c r="E2057" s="8" t="str">
        <f>[1]Data!E2057</f>
        <v>NON-HS</v>
      </c>
      <c r="F2057" s="8" t="str">
        <f>[1]Data!F2057</f>
        <v>Glassell Park</v>
      </c>
      <c r="G2057" s="8">
        <f>[1]Data!G2057</f>
        <v>0</v>
      </c>
      <c r="H2057" s="8">
        <f>[1]Data!H2057</f>
        <v>0</v>
      </c>
      <c r="I2057" s="8">
        <f>[1]Data!I2057</f>
        <v>10.082000000000001</v>
      </c>
      <c r="J2057" s="8">
        <f>[1]Data!J2057</f>
        <v>9.61609026</v>
      </c>
      <c r="K2057" s="8">
        <f>[1]Data!K2057</f>
        <v>9.61609026</v>
      </c>
      <c r="L2057" s="8">
        <f>[1]Data!L2057</f>
        <v>0.46618233728904801</v>
      </c>
      <c r="M2057" s="8">
        <f>[1]Data!M2057</f>
        <v>10.082272597289</v>
      </c>
      <c r="N2057" s="8">
        <f>[1]Data!N2057</f>
        <v>2.6315789473684199E-2</v>
      </c>
      <c r="O2057" s="8">
        <f>[1]Data!O2057</f>
        <v>0</v>
      </c>
      <c r="P2057" s="8">
        <f>[1]Data!P2057</f>
        <v>0.24342105263157901</v>
      </c>
      <c r="Q2057" s="8">
        <f>[1]Data!Q2057</f>
        <v>1</v>
      </c>
      <c r="R2057" s="8">
        <f>[1]Data!R2057</f>
        <v>2.8571428571428598E-2</v>
      </c>
      <c r="S2057" s="8">
        <f>[1]Data!S2057</f>
        <v>0</v>
      </c>
      <c r="T2057">
        <f t="shared" si="160"/>
        <v>5.4135338345864675E-2</v>
      </c>
      <c r="U2057">
        <f t="shared" si="161"/>
        <v>0</v>
      </c>
      <c r="V2057" s="4" t="str">
        <f t="shared" si="162"/>
        <v>14</v>
      </c>
      <c r="W2057" s="4" t="str">
        <f t="shared" si="163"/>
        <v>4</v>
      </c>
      <c r="X2057" s="4" t="str">
        <f t="shared" si="164"/>
        <v>14NON-HS4</v>
      </c>
      <c r="Y2057">
        <f>VLOOKUP(X2057,Sheet1!$J$5:$K$121,2,FALSE)</f>
        <v>2.8571428571428598E-2</v>
      </c>
    </row>
    <row r="2058" spans="1:25" x14ac:dyDescent="0.25">
      <c r="A2058" s="8">
        <f>[1]Data!A2058</f>
        <v>183104</v>
      </c>
      <c r="B2058" s="8">
        <f>[1]Data!B2058</f>
        <v>4</v>
      </c>
      <c r="C2058" s="8">
        <f>[1]Data!C2058</f>
        <v>14</v>
      </c>
      <c r="D2058" s="8">
        <f>[1]Data!D2058</f>
        <v>1</v>
      </c>
      <c r="E2058" s="8" t="str">
        <f>[1]Data!E2058</f>
        <v>NON-HS</v>
      </c>
      <c r="F2058" s="8" t="str">
        <f>[1]Data!F2058</f>
        <v>Highland Park</v>
      </c>
      <c r="G2058" s="8">
        <f>[1]Data!G2058</f>
        <v>0</v>
      </c>
      <c r="H2058" s="8">
        <f>[1]Data!H2058</f>
        <v>0</v>
      </c>
      <c r="I2058" s="8">
        <f>[1]Data!I2058</f>
        <v>2.0950000000000002</v>
      </c>
      <c r="J2058" s="8">
        <f>[1]Data!J2058</f>
        <v>1.9836996600000001</v>
      </c>
      <c r="K2058" s="8">
        <f>[1]Data!K2058</f>
        <v>1.9836996600000001</v>
      </c>
      <c r="L2058" s="8">
        <f>[1]Data!L2058</f>
        <v>0.11117260138240601</v>
      </c>
      <c r="M2058" s="8">
        <f>[1]Data!M2058</f>
        <v>2.09487226138241</v>
      </c>
      <c r="N2058" s="8">
        <f>[1]Data!N2058</f>
        <v>2.6315789473684199E-2</v>
      </c>
      <c r="O2058" s="8">
        <f>[1]Data!O2058</f>
        <v>0</v>
      </c>
      <c r="P2058" s="8">
        <f>[1]Data!P2058</f>
        <v>0.24342105263157901</v>
      </c>
      <c r="Q2058" s="8">
        <f>[1]Data!Q2058</f>
        <v>1</v>
      </c>
      <c r="R2058" s="8">
        <f>[1]Data!R2058</f>
        <v>2.8571428571428598E-2</v>
      </c>
      <c r="S2058" s="8">
        <f>[1]Data!S2058</f>
        <v>0</v>
      </c>
      <c r="T2058">
        <f t="shared" si="160"/>
        <v>5.4135338345864675E-2</v>
      </c>
      <c r="U2058">
        <f t="shared" si="161"/>
        <v>0</v>
      </c>
      <c r="V2058" s="4" t="str">
        <f t="shared" si="162"/>
        <v>14</v>
      </c>
      <c r="W2058" s="4" t="str">
        <f t="shared" si="163"/>
        <v>4</v>
      </c>
      <c r="X2058" s="4" t="str">
        <f t="shared" si="164"/>
        <v>14NON-HS4</v>
      </c>
      <c r="Y2058">
        <f>VLOOKUP(X2058,Sheet1!$J$5:$K$121,2,FALSE)</f>
        <v>2.8571428571428598E-2</v>
      </c>
    </row>
    <row r="2059" spans="1:25" x14ac:dyDescent="0.25">
      <c r="A2059" s="8">
        <f>[1]Data!A2059</f>
        <v>183220</v>
      </c>
      <c r="B2059" s="8">
        <f>[1]Data!B2059</f>
        <v>4</v>
      </c>
      <c r="C2059" s="8">
        <f>[1]Data!C2059</f>
        <v>14</v>
      </c>
      <c r="D2059" s="8">
        <f>[1]Data!D2059</f>
        <v>1</v>
      </c>
      <c r="E2059" s="8" t="str">
        <f>[1]Data!E2059</f>
        <v>NON-HS</v>
      </c>
      <c r="F2059" s="8" t="str">
        <f>[1]Data!F2059</f>
        <v>Highland Park</v>
      </c>
      <c r="G2059" s="8">
        <f>[1]Data!G2059</f>
        <v>0</v>
      </c>
      <c r="H2059" s="8">
        <f>[1]Data!H2059</f>
        <v>0</v>
      </c>
      <c r="I2059" s="8">
        <f>[1]Data!I2059</f>
        <v>0</v>
      </c>
      <c r="J2059" s="8">
        <f>[1]Data!J2059</f>
        <v>0</v>
      </c>
      <c r="K2059" s="8">
        <f>[1]Data!K2059</f>
        <v>0</v>
      </c>
      <c r="L2059" s="8">
        <f>[1]Data!L2059</f>
        <v>0</v>
      </c>
      <c r="M2059" s="8">
        <f>[1]Data!M2059</f>
        <v>0</v>
      </c>
      <c r="N2059" s="8">
        <f>[1]Data!N2059</f>
        <v>2.6315789473684199E-2</v>
      </c>
      <c r="O2059" s="8">
        <f>[1]Data!O2059</f>
        <v>0</v>
      </c>
      <c r="P2059" s="8">
        <f>[1]Data!P2059</f>
        <v>0.24342105263157901</v>
      </c>
      <c r="Q2059" s="8">
        <f>[1]Data!Q2059</f>
        <v>1</v>
      </c>
      <c r="R2059" s="8">
        <f>[1]Data!R2059</f>
        <v>2.8571428571428598E-2</v>
      </c>
      <c r="S2059" s="8">
        <f>[1]Data!S2059</f>
        <v>0</v>
      </c>
      <c r="T2059">
        <f t="shared" si="160"/>
        <v>5.4135338345864675E-2</v>
      </c>
      <c r="U2059">
        <f t="shared" si="161"/>
        <v>0</v>
      </c>
      <c r="V2059" s="4" t="str">
        <f t="shared" si="162"/>
        <v>14</v>
      </c>
      <c r="W2059" s="4" t="str">
        <f t="shared" si="163"/>
        <v>4</v>
      </c>
      <c r="X2059" s="4" t="str">
        <f t="shared" si="164"/>
        <v>14NON-HS4</v>
      </c>
      <c r="Y2059">
        <f>VLOOKUP(X2059,Sheet1!$J$5:$K$121,2,FALSE)</f>
        <v>2.8571428571428598E-2</v>
      </c>
    </row>
    <row r="2060" spans="1:25" x14ac:dyDescent="0.25">
      <c r="A2060" s="8">
        <f>[1]Data!A2060</f>
        <v>204820</v>
      </c>
      <c r="B2060" s="8">
        <f>[1]Data!B2060</f>
        <v>4</v>
      </c>
      <c r="C2060" s="8">
        <f>[1]Data!C2060</f>
        <v>14</v>
      </c>
      <c r="D2060" s="8">
        <f>[1]Data!D2060</f>
        <v>1</v>
      </c>
      <c r="E2060" s="8" t="str">
        <f>[1]Data!E2060</f>
        <v>NON-HS</v>
      </c>
      <c r="F2060" s="8" t="str">
        <f>[1]Data!F2060</f>
        <v>Boyle Heights</v>
      </c>
      <c r="G2060" s="8">
        <f>[1]Data!G2060</f>
        <v>0</v>
      </c>
      <c r="H2060" s="8">
        <f>[1]Data!H2060</f>
        <v>0</v>
      </c>
      <c r="I2060" s="8">
        <f>[1]Data!I2060</f>
        <v>9.7970000000000006</v>
      </c>
      <c r="J2060" s="8">
        <f>[1]Data!J2060</f>
        <v>9.6032194200000003</v>
      </c>
      <c r="K2060" s="8">
        <f>[1]Data!K2060</f>
        <v>9.6032194200000003</v>
      </c>
      <c r="L2060" s="8">
        <f>[1]Data!L2060</f>
        <v>0.19367388971274699</v>
      </c>
      <c r="M2060" s="8">
        <f>[1]Data!M2060</f>
        <v>9.7968933097127504</v>
      </c>
      <c r="N2060" s="8">
        <f>[1]Data!N2060</f>
        <v>2.6315789473684199E-2</v>
      </c>
      <c r="O2060" s="8">
        <f>[1]Data!O2060</f>
        <v>0</v>
      </c>
      <c r="P2060" s="8">
        <f>[1]Data!P2060</f>
        <v>0.24342105263157901</v>
      </c>
      <c r="Q2060" s="8">
        <f>[1]Data!Q2060</f>
        <v>1</v>
      </c>
      <c r="R2060" s="8">
        <f>[1]Data!R2060</f>
        <v>2.8571428571428598E-2</v>
      </c>
      <c r="S2060" s="8">
        <f>[1]Data!S2060</f>
        <v>0</v>
      </c>
      <c r="T2060">
        <f t="shared" si="160"/>
        <v>5.4135338345864675E-2</v>
      </c>
      <c r="U2060">
        <f t="shared" si="161"/>
        <v>0</v>
      </c>
      <c r="V2060" s="4" t="str">
        <f t="shared" si="162"/>
        <v>14</v>
      </c>
      <c r="W2060" s="4" t="str">
        <f t="shared" si="163"/>
        <v>4</v>
      </c>
      <c r="X2060" s="4" t="str">
        <f t="shared" si="164"/>
        <v>14NON-HS4</v>
      </c>
      <c r="Y2060">
        <f>VLOOKUP(X2060,Sheet1!$J$5:$K$121,2,FALSE)</f>
        <v>2.8571428571428598E-2</v>
      </c>
    </row>
    <row r="2061" spans="1:25" x14ac:dyDescent="0.25">
      <c r="A2061" s="8">
        <f>[1]Data!A2061</f>
        <v>201601</v>
      </c>
      <c r="B2061" s="8">
        <f>[1]Data!B2061</f>
        <v>4</v>
      </c>
      <c r="C2061" s="8">
        <f>[1]Data!C2061</f>
        <v>14</v>
      </c>
      <c r="D2061" s="8">
        <f>[1]Data!D2061</f>
        <v>1</v>
      </c>
      <c r="E2061" s="8" t="str">
        <f>[1]Data!E2061</f>
        <v>NON-HS</v>
      </c>
      <c r="F2061" s="8" t="str">
        <f>[1]Data!F2061</f>
        <v>El Sereno</v>
      </c>
      <c r="G2061" s="8">
        <f>[1]Data!G2061</f>
        <v>0</v>
      </c>
      <c r="H2061" s="8">
        <f>[1]Data!H2061</f>
        <v>0</v>
      </c>
      <c r="I2061" s="8">
        <f>[1]Data!I2061</f>
        <v>9.5890000000000004</v>
      </c>
      <c r="J2061" s="8">
        <f>[1]Data!J2061</f>
        <v>7.1397280600000004</v>
      </c>
      <c r="K2061" s="8">
        <f>[1]Data!K2061</f>
        <v>9.1397280599999995</v>
      </c>
      <c r="L2061" s="8">
        <f>[1]Data!L2061</f>
        <v>0.448782719192101</v>
      </c>
      <c r="M2061" s="8">
        <f>[1]Data!M2061</f>
        <v>9.5885107791921005</v>
      </c>
      <c r="N2061" s="8">
        <f>[1]Data!N2061</f>
        <v>2.6315789473684199E-2</v>
      </c>
      <c r="O2061" s="8">
        <f>[1]Data!O2061</f>
        <v>0</v>
      </c>
      <c r="P2061" s="8">
        <f>[1]Data!P2061</f>
        <v>0.24342105263157901</v>
      </c>
      <c r="Q2061" s="8">
        <f>[1]Data!Q2061</f>
        <v>1</v>
      </c>
      <c r="R2061" s="8">
        <f>[1]Data!R2061</f>
        <v>2.8571428571428598E-2</v>
      </c>
      <c r="S2061" s="8">
        <f>[1]Data!S2061</f>
        <v>0</v>
      </c>
      <c r="T2061">
        <f t="shared" si="160"/>
        <v>5.4135338345864675E-2</v>
      </c>
      <c r="U2061">
        <f t="shared" si="161"/>
        <v>0</v>
      </c>
      <c r="V2061" s="4" t="str">
        <f t="shared" si="162"/>
        <v>14</v>
      </c>
      <c r="W2061" s="4" t="str">
        <f t="shared" si="163"/>
        <v>4</v>
      </c>
      <c r="X2061" s="4" t="str">
        <f t="shared" si="164"/>
        <v>14NON-HS4</v>
      </c>
      <c r="Y2061">
        <f>VLOOKUP(X2061,Sheet1!$J$5:$K$121,2,FALSE)</f>
        <v>2.8571428571428598E-2</v>
      </c>
    </row>
    <row r="2062" spans="1:25" x14ac:dyDescent="0.25">
      <c r="A2062" s="8">
        <f>[1]Data!A2062</f>
        <v>203100</v>
      </c>
      <c r="B2062" s="8">
        <f>[1]Data!B2062</f>
        <v>4</v>
      </c>
      <c r="C2062" s="8">
        <f>[1]Data!C2062</f>
        <v>14</v>
      </c>
      <c r="D2062" s="8">
        <f>[1]Data!D2062</f>
        <v>1</v>
      </c>
      <c r="E2062" s="8" t="str">
        <f>[1]Data!E2062</f>
        <v>NON-HS</v>
      </c>
      <c r="F2062" s="8" t="str">
        <f>[1]Data!F2062</f>
        <v>Boyle Heights</v>
      </c>
      <c r="G2062" s="8">
        <f>[1]Data!G2062</f>
        <v>0</v>
      </c>
      <c r="H2062" s="8">
        <f>[1]Data!H2062</f>
        <v>0</v>
      </c>
      <c r="I2062" s="8">
        <f>[1]Data!I2062</f>
        <v>0</v>
      </c>
      <c r="J2062" s="8">
        <f>[1]Data!J2062</f>
        <v>0</v>
      </c>
      <c r="K2062" s="8">
        <f>[1]Data!K2062</f>
        <v>0</v>
      </c>
      <c r="L2062" s="8">
        <f>[1]Data!L2062</f>
        <v>0</v>
      </c>
      <c r="M2062" s="8">
        <f>[1]Data!M2062</f>
        <v>0</v>
      </c>
      <c r="N2062" s="8">
        <f>[1]Data!N2062</f>
        <v>2.6315789473684199E-2</v>
      </c>
      <c r="O2062" s="8">
        <f>[1]Data!O2062</f>
        <v>0</v>
      </c>
      <c r="P2062" s="8">
        <f>[1]Data!P2062</f>
        <v>0.24342105263157901</v>
      </c>
      <c r="Q2062" s="8">
        <f>[1]Data!Q2062</f>
        <v>1</v>
      </c>
      <c r="R2062" s="8">
        <f>[1]Data!R2062</f>
        <v>2.8571428571428598E-2</v>
      </c>
      <c r="S2062" s="8">
        <f>[1]Data!S2062</f>
        <v>0</v>
      </c>
      <c r="T2062">
        <f t="shared" si="160"/>
        <v>5.4135338345864675E-2</v>
      </c>
      <c r="U2062">
        <f t="shared" si="161"/>
        <v>0</v>
      </c>
      <c r="V2062" s="4" t="str">
        <f t="shared" si="162"/>
        <v>14</v>
      </c>
      <c r="W2062" s="4" t="str">
        <f t="shared" si="163"/>
        <v>4</v>
      </c>
      <c r="X2062" s="4" t="str">
        <f t="shared" si="164"/>
        <v>14NON-HS4</v>
      </c>
      <c r="Y2062">
        <f>VLOOKUP(X2062,Sheet1!$J$5:$K$121,2,FALSE)</f>
        <v>2.8571428571428598E-2</v>
      </c>
    </row>
    <row r="2063" spans="1:25" x14ac:dyDescent="0.25">
      <c r="A2063" s="8">
        <f>[1]Data!A2063</f>
        <v>201503</v>
      </c>
      <c r="B2063" s="8">
        <f>[1]Data!B2063</f>
        <v>4</v>
      </c>
      <c r="C2063" s="8">
        <f>[1]Data!C2063</f>
        <v>14</v>
      </c>
      <c r="D2063" s="8">
        <f>[1]Data!D2063</f>
        <v>1</v>
      </c>
      <c r="E2063" s="8" t="str">
        <f>[1]Data!E2063</f>
        <v>NON-HS</v>
      </c>
      <c r="F2063" s="8" t="str">
        <f>[1]Data!F2063</f>
        <v>El Sereno</v>
      </c>
      <c r="G2063" s="8">
        <f>[1]Data!G2063</f>
        <v>0</v>
      </c>
      <c r="H2063" s="8">
        <f>[1]Data!H2063</f>
        <v>0</v>
      </c>
      <c r="I2063" s="8">
        <f>[1]Data!I2063</f>
        <v>2</v>
      </c>
      <c r="J2063" s="8">
        <f>[1]Data!J2063</f>
        <v>0</v>
      </c>
      <c r="K2063" s="8">
        <f>[1]Data!K2063</f>
        <v>2</v>
      </c>
      <c r="L2063" s="8">
        <f>[1]Data!L2063</f>
        <v>0</v>
      </c>
      <c r="M2063" s="8">
        <f>[1]Data!M2063</f>
        <v>2</v>
      </c>
      <c r="N2063" s="8">
        <f>[1]Data!N2063</f>
        <v>2.6315789473684199E-2</v>
      </c>
      <c r="O2063" s="8">
        <f>[1]Data!O2063</f>
        <v>0</v>
      </c>
      <c r="P2063" s="8">
        <f>[1]Data!P2063</f>
        <v>0.24342105263157901</v>
      </c>
      <c r="Q2063" s="8">
        <f>[1]Data!Q2063</f>
        <v>1</v>
      </c>
      <c r="R2063" s="8">
        <f>[1]Data!R2063</f>
        <v>2.8571428571428598E-2</v>
      </c>
      <c r="S2063" s="8">
        <f>[1]Data!S2063</f>
        <v>0</v>
      </c>
      <c r="T2063">
        <f t="shared" si="160"/>
        <v>5.4135338345864675E-2</v>
      </c>
      <c r="U2063">
        <f t="shared" si="161"/>
        <v>0</v>
      </c>
      <c r="V2063" s="4" t="str">
        <f t="shared" si="162"/>
        <v>14</v>
      </c>
      <c r="W2063" s="4" t="str">
        <f t="shared" si="163"/>
        <v>4</v>
      </c>
      <c r="X2063" s="4" t="str">
        <f t="shared" si="164"/>
        <v>14NON-HS4</v>
      </c>
      <c r="Y2063">
        <f>VLOOKUP(X2063,Sheet1!$J$5:$K$121,2,FALSE)</f>
        <v>2.8571428571428598E-2</v>
      </c>
    </row>
    <row r="2064" spans="1:25" x14ac:dyDescent="0.25">
      <c r="A2064" s="8">
        <f>[1]Data!A2064</f>
        <v>201402</v>
      </c>
      <c r="B2064" s="8">
        <f>[1]Data!B2064</f>
        <v>4</v>
      </c>
      <c r="C2064" s="8">
        <f>[1]Data!C2064</f>
        <v>14</v>
      </c>
      <c r="D2064" s="8">
        <f>[1]Data!D2064</f>
        <v>1</v>
      </c>
      <c r="E2064" s="8" t="str">
        <f>[1]Data!E2064</f>
        <v>NON-HS</v>
      </c>
      <c r="F2064" s="8" t="str">
        <f>[1]Data!F2064</f>
        <v>El Sereno</v>
      </c>
      <c r="G2064" s="8">
        <f>[1]Data!G2064</f>
        <v>0</v>
      </c>
      <c r="H2064" s="8">
        <f>[1]Data!H2064</f>
        <v>1</v>
      </c>
      <c r="I2064" s="8">
        <f>[1]Data!I2064</f>
        <v>6.4939999999999998</v>
      </c>
      <c r="J2064" s="8">
        <f>[1]Data!J2064</f>
        <v>5.1560284000000003</v>
      </c>
      <c r="K2064" s="8">
        <f>[1]Data!K2064</f>
        <v>6.1560284000000003</v>
      </c>
      <c r="L2064" s="8">
        <f>[1]Data!L2064</f>
        <v>0.33761011780969502</v>
      </c>
      <c r="M2064" s="8">
        <f>[1]Data!M2064</f>
        <v>6.4936385178096998</v>
      </c>
      <c r="N2064" s="8">
        <f>[1]Data!N2064</f>
        <v>2.6315789473684199E-2</v>
      </c>
      <c r="O2064" s="8">
        <f>[1]Data!O2064</f>
        <v>0</v>
      </c>
      <c r="P2064" s="8">
        <f>[1]Data!P2064</f>
        <v>0.24342105263157901</v>
      </c>
      <c r="Q2064" s="8">
        <f>[1]Data!Q2064</f>
        <v>1</v>
      </c>
      <c r="R2064" s="8">
        <f>[1]Data!R2064</f>
        <v>2.8571428571428598E-2</v>
      </c>
      <c r="S2064" s="8">
        <f>[1]Data!S2064</f>
        <v>35</v>
      </c>
      <c r="T2064">
        <f t="shared" si="160"/>
        <v>5.4135338345864675E-2</v>
      </c>
      <c r="U2064">
        <f t="shared" si="161"/>
        <v>18.472222222222218</v>
      </c>
      <c r="V2064" s="4" t="str">
        <f t="shared" si="162"/>
        <v>14</v>
      </c>
      <c r="W2064" s="4" t="str">
        <f t="shared" si="163"/>
        <v>4</v>
      </c>
      <c r="X2064" s="4" t="str">
        <f t="shared" si="164"/>
        <v>14NON-HS4</v>
      </c>
      <c r="Y2064">
        <f>VLOOKUP(X2064,Sheet1!$J$5:$K$121,2,FALSE)</f>
        <v>2.8571428571428598E-2</v>
      </c>
    </row>
    <row r="2065" spans="1:25" x14ac:dyDescent="0.25">
      <c r="A2065" s="8">
        <f>[1]Data!A2065</f>
        <v>203710</v>
      </c>
      <c r="B2065" s="8">
        <f>[1]Data!B2065</f>
        <v>4</v>
      </c>
      <c r="C2065" s="8">
        <f>[1]Data!C2065</f>
        <v>14</v>
      </c>
      <c r="D2065" s="8">
        <f>[1]Data!D2065</f>
        <v>1</v>
      </c>
      <c r="E2065" s="8" t="str">
        <f>[1]Data!E2065</f>
        <v>NON-HS</v>
      </c>
      <c r="F2065" s="8" t="str">
        <f>[1]Data!F2065</f>
        <v>Boyle Heights</v>
      </c>
      <c r="G2065" s="8">
        <f>[1]Data!G2065</f>
        <v>0</v>
      </c>
      <c r="H2065" s="8">
        <f>[1]Data!H2065</f>
        <v>0</v>
      </c>
      <c r="I2065" s="8">
        <f>[1]Data!I2065</f>
        <v>0</v>
      </c>
      <c r="J2065" s="8">
        <f>[1]Data!J2065</f>
        <v>0</v>
      </c>
      <c r="K2065" s="8">
        <f>[1]Data!K2065</f>
        <v>0</v>
      </c>
      <c r="L2065" s="8">
        <f>[1]Data!L2065</f>
        <v>0</v>
      </c>
      <c r="M2065" s="8">
        <f>[1]Data!M2065</f>
        <v>0</v>
      </c>
      <c r="N2065" s="8">
        <f>[1]Data!N2065</f>
        <v>2.6315789473684199E-2</v>
      </c>
      <c r="O2065" s="8">
        <f>[1]Data!O2065</f>
        <v>0</v>
      </c>
      <c r="P2065" s="8">
        <f>[1]Data!P2065</f>
        <v>0.24342105263157901</v>
      </c>
      <c r="Q2065" s="8">
        <f>[1]Data!Q2065</f>
        <v>1</v>
      </c>
      <c r="R2065" s="8">
        <f>[1]Data!R2065</f>
        <v>2.8571428571428598E-2</v>
      </c>
      <c r="S2065" s="8">
        <f>[1]Data!S2065</f>
        <v>0</v>
      </c>
      <c r="T2065">
        <f t="shared" si="160"/>
        <v>5.4135338345864675E-2</v>
      </c>
      <c r="U2065">
        <f t="shared" si="161"/>
        <v>0</v>
      </c>
      <c r="V2065" s="4" t="str">
        <f t="shared" si="162"/>
        <v>14</v>
      </c>
      <c r="W2065" s="4" t="str">
        <f t="shared" si="163"/>
        <v>4</v>
      </c>
      <c r="X2065" s="4" t="str">
        <f t="shared" si="164"/>
        <v>14NON-HS4</v>
      </c>
      <c r="Y2065">
        <f>VLOOKUP(X2065,Sheet1!$J$5:$K$121,2,FALSE)</f>
        <v>2.8571428571428598E-2</v>
      </c>
    </row>
    <row r="2066" spans="1:25" x14ac:dyDescent="0.25">
      <c r="A2066" s="8">
        <f>[1]Data!A2066</f>
        <v>203800</v>
      </c>
      <c r="B2066" s="8">
        <f>[1]Data!B2066</f>
        <v>4</v>
      </c>
      <c r="C2066" s="8">
        <f>[1]Data!C2066</f>
        <v>14</v>
      </c>
      <c r="D2066" s="8">
        <f>[1]Data!D2066</f>
        <v>1</v>
      </c>
      <c r="E2066" s="8" t="str">
        <f>[1]Data!E2066</f>
        <v>NON-HS</v>
      </c>
      <c r="F2066" s="8" t="str">
        <f>[1]Data!F2066</f>
        <v>Boyle Heights</v>
      </c>
      <c r="G2066" s="8">
        <f>[1]Data!G2066</f>
        <v>0</v>
      </c>
      <c r="H2066" s="8">
        <f>[1]Data!H2066</f>
        <v>0</v>
      </c>
      <c r="I2066" s="8">
        <f>[1]Data!I2066</f>
        <v>4.1900000000000004</v>
      </c>
      <c r="J2066" s="8">
        <f>[1]Data!J2066</f>
        <v>3.9673993200000002</v>
      </c>
      <c r="K2066" s="8">
        <f>[1]Data!K2066</f>
        <v>3.9673993200000002</v>
      </c>
      <c r="L2066" s="8">
        <f>[1]Data!L2066</f>
        <v>0.22234520276481101</v>
      </c>
      <c r="M2066" s="8">
        <f>[1]Data!M2066</f>
        <v>4.1897445227648102</v>
      </c>
      <c r="N2066" s="8">
        <f>[1]Data!N2066</f>
        <v>2.6315789473684199E-2</v>
      </c>
      <c r="O2066" s="8">
        <f>[1]Data!O2066</f>
        <v>0</v>
      </c>
      <c r="P2066" s="8">
        <f>[1]Data!P2066</f>
        <v>0.24342105263157901</v>
      </c>
      <c r="Q2066" s="8">
        <f>[1]Data!Q2066</f>
        <v>1</v>
      </c>
      <c r="R2066" s="8">
        <f>[1]Data!R2066</f>
        <v>2.8571428571428598E-2</v>
      </c>
      <c r="S2066" s="8">
        <f>[1]Data!S2066</f>
        <v>0</v>
      </c>
      <c r="T2066">
        <f t="shared" si="160"/>
        <v>5.4135338345864675E-2</v>
      </c>
      <c r="U2066">
        <f t="shared" si="161"/>
        <v>0</v>
      </c>
      <c r="V2066" s="4" t="str">
        <f t="shared" si="162"/>
        <v>14</v>
      </c>
      <c r="W2066" s="4" t="str">
        <f t="shared" si="163"/>
        <v>4</v>
      </c>
      <c r="X2066" s="4" t="str">
        <f t="shared" si="164"/>
        <v>14NON-HS4</v>
      </c>
      <c r="Y2066">
        <f>VLOOKUP(X2066,Sheet1!$J$5:$K$121,2,FALSE)</f>
        <v>2.8571428571428598E-2</v>
      </c>
    </row>
    <row r="2067" spans="1:25" x14ac:dyDescent="0.25">
      <c r="A2067" s="8">
        <f>[1]Data!A2067</f>
        <v>203900</v>
      </c>
      <c r="B2067" s="8">
        <f>[1]Data!B2067</f>
        <v>4</v>
      </c>
      <c r="C2067" s="8">
        <f>[1]Data!C2067</f>
        <v>14</v>
      </c>
      <c r="D2067" s="8">
        <f>[1]Data!D2067</f>
        <v>1</v>
      </c>
      <c r="E2067" s="8" t="str">
        <f>[1]Data!E2067</f>
        <v>NON-HS</v>
      </c>
      <c r="F2067" s="8" t="str">
        <f>[1]Data!F2067</f>
        <v>Boyle Heights</v>
      </c>
      <c r="G2067" s="8">
        <f>[1]Data!G2067</f>
        <v>0</v>
      </c>
      <c r="H2067" s="8">
        <f>[1]Data!H2067</f>
        <v>0</v>
      </c>
      <c r="I2067" s="8">
        <f>[1]Data!I2067</f>
        <v>17.122</v>
      </c>
      <c r="J2067" s="8">
        <f>[1]Data!J2067</f>
        <v>11.42186616</v>
      </c>
      <c r="K2067" s="8">
        <f>[1]Data!K2067</f>
        <v>16.42186616</v>
      </c>
      <c r="L2067" s="8">
        <f>[1]Data!L2067</f>
        <v>0.69993787136445196</v>
      </c>
      <c r="M2067" s="8">
        <f>[1]Data!M2067</f>
        <v>17.121804031364501</v>
      </c>
      <c r="N2067" s="8">
        <f>[1]Data!N2067</f>
        <v>2.6315789473684199E-2</v>
      </c>
      <c r="O2067" s="8">
        <f>[1]Data!O2067</f>
        <v>0</v>
      </c>
      <c r="P2067" s="8">
        <f>[1]Data!P2067</f>
        <v>0.24342105263157901</v>
      </c>
      <c r="Q2067" s="8">
        <f>[1]Data!Q2067</f>
        <v>1</v>
      </c>
      <c r="R2067" s="8">
        <f>[1]Data!R2067</f>
        <v>2.8571428571428598E-2</v>
      </c>
      <c r="S2067" s="8">
        <f>[1]Data!S2067</f>
        <v>0</v>
      </c>
      <c r="T2067">
        <f t="shared" si="160"/>
        <v>5.4135338345864675E-2</v>
      </c>
      <c r="U2067">
        <f t="shared" si="161"/>
        <v>0</v>
      </c>
      <c r="V2067" s="4" t="str">
        <f t="shared" si="162"/>
        <v>14</v>
      </c>
      <c r="W2067" s="4" t="str">
        <f t="shared" si="163"/>
        <v>4</v>
      </c>
      <c r="X2067" s="4" t="str">
        <f t="shared" si="164"/>
        <v>14NON-HS4</v>
      </c>
      <c r="Y2067">
        <f>VLOOKUP(X2067,Sheet1!$J$5:$K$121,2,FALSE)</f>
        <v>2.8571428571428598E-2</v>
      </c>
    </row>
    <row r="2068" spans="1:25" x14ac:dyDescent="0.25">
      <c r="A2068" s="8">
        <f>[1]Data!A2068</f>
        <v>204120</v>
      </c>
      <c r="B2068" s="8">
        <f>[1]Data!B2068</f>
        <v>4</v>
      </c>
      <c r="C2068" s="8">
        <f>[1]Data!C2068</f>
        <v>14</v>
      </c>
      <c r="D2068" s="8">
        <f>[1]Data!D2068</f>
        <v>1</v>
      </c>
      <c r="E2068" s="8" t="str">
        <f>[1]Data!E2068</f>
        <v>NON-HS</v>
      </c>
      <c r="F2068" s="8" t="str">
        <f>[1]Data!F2068</f>
        <v>Boyle Heights</v>
      </c>
      <c r="G2068" s="8">
        <f>[1]Data!G2068</f>
        <v>0</v>
      </c>
      <c r="H2068" s="8">
        <f>[1]Data!H2068</f>
        <v>0</v>
      </c>
      <c r="I2068" s="8">
        <f>[1]Data!I2068</f>
        <v>0</v>
      </c>
      <c r="J2068" s="8">
        <f>[1]Data!J2068</f>
        <v>0</v>
      </c>
      <c r="K2068" s="8">
        <f>[1]Data!K2068</f>
        <v>0</v>
      </c>
      <c r="L2068" s="8">
        <f>[1]Data!L2068</f>
        <v>0</v>
      </c>
      <c r="M2068" s="8">
        <f>[1]Data!M2068</f>
        <v>0</v>
      </c>
      <c r="N2068" s="8">
        <f>[1]Data!N2068</f>
        <v>2.6315789473684199E-2</v>
      </c>
      <c r="O2068" s="8">
        <f>[1]Data!O2068</f>
        <v>0</v>
      </c>
      <c r="P2068" s="8">
        <f>[1]Data!P2068</f>
        <v>0.24342105263157901</v>
      </c>
      <c r="Q2068" s="8">
        <f>[1]Data!Q2068</f>
        <v>1</v>
      </c>
      <c r="R2068" s="8">
        <f>[1]Data!R2068</f>
        <v>2.8571428571428598E-2</v>
      </c>
      <c r="S2068" s="8">
        <f>[1]Data!S2068</f>
        <v>0</v>
      </c>
      <c r="T2068">
        <f t="shared" si="160"/>
        <v>5.4135338345864675E-2</v>
      </c>
      <c r="U2068">
        <f t="shared" si="161"/>
        <v>0</v>
      </c>
      <c r="V2068" s="4" t="str">
        <f t="shared" si="162"/>
        <v>14</v>
      </c>
      <c r="W2068" s="4" t="str">
        <f t="shared" si="163"/>
        <v>4</v>
      </c>
      <c r="X2068" s="4" t="str">
        <f t="shared" si="164"/>
        <v>14NON-HS4</v>
      </c>
      <c r="Y2068">
        <f>VLOOKUP(X2068,Sheet1!$J$5:$K$121,2,FALSE)</f>
        <v>2.8571428571428598E-2</v>
      </c>
    </row>
    <row r="2069" spans="1:25" x14ac:dyDescent="0.25">
      <c r="A2069" s="8">
        <f>[1]Data!A2069</f>
        <v>204410</v>
      </c>
      <c r="B2069" s="8">
        <f>[1]Data!B2069</f>
        <v>4</v>
      </c>
      <c r="C2069" s="8">
        <f>[1]Data!C2069</f>
        <v>14</v>
      </c>
      <c r="D2069" s="8">
        <f>[1]Data!D2069</f>
        <v>1</v>
      </c>
      <c r="E2069" s="8" t="str">
        <f>[1]Data!E2069</f>
        <v>NON-HS</v>
      </c>
      <c r="F2069" s="8" t="str">
        <f>[1]Data!F2069</f>
        <v>Boyle Heights</v>
      </c>
      <c r="G2069" s="8">
        <f>[1]Data!G2069</f>
        <v>0</v>
      </c>
      <c r="H2069" s="8">
        <f>[1]Data!H2069</f>
        <v>0</v>
      </c>
      <c r="I2069" s="8">
        <f>[1]Data!I2069</f>
        <v>6.9980000000000002</v>
      </c>
      <c r="J2069" s="8">
        <f>[1]Data!J2069</f>
        <v>5.7005314900000004</v>
      </c>
      <c r="K2069" s="8">
        <f>[1]Data!K2069</f>
        <v>6.7005314900000004</v>
      </c>
      <c r="L2069" s="8">
        <f>[1]Data!L2069</f>
        <v>0.29733071305206499</v>
      </c>
      <c r="M2069" s="8">
        <f>[1]Data!M2069</f>
        <v>6.9978622030520699</v>
      </c>
      <c r="N2069" s="8">
        <f>[1]Data!N2069</f>
        <v>2.6315789473684199E-2</v>
      </c>
      <c r="O2069" s="8">
        <f>[1]Data!O2069</f>
        <v>0</v>
      </c>
      <c r="P2069" s="8">
        <f>[1]Data!P2069</f>
        <v>0.24342105263157901</v>
      </c>
      <c r="Q2069" s="8">
        <f>[1]Data!Q2069</f>
        <v>1</v>
      </c>
      <c r="R2069" s="8">
        <f>[1]Data!R2069</f>
        <v>2.8571428571428598E-2</v>
      </c>
      <c r="S2069" s="8">
        <f>[1]Data!S2069</f>
        <v>0</v>
      </c>
      <c r="T2069">
        <f t="shared" si="160"/>
        <v>5.4135338345864675E-2</v>
      </c>
      <c r="U2069">
        <f t="shared" si="161"/>
        <v>0</v>
      </c>
      <c r="V2069" s="4" t="str">
        <f t="shared" si="162"/>
        <v>14</v>
      </c>
      <c r="W2069" s="4" t="str">
        <f t="shared" si="163"/>
        <v>4</v>
      </c>
      <c r="X2069" s="4" t="str">
        <f t="shared" si="164"/>
        <v>14NON-HS4</v>
      </c>
      <c r="Y2069">
        <f>VLOOKUP(X2069,Sheet1!$J$5:$K$121,2,FALSE)</f>
        <v>2.8571428571428598E-2</v>
      </c>
    </row>
    <row r="2070" spans="1:25" x14ac:dyDescent="0.25">
      <c r="A2070" s="8">
        <f>[1]Data!A2070</f>
        <v>204420</v>
      </c>
      <c r="B2070" s="8">
        <f>[1]Data!B2070</f>
        <v>4</v>
      </c>
      <c r="C2070" s="8">
        <f>[1]Data!C2070</f>
        <v>14</v>
      </c>
      <c r="D2070" s="8">
        <f>[1]Data!D2070</f>
        <v>1</v>
      </c>
      <c r="E2070" s="8" t="str">
        <f>[1]Data!E2070</f>
        <v>NON-HS</v>
      </c>
      <c r="F2070" s="8" t="str">
        <f>[1]Data!F2070</f>
        <v>Boyle Heights</v>
      </c>
      <c r="G2070" s="8">
        <f>[1]Data!G2070</f>
        <v>0</v>
      </c>
      <c r="H2070" s="8">
        <f>[1]Data!H2070</f>
        <v>0</v>
      </c>
      <c r="I2070" s="8">
        <f>[1]Data!I2070</f>
        <v>3</v>
      </c>
      <c r="J2070" s="8">
        <f>[1]Data!J2070</f>
        <v>0</v>
      </c>
      <c r="K2070" s="8">
        <f>[1]Data!K2070</f>
        <v>3</v>
      </c>
      <c r="L2070" s="8">
        <f>[1]Data!L2070</f>
        <v>0</v>
      </c>
      <c r="M2070" s="8">
        <f>[1]Data!M2070</f>
        <v>3</v>
      </c>
      <c r="N2070" s="8">
        <f>[1]Data!N2070</f>
        <v>2.6315789473684199E-2</v>
      </c>
      <c r="O2070" s="8">
        <f>[1]Data!O2070</f>
        <v>0</v>
      </c>
      <c r="P2070" s="8">
        <f>[1]Data!P2070</f>
        <v>0.24342105263157901</v>
      </c>
      <c r="Q2070" s="8">
        <f>[1]Data!Q2070</f>
        <v>1</v>
      </c>
      <c r="R2070" s="8">
        <f>[1]Data!R2070</f>
        <v>2.8571428571428598E-2</v>
      </c>
      <c r="S2070" s="8">
        <f>[1]Data!S2070</f>
        <v>0</v>
      </c>
      <c r="T2070">
        <f t="shared" si="160"/>
        <v>5.4135338345864675E-2</v>
      </c>
      <c r="U2070">
        <f t="shared" si="161"/>
        <v>0</v>
      </c>
      <c r="V2070" s="4" t="str">
        <f t="shared" si="162"/>
        <v>14</v>
      </c>
      <c r="W2070" s="4" t="str">
        <f t="shared" si="163"/>
        <v>4</v>
      </c>
      <c r="X2070" s="4" t="str">
        <f t="shared" si="164"/>
        <v>14NON-HS4</v>
      </c>
      <c r="Y2070">
        <f>VLOOKUP(X2070,Sheet1!$J$5:$K$121,2,FALSE)</f>
        <v>2.8571428571428598E-2</v>
      </c>
    </row>
    <row r="2071" spans="1:25" x14ac:dyDescent="0.25">
      <c r="A2071" s="8">
        <f>[1]Data!A2071</f>
        <v>204810</v>
      </c>
      <c r="B2071" s="8">
        <f>[1]Data!B2071</f>
        <v>4</v>
      </c>
      <c r="C2071" s="8">
        <f>[1]Data!C2071</f>
        <v>14</v>
      </c>
      <c r="D2071" s="8">
        <f>[1]Data!D2071</f>
        <v>1</v>
      </c>
      <c r="E2071" s="8" t="str">
        <f>[1]Data!E2071</f>
        <v>NON-HS</v>
      </c>
      <c r="F2071" s="8" t="str">
        <f>[1]Data!F2071</f>
        <v>Boyle Heights</v>
      </c>
      <c r="G2071" s="8">
        <f>[1]Data!G2071</f>
        <v>0</v>
      </c>
      <c r="H2071" s="8">
        <f>[1]Data!H2071</f>
        <v>0</v>
      </c>
      <c r="I2071" s="8">
        <f>[1]Data!I2071</f>
        <v>11.44</v>
      </c>
      <c r="J2071" s="8">
        <f>[1]Data!J2071</f>
        <v>10.949487939999999</v>
      </c>
      <c r="K2071" s="8">
        <f>[1]Data!K2071</f>
        <v>10.949487939999999</v>
      </c>
      <c r="L2071" s="8">
        <f>[1]Data!L2071</f>
        <v>0.49003336335727099</v>
      </c>
      <c r="M2071" s="8">
        <f>[1]Data!M2071</f>
        <v>11.439521303357299</v>
      </c>
      <c r="N2071" s="8">
        <f>[1]Data!N2071</f>
        <v>2.6315789473684199E-2</v>
      </c>
      <c r="O2071" s="8">
        <f>[1]Data!O2071</f>
        <v>0</v>
      </c>
      <c r="P2071" s="8">
        <f>[1]Data!P2071</f>
        <v>0.24342105263157901</v>
      </c>
      <c r="Q2071" s="8">
        <f>[1]Data!Q2071</f>
        <v>1</v>
      </c>
      <c r="R2071" s="8">
        <f>[1]Data!R2071</f>
        <v>2.8571428571428598E-2</v>
      </c>
      <c r="S2071" s="8">
        <f>[1]Data!S2071</f>
        <v>0</v>
      </c>
      <c r="T2071">
        <f t="shared" si="160"/>
        <v>5.4135338345864675E-2</v>
      </c>
      <c r="U2071">
        <f t="shared" si="161"/>
        <v>0</v>
      </c>
      <c r="V2071" s="4" t="str">
        <f t="shared" si="162"/>
        <v>14</v>
      </c>
      <c r="W2071" s="4" t="str">
        <f t="shared" si="163"/>
        <v>4</v>
      </c>
      <c r="X2071" s="4" t="str">
        <f t="shared" si="164"/>
        <v>14NON-HS4</v>
      </c>
      <c r="Y2071">
        <f>VLOOKUP(X2071,Sheet1!$J$5:$K$121,2,FALSE)</f>
        <v>2.8571428571428598E-2</v>
      </c>
    </row>
    <row r="2072" spans="1:25" x14ac:dyDescent="0.25">
      <c r="A2072" s="8">
        <f>[1]Data!A2072</f>
        <v>204910</v>
      </c>
      <c r="B2072" s="8">
        <f>[1]Data!B2072</f>
        <v>4</v>
      </c>
      <c r="C2072" s="8">
        <f>[1]Data!C2072</f>
        <v>14</v>
      </c>
      <c r="D2072" s="8">
        <f>[1]Data!D2072</f>
        <v>1</v>
      </c>
      <c r="E2072" s="8" t="str">
        <f>[1]Data!E2072</f>
        <v>NON-HS</v>
      </c>
      <c r="F2072" s="8" t="str">
        <f>[1]Data!F2072</f>
        <v>Boyle Heights</v>
      </c>
      <c r="G2072" s="8">
        <f>[1]Data!G2072</f>
        <v>0</v>
      </c>
      <c r="H2072" s="8">
        <f>[1]Data!H2072</f>
        <v>0</v>
      </c>
      <c r="I2072" s="8">
        <f>[1]Data!I2072</f>
        <v>3</v>
      </c>
      <c r="J2072" s="8">
        <f>[1]Data!J2072</f>
        <v>0</v>
      </c>
      <c r="K2072" s="8">
        <f>[1]Data!K2072</f>
        <v>3</v>
      </c>
      <c r="L2072" s="8">
        <f>[1]Data!L2072</f>
        <v>0</v>
      </c>
      <c r="M2072" s="8">
        <f>[1]Data!M2072</f>
        <v>3</v>
      </c>
      <c r="N2072" s="8">
        <f>[1]Data!N2072</f>
        <v>2.6315789473684199E-2</v>
      </c>
      <c r="O2072" s="8">
        <f>[1]Data!O2072</f>
        <v>0</v>
      </c>
      <c r="P2072" s="8">
        <f>[1]Data!P2072</f>
        <v>0.24342105263157901</v>
      </c>
      <c r="Q2072" s="8">
        <f>[1]Data!Q2072</f>
        <v>1</v>
      </c>
      <c r="R2072" s="8">
        <f>[1]Data!R2072</f>
        <v>2.8571428571428598E-2</v>
      </c>
      <c r="S2072" s="8">
        <f>[1]Data!S2072</f>
        <v>0</v>
      </c>
      <c r="T2072">
        <f t="shared" si="160"/>
        <v>5.4135338345864675E-2</v>
      </c>
      <c r="U2072">
        <f t="shared" si="161"/>
        <v>0</v>
      </c>
      <c r="V2072" s="4" t="str">
        <f t="shared" si="162"/>
        <v>14</v>
      </c>
      <c r="W2072" s="4" t="str">
        <f t="shared" si="163"/>
        <v>4</v>
      </c>
      <c r="X2072" s="4" t="str">
        <f t="shared" si="164"/>
        <v>14NON-HS4</v>
      </c>
      <c r="Y2072">
        <f>VLOOKUP(X2072,Sheet1!$J$5:$K$121,2,FALSE)</f>
        <v>2.8571428571428598E-2</v>
      </c>
    </row>
    <row r="2073" spans="1:25" x14ac:dyDescent="0.25">
      <c r="A2073" s="8">
        <f>[1]Data!A2073</f>
        <v>205110</v>
      </c>
      <c r="B2073" s="8">
        <f>[1]Data!B2073</f>
        <v>4</v>
      </c>
      <c r="C2073" s="8">
        <f>[1]Data!C2073</f>
        <v>14</v>
      </c>
      <c r="D2073" s="8">
        <f>[1]Data!D2073</f>
        <v>1</v>
      </c>
      <c r="E2073" s="8" t="str">
        <f>[1]Data!E2073</f>
        <v>NON-HS</v>
      </c>
      <c r="F2073" s="8" t="str">
        <f>[1]Data!F2073</f>
        <v>Boyle Heights</v>
      </c>
      <c r="G2073" s="8">
        <f>[1]Data!G2073</f>
        <v>0</v>
      </c>
      <c r="H2073" s="8">
        <f>[1]Data!H2073</f>
        <v>0</v>
      </c>
      <c r="I2073" s="8">
        <f>[1]Data!I2073</f>
        <v>5.5910000000000002</v>
      </c>
      <c r="J2073" s="8">
        <f>[1]Data!J2073</f>
        <v>1.43919657</v>
      </c>
      <c r="K2073" s="8">
        <f>[1]Data!K2073</f>
        <v>5.43919657</v>
      </c>
      <c r="L2073" s="8">
        <f>[1]Data!L2073</f>
        <v>0.15145200614003601</v>
      </c>
      <c r="M2073" s="8">
        <f>[1]Data!M2073</f>
        <v>5.5906485761400404</v>
      </c>
      <c r="N2073" s="8">
        <f>[1]Data!N2073</f>
        <v>2.6315789473684199E-2</v>
      </c>
      <c r="O2073" s="8">
        <f>[1]Data!O2073</f>
        <v>0</v>
      </c>
      <c r="P2073" s="8">
        <f>[1]Data!P2073</f>
        <v>0.24342105263157901</v>
      </c>
      <c r="Q2073" s="8">
        <f>[1]Data!Q2073</f>
        <v>1</v>
      </c>
      <c r="R2073" s="8">
        <f>[1]Data!R2073</f>
        <v>2.8571428571428598E-2</v>
      </c>
      <c r="S2073" s="8">
        <f>[1]Data!S2073</f>
        <v>0</v>
      </c>
      <c r="T2073">
        <f t="shared" si="160"/>
        <v>5.4135338345864675E-2</v>
      </c>
      <c r="U2073">
        <f t="shared" si="161"/>
        <v>0</v>
      </c>
      <c r="V2073" s="4" t="str">
        <f t="shared" si="162"/>
        <v>14</v>
      </c>
      <c r="W2073" s="4" t="str">
        <f t="shared" si="163"/>
        <v>4</v>
      </c>
      <c r="X2073" s="4" t="str">
        <f t="shared" si="164"/>
        <v>14NON-HS4</v>
      </c>
      <c r="Y2073">
        <f>VLOOKUP(X2073,Sheet1!$J$5:$K$121,2,FALSE)</f>
        <v>2.8571428571428598E-2</v>
      </c>
    </row>
    <row r="2074" spans="1:25" x14ac:dyDescent="0.25">
      <c r="A2074" s="8">
        <f>[1]Data!A2074</f>
        <v>199110</v>
      </c>
      <c r="B2074" s="8">
        <f>[1]Data!B2074</f>
        <v>4</v>
      </c>
      <c r="C2074" s="8">
        <f>[1]Data!C2074</f>
        <v>14</v>
      </c>
      <c r="D2074" s="8">
        <f>[1]Data!D2074</f>
        <v>1</v>
      </c>
      <c r="E2074" s="8" t="str">
        <f>[1]Data!E2074</f>
        <v>NON-HS</v>
      </c>
      <c r="F2074" s="8" t="str">
        <f>[1]Data!F2074</f>
        <v>El Sereno</v>
      </c>
      <c r="G2074" s="8">
        <f>[1]Data!G2074</f>
        <v>0</v>
      </c>
      <c r="H2074" s="8">
        <f>[1]Data!H2074</f>
        <v>0</v>
      </c>
      <c r="I2074" s="8">
        <f>[1]Data!I2074</f>
        <v>2.0950000000000002</v>
      </c>
      <c r="J2074" s="8">
        <f>[1]Data!J2074</f>
        <v>1.9836996600000001</v>
      </c>
      <c r="K2074" s="8">
        <f>[1]Data!K2074</f>
        <v>1.9836996600000001</v>
      </c>
      <c r="L2074" s="8">
        <f>[1]Data!L2074</f>
        <v>0.11117260138240601</v>
      </c>
      <c r="M2074" s="8">
        <f>[1]Data!M2074</f>
        <v>2.09487226138241</v>
      </c>
      <c r="N2074" s="8">
        <f>[1]Data!N2074</f>
        <v>2.6315789473684199E-2</v>
      </c>
      <c r="O2074" s="8">
        <f>[1]Data!O2074</f>
        <v>0</v>
      </c>
      <c r="P2074" s="8">
        <f>[1]Data!P2074</f>
        <v>0.24342105263157901</v>
      </c>
      <c r="Q2074" s="8">
        <f>[1]Data!Q2074</f>
        <v>1</v>
      </c>
      <c r="R2074" s="8">
        <f>[1]Data!R2074</f>
        <v>2.8571428571428598E-2</v>
      </c>
      <c r="S2074" s="8">
        <f>[1]Data!S2074</f>
        <v>0</v>
      </c>
      <c r="T2074">
        <f t="shared" si="160"/>
        <v>5.4135338345864675E-2</v>
      </c>
      <c r="U2074">
        <f t="shared" si="161"/>
        <v>0</v>
      </c>
      <c r="V2074" s="4" t="str">
        <f t="shared" si="162"/>
        <v>14</v>
      </c>
      <c r="W2074" s="4" t="str">
        <f t="shared" si="163"/>
        <v>4</v>
      </c>
      <c r="X2074" s="4" t="str">
        <f t="shared" si="164"/>
        <v>14NON-HS4</v>
      </c>
      <c r="Y2074">
        <f>VLOOKUP(X2074,Sheet1!$J$5:$K$121,2,FALSE)</f>
        <v>2.8571428571428598E-2</v>
      </c>
    </row>
    <row r="2075" spans="1:25" x14ac:dyDescent="0.25">
      <c r="A2075" s="8">
        <f>[1]Data!A2075</f>
        <v>181500</v>
      </c>
      <c r="B2075" s="8">
        <f>[1]Data!B2075</f>
        <v>4</v>
      </c>
      <c r="C2075" s="8">
        <f>[1]Data!C2075</f>
        <v>14</v>
      </c>
      <c r="D2075" s="8">
        <f>[1]Data!D2075</f>
        <v>1</v>
      </c>
      <c r="E2075" s="8" t="str">
        <f>[1]Data!E2075</f>
        <v>NON-HS</v>
      </c>
      <c r="F2075" s="8" t="str">
        <f>[1]Data!F2075</f>
        <v>Eagle Rock</v>
      </c>
      <c r="G2075" s="8">
        <f>[1]Data!G2075</f>
        <v>0</v>
      </c>
      <c r="H2075" s="8">
        <f>[1]Data!H2075</f>
        <v>0</v>
      </c>
      <c r="I2075" s="8">
        <f>[1]Data!I2075</f>
        <v>9.7070000000000007</v>
      </c>
      <c r="J2075" s="8">
        <f>[1]Data!J2075</f>
        <v>7.31147583</v>
      </c>
      <c r="K2075" s="8">
        <f>[1]Data!K2075</f>
        <v>9.3114758299999991</v>
      </c>
      <c r="L2075" s="8">
        <f>[1]Data!L2075</f>
        <v>0.39442253098743302</v>
      </c>
      <c r="M2075" s="8">
        <f>[1]Data!M2075</f>
        <v>9.7058983609874296</v>
      </c>
      <c r="N2075" s="8">
        <f>[1]Data!N2075</f>
        <v>2.6315789473684199E-2</v>
      </c>
      <c r="O2075" s="8">
        <f>[1]Data!O2075</f>
        <v>0</v>
      </c>
      <c r="P2075" s="8">
        <f>[1]Data!P2075</f>
        <v>0.24342105263157901</v>
      </c>
      <c r="Q2075" s="8">
        <f>[1]Data!Q2075</f>
        <v>1</v>
      </c>
      <c r="R2075" s="8">
        <f>[1]Data!R2075</f>
        <v>2.8571428571428598E-2</v>
      </c>
      <c r="S2075" s="8">
        <f>[1]Data!S2075</f>
        <v>0</v>
      </c>
      <c r="T2075">
        <f t="shared" si="160"/>
        <v>5.4135338345864675E-2</v>
      </c>
      <c r="U2075">
        <f t="shared" si="161"/>
        <v>0</v>
      </c>
      <c r="V2075" s="4" t="str">
        <f t="shared" si="162"/>
        <v>14</v>
      </c>
      <c r="W2075" s="4" t="str">
        <f t="shared" si="163"/>
        <v>4</v>
      </c>
      <c r="X2075" s="4" t="str">
        <f t="shared" si="164"/>
        <v>14NON-HS4</v>
      </c>
      <c r="Y2075">
        <f>VLOOKUP(X2075,Sheet1!$J$5:$K$121,2,FALSE)</f>
        <v>2.8571428571428598E-2</v>
      </c>
    </row>
    <row r="2076" spans="1:25" x14ac:dyDescent="0.25">
      <c r="A2076" s="8">
        <f>[1]Data!A2076</f>
        <v>181600</v>
      </c>
      <c r="B2076" s="8">
        <f>[1]Data!B2076</f>
        <v>4</v>
      </c>
      <c r="C2076" s="8">
        <f>[1]Data!C2076</f>
        <v>14</v>
      </c>
      <c r="D2076" s="8">
        <f>[1]Data!D2076</f>
        <v>1</v>
      </c>
      <c r="E2076" s="8" t="str">
        <f>[1]Data!E2076</f>
        <v>NON-HS</v>
      </c>
      <c r="F2076" s="8" t="str">
        <f>[1]Data!F2076</f>
        <v>Eagle Rock</v>
      </c>
      <c r="G2076" s="8">
        <f>[1]Data!G2076</f>
        <v>0</v>
      </c>
      <c r="H2076" s="8">
        <f>[1]Data!H2076</f>
        <v>0</v>
      </c>
      <c r="I2076" s="8">
        <f>[1]Data!I2076</f>
        <v>4.1900000000000004</v>
      </c>
      <c r="J2076" s="8">
        <f>[1]Data!J2076</f>
        <v>3.9673993200000002</v>
      </c>
      <c r="K2076" s="8">
        <f>[1]Data!K2076</f>
        <v>3.9673993200000002</v>
      </c>
      <c r="L2076" s="8">
        <f>[1]Data!L2076</f>
        <v>0.22234520276481101</v>
      </c>
      <c r="M2076" s="8">
        <f>[1]Data!M2076</f>
        <v>4.1897445227648102</v>
      </c>
      <c r="N2076" s="8">
        <f>[1]Data!N2076</f>
        <v>2.6315789473684199E-2</v>
      </c>
      <c r="O2076" s="8">
        <f>[1]Data!O2076</f>
        <v>0</v>
      </c>
      <c r="P2076" s="8">
        <f>[1]Data!P2076</f>
        <v>0.24342105263157901</v>
      </c>
      <c r="Q2076" s="8">
        <f>[1]Data!Q2076</f>
        <v>1</v>
      </c>
      <c r="R2076" s="8">
        <f>[1]Data!R2076</f>
        <v>2.8571428571428598E-2</v>
      </c>
      <c r="S2076" s="8">
        <f>[1]Data!S2076</f>
        <v>0</v>
      </c>
      <c r="T2076">
        <f t="shared" si="160"/>
        <v>5.4135338345864675E-2</v>
      </c>
      <c r="U2076">
        <f t="shared" si="161"/>
        <v>0</v>
      </c>
      <c r="V2076" s="4" t="str">
        <f t="shared" si="162"/>
        <v>14</v>
      </c>
      <c r="W2076" s="4" t="str">
        <f t="shared" si="163"/>
        <v>4</v>
      </c>
      <c r="X2076" s="4" t="str">
        <f t="shared" si="164"/>
        <v>14NON-HS4</v>
      </c>
      <c r="Y2076">
        <f>VLOOKUP(X2076,Sheet1!$J$5:$K$121,2,FALSE)</f>
        <v>2.8571428571428598E-2</v>
      </c>
    </row>
    <row r="2077" spans="1:25" x14ac:dyDescent="0.25">
      <c r="A2077" s="8">
        <f>[1]Data!A2077</f>
        <v>183103</v>
      </c>
      <c r="B2077" s="8">
        <f>[1]Data!B2077</f>
        <v>4</v>
      </c>
      <c r="C2077" s="8">
        <f>[1]Data!C2077</f>
        <v>14</v>
      </c>
      <c r="D2077" s="8">
        <f>[1]Data!D2077</f>
        <v>1</v>
      </c>
      <c r="E2077" s="8" t="str">
        <f>[1]Data!E2077</f>
        <v>NON-HS</v>
      </c>
      <c r="F2077" s="8" t="str">
        <f>[1]Data!F2077</f>
        <v>Highland Park</v>
      </c>
      <c r="G2077" s="8">
        <f>[1]Data!G2077</f>
        <v>0</v>
      </c>
      <c r="H2077" s="8">
        <f>[1]Data!H2077</f>
        <v>0</v>
      </c>
      <c r="I2077" s="8">
        <f>[1]Data!I2077</f>
        <v>1</v>
      </c>
      <c r="J2077" s="8">
        <f>[1]Data!J2077</f>
        <v>0</v>
      </c>
      <c r="K2077" s="8">
        <f>[1]Data!K2077</f>
        <v>1</v>
      </c>
      <c r="L2077" s="8">
        <f>[1]Data!L2077</f>
        <v>0</v>
      </c>
      <c r="M2077" s="8">
        <f>[1]Data!M2077</f>
        <v>1</v>
      </c>
      <c r="N2077" s="8">
        <f>[1]Data!N2077</f>
        <v>2.6315789473684199E-2</v>
      </c>
      <c r="O2077" s="8">
        <f>[1]Data!O2077</f>
        <v>0</v>
      </c>
      <c r="P2077" s="8">
        <f>[1]Data!P2077</f>
        <v>0.24342105263157901</v>
      </c>
      <c r="Q2077" s="8">
        <f>[1]Data!Q2077</f>
        <v>1</v>
      </c>
      <c r="R2077" s="8">
        <f>[1]Data!R2077</f>
        <v>2.8571428571428598E-2</v>
      </c>
      <c r="S2077" s="8">
        <f>[1]Data!S2077</f>
        <v>0</v>
      </c>
      <c r="T2077">
        <f t="shared" si="160"/>
        <v>5.4135338345864675E-2</v>
      </c>
      <c r="U2077">
        <f t="shared" si="161"/>
        <v>0</v>
      </c>
      <c r="V2077" s="4" t="str">
        <f t="shared" si="162"/>
        <v>14</v>
      </c>
      <c r="W2077" s="4" t="str">
        <f t="shared" si="163"/>
        <v>4</v>
      </c>
      <c r="X2077" s="4" t="str">
        <f t="shared" si="164"/>
        <v>14NON-HS4</v>
      </c>
      <c r="Y2077">
        <f>VLOOKUP(X2077,Sheet1!$J$5:$K$121,2,FALSE)</f>
        <v>2.8571428571428598E-2</v>
      </c>
    </row>
    <row r="2078" spans="1:25" x14ac:dyDescent="0.25">
      <c r="A2078" s="8">
        <f>[1]Data!A2078</f>
        <v>183221</v>
      </c>
      <c r="B2078" s="8">
        <f>[1]Data!B2078</f>
        <v>4</v>
      </c>
      <c r="C2078" s="8">
        <f>[1]Data!C2078</f>
        <v>14</v>
      </c>
      <c r="D2078" s="8">
        <f>[1]Data!D2078</f>
        <v>1</v>
      </c>
      <c r="E2078" s="8" t="str">
        <f>[1]Data!E2078</f>
        <v>NON-HS</v>
      </c>
      <c r="F2078" s="8" t="str">
        <f>[1]Data!F2078</f>
        <v>Highland Park</v>
      </c>
      <c r="G2078" s="8">
        <f>[1]Data!G2078</f>
        <v>0</v>
      </c>
      <c r="H2078" s="8">
        <f>[1]Data!H2078</f>
        <v>0</v>
      </c>
      <c r="I2078" s="8">
        <f>[1]Data!I2078</f>
        <v>0</v>
      </c>
      <c r="J2078" s="8">
        <f>[1]Data!J2078</f>
        <v>0</v>
      </c>
      <c r="K2078" s="8">
        <f>[1]Data!K2078</f>
        <v>0</v>
      </c>
      <c r="L2078" s="8">
        <f>[1]Data!L2078</f>
        <v>0</v>
      </c>
      <c r="M2078" s="8">
        <f>[1]Data!M2078</f>
        <v>0</v>
      </c>
      <c r="N2078" s="8">
        <f>[1]Data!N2078</f>
        <v>2.6315789473684199E-2</v>
      </c>
      <c r="O2078" s="8">
        <f>[1]Data!O2078</f>
        <v>0</v>
      </c>
      <c r="P2078" s="8">
        <f>[1]Data!P2078</f>
        <v>0.24342105263157901</v>
      </c>
      <c r="Q2078" s="8">
        <f>[1]Data!Q2078</f>
        <v>1</v>
      </c>
      <c r="R2078" s="8">
        <f>[1]Data!R2078</f>
        <v>2.8571428571428598E-2</v>
      </c>
      <c r="S2078" s="8">
        <f>[1]Data!S2078</f>
        <v>0</v>
      </c>
      <c r="T2078">
        <f t="shared" si="160"/>
        <v>5.4135338345864675E-2</v>
      </c>
      <c r="U2078">
        <f t="shared" si="161"/>
        <v>0</v>
      </c>
      <c r="V2078" s="4" t="str">
        <f t="shared" si="162"/>
        <v>14</v>
      </c>
      <c r="W2078" s="4" t="str">
        <f t="shared" si="163"/>
        <v>4</v>
      </c>
      <c r="X2078" s="4" t="str">
        <f t="shared" si="164"/>
        <v>14NON-HS4</v>
      </c>
      <c r="Y2078">
        <f>VLOOKUP(X2078,Sheet1!$J$5:$K$121,2,FALSE)</f>
        <v>2.8571428571428598E-2</v>
      </c>
    </row>
    <row r="2079" spans="1:25" x14ac:dyDescent="0.25">
      <c r="A2079" s="8">
        <f>[1]Data!A2079</f>
        <v>204200</v>
      </c>
      <c r="B2079" s="8">
        <f>[1]Data!B2079</f>
        <v>4</v>
      </c>
      <c r="C2079" s="8">
        <f>[1]Data!C2079</f>
        <v>14</v>
      </c>
      <c r="D2079" s="8">
        <f>[1]Data!D2079</f>
        <v>1</v>
      </c>
      <c r="E2079" s="8" t="str">
        <f>[1]Data!E2079</f>
        <v>NON-HS</v>
      </c>
      <c r="F2079" s="8" t="str">
        <f>[1]Data!F2079</f>
        <v>Boyle Heights</v>
      </c>
      <c r="G2079" s="8">
        <f>[1]Data!G2079</f>
        <v>0</v>
      </c>
      <c r="H2079" s="8">
        <f>[1]Data!H2079</f>
        <v>0</v>
      </c>
      <c r="I2079" s="8">
        <f>[1]Data!I2079</f>
        <v>3</v>
      </c>
      <c r="J2079" s="8">
        <f>[1]Data!J2079</f>
        <v>0</v>
      </c>
      <c r="K2079" s="8">
        <f>[1]Data!K2079</f>
        <v>3</v>
      </c>
      <c r="L2079" s="8">
        <f>[1]Data!L2079</f>
        <v>0</v>
      </c>
      <c r="M2079" s="8">
        <f>[1]Data!M2079</f>
        <v>3</v>
      </c>
      <c r="N2079" s="8">
        <f>[1]Data!N2079</f>
        <v>2.6315789473684199E-2</v>
      </c>
      <c r="O2079" s="8">
        <f>[1]Data!O2079</f>
        <v>0</v>
      </c>
      <c r="P2079" s="8">
        <f>[1]Data!P2079</f>
        <v>0.24342105263157901</v>
      </c>
      <c r="Q2079" s="8">
        <f>[1]Data!Q2079</f>
        <v>1</v>
      </c>
      <c r="R2079" s="8">
        <f>[1]Data!R2079</f>
        <v>2.8571428571428598E-2</v>
      </c>
      <c r="S2079" s="8">
        <f>[1]Data!S2079</f>
        <v>0</v>
      </c>
      <c r="T2079">
        <f t="shared" si="160"/>
        <v>5.4135338345864675E-2</v>
      </c>
      <c r="U2079">
        <f t="shared" si="161"/>
        <v>0</v>
      </c>
      <c r="V2079" s="4" t="str">
        <f t="shared" si="162"/>
        <v>14</v>
      </c>
      <c r="W2079" s="4" t="str">
        <f t="shared" si="163"/>
        <v>4</v>
      </c>
      <c r="X2079" s="4" t="str">
        <f t="shared" si="164"/>
        <v>14NON-HS4</v>
      </c>
      <c r="Y2079">
        <f>VLOOKUP(X2079,Sheet1!$J$5:$K$121,2,FALSE)</f>
        <v>2.8571428571428598E-2</v>
      </c>
    </row>
    <row r="2080" spans="1:25" x14ac:dyDescent="0.25">
      <c r="A2080" s="8">
        <f>[1]Data!A2080</f>
        <v>183222</v>
      </c>
      <c r="B2080" s="8">
        <f>[1]Data!B2080</f>
        <v>4</v>
      </c>
      <c r="C2080" s="8">
        <f>[1]Data!C2080</f>
        <v>14</v>
      </c>
      <c r="D2080" s="8">
        <f>[1]Data!D2080</f>
        <v>1</v>
      </c>
      <c r="E2080" s="8" t="str">
        <f>[1]Data!E2080</f>
        <v>NON-HS</v>
      </c>
      <c r="F2080" s="8" t="str">
        <f>[1]Data!F2080</f>
        <v>Highland Park</v>
      </c>
      <c r="G2080" s="8">
        <f>[1]Data!G2080</f>
        <v>0</v>
      </c>
      <c r="H2080" s="8">
        <f>[1]Data!H2080</f>
        <v>0</v>
      </c>
      <c r="I2080" s="8">
        <f>[1]Data!I2080</f>
        <v>3.6160000000000001</v>
      </c>
      <c r="J2080" s="8">
        <f>[1]Data!J2080</f>
        <v>3.4662643399999999</v>
      </c>
      <c r="K2080" s="8">
        <f>[1]Data!K2080</f>
        <v>3.4662643399999999</v>
      </c>
      <c r="L2080" s="8">
        <f>[1]Data!L2080</f>
        <v>0.14997102057450601</v>
      </c>
      <c r="M2080" s="8">
        <f>[1]Data!M2080</f>
        <v>3.6162353605745099</v>
      </c>
      <c r="N2080" s="8">
        <f>[1]Data!N2080</f>
        <v>2.6315789473684199E-2</v>
      </c>
      <c r="O2080" s="8">
        <f>[1]Data!O2080</f>
        <v>0</v>
      </c>
      <c r="P2080" s="8">
        <f>[1]Data!P2080</f>
        <v>0.24342105263157901</v>
      </c>
      <c r="Q2080" s="8">
        <f>[1]Data!Q2080</f>
        <v>1</v>
      </c>
      <c r="R2080" s="8">
        <f>[1]Data!R2080</f>
        <v>2.8571428571428598E-2</v>
      </c>
      <c r="S2080" s="8">
        <f>[1]Data!S2080</f>
        <v>0</v>
      </c>
      <c r="T2080">
        <f t="shared" si="160"/>
        <v>5.4135338345864675E-2</v>
      </c>
      <c r="U2080">
        <f t="shared" si="161"/>
        <v>0</v>
      </c>
      <c r="V2080" s="4" t="str">
        <f t="shared" si="162"/>
        <v>14</v>
      </c>
      <c r="W2080" s="4" t="str">
        <f t="shared" si="163"/>
        <v>4</v>
      </c>
      <c r="X2080" s="4" t="str">
        <f t="shared" si="164"/>
        <v>14NON-HS4</v>
      </c>
      <c r="Y2080">
        <f>VLOOKUP(X2080,Sheet1!$J$5:$K$121,2,FALSE)</f>
        <v>2.8571428571428598E-2</v>
      </c>
    </row>
    <row r="2081" spans="1:25" x14ac:dyDescent="0.25">
      <c r="A2081" s="8">
        <f>[1]Data!A2081</f>
        <v>183300</v>
      </c>
      <c r="B2081" s="8">
        <f>[1]Data!B2081</f>
        <v>4</v>
      </c>
      <c r="C2081" s="8">
        <f>[1]Data!C2081</f>
        <v>14</v>
      </c>
      <c r="D2081" s="8">
        <f>[1]Data!D2081</f>
        <v>1</v>
      </c>
      <c r="E2081" s="8" t="str">
        <f>[1]Data!E2081</f>
        <v>NON-HS</v>
      </c>
      <c r="F2081" s="8" t="str">
        <f>[1]Data!F2081</f>
        <v>Highland Park</v>
      </c>
      <c r="G2081" s="8">
        <f>[1]Data!G2081</f>
        <v>0</v>
      </c>
      <c r="H2081" s="8">
        <f>[1]Data!H2081</f>
        <v>0</v>
      </c>
      <c r="I2081" s="8">
        <f>[1]Data!I2081</f>
        <v>8.093</v>
      </c>
      <c r="J2081" s="8">
        <f>[1]Data!J2081</f>
        <v>7.6842311499999996</v>
      </c>
      <c r="K2081" s="8">
        <f>[1]Data!K2081</f>
        <v>7.6842311499999996</v>
      </c>
      <c r="L2081" s="8">
        <f>[1]Data!L2081</f>
        <v>0.40850331443447002</v>
      </c>
      <c r="M2081" s="8">
        <f>[1]Data!M2081</f>
        <v>8.0927344644344696</v>
      </c>
      <c r="N2081" s="8">
        <f>[1]Data!N2081</f>
        <v>2.6315789473684199E-2</v>
      </c>
      <c r="O2081" s="8">
        <f>[1]Data!O2081</f>
        <v>0</v>
      </c>
      <c r="P2081" s="8">
        <f>[1]Data!P2081</f>
        <v>0.24342105263157901</v>
      </c>
      <c r="Q2081" s="8">
        <f>[1]Data!Q2081</f>
        <v>1</v>
      </c>
      <c r="R2081" s="8">
        <f>[1]Data!R2081</f>
        <v>2.8571428571428598E-2</v>
      </c>
      <c r="S2081" s="8">
        <f>[1]Data!S2081</f>
        <v>0</v>
      </c>
      <c r="T2081">
        <f t="shared" si="160"/>
        <v>5.4135338345864675E-2</v>
      </c>
      <c r="U2081">
        <f t="shared" si="161"/>
        <v>0</v>
      </c>
      <c r="V2081" s="4" t="str">
        <f t="shared" si="162"/>
        <v>14</v>
      </c>
      <c r="W2081" s="4" t="str">
        <f t="shared" si="163"/>
        <v>4</v>
      </c>
      <c r="X2081" s="4" t="str">
        <f t="shared" si="164"/>
        <v>14NON-HS4</v>
      </c>
      <c r="Y2081">
        <f>VLOOKUP(X2081,Sheet1!$J$5:$K$121,2,FALSE)</f>
        <v>2.8571428571428598E-2</v>
      </c>
    </row>
    <row r="2082" spans="1:25" x14ac:dyDescent="0.25">
      <c r="A2082" s="8">
        <f>[1]Data!A2082</f>
        <v>183401</v>
      </c>
      <c r="B2082" s="8">
        <f>[1]Data!B2082</f>
        <v>4</v>
      </c>
      <c r="C2082" s="8">
        <f>[1]Data!C2082</f>
        <v>14</v>
      </c>
      <c r="D2082" s="8">
        <f>[1]Data!D2082</f>
        <v>1</v>
      </c>
      <c r="E2082" s="8" t="str">
        <f>[1]Data!E2082</f>
        <v>NON-HS</v>
      </c>
      <c r="F2082" s="8" t="str">
        <f>[1]Data!F2082</f>
        <v>Highland Park</v>
      </c>
      <c r="G2082" s="8">
        <f>[1]Data!G2082</f>
        <v>0</v>
      </c>
      <c r="H2082" s="8">
        <f>[1]Data!H2082</f>
        <v>0</v>
      </c>
      <c r="I2082" s="8">
        <f>[1]Data!I2082</f>
        <v>14.494999999999999</v>
      </c>
      <c r="J2082" s="8">
        <f>[1]Data!J2082</f>
        <v>13.807077899999999</v>
      </c>
      <c r="K2082" s="8">
        <f>[1]Data!K2082</f>
        <v>13.807077899999999</v>
      </c>
      <c r="L2082" s="8">
        <f>[1]Data!L2082</f>
        <v>0.68766093037702003</v>
      </c>
      <c r="M2082" s="8">
        <f>[1]Data!M2082</f>
        <v>14.494738830377001</v>
      </c>
      <c r="N2082" s="8">
        <f>[1]Data!N2082</f>
        <v>2.6315789473684199E-2</v>
      </c>
      <c r="O2082" s="8">
        <f>[1]Data!O2082</f>
        <v>0</v>
      </c>
      <c r="P2082" s="8">
        <f>[1]Data!P2082</f>
        <v>0.24342105263157901</v>
      </c>
      <c r="Q2082" s="8">
        <f>[1]Data!Q2082</f>
        <v>1</v>
      </c>
      <c r="R2082" s="8">
        <f>[1]Data!R2082</f>
        <v>2.8571428571428598E-2</v>
      </c>
      <c r="S2082" s="8">
        <f>[1]Data!S2082</f>
        <v>0</v>
      </c>
      <c r="T2082">
        <f t="shared" si="160"/>
        <v>5.4135338345864675E-2</v>
      </c>
      <c r="U2082">
        <f t="shared" si="161"/>
        <v>0</v>
      </c>
      <c r="V2082" s="4" t="str">
        <f t="shared" si="162"/>
        <v>14</v>
      </c>
      <c r="W2082" s="4" t="str">
        <f t="shared" si="163"/>
        <v>4</v>
      </c>
      <c r="X2082" s="4" t="str">
        <f t="shared" si="164"/>
        <v>14NON-HS4</v>
      </c>
      <c r="Y2082">
        <f>VLOOKUP(X2082,Sheet1!$J$5:$K$121,2,FALSE)</f>
        <v>2.8571428571428598E-2</v>
      </c>
    </row>
    <row r="2083" spans="1:25" x14ac:dyDescent="0.25">
      <c r="A2083" s="8">
        <f>[1]Data!A2083</f>
        <v>183402</v>
      </c>
      <c r="B2083" s="8">
        <f>[1]Data!B2083</f>
        <v>4</v>
      </c>
      <c r="C2083" s="8">
        <f>[1]Data!C2083</f>
        <v>14</v>
      </c>
      <c r="D2083" s="8">
        <f>[1]Data!D2083</f>
        <v>1</v>
      </c>
      <c r="E2083" s="8" t="str">
        <f>[1]Data!E2083</f>
        <v>NON-HS</v>
      </c>
      <c r="F2083" s="8" t="str">
        <f>[1]Data!F2083</f>
        <v>Eagle Rock</v>
      </c>
      <c r="G2083" s="8">
        <f>[1]Data!G2083</f>
        <v>1</v>
      </c>
      <c r="H2083" s="8">
        <f>[1]Data!H2083</f>
        <v>1</v>
      </c>
      <c r="I2083" s="8">
        <f>[1]Data!I2083</f>
        <v>19.28</v>
      </c>
      <c r="J2083" s="8">
        <f>[1]Data!J2083</f>
        <v>17.35216196</v>
      </c>
      <c r="K2083" s="8">
        <f>[1]Data!K2083</f>
        <v>18.35216196</v>
      </c>
      <c r="L2083" s="8">
        <f>[1]Data!L2083</f>
        <v>0.92817923025134597</v>
      </c>
      <c r="M2083" s="8">
        <f>[1]Data!M2083</f>
        <v>19.280341190251299</v>
      </c>
      <c r="N2083" s="8">
        <f>[1]Data!N2083</f>
        <v>2.6315789473684199E-2</v>
      </c>
      <c r="O2083" s="8">
        <f>[1]Data!O2083</f>
        <v>38</v>
      </c>
      <c r="P2083" s="8">
        <f>[1]Data!P2083</f>
        <v>0.24342105263157901</v>
      </c>
      <c r="Q2083" s="8">
        <f>[1]Data!Q2083</f>
        <v>1</v>
      </c>
      <c r="R2083" s="8">
        <f>[1]Data!R2083</f>
        <v>0</v>
      </c>
      <c r="S2083" s="8">
        <f>[1]Data!S2083</f>
        <v>0</v>
      </c>
      <c r="T2083">
        <f t="shared" si="160"/>
        <v>5.4135338345864675E-2</v>
      </c>
      <c r="U2083">
        <f t="shared" si="161"/>
        <v>18.472222222222218</v>
      </c>
      <c r="V2083" s="4" t="str">
        <f t="shared" si="162"/>
        <v>14</v>
      </c>
      <c r="W2083" s="4" t="str">
        <f t="shared" si="163"/>
        <v>4</v>
      </c>
      <c r="X2083" s="4" t="str">
        <f t="shared" si="164"/>
        <v>14NON-HS4</v>
      </c>
      <c r="Y2083">
        <f>VLOOKUP(X2083,Sheet1!$J$5:$K$121,2,FALSE)</f>
        <v>2.8571428571428598E-2</v>
      </c>
    </row>
    <row r="2084" spans="1:25" x14ac:dyDescent="0.25">
      <c r="A2084" s="8">
        <f>[1]Data!A2084</f>
        <v>183702</v>
      </c>
      <c r="B2084" s="8">
        <f>[1]Data!B2084</f>
        <v>4</v>
      </c>
      <c r="C2084" s="8">
        <f>[1]Data!C2084</f>
        <v>14</v>
      </c>
      <c r="D2084" s="8">
        <f>[1]Data!D2084</f>
        <v>1</v>
      </c>
      <c r="E2084" s="8" t="str">
        <f>[1]Data!E2084</f>
        <v>NON-HS</v>
      </c>
      <c r="F2084" s="8" t="str">
        <f>[1]Data!F2084</f>
        <v>Eagle Rock</v>
      </c>
      <c r="G2084" s="8">
        <f>[1]Data!G2084</f>
        <v>0</v>
      </c>
      <c r="H2084" s="8">
        <f>[1]Data!H2084</f>
        <v>0</v>
      </c>
      <c r="I2084" s="8">
        <f>[1]Data!I2084</f>
        <v>6.4240000000000004</v>
      </c>
      <c r="J2084" s="8">
        <f>[1]Data!J2084</f>
        <v>5.1993965099999997</v>
      </c>
      <c r="K2084" s="8">
        <f>[1]Data!K2084</f>
        <v>6.1993965099999997</v>
      </c>
      <c r="L2084" s="8">
        <f>[1]Data!L2084</f>
        <v>0.22495653086175901</v>
      </c>
      <c r="M2084" s="8">
        <f>[1]Data!M2084</f>
        <v>6.4243530408617602</v>
      </c>
      <c r="N2084" s="8">
        <f>[1]Data!N2084</f>
        <v>2.6315789473684199E-2</v>
      </c>
      <c r="O2084" s="8">
        <f>[1]Data!O2084</f>
        <v>0</v>
      </c>
      <c r="P2084" s="8">
        <f>[1]Data!P2084</f>
        <v>0.24342105263157901</v>
      </c>
      <c r="Q2084" s="8">
        <f>[1]Data!Q2084</f>
        <v>1</v>
      </c>
      <c r="R2084" s="8">
        <f>[1]Data!R2084</f>
        <v>2.8571428571428598E-2</v>
      </c>
      <c r="S2084" s="8">
        <f>[1]Data!S2084</f>
        <v>0</v>
      </c>
      <c r="T2084">
        <f t="shared" si="160"/>
        <v>5.4135338345864675E-2</v>
      </c>
      <c r="U2084">
        <f t="shared" si="161"/>
        <v>0</v>
      </c>
      <c r="V2084" s="4" t="str">
        <f t="shared" si="162"/>
        <v>14</v>
      </c>
      <c r="W2084" s="4" t="str">
        <f t="shared" si="163"/>
        <v>4</v>
      </c>
      <c r="X2084" s="4" t="str">
        <f t="shared" si="164"/>
        <v>14NON-HS4</v>
      </c>
      <c r="Y2084">
        <f>VLOOKUP(X2084,Sheet1!$J$5:$K$121,2,FALSE)</f>
        <v>2.8571428571428598E-2</v>
      </c>
    </row>
    <row r="2085" spans="1:25" x14ac:dyDescent="0.25">
      <c r="A2085" s="8">
        <f>[1]Data!A2085</f>
        <v>203720</v>
      </c>
      <c r="B2085" s="8">
        <f>[1]Data!B2085</f>
        <v>4</v>
      </c>
      <c r="C2085" s="8">
        <f>[1]Data!C2085</f>
        <v>14</v>
      </c>
      <c r="D2085" s="8">
        <f>[1]Data!D2085</f>
        <v>1</v>
      </c>
      <c r="E2085" s="8" t="str">
        <f>[1]Data!E2085</f>
        <v>NON-HS</v>
      </c>
      <c r="F2085" s="8" t="str">
        <f>[1]Data!F2085</f>
        <v>Boyle Heights</v>
      </c>
      <c r="G2085" s="8">
        <f>[1]Data!G2085</f>
        <v>0</v>
      </c>
      <c r="H2085" s="8">
        <f>[1]Data!H2085</f>
        <v>0</v>
      </c>
      <c r="I2085" s="8">
        <f>[1]Data!I2085</f>
        <v>3</v>
      </c>
      <c r="J2085" s="8">
        <f>[1]Data!J2085</f>
        <v>0</v>
      </c>
      <c r="K2085" s="8">
        <f>[1]Data!K2085</f>
        <v>3</v>
      </c>
      <c r="L2085" s="8">
        <f>[1]Data!L2085</f>
        <v>0</v>
      </c>
      <c r="M2085" s="8">
        <f>[1]Data!M2085</f>
        <v>3</v>
      </c>
      <c r="N2085" s="8">
        <f>[1]Data!N2085</f>
        <v>2.6315789473684199E-2</v>
      </c>
      <c r="O2085" s="8">
        <f>[1]Data!O2085</f>
        <v>0</v>
      </c>
      <c r="P2085" s="8">
        <f>[1]Data!P2085</f>
        <v>0.24342105263157901</v>
      </c>
      <c r="Q2085" s="8">
        <f>[1]Data!Q2085</f>
        <v>1</v>
      </c>
      <c r="R2085" s="8">
        <f>[1]Data!R2085</f>
        <v>2.8571428571428598E-2</v>
      </c>
      <c r="S2085" s="8">
        <f>[1]Data!S2085</f>
        <v>0</v>
      </c>
      <c r="T2085">
        <f t="shared" si="160"/>
        <v>5.4135338345864675E-2</v>
      </c>
      <c r="U2085">
        <f t="shared" si="161"/>
        <v>0</v>
      </c>
      <c r="V2085" s="4" t="str">
        <f t="shared" si="162"/>
        <v>14</v>
      </c>
      <c r="W2085" s="4" t="str">
        <f t="shared" si="163"/>
        <v>4</v>
      </c>
      <c r="X2085" s="4" t="str">
        <f t="shared" si="164"/>
        <v>14NON-HS4</v>
      </c>
      <c r="Y2085">
        <f>VLOOKUP(X2085,Sheet1!$J$5:$K$121,2,FALSE)</f>
        <v>2.8571428571428598E-2</v>
      </c>
    </row>
    <row r="2086" spans="1:25" x14ac:dyDescent="0.25">
      <c r="A2086" s="8">
        <f>[1]Data!A2086</f>
        <v>201110</v>
      </c>
      <c r="B2086" s="8">
        <f>[1]Data!B2086</f>
        <v>4</v>
      </c>
      <c r="C2086" s="8">
        <f>[1]Data!C2086</f>
        <v>14</v>
      </c>
      <c r="D2086" s="8">
        <f>[1]Data!D2086</f>
        <v>1</v>
      </c>
      <c r="E2086" s="8" t="str">
        <f>[1]Data!E2086</f>
        <v>NON-HS</v>
      </c>
      <c r="F2086" s="8" t="str">
        <f>[1]Data!F2086</f>
        <v>El Sereno</v>
      </c>
      <c r="G2086" s="8">
        <f>[1]Data!G2086</f>
        <v>0</v>
      </c>
      <c r="H2086" s="8">
        <f>[1]Data!H2086</f>
        <v>0</v>
      </c>
      <c r="I2086" s="8">
        <f>[1]Data!I2086</f>
        <v>14.324999999999999</v>
      </c>
      <c r="J2086" s="8">
        <f>[1]Data!J2086</f>
        <v>13.728258179999999</v>
      </c>
      <c r="K2086" s="8">
        <f>[1]Data!K2086</f>
        <v>13.728258179999999</v>
      </c>
      <c r="L2086" s="8">
        <f>[1]Data!L2086</f>
        <v>0.59711365107719905</v>
      </c>
      <c r="M2086" s="8">
        <f>[1]Data!M2086</f>
        <v>14.3253718310772</v>
      </c>
      <c r="N2086" s="8">
        <f>[1]Data!N2086</f>
        <v>2.6315789473684199E-2</v>
      </c>
      <c r="O2086" s="8">
        <f>[1]Data!O2086</f>
        <v>0</v>
      </c>
      <c r="P2086" s="8">
        <f>[1]Data!P2086</f>
        <v>0.24342105263157901</v>
      </c>
      <c r="Q2086" s="8">
        <f>[1]Data!Q2086</f>
        <v>1</v>
      </c>
      <c r="R2086" s="8">
        <f>[1]Data!R2086</f>
        <v>2.8571428571428598E-2</v>
      </c>
      <c r="S2086" s="8">
        <f>[1]Data!S2086</f>
        <v>0</v>
      </c>
      <c r="T2086">
        <f t="shared" si="160"/>
        <v>5.4135338345864675E-2</v>
      </c>
      <c r="U2086">
        <f t="shared" si="161"/>
        <v>0</v>
      </c>
      <c r="V2086" s="4" t="str">
        <f t="shared" si="162"/>
        <v>14</v>
      </c>
      <c r="W2086" s="4" t="str">
        <f t="shared" si="163"/>
        <v>4</v>
      </c>
      <c r="X2086" s="4" t="str">
        <f t="shared" si="164"/>
        <v>14NON-HS4</v>
      </c>
      <c r="Y2086">
        <f>VLOOKUP(X2086,Sheet1!$J$5:$K$121,2,FALSE)</f>
        <v>2.8571428571428598E-2</v>
      </c>
    </row>
    <row r="2087" spans="1:25" x14ac:dyDescent="0.25">
      <c r="A2087" s="8">
        <f>[1]Data!A2087</f>
        <v>201120</v>
      </c>
      <c r="B2087" s="8">
        <f>[1]Data!B2087</f>
        <v>4</v>
      </c>
      <c r="C2087" s="8">
        <f>[1]Data!C2087</f>
        <v>14</v>
      </c>
      <c r="D2087" s="8">
        <f>[1]Data!D2087</f>
        <v>1</v>
      </c>
      <c r="E2087" s="8" t="str">
        <f>[1]Data!E2087</f>
        <v>NON-HS</v>
      </c>
      <c r="F2087" s="8" t="str">
        <f>[1]Data!F2087</f>
        <v>El Sereno</v>
      </c>
      <c r="G2087" s="8">
        <f>[1]Data!G2087</f>
        <v>0</v>
      </c>
      <c r="H2087" s="8">
        <f>[1]Data!H2087</f>
        <v>0</v>
      </c>
      <c r="I2087" s="8">
        <f>[1]Data!I2087</f>
        <v>14.664</v>
      </c>
      <c r="J2087" s="8">
        <f>[1]Data!J2087</f>
        <v>13.88589762</v>
      </c>
      <c r="K2087" s="8">
        <f>[1]Data!K2087</f>
        <v>13.88589762</v>
      </c>
      <c r="L2087" s="8">
        <f>[1]Data!L2087</f>
        <v>0.77820820967684001</v>
      </c>
      <c r="M2087" s="8">
        <f>[1]Data!M2087</f>
        <v>14.664105829676799</v>
      </c>
      <c r="N2087" s="8">
        <f>[1]Data!N2087</f>
        <v>2.6315789473684199E-2</v>
      </c>
      <c r="O2087" s="8">
        <f>[1]Data!O2087</f>
        <v>0</v>
      </c>
      <c r="P2087" s="8">
        <f>[1]Data!P2087</f>
        <v>0.24342105263157901</v>
      </c>
      <c r="Q2087" s="8">
        <f>[1]Data!Q2087</f>
        <v>1</v>
      </c>
      <c r="R2087" s="8">
        <f>[1]Data!R2087</f>
        <v>2.8571428571428598E-2</v>
      </c>
      <c r="S2087" s="8">
        <f>[1]Data!S2087</f>
        <v>0</v>
      </c>
      <c r="T2087">
        <f t="shared" si="160"/>
        <v>5.4135338345864675E-2</v>
      </c>
      <c r="U2087">
        <f t="shared" si="161"/>
        <v>0</v>
      </c>
      <c r="V2087" s="4" t="str">
        <f t="shared" si="162"/>
        <v>14</v>
      </c>
      <c r="W2087" s="4" t="str">
        <f t="shared" si="163"/>
        <v>4</v>
      </c>
      <c r="X2087" s="4" t="str">
        <f t="shared" si="164"/>
        <v>14NON-HS4</v>
      </c>
      <c r="Y2087">
        <f>VLOOKUP(X2087,Sheet1!$J$5:$K$121,2,FALSE)</f>
        <v>2.8571428571428598E-2</v>
      </c>
    </row>
    <row r="2088" spans="1:25" x14ac:dyDescent="0.25">
      <c r="A2088" s="8">
        <f>[1]Data!A2088</f>
        <v>201302</v>
      </c>
      <c r="B2088" s="8">
        <f>[1]Data!B2088</f>
        <v>4</v>
      </c>
      <c r="C2088" s="8">
        <f>[1]Data!C2088</f>
        <v>14</v>
      </c>
      <c r="D2088" s="8">
        <f>[1]Data!D2088</f>
        <v>1</v>
      </c>
      <c r="E2088" s="8" t="str">
        <f>[1]Data!E2088</f>
        <v>NON-HS</v>
      </c>
      <c r="F2088" s="8" t="str">
        <f>[1]Data!F2088</f>
        <v>Eagle Rock</v>
      </c>
      <c r="G2088" s="8">
        <f>[1]Data!G2088</f>
        <v>1</v>
      </c>
      <c r="H2088" s="8">
        <f>[1]Data!H2088</f>
        <v>1</v>
      </c>
      <c r="I2088" s="8">
        <f>[1]Data!I2088</f>
        <v>3.6859999999999999</v>
      </c>
      <c r="J2088" s="8">
        <f>[1]Data!J2088</f>
        <v>3.4228962300000001</v>
      </c>
      <c r="K2088" s="8">
        <f>[1]Data!K2088</f>
        <v>3.4228962300000001</v>
      </c>
      <c r="L2088" s="8">
        <f>[1]Data!L2088</f>
        <v>0.26262460752244199</v>
      </c>
      <c r="M2088" s="8">
        <f>[1]Data!M2088</f>
        <v>3.6855208375224402</v>
      </c>
      <c r="N2088" s="8">
        <f>[1]Data!N2088</f>
        <v>2.6315789473684199E-2</v>
      </c>
      <c r="O2088" s="8">
        <f>[1]Data!O2088</f>
        <v>38</v>
      </c>
      <c r="P2088" s="8">
        <f>[1]Data!P2088</f>
        <v>0.24342105263157901</v>
      </c>
      <c r="Q2088" s="8">
        <f>[1]Data!Q2088</f>
        <v>1</v>
      </c>
      <c r="R2088" s="8">
        <f>[1]Data!R2088</f>
        <v>0</v>
      </c>
      <c r="S2088" s="8">
        <f>[1]Data!S2088</f>
        <v>0</v>
      </c>
      <c r="T2088">
        <f t="shared" si="160"/>
        <v>5.4135338345864675E-2</v>
      </c>
      <c r="U2088">
        <f t="shared" si="161"/>
        <v>18.472222222222218</v>
      </c>
      <c r="V2088" s="4" t="str">
        <f t="shared" si="162"/>
        <v>14</v>
      </c>
      <c r="W2088" s="4" t="str">
        <f t="shared" si="163"/>
        <v>4</v>
      </c>
      <c r="X2088" s="4" t="str">
        <f t="shared" si="164"/>
        <v>14NON-HS4</v>
      </c>
      <c r="Y2088">
        <f>VLOOKUP(X2088,Sheet1!$J$5:$K$121,2,FALSE)</f>
        <v>2.8571428571428598E-2</v>
      </c>
    </row>
    <row r="2089" spans="1:25" x14ac:dyDescent="0.25">
      <c r="A2089" s="8">
        <f>[1]Data!A2089</f>
        <v>201401</v>
      </c>
      <c r="B2089" s="8">
        <f>[1]Data!B2089</f>
        <v>4</v>
      </c>
      <c r="C2089" s="8">
        <f>[1]Data!C2089</f>
        <v>14</v>
      </c>
      <c r="D2089" s="8">
        <f>[1]Data!D2089</f>
        <v>1</v>
      </c>
      <c r="E2089" s="8" t="str">
        <f>[1]Data!E2089</f>
        <v>NON-HS</v>
      </c>
      <c r="F2089" s="8" t="str">
        <f>[1]Data!F2089</f>
        <v>El Sereno</v>
      </c>
      <c r="G2089" s="8">
        <f>[1]Data!G2089</f>
        <v>0</v>
      </c>
      <c r="H2089" s="8">
        <f>[1]Data!H2089</f>
        <v>0</v>
      </c>
      <c r="I2089" s="8">
        <f>[1]Data!I2089</f>
        <v>12.983000000000001</v>
      </c>
      <c r="J2089" s="8">
        <f>[1]Data!J2089</f>
        <v>12.17356863</v>
      </c>
      <c r="K2089" s="8">
        <f>[1]Data!K2089</f>
        <v>12.17356863</v>
      </c>
      <c r="L2089" s="8">
        <f>[1]Data!L2089</f>
        <v>0.80849914464991002</v>
      </c>
      <c r="M2089" s="8">
        <f>[1]Data!M2089</f>
        <v>12.9820677746499</v>
      </c>
      <c r="N2089" s="8">
        <f>[1]Data!N2089</f>
        <v>2.6315789473684199E-2</v>
      </c>
      <c r="O2089" s="8">
        <f>[1]Data!O2089</f>
        <v>0</v>
      </c>
      <c r="P2089" s="8">
        <f>[1]Data!P2089</f>
        <v>0.24342105263157901</v>
      </c>
      <c r="Q2089" s="8">
        <f>[1]Data!Q2089</f>
        <v>1</v>
      </c>
      <c r="R2089" s="8">
        <f>[1]Data!R2089</f>
        <v>2.8571428571428598E-2</v>
      </c>
      <c r="S2089" s="8">
        <f>[1]Data!S2089</f>
        <v>0</v>
      </c>
      <c r="T2089">
        <f t="shared" si="160"/>
        <v>5.4135338345864675E-2</v>
      </c>
      <c r="U2089">
        <f t="shared" si="161"/>
        <v>0</v>
      </c>
      <c r="V2089" s="4" t="str">
        <f t="shared" si="162"/>
        <v>14</v>
      </c>
      <c r="W2089" s="4" t="str">
        <f t="shared" si="163"/>
        <v>4</v>
      </c>
      <c r="X2089" s="4" t="str">
        <f t="shared" si="164"/>
        <v>14NON-HS4</v>
      </c>
      <c r="Y2089">
        <f>VLOOKUP(X2089,Sheet1!$J$5:$K$121,2,FALSE)</f>
        <v>2.8571428571428598E-2</v>
      </c>
    </row>
    <row r="2090" spans="1:25" x14ac:dyDescent="0.25">
      <c r="A2090" s="8">
        <f>[1]Data!A2090</f>
        <v>201501</v>
      </c>
      <c r="B2090" s="8">
        <f>[1]Data!B2090</f>
        <v>4</v>
      </c>
      <c r="C2090" s="8">
        <f>[1]Data!C2090</f>
        <v>14</v>
      </c>
      <c r="D2090" s="8">
        <f>[1]Data!D2090</f>
        <v>1</v>
      </c>
      <c r="E2090" s="8" t="str">
        <f>[1]Data!E2090</f>
        <v>NON-HS</v>
      </c>
      <c r="F2090" s="8" t="str">
        <f>[1]Data!F2090</f>
        <v>El Sereno</v>
      </c>
      <c r="G2090" s="8">
        <f>[1]Data!G2090</f>
        <v>0</v>
      </c>
      <c r="H2090" s="8">
        <f>[1]Data!H2090</f>
        <v>0</v>
      </c>
      <c r="I2090" s="8">
        <f>[1]Data!I2090</f>
        <v>14.569000000000001</v>
      </c>
      <c r="J2090" s="8">
        <f>[1]Data!J2090</f>
        <v>11.902197960000001</v>
      </c>
      <c r="K2090" s="8">
        <f>[1]Data!K2090</f>
        <v>13.902197960000001</v>
      </c>
      <c r="L2090" s="8">
        <f>[1]Data!L2090</f>
        <v>0.66703560829443398</v>
      </c>
      <c r="M2090" s="8">
        <f>[1]Data!M2090</f>
        <v>14.569233568294401</v>
      </c>
      <c r="N2090" s="8">
        <f>[1]Data!N2090</f>
        <v>2.6315789473684199E-2</v>
      </c>
      <c r="O2090" s="8">
        <f>[1]Data!O2090</f>
        <v>0</v>
      </c>
      <c r="P2090" s="8">
        <f>[1]Data!P2090</f>
        <v>0.24342105263157901</v>
      </c>
      <c r="Q2090" s="8">
        <f>[1]Data!Q2090</f>
        <v>1</v>
      </c>
      <c r="R2090" s="8">
        <f>[1]Data!R2090</f>
        <v>2.8571428571428598E-2</v>
      </c>
      <c r="S2090" s="8">
        <f>[1]Data!S2090</f>
        <v>0</v>
      </c>
      <c r="T2090">
        <f t="shared" si="160"/>
        <v>5.4135338345864675E-2</v>
      </c>
      <c r="U2090">
        <f t="shared" si="161"/>
        <v>0</v>
      </c>
      <c r="V2090" s="4" t="str">
        <f t="shared" si="162"/>
        <v>14</v>
      </c>
      <c r="W2090" s="4" t="str">
        <f t="shared" si="163"/>
        <v>4</v>
      </c>
      <c r="X2090" s="4" t="str">
        <f t="shared" si="164"/>
        <v>14NON-HS4</v>
      </c>
      <c r="Y2090">
        <f>VLOOKUP(X2090,Sheet1!$J$5:$K$121,2,FALSE)</f>
        <v>2.8571428571428598E-2</v>
      </c>
    </row>
    <row r="2091" spans="1:25" x14ac:dyDescent="0.25">
      <c r="A2091" s="8">
        <f>[1]Data!A2091</f>
        <v>201700</v>
      </c>
      <c r="B2091" s="8">
        <f>[1]Data!B2091</f>
        <v>4</v>
      </c>
      <c r="C2091" s="8">
        <f>[1]Data!C2091</f>
        <v>14</v>
      </c>
      <c r="D2091" s="8">
        <f>[1]Data!D2091</f>
        <v>1</v>
      </c>
      <c r="E2091" s="8" t="str">
        <f>[1]Data!E2091</f>
        <v>NON-HS</v>
      </c>
      <c r="F2091" s="8" t="str">
        <f>[1]Data!F2091</f>
        <v>El Sereno</v>
      </c>
      <c r="G2091" s="8">
        <f>[1]Data!G2091</f>
        <v>0</v>
      </c>
      <c r="H2091" s="8">
        <f>[1]Data!H2091</f>
        <v>0</v>
      </c>
      <c r="I2091" s="8">
        <f>[1]Data!I2091</f>
        <v>7.8760000000000003</v>
      </c>
      <c r="J2091" s="8">
        <f>[1]Data!J2091</f>
        <v>7.3902955500000003</v>
      </c>
      <c r="K2091" s="8">
        <f>[1]Data!K2091</f>
        <v>7.3902955500000003</v>
      </c>
      <c r="L2091" s="8">
        <f>[1]Data!L2091</f>
        <v>0.484969810287253</v>
      </c>
      <c r="M2091" s="8">
        <f>[1]Data!M2091</f>
        <v>7.8752653602872504</v>
      </c>
      <c r="N2091" s="8">
        <f>[1]Data!N2091</f>
        <v>2.6315789473684199E-2</v>
      </c>
      <c r="O2091" s="8">
        <f>[1]Data!O2091</f>
        <v>0</v>
      </c>
      <c r="P2091" s="8">
        <f>[1]Data!P2091</f>
        <v>0.24342105263157901</v>
      </c>
      <c r="Q2091" s="8">
        <f>[1]Data!Q2091</f>
        <v>1</v>
      </c>
      <c r="R2091" s="8">
        <f>[1]Data!R2091</f>
        <v>2.8571428571428598E-2</v>
      </c>
      <c r="S2091" s="8">
        <f>[1]Data!S2091</f>
        <v>0</v>
      </c>
      <c r="T2091">
        <f t="shared" si="160"/>
        <v>5.4135338345864675E-2</v>
      </c>
      <c r="U2091">
        <f t="shared" si="161"/>
        <v>0</v>
      </c>
      <c r="V2091" s="4" t="str">
        <f t="shared" si="162"/>
        <v>14</v>
      </c>
      <c r="W2091" s="4" t="str">
        <f t="shared" si="163"/>
        <v>4</v>
      </c>
      <c r="X2091" s="4" t="str">
        <f t="shared" si="164"/>
        <v>14NON-HS4</v>
      </c>
      <c r="Y2091">
        <f>VLOOKUP(X2091,Sheet1!$J$5:$K$121,2,FALSE)</f>
        <v>2.8571428571428598E-2</v>
      </c>
    </row>
    <row r="2092" spans="1:25" x14ac:dyDescent="0.25">
      <c r="A2092" s="8">
        <f>[1]Data!A2092</f>
        <v>206200</v>
      </c>
      <c r="B2092" s="8">
        <f>[1]Data!B2092</f>
        <v>9</v>
      </c>
      <c r="C2092" s="8">
        <f>[1]Data!C2092</f>
        <v>14</v>
      </c>
      <c r="D2092" s="8">
        <f>[1]Data!D2092</f>
        <v>1</v>
      </c>
      <c r="E2092" s="8" t="str">
        <f>[1]Data!E2092</f>
        <v>SKIDROW</v>
      </c>
      <c r="F2092" s="8" t="str">
        <f>[1]Data!F2092</f>
        <v>Skid Row</v>
      </c>
      <c r="G2092" s="8">
        <f>[1]Data!G2092</f>
        <v>1</v>
      </c>
      <c r="H2092" s="8">
        <f>[1]Data!H2092</f>
        <v>1</v>
      </c>
      <c r="I2092" s="8">
        <f>[1]Data!I2092</f>
        <v>519.49599999999998</v>
      </c>
      <c r="J2092" s="8">
        <f>[1]Data!J2092</f>
        <v>372.63396153000002</v>
      </c>
      <c r="K2092" s="8">
        <f>[1]Data!K2092</f>
        <v>514.63396152999997</v>
      </c>
      <c r="L2092" s="8">
        <f>[1]Data!L2092</f>
        <v>4.8670707393716297</v>
      </c>
      <c r="M2092" s="8">
        <f>[1]Data!M2092</f>
        <v>519.50103226937199</v>
      </c>
      <c r="N2092" s="8">
        <f>[1]Data!N2092</f>
        <v>1</v>
      </c>
      <c r="O2092" s="8">
        <f>[1]Data!O2092</f>
        <v>1</v>
      </c>
      <c r="P2092" s="8">
        <f>[1]Data!P2092</f>
        <v>0</v>
      </c>
      <c r="Q2092" s="8">
        <f>[1]Data!Q2092</f>
        <v>0</v>
      </c>
      <c r="R2092" s="8">
        <f>[1]Data!R2092</f>
        <v>0</v>
      </c>
      <c r="S2092" s="8">
        <f>[1]Data!S2092</f>
        <v>0</v>
      </c>
      <c r="T2092">
        <f t="shared" si="160"/>
        <v>1</v>
      </c>
      <c r="U2092">
        <f t="shared" si="161"/>
        <v>1</v>
      </c>
      <c r="V2092" s="4" t="str">
        <f t="shared" si="162"/>
        <v>14</v>
      </c>
      <c r="W2092" s="4" t="str">
        <f t="shared" si="163"/>
        <v>9</v>
      </c>
      <c r="X2092" s="4" t="str">
        <f t="shared" si="164"/>
        <v>14SKIDROW9</v>
      </c>
      <c r="Y2092">
        <f>VLOOKUP(X2092,Sheet1!$J$5:$K$121,2,FALSE)</f>
        <v>0</v>
      </c>
    </row>
    <row r="2093" spans="1:25" x14ac:dyDescent="0.25">
      <c r="A2093" s="8">
        <f>[1]Data!A2093</f>
        <v>206300</v>
      </c>
      <c r="B2093" s="8">
        <f>[1]Data!B2093</f>
        <v>9</v>
      </c>
      <c r="C2093" s="8">
        <f>[1]Data!C2093</f>
        <v>14</v>
      </c>
      <c r="D2093" s="8">
        <f>[1]Data!D2093</f>
        <v>2</v>
      </c>
      <c r="E2093" s="8" t="str">
        <f>[1]Data!E2093</f>
        <v>SKIDROW</v>
      </c>
      <c r="F2093" s="8" t="str">
        <f>[1]Data!F2093</f>
        <v>Skid Row</v>
      </c>
      <c r="G2093" s="8">
        <f>[1]Data!G2093</f>
        <v>1</v>
      </c>
      <c r="H2093" s="8">
        <f>[1]Data!H2093</f>
        <v>1</v>
      </c>
      <c r="I2093" s="8">
        <f>[1]Data!I2093</f>
        <v>1211.0440000000001</v>
      </c>
      <c r="J2093" s="8">
        <f>[1]Data!J2093</f>
        <v>701.46323719999998</v>
      </c>
      <c r="K2093" s="8">
        <f>[1]Data!K2093</f>
        <v>1199.4632372000001</v>
      </c>
      <c r="L2093" s="8">
        <f>[1]Data!L2093</f>
        <v>11.585002561328499</v>
      </c>
      <c r="M2093" s="8">
        <f>[1]Data!M2093</f>
        <v>1211.04823976133</v>
      </c>
      <c r="N2093" s="8">
        <f>[1]Data!N2093</f>
        <v>1</v>
      </c>
      <c r="O2093" s="8">
        <f>[1]Data!O2093</f>
        <v>1</v>
      </c>
      <c r="P2093" s="8">
        <f>[1]Data!P2093</f>
        <v>0</v>
      </c>
      <c r="Q2093" s="8">
        <f>[1]Data!Q2093</f>
        <v>0</v>
      </c>
      <c r="R2093" s="8">
        <f>[1]Data!R2093</f>
        <v>0</v>
      </c>
      <c r="S2093" s="8">
        <f>[1]Data!S2093</f>
        <v>0</v>
      </c>
      <c r="T2093">
        <f t="shared" si="160"/>
        <v>1</v>
      </c>
      <c r="U2093">
        <f t="shared" si="161"/>
        <v>1</v>
      </c>
      <c r="V2093" s="4" t="str">
        <f t="shared" si="162"/>
        <v>14</v>
      </c>
      <c r="W2093" s="4" t="str">
        <f t="shared" si="163"/>
        <v>9</v>
      </c>
      <c r="X2093" s="4" t="str">
        <f t="shared" si="164"/>
        <v>14SKIDROW9</v>
      </c>
      <c r="Y2093">
        <f>VLOOKUP(X2093,Sheet1!$J$5:$K$121,2,FALSE)</f>
        <v>0</v>
      </c>
    </row>
    <row r="2094" spans="1:25" x14ac:dyDescent="0.25">
      <c r="A2094" s="8">
        <f>[1]Data!A2094</f>
        <v>207301</v>
      </c>
      <c r="B2094" s="8">
        <f>[1]Data!B2094</f>
        <v>9</v>
      </c>
      <c r="C2094" s="8">
        <f>[1]Data!C2094</f>
        <v>14</v>
      </c>
      <c r="D2094" s="8">
        <f>[1]Data!D2094</f>
        <v>1</v>
      </c>
      <c r="E2094" s="8" t="str">
        <f>[1]Data!E2094</f>
        <v>SKIDROW</v>
      </c>
      <c r="F2094" s="8" t="str">
        <f>[1]Data!F2094</f>
        <v>Skid Row</v>
      </c>
      <c r="G2094" s="8">
        <f>[1]Data!G2094</f>
        <v>1</v>
      </c>
      <c r="H2094" s="8">
        <f>[1]Data!H2094</f>
        <v>1</v>
      </c>
      <c r="I2094" s="8">
        <f>[1]Data!I2094</f>
        <v>148.43799999999999</v>
      </c>
      <c r="J2094" s="8">
        <f>[1]Data!J2094</f>
        <v>28.126022460000002</v>
      </c>
      <c r="K2094" s="8">
        <f>[1]Data!K2094</f>
        <v>148.12602246</v>
      </c>
      <c r="L2094" s="8">
        <f>[1]Data!L2094</f>
        <v>0.31111305059246003</v>
      </c>
      <c r="M2094" s="8">
        <f>[1]Data!M2094</f>
        <v>148.43713551059199</v>
      </c>
      <c r="N2094" s="8">
        <f>[1]Data!N2094</f>
        <v>1</v>
      </c>
      <c r="O2094" s="8">
        <f>[1]Data!O2094</f>
        <v>1</v>
      </c>
      <c r="P2094" s="8">
        <f>[1]Data!P2094</f>
        <v>0</v>
      </c>
      <c r="Q2094" s="8">
        <f>[1]Data!Q2094</f>
        <v>0</v>
      </c>
      <c r="R2094" s="8">
        <f>[1]Data!R2094</f>
        <v>0</v>
      </c>
      <c r="S2094" s="8">
        <f>[1]Data!S2094</f>
        <v>0</v>
      </c>
      <c r="T2094">
        <f t="shared" si="160"/>
        <v>1</v>
      </c>
      <c r="U2094">
        <f t="shared" si="161"/>
        <v>1</v>
      </c>
      <c r="V2094" s="4" t="str">
        <f t="shared" si="162"/>
        <v>14</v>
      </c>
      <c r="W2094" s="4" t="str">
        <f t="shared" si="163"/>
        <v>9</v>
      </c>
      <c r="X2094" s="4" t="str">
        <f t="shared" si="164"/>
        <v>14SKIDROW9</v>
      </c>
      <c r="Y2094">
        <f>VLOOKUP(X2094,Sheet1!$J$5:$K$121,2,FALSE)</f>
        <v>0</v>
      </c>
    </row>
    <row r="2095" spans="1:25" x14ac:dyDescent="0.25">
      <c r="A2095" s="8">
        <f>[1]Data!A2095</f>
        <v>207302</v>
      </c>
      <c r="B2095" s="8">
        <f>[1]Data!B2095</f>
        <v>9</v>
      </c>
      <c r="C2095" s="8">
        <f>[1]Data!C2095</f>
        <v>14</v>
      </c>
      <c r="D2095" s="8">
        <f>[1]Data!D2095</f>
        <v>1</v>
      </c>
      <c r="E2095" s="8" t="str">
        <f>[1]Data!E2095</f>
        <v>SKIDROW</v>
      </c>
      <c r="F2095" s="8" t="str">
        <f>[1]Data!F2095</f>
        <v>Skid Row</v>
      </c>
      <c r="G2095" s="8">
        <f>[1]Data!G2095</f>
        <v>1</v>
      </c>
      <c r="H2095" s="8">
        <f>[1]Data!H2095</f>
        <v>1</v>
      </c>
      <c r="I2095" s="8">
        <f>[1]Data!I2095</f>
        <v>59.552999999999997</v>
      </c>
      <c r="J2095" s="8">
        <f>[1]Data!J2095</f>
        <v>11.429279640000001</v>
      </c>
      <c r="K2095" s="8">
        <f>[1]Data!K2095</f>
        <v>59.429279639999997</v>
      </c>
      <c r="L2095" s="8">
        <f>[1]Data!L2095</f>
        <v>0.123751932495512</v>
      </c>
      <c r="M2095" s="8">
        <f>[1]Data!M2095</f>
        <v>59.553031572495499</v>
      </c>
      <c r="N2095" s="8">
        <f>[1]Data!N2095</f>
        <v>1</v>
      </c>
      <c r="O2095" s="8">
        <f>[1]Data!O2095</f>
        <v>1</v>
      </c>
      <c r="P2095" s="8">
        <f>[1]Data!P2095</f>
        <v>0</v>
      </c>
      <c r="Q2095" s="8">
        <f>[1]Data!Q2095</f>
        <v>0</v>
      </c>
      <c r="R2095" s="8">
        <f>[1]Data!R2095</f>
        <v>0</v>
      </c>
      <c r="S2095" s="8">
        <f>[1]Data!S2095</f>
        <v>0</v>
      </c>
      <c r="T2095">
        <f t="shared" si="160"/>
        <v>1</v>
      </c>
      <c r="U2095">
        <f t="shared" si="161"/>
        <v>1</v>
      </c>
      <c r="V2095" s="4" t="str">
        <f t="shared" si="162"/>
        <v>14</v>
      </c>
      <c r="W2095" s="4" t="str">
        <f t="shared" si="163"/>
        <v>9</v>
      </c>
      <c r="X2095" s="4" t="str">
        <f t="shared" si="164"/>
        <v>14SKIDROW9</v>
      </c>
      <c r="Y2095">
        <f>VLOOKUP(X2095,Sheet1!$J$5:$K$121,2,FALSE)</f>
        <v>0</v>
      </c>
    </row>
    <row r="2096" spans="1:25" x14ac:dyDescent="0.25">
      <c r="A2096" s="8">
        <f>[1]Data!A2096</f>
        <v>243100</v>
      </c>
      <c r="B2096" s="8">
        <f>[1]Data!B2096</f>
        <v>6</v>
      </c>
      <c r="C2096" s="8">
        <f>[1]Data!C2096</f>
        <v>15</v>
      </c>
      <c r="D2096" s="8">
        <f>[1]Data!D2096</f>
        <v>2</v>
      </c>
      <c r="E2096" s="8" t="str">
        <f>[1]Data!E2096</f>
        <v>CVCTE</v>
      </c>
      <c r="F2096" s="8" t="str">
        <f>[1]Data!F2096</f>
        <v>Watts</v>
      </c>
      <c r="G2096" s="8">
        <f>[1]Data!G2096</f>
        <v>0</v>
      </c>
      <c r="H2096" s="8">
        <f>[1]Data!H2096</f>
        <v>0</v>
      </c>
      <c r="I2096" s="8">
        <f>[1]Data!I2096</f>
        <v>34.19</v>
      </c>
      <c r="J2096" s="8">
        <f>[1]Data!J2096</f>
        <v>3.9673993200000002</v>
      </c>
      <c r="K2096" s="8">
        <f>[1]Data!K2096</f>
        <v>33.967399319999998</v>
      </c>
      <c r="L2096" s="8">
        <f>[1]Data!L2096</f>
        <v>0.22234520276481101</v>
      </c>
      <c r="M2096" s="8">
        <f>[1]Data!M2096</f>
        <v>34.189744522764798</v>
      </c>
      <c r="N2096" s="8">
        <f>[1]Data!N2096</f>
        <v>0.16393442622950799</v>
      </c>
      <c r="O2096" s="8">
        <f>[1]Data!O2096</f>
        <v>0</v>
      </c>
      <c r="P2096" s="8">
        <f>[1]Data!P2096</f>
        <v>8.1967213114754106E-2</v>
      </c>
      <c r="Q2096" s="8">
        <f>[1]Data!Q2096</f>
        <v>0.15625</v>
      </c>
      <c r="R2096" s="8">
        <f>[1]Data!R2096</f>
        <v>0</v>
      </c>
      <c r="S2096" s="8">
        <f>[1]Data!S2096</f>
        <v>0</v>
      </c>
      <c r="T2096">
        <f t="shared" si="160"/>
        <v>0.16393442622950799</v>
      </c>
      <c r="U2096">
        <f t="shared" si="161"/>
        <v>0</v>
      </c>
      <c r="V2096" s="4" t="str">
        <f t="shared" si="162"/>
        <v>15</v>
      </c>
      <c r="W2096" s="4" t="str">
        <f t="shared" si="163"/>
        <v>6</v>
      </c>
      <c r="X2096" s="4" t="str">
        <f t="shared" si="164"/>
        <v>15CVCTE6</v>
      </c>
      <c r="Y2096">
        <f>VLOOKUP(X2096,Sheet1!$J$5:$K$121,2,FALSE)</f>
        <v>0</v>
      </c>
    </row>
    <row r="2097" spans="1:25" x14ac:dyDescent="0.25">
      <c r="A2097" s="8">
        <f>[1]Data!A2097</f>
        <v>241001</v>
      </c>
      <c r="B2097" s="8">
        <f>[1]Data!B2097</f>
        <v>6</v>
      </c>
      <c r="C2097" s="8">
        <f>[1]Data!C2097</f>
        <v>15</v>
      </c>
      <c r="D2097" s="8">
        <f>[1]Data!D2097</f>
        <v>2</v>
      </c>
      <c r="E2097" s="8" t="str">
        <f>[1]Data!E2097</f>
        <v>CVCTE</v>
      </c>
      <c r="F2097" s="8" t="str">
        <f>[1]Data!F2097</f>
        <v>Green Meadows</v>
      </c>
      <c r="G2097" s="8">
        <f>[1]Data!G2097</f>
        <v>0</v>
      </c>
      <c r="H2097" s="8">
        <f>[1]Data!H2097</f>
        <v>0</v>
      </c>
      <c r="I2097" s="8">
        <f>[1]Data!I2097</f>
        <v>76.403000000000006</v>
      </c>
      <c r="J2097" s="8">
        <f>[1]Data!J2097</f>
        <v>62.204711410000002</v>
      </c>
      <c r="K2097" s="8">
        <f>[1]Data!K2097</f>
        <v>73.204711410000002</v>
      </c>
      <c r="L2097" s="8">
        <f>[1]Data!L2097</f>
        <v>3.19826366138241</v>
      </c>
      <c r="M2097" s="8">
        <f>[1]Data!M2097</f>
        <v>76.4029750713824</v>
      </c>
      <c r="N2097" s="8">
        <f>[1]Data!N2097</f>
        <v>0.16393442622950799</v>
      </c>
      <c r="O2097" s="8">
        <f>[1]Data!O2097</f>
        <v>0</v>
      </c>
      <c r="P2097" s="8">
        <f>[1]Data!P2097</f>
        <v>8.1967213114754106E-2</v>
      </c>
      <c r="Q2097" s="8">
        <f>[1]Data!Q2097</f>
        <v>0.15625</v>
      </c>
      <c r="R2097" s="8">
        <f>[1]Data!R2097</f>
        <v>0</v>
      </c>
      <c r="S2097" s="8">
        <f>[1]Data!S2097</f>
        <v>0</v>
      </c>
      <c r="T2097">
        <f t="shared" si="160"/>
        <v>0.16393442622950799</v>
      </c>
      <c r="U2097">
        <f t="shared" si="161"/>
        <v>0</v>
      </c>
      <c r="V2097" s="4" t="str">
        <f t="shared" si="162"/>
        <v>15</v>
      </c>
      <c r="W2097" s="4" t="str">
        <f t="shared" si="163"/>
        <v>6</v>
      </c>
      <c r="X2097" s="4" t="str">
        <f t="shared" si="164"/>
        <v>15CVCTE6</v>
      </c>
      <c r="Y2097">
        <f>VLOOKUP(X2097,Sheet1!$J$5:$K$121,2,FALSE)</f>
        <v>0</v>
      </c>
    </row>
    <row r="2098" spans="1:25" x14ac:dyDescent="0.25">
      <c r="A2098" s="8">
        <f>[1]Data!A2098</f>
        <v>241002</v>
      </c>
      <c r="B2098" s="8">
        <f>[1]Data!B2098</f>
        <v>6</v>
      </c>
      <c r="C2098" s="8">
        <f>[1]Data!C2098</f>
        <v>15</v>
      </c>
      <c r="D2098" s="8">
        <f>[1]Data!D2098</f>
        <v>2</v>
      </c>
      <c r="E2098" s="8" t="str">
        <f>[1]Data!E2098</f>
        <v>CVCTE</v>
      </c>
      <c r="F2098" s="8" t="str">
        <f>[1]Data!F2098</f>
        <v>Green Meadows</v>
      </c>
      <c r="G2098" s="8">
        <f>[1]Data!G2098</f>
        <v>1</v>
      </c>
      <c r="H2098" s="8">
        <f>[1]Data!H2098</f>
        <v>1</v>
      </c>
      <c r="I2098" s="8">
        <f>[1]Data!I2098</f>
        <v>61.451000000000001</v>
      </c>
      <c r="J2098" s="8">
        <f>[1]Data!J2098</f>
        <v>55.569326760000003</v>
      </c>
      <c r="K2098" s="8">
        <f>[1]Data!K2098</f>
        <v>57.569326760000003</v>
      </c>
      <c r="L2098" s="8">
        <f>[1]Data!L2098</f>
        <v>3.8820469535008999</v>
      </c>
      <c r="M2098" s="8">
        <f>[1]Data!M2098</f>
        <v>61.451373713500899</v>
      </c>
      <c r="N2098" s="8">
        <f>[1]Data!N2098</f>
        <v>0.16393442622950799</v>
      </c>
      <c r="O2098" s="8">
        <f>[1]Data!O2098</f>
        <v>6.1</v>
      </c>
      <c r="P2098" s="8">
        <f>[1]Data!P2098</f>
        <v>8.1967213114754106E-2</v>
      </c>
      <c r="Q2098" s="8">
        <f>[1]Data!Q2098</f>
        <v>0.15625</v>
      </c>
      <c r="R2098" s="8">
        <f>[1]Data!R2098</f>
        <v>0</v>
      </c>
      <c r="S2098" s="8">
        <f>[1]Data!S2098</f>
        <v>0</v>
      </c>
      <c r="T2098">
        <f t="shared" si="160"/>
        <v>0.16393442622950799</v>
      </c>
      <c r="U2098">
        <f t="shared" si="161"/>
        <v>6.1000000000000076</v>
      </c>
      <c r="V2098" s="4" t="str">
        <f t="shared" si="162"/>
        <v>15</v>
      </c>
      <c r="W2098" s="4" t="str">
        <f t="shared" si="163"/>
        <v>6</v>
      </c>
      <c r="X2098" s="4" t="str">
        <f t="shared" si="164"/>
        <v>15CVCTE6</v>
      </c>
      <c r="Y2098">
        <f>VLOOKUP(X2098,Sheet1!$J$5:$K$121,2,FALSE)</f>
        <v>0</v>
      </c>
    </row>
    <row r="2099" spans="1:25" x14ac:dyDescent="0.25">
      <c r="A2099" s="8">
        <f>[1]Data!A2099</f>
        <v>241400</v>
      </c>
      <c r="B2099" s="8">
        <f>[1]Data!B2099</f>
        <v>6</v>
      </c>
      <c r="C2099" s="8">
        <f>[1]Data!C2099</f>
        <v>15</v>
      </c>
      <c r="D2099" s="8">
        <f>[1]Data!D2099</f>
        <v>2</v>
      </c>
      <c r="E2099" s="8" t="str">
        <f>[1]Data!E2099</f>
        <v>CVCTE</v>
      </c>
      <c r="F2099" s="8" t="str">
        <f>[1]Data!F2099</f>
        <v>Green Meadows</v>
      </c>
      <c r="G2099" s="8">
        <f>[1]Data!G2099</f>
        <v>0</v>
      </c>
      <c r="H2099" s="8">
        <f>[1]Data!H2099</f>
        <v>0</v>
      </c>
      <c r="I2099" s="8">
        <f>[1]Data!I2099</f>
        <v>81.366</v>
      </c>
      <c r="J2099" s="8">
        <f>[1]Data!J2099</f>
        <v>80.124539409999997</v>
      </c>
      <c r="K2099" s="8">
        <f>[1]Data!K2099</f>
        <v>80.124539409999997</v>
      </c>
      <c r="L2099" s="8">
        <f>[1]Data!L2099</f>
        <v>1.2412424911131099</v>
      </c>
      <c r="M2099" s="8">
        <f>[1]Data!M2099</f>
        <v>81.365781901113095</v>
      </c>
      <c r="N2099" s="8">
        <f>[1]Data!N2099</f>
        <v>0.16393442622950799</v>
      </c>
      <c r="O2099" s="8">
        <f>[1]Data!O2099</f>
        <v>0</v>
      </c>
      <c r="P2099" s="8">
        <f>[1]Data!P2099</f>
        <v>8.1967213114754106E-2</v>
      </c>
      <c r="Q2099" s="8">
        <f>[1]Data!Q2099</f>
        <v>0.15625</v>
      </c>
      <c r="R2099" s="8">
        <f>[1]Data!R2099</f>
        <v>0</v>
      </c>
      <c r="S2099" s="8">
        <f>[1]Data!S2099</f>
        <v>0</v>
      </c>
      <c r="T2099">
        <f t="shared" si="160"/>
        <v>0.16393442622950799</v>
      </c>
      <c r="U2099">
        <f t="shared" si="161"/>
        <v>0</v>
      </c>
      <c r="V2099" s="4" t="str">
        <f t="shared" si="162"/>
        <v>15</v>
      </c>
      <c r="W2099" s="4" t="str">
        <f t="shared" si="163"/>
        <v>6</v>
      </c>
      <c r="X2099" s="4" t="str">
        <f t="shared" si="164"/>
        <v>15CVCTE6</v>
      </c>
      <c r="Y2099">
        <f>VLOOKUP(X2099,Sheet1!$J$5:$K$121,2,FALSE)</f>
        <v>0</v>
      </c>
    </row>
    <row r="2100" spans="1:25" x14ac:dyDescent="0.25">
      <c r="A2100" s="8">
        <f>[1]Data!A2100</f>
        <v>242600</v>
      </c>
      <c r="B2100" s="8">
        <f>[1]Data!B2100</f>
        <v>6</v>
      </c>
      <c r="C2100" s="8">
        <f>[1]Data!C2100</f>
        <v>15</v>
      </c>
      <c r="D2100" s="8">
        <f>[1]Data!D2100</f>
        <v>2</v>
      </c>
      <c r="E2100" s="8" t="str">
        <f>[1]Data!E2100</f>
        <v>CVCTE</v>
      </c>
      <c r="F2100" s="8" t="str">
        <f>[1]Data!F2100</f>
        <v>Watts</v>
      </c>
      <c r="G2100" s="8">
        <f>[1]Data!G2100</f>
        <v>1</v>
      </c>
      <c r="H2100" s="8">
        <f>[1]Data!H2100</f>
        <v>1</v>
      </c>
      <c r="I2100" s="8">
        <f>[1]Data!I2100</f>
        <v>97.022000000000006</v>
      </c>
      <c r="J2100" s="8">
        <f>[1]Data!J2100</f>
        <v>34.767452089999999</v>
      </c>
      <c r="K2100" s="8">
        <f>[1]Data!K2100</f>
        <v>95.767452090000006</v>
      </c>
      <c r="L2100" s="8">
        <f>[1]Data!L2100</f>
        <v>1.25527066535009</v>
      </c>
      <c r="M2100" s="8">
        <f>[1]Data!M2100</f>
        <v>97.022722755350102</v>
      </c>
      <c r="N2100" s="8">
        <f>[1]Data!N2100</f>
        <v>0.16393442622950799</v>
      </c>
      <c r="O2100" s="8">
        <f>[1]Data!O2100</f>
        <v>6.1</v>
      </c>
      <c r="P2100" s="8">
        <f>[1]Data!P2100</f>
        <v>8.1967213114754106E-2</v>
      </c>
      <c r="Q2100" s="8">
        <f>[1]Data!Q2100</f>
        <v>0.15625</v>
      </c>
      <c r="R2100" s="8">
        <f>[1]Data!R2100</f>
        <v>0</v>
      </c>
      <c r="S2100" s="8">
        <f>[1]Data!S2100</f>
        <v>0</v>
      </c>
      <c r="T2100">
        <f t="shared" si="160"/>
        <v>0.16393442622950799</v>
      </c>
      <c r="U2100">
        <f t="shared" si="161"/>
        <v>6.1000000000000076</v>
      </c>
      <c r="V2100" s="4" t="str">
        <f t="shared" si="162"/>
        <v>15</v>
      </c>
      <c r="W2100" s="4" t="str">
        <f t="shared" si="163"/>
        <v>6</v>
      </c>
      <c r="X2100" s="4" t="str">
        <f t="shared" si="164"/>
        <v>15CVCTE6</v>
      </c>
      <c r="Y2100">
        <f>VLOOKUP(X2100,Sheet1!$J$5:$K$121,2,FALSE)</f>
        <v>0</v>
      </c>
    </row>
    <row r="2101" spans="1:25" x14ac:dyDescent="0.25">
      <c r="A2101" s="8">
        <f>[1]Data!A2101</f>
        <v>609900</v>
      </c>
      <c r="B2101" s="8">
        <f>[1]Data!B2101</f>
        <v>8</v>
      </c>
      <c r="C2101" s="8">
        <f>[1]Data!C2101</f>
        <v>15</v>
      </c>
      <c r="D2101" s="8">
        <f>[1]Data!D2101</f>
        <v>4</v>
      </c>
      <c r="E2101" s="8" t="str">
        <f>[1]Data!E2101</f>
        <v>CVCTE</v>
      </c>
      <c r="F2101" s="8" t="str">
        <f>[1]Data!F2101</f>
        <v>La Rambla</v>
      </c>
      <c r="G2101" s="8">
        <f>[1]Data!G2101</f>
        <v>0</v>
      </c>
      <c r="H2101" s="8">
        <f>[1]Data!H2101</f>
        <v>0</v>
      </c>
      <c r="I2101" s="8">
        <f>[1]Data!I2101</f>
        <v>23.222999999999999</v>
      </c>
      <c r="J2101" s="8">
        <f>[1]Data!J2101</f>
        <v>20.195103490000001</v>
      </c>
      <c r="K2101" s="8">
        <f>[1]Data!K2101</f>
        <v>22.195103490000001</v>
      </c>
      <c r="L2101" s="8">
        <f>[1]Data!L2101</f>
        <v>1.02788237628366</v>
      </c>
      <c r="M2101" s="8">
        <f>[1]Data!M2101</f>
        <v>23.2229858662837</v>
      </c>
      <c r="N2101" s="8">
        <f>[1]Data!N2101</f>
        <v>0.27272727272727298</v>
      </c>
      <c r="O2101" s="8">
        <f>[1]Data!O2101</f>
        <v>0</v>
      </c>
      <c r="P2101" s="8">
        <f>[1]Data!P2101</f>
        <v>0.35064935064935099</v>
      </c>
      <c r="Q2101" s="8">
        <f>[1]Data!Q2101</f>
        <v>0.84375</v>
      </c>
      <c r="R2101" s="8">
        <f>[1]Data!R2101</f>
        <v>5.2631578947368397E-2</v>
      </c>
      <c r="S2101" s="8">
        <f>[1]Data!S2101</f>
        <v>0</v>
      </c>
      <c r="T2101">
        <f t="shared" si="160"/>
        <v>0.31100478468899545</v>
      </c>
      <c r="U2101">
        <f t="shared" si="161"/>
        <v>0</v>
      </c>
      <c r="V2101" s="4" t="str">
        <f t="shared" si="162"/>
        <v>15</v>
      </c>
      <c r="W2101" s="4" t="str">
        <f t="shared" si="163"/>
        <v>8</v>
      </c>
      <c r="X2101" s="4" t="str">
        <f t="shared" si="164"/>
        <v>15CVCTE8</v>
      </c>
      <c r="Y2101">
        <f>VLOOKUP(X2101,Sheet1!$J$5:$K$121,2,FALSE)</f>
        <v>5.2631578947368397E-2</v>
      </c>
    </row>
    <row r="2102" spans="1:25" x14ac:dyDescent="0.25">
      <c r="A2102" s="8">
        <f>[1]Data!A2102</f>
        <v>291120</v>
      </c>
      <c r="B2102" s="8">
        <f>[1]Data!B2102</f>
        <v>8</v>
      </c>
      <c r="C2102" s="8">
        <f>[1]Data!C2102</f>
        <v>15</v>
      </c>
      <c r="D2102" s="8">
        <f>[1]Data!D2102</f>
        <v>2</v>
      </c>
      <c r="E2102" s="8" t="str">
        <f>[1]Data!E2102</f>
        <v>CVCTE</v>
      </c>
      <c r="F2102" s="8" t="str">
        <f>[1]Data!F2102</f>
        <v>Harbor Gateway</v>
      </c>
      <c r="G2102" s="8">
        <f>[1]Data!G2102</f>
        <v>0</v>
      </c>
      <c r="H2102" s="8">
        <f>[1]Data!H2102</f>
        <v>0</v>
      </c>
      <c r="I2102" s="8">
        <f>[1]Data!I2102</f>
        <v>25.995999999999999</v>
      </c>
      <c r="J2102" s="8">
        <f>[1]Data!J2102</f>
        <v>22.384240779999999</v>
      </c>
      <c r="K2102" s="8">
        <f>[1]Data!K2102</f>
        <v>24.384240779999999</v>
      </c>
      <c r="L2102" s="8">
        <f>[1]Data!L2102</f>
        <v>1.61110213317774</v>
      </c>
      <c r="M2102" s="8">
        <f>[1]Data!M2102</f>
        <v>25.995342913177701</v>
      </c>
      <c r="N2102" s="8">
        <f>[1]Data!N2102</f>
        <v>0.27272727272727298</v>
      </c>
      <c r="O2102" s="8">
        <f>[1]Data!O2102</f>
        <v>0</v>
      </c>
      <c r="P2102" s="8">
        <f>[1]Data!P2102</f>
        <v>0.35064935064935099</v>
      </c>
      <c r="Q2102" s="8">
        <f>[1]Data!Q2102</f>
        <v>0.84375</v>
      </c>
      <c r="R2102" s="8">
        <f>[1]Data!R2102</f>
        <v>5.2631578947368397E-2</v>
      </c>
      <c r="S2102" s="8">
        <f>[1]Data!S2102</f>
        <v>0</v>
      </c>
      <c r="T2102">
        <f t="shared" si="160"/>
        <v>0.31100478468899545</v>
      </c>
      <c r="U2102">
        <f t="shared" si="161"/>
        <v>0</v>
      </c>
      <c r="V2102" s="4" t="str">
        <f t="shared" si="162"/>
        <v>15</v>
      </c>
      <c r="W2102" s="4" t="str">
        <f t="shared" si="163"/>
        <v>8</v>
      </c>
      <c r="X2102" s="4" t="str">
        <f t="shared" si="164"/>
        <v>15CVCTE8</v>
      </c>
      <c r="Y2102">
        <f>VLOOKUP(X2102,Sheet1!$J$5:$K$121,2,FALSE)</f>
        <v>5.2631578947368397E-2</v>
      </c>
    </row>
    <row r="2103" spans="1:25" x14ac:dyDescent="0.25">
      <c r="A2103" s="8">
        <f>[1]Data!A2103</f>
        <v>291130</v>
      </c>
      <c r="B2103" s="8">
        <f>[1]Data!B2103</f>
        <v>8</v>
      </c>
      <c r="C2103" s="8">
        <f>[1]Data!C2103</f>
        <v>15</v>
      </c>
      <c r="D2103" s="8">
        <f>[1]Data!D2103</f>
        <v>2</v>
      </c>
      <c r="E2103" s="8" t="str">
        <f>[1]Data!E2103</f>
        <v>CVCTE</v>
      </c>
      <c r="F2103" s="8" t="str">
        <f>[1]Data!F2103</f>
        <v>Harbor Gateway</v>
      </c>
      <c r="G2103" s="8">
        <f>[1]Data!G2103</f>
        <v>1</v>
      </c>
      <c r="H2103" s="8">
        <f>[1]Data!H2103</f>
        <v>1</v>
      </c>
      <c r="I2103" s="8">
        <f>[1]Data!I2103</f>
        <v>5.19</v>
      </c>
      <c r="J2103" s="8">
        <f>[1]Data!J2103</f>
        <v>3.9673993200000002</v>
      </c>
      <c r="K2103" s="8">
        <f>[1]Data!K2103</f>
        <v>4.9673993200000002</v>
      </c>
      <c r="L2103" s="8">
        <f>[1]Data!L2103</f>
        <v>0.22234520276481101</v>
      </c>
      <c r="M2103" s="8">
        <f>[1]Data!M2103</f>
        <v>5.1897445227648102</v>
      </c>
      <c r="N2103" s="8">
        <f>[1]Data!N2103</f>
        <v>0.27272727272727298</v>
      </c>
      <c r="O2103" s="8">
        <f>[1]Data!O2103</f>
        <v>3.6666666666666701</v>
      </c>
      <c r="P2103" s="8">
        <f>[1]Data!P2103</f>
        <v>0.35064935064935099</v>
      </c>
      <c r="Q2103" s="8">
        <f>[1]Data!Q2103</f>
        <v>0.84375</v>
      </c>
      <c r="R2103" s="8">
        <f>[1]Data!R2103</f>
        <v>0</v>
      </c>
      <c r="S2103" s="8">
        <f>[1]Data!S2103</f>
        <v>0</v>
      </c>
      <c r="T2103">
        <f t="shared" si="160"/>
        <v>0.31100478468899545</v>
      </c>
      <c r="U2103">
        <f t="shared" si="161"/>
        <v>3.2153846153846128</v>
      </c>
      <c r="V2103" s="4" t="str">
        <f t="shared" si="162"/>
        <v>15</v>
      </c>
      <c r="W2103" s="4" t="str">
        <f t="shared" si="163"/>
        <v>8</v>
      </c>
      <c r="X2103" s="4" t="str">
        <f t="shared" si="164"/>
        <v>15CVCTE8</v>
      </c>
      <c r="Y2103">
        <f>VLOOKUP(X2103,Sheet1!$J$5:$K$121,2,FALSE)</f>
        <v>5.2631578947368397E-2</v>
      </c>
    </row>
    <row r="2104" spans="1:25" x14ac:dyDescent="0.25">
      <c r="A2104" s="8">
        <f>[1]Data!A2104</f>
        <v>291220</v>
      </c>
      <c r="B2104" s="8">
        <f>[1]Data!B2104</f>
        <v>8</v>
      </c>
      <c r="C2104" s="8">
        <f>[1]Data!C2104</f>
        <v>15</v>
      </c>
      <c r="D2104" s="8">
        <f>[1]Data!D2104</f>
        <v>2</v>
      </c>
      <c r="E2104" s="8" t="str">
        <f>[1]Data!E2104</f>
        <v>CVCTE</v>
      </c>
      <c r="F2104" s="8" t="str">
        <f>[1]Data!F2104</f>
        <v>Harbor Gateway</v>
      </c>
      <c r="G2104" s="8">
        <f>[1]Data!G2104</f>
        <v>0</v>
      </c>
      <c r="H2104" s="8">
        <f>[1]Data!H2104</f>
        <v>0</v>
      </c>
      <c r="I2104" s="8">
        <f>[1]Data!I2104</f>
        <v>8.3680000000000003</v>
      </c>
      <c r="J2104" s="8">
        <f>[1]Data!J2104</f>
        <v>7.1538363900000004</v>
      </c>
      <c r="K2104" s="8">
        <f>[1]Data!K2104</f>
        <v>8.1538363900000004</v>
      </c>
      <c r="L2104" s="8">
        <f>[1]Data!L2104</f>
        <v>0.213327972387792</v>
      </c>
      <c r="M2104" s="8">
        <f>[1]Data!M2104</f>
        <v>8.3671643623877898</v>
      </c>
      <c r="N2104" s="8">
        <f>[1]Data!N2104</f>
        <v>0.27272727272727298</v>
      </c>
      <c r="O2104" s="8">
        <f>[1]Data!O2104</f>
        <v>0</v>
      </c>
      <c r="P2104" s="8">
        <f>[1]Data!P2104</f>
        <v>0.35064935064935099</v>
      </c>
      <c r="Q2104" s="8">
        <f>[1]Data!Q2104</f>
        <v>0.84375</v>
      </c>
      <c r="R2104" s="8">
        <f>[1]Data!R2104</f>
        <v>5.2631578947368397E-2</v>
      </c>
      <c r="S2104" s="8">
        <f>[1]Data!S2104</f>
        <v>0</v>
      </c>
      <c r="T2104">
        <f t="shared" si="160"/>
        <v>0.31100478468899545</v>
      </c>
      <c r="U2104">
        <f t="shared" si="161"/>
        <v>0</v>
      </c>
      <c r="V2104" s="4" t="str">
        <f t="shared" si="162"/>
        <v>15</v>
      </c>
      <c r="W2104" s="4" t="str">
        <f t="shared" si="163"/>
        <v>8</v>
      </c>
      <c r="X2104" s="4" t="str">
        <f t="shared" si="164"/>
        <v>15CVCTE8</v>
      </c>
      <c r="Y2104">
        <f>VLOOKUP(X2104,Sheet1!$J$5:$K$121,2,FALSE)</f>
        <v>5.2631578947368397E-2</v>
      </c>
    </row>
    <row r="2105" spans="1:25" x14ac:dyDescent="0.25">
      <c r="A2105" s="8">
        <f>[1]Data!A2105</f>
        <v>291300</v>
      </c>
      <c r="B2105" s="8">
        <f>[1]Data!B2105</f>
        <v>8</v>
      </c>
      <c r="C2105" s="8">
        <f>[1]Data!C2105</f>
        <v>15</v>
      </c>
      <c r="D2105" s="8">
        <f>[1]Data!D2105</f>
        <v>2</v>
      </c>
      <c r="E2105" s="8" t="str">
        <f>[1]Data!E2105</f>
        <v>CVCTE</v>
      </c>
      <c r="F2105" s="8" t="str">
        <f>[1]Data!F2105</f>
        <v>Harbor Gateway</v>
      </c>
      <c r="G2105" s="8">
        <f>[1]Data!G2105</f>
        <v>0</v>
      </c>
      <c r="H2105" s="8">
        <f>[1]Data!H2105</f>
        <v>0</v>
      </c>
      <c r="I2105" s="8">
        <f>[1]Data!I2105</f>
        <v>65.119</v>
      </c>
      <c r="J2105" s="8">
        <f>[1]Data!J2105</f>
        <v>53.004397570000002</v>
      </c>
      <c r="K2105" s="8">
        <f>[1]Data!K2105</f>
        <v>64.004397569999995</v>
      </c>
      <c r="L2105" s="8">
        <f>[1]Data!L2105</f>
        <v>1.1147636315439899</v>
      </c>
      <c r="M2105" s="8">
        <f>[1]Data!M2105</f>
        <v>65.119161201544003</v>
      </c>
      <c r="N2105" s="8">
        <f>[1]Data!N2105</f>
        <v>0.27272727272727298</v>
      </c>
      <c r="O2105" s="8">
        <f>[1]Data!O2105</f>
        <v>0</v>
      </c>
      <c r="P2105" s="8">
        <f>[1]Data!P2105</f>
        <v>0.35064935064935099</v>
      </c>
      <c r="Q2105" s="8">
        <f>[1]Data!Q2105</f>
        <v>0.84375</v>
      </c>
      <c r="R2105" s="8">
        <f>[1]Data!R2105</f>
        <v>5.2631578947368397E-2</v>
      </c>
      <c r="S2105" s="8">
        <f>[1]Data!S2105</f>
        <v>0</v>
      </c>
      <c r="T2105">
        <f t="shared" si="160"/>
        <v>0.31100478468899545</v>
      </c>
      <c r="U2105">
        <f t="shared" si="161"/>
        <v>0</v>
      </c>
      <c r="V2105" s="4" t="str">
        <f t="shared" si="162"/>
        <v>15</v>
      </c>
      <c r="W2105" s="4" t="str">
        <f t="shared" si="163"/>
        <v>8</v>
      </c>
      <c r="X2105" s="4" t="str">
        <f t="shared" si="164"/>
        <v>15CVCTE8</v>
      </c>
      <c r="Y2105">
        <f>VLOOKUP(X2105,Sheet1!$J$5:$K$121,2,FALSE)</f>
        <v>5.2631578947368397E-2</v>
      </c>
    </row>
    <row r="2106" spans="1:25" x14ac:dyDescent="0.25">
      <c r="A2106" s="8">
        <f>[1]Data!A2106</f>
        <v>292000</v>
      </c>
      <c r="B2106" s="8">
        <f>[1]Data!B2106</f>
        <v>8</v>
      </c>
      <c r="C2106" s="8">
        <f>[1]Data!C2106</f>
        <v>15</v>
      </c>
      <c r="D2106" s="8">
        <f>[1]Data!D2106</f>
        <v>4</v>
      </c>
      <c r="E2106" s="8" t="str">
        <f>[1]Data!E2106</f>
        <v>CVCTE</v>
      </c>
      <c r="F2106" s="8" t="str">
        <f>[1]Data!F2106</f>
        <v>Harbor Gateway</v>
      </c>
      <c r="G2106" s="8">
        <f>[1]Data!G2106</f>
        <v>1</v>
      </c>
      <c r="H2106" s="8">
        <f>[1]Data!H2106</f>
        <v>1</v>
      </c>
      <c r="I2106" s="8">
        <f>[1]Data!I2106</f>
        <v>20.661999999999999</v>
      </c>
      <c r="J2106" s="8">
        <f>[1]Data!J2106</f>
        <v>19.586429110000001</v>
      </c>
      <c r="K2106" s="8">
        <f>[1]Data!K2106</f>
        <v>19.586429110000001</v>
      </c>
      <c r="L2106" s="8">
        <f>[1]Data!L2106</f>
        <v>1.0755389227289001</v>
      </c>
      <c r="M2106" s="8">
        <f>[1]Data!M2106</f>
        <v>20.6619680327289</v>
      </c>
      <c r="N2106" s="8">
        <f>[1]Data!N2106</f>
        <v>0.27272727272727298</v>
      </c>
      <c r="O2106" s="8">
        <f>[1]Data!O2106</f>
        <v>3.6666666666666701</v>
      </c>
      <c r="P2106" s="8">
        <f>[1]Data!P2106</f>
        <v>0.35064935064935099</v>
      </c>
      <c r="Q2106" s="8">
        <f>[1]Data!Q2106</f>
        <v>0.84375</v>
      </c>
      <c r="R2106" s="8">
        <f>[1]Data!R2106</f>
        <v>0</v>
      </c>
      <c r="S2106" s="8">
        <f>[1]Data!S2106</f>
        <v>0</v>
      </c>
      <c r="T2106">
        <f t="shared" si="160"/>
        <v>0.31100478468899545</v>
      </c>
      <c r="U2106">
        <f t="shared" si="161"/>
        <v>3.2153846153846128</v>
      </c>
      <c r="V2106" s="4" t="str">
        <f t="shared" si="162"/>
        <v>15</v>
      </c>
      <c r="W2106" s="4" t="str">
        <f t="shared" si="163"/>
        <v>8</v>
      </c>
      <c r="X2106" s="4" t="str">
        <f t="shared" si="164"/>
        <v>15CVCTE8</v>
      </c>
      <c r="Y2106">
        <f>VLOOKUP(X2106,Sheet1!$J$5:$K$121,2,FALSE)</f>
        <v>5.2631578947368397E-2</v>
      </c>
    </row>
    <row r="2107" spans="1:25" x14ac:dyDescent="0.25">
      <c r="A2107" s="8">
        <f>[1]Data!A2107</f>
        <v>293304</v>
      </c>
      <c r="B2107" s="8">
        <f>[1]Data!B2107</f>
        <v>8</v>
      </c>
      <c r="C2107" s="8">
        <f>[1]Data!C2107</f>
        <v>15</v>
      </c>
      <c r="D2107" s="8">
        <f>[1]Data!D2107</f>
        <v>4</v>
      </c>
      <c r="E2107" s="8" t="str">
        <f>[1]Data!E2107</f>
        <v>CVCTE</v>
      </c>
      <c r="F2107" s="8" t="str">
        <f>[1]Data!F2107</f>
        <v>Harbor City</v>
      </c>
      <c r="G2107" s="8">
        <f>[1]Data!G2107</f>
        <v>0</v>
      </c>
      <c r="H2107" s="8">
        <f>[1]Data!H2107</f>
        <v>0</v>
      </c>
      <c r="I2107" s="8">
        <f>[1]Data!I2107</f>
        <v>28.972000000000001</v>
      </c>
      <c r="J2107" s="8">
        <f>[1]Data!J2107</f>
        <v>26.903540830000001</v>
      </c>
      <c r="K2107" s="8">
        <f>[1]Data!K2107</f>
        <v>27.903540830000001</v>
      </c>
      <c r="L2107" s="8">
        <f>[1]Data!L2107</f>
        <v>1.0683595414362701</v>
      </c>
      <c r="M2107" s="8">
        <f>[1]Data!M2107</f>
        <v>28.971900371436298</v>
      </c>
      <c r="N2107" s="8">
        <f>[1]Data!N2107</f>
        <v>0.27272727272727298</v>
      </c>
      <c r="O2107" s="8">
        <f>[1]Data!O2107</f>
        <v>0</v>
      </c>
      <c r="P2107" s="8">
        <f>[1]Data!P2107</f>
        <v>0.35064935064935099</v>
      </c>
      <c r="Q2107" s="8">
        <f>[1]Data!Q2107</f>
        <v>0.84375</v>
      </c>
      <c r="R2107" s="8">
        <f>[1]Data!R2107</f>
        <v>5.2631578947368397E-2</v>
      </c>
      <c r="S2107" s="8">
        <f>[1]Data!S2107</f>
        <v>0</v>
      </c>
      <c r="T2107">
        <f t="shared" si="160"/>
        <v>0.31100478468899545</v>
      </c>
      <c r="U2107">
        <f t="shared" si="161"/>
        <v>0</v>
      </c>
      <c r="V2107" s="4" t="str">
        <f t="shared" si="162"/>
        <v>15</v>
      </c>
      <c r="W2107" s="4" t="str">
        <f t="shared" si="163"/>
        <v>8</v>
      </c>
      <c r="X2107" s="4" t="str">
        <f t="shared" si="164"/>
        <v>15CVCTE8</v>
      </c>
      <c r="Y2107">
        <f>VLOOKUP(X2107,Sheet1!$J$5:$K$121,2,FALSE)</f>
        <v>5.2631578947368397E-2</v>
      </c>
    </row>
    <row r="2108" spans="1:25" x14ac:dyDescent="0.25">
      <c r="A2108" s="8">
        <f>[1]Data!A2108</f>
        <v>294301</v>
      </c>
      <c r="B2108" s="8">
        <f>[1]Data!B2108</f>
        <v>8</v>
      </c>
      <c r="C2108" s="8">
        <f>[1]Data!C2108</f>
        <v>15</v>
      </c>
      <c r="D2108" s="8">
        <f>[1]Data!D2108</f>
        <v>4</v>
      </c>
      <c r="E2108" s="8" t="str">
        <f>[1]Data!E2108</f>
        <v>CVCTE</v>
      </c>
      <c r="F2108" s="8" t="str">
        <f>[1]Data!F2108</f>
        <v>Wilmington</v>
      </c>
      <c r="G2108" s="8">
        <f>[1]Data!G2108</f>
        <v>0</v>
      </c>
      <c r="H2108" s="8">
        <f>[1]Data!H2108</f>
        <v>0</v>
      </c>
      <c r="I2108" s="8">
        <f>[1]Data!I2108</f>
        <v>12.205</v>
      </c>
      <c r="J2108" s="8">
        <f>[1]Data!J2108</f>
        <v>10.6059924</v>
      </c>
      <c r="K2108" s="8">
        <f>[1]Data!K2108</f>
        <v>11.6059924</v>
      </c>
      <c r="L2108" s="8">
        <f>[1]Data!L2108</f>
        <v>0.59875373976660695</v>
      </c>
      <c r="M2108" s="8">
        <f>[1]Data!M2108</f>
        <v>12.2047461397666</v>
      </c>
      <c r="N2108" s="8">
        <f>[1]Data!N2108</f>
        <v>0.27272727272727298</v>
      </c>
      <c r="O2108" s="8">
        <f>[1]Data!O2108</f>
        <v>0</v>
      </c>
      <c r="P2108" s="8">
        <f>[1]Data!P2108</f>
        <v>0.35064935064935099</v>
      </c>
      <c r="Q2108" s="8">
        <f>[1]Data!Q2108</f>
        <v>0.84375</v>
      </c>
      <c r="R2108" s="8">
        <f>[1]Data!R2108</f>
        <v>5.2631578947368397E-2</v>
      </c>
      <c r="S2108" s="8">
        <f>[1]Data!S2108</f>
        <v>0</v>
      </c>
      <c r="T2108">
        <f t="shared" si="160"/>
        <v>0.31100478468899545</v>
      </c>
      <c r="U2108">
        <f t="shared" si="161"/>
        <v>0</v>
      </c>
      <c r="V2108" s="4" t="str">
        <f t="shared" si="162"/>
        <v>15</v>
      </c>
      <c r="W2108" s="4" t="str">
        <f t="shared" si="163"/>
        <v>8</v>
      </c>
      <c r="X2108" s="4" t="str">
        <f t="shared" si="164"/>
        <v>15CVCTE8</v>
      </c>
      <c r="Y2108">
        <f>VLOOKUP(X2108,Sheet1!$J$5:$K$121,2,FALSE)</f>
        <v>5.2631578947368397E-2</v>
      </c>
    </row>
    <row r="2109" spans="1:25" x14ac:dyDescent="0.25">
      <c r="A2109" s="8">
        <f>[1]Data!A2109</f>
        <v>294120</v>
      </c>
      <c r="B2109" s="8">
        <f>[1]Data!B2109</f>
        <v>8</v>
      </c>
      <c r="C2109" s="8">
        <f>[1]Data!C2109</f>
        <v>15</v>
      </c>
      <c r="D2109" s="8">
        <f>[1]Data!D2109</f>
        <v>4</v>
      </c>
      <c r="E2109" s="8" t="str">
        <f>[1]Data!E2109</f>
        <v>CVCTE</v>
      </c>
      <c r="F2109" s="8" t="str">
        <f>[1]Data!F2109</f>
        <v>Wilmington</v>
      </c>
      <c r="G2109" s="8">
        <f>[1]Data!G2109</f>
        <v>0</v>
      </c>
      <c r="H2109" s="8">
        <f>[1]Data!H2109</f>
        <v>0</v>
      </c>
      <c r="I2109" s="8">
        <f>[1]Data!I2109</f>
        <v>23.622</v>
      </c>
      <c r="J2109" s="8">
        <f>[1]Data!J2109</f>
        <v>22.47893058</v>
      </c>
      <c r="K2109" s="8">
        <f>[1]Data!K2109</f>
        <v>22.47893058</v>
      </c>
      <c r="L2109" s="8">
        <f>[1]Data!L2109</f>
        <v>1.14298818820467</v>
      </c>
      <c r="M2109" s="8">
        <f>[1]Data!M2109</f>
        <v>23.621918768204701</v>
      </c>
      <c r="N2109" s="8">
        <f>[1]Data!N2109</f>
        <v>0.27272727272727298</v>
      </c>
      <c r="O2109" s="8">
        <f>[1]Data!O2109</f>
        <v>0</v>
      </c>
      <c r="P2109" s="8">
        <f>[1]Data!P2109</f>
        <v>0.35064935064935099</v>
      </c>
      <c r="Q2109" s="8">
        <f>[1]Data!Q2109</f>
        <v>0.84375</v>
      </c>
      <c r="R2109" s="8">
        <f>[1]Data!R2109</f>
        <v>5.2631578947368397E-2</v>
      </c>
      <c r="S2109" s="8">
        <f>[1]Data!S2109</f>
        <v>0</v>
      </c>
      <c r="T2109">
        <f t="shared" si="160"/>
        <v>0.31100478468899545</v>
      </c>
      <c r="U2109">
        <f t="shared" si="161"/>
        <v>0</v>
      </c>
      <c r="V2109" s="4" t="str">
        <f t="shared" si="162"/>
        <v>15</v>
      </c>
      <c r="W2109" s="4" t="str">
        <f t="shared" si="163"/>
        <v>8</v>
      </c>
      <c r="X2109" s="4" t="str">
        <f t="shared" si="164"/>
        <v>15CVCTE8</v>
      </c>
      <c r="Y2109">
        <f>VLOOKUP(X2109,Sheet1!$J$5:$K$121,2,FALSE)</f>
        <v>5.2631578947368397E-2</v>
      </c>
    </row>
    <row r="2110" spans="1:25" x14ac:dyDescent="0.25">
      <c r="A2110" s="8">
        <f>[1]Data!A2110</f>
        <v>294410</v>
      </c>
      <c r="B2110" s="8">
        <f>[1]Data!B2110</f>
        <v>8</v>
      </c>
      <c r="C2110" s="8">
        <f>[1]Data!C2110</f>
        <v>15</v>
      </c>
      <c r="D2110" s="8">
        <f>[1]Data!D2110</f>
        <v>4</v>
      </c>
      <c r="E2110" s="8" t="str">
        <f>[1]Data!E2110</f>
        <v>CVCTE</v>
      </c>
      <c r="F2110" s="8" t="str">
        <f>[1]Data!F2110</f>
        <v>Harbor City</v>
      </c>
      <c r="G2110" s="8">
        <f>[1]Data!G2110</f>
        <v>0</v>
      </c>
      <c r="H2110" s="8">
        <f>[1]Data!H2110</f>
        <v>0</v>
      </c>
      <c r="I2110" s="8">
        <f>[1]Data!I2110</f>
        <v>42.677</v>
      </c>
      <c r="J2110" s="8">
        <f>[1]Data!J2110</f>
        <v>26.225022190000001</v>
      </c>
      <c r="K2110" s="8">
        <f>[1]Data!K2110</f>
        <v>41.225022189999997</v>
      </c>
      <c r="L2110" s="8">
        <f>[1]Data!L2110</f>
        <v>1.4519474597307001</v>
      </c>
      <c r="M2110" s="8">
        <f>[1]Data!M2110</f>
        <v>42.676969649730701</v>
      </c>
      <c r="N2110" s="8">
        <f>[1]Data!N2110</f>
        <v>0.27272727272727298</v>
      </c>
      <c r="O2110" s="8">
        <f>[1]Data!O2110</f>
        <v>0</v>
      </c>
      <c r="P2110" s="8">
        <f>[1]Data!P2110</f>
        <v>0.35064935064935099</v>
      </c>
      <c r="Q2110" s="8">
        <f>[1]Data!Q2110</f>
        <v>0.84375</v>
      </c>
      <c r="R2110" s="8">
        <f>[1]Data!R2110</f>
        <v>5.2631578947368397E-2</v>
      </c>
      <c r="S2110" s="8">
        <f>[1]Data!S2110</f>
        <v>0</v>
      </c>
      <c r="T2110">
        <f t="shared" si="160"/>
        <v>0.31100478468899545</v>
      </c>
      <c r="U2110">
        <f t="shared" si="161"/>
        <v>0</v>
      </c>
      <c r="V2110" s="4" t="str">
        <f t="shared" si="162"/>
        <v>15</v>
      </c>
      <c r="W2110" s="4" t="str">
        <f t="shared" si="163"/>
        <v>8</v>
      </c>
      <c r="X2110" s="4" t="str">
        <f t="shared" si="164"/>
        <v>15CVCTE8</v>
      </c>
      <c r="Y2110">
        <f>VLOOKUP(X2110,Sheet1!$J$5:$K$121,2,FALSE)</f>
        <v>5.2631578947368397E-2</v>
      </c>
    </row>
    <row r="2111" spans="1:25" x14ac:dyDescent="0.25">
      <c r="A2111" s="8">
        <f>[1]Data!A2111</f>
        <v>294421</v>
      </c>
      <c r="B2111" s="8">
        <f>[1]Data!B2111</f>
        <v>8</v>
      </c>
      <c r="C2111" s="8">
        <f>[1]Data!C2111</f>
        <v>15</v>
      </c>
      <c r="D2111" s="8">
        <f>[1]Data!D2111</f>
        <v>4</v>
      </c>
      <c r="E2111" s="8" t="str">
        <f>[1]Data!E2111</f>
        <v>CVCTE</v>
      </c>
      <c r="F2111" s="8" t="str">
        <f>[1]Data!F2111</f>
        <v>Harbor City</v>
      </c>
      <c r="G2111" s="8">
        <f>[1]Data!G2111</f>
        <v>0</v>
      </c>
      <c r="H2111" s="8">
        <f>[1]Data!H2111</f>
        <v>0</v>
      </c>
      <c r="I2111" s="8">
        <f>[1]Data!I2111</f>
        <v>27.777999999999999</v>
      </c>
      <c r="J2111" s="8">
        <f>[1]Data!J2111</f>
        <v>25.45870837</v>
      </c>
      <c r="K2111" s="8">
        <f>[1]Data!K2111</f>
        <v>26.45870837</v>
      </c>
      <c r="L2111" s="8">
        <f>[1]Data!L2111</f>
        <v>1.3185094475763</v>
      </c>
      <c r="M2111" s="8">
        <f>[1]Data!M2111</f>
        <v>27.7772178175763</v>
      </c>
      <c r="N2111" s="8">
        <f>[1]Data!N2111</f>
        <v>0.27272727272727298</v>
      </c>
      <c r="O2111" s="8">
        <f>[1]Data!O2111</f>
        <v>0</v>
      </c>
      <c r="P2111" s="8">
        <f>[1]Data!P2111</f>
        <v>0.35064935064935099</v>
      </c>
      <c r="Q2111" s="8">
        <f>[1]Data!Q2111</f>
        <v>0.84375</v>
      </c>
      <c r="R2111" s="8">
        <f>[1]Data!R2111</f>
        <v>5.2631578947368397E-2</v>
      </c>
      <c r="S2111" s="8">
        <f>[1]Data!S2111</f>
        <v>0</v>
      </c>
      <c r="T2111">
        <f t="shared" si="160"/>
        <v>0.31100478468899545</v>
      </c>
      <c r="U2111">
        <f t="shared" si="161"/>
        <v>0</v>
      </c>
      <c r="V2111" s="4" t="str">
        <f t="shared" si="162"/>
        <v>15</v>
      </c>
      <c r="W2111" s="4" t="str">
        <f t="shared" si="163"/>
        <v>8</v>
      </c>
      <c r="X2111" s="4" t="str">
        <f t="shared" si="164"/>
        <v>15CVCTE8</v>
      </c>
      <c r="Y2111">
        <f>VLOOKUP(X2111,Sheet1!$J$5:$K$121,2,FALSE)</f>
        <v>5.2631578947368397E-2</v>
      </c>
    </row>
    <row r="2112" spans="1:25" x14ac:dyDescent="0.25">
      <c r="A2112" s="8">
        <f>[1]Data!A2112</f>
        <v>294520</v>
      </c>
      <c r="B2112" s="8">
        <f>[1]Data!B2112</f>
        <v>8</v>
      </c>
      <c r="C2112" s="8">
        <f>[1]Data!C2112</f>
        <v>15</v>
      </c>
      <c r="D2112" s="8">
        <f>[1]Data!D2112</f>
        <v>4</v>
      </c>
      <c r="E2112" s="8" t="str">
        <f>[1]Data!E2112</f>
        <v>CVCTE</v>
      </c>
      <c r="F2112" s="8" t="str">
        <f>[1]Data!F2112</f>
        <v>Wilmington</v>
      </c>
      <c r="G2112" s="8">
        <f>[1]Data!G2112</f>
        <v>0</v>
      </c>
      <c r="H2112" s="8">
        <f>[1]Data!H2112</f>
        <v>1</v>
      </c>
      <c r="I2112" s="8">
        <f>[1]Data!I2112</f>
        <v>37.301000000000002</v>
      </c>
      <c r="J2112" s="8">
        <f>[1]Data!J2112</f>
        <v>30.20530819</v>
      </c>
      <c r="K2112" s="8">
        <f>[1]Data!K2112</f>
        <v>35.205308189999997</v>
      </c>
      <c r="L2112" s="8">
        <f>[1]Data!L2112</f>
        <v>2.0954235609515299</v>
      </c>
      <c r="M2112" s="8">
        <f>[1]Data!M2112</f>
        <v>37.300731750951499</v>
      </c>
      <c r="N2112" s="8">
        <f>[1]Data!N2112</f>
        <v>0.27272727272727298</v>
      </c>
      <c r="O2112" s="8">
        <f>[1]Data!O2112</f>
        <v>0</v>
      </c>
      <c r="P2112" s="8">
        <f>[1]Data!P2112</f>
        <v>0.35064935064935099</v>
      </c>
      <c r="Q2112" s="8">
        <f>[1]Data!Q2112</f>
        <v>0.84375</v>
      </c>
      <c r="R2112" s="8">
        <f>[1]Data!R2112</f>
        <v>5.2631578947368397E-2</v>
      </c>
      <c r="S2112" s="8">
        <f>[1]Data!S2112</f>
        <v>19</v>
      </c>
      <c r="T2112">
        <f t="shared" si="160"/>
        <v>0.31100478468899545</v>
      </c>
      <c r="U2112">
        <f t="shared" si="161"/>
        <v>3.2153846153846128</v>
      </c>
      <c r="V2112" s="4" t="str">
        <f t="shared" si="162"/>
        <v>15</v>
      </c>
      <c r="W2112" s="4" t="str">
        <f t="shared" si="163"/>
        <v>8</v>
      </c>
      <c r="X2112" s="4" t="str">
        <f t="shared" si="164"/>
        <v>15CVCTE8</v>
      </c>
      <c r="Y2112">
        <f>VLOOKUP(X2112,Sheet1!$J$5:$K$121,2,FALSE)</f>
        <v>5.2631578947368397E-2</v>
      </c>
    </row>
    <row r="2113" spans="1:25" x14ac:dyDescent="0.25">
      <c r="A2113" s="8">
        <f>[1]Data!A2113</f>
        <v>294620</v>
      </c>
      <c r="B2113" s="8">
        <f>[1]Data!B2113</f>
        <v>8</v>
      </c>
      <c r="C2113" s="8">
        <f>[1]Data!C2113</f>
        <v>15</v>
      </c>
      <c r="D2113" s="8">
        <f>[1]Data!D2113</f>
        <v>4</v>
      </c>
      <c r="E2113" s="8" t="str">
        <f>[1]Data!E2113</f>
        <v>CVCTE</v>
      </c>
      <c r="F2113" s="8" t="str">
        <f>[1]Data!F2113</f>
        <v>Wilmington</v>
      </c>
      <c r="G2113" s="8">
        <f>[1]Data!G2113</f>
        <v>0</v>
      </c>
      <c r="H2113" s="8">
        <f>[1]Data!H2113</f>
        <v>0</v>
      </c>
      <c r="I2113" s="8">
        <f>[1]Data!I2113</f>
        <v>68.376999999999995</v>
      </c>
      <c r="J2113" s="8">
        <f>[1]Data!J2113</f>
        <v>60.177643639999999</v>
      </c>
      <c r="K2113" s="8">
        <f>[1]Data!K2113</f>
        <v>65.177643639999999</v>
      </c>
      <c r="L2113" s="8">
        <f>[1]Data!L2113</f>
        <v>3.19974464694794</v>
      </c>
      <c r="M2113" s="8">
        <f>[1]Data!M2113</f>
        <v>68.377388286947905</v>
      </c>
      <c r="N2113" s="8">
        <f>[1]Data!N2113</f>
        <v>0.27272727272727298</v>
      </c>
      <c r="O2113" s="8">
        <f>[1]Data!O2113</f>
        <v>0</v>
      </c>
      <c r="P2113" s="8">
        <f>[1]Data!P2113</f>
        <v>0.35064935064935099</v>
      </c>
      <c r="Q2113" s="8">
        <f>[1]Data!Q2113</f>
        <v>0.84375</v>
      </c>
      <c r="R2113" s="8">
        <f>[1]Data!R2113</f>
        <v>5.2631578947368397E-2</v>
      </c>
      <c r="S2113" s="8">
        <f>[1]Data!S2113</f>
        <v>0</v>
      </c>
      <c r="T2113">
        <f t="shared" si="160"/>
        <v>0.31100478468899545</v>
      </c>
      <c r="U2113">
        <f t="shared" si="161"/>
        <v>0</v>
      </c>
      <c r="V2113" s="4" t="str">
        <f t="shared" si="162"/>
        <v>15</v>
      </c>
      <c r="W2113" s="4" t="str">
        <f t="shared" si="163"/>
        <v>8</v>
      </c>
      <c r="X2113" s="4" t="str">
        <f t="shared" si="164"/>
        <v>15CVCTE8</v>
      </c>
      <c r="Y2113">
        <f>VLOOKUP(X2113,Sheet1!$J$5:$K$121,2,FALSE)</f>
        <v>5.2631578947368397E-2</v>
      </c>
    </row>
    <row r="2114" spans="1:25" x14ac:dyDescent="0.25">
      <c r="A2114" s="8">
        <f>[1]Data!A2114</f>
        <v>294701</v>
      </c>
      <c r="B2114" s="8">
        <f>[1]Data!B2114</f>
        <v>8</v>
      </c>
      <c r="C2114" s="8">
        <f>[1]Data!C2114</f>
        <v>15</v>
      </c>
      <c r="D2114" s="8">
        <f>[1]Data!D2114</f>
        <v>4</v>
      </c>
      <c r="E2114" s="8" t="str">
        <f>[1]Data!E2114</f>
        <v>CVCTE</v>
      </c>
      <c r="F2114" s="8" t="str">
        <f>[1]Data!F2114</f>
        <v>Wilmington</v>
      </c>
      <c r="G2114" s="8">
        <f>[1]Data!G2114</f>
        <v>1</v>
      </c>
      <c r="H2114" s="8">
        <f>[1]Data!H2114</f>
        <v>1</v>
      </c>
      <c r="I2114" s="8">
        <f>[1]Data!I2114</f>
        <v>62.127000000000002</v>
      </c>
      <c r="J2114" s="8">
        <f>[1]Data!J2114</f>
        <v>42.333893809999999</v>
      </c>
      <c r="K2114" s="8">
        <f>[1]Data!K2114</f>
        <v>60.333893809999999</v>
      </c>
      <c r="L2114" s="8">
        <f>[1]Data!L2114</f>
        <v>1.7922415695332099</v>
      </c>
      <c r="M2114" s="8">
        <f>[1]Data!M2114</f>
        <v>62.126135379533203</v>
      </c>
      <c r="N2114" s="8">
        <f>[1]Data!N2114</f>
        <v>0.27272727272727298</v>
      </c>
      <c r="O2114" s="8">
        <f>[1]Data!O2114</f>
        <v>3.6666666666666701</v>
      </c>
      <c r="P2114" s="8">
        <f>[1]Data!P2114</f>
        <v>0.35064935064935099</v>
      </c>
      <c r="Q2114" s="8">
        <f>[1]Data!Q2114</f>
        <v>0.84375</v>
      </c>
      <c r="R2114" s="8">
        <f>[1]Data!R2114</f>
        <v>0</v>
      </c>
      <c r="S2114" s="8">
        <f>[1]Data!S2114</f>
        <v>0</v>
      </c>
      <c r="T2114">
        <f t="shared" si="160"/>
        <v>0.31100478468899545</v>
      </c>
      <c r="U2114">
        <f t="shared" si="161"/>
        <v>3.2153846153846128</v>
      </c>
      <c r="V2114" s="4" t="str">
        <f t="shared" si="162"/>
        <v>15</v>
      </c>
      <c r="W2114" s="4" t="str">
        <f t="shared" si="163"/>
        <v>8</v>
      </c>
      <c r="X2114" s="4" t="str">
        <f t="shared" si="164"/>
        <v>15CVCTE8</v>
      </c>
      <c r="Y2114">
        <f>VLOOKUP(X2114,Sheet1!$J$5:$K$121,2,FALSE)</f>
        <v>5.2631578947368397E-2</v>
      </c>
    </row>
    <row r="2115" spans="1:25" x14ac:dyDescent="0.25">
      <c r="A2115" s="8">
        <f>[1]Data!A2115</f>
        <v>294820</v>
      </c>
      <c r="B2115" s="8">
        <f>[1]Data!B2115</f>
        <v>8</v>
      </c>
      <c r="C2115" s="8">
        <f>[1]Data!C2115</f>
        <v>15</v>
      </c>
      <c r="D2115" s="8">
        <f>[1]Data!D2115</f>
        <v>4</v>
      </c>
      <c r="E2115" s="8" t="str">
        <f>[1]Data!E2115</f>
        <v>CVCTE</v>
      </c>
      <c r="F2115" s="8" t="str">
        <f>[1]Data!F2115</f>
        <v>Wilmington</v>
      </c>
      <c r="G2115" s="8">
        <f>[1]Data!G2115</f>
        <v>0</v>
      </c>
      <c r="H2115" s="8">
        <f>[1]Data!H2115</f>
        <v>0</v>
      </c>
      <c r="I2115" s="8">
        <f>[1]Data!I2115</f>
        <v>26.143000000000001</v>
      </c>
      <c r="J2115" s="8">
        <f>[1]Data!J2115</f>
        <v>12.630779560000001</v>
      </c>
      <c r="K2115" s="8">
        <f>[1]Data!K2115</f>
        <v>25.630779560000001</v>
      </c>
      <c r="L2115" s="8">
        <f>[1]Data!L2115</f>
        <v>0.51152529511669698</v>
      </c>
      <c r="M2115" s="8">
        <f>[1]Data!M2115</f>
        <v>26.142304855116699</v>
      </c>
      <c r="N2115" s="8">
        <f>[1]Data!N2115</f>
        <v>0.27272727272727298</v>
      </c>
      <c r="O2115" s="8">
        <f>[1]Data!O2115</f>
        <v>0</v>
      </c>
      <c r="P2115" s="8">
        <f>[1]Data!P2115</f>
        <v>0.35064935064935099</v>
      </c>
      <c r="Q2115" s="8">
        <f>[1]Data!Q2115</f>
        <v>0.84375</v>
      </c>
      <c r="R2115" s="8">
        <f>[1]Data!R2115</f>
        <v>5.2631578947368397E-2</v>
      </c>
      <c r="S2115" s="8">
        <f>[1]Data!S2115</f>
        <v>0</v>
      </c>
      <c r="T2115">
        <f t="shared" ref="T2115:T2161" si="165">N2115+Y2115*(1-N2115)</f>
        <v>0.31100478468899545</v>
      </c>
      <c r="U2115">
        <f t="shared" ref="U2115:U2161" si="166">IF(T2115="",0,1/T2115*H2115)</f>
        <v>0</v>
      </c>
      <c r="V2115" s="4" t="str">
        <f t="shared" ref="V2115:V2161" si="167">TEXT(C2115,"0")</f>
        <v>15</v>
      </c>
      <c r="W2115" s="4" t="str">
        <f t="shared" ref="W2115:W2161" si="168">TEXT(B2115,"0")</f>
        <v>8</v>
      </c>
      <c r="X2115" s="4" t="str">
        <f t="shared" ref="X2115:X2161" si="169">CONCATENATE(V2115,E2115,W2115)</f>
        <v>15CVCTE8</v>
      </c>
      <c r="Y2115">
        <f>VLOOKUP(X2115,Sheet1!$J$5:$K$121,2,FALSE)</f>
        <v>5.2631578947368397E-2</v>
      </c>
    </row>
    <row r="2116" spans="1:25" x14ac:dyDescent="0.25">
      <c r="A2116" s="8">
        <f>[1]Data!A2116</f>
        <v>980014</v>
      </c>
      <c r="B2116" s="8">
        <f>[1]Data!B2116</f>
        <v>8</v>
      </c>
      <c r="C2116" s="8">
        <f>[1]Data!C2116</f>
        <v>15</v>
      </c>
      <c r="D2116" s="8">
        <f>[1]Data!D2116</f>
        <v>4</v>
      </c>
      <c r="E2116" s="8" t="str">
        <f>[1]Data!E2116</f>
        <v>CVCTE</v>
      </c>
      <c r="F2116" s="8" t="str">
        <f>[1]Data!F2116</f>
        <v>Wilmington</v>
      </c>
      <c r="G2116" s="8">
        <f>[1]Data!G2116</f>
        <v>0</v>
      </c>
      <c r="H2116" s="8">
        <f>[1]Data!H2116</f>
        <v>0</v>
      </c>
      <c r="I2116" s="8">
        <f>[1]Data!I2116</f>
        <v>148.84399999999999</v>
      </c>
      <c r="J2116" s="8">
        <f>[1]Data!J2116</f>
        <v>107.38708871</v>
      </c>
      <c r="K2116" s="8">
        <f>[1]Data!K2116</f>
        <v>142.38708871</v>
      </c>
      <c r="L2116" s="8">
        <f>[1]Data!L2116</f>
        <v>6.4578177981508098</v>
      </c>
      <c r="M2116" s="8">
        <f>[1]Data!M2116</f>
        <v>148.84490650815101</v>
      </c>
      <c r="N2116" s="8">
        <f>[1]Data!N2116</f>
        <v>0.27272727272727298</v>
      </c>
      <c r="O2116" s="8">
        <f>[1]Data!O2116</f>
        <v>0</v>
      </c>
      <c r="P2116" s="8">
        <f>[1]Data!P2116</f>
        <v>0.35064935064935099</v>
      </c>
      <c r="Q2116" s="8">
        <f>[1]Data!Q2116</f>
        <v>0.84375</v>
      </c>
      <c r="R2116" s="8">
        <f>[1]Data!R2116</f>
        <v>5.2631578947368397E-2</v>
      </c>
      <c r="S2116" s="8">
        <f>[1]Data!S2116</f>
        <v>0</v>
      </c>
      <c r="T2116">
        <f t="shared" si="165"/>
        <v>0.31100478468899545</v>
      </c>
      <c r="U2116">
        <f t="shared" si="166"/>
        <v>0</v>
      </c>
      <c r="V2116" s="4" t="str">
        <f t="shared" si="167"/>
        <v>15</v>
      </c>
      <c r="W2116" s="4" t="str">
        <f t="shared" si="168"/>
        <v>8</v>
      </c>
      <c r="X2116" s="4" t="str">
        <f t="shared" si="169"/>
        <v>15CVCTE8</v>
      </c>
      <c r="Y2116">
        <f>VLOOKUP(X2116,Sheet1!$J$5:$K$121,2,FALSE)</f>
        <v>5.2631578947368397E-2</v>
      </c>
    </row>
    <row r="2117" spans="1:25" x14ac:dyDescent="0.25">
      <c r="A2117" s="8">
        <f>[1]Data!A2117</f>
        <v>294830</v>
      </c>
      <c r="B2117" s="8">
        <f>[1]Data!B2117</f>
        <v>8</v>
      </c>
      <c r="C2117" s="8">
        <f>[1]Data!C2117</f>
        <v>15</v>
      </c>
      <c r="D2117" s="8">
        <f>[1]Data!D2117</f>
        <v>4</v>
      </c>
      <c r="E2117" s="8" t="str">
        <f>[1]Data!E2117</f>
        <v>CVCTE</v>
      </c>
      <c r="F2117" s="8" t="str">
        <f>[1]Data!F2117</f>
        <v>Wilmington</v>
      </c>
      <c r="G2117" s="8">
        <f>[1]Data!G2117</f>
        <v>0</v>
      </c>
      <c r="H2117" s="8">
        <f>[1]Data!H2117</f>
        <v>0</v>
      </c>
      <c r="I2117" s="8">
        <f>[1]Data!I2117</f>
        <v>93.602000000000004</v>
      </c>
      <c r="J2117" s="8">
        <f>[1]Data!J2117</f>
        <v>67.967868050000007</v>
      </c>
      <c r="K2117" s="8">
        <f>[1]Data!K2117</f>
        <v>90.967868050000007</v>
      </c>
      <c r="L2117" s="8">
        <f>[1]Data!L2117</f>
        <v>2.6341750936086199</v>
      </c>
      <c r="M2117" s="8">
        <f>[1]Data!M2117</f>
        <v>93.602043143608597</v>
      </c>
      <c r="N2117" s="8">
        <f>[1]Data!N2117</f>
        <v>0.27272727272727298</v>
      </c>
      <c r="O2117" s="8">
        <f>[1]Data!O2117</f>
        <v>0</v>
      </c>
      <c r="P2117" s="8">
        <f>[1]Data!P2117</f>
        <v>0.35064935064935099</v>
      </c>
      <c r="Q2117" s="8">
        <f>[1]Data!Q2117</f>
        <v>0.84375</v>
      </c>
      <c r="R2117" s="8">
        <f>[1]Data!R2117</f>
        <v>5.2631578947368397E-2</v>
      </c>
      <c r="S2117" s="8">
        <f>[1]Data!S2117</f>
        <v>0</v>
      </c>
      <c r="T2117">
        <f t="shared" si="165"/>
        <v>0.31100478468899545</v>
      </c>
      <c r="U2117">
        <f t="shared" si="166"/>
        <v>0</v>
      </c>
      <c r="V2117" s="4" t="str">
        <f t="shared" si="167"/>
        <v>15</v>
      </c>
      <c r="W2117" s="4" t="str">
        <f t="shared" si="168"/>
        <v>8</v>
      </c>
      <c r="X2117" s="4" t="str">
        <f t="shared" si="169"/>
        <v>15CVCTE8</v>
      </c>
      <c r="Y2117">
        <f>VLOOKUP(X2117,Sheet1!$J$5:$K$121,2,FALSE)</f>
        <v>5.2631578947368397E-2</v>
      </c>
    </row>
    <row r="2118" spans="1:25" x14ac:dyDescent="0.25">
      <c r="A2118" s="8">
        <f>[1]Data!A2118</f>
        <v>295103</v>
      </c>
      <c r="B2118" s="8">
        <f>[1]Data!B2118</f>
        <v>8</v>
      </c>
      <c r="C2118" s="8">
        <f>[1]Data!C2118</f>
        <v>15</v>
      </c>
      <c r="D2118" s="8">
        <f>[1]Data!D2118</f>
        <v>4</v>
      </c>
      <c r="E2118" s="8" t="str">
        <f>[1]Data!E2118</f>
        <v>CVCTE</v>
      </c>
      <c r="F2118" s="8" t="str">
        <f>[1]Data!F2118</f>
        <v>San Pedro</v>
      </c>
      <c r="G2118" s="8">
        <f>[1]Data!G2118</f>
        <v>1</v>
      </c>
      <c r="H2118" s="8">
        <f>[1]Data!H2118</f>
        <v>1</v>
      </c>
      <c r="I2118" s="8">
        <f>[1]Data!I2118</f>
        <v>24.693000000000001</v>
      </c>
      <c r="J2118" s="8">
        <f>[1]Data!J2118</f>
        <v>22.900705739999999</v>
      </c>
      <c r="K2118" s="8">
        <f>[1]Data!K2118</f>
        <v>23.900705739999999</v>
      </c>
      <c r="L2118" s="8">
        <f>[1]Data!L2118</f>
        <v>0.79143592330341095</v>
      </c>
      <c r="M2118" s="8">
        <f>[1]Data!M2118</f>
        <v>24.692141663303399</v>
      </c>
      <c r="N2118" s="8">
        <f>[1]Data!N2118</f>
        <v>0.27272727272727298</v>
      </c>
      <c r="O2118" s="8">
        <f>[1]Data!O2118</f>
        <v>3.6666666666666701</v>
      </c>
      <c r="P2118" s="8">
        <f>[1]Data!P2118</f>
        <v>0.35064935064935099</v>
      </c>
      <c r="Q2118" s="8">
        <f>[1]Data!Q2118</f>
        <v>0.84375</v>
      </c>
      <c r="R2118" s="8">
        <f>[1]Data!R2118</f>
        <v>0</v>
      </c>
      <c r="S2118" s="8">
        <f>[1]Data!S2118</f>
        <v>0</v>
      </c>
      <c r="T2118">
        <f t="shared" si="165"/>
        <v>0.31100478468899545</v>
      </c>
      <c r="U2118">
        <f t="shared" si="166"/>
        <v>3.2153846153846128</v>
      </c>
      <c r="V2118" s="4" t="str">
        <f t="shared" si="167"/>
        <v>15</v>
      </c>
      <c r="W2118" s="4" t="str">
        <f t="shared" si="168"/>
        <v>8</v>
      </c>
      <c r="X2118" s="4" t="str">
        <f t="shared" si="169"/>
        <v>15CVCTE8</v>
      </c>
      <c r="Y2118">
        <f>VLOOKUP(X2118,Sheet1!$J$5:$K$121,2,FALSE)</f>
        <v>5.2631578947368397E-2</v>
      </c>
    </row>
    <row r="2119" spans="1:25" x14ac:dyDescent="0.25">
      <c r="A2119" s="8">
        <f>[1]Data!A2119</f>
        <v>296300</v>
      </c>
      <c r="B2119" s="8">
        <f>[1]Data!B2119</f>
        <v>8</v>
      </c>
      <c r="C2119" s="8">
        <f>[1]Data!C2119</f>
        <v>15</v>
      </c>
      <c r="D2119" s="8">
        <f>[1]Data!D2119</f>
        <v>4</v>
      </c>
      <c r="E2119" s="8" t="str">
        <f>[1]Data!E2119</f>
        <v>CVCTE</v>
      </c>
      <c r="F2119" s="8" t="str">
        <f>[1]Data!F2119</f>
        <v>San Pedro</v>
      </c>
      <c r="G2119" s="8">
        <f>[1]Data!G2119</f>
        <v>0</v>
      </c>
      <c r="H2119" s="8">
        <f>[1]Data!H2119</f>
        <v>0</v>
      </c>
      <c r="I2119" s="8">
        <f>[1]Data!I2119</f>
        <v>43.491999999999997</v>
      </c>
      <c r="J2119" s="8">
        <f>[1]Data!J2119</f>
        <v>33.507741260000003</v>
      </c>
      <c r="K2119" s="8">
        <f>[1]Data!K2119</f>
        <v>41.507741260000003</v>
      </c>
      <c r="L2119" s="8">
        <f>[1]Data!L2119</f>
        <v>1.98390031653501</v>
      </c>
      <c r="M2119" s="8">
        <f>[1]Data!M2119</f>
        <v>43.491641576535002</v>
      </c>
      <c r="N2119" s="8">
        <f>[1]Data!N2119</f>
        <v>0.27272727272727298</v>
      </c>
      <c r="O2119" s="8">
        <f>[1]Data!O2119</f>
        <v>0</v>
      </c>
      <c r="P2119" s="8">
        <f>[1]Data!P2119</f>
        <v>0.35064935064935099</v>
      </c>
      <c r="Q2119" s="8">
        <f>[1]Data!Q2119</f>
        <v>0.84375</v>
      </c>
      <c r="R2119" s="8">
        <f>[1]Data!R2119</f>
        <v>5.2631578947368397E-2</v>
      </c>
      <c r="S2119" s="8">
        <f>[1]Data!S2119</f>
        <v>0</v>
      </c>
      <c r="T2119">
        <f t="shared" si="165"/>
        <v>0.31100478468899545</v>
      </c>
      <c r="U2119">
        <f t="shared" si="166"/>
        <v>0</v>
      </c>
      <c r="V2119" s="4" t="str">
        <f t="shared" si="167"/>
        <v>15</v>
      </c>
      <c r="W2119" s="4" t="str">
        <f t="shared" si="168"/>
        <v>8</v>
      </c>
      <c r="X2119" s="4" t="str">
        <f t="shared" si="169"/>
        <v>15CVCTE8</v>
      </c>
      <c r="Y2119">
        <f>VLOOKUP(X2119,Sheet1!$J$5:$K$121,2,FALSE)</f>
        <v>5.2631578947368397E-2</v>
      </c>
    </row>
    <row r="2120" spans="1:25" x14ac:dyDescent="0.25">
      <c r="A2120" s="8">
        <f>[1]Data!A2120</f>
        <v>296402</v>
      </c>
      <c r="B2120" s="8">
        <f>[1]Data!B2120</f>
        <v>8</v>
      </c>
      <c r="C2120" s="8">
        <f>[1]Data!C2120</f>
        <v>15</v>
      </c>
      <c r="D2120" s="8">
        <f>[1]Data!D2120</f>
        <v>4</v>
      </c>
      <c r="E2120" s="8" t="str">
        <f>[1]Data!E2120</f>
        <v>CVCTE</v>
      </c>
      <c r="F2120" s="8" t="str">
        <f>[1]Data!F2120</f>
        <v>San Pedro</v>
      </c>
      <c r="G2120" s="8">
        <f>[1]Data!G2120</f>
        <v>0</v>
      </c>
      <c r="H2120" s="8">
        <f>[1]Data!H2120</f>
        <v>0</v>
      </c>
      <c r="I2120" s="8">
        <f>[1]Data!I2120</f>
        <v>9.3789999999999996</v>
      </c>
      <c r="J2120" s="8">
        <f>[1]Data!J2120</f>
        <v>7.9347986400000003</v>
      </c>
      <c r="K2120" s="8">
        <f>[1]Data!K2120</f>
        <v>8.9347986400000003</v>
      </c>
      <c r="L2120" s="8">
        <f>[1]Data!L2120</f>
        <v>0.44469040552962302</v>
      </c>
      <c r="M2120" s="8">
        <f>[1]Data!M2120</f>
        <v>9.3794890455296205</v>
      </c>
      <c r="N2120" s="8">
        <f>[1]Data!N2120</f>
        <v>0.27272727272727298</v>
      </c>
      <c r="O2120" s="8">
        <f>[1]Data!O2120</f>
        <v>0</v>
      </c>
      <c r="P2120" s="8">
        <f>[1]Data!P2120</f>
        <v>0.35064935064935099</v>
      </c>
      <c r="Q2120" s="8">
        <f>[1]Data!Q2120</f>
        <v>0.84375</v>
      </c>
      <c r="R2120" s="8">
        <f>[1]Data!R2120</f>
        <v>5.2631578947368397E-2</v>
      </c>
      <c r="S2120" s="8">
        <f>[1]Data!S2120</f>
        <v>0</v>
      </c>
      <c r="T2120">
        <f t="shared" si="165"/>
        <v>0.31100478468899545</v>
      </c>
      <c r="U2120">
        <f t="shared" si="166"/>
        <v>0</v>
      </c>
      <c r="V2120" s="4" t="str">
        <f t="shared" si="167"/>
        <v>15</v>
      </c>
      <c r="W2120" s="4" t="str">
        <f t="shared" si="168"/>
        <v>8</v>
      </c>
      <c r="X2120" s="4" t="str">
        <f t="shared" si="169"/>
        <v>15CVCTE8</v>
      </c>
      <c r="Y2120">
        <f>VLOOKUP(X2120,Sheet1!$J$5:$K$121,2,FALSE)</f>
        <v>5.2631578947368397E-2</v>
      </c>
    </row>
    <row r="2121" spans="1:25" x14ac:dyDescent="0.25">
      <c r="A2121" s="8">
        <f>[1]Data!A2121</f>
        <v>296500</v>
      </c>
      <c r="B2121" s="8">
        <f>[1]Data!B2121</f>
        <v>8</v>
      </c>
      <c r="C2121" s="8">
        <f>[1]Data!C2121</f>
        <v>15</v>
      </c>
      <c r="D2121" s="8">
        <f>[1]Data!D2121</f>
        <v>4</v>
      </c>
      <c r="E2121" s="8" t="str">
        <f>[1]Data!E2121</f>
        <v>CVCTE</v>
      </c>
      <c r="F2121" s="8" t="str">
        <f>[1]Data!F2121</f>
        <v>San Pedro</v>
      </c>
      <c r="G2121" s="8">
        <f>[1]Data!G2121</f>
        <v>0</v>
      </c>
      <c r="H2121" s="8">
        <f>[1]Data!H2121</f>
        <v>0</v>
      </c>
      <c r="I2121" s="8">
        <f>[1]Data!I2121</f>
        <v>15.75</v>
      </c>
      <c r="J2121" s="8">
        <f>[1]Data!J2121</f>
        <v>14.780591100000001</v>
      </c>
      <c r="K2121" s="8">
        <f>[1]Data!K2121</f>
        <v>14.780591100000001</v>
      </c>
      <c r="L2121" s="8">
        <f>[1]Data!L2121</f>
        <v>0.969939620574506</v>
      </c>
      <c r="M2121" s="8">
        <f>[1]Data!M2121</f>
        <v>15.750530720574501</v>
      </c>
      <c r="N2121" s="8">
        <f>[1]Data!N2121</f>
        <v>0.27272727272727298</v>
      </c>
      <c r="O2121" s="8">
        <f>[1]Data!O2121</f>
        <v>0</v>
      </c>
      <c r="P2121" s="8">
        <f>[1]Data!P2121</f>
        <v>0.35064935064935099</v>
      </c>
      <c r="Q2121" s="8">
        <f>[1]Data!Q2121</f>
        <v>0.84375</v>
      </c>
      <c r="R2121" s="8">
        <f>[1]Data!R2121</f>
        <v>5.2631578947368397E-2</v>
      </c>
      <c r="S2121" s="8">
        <f>[1]Data!S2121</f>
        <v>0</v>
      </c>
      <c r="T2121">
        <f t="shared" si="165"/>
        <v>0.31100478468899545</v>
      </c>
      <c r="U2121">
        <f t="shared" si="166"/>
        <v>0</v>
      </c>
      <c r="V2121" s="4" t="str">
        <f t="shared" si="167"/>
        <v>15</v>
      </c>
      <c r="W2121" s="4" t="str">
        <f t="shared" si="168"/>
        <v>8</v>
      </c>
      <c r="X2121" s="4" t="str">
        <f t="shared" si="169"/>
        <v>15CVCTE8</v>
      </c>
      <c r="Y2121">
        <f>VLOOKUP(X2121,Sheet1!$J$5:$K$121,2,FALSE)</f>
        <v>5.2631578947368397E-2</v>
      </c>
    </row>
    <row r="2122" spans="1:25" x14ac:dyDescent="0.25">
      <c r="A2122" s="8">
        <f>[1]Data!A2122</f>
        <v>297110</v>
      </c>
      <c r="B2122" s="8">
        <f>[1]Data!B2122</f>
        <v>8</v>
      </c>
      <c r="C2122" s="8">
        <f>[1]Data!C2122</f>
        <v>15</v>
      </c>
      <c r="D2122" s="8">
        <f>[1]Data!D2122</f>
        <v>4</v>
      </c>
      <c r="E2122" s="8" t="str">
        <f>[1]Data!E2122</f>
        <v>CVCTE</v>
      </c>
      <c r="F2122" s="8" t="str">
        <f>[1]Data!F2122</f>
        <v>San Pedro</v>
      </c>
      <c r="G2122" s="8">
        <f>[1]Data!G2122</f>
        <v>1</v>
      </c>
      <c r="H2122" s="8">
        <f>[1]Data!H2122</f>
        <v>1</v>
      </c>
      <c r="I2122" s="8">
        <f>[1]Data!I2122</f>
        <v>88.263999999999996</v>
      </c>
      <c r="J2122" s="8">
        <f>[1]Data!J2122</f>
        <v>54.369188790000003</v>
      </c>
      <c r="K2122" s="8">
        <f>[1]Data!K2122</f>
        <v>85.369188789999995</v>
      </c>
      <c r="L2122" s="8">
        <f>[1]Data!L2122</f>
        <v>2.8947044770377</v>
      </c>
      <c r="M2122" s="8">
        <f>[1]Data!M2122</f>
        <v>88.263893267037702</v>
      </c>
      <c r="N2122" s="8">
        <f>[1]Data!N2122</f>
        <v>0.27272727272727298</v>
      </c>
      <c r="O2122" s="8">
        <f>[1]Data!O2122</f>
        <v>3.6666666666666701</v>
      </c>
      <c r="P2122" s="8">
        <f>[1]Data!P2122</f>
        <v>0.35064935064935099</v>
      </c>
      <c r="Q2122" s="8">
        <f>[1]Data!Q2122</f>
        <v>0.84375</v>
      </c>
      <c r="R2122" s="8">
        <f>[1]Data!R2122</f>
        <v>0</v>
      </c>
      <c r="S2122" s="8">
        <f>[1]Data!S2122</f>
        <v>0</v>
      </c>
      <c r="T2122">
        <f t="shared" si="165"/>
        <v>0.31100478468899545</v>
      </c>
      <c r="U2122">
        <f t="shared" si="166"/>
        <v>3.2153846153846128</v>
      </c>
      <c r="V2122" s="4" t="str">
        <f t="shared" si="167"/>
        <v>15</v>
      </c>
      <c r="W2122" s="4" t="str">
        <f t="shared" si="168"/>
        <v>8</v>
      </c>
      <c r="X2122" s="4" t="str">
        <f t="shared" si="169"/>
        <v>15CVCTE8</v>
      </c>
      <c r="Y2122">
        <f>VLOOKUP(X2122,Sheet1!$J$5:$K$121,2,FALSE)</f>
        <v>5.2631578947368397E-2</v>
      </c>
    </row>
    <row r="2123" spans="1:25" x14ac:dyDescent="0.25">
      <c r="A2123" s="8">
        <f>[1]Data!A2123</f>
        <v>297120</v>
      </c>
      <c r="B2123" s="8">
        <f>[1]Data!B2123</f>
        <v>8</v>
      </c>
      <c r="C2123" s="8">
        <f>[1]Data!C2123</f>
        <v>15</v>
      </c>
      <c r="D2123" s="8">
        <f>[1]Data!D2123</f>
        <v>4</v>
      </c>
      <c r="E2123" s="8" t="str">
        <f>[1]Data!E2123</f>
        <v>CVCTE</v>
      </c>
      <c r="F2123" s="8" t="str">
        <f>[1]Data!F2123</f>
        <v>San Pedro</v>
      </c>
      <c r="G2123" s="8">
        <f>[1]Data!G2123</f>
        <v>1</v>
      </c>
      <c r="H2123" s="8">
        <f>[1]Data!H2123</f>
        <v>1</v>
      </c>
      <c r="I2123" s="8">
        <f>[1]Data!I2123</f>
        <v>21.574999999999999</v>
      </c>
      <c r="J2123" s="8">
        <f>[1]Data!J2123</f>
        <v>17.45178486</v>
      </c>
      <c r="K2123" s="8">
        <f>[1]Data!K2123</f>
        <v>20.45178486</v>
      </c>
      <c r="L2123" s="8">
        <f>[1]Data!L2123</f>
        <v>1.12400295481149</v>
      </c>
      <c r="M2123" s="8">
        <f>[1]Data!M2123</f>
        <v>21.575787814811498</v>
      </c>
      <c r="N2123" s="8">
        <f>[1]Data!N2123</f>
        <v>0.27272727272727298</v>
      </c>
      <c r="O2123" s="8">
        <f>[1]Data!O2123</f>
        <v>3.6666666666666701</v>
      </c>
      <c r="P2123" s="8">
        <f>[1]Data!P2123</f>
        <v>0.35064935064935099</v>
      </c>
      <c r="Q2123" s="8">
        <f>[1]Data!Q2123</f>
        <v>0.84375</v>
      </c>
      <c r="R2123" s="8">
        <f>[1]Data!R2123</f>
        <v>0</v>
      </c>
      <c r="S2123" s="8">
        <f>[1]Data!S2123</f>
        <v>0</v>
      </c>
      <c r="T2123">
        <f t="shared" si="165"/>
        <v>0.31100478468899545</v>
      </c>
      <c r="U2123">
        <f t="shared" si="166"/>
        <v>3.2153846153846128</v>
      </c>
      <c r="V2123" s="4" t="str">
        <f t="shared" si="167"/>
        <v>15</v>
      </c>
      <c r="W2123" s="4" t="str">
        <f t="shared" si="168"/>
        <v>8</v>
      </c>
      <c r="X2123" s="4" t="str">
        <f t="shared" si="169"/>
        <v>15CVCTE8</v>
      </c>
      <c r="Y2123">
        <f>VLOOKUP(X2123,Sheet1!$J$5:$K$121,2,FALSE)</f>
        <v>5.2631578947368397E-2</v>
      </c>
    </row>
    <row r="2124" spans="1:25" x14ac:dyDescent="0.25">
      <c r="A2124" s="8">
        <f>[1]Data!A2124</f>
        <v>296902</v>
      </c>
      <c r="B2124" s="8">
        <f>[1]Data!B2124</f>
        <v>8</v>
      </c>
      <c r="C2124" s="8">
        <f>[1]Data!C2124</f>
        <v>15</v>
      </c>
      <c r="D2124" s="8">
        <f>[1]Data!D2124</f>
        <v>4</v>
      </c>
      <c r="E2124" s="8" t="str">
        <f>[1]Data!E2124</f>
        <v>CVCTE</v>
      </c>
      <c r="F2124" s="8" t="str">
        <f>[1]Data!F2124</f>
        <v>San Pedro</v>
      </c>
      <c r="G2124" s="8">
        <f>[1]Data!G2124</f>
        <v>0</v>
      </c>
      <c r="H2124" s="8">
        <f>[1]Data!H2124</f>
        <v>0</v>
      </c>
      <c r="I2124" s="8">
        <f>[1]Data!I2124</f>
        <v>19.393000000000001</v>
      </c>
      <c r="J2124" s="8">
        <f>[1]Data!J2124</f>
        <v>18.145470790000001</v>
      </c>
      <c r="K2124" s="8">
        <f>[1]Data!K2124</f>
        <v>18.145470790000001</v>
      </c>
      <c r="L2124" s="8">
        <f>[1]Data!L2124</f>
        <v>1.24729339405745</v>
      </c>
      <c r="M2124" s="8">
        <f>[1]Data!M2124</f>
        <v>19.392764184057398</v>
      </c>
      <c r="N2124" s="8">
        <f>[1]Data!N2124</f>
        <v>0.27272727272727298</v>
      </c>
      <c r="O2124" s="8">
        <f>[1]Data!O2124</f>
        <v>0</v>
      </c>
      <c r="P2124" s="8">
        <f>[1]Data!P2124</f>
        <v>0.35064935064935099</v>
      </c>
      <c r="Q2124" s="8">
        <f>[1]Data!Q2124</f>
        <v>0.84375</v>
      </c>
      <c r="R2124" s="8">
        <f>[1]Data!R2124</f>
        <v>5.2631578947368397E-2</v>
      </c>
      <c r="S2124" s="8">
        <f>[1]Data!S2124</f>
        <v>0</v>
      </c>
      <c r="T2124">
        <f t="shared" si="165"/>
        <v>0.31100478468899545</v>
      </c>
      <c r="U2124">
        <f t="shared" si="166"/>
        <v>0</v>
      </c>
      <c r="V2124" s="4" t="str">
        <f t="shared" si="167"/>
        <v>15</v>
      </c>
      <c r="W2124" s="4" t="str">
        <f t="shared" si="168"/>
        <v>8</v>
      </c>
      <c r="X2124" s="4" t="str">
        <f t="shared" si="169"/>
        <v>15CVCTE8</v>
      </c>
      <c r="Y2124">
        <f>VLOOKUP(X2124,Sheet1!$J$5:$K$121,2,FALSE)</f>
        <v>5.2631578947368397E-2</v>
      </c>
    </row>
    <row r="2125" spans="1:25" x14ac:dyDescent="0.25">
      <c r="A2125" s="8">
        <f>[1]Data!A2125</f>
        <v>296220</v>
      </c>
      <c r="B2125" s="8">
        <f>[1]Data!B2125</f>
        <v>8</v>
      </c>
      <c r="C2125" s="8">
        <f>[1]Data!C2125</f>
        <v>15</v>
      </c>
      <c r="D2125" s="8">
        <f>[1]Data!D2125</f>
        <v>4</v>
      </c>
      <c r="E2125" s="8" t="str">
        <f>[1]Data!E2125</f>
        <v>CVCTE</v>
      </c>
      <c r="F2125" s="8" t="str">
        <f>[1]Data!F2125</f>
        <v>San Pedro</v>
      </c>
      <c r="G2125" s="8">
        <f>[1]Data!G2125</f>
        <v>1</v>
      </c>
      <c r="H2125" s="8">
        <f>[1]Data!H2125</f>
        <v>1</v>
      </c>
      <c r="I2125" s="8">
        <f>[1]Data!I2125</f>
        <v>41.12</v>
      </c>
      <c r="J2125" s="8">
        <f>[1]Data!J2125</f>
        <v>30.234027869999998</v>
      </c>
      <c r="K2125" s="8">
        <f>[1]Data!K2125</f>
        <v>39.234027869999998</v>
      </c>
      <c r="L2125" s="8">
        <f>[1]Data!L2125</f>
        <v>1.8848455530161601</v>
      </c>
      <c r="M2125" s="8">
        <f>[1]Data!M2125</f>
        <v>41.118873423016197</v>
      </c>
      <c r="N2125" s="8">
        <f>[1]Data!N2125</f>
        <v>0.27272727272727298</v>
      </c>
      <c r="O2125" s="8">
        <f>[1]Data!O2125</f>
        <v>3.6666666666666701</v>
      </c>
      <c r="P2125" s="8">
        <f>[1]Data!P2125</f>
        <v>0.35064935064935099</v>
      </c>
      <c r="Q2125" s="8">
        <f>[1]Data!Q2125</f>
        <v>0.84375</v>
      </c>
      <c r="R2125" s="8">
        <f>[1]Data!R2125</f>
        <v>0</v>
      </c>
      <c r="S2125" s="8">
        <f>[1]Data!S2125</f>
        <v>0</v>
      </c>
      <c r="T2125">
        <f t="shared" si="165"/>
        <v>0.31100478468899545</v>
      </c>
      <c r="U2125">
        <f t="shared" si="166"/>
        <v>3.2153846153846128</v>
      </c>
      <c r="V2125" s="4" t="str">
        <f t="shared" si="167"/>
        <v>15</v>
      </c>
      <c r="W2125" s="4" t="str">
        <f t="shared" si="168"/>
        <v>8</v>
      </c>
      <c r="X2125" s="4" t="str">
        <f t="shared" si="169"/>
        <v>15CVCTE8</v>
      </c>
      <c r="Y2125">
        <f>VLOOKUP(X2125,Sheet1!$J$5:$K$121,2,FALSE)</f>
        <v>5.2631578947368397E-2</v>
      </c>
    </row>
    <row r="2126" spans="1:25" x14ac:dyDescent="0.25">
      <c r="A2126" s="8">
        <f>[1]Data!A2126</f>
        <v>294810</v>
      </c>
      <c r="B2126" s="8">
        <f>[1]Data!B2126</f>
        <v>8</v>
      </c>
      <c r="C2126" s="8">
        <f>[1]Data!C2126</f>
        <v>15</v>
      </c>
      <c r="D2126" s="8">
        <f>[1]Data!D2126</f>
        <v>4</v>
      </c>
      <c r="E2126" s="8" t="str">
        <f>[1]Data!E2126</f>
        <v>CVCTE</v>
      </c>
      <c r="F2126" s="8" t="str">
        <f>[1]Data!F2126</f>
        <v>Wilmington</v>
      </c>
      <c r="G2126" s="8">
        <f>[1]Data!G2126</f>
        <v>1</v>
      </c>
      <c r="H2126" s="8">
        <f>[1]Data!H2126</f>
        <v>1</v>
      </c>
      <c r="I2126" s="8">
        <f>[1]Data!I2126</f>
        <v>24.707999999999998</v>
      </c>
      <c r="J2126" s="8">
        <f>[1]Data!J2126</f>
        <v>21.58245951</v>
      </c>
      <c r="K2126" s="8">
        <f>[1]Data!K2126</f>
        <v>23.58245951</v>
      </c>
      <c r="L2126" s="8">
        <f>[1]Data!L2126</f>
        <v>1.12584080389587</v>
      </c>
      <c r="M2126" s="8">
        <f>[1]Data!M2126</f>
        <v>24.708300313895901</v>
      </c>
      <c r="N2126" s="8">
        <f>[1]Data!N2126</f>
        <v>0.27272727272727298</v>
      </c>
      <c r="O2126" s="8">
        <f>[1]Data!O2126</f>
        <v>3.6666666666666701</v>
      </c>
      <c r="P2126" s="8">
        <f>[1]Data!P2126</f>
        <v>0.35064935064935099</v>
      </c>
      <c r="Q2126" s="8">
        <f>[1]Data!Q2126</f>
        <v>0.84375</v>
      </c>
      <c r="R2126" s="8">
        <f>[1]Data!R2126</f>
        <v>0</v>
      </c>
      <c r="S2126" s="8">
        <f>[1]Data!S2126</f>
        <v>0</v>
      </c>
      <c r="T2126">
        <f t="shared" si="165"/>
        <v>0.31100478468899545</v>
      </c>
      <c r="U2126">
        <f t="shared" si="166"/>
        <v>3.2153846153846128</v>
      </c>
      <c r="V2126" s="4" t="str">
        <f t="shared" si="167"/>
        <v>15</v>
      </c>
      <c r="W2126" s="4" t="str">
        <f t="shared" si="168"/>
        <v>8</v>
      </c>
      <c r="X2126" s="4" t="str">
        <f t="shared" si="169"/>
        <v>15CVCTE8</v>
      </c>
      <c r="Y2126">
        <f>VLOOKUP(X2126,Sheet1!$J$5:$K$121,2,FALSE)</f>
        <v>5.2631578947368397E-2</v>
      </c>
    </row>
    <row r="2127" spans="1:25" x14ac:dyDescent="0.25">
      <c r="A2127" s="8">
        <f>[1]Data!A2127</f>
        <v>294510</v>
      </c>
      <c r="B2127" s="8">
        <f>[1]Data!B2127</f>
        <v>8</v>
      </c>
      <c r="C2127" s="8">
        <f>[1]Data!C2127</f>
        <v>15</v>
      </c>
      <c r="D2127" s="8">
        <f>[1]Data!D2127</f>
        <v>4</v>
      </c>
      <c r="E2127" s="8" t="str">
        <f>[1]Data!E2127</f>
        <v>CVCTE</v>
      </c>
      <c r="F2127" s="8" t="str">
        <f>[1]Data!F2127</f>
        <v>Wilmington</v>
      </c>
      <c r="G2127" s="8">
        <f>[1]Data!G2127</f>
        <v>0</v>
      </c>
      <c r="H2127" s="8">
        <f>[1]Data!H2127</f>
        <v>0</v>
      </c>
      <c r="I2127" s="8">
        <f>[1]Data!I2127</f>
        <v>14.653</v>
      </c>
      <c r="J2127" s="8">
        <f>[1]Data!J2127</f>
        <v>13.10493537</v>
      </c>
      <c r="K2127" s="8">
        <f>[1]Data!K2127</f>
        <v>14.10493537</v>
      </c>
      <c r="L2127" s="8">
        <f>[1]Data!L2127</f>
        <v>0.54684577653500899</v>
      </c>
      <c r="M2127" s="8">
        <f>[1]Data!M2127</f>
        <v>14.651781146535001</v>
      </c>
      <c r="N2127" s="8">
        <f>[1]Data!N2127</f>
        <v>0.27272727272727298</v>
      </c>
      <c r="O2127" s="8">
        <f>[1]Data!O2127</f>
        <v>0</v>
      </c>
      <c r="P2127" s="8">
        <f>[1]Data!P2127</f>
        <v>0.35064935064935099</v>
      </c>
      <c r="Q2127" s="8">
        <f>[1]Data!Q2127</f>
        <v>0.84375</v>
      </c>
      <c r="R2127" s="8">
        <f>[1]Data!R2127</f>
        <v>5.2631578947368397E-2</v>
      </c>
      <c r="S2127" s="8">
        <f>[1]Data!S2127</f>
        <v>0</v>
      </c>
      <c r="T2127">
        <f t="shared" si="165"/>
        <v>0.31100478468899545</v>
      </c>
      <c r="U2127">
        <f t="shared" si="166"/>
        <v>0</v>
      </c>
      <c r="V2127" s="4" t="str">
        <f t="shared" si="167"/>
        <v>15</v>
      </c>
      <c r="W2127" s="4" t="str">
        <f t="shared" si="168"/>
        <v>8</v>
      </c>
      <c r="X2127" s="4" t="str">
        <f t="shared" si="169"/>
        <v>15CVCTE8</v>
      </c>
      <c r="Y2127">
        <f>VLOOKUP(X2127,Sheet1!$J$5:$K$121,2,FALSE)</f>
        <v>5.2631578947368397E-2</v>
      </c>
    </row>
    <row r="2128" spans="1:25" x14ac:dyDescent="0.25">
      <c r="A2128" s="8">
        <f>[1]Data!A2128</f>
        <v>296600</v>
      </c>
      <c r="B2128" s="8">
        <f>[1]Data!B2128</f>
        <v>8</v>
      </c>
      <c r="C2128" s="8">
        <f>[1]Data!C2128</f>
        <v>15</v>
      </c>
      <c r="D2128" s="8">
        <f>[1]Data!D2128</f>
        <v>4</v>
      </c>
      <c r="E2128" s="8" t="str">
        <f>[1]Data!E2128</f>
        <v>FAMILY</v>
      </c>
      <c r="F2128" s="8" t="str">
        <f>[1]Data!F2128</f>
        <v>San Pedro</v>
      </c>
      <c r="G2128" s="8">
        <f>[1]Data!G2128</f>
        <v>1</v>
      </c>
      <c r="H2128" s="8">
        <f>[1]Data!H2128</f>
        <v>1</v>
      </c>
      <c r="I2128" s="8">
        <f>[1]Data!I2128</f>
        <v>54.578000000000003</v>
      </c>
      <c r="J2128" s="8">
        <f>[1]Data!J2128</f>
        <v>24.862883589999999</v>
      </c>
      <c r="K2128" s="8">
        <f>[1]Data!K2128</f>
        <v>52.862883590000003</v>
      </c>
      <c r="L2128" s="8">
        <f>[1]Data!L2128</f>
        <v>1.7142492103590701</v>
      </c>
      <c r="M2128" s="8">
        <f>[1]Data!M2128</f>
        <v>54.577132800359102</v>
      </c>
      <c r="N2128" s="8">
        <f>[1]Data!N2128</f>
        <v>1</v>
      </c>
      <c r="O2128" s="8">
        <f>[1]Data!O2128</f>
        <v>1</v>
      </c>
      <c r="P2128" s="8">
        <f>[1]Data!P2128</f>
        <v>0</v>
      </c>
      <c r="Q2128" s="8">
        <f>[1]Data!Q2128</f>
        <v>0</v>
      </c>
      <c r="R2128" s="8">
        <f>[1]Data!R2128</f>
        <v>0</v>
      </c>
      <c r="S2128" s="8">
        <f>[1]Data!S2128</f>
        <v>0</v>
      </c>
      <c r="T2128">
        <f t="shared" si="165"/>
        <v>1</v>
      </c>
      <c r="U2128">
        <f t="shared" si="166"/>
        <v>1</v>
      </c>
      <c r="V2128" s="4" t="str">
        <f t="shared" si="167"/>
        <v>15</v>
      </c>
      <c r="W2128" s="4" t="str">
        <f t="shared" si="168"/>
        <v>8</v>
      </c>
      <c r="X2128" s="4" t="str">
        <f t="shared" si="169"/>
        <v>15FAMILY8</v>
      </c>
      <c r="Y2128">
        <f>VLOOKUP(X2128,Sheet1!$J$5:$K$121,2,FALSE)</f>
        <v>0</v>
      </c>
    </row>
    <row r="2129" spans="1:25" x14ac:dyDescent="0.25">
      <c r="A2129" s="8">
        <f>[1]Data!A2129</f>
        <v>241300</v>
      </c>
      <c r="B2129" s="8">
        <f>[1]Data!B2129</f>
        <v>6</v>
      </c>
      <c r="C2129" s="8">
        <f>[1]Data!C2129</f>
        <v>15</v>
      </c>
      <c r="D2129" s="8">
        <f>[1]Data!D2129</f>
        <v>2</v>
      </c>
      <c r="E2129" s="8" t="str">
        <f>[1]Data!E2129</f>
        <v>INDIV</v>
      </c>
      <c r="F2129" s="8" t="str">
        <f>[1]Data!F2129</f>
        <v>Harbor Gateway</v>
      </c>
      <c r="G2129" s="8">
        <f>[1]Data!G2129</f>
        <v>0</v>
      </c>
      <c r="H2129" s="8">
        <f>[1]Data!H2129</f>
        <v>0</v>
      </c>
      <c r="I2129" s="8">
        <f>[1]Data!I2129</f>
        <v>34.19</v>
      </c>
      <c r="J2129" s="8">
        <f>[1]Data!J2129</f>
        <v>3.9673993200000002</v>
      </c>
      <c r="K2129" s="8">
        <f>[1]Data!K2129</f>
        <v>33.967399319999998</v>
      </c>
      <c r="L2129" s="8">
        <f>[1]Data!L2129</f>
        <v>0.22234520276481101</v>
      </c>
      <c r="M2129" s="8">
        <f>[1]Data!M2129</f>
        <v>34.189744522764798</v>
      </c>
      <c r="N2129" s="8">
        <f>[1]Data!N2129</f>
        <v>3.2258064516128997E-2</v>
      </c>
      <c r="O2129" s="8">
        <f>[1]Data!O2129</f>
        <v>0</v>
      </c>
      <c r="P2129" s="8">
        <f>[1]Data!P2129</f>
        <v>6.4516129032258104E-2</v>
      </c>
      <c r="Q2129" s="8">
        <f>[1]Data!Q2129</f>
        <v>0.28571428571428598</v>
      </c>
      <c r="R2129" s="8">
        <f>[1]Data!R2129</f>
        <v>0</v>
      </c>
      <c r="S2129" s="8">
        <f>[1]Data!S2129</f>
        <v>0</v>
      </c>
      <c r="T2129">
        <f t="shared" si="165"/>
        <v>3.2258064516128997E-2</v>
      </c>
      <c r="U2129">
        <f t="shared" si="166"/>
        <v>0</v>
      </c>
      <c r="V2129" s="4" t="str">
        <f t="shared" si="167"/>
        <v>15</v>
      </c>
      <c r="W2129" s="4" t="str">
        <f t="shared" si="168"/>
        <v>6</v>
      </c>
      <c r="X2129" s="4" t="str">
        <f t="shared" si="169"/>
        <v>15INDIV6</v>
      </c>
      <c r="Y2129">
        <f>VLOOKUP(X2129,Sheet1!$J$5:$K$121,2,FALSE)</f>
        <v>0</v>
      </c>
    </row>
    <row r="2130" spans="1:25" x14ac:dyDescent="0.25">
      <c r="A2130" s="8">
        <f>[1]Data!A2130</f>
        <v>242300</v>
      </c>
      <c r="B2130" s="8">
        <f>[1]Data!B2130</f>
        <v>6</v>
      </c>
      <c r="C2130" s="8">
        <f>[1]Data!C2130</f>
        <v>15</v>
      </c>
      <c r="D2130" s="8">
        <f>[1]Data!D2130</f>
        <v>2</v>
      </c>
      <c r="E2130" s="8" t="str">
        <f>[1]Data!E2130</f>
        <v>INDIV</v>
      </c>
      <c r="F2130" s="8" t="str">
        <f>[1]Data!F2130</f>
        <v>Watts</v>
      </c>
      <c r="G2130" s="8">
        <f>[1]Data!G2130</f>
        <v>0</v>
      </c>
      <c r="H2130" s="8">
        <f>[1]Data!H2130</f>
        <v>0</v>
      </c>
      <c r="I2130" s="8">
        <f>[1]Data!I2130</f>
        <v>12.579000000000001</v>
      </c>
      <c r="J2130" s="8">
        <f>[1]Data!J2130</f>
        <v>9.0715871700000008</v>
      </c>
      <c r="K2130" s="8">
        <f>[1]Data!K2130</f>
        <v>12.071587170000001</v>
      </c>
      <c r="L2130" s="8">
        <f>[1]Data!L2130</f>
        <v>0.50646174204667904</v>
      </c>
      <c r="M2130" s="8">
        <f>[1]Data!M2130</f>
        <v>12.5780489120467</v>
      </c>
      <c r="N2130" s="8">
        <f>[1]Data!N2130</f>
        <v>3.2258064516128997E-2</v>
      </c>
      <c r="O2130" s="8">
        <f>[1]Data!O2130</f>
        <v>0</v>
      </c>
      <c r="P2130" s="8">
        <f>[1]Data!P2130</f>
        <v>6.4516129032258104E-2</v>
      </c>
      <c r="Q2130" s="8">
        <f>[1]Data!Q2130</f>
        <v>0.28571428571428598</v>
      </c>
      <c r="R2130" s="8">
        <f>[1]Data!R2130</f>
        <v>0</v>
      </c>
      <c r="S2130" s="8">
        <f>[1]Data!S2130</f>
        <v>0</v>
      </c>
      <c r="T2130">
        <f t="shared" si="165"/>
        <v>3.2258064516128997E-2</v>
      </c>
      <c r="U2130">
        <f t="shared" si="166"/>
        <v>0</v>
      </c>
      <c r="V2130" s="4" t="str">
        <f t="shared" si="167"/>
        <v>15</v>
      </c>
      <c r="W2130" s="4" t="str">
        <f t="shared" si="168"/>
        <v>6</v>
      </c>
      <c r="X2130" s="4" t="str">
        <f t="shared" si="169"/>
        <v>15INDIV6</v>
      </c>
      <c r="Y2130">
        <f>VLOOKUP(X2130,Sheet1!$J$5:$K$121,2,FALSE)</f>
        <v>0</v>
      </c>
    </row>
    <row r="2131" spans="1:25" x14ac:dyDescent="0.25">
      <c r="A2131" s="8">
        <f>[1]Data!A2131</f>
        <v>980015</v>
      </c>
      <c r="B2131" s="8">
        <f>[1]Data!B2131</f>
        <v>8</v>
      </c>
      <c r="C2131" s="8">
        <f>[1]Data!C2131</f>
        <v>15</v>
      </c>
      <c r="D2131" s="8">
        <f>[1]Data!D2131</f>
        <v>4</v>
      </c>
      <c r="E2131" s="8" t="str">
        <f>[1]Data!E2131</f>
        <v>INDIV</v>
      </c>
      <c r="F2131" s="8" t="str">
        <f>[1]Data!F2131</f>
        <v>San Pedro</v>
      </c>
      <c r="G2131" s="8">
        <f>[1]Data!G2131</f>
        <v>0</v>
      </c>
      <c r="H2131" s="8">
        <f>[1]Data!H2131</f>
        <v>0</v>
      </c>
      <c r="I2131" s="8">
        <f>[1]Data!I2131</f>
        <v>23.57</v>
      </c>
      <c r="J2131" s="8">
        <f>[1]Data!J2131</f>
        <v>7.9825809899999998</v>
      </c>
      <c r="K2131" s="8">
        <f>[1]Data!K2131</f>
        <v>22.982580989999999</v>
      </c>
      <c r="L2131" s="8">
        <f>[1]Data!L2131</f>
        <v>0.587020551561939</v>
      </c>
      <c r="M2131" s="8">
        <f>[1]Data!M2131</f>
        <v>23.569601541561902</v>
      </c>
      <c r="N2131" s="8">
        <f>[1]Data!N2131</f>
        <v>6.8181818181818205E-2</v>
      </c>
      <c r="O2131" s="8">
        <f>[1]Data!O2131</f>
        <v>0</v>
      </c>
      <c r="P2131" s="8">
        <f>[1]Data!P2131</f>
        <v>0.11363636363636399</v>
      </c>
      <c r="Q2131" s="8">
        <f>[1]Data!Q2131</f>
        <v>0.71428571428571397</v>
      </c>
      <c r="R2131" s="8">
        <f>[1]Data!R2131</f>
        <v>0.2</v>
      </c>
      <c r="S2131" s="8">
        <f>[1]Data!S2131</f>
        <v>0</v>
      </c>
      <c r="T2131">
        <f t="shared" si="165"/>
        <v>0.25454545454545457</v>
      </c>
      <c r="U2131">
        <f t="shared" si="166"/>
        <v>0</v>
      </c>
      <c r="V2131" s="4" t="str">
        <f t="shared" si="167"/>
        <v>15</v>
      </c>
      <c r="W2131" s="4" t="str">
        <f t="shared" si="168"/>
        <v>8</v>
      </c>
      <c r="X2131" s="4" t="str">
        <f t="shared" si="169"/>
        <v>15INDIV8</v>
      </c>
      <c r="Y2131">
        <f>VLOOKUP(X2131,Sheet1!$J$5:$K$121,2,FALSE)</f>
        <v>0.2</v>
      </c>
    </row>
    <row r="2132" spans="1:25" x14ac:dyDescent="0.25">
      <c r="A2132" s="8">
        <f>[1]Data!A2132</f>
        <v>293202</v>
      </c>
      <c r="B2132" s="8">
        <f>[1]Data!B2132</f>
        <v>8</v>
      </c>
      <c r="C2132" s="8">
        <f>[1]Data!C2132</f>
        <v>15</v>
      </c>
      <c r="D2132" s="8">
        <f>[1]Data!D2132</f>
        <v>4</v>
      </c>
      <c r="E2132" s="8" t="str">
        <f>[1]Data!E2132</f>
        <v>INDIV</v>
      </c>
      <c r="F2132" s="8" t="str">
        <f>[1]Data!F2132</f>
        <v>Harbor Gateway</v>
      </c>
      <c r="G2132" s="8">
        <f>[1]Data!G2132</f>
        <v>0</v>
      </c>
      <c r="H2132" s="8">
        <f>[1]Data!H2132</f>
        <v>0</v>
      </c>
      <c r="I2132" s="8">
        <f>[1]Data!I2132</f>
        <v>14.585000000000001</v>
      </c>
      <c r="J2132" s="8">
        <f>[1]Data!J2132</f>
        <v>7.4477719899999997</v>
      </c>
      <c r="K2132" s="8">
        <f>[1]Data!K2132</f>
        <v>14.44777199</v>
      </c>
      <c r="L2132" s="8">
        <f>[1]Data!L2132</f>
        <v>0.13686147653500899</v>
      </c>
      <c r="M2132" s="8">
        <f>[1]Data!M2132</f>
        <v>14.584633466534999</v>
      </c>
      <c r="N2132" s="8">
        <f>[1]Data!N2132</f>
        <v>6.8181818181818205E-2</v>
      </c>
      <c r="O2132" s="8">
        <f>[1]Data!O2132</f>
        <v>0</v>
      </c>
      <c r="P2132" s="8">
        <f>[1]Data!P2132</f>
        <v>0.11363636363636399</v>
      </c>
      <c r="Q2132" s="8">
        <f>[1]Data!Q2132</f>
        <v>0.71428571428571397</v>
      </c>
      <c r="R2132" s="8">
        <f>[1]Data!R2132</f>
        <v>0.2</v>
      </c>
      <c r="S2132" s="8">
        <f>[1]Data!S2132</f>
        <v>0</v>
      </c>
      <c r="T2132">
        <f t="shared" si="165"/>
        <v>0.25454545454545457</v>
      </c>
      <c r="U2132">
        <f t="shared" si="166"/>
        <v>0</v>
      </c>
      <c r="V2132" s="4" t="str">
        <f t="shared" si="167"/>
        <v>15</v>
      </c>
      <c r="W2132" s="4" t="str">
        <f t="shared" si="168"/>
        <v>8</v>
      </c>
      <c r="X2132" s="4" t="str">
        <f t="shared" si="169"/>
        <v>15INDIV8</v>
      </c>
      <c r="Y2132">
        <f>VLOOKUP(X2132,Sheet1!$J$5:$K$121,2,FALSE)</f>
        <v>0.2</v>
      </c>
    </row>
    <row r="2133" spans="1:25" x14ac:dyDescent="0.25">
      <c r="A2133" s="8">
        <f>[1]Data!A2133</f>
        <v>294200</v>
      </c>
      <c r="B2133" s="8">
        <f>[1]Data!B2133</f>
        <v>8</v>
      </c>
      <c r="C2133" s="8">
        <f>[1]Data!C2133</f>
        <v>15</v>
      </c>
      <c r="D2133" s="8">
        <f>[1]Data!D2133</f>
        <v>4</v>
      </c>
      <c r="E2133" s="8" t="str">
        <f>[1]Data!E2133</f>
        <v>INDIV</v>
      </c>
      <c r="F2133" s="8" t="str">
        <f>[1]Data!F2133</f>
        <v>Wilmington</v>
      </c>
      <c r="G2133" s="8">
        <f>[1]Data!G2133</f>
        <v>0</v>
      </c>
      <c r="H2133" s="8">
        <f>[1]Data!H2133</f>
        <v>1</v>
      </c>
      <c r="I2133" s="8">
        <f>[1]Data!I2133</f>
        <v>13</v>
      </c>
      <c r="J2133" s="8">
        <f>[1]Data!J2133</f>
        <v>0</v>
      </c>
      <c r="K2133" s="8">
        <f>[1]Data!K2133</f>
        <v>13</v>
      </c>
      <c r="L2133" s="8">
        <f>[1]Data!L2133</f>
        <v>0</v>
      </c>
      <c r="M2133" s="8">
        <f>[1]Data!M2133</f>
        <v>13</v>
      </c>
      <c r="N2133" s="8">
        <f>[1]Data!N2133</f>
        <v>6.8181818181818205E-2</v>
      </c>
      <c r="O2133" s="8">
        <f>[1]Data!O2133</f>
        <v>0</v>
      </c>
      <c r="P2133" s="8">
        <f>[1]Data!P2133</f>
        <v>0.11363636363636399</v>
      </c>
      <c r="Q2133" s="8">
        <f>[1]Data!Q2133</f>
        <v>0.71428571428571397</v>
      </c>
      <c r="R2133" s="8">
        <f>[1]Data!R2133</f>
        <v>0.2</v>
      </c>
      <c r="S2133" s="8">
        <f>[1]Data!S2133</f>
        <v>5</v>
      </c>
      <c r="T2133">
        <f t="shared" si="165"/>
        <v>0.25454545454545457</v>
      </c>
      <c r="U2133">
        <f t="shared" si="166"/>
        <v>3.9285714285714279</v>
      </c>
      <c r="V2133" s="4" t="str">
        <f t="shared" si="167"/>
        <v>15</v>
      </c>
      <c r="W2133" s="4" t="str">
        <f t="shared" si="168"/>
        <v>8</v>
      </c>
      <c r="X2133" s="4" t="str">
        <f t="shared" si="169"/>
        <v>15INDIV8</v>
      </c>
      <c r="Y2133">
        <f>VLOOKUP(X2133,Sheet1!$J$5:$K$121,2,FALSE)</f>
        <v>0.2</v>
      </c>
    </row>
    <row r="2134" spans="1:25" x14ac:dyDescent="0.25">
      <c r="A2134" s="8">
        <f>[1]Data!A2134</f>
        <v>294302</v>
      </c>
      <c r="B2134" s="8">
        <f>[1]Data!B2134</f>
        <v>8</v>
      </c>
      <c r="C2134" s="8">
        <f>[1]Data!C2134</f>
        <v>15</v>
      </c>
      <c r="D2134" s="8">
        <f>[1]Data!D2134</f>
        <v>4</v>
      </c>
      <c r="E2134" s="8" t="str">
        <f>[1]Data!E2134</f>
        <v>INDIV</v>
      </c>
      <c r="F2134" s="8" t="str">
        <f>[1]Data!F2134</f>
        <v>Wilmington</v>
      </c>
      <c r="G2134" s="8">
        <f>[1]Data!G2134</f>
        <v>0</v>
      </c>
      <c r="H2134" s="8">
        <f>[1]Data!H2134</f>
        <v>0</v>
      </c>
      <c r="I2134" s="8">
        <f>[1]Data!I2134</f>
        <v>10.19</v>
      </c>
      <c r="J2134" s="8">
        <f>[1]Data!J2134</f>
        <v>3.9673993200000002</v>
      </c>
      <c r="K2134" s="8">
        <f>[1]Data!K2134</f>
        <v>9.9673993200000002</v>
      </c>
      <c r="L2134" s="8">
        <f>[1]Data!L2134</f>
        <v>0.22234520276481101</v>
      </c>
      <c r="M2134" s="8">
        <f>[1]Data!M2134</f>
        <v>10.1897445227648</v>
      </c>
      <c r="N2134" s="8">
        <f>[1]Data!N2134</f>
        <v>6.8181818181818205E-2</v>
      </c>
      <c r="O2134" s="8">
        <f>[1]Data!O2134</f>
        <v>0</v>
      </c>
      <c r="P2134" s="8">
        <f>[1]Data!P2134</f>
        <v>0.11363636363636399</v>
      </c>
      <c r="Q2134" s="8">
        <f>[1]Data!Q2134</f>
        <v>0.71428571428571397</v>
      </c>
      <c r="R2134" s="8">
        <f>[1]Data!R2134</f>
        <v>0.2</v>
      </c>
      <c r="S2134" s="8">
        <f>[1]Data!S2134</f>
        <v>0</v>
      </c>
      <c r="T2134">
        <f t="shared" si="165"/>
        <v>0.25454545454545457</v>
      </c>
      <c r="U2134">
        <f t="shared" si="166"/>
        <v>0</v>
      </c>
      <c r="V2134" s="4" t="str">
        <f t="shared" si="167"/>
        <v>15</v>
      </c>
      <c r="W2134" s="4" t="str">
        <f t="shared" si="168"/>
        <v>8</v>
      </c>
      <c r="X2134" s="4" t="str">
        <f t="shared" si="169"/>
        <v>15INDIV8</v>
      </c>
      <c r="Y2134">
        <f>VLOOKUP(X2134,Sheet1!$J$5:$K$121,2,FALSE)</f>
        <v>0.2</v>
      </c>
    </row>
    <row r="2135" spans="1:25" x14ac:dyDescent="0.25">
      <c r="A2135" s="8">
        <f>[1]Data!A2135</f>
        <v>297400</v>
      </c>
      <c r="B2135" s="8">
        <f>[1]Data!B2135</f>
        <v>8</v>
      </c>
      <c r="C2135" s="8">
        <f>[1]Data!C2135</f>
        <v>15</v>
      </c>
      <c r="D2135" s="8">
        <f>[1]Data!D2135</f>
        <v>4</v>
      </c>
      <c r="E2135" s="8" t="str">
        <f>[1]Data!E2135</f>
        <v>INDIV</v>
      </c>
      <c r="F2135" s="8" t="str">
        <f>[1]Data!F2135</f>
        <v>San Pedro</v>
      </c>
      <c r="G2135" s="8">
        <f>[1]Data!G2135</f>
        <v>0</v>
      </c>
      <c r="H2135" s="8">
        <f>[1]Data!H2135</f>
        <v>0</v>
      </c>
      <c r="I2135" s="8">
        <f>[1]Data!I2135</f>
        <v>4.5910000000000002</v>
      </c>
      <c r="J2135" s="8">
        <f>[1]Data!J2135</f>
        <v>1.43919657</v>
      </c>
      <c r="K2135" s="8">
        <f>[1]Data!K2135</f>
        <v>4.43919657</v>
      </c>
      <c r="L2135" s="8">
        <f>[1]Data!L2135</f>
        <v>0.15145200614003601</v>
      </c>
      <c r="M2135" s="8">
        <f>[1]Data!M2135</f>
        <v>4.5906485761400404</v>
      </c>
      <c r="N2135" s="8">
        <f>[1]Data!N2135</f>
        <v>6.8181818181818205E-2</v>
      </c>
      <c r="O2135" s="8">
        <f>[1]Data!O2135</f>
        <v>0</v>
      </c>
      <c r="P2135" s="8">
        <f>[1]Data!P2135</f>
        <v>0.11363636363636399</v>
      </c>
      <c r="Q2135" s="8">
        <f>[1]Data!Q2135</f>
        <v>0.71428571428571397</v>
      </c>
      <c r="R2135" s="8">
        <f>[1]Data!R2135</f>
        <v>0.2</v>
      </c>
      <c r="S2135" s="8">
        <f>[1]Data!S2135</f>
        <v>0</v>
      </c>
      <c r="T2135">
        <f t="shared" si="165"/>
        <v>0.25454545454545457</v>
      </c>
      <c r="U2135">
        <f t="shared" si="166"/>
        <v>0</v>
      </c>
      <c r="V2135" s="4" t="str">
        <f t="shared" si="167"/>
        <v>15</v>
      </c>
      <c r="W2135" s="4" t="str">
        <f t="shared" si="168"/>
        <v>8</v>
      </c>
      <c r="X2135" s="4" t="str">
        <f t="shared" si="169"/>
        <v>15INDIV8</v>
      </c>
      <c r="Y2135">
        <f>VLOOKUP(X2135,Sheet1!$J$5:$K$121,2,FALSE)</f>
        <v>0.2</v>
      </c>
    </row>
    <row r="2136" spans="1:25" x14ac:dyDescent="0.25">
      <c r="A2136" s="8">
        <f>[1]Data!A2136</f>
        <v>242000</v>
      </c>
      <c r="B2136" s="8">
        <f>[1]Data!B2136</f>
        <v>6</v>
      </c>
      <c r="C2136" s="8">
        <f>[1]Data!C2136</f>
        <v>15</v>
      </c>
      <c r="D2136" s="8">
        <f>[1]Data!D2136</f>
        <v>2</v>
      </c>
      <c r="E2136" s="8" t="str">
        <f>[1]Data!E2136</f>
        <v>NON-HS</v>
      </c>
      <c r="F2136" s="8" t="str">
        <f>[1]Data!F2136</f>
        <v>Watts</v>
      </c>
      <c r="G2136" s="8">
        <f>[1]Data!G2136</f>
        <v>0</v>
      </c>
      <c r="H2136" s="8">
        <f>[1]Data!H2136</f>
        <v>0</v>
      </c>
      <c r="I2136" s="8">
        <f>[1]Data!I2136</f>
        <v>8.9979999999999993</v>
      </c>
      <c r="J2136" s="8">
        <f>[1]Data!J2136</f>
        <v>5.7005314900000004</v>
      </c>
      <c r="K2136" s="8">
        <f>[1]Data!K2136</f>
        <v>8.7005314899999995</v>
      </c>
      <c r="L2136" s="8">
        <f>[1]Data!L2136</f>
        <v>0.29733071305206499</v>
      </c>
      <c r="M2136" s="8">
        <f>[1]Data!M2136</f>
        <v>8.9978622030520601</v>
      </c>
      <c r="N2136" s="8">
        <f>[1]Data!N2136</f>
        <v>2.34375E-2</v>
      </c>
      <c r="O2136" s="8">
        <f>[1]Data!O2136</f>
        <v>0</v>
      </c>
      <c r="P2136" s="8">
        <f>[1]Data!P2136</f>
        <v>3.90625E-2</v>
      </c>
      <c r="Q2136" s="8">
        <f>[1]Data!Q2136</f>
        <v>0.19230769230769201</v>
      </c>
      <c r="R2136" s="8">
        <f>[1]Data!R2136</f>
        <v>0</v>
      </c>
      <c r="S2136" s="8">
        <f>[1]Data!S2136</f>
        <v>0</v>
      </c>
      <c r="T2136">
        <f t="shared" si="165"/>
        <v>2.34375E-2</v>
      </c>
      <c r="U2136">
        <f t="shared" si="166"/>
        <v>0</v>
      </c>
      <c r="V2136" s="4" t="str">
        <f t="shared" si="167"/>
        <v>15</v>
      </c>
      <c r="W2136" s="4" t="str">
        <f t="shared" si="168"/>
        <v>6</v>
      </c>
      <c r="X2136" s="4" t="str">
        <f t="shared" si="169"/>
        <v>15NON-HS6</v>
      </c>
      <c r="Y2136">
        <f>VLOOKUP(X2136,Sheet1!$J$5:$K$121,2,FALSE)</f>
        <v>0</v>
      </c>
    </row>
    <row r="2137" spans="1:25" x14ac:dyDescent="0.25">
      <c r="A2137" s="8">
        <f>[1]Data!A2137</f>
        <v>242100</v>
      </c>
      <c r="B2137" s="8">
        <f>[1]Data!B2137</f>
        <v>6</v>
      </c>
      <c r="C2137" s="8">
        <f>[1]Data!C2137</f>
        <v>15</v>
      </c>
      <c r="D2137" s="8">
        <f>[1]Data!D2137</f>
        <v>2</v>
      </c>
      <c r="E2137" s="8" t="str">
        <f>[1]Data!E2137</f>
        <v>NON-HS</v>
      </c>
      <c r="F2137" s="8" t="str">
        <f>[1]Data!F2137</f>
        <v>Watts</v>
      </c>
      <c r="G2137" s="8">
        <f>[1]Data!G2137</f>
        <v>0</v>
      </c>
      <c r="H2137" s="8">
        <f>[1]Data!H2137</f>
        <v>0</v>
      </c>
      <c r="I2137" s="8">
        <f>[1]Data!I2137</f>
        <v>12.276</v>
      </c>
      <c r="J2137" s="8">
        <f>[1]Data!J2137</f>
        <v>4.8620928000000001</v>
      </c>
      <c r="K2137" s="8">
        <f>[1]Data!K2137</f>
        <v>11.862092799999999</v>
      </c>
      <c r="L2137" s="8">
        <f>[1]Data!L2137</f>
        <v>0.414076613662478</v>
      </c>
      <c r="M2137" s="8">
        <f>[1]Data!M2137</f>
        <v>12.276169413662499</v>
      </c>
      <c r="N2137" s="8">
        <f>[1]Data!N2137</f>
        <v>2.34375E-2</v>
      </c>
      <c r="O2137" s="8">
        <f>[1]Data!O2137</f>
        <v>0</v>
      </c>
      <c r="P2137" s="8">
        <f>[1]Data!P2137</f>
        <v>3.90625E-2</v>
      </c>
      <c r="Q2137" s="8">
        <f>[1]Data!Q2137</f>
        <v>0.19230769230769201</v>
      </c>
      <c r="R2137" s="8">
        <f>[1]Data!R2137</f>
        <v>0</v>
      </c>
      <c r="S2137" s="8">
        <f>[1]Data!S2137</f>
        <v>0</v>
      </c>
      <c r="T2137">
        <f t="shared" si="165"/>
        <v>2.34375E-2</v>
      </c>
      <c r="U2137">
        <f t="shared" si="166"/>
        <v>0</v>
      </c>
      <c r="V2137" s="4" t="str">
        <f t="shared" si="167"/>
        <v>15</v>
      </c>
      <c r="W2137" s="4" t="str">
        <f t="shared" si="168"/>
        <v>6</v>
      </c>
      <c r="X2137" s="4" t="str">
        <f t="shared" si="169"/>
        <v>15NON-HS6</v>
      </c>
      <c r="Y2137">
        <f>VLOOKUP(X2137,Sheet1!$J$5:$K$121,2,FALSE)</f>
        <v>0</v>
      </c>
    </row>
    <row r="2138" spans="1:25" x14ac:dyDescent="0.25">
      <c r="A2138" s="8">
        <f>[1]Data!A2138</f>
        <v>242200</v>
      </c>
      <c r="B2138" s="8">
        <f>[1]Data!B2138</f>
        <v>6</v>
      </c>
      <c r="C2138" s="8">
        <f>[1]Data!C2138</f>
        <v>15</v>
      </c>
      <c r="D2138" s="8">
        <f>[1]Data!D2138</f>
        <v>2</v>
      </c>
      <c r="E2138" s="8" t="str">
        <f>[1]Data!E2138</f>
        <v>NON-HS</v>
      </c>
      <c r="F2138" s="8" t="str">
        <f>[1]Data!F2138</f>
        <v>Watts</v>
      </c>
      <c r="G2138" s="8">
        <f>[1]Data!G2138</f>
        <v>0</v>
      </c>
      <c r="H2138" s="8">
        <f>[1]Data!H2138</f>
        <v>0</v>
      </c>
      <c r="I2138" s="8">
        <f>[1]Data!I2138</f>
        <v>9.7110000000000003</v>
      </c>
      <c r="J2138" s="8">
        <f>[1]Data!J2138</f>
        <v>5.4499639999999996</v>
      </c>
      <c r="K2138" s="8">
        <f>[1]Data!K2138</f>
        <v>9.4499639999999996</v>
      </c>
      <c r="L2138" s="8">
        <f>[1]Data!L2138</f>
        <v>0.26114362195691199</v>
      </c>
      <c r="M2138" s="8">
        <f>[1]Data!M2138</f>
        <v>9.7111076219569092</v>
      </c>
      <c r="N2138" s="8">
        <f>[1]Data!N2138</f>
        <v>2.34375E-2</v>
      </c>
      <c r="O2138" s="8">
        <f>[1]Data!O2138</f>
        <v>0</v>
      </c>
      <c r="P2138" s="8">
        <f>[1]Data!P2138</f>
        <v>3.90625E-2</v>
      </c>
      <c r="Q2138" s="8">
        <f>[1]Data!Q2138</f>
        <v>0.19230769230769201</v>
      </c>
      <c r="R2138" s="8">
        <f>[1]Data!R2138</f>
        <v>0</v>
      </c>
      <c r="S2138" s="8">
        <f>[1]Data!S2138</f>
        <v>0</v>
      </c>
      <c r="T2138">
        <f t="shared" si="165"/>
        <v>2.34375E-2</v>
      </c>
      <c r="U2138">
        <f t="shared" si="166"/>
        <v>0</v>
      </c>
      <c r="V2138" s="4" t="str">
        <f t="shared" si="167"/>
        <v>15</v>
      </c>
      <c r="W2138" s="4" t="str">
        <f t="shared" si="168"/>
        <v>6</v>
      </c>
      <c r="X2138" s="4" t="str">
        <f t="shared" si="169"/>
        <v>15NON-HS6</v>
      </c>
      <c r="Y2138">
        <f>VLOOKUP(X2138,Sheet1!$J$5:$K$121,2,FALSE)</f>
        <v>0</v>
      </c>
    </row>
    <row r="2139" spans="1:25" x14ac:dyDescent="0.25">
      <c r="A2139" s="8">
        <f>[1]Data!A2139</f>
        <v>242700</v>
      </c>
      <c r="B2139" s="8">
        <f>[1]Data!B2139</f>
        <v>6</v>
      </c>
      <c r="C2139" s="8">
        <f>[1]Data!C2139</f>
        <v>15</v>
      </c>
      <c r="D2139" s="8">
        <f>[1]Data!D2139</f>
        <v>2</v>
      </c>
      <c r="E2139" s="8" t="str">
        <f>[1]Data!E2139</f>
        <v>NON-HS</v>
      </c>
      <c r="F2139" s="8" t="str">
        <f>[1]Data!F2139</f>
        <v>Watts</v>
      </c>
      <c r="G2139" s="8">
        <f>[1]Data!G2139</f>
        <v>0</v>
      </c>
      <c r="H2139" s="8">
        <f>[1]Data!H2139</f>
        <v>0</v>
      </c>
      <c r="I2139" s="8">
        <f>[1]Data!I2139</f>
        <v>10.19</v>
      </c>
      <c r="J2139" s="8">
        <f>[1]Data!J2139</f>
        <v>3.9673993200000002</v>
      </c>
      <c r="K2139" s="8">
        <f>[1]Data!K2139</f>
        <v>9.9673993200000002</v>
      </c>
      <c r="L2139" s="8">
        <f>[1]Data!L2139</f>
        <v>0.22234520276481101</v>
      </c>
      <c r="M2139" s="8">
        <f>[1]Data!M2139</f>
        <v>10.1897445227648</v>
      </c>
      <c r="N2139" s="8">
        <f>[1]Data!N2139</f>
        <v>2.34375E-2</v>
      </c>
      <c r="O2139" s="8">
        <f>[1]Data!O2139</f>
        <v>0</v>
      </c>
      <c r="P2139" s="8">
        <f>[1]Data!P2139</f>
        <v>3.90625E-2</v>
      </c>
      <c r="Q2139" s="8">
        <f>[1]Data!Q2139</f>
        <v>0.19230769230769201</v>
      </c>
      <c r="R2139" s="8">
        <f>[1]Data!R2139</f>
        <v>0</v>
      </c>
      <c r="S2139" s="8">
        <f>[1]Data!S2139</f>
        <v>0</v>
      </c>
      <c r="T2139">
        <f t="shared" si="165"/>
        <v>2.34375E-2</v>
      </c>
      <c r="U2139">
        <f t="shared" si="166"/>
        <v>0</v>
      </c>
      <c r="V2139" s="4" t="str">
        <f t="shared" si="167"/>
        <v>15</v>
      </c>
      <c r="W2139" s="4" t="str">
        <f t="shared" si="168"/>
        <v>6</v>
      </c>
      <c r="X2139" s="4" t="str">
        <f t="shared" si="169"/>
        <v>15NON-HS6</v>
      </c>
      <c r="Y2139">
        <f>VLOOKUP(X2139,Sheet1!$J$5:$K$121,2,FALSE)</f>
        <v>0</v>
      </c>
    </row>
    <row r="2140" spans="1:25" x14ac:dyDescent="0.25">
      <c r="A2140" s="8">
        <f>[1]Data!A2140</f>
        <v>243000</v>
      </c>
      <c r="B2140" s="8">
        <f>[1]Data!B2140</f>
        <v>6</v>
      </c>
      <c r="C2140" s="8">
        <f>[1]Data!C2140</f>
        <v>15</v>
      </c>
      <c r="D2140" s="8">
        <f>[1]Data!D2140</f>
        <v>2</v>
      </c>
      <c r="E2140" s="8" t="str">
        <f>[1]Data!E2140</f>
        <v>NON-HS</v>
      </c>
      <c r="F2140" s="8" t="str">
        <f>[1]Data!F2140</f>
        <v>Watts</v>
      </c>
      <c r="G2140" s="8">
        <f>[1]Data!G2140</f>
        <v>0</v>
      </c>
      <c r="H2140" s="8">
        <f>[1]Data!H2140</f>
        <v>0</v>
      </c>
      <c r="I2140" s="8">
        <f>[1]Data!I2140</f>
        <v>22.343</v>
      </c>
      <c r="J2140" s="8">
        <f>[1]Data!J2140</f>
        <v>14.666319769999999</v>
      </c>
      <c r="K2140" s="8">
        <f>[1]Data!K2140</f>
        <v>21.666319770000001</v>
      </c>
      <c r="L2140" s="8">
        <f>[1]Data!L2140</f>
        <v>0.67619147502693</v>
      </c>
      <c r="M2140" s="8">
        <f>[1]Data!M2140</f>
        <v>22.342511245026898</v>
      </c>
      <c r="N2140" s="8">
        <f>[1]Data!N2140</f>
        <v>2.34375E-2</v>
      </c>
      <c r="O2140" s="8">
        <f>[1]Data!O2140</f>
        <v>0</v>
      </c>
      <c r="P2140" s="8">
        <f>[1]Data!P2140</f>
        <v>3.90625E-2</v>
      </c>
      <c r="Q2140" s="8">
        <f>[1]Data!Q2140</f>
        <v>0.19230769230769201</v>
      </c>
      <c r="R2140" s="8">
        <f>[1]Data!R2140</f>
        <v>0</v>
      </c>
      <c r="S2140" s="8">
        <f>[1]Data!S2140</f>
        <v>0</v>
      </c>
      <c r="T2140">
        <f t="shared" si="165"/>
        <v>2.34375E-2</v>
      </c>
      <c r="U2140">
        <f t="shared" si="166"/>
        <v>0</v>
      </c>
      <c r="V2140" s="4" t="str">
        <f t="shared" si="167"/>
        <v>15</v>
      </c>
      <c r="W2140" s="4" t="str">
        <f t="shared" si="168"/>
        <v>6</v>
      </c>
      <c r="X2140" s="4" t="str">
        <f t="shared" si="169"/>
        <v>15NON-HS6</v>
      </c>
      <c r="Y2140">
        <f>VLOOKUP(X2140,Sheet1!$J$5:$K$121,2,FALSE)</f>
        <v>0</v>
      </c>
    </row>
    <row r="2141" spans="1:25" x14ac:dyDescent="0.25">
      <c r="A2141" s="8">
        <f>[1]Data!A2141</f>
        <v>297602</v>
      </c>
      <c r="B2141" s="8">
        <f>[1]Data!B2141</f>
        <v>8</v>
      </c>
      <c r="C2141" s="8">
        <f>[1]Data!C2141</f>
        <v>15</v>
      </c>
      <c r="D2141" s="8">
        <f>[1]Data!D2141</f>
        <v>4</v>
      </c>
      <c r="E2141" s="8" t="str">
        <f>[1]Data!E2141</f>
        <v>NON-HS</v>
      </c>
      <c r="F2141" s="8" t="str">
        <f>[1]Data!F2141</f>
        <v>San Pedro</v>
      </c>
      <c r="G2141" s="8">
        <f>[1]Data!G2141</f>
        <v>0</v>
      </c>
      <c r="H2141" s="8">
        <f>[1]Data!H2141</f>
        <v>0</v>
      </c>
      <c r="I2141" s="8">
        <f>[1]Data!I2141</f>
        <v>1.8080000000000001</v>
      </c>
      <c r="J2141" s="8">
        <f>[1]Data!J2141</f>
        <v>1.73313217</v>
      </c>
      <c r="K2141" s="8">
        <f>[1]Data!K2141</f>
        <v>1.73313217</v>
      </c>
      <c r="L2141" s="8">
        <f>[1]Data!L2141</f>
        <v>7.4985510287253102E-2</v>
      </c>
      <c r="M2141" s="8">
        <f>[1]Data!M2141</f>
        <v>1.8081176802872501</v>
      </c>
      <c r="N2141" s="8">
        <f>[1]Data!N2141</f>
        <v>3.3333333333333298E-2</v>
      </c>
      <c r="O2141" s="8">
        <f>[1]Data!O2141</f>
        <v>0</v>
      </c>
      <c r="P2141" s="8">
        <f>[1]Data!P2141</f>
        <v>0.17499999999999999</v>
      </c>
      <c r="Q2141" s="8">
        <f>[1]Data!Q2141</f>
        <v>0.80769230769230804</v>
      </c>
      <c r="R2141" s="8">
        <f>[1]Data!R2141</f>
        <v>4.7619047619047603E-2</v>
      </c>
      <c r="S2141" s="8">
        <f>[1]Data!S2141</f>
        <v>0</v>
      </c>
      <c r="T2141">
        <f t="shared" si="165"/>
        <v>7.9365079365079305E-2</v>
      </c>
      <c r="U2141">
        <f t="shared" si="166"/>
        <v>0</v>
      </c>
      <c r="V2141" s="4" t="str">
        <f t="shared" si="167"/>
        <v>15</v>
      </c>
      <c r="W2141" s="4" t="str">
        <f t="shared" si="168"/>
        <v>8</v>
      </c>
      <c r="X2141" s="4" t="str">
        <f t="shared" si="169"/>
        <v>15NON-HS8</v>
      </c>
      <c r="Y2141">
        <f>VLOOKUP(X2141,Sheet1!$J$5:$K$121,2,FALSE)</f>
        <v>4.7619047619047603E-2</v>
      </c>
    </row>
    <row r="2142" spans="1:25" x14ac:dyDescent="0.25">
      <c r="A2142" s="8">
        <f>[1]Data!A2142</f>
        <v>297202</v>
      </c>
      <c r="B2142" s="8">
        <f>[1]Data!B2142</f>
        <v>8</v>
      </c>
      <c r="C2142" s="8">
        <f>[1]Data!C2142</f>
        <v>15</v>
      </c>
      <c r="D2142" s="8">
        <f>[1]Data!D2142</f>
        <v>4</v>
      </c>
      <c r="E2142" s="8" t="str">
        <f>[1]Data!E2142</f>
        <v>NON-HS</v>
      </c>
      <c r="F2142" s="8" t="str">
        <f>[1]Data!F2142</f>
        <v>San Pedro</v>
      </c>
      <c r="G2142" s="8">
        <f>[1]Data!G2142</f>
        <v>0</v>
      </c>
      <c r="H2142" s="8">
        <f>[1]Data!H2142</f>
        <v>0</v>
      </c>
      <c r="I2142" s="8">
        <f>[1]Data!I2142</f>
        <v>0</v>
      </c>
      <c r="J2142" s="8">
        <f>[1]Data!J2142</f>
        <v>0</v>
      </c>
      <c r="K2142" s="8">
        <f>[1]Data!K2142</f>
        <v>0</v>
      </c>
      <c r="L2142" s="8">
        <f>[1]Data!L2142</f>
        <v>0</v>
      </c>
      <c r="M2142" s="8">
        <f>[1]Data!M2142</f>
        <v>0</v>
      </c>
      <c r="N2142" s="8">
        <f>[1]Data!N2142</f>
        <v>3.3333333333333298E-2</v>
      </c>
      <c r="O2142" s="8">
        <f>[1]Data!O2142</f>
        <v>0</v>
      </c>
      <c r="P2142" s="8">
        <f>[1]Data!P2142</f>
        <v>0.17499999999999999</v>
      </c>
      <c r="Q2142" s="8">
        <f>[1]Data!Q2142</f>
        <v>0.80769230769230804</v>
      </c>
      <c r="R2142" s="8">
        <f>[1]Data!R2142</f>
        <v>4.7619047619047603E-2</v>
      </c>
      <c r="S2142" s="8">
        <f>[1]Data!S2142</f>
        <v>0</v>
      </c>
      <c r="T2142">
        <f t="shared" si="165"/>
        <v>7.9365079365079305E-2</v>
      </c>
      <c r="U2142">
        <f t="shared" si="166"/>
        <v>0</v>
      </c>
      <c r="V2142" s="4" t="str">
        <f t="shared" si="167"/>
        <v>15</v>
      </c>
      <c r="W2142" s="4" t="str">
        <f t="shared" si="168"/>
        <v>8</v>
      </c>
      <c r="X2142" s="4" t="str">
        <f t="shared" si="169"/>
        <v>15NON-HS8</v>
      </c>
      <c r="Y2142">
        <f>VLOOKUP(X2142,Sheet1!$J$5:$K$121,2,FALSE)</f>
        <v>4.7619047619047603E-2</v>
      </c>
    </row>
    <row r="2143" spans="1:25" x14ac:dyDescent="0.25">
      <c r="A2143" s="8">
        <f>[1]Data!A2143</f>
        <v>291110</v>
      </c>
      <c r="B2143" s="8">
        <f>[1]Data!B2143</f>
        <v>8</v>
      </c>
      <c r="C2143" s="8">
        <f>[1]Data!C2143</f>
        <v>15</v>
      </c>
      <c r="D2143" s="8">
        <f>[1]Data!D2143</f>
        <v>2</v>
      </c>
      <c r="E2143" s="8" t="str">
        <f>[1]Data!E2143</f>
        <v>NON-HS</v>
      </c>
      <c r="F2143" s="8" t="str">
        <f>[1]Data!F2143</f>
        <v>Harbor Gateway</v>
      </c>
      <c r="G2143" s="8">
        <f>[1]Data!G2143</f>
        <v>0</v>
      </c>
      <c r="H2143" s="8">
        <f>[1]Data!H2143</f>
        <v>0</v>
      </c>
      <c r="I2143" s="8">
        <f>[1]Data!I2143</f>
        <v>5.4420000000000002</v>
      </c>
      <c r="J2143" s="8">
        <f>[1]Data!J2143</f>
        <v>5.2489564499999997</v>
      </c>
      <c r="K2143" s="8">
        <f>[1]Data!K2143</f>
        <v>5.2489564499999997</v>
      </c>
      <c r="L2143" s="8">
        <f>[1]Data!L2143</f>
        <v>0.192702650305207</v>
      </c>
      <c r="M2143" s="8">
        <f>[1]Data!M2143</f>
        <v>5.4416591003052099</v>
      </c>
      <c r="N2143" s="8">
        <f>[1]Data!N2143</f>
        <v>3.3333333333333298E-2</v>
      </c>
      <c r="O2143" s="8">
        <f>[1]Data!O2143</f>
        <v>0</v>
      </c>
      <c r="P2143" s="8">
        <f>[1]Data!P2143</f>
        <v>0.17499999999999999</v>
      </c>
      <c r="Q2143" s="8">
        <f>[1]Data!Q2143</f>
        <v>0.80769230769230804</v>
      </c>
      <c r="R2143" s="8">
        <f>[1]Data!R2143</f>
        <v>4.7619047619047603E-2</v>
      </c>
      <c r="S2143" s="8">
        <f>[1]Data!S2143</f>
        <v>0</v>
      </c>
      <c r="T2143">
        <f t="shared" si="165"/>
        <v>7.9365079365079305E-2</v>
      </c>
      <c r="U2143">
        <f t="shared" si="166"/>
        <v>0</v>
      </c>
      <c r="V2143" s="4" t="str">
        <f t="shared" si="167"/>
        <v>15</v>
      </c>
      <c r="W2143" s="4" t="str">
        <f t="shared" si="168"/>
        <v>8</v>
      </c>
      <c r="X2143" s="4" t="str">
        <f t="shared" si="169"/>
        <v>15NON-HS8</v>
      </c>
      <c r="Y2143">
        <f>VLOOKUP(X2143,Sheet1!$J$5:$K$121,2,FALSE)</f>
        <v>4.7619047619047603E-2</v>
      </c>
    </row>
    <row r="2144" spans="1:25" x14ac:dyDescent="0.25">
      <c r="A2144" s="8">
        <f>[1]Data!A2144</f>
        <v>291210</v>
      </c>
      <c r="B2144" s="8">
        <f>[1]Data!B2144</f>
        <v>8</v>
      </c>
      <c r="C2144" s="8">
        <f>[1]Data!C2144</f>
        <v>15</v>
      </c>
      <c r="D2144" s="8">
        <f>[1]Data!D2144</f>
        <v>2</v>
      </c>
      <c r="E2144" s="8" t="str">
        <f>[1]Data!E2144</f>
        <v>NON-HS</v>
      </c>
      <c r="F2144" s="8" t="str">
        <f>[1]Data!F2144</f>
        <v>Harbor Gateway</v>
      </c>
      <c r="G2144" s="8">
        <f>[1]Data!G2144</f>
        <v>0</v>
      </c>
      <c r="H2144" s="8">
        <f>[1]Data!H2144</f>
        <v>0</v>
      </c>
      <c r="I2144" s="8">
        <f>[1]Data!I2144</f>
        <v>7.9459999999999997</v>
      </c>
      <c r="J2144" s="8">
        <f>[1]Data!J2144</f>
        <v>5.7934595399999997</v>
      </c>
      <c r="K2144" s="8">
        <f>[1]Data!K2144</f>
        <v>7.7934595399999997</v>
      </c>
      <c r="L2144" s="8">
        <f>[1]Data!L2144</f>
        <v>0.152423245547576</v>
      </c>
      <c r="M2144" s="8">
        <f>[1]Data!M2144</f>
        <v>7.94588278554758</v>
      </c>
      <c r="N2144" s="8">
        <f>[1]Data!N2144</f>
        <v>3.3333333333333298E-2</v>
      </c>
      <c r="O2144" s="8">
        <f>[1]Data!O2144</f>
        <v>0</v>
      </c>
      <c r="P2144" s="8">
        <f>[1]Data!P2144</f>
        <v>0.17499999999999999</v>
      </c>
      <c r="Q2144" s="8">
        <f>[1]Data!Q2144</f>
        <v>0.80769230769230804</v>
      </c>
      <c r="R2144" s="8">
        <f>[1]Data!R2144</f>
        <v>4.7619047619047603E-2</v>
      </c>
      <c r="S2144" s="8">
        <f>[1]Data!S2144</f>
        <v>0</v>
      </c>
      <c r="T2144">
        <f t="shared" si="165"/>
        <v>7.9365079365079305E-2</v>
      </c>
      <c r="U2144">
        <f t="shared" si="166"/>
        <v>0</v>
      </c>
      <c r="V2144" s="4" t="str">
        <f t="shared" si="167"/>
        <v>15</v>
      </c>
      <c r="W2144" s="4" t="str">
        <f t="shared" si="168"/>
        <v>8</v>
      </c>
      <c r="X2144" s="4" t="str">
        <f t="shared" si="169"/>
        <v>15NON-HS8</v>
      </c>
      <c r="Y2144">
        <f>VLOOKUP(X2144,Sheet1!$J$5:$K$121,2,FALSE)</f>
        <v>4.7619047619047603E-2</v>
      </c>
    </row>
    <row r="2145" spans="1:25" x14ac:dyDescent="0.25">
      <c r="A2145" s="8">
        <f>[1]Data!A2145</f>
        <v>293201</v>
      </c>
      <c r="B2145" s="8">
        <f>[1]Data!B2145</f>
        <v>8</v>
      </c>
      <c r="C2145" s="8">
        <f>[1]Data!C2145</f>
        <v>15</v>
      </c>
      <c r="D2145" s="8">
        <f>[1]Data!D2145</f>
        <v>4</v>
      </c>
      <c r="E2145" s="8" t="str">
        <f>[1]Data!E2145</f>
        <v>NON-HS</v>
      </c>
      <c r="F2145" s="8" t="str">
        <f>[1]Data!F2145</f>
        <v>Harbor Gateway</v>
      </c>
      <c r="G2145" s="8">
        <f>[1]Data!G2145</f>
        <v>0</v>
      </c>
      <c r="H2145" s="8">
        <f>[1]Data!H2145</f>
        <v>0</v>
      </c>
      <c r="I2145" s="8">
        <f>[1]Data!I2145</f>
        <v>10.462999999999999</v>
      </c>
      <c r="J2145" s="8">
        <f>[1]Data!J2145</f>
        <v>9.1375360499999996</v>
      </c>
      <c r="K2145" s="8">
        <f>[1]Data!K2145</f>
        <v>10.13753605</v>
      </c>
      <c r="L2145" s="8">
        <f>[1]Data!L2145</f>
        <v>0.32450057377019698</v>
      </c>
      <c r="M2145" s="8">
        <f>[1]Data!M2145</f>
        <v>10.462036623770199</v>
      </c>
      <c r="N2145" s="8">
        <f>[1]Data!N2145</f>
        <v>3.3333333333333298E-2</v>
      </c>
      <c r="O2145" s="8">
        <f>[1]Data!O2145</f>
        <v>0</v>
      </c>
      <c r="P2145" s="8">
        <f>[1]Data!P2145</f>
        <v>0.17499999999999999</v>
      </c>
      <c r="Q2145" s="8">
        <f>[1]Data!Q2145</f>
        <v>0.80769230769230804</v>
      </c>
      <c r="R2145" s="8">
        <f>[1]Data!R2145</f>
        <v>4.7619047619047603E-2</v>
      </c>
      <c r="S2145" s="8">
        <f>[1]Data!S2145</f>
        <v>0</v>
      </c>
      <c r="T2145">
        <f t="shared" si="165"/>
        <v>7.9365079365079305E-2</v>
      </c>
      <c r="U2145">
        <f t="shared" si="166"/>
        <v>0</v>
      </c>
      <c r="V2145" s="4" t="str">
        <f t="shared" si="167"/>
        <v>15</v>
      </c>
      <c r="W2145" s="4" t="str">
        <f t="shared" si="168"/>
        <v>8</v>
      </c>
      <c r="X2145" s="4" t="str">
        <f t="shared" si="169"/>
        <v>15NON-HS8</v>
      </c>
      <c r="Y2145">
        <f>VLOOKUP(X2145,Sheet1!$J$5:$K$121,2,FALSE)</f>
        <v>4.7619047619047603E-2</v>
      </c>
    </row>
    <row r="2146" spans="1:25" x14ac:dyDescent="0.25">
      <c r="A2146" s="8">
        <f>[1]Data!A2146</f>
        <v>293301</v>
      </c>
      <c r="B2146" s="8">
        <f>[1]Data!B2146</f>
        <v>8</v>
      </c>
      <c r="C2146" s="8">
        <f>[1]Data!C2146</f>
        <v>15</v>
      </c>
      <c r="D2146" s="8">
        <f>[1]Data!D2146</f>
        <v>4</v>
      </c>
      <c r="E2146" s="8" t="str">
        <f>[1]Data!E2146</f>
        <v>NON-HS</v>
      </c>
      <c r="F2146" s="8" t="str">
        <f>[1]Data!F2146</f>
        <v>Harbor City</v>
      </c>
      <c r="G2146" s="8">
        <f>[1]Data!G2146</f>
        <v>0</v>
      </c>
      <c r="H2146" s="8">
        <f>[1]Data!H2146</f>
        <v>0</v>
      </c>
      <c r="I2146" s="8">
        <f>[1]Data!I2146</f>
        <v>0</v>
      </c>
      <c r="J2146" s="8">
        <f>[1]Data!J2146</f>
        <v>0</v>
      </c>
      <c r="K2146" s="8">
        <f>[1]Data!K2146</f>
        <v>0</v>
      </c>
      <c r="L2146" s="8">
        <f>[1]Data!L2146</f>
        <v>0</v>
      </c>
      <c r="M2146" s="8">
        <f>[1]Data!M2146</f>
        <v>0</v>
      </c>
      <c r="N2146" s="8">
        <f>[1]Data!N2146</f>
        <v>3.3333333333333298E-2</v>
      </c>
      <c r="O2146" s="8">
        <f>[1]Data!O2146</f>
        <v>0</v>
      </c>
      <c r="P2146" s="8">
        <f>[1]Data!P2146</f>
        <v>0.17499999999999999</v>
      </c>
      <c r="Q2146" s="8">
        <f>[1]Data!Q2146</f>
        <v>0.80769230769230804</v>
      </c>
      <c r="R2146" s="8">
        <f>[1]Data!R2146</f>
        <v>4.7619047619047603E-2</v>
      </c>
      <c r="S2146" s="8">
        <f>[1]Data!S2146</f>
        <v>0</v>
      </c>
      <c r="T2146">
        <f t="shared" si="165"/>
        <v>7.9365079365079305E-2</v>
      </c>
      <c r="U2146">
        <f t="shared" si="166"/>
        <v>0</v>
      </c>
      <c r="V2146" s="4" t="str">
        <f t="shared" si="167"/>
        <v>15</v>
      </c>
      <c r="W2146" s="4" t="str">
        <f t="shared" si="168"/>
        <v>8</v>
      </c>
      <c r="X2146" s="4" t="str">
        <f t="shared" si="169"/>
        <v>15NON-HS8</v>
      </c>
      <c r="Y2146">
        <f>VLOOKUP(X2146,Sheet1!$J$5:$K$121,2,FALSE)</f>
        <v>4.7619047619047603E-2</v>
      </c>
    </row>
    <row r="2147" spans="1:25" x14ac:dyDescent="0.25">
      <c r="A2147" s="8">
        <f>[1]Data!A2147</f>
        <v>296401</v>
      </c>
      <c r="B2147" s="8">
        <f>[1]Data!B2147</f>
        <v>8</v>
      </c>
      <c r="C2147" s="8">
        <f>[1]Data!C2147</f>
        <v>15</v>
      </c>
      <c r="D2147" s="8">
        <f>[1]Data!D2147</f>
        <v>4</v>
      </c>
      <c r="E2147" s="8" t="str">
        <f>[1]Data!E2147</f>
        <v>NON-HS</v>
      </c>
      <c r="F2147" s="8" t="str">
        <f>[1]Data!F2147</f>
        <v>San Pedro</v>
      </c>
      <c r="G2147" s="8">
        <f>[1]Data!G2147</f>
        <v>0</v>
      </c>
      <c r="H2147" s="8">
        <f>[1]Data!H2147</f>
        <v>0</v>
      </c>
      <c r="I2147" s="8">
        <f>[1]Data!I2147</f>
        <v>1.8080000000000001</v>
      </c>
      <c r="J2147" s="8">
        <f>[1]Data!J2147</f>
        <v>1.73313217</v>
      </c>
      <c r="K2147" s="8">
        <f>[1]Data!K2147</f>
        <v>1.73313217</v>
      </c>
      <c r="L2147" s="8">
        <f>[1]Data!L2147</f>
        <v>7.4985510287253102E-2</v>
      </c>
      <c r="M2147" s="8">
        <f>[1]Data!M2147</f>
        <v>1.8081176802872501</v>
      </c>
      <c r="N2147" s="8">
        <f>[1]Data!N2147</f>
        <v>3.3333333333333298E-2</v>
      </c>
      <c r="O2147" s="8">
        <f>[1]Data!O2147</f>
        <v>0</v>
      </c>
      <c r="P2147" s="8">
        <f>[1]Data!P2147</f>
        <v>0.17499999999999999</v>
      </c>
      <c r="Q2147" s="8">
        <f>[1]Data!Q2147</f>
        <v>0.80769230769230804</v>
      </c>
      <c r="R2147" s="8">
        <f>[1]Data!R2147</f>
        <v>4.7619047619047603E-2</v>
      </c>
      <c r="S2147" s="8">
        <f>[1]Data!S2147</f>
        <v>0</v>
      </c>
      <c r="T2147">
        <f t="shared" si="165"/>
        <v>7.9365079365079305E-2</v>
      </c>
      <c r="U2147">
        <f t="shared" si="166"/>
        <v>0</v>
      </c>
      <c r="V2147" s="4" t="str">
        <f t="shared" si="167"/>
        <v>15</v>
      </c>
      <c r="W2147" s="4" t="str">
        <f t="shared" si="168"/>
        <v>8</v>
      </c>
      <c r="X2147" s="4" t="str">
        <f t="shared" si="169"/>
        <v>15NON-HS8</v>
      </c>
      <c r="Y2147">
        <f>VLOOKUP(X2147,Sheet1!$J$5:$K$121,2,FALSE)</f>
        <v>4.7619047619047603E-2</v>
      </c>
    </row>
    <row r="2148" spans="1:25" x14ac:dyDescent="0.25">
      <c r="A2148" s="8">
        <f>[1]Data!A2148</f>
        <v>293302</v>
      </c>
      <c r="B2148" s="8">
        <f>[1]Data!B2148</f>
        <v>8</v>
      </c>
      <c r="C2148" s="8">
        <f>[1]Data!C2148</f>
        <v>15</v>
      </c>
      <c r="D2148" s="8">
        <f>[1]Data!D2148</f>
        <v>4</v>
      </c>
      <c r="E2148" s="8" t="str">
        <f>[1]Data!E2148</f>
        <v>NON-HS</v>
      </c>
      <c r="F2148" s="8" t="str">
        <f>[1]Data!F2148</f>
        <v>Harbor City</v>
      </c>
      <c r="G2148" s="8">
        <f>[1]Data!G2148</f>
        <v>0</v>
      </c>
      <c r="H2148" s="8">
        <f>[1]Data!H2148</f>
        <v>0</v>
      </c>
      <c r="I2148" s="8">
        <f>[1]Data!I2148</f>
        <v>0</v>
      </c>
      <c r="J2148" s="8">
        <f>[1]Data!J2148</f>
        <v>0</v>
      </c>
      <c r="K2148" s="8">
        <f>[1]Data!K2148</f>
        <v>0</v>
      </c>
      <c r="L2148" s="8">
        <f>[1]Data!L2148</f>
        <v>0</v>
      </c>
      <c r="M2148" s="8">
        <f>[1]Data!M2148</f>
        <v>0</v>
      </c>
      <c r="N2148" s="8">
        <f>[1]Data!N2148</f>
        <v>3.3333333333333298E-2</v>
      </c>
      <c r="O2148" s="8">
        <f>[1]Data!O2148</f>
        <v>0</v>
      </c>
      <c r="P2148" s="8">
        <f>[1]Data!P2148</f>
        <v>0.17499999999999999</v>
      </c>
      <c r="Q2148" s="8">
        <f>[1]Data!Q2148</f>
        <v>0.80769230769230804</v>
      </c>
      <c r="R2148" s="8">
        <f>[1]Data!R2148</f>
        <v>4.7619047619047603E-2</v>
      </c>
      <c r="S2148" s="8">
        <f>[1]Data!S2148</f>
        <v>0</v>
      </c>
      <c r="T2148">
        <f t="shared" si="165"/>
        <v>7.9365079365079305E-2</v>
      </c>
      <c r="U2148">
        <f t="shared" si="166"/>
        <v>0</v>
      </c>
      <c r="V2148" s="4" t="str">
        <f t="shared" si="167"/>
        <v>15</v>
      </c>
      <c r="W2148" s="4" t="str">
        <f t="shared" si="168"/>
        <v>8</v>
      </c>
      <c r="X2148" s="4" t="str">
        <f t="shared" si="169"/>
        <v>15NON-HS8</v>
      </c>
      <c r="Y2148">
        <f>VLOOKUP(X2148,Sheet1!$J$5:$K$121,2,FALSE)</f>
        <v>4.7619047619047603E-2</v>
      </c>
    </row>
    <row r="2149" spans="1:25" x14ac:dyDescent="0.25">
      <c r="A2149" s="8">
        <f>[1]Data!A2149</f>
        <v>293306</v>
      </c>
      <c r="B2149" s="8">
        <f>[1]Data!B2149</f>
        <v>8</v>
      </c>
      <c r="C2149" s="8">
        <f>[1]Data!C2149</f>
        <v>15</v>
      </c>
      <c r="D2149" s="8">
        <f>[1]Data!D2149</f>
        <v>4</v>
      </c>
      <c r="E2149" s="8" t="str">
        <f>[1]Data!E2149</f>
        <v>NON-HS</v>
      </c>
      <c r="F2149" s="8" t="str">
        <f>[1]Data!F2149</f>
        <v>Harbor City</v>
      </c>
      <c r="G2149" s="8">
        <f>[1]Data!G2149</f>
        <v>0</v>
      </c>
      <c r="H2149" s="8">
        <f>[1]Data!H2149</f>
        <v>0</v>
      </c>
      <c r="I2149" s="8">
        <f>[1]Data!I2149</f>
        <v>0</v>
      </c>
      <c r="J2149" s="8">
        <f>[1]Data!J2149</f>
        <v>0</v>
      </c>
      <c r="K2149" s="8">
        <f>[1]Data!K2149</f>
        <v>0</v>
      </c>
      <c r="L2149" s="8">
        <f>[1]Data!L2149</f>
        <v>0</v>
      </c>
      <c r="M2149" s="8">
        <f>[1]Data!M2149</f>
        <v>0</v>
      </c>
      <c r="N2149" s="8">
        <f>[1]Data!N2149</f>
        <v>3.3333333333333298E-2</v>
      </c>
      <c r="O2149" s="8">
        <f>[1]Data!O2149</f>
        <v>0</v>
      </c>
      <c r="P2149" s="8">
        <f>[1]Data!P2149</f>
        <v>0.17499999999999999</v>
      </c>
      <c r="Q2149" s="8">
        <f>[1]Data!Q2149</f>
        <v>0.80769230769230804</v>
      </c>
      <c r="R2149" s="8">
        <f>[1]Data!R2149</f>
        <v>4.7619047619047603E-2</v>
      </c>
      <c r="S2149" s="8">
        <f>[1]Data!S2149</f>
        <v>0</v>
      </c>
      <c r="T2149">
        <f t="shared" si="165"/>
        <v>7.9365079365079305E-2</v>
      </c>
      <c r="U2149">
        <f t="shared" si="166"/>
        <v>0</v>
      </c>
      <c r="V2149" s="4" t="str">
        <f t="shared" si="167"/>
        <v>15</v>
      </c>
      <c r="W2149" s="4" t="str">
        <f t="shared" si="168"/>
        <v>8</v>
      </c>
      <c r="X2149" s="4" t="str">
        <f t="shared" si="169"/>
        <v>15NON-HS8</v>
      </c>
      <c r="Y2149">
        <f>VLOOKUP(X2149,Sheet1!$J$5:$K$121,2,FALSE)</f>
        <v>4.7619047619047603E-2</v>
      </c>
    </row>
    <row r="2150" spans="1:25" x14ac:dyDescent="0.25">
      <c r="A2150" s="8">
        <f>[1]Data!A2150</f>
        <v>293307</v>
      </c>
      <c r="B2150" s="8">
        <f>[1]Data!B2150</f>
        <v>8</v>
      </c>
      <c r="C2150" s="8">
        <f>[1]Data!C2150</f>
        <v>15</v>
      </c>
      <c r="D2150" s="8">
        <f>[1]Data!D2150</f>
        <v>4</v>
      </c>
      <c r="E2150" s="8" t="str">
        <f>[1]Data!E2150</f>
        <v>NON-HS</v>
      </c>
      <c r="F2150" s="8" t="str">
        <f>[1]Data!F2150</f>
        <v>Harbor City</v>
      </c>
      <c r="G2150" s="8">
        <f>[1]Data!G2150</f>
        <v>0</v>
      </c>
      <c r="H2150" s="8">
        <f>[1]Data!H2150</f>
        <v>0</v>
      </c>
      <c r="I2150" s="8">
        <f>[1]Data!I2150</f>
        <v>10.952999999999999</v>
      </c>
      <c r="J2150" s="8">
        <f>[1]Data!J2150</f>
        <v>8.6633802400000004</v>
      </c>
      <c r="K2150" s="8">
        <f>[1]Data!K2150</f>
        <v>10.66338024</v>
      </c>
      <c r="L2150" s="8">
        <f>[1]Data!L2150</f>
        <v>0.28918009235188502</v>
      </c>
      <c r="M2150" s="8">
        <f>[1]Data!M2150</f>
        <v>10.952560332351901</v>
      </c>
      <c r="N2150" s="8">
        <f>[1]Data!N2150</f>
        <v>3.3333333333333298E-2</v>
      </c>
      <c r="O2150" s="8">
        <f>[1]Data!O2150</f>
        <v>0</v>
      </c>
      <c r="P2150" s="8">
        <f>[1]Data!P2150</f>
        <v>0.17499999999999999</v>
      </c>
      <c r="Q2150" s="8">
        <f>[1]Data!Q2150</f>
        <v>0.80769230769230804</v>
      </c>
      <c r="R2150" s="8">
        <f>[1]Data!R2150</f>
        <v>4.7619047619047603E-2</v>
      </c>
      <c r="S2150" s="8">
        <f>[1]Data!S2150</f>
        <v>0</v>
      </c>
      <c r="T2150">
        <f t="shared" si="165"/>
        <v>7.9365079365079305E-2</v>
      </c>
      <c r="U2150">
        <f t="shared" si="166"/>
        <v>0</v>
      </c>
      <c r="V2150" s="4" t="str">
        <f t="shared" si="167"/>
        <v>15</v>
      </c>
      <c r="W2150" s="4" t="str">
        <f t="shared" si="168"/>
        <v>8</v>
      </c>
      <c r="X2150" s="4" t="str">
        <f t="shared" si="169"/>
        <v>15NON-HS8</v>
      </c>
      <c r="Y2150">
        <f>VLOOKUP(X2150,Sheet1!$J$5:$K$121,2,FALSE)</f>
        <v>4.7619047619047603E-2</v>
      </c>
    </row>
    <row r="2151" spans="1:25" x14ac:dyDescent="0.25">
      <c r="A2151" s="8">
        <f>[1]Data!A2151</f>
        <v>294110</v>
      </c>
      <c r="B2151" s="8">
        <f>[1]Data!B2151</f>
        <v>8</v>
      </c>
      <c r="C2151" s="8">
        <f>[1]Data!C2151</f>
        <v>15</v>
      </c>
      <c r="D2151" s="8">
        <f>[1]Data!D2151</f>
        <v>4</v>
      </c>
      <c r="E2151" s="8" t="str">
        <f>[1]Data!E2151</f>
        <v>NON-HS</v>
      </c>
      <c r="F2151" s="8" t="str">
        <f>[1]Data!F2151</f>
        <v>Wilmington</v>
      </c>
      <c r="G2151" s="8">
        <f>[1]Data!G2151</f>
        <v>0</v>
      </c>
      <c r="H2151" s="8">
        <f>[1]Data!H2151</f>
        <v>0</v>
      </c>
      <c r="I2151" s="8">
        <f>[1]Data!I2151</f>
        <v>1</v>
      </c>
      <c r="J2151" s="8">
        <f>[1]Data!J2151</f>
        <v>0</v>
      </c>
      <c r="K2151" s="8">
        <f>[1]Data!K2151</f>
        <v>1</v>
      </c>
      <c r="L2151" s="8">
        <f>[1]Data!L2151</f>
        <v>0</v>
      </c>
      <c r="M2151" s="8">
        <f>[1]Data!M2151</f>
        <v>1</v>
      </c>
      <c r="N2151" s="8">
        <f>[1]Data!N2151</f>
        <v>3.3333333333333298E-2</v>
      </c>
      <c r="O2151" s="8">
        <f>[1]Data!O2151</f>
        <v>0</v>
      </c>
      <c r="P2151" s="8">
        <f>[1]Data!P2151</f>
        <v>0.17499999999999999</v>
      </c>
      <c r="Q2151" s="8">
        <f>[1]Data!Q2151</f>
        <v>0.80769230769230804</v>
      </c>
      <c r="R2151" s="8">
        <f>[1]Data!R2151</f>
        <v>4.7619047619047603E-2</v>
      </c>
      <c r="S2151" s="8">
        <f>[1]Data!S2151</f>
        <v>0</v>
      </c>
      <c r="T2151">
        <f t="shared" si="165"/>
        <v>7.9365079365079305E-2</v>
      </c>
      <c r="U2151">
        <f t="shared" si="166"/>
        <v>0</v>
      </c>
      <c r="V2151" s="4" t="str">
        <f t="shared" si="167"/>
        <v>15</v>
      </c>
      <c r="W2151" s="4" t="str">
        <f t="shared" si="168"/>
        <v>8</v>
      </c>
      <c r="X2151" s="4" t="str">
        <f t="shared" si="169"/>
        <v>15NON-HS8</v>
      </c>
      <c r="Y2151">
        <f>VLOOKUP(X2151,Sheet1!$J$5:$K$121,2,FALSE)</f>
        <v>4.7619047619047603E-2</v>
      </c>
    </row>
    <row r="2152" spans="1:25" x14ac:dyDescent="0.25">
      <c r="A2152" s="8">
        <f>[1]Data!A2152</f>
        <v>294610</v>
      </c>
      <c r="B2152" s="8">
        <f>[1]Data!B2152</f>
        <v>8</v>
      </c>
      <c r="C2152" s="8">
        <f>[1]Data!C2152</f>
        <v>15</v>
      </c>
      <c r="D2152" s="8">
        <f>[1]Data!D2152</f>
        <v>4</v>
      </c>
      <c r="E2152" s="8" t="str">
        <f>[1]Data!E2152</f>
        <v>NON-HS</v>
      </c>
      <c r="F2152" s="8" t="str">
        <f>[1]Data!F2152</f>
        <v>Wilmington</v>
      </c>
      <c r="G2152" s="8">
        <f>[1]Data!G2152</f>
        <v>0</v>
      </c>
      <c r="H2152" s="8">
        <f>[1]Data!H2152</f>
        <v>0</v>
      </c>
      <c r="I2152" s="8">
        <f>[1]Data!I2152</f>
        <v>8.9979999999999993</v>
      </c>
      <c r="J2152" s="8">
        <f>[1]Data!J2152</f>
        <v>5.7005314900000004</v>
      </c>
      <c r="K2152" s="8">
        <f>[1]Data!K2152</f>
        <v>8.7005314899999995</v>
      </c>
      <c r="L2152" s="8">
        <f>[1]Data!L2152</f>
        <v>0.29733071305206499</v>
      </c>
      <c r="M2152" s="8">
        <f>[1]Data!M2152</f>
        <v>8.9978622030520601</v>
      </c>
      <c r="N2152" s="8">
        <f>[1]Data!N2152</f>
        <v>3.3333333333333298E-2</v>
      </c>
      <c r="O2152" s="8">
        <f>[1]Data!O2152</f>
        <v>0</v>
      </c>
      <c r="P2152" s="8">
        <f>[1]Data!P2152</f>
        <v>0.17499999999999999</v>
      </c>
      <c r="Q2152" s="8">
        <f>[1]Data!Q2152</f>
        <v>0.80769230769230804</v>
      </c>
      <c r="R2152" s="8">
        <f>[1]Data!R2152</f>
        <v>4.7619047619047603E-2</v>
      </c>
      <c r="S2152" s="8">
        <f>[1]Data!S2152</f>
        <v>0</v>
      </c>
      <c r="T2152">
        <f t="shared" si="165"/>
        <v>7.9365079365079305E-2</v>
      </c>
      <c r="U2152">
        <f t="shared" si="166"/>
        <v>0</v>
      </c>
      <c r="V2152" s="4" t="str">
        <f t="shared" si="167"/>
        <v>15</v>
      </c>
      <c r="W2152" s="4" t="str">
        <f t="shared" si="168"/>
        <v>8</v>
      </c>
      <c r="X2152" s="4" t="str">
        <f t="shared" si="169"/>
        <v>15NON-HS8</v>
      </c>
      <c r="Y2152">
        <f>VLOOKUP(X2152,Sheet1!$J$5:$K$121,2,FALSE)</f>
        <v>4.7619047619047603E-2</v>
      </c>
    </row>
    <row r="2153" spans="1:25" x14ac:dyDescent="0.25">
      <c r="A2153" s="8">
        <f>[1]Data!A2153</f>
        <v>294900</v>
      </c>
      <c r="B2153" s="8">
        <f>[1]Data!B2153</f>
        <v>8</v>
      </c>
      <c r="C2153" s="8">
        <f>[1]Data!C2153</f>
        <v>15</v>
      </c>
      <c r="D2153" s="8">
        <f>[1]Data!D2153</f>
        <v>4</v>
      </c>
      <c r="E2153" s="8" t="str">
        <f>[1]Data!E2153</f>
        <v>NON-HS</v>
      </c>
      <c r="F2153" s="8" t="str">
        <f>[1]Data!F2153</f>
        <v>Wilmington</v>
      </c>
      <c r="G2153" s="8">
        <f>[1]Data!G2153</f>
        <v>0</v>
      </c>
      <c r="H2153" s="8">
        <f>[1]Data!H2153</f>
        <v>1</v>
      </c>
      <c r="I2153" s="8">
        <f>[1]Data!I2153</f>
        <v>3.0950000000000002</v>
      </c>
      <c r="J2153" s="8">
        <f>[1]Data!J2153</f>
        <v>1.9836996600000001</v>
      </c>
      <c r="K2153" s="8">
        <f>[1]Data!K2153</f>
        <v>2.9836996600000001</v>
      </c>
      <c r="L2153" s="8">
        <f>[1]Data!L2153</f>
        <v>0.11117260138240601</v>
      </c>
      <c r="M2153" s="8">
        <f>[1]Data!M2153</f>
        <v>3.09487226138241</v>
      </c>
      <c r="N2153" s="8">
        <f>[1]Data!N2153</f>
        <v>3.3333333333333298E-2</v>
      </c>
      <c r="O2153" s="8">
        <f>[1]Data!O2153</f>
        <v>0</v>
      </c>
      <c r="P2153" s="8">
        <f>[1]Data!P2153</f>
        <v>0.17499999999999999</v>
      </c>
      <c r="Q2153" s="8">
        <f>[1]Data!Q2153</f>
        <v>0.80769230769230804</v>
      </c>
      <c r="R2153" s="8">
        <f>[1]Data!R2153</f>
        <v>4.7619047619047603E-2</v>
      </c>
      <c r="S2153" s="8">
        <f>[1]Data!S2153</f>
        <v>21</v>
      </c>
      <c r="T2153">
        <f t="shared" si="165"/>
        <v>7.9365079365079305E-2</v>
      </c>
      <c r="U2153">
        <f t="shared" si="166"/>
        <v>12.60000000000001</v>
      </c>
      <c r="V2153" s="4" t="str">
        <f t="shared" si="167"/>
        <v>15</v>
      </c>
      <c r="W2153" s="4" t="str">
        <f t="shared" si="168"/>
        <v>8</v>
      </c>
      <c r="X2153" s="4" t="str">
        <f t="shared" si="169"/>
        <v>15NON-HS8</v>
      </c>
      <c r="Y2153">
        <f>VLOOKUP(X2153,Sheet1!$J$5:$K$121,2,FALSE)</f>
        <v>4.7619047619047603E-2</v>
      </c>
    </row>
    <row r="2154" spans="1:25" x14ac:dyDescent="0.25">
      <c r="A2154" s="8">
        <f>[1]Data!A2154</f>
        <v>296210</v>
      </c>
      <c r="B2154" s="8">
        <f>[1]Data!B2154</f>
        <v>8</v>
      </c>
      <c r="C2154" s="8">
        <f>[1]Data!C2154</f>
        <v>15</v>
      </c>
      <c r="D2154" s="8">
        <f>[1]Data!D2154</f>
        <v>4</v>
      </c>
      <c r="E2154" s="8" t="str">
        <f>[1]Data!E2154</f>
        <v>NON-HS</v>
      </c>
      <c r="F2154" s="8" t="str">
        <f>[1]Data!F2154</f>
        <v>San Pedro</v>
      </c>
      <c r="G2154" s="8">
        <f>[1]Data!G2154</f>
        <v>0</v>
      </c>
      <c r="H2154" s="8">
        <f>[1]Data!H2154</f>
        <v>0</v>
      </c>
      <c r="I2154" s="8">
        <f>[1]Data!I2154</f>
        <v>13.77</v>
      </c>
      <c r="J2154" s="8">
        <f>[1]Data!J2154</f>
        <v>10.0181212</v>
      </c>
      <c r="K2154" s="8">
        <f>[1]Data!K2154</f>
        <v>13.0181212</v>
      </c>
      <c r="L2154" s="8">
        <f>[1]Data!L2154</f>
        <v>0.75168673147217202</v>
      </c>
      <c r="M2154" s="8">
        <f>[1]Data!M2154</f>
        <v>13.769807931472201</v>
      </c>
      <c r="N2154" s="8">
        <f>[1]Data!N2154</f>
        <v>3.3333333333333298E-2</v>
      </c>
      <c r="O2154" s="8">
        <f>[1]Data!O2154</f>
        <v>0</v>
      </c>
      <c r="P2154" s="8">
        <f>[1]Data!P2154</f>
        <v>0.17499999999999999</v>
      </c>
      <c r="Q2154" s="8">
        <f>[1]Data!Q2154</f>
        <v>0.80769230769230804</v>
      </c>
      <c r="R2154" s="8">
        <f>[1]Data!R2154</f>
        <v>4.7619047619047603E-2</v>
      </c>
      <c r="S2154" s="8">
        <f>[1]Data!S2154</f>
        <v>0</v>
      </c>
      <c r="T2154">
        <f t="shared" si="165"/>
        <v>7.9365079365079305E-2</v>
      </c>
      <c r="U2154">
        <f t="shared" si="166"/>
        <v>0</v>
      </c>
      <c r="V2154" s="4" t="str">
        <f t="shared" si="167"/>
        <v>15</v>
      </c>
      <c r="W2154" s="4" t="str">
        <f t="shared" si="168"/>
        <v>8</v>
      </c>
      <c r="X2154" s="4" t="str">
        <f t="shared" si="169"/>
        <v>15NON-HS8</v>
      </c>
      <c r="Y2154">
        <f>VLOOKUP(X2154,Sheet1!$J$5:$K$121,2,FALSE)</f>
        <v>4.7619047619047603E-2</v>
      </c>
    </row>
    <row r="2155" spans="1:25" x14ac:dyDescent="0.25">
      <c r="A2155" s="8">
        <f>[1]Data!A2155</f>
        <v>296901</v>
      </c>
      <c r="B2155" s="8">
        <f>[1]Data!B2155</f>
        <v>8</v>
      </c>
      <c r="C2155" s="8">
        <f>[1]Data!C2155</f>
        <v>15</v>
      </c>
      <c r="D2155" s="8">
        <f>[1]Data!D2155</f>
        <v>4</v>
      </c>
      <c r="E2155" s="8" t="str">
        <f>[1]Data!E2155</f>
        <v>NON-HS</v>
      </c>
      <c r="F2155" s="8" t="str">
        <f>[1]Data!F2155</f>
        <v>San Pedro</v>
      </c>
      <c r="G2155" s="8">
        <f>[1]Data!G2155</f>
        <v>0</v>
      </c>
      <c r="H2155" s="8">
        <f>[1]Data!H2155</f>
        <v>0</v>
      </c>
      <c r="I2155" s="8">
        <f>[1]Data!I2155</f>
        <v>0</v>
      </c>
      <c r="J2155" s="8">
        <f>[1]Data!J2155</f>
        <v>0</v>
      </c>
      <c r="K2155" s="8">
        <f>[1]Data!K2155</f>
        <v>0</v>
      </c>
      <c r="L2155" s="8">
        <f>[1]Data!L2155</f>
        <v>0</v>
      </c>
      <c r="M2155" s="8">
        <f>[1]Data!M2155</f>
        <v>0</v>
      </c>
      <c r="N2155" s="8">
        <f>[1]Data!N2155</f>
        <v>3.3333333333333298E-2</v>
      </c>
      <c r="O2155" s="8">
        <f>[1]Data!O2155</f>
        <v>0</v>
      </c>
      <c r="P2155" s="8">
        <f>[1]Data!P2155</f>
        <v>0.17499999999999999</v>
      </c>
      <c r="Q2155" s="8">
        <f>[1]Data!Q2155</f>
        <v>0.80769230769230804</v>
      </c>
      <c r="R2155" s="8">
        <f>[1]Data!R2155</f>
        <v>4.7619047619047603E-2</v>
      </c>
      <c r="S2155" s="8">
        <f>[1]Data!S2155</f>
        <v>0</v>
      </c>
      <c r="T2155">
        <f t="shared" si="165"/>
        <v>7.9365079365079305E-2</v>
      </c>
      <c r="U2155">
        <f t="shared" si="166"/>
        <v>0</v>
      </c>
      <c r="V2155" s="4" t="str">
        <f t="shared" si="167"/>
        <v>15</v>
      </c>
      <c r="W2155" s="4" t="str">
        <f t="shared" si="168"/>
        <v>8</v>
      </c>
      <c r="X2155" s="4" t="str">
        <f t="shared" si="169"/>
        <v>15NON-HS8</v>
      </c>
      <c r="Y2155">
        <f>VLOOKUP(X2155,Sheet1!$J$5:$K$121,2,FALSE)</f>
        <v>4.7619047619047603E-2</v>
      </c>
    </row>
    <row r="2156" spans="1:25" x14ac:dyDescent="0.25">
      <c r="A2156" s="8">
        <f>[1]Data!A2156</f>
        <v>297000</v>
      </c>
      <c r="B2156" s="8">
        <f>[1]Data!B2156</f>
        <v>8</v>
      </c>
      <c r="C2156" s="8">
        <f>[1]Data!C2156</f>
        <v>15</v>
      </c>
      <c r="D2156" s="8">
        <f>[1]Data!D2156</f>
        <v>4</v>
      </c>
      <c r="E2156" s="8" t="str">
        <f>[1]Data!E2156</f>
        <v>NON-HS</v>
      </c>
      <c r="F2156" s="8" t="str">
        <f>[1]Data!F2156</f>
        <v>San Pedro</v>
      </c>
      <c r="G2156" s="8">
        <f>[1]Data!G2156</f>
        <v>0</v>
      </c>
      <c r="H2156" s="8">
        <f>[1]Data!H2156</f>
        <v>0</v>
      </c>
      <c r="I2156" s="8">
        <f>[1]Data!I2156</f>
        <v>0</v>
      </c>
      <c r="J2156" s="8">
        <f>[1]Data!J2156</f>
        <v>0</v>
      </c>
      <c r="K2156" s="8">
        <f>[1]Data!K2156</f>
        <v>0</v>
      </c>
      <c r="L2156" s="8">
        <f>[1]Data!L2156</f>
        <v>0</v>
      </c>
      <c r="M2156" s="8">
        <f>[1]Data!M2156</f>
        <v>0</v>
      </c>
      <c r="N2156" s="8">
        <f>[1]Data!N2156</f>
        <v>3.3333333333333298E-2</v>
      </c>
      <c r="O2156" s="8">
        <f>[1]Data!O2156</f>
        <v>0</v>
      </c>
      <c r="P2156" s="8">
        <f>[1]Data!P2156</f>
        <v>0.17499999999999999</v>
      </c>
      <c r="Q2156" s="8">
        <f>[1]Data!Q2156</f>
        <v>0.80769230769230804</v>
      </c>
      <c r="R2156" s="8">
        <f>[1]Data!R2156</f>
        <v>4.7619047619047603E-2</v>
      </c>
      <c r="S2156" s="8">
        <f>[1]Data!S2156</f>
        <v>0</v>
      </c>
      <c r="T2156">
        <f t="shared" si="165"/>
        <v>7.9365079365079305E-2</v>
      </c>
      <c r="U2156">
        <f t="shared" si="166"/>
        <v>0</v>
      </c>
      <c r="V2156" s="4" t="str">
        <f t="shared" si="167"/>
        <v>15</v>
      </c>
      <c r="W2156" s="4" t="str">
        <f t="shared" si="168"/>
        <v>8</v>
      </c>
      <c r="X2156" s="4" t="str">
        <f t="shared" si="169"/>
        <v>15NON-HS8</v>
      </c>
      <c r="Y2156">
        <f>VLOOKUP(X2156,Sheet1!$J$5:$K$121,2,FALSE)</f>
        <v>4.7619047619047603E-2</v>
      </c>
    </row>
    <row r="2157" spans="1:25" x14ac:dyDescent="0.25">
      <c r="A2157" s="8">
        <f>[1]Data!A2157</f>
        <v>297201</v>
      </c>
      <c r="B2157" s="8">
        <f>[1]Data!B2157</f>
        <v>8</v>
      </c>
      <c r="C2157" s="8">
        <f>[1]Data!C2157</f>
        <v>15</v>
      </c>
      <c r="D2157" s="8">
        <f>[1]Data!D2157</f>
        <v>4</v>
      </c>
      <c r="E2157" s="8" t="str">
        <f>[1]Data!E2157</f>
        <v>NON-HS</v>
      </c>
      <c r="F2157" s="8" t="str">
        <f>[1]Data!F2157</f>
        <v>San Pedro</v>
      </c>
      <c r="G2157" s="8">
        <f>[1]Data!G2157</f>
        <v>0</v>
      </c>
      <c r="H2157" s="8">
        <f>[1]Data!H2157</f>
        <v>0</v>
      </c>
      <c r="I2157" s="8">
        <f>[1]Data!I2157</f>
        <v>4</v>
      </c>
      <c r="J2157" s="8">
        <f>[1]Data!J2157</f>
        <v>0</v>
      </c>
      <c r="K2157" s="8">
        <f>[1]Data!K2157</f>
        <v>4</v>
      </c>
      <c r="L2157" s="8">
        <f>[1]Data!L2157</f>
        <v>0</v>
      </c>
      <c r="M2157" s="8">
        <f>[1]Data!M2157</f>
        <v>4</v>
      </c>
      <c r="N2157" s="8">
        <f>[1]Data!N2157</f>
        <v>3.3333333333333298E-2</v>
      </c>
      <c r="O2157" s="8">
        <f>[1]Data!O2157</f>
        <v>0</v>
      </c>
      <c r="P2157" s="8">
        <f>[1]Data!P2157</f>
        <v>0.17499999999999999</v>
      </c>
      <c r="Q2157" s="8">
        <f>[1]Data!Q2157</f>
        <v>0.80769230769230804</v>
      </c>
      <c r="R2157" s="8">
        <f>[1]Data!R2157</f>
        <v>4.7619047619047603E-2</v>
      </c>
      <c r="S2157" s="8">
        <f>[1]Data!S2157</f>
        <v>0</v>
      </c>
      <c r="T2157">
        <f t="shared" si="165"/>
        <v>7.9365079365079305E-2</v>
      </c>
      <c r="U2157">
        <f t="shared" si="166"/>
        <v>0</v>
      </c>
      <c r="V2157" s="4" t="str">
        <f t="shared" si="167"/>
        <v>15</v>
      </c>
      <c r="W2157" s="4" t="str">
        <f t="shared" si="168"/>
        <v>8</v>
      </c>
      <c r="X2157" s="4" t="str">
        <f t="shared" si="169"/>
        <v>15NON-HS8</v>
      </c>
      <c r="Y2157">
        <f>VLOOKUP(X2157,Sheet1!$J$5:$K$121,2,FALSE)</f>
        <v>4.7619047619047603E-2</v>
      </c>
    </row>
    <row r="2158" spans="1:25" x14ac:dyDescent="0.25">
      <c r="A2158" s="8">
        <f>[1]Data!A2158</f>
        <v>297300</v>
      </c>
      <c r="B2158" s="8">
        <f>[1]Data!B2158</f>
        <v>8</v>
      </c>
      <c r="C2158" s="8">
        <f>[1]Data!C2158</f>
        <v>15</v>
      </c>
      <c r="D2158" s="8">
        <f>[1]Data!D2158</f>
        <v>4</v>
      </c>
      <c r="E2158" s="8" t="str">
        <f>[1]Data!E2158</f>
        <v>NON-HS</v>
      </c>
      <c r="F2158" s="8" t="str">
        <f>[1]Data!F2158</f>
        <v>San Pedro</v>
      </c>
      <c r="G2158" s="8">
        <f>[1]Data!G2158</f>
        <v>0</v>
      </c>
      <c r="H2158" s="8">
        <f>[1]Data!H2158</f>
        <v>0</v>
      </c>
      <c r="I2158" s="8">
        <f>[1]Data!I2158</f>
        <v>0</v>
      </c>
      <c r="J2158" s="8">
        <f>[1]Data!J2158</f>
        <v>0</v>
      </c>
      <c r="K2158" s="8">
        <f>[1]Data!K2158</f>
        <v>0</v>
      </c>
      <c r="L2158" s="8">
        <f>[1]Data!L2158</f>
        <v>0</v>
      </c>
      <c r="M2158" s="8">
        <f>[1]Data!M2158</f>
        <v>0</v>
      </c>
      <c r="N2158" s="8">
        <f>[1]Data!N2158</f>
        <v>3.3333333333333298E-2</v>
      </c>
      <c r="O2158" s="8">
        <f>[1]Data!O2158</f>
        <v>0</v>
      </c>
      <c r="P2158" s="8">
        <f>[1]Data!P2158</f>
        <v>0.17499999999999999</v>
      </c>
      <c r="Q2158" s="8">
        <f>[1]Data!Q2158</f>
        <v>0.80769230769230804</v>
      </c>
      <c r="R2158" s="8">
        <f>[1]Data!R2158</f>
        <v>4.7619047619047603E-2</v>
      </c>
      <c r="S2158" s="8">
        <f>[1]Data!S2158</f>
        <v>0</v>
      </c>
      <c r="T2158">
        <f t="shared" si="165"/>
        <v>7.9365079365079305E-2</v>
      </c>
      <c r="U2158">
        <f t="shared" si="166"/>
        <v>0</v>
      </c>
      <c r="V2158" s="4" t="str">
        <f t="shared" si="167"/>
        <v>15</v>
      </c>
      <c r="W2158" s="4" t="str">
        <f t="shared" si="168"/>
        <v>8</v>
      </c>
      <c r="X2158" s="4" t="str">
        <f t="shared" si="169"/>
        <v>15NON-HS8</v>
      </c>
      <c r="Y2158">
        <f>VLOOKUP(X2158,Sheet1!$J$5:$K$121,2,FALSE)</f>
        <v>4.7619047619047603E-2</v>
      </c>
    </row>
    <row r="2159" spans="1:25" x14ac:dyDescent="0.25">
      <c r="A2159" s="8">
        <f>[1]Data!A2159</f>
        <v>297500</v>
      </c>
      <c r="B2159" s="8">
        <f>[1]Data!B2159</f>
        <v>8</v>
      </c>
      <c r="C2159" s="8">
        <f>[1]Data!C2159</f>
        <v>15</v>
      </c>
      <c r="D2159" s="8">
        <f>[1]Data!D2159</f>
        <v>4</v>
      </c>
      <c r="E2159" s="8" t="str">
        <f>[1]Data!E2159</f>
        <v>NON-HS</v>
      </c>
      <c r="F2159" s="8" t="str">
        <f>[1]Data!F2159</f>
        <v>San Pedro</v>
      </c>
      <c r="G2159" s="8">
        <f>[1]Data!G2159</f>
        <v>0</v>
      </c>
      <c r="H2159" s="8">
        <f>[1]Data!H2159</f>
        <v>0</v>
      </c>
      <c r="I2159" s="8">
        <f>[1]Data!I2159</f>
        <v>8.3789999999999996</v>
      </c>
      <c r="J2159" s="8">
        <f>[1]Data!J2159</f>
        <v>7.9347986400000003</v>
      </c>
      <c r="K2159" s="8">
        <f>[1]Data!K2159</f>
        <v>7.9347986400000003</v>
      </c>
      <c r="L2159" s="8">
        <f>[1]Data!L2159</f>
        <v>0.44469040552962302</v>
      </c>
      <c r="M2159" s="8">
        <f>[1]Data!M2159</f>
        <v>8.3794890455296205</v>
      </c>
      <c r="N2159" s="8">
        <f>[1]Data!N2159</f>
        <v>3.3333333333333298E-2</v>
      </c>
      <c r="O2159" s="8">
        <f>[1]Data!O2159</f>
        <v>0</v>
      </c>
      <c r="P2159" s="8">
        <f>[1]Data!P2159</f>
        <v>0.17499999999999999</v>
      </c>
      <c r="Q2159" s="8">
        <f>[1]Data!Q2159</f>
        <v>0.80769230769230804</v>
      </c>
      <c r="R2159" s="8">
        <f>[1]Data!R2159</f>
        <v>4.7619047619047603E-2</v>
      </c>
      <c r="S2159" s="8">
        <f>[1]Data!S2159</f>
        <v>0</v>
      </c>
      <c r="T2159">
        <f t="shared" si="165"/>
        <v>7.9365079365079305E-2</v>
      </c>
      <c r="U2159">
        <f t="shared" si="166"/>
        <v>0</v>
      </c>
      <c r="V2159" s="4" t="str">
        <f t="shared" si="167"/>
        <v>15</v>
      </c>
      <c r="W2159" s="4" t="str">
        <f t="shared" si="168"/>
        <v>8</v>
      </c>
      <c r="X2159" s="4" t="str">
        <f t="shared" si="169"/>
        <v>15NON-HS8</v>
      </c>
      <c r="Y2159">
        <f>VLOOKUP(X2159,Sheet1!$J$5:$K$121,2,FALSE)</f>
        <v>4.7619047619047603E-2</v>
      </c>
    </row>
    <row r="2160" spans="1:25" x14ac:dyDescent="0.25">
      <c r="A2160" s="8">
        <f>[1]Data!A2160</f>
        <v>297601</v>
      </c>
      <c r="B2160" s="8">
        <f>[1]Data!B2160</f>
        <v>8</v>
      </c>
      <c r="C2160" s="8">
        <f>[1]Data!C2160</f>
        <v>15</v>
      </c>
      <c r="D2160" s="8">
        <f>[1]Data!D2160</f>
        <v>4</v>
      </c>
      <c r="E2160" s="8" t="str">
        <f>[1]Data!E2160</f>
        <v>NON-HS</v>
      </c>
      <c r="F2160" s="8" t="str">
        <f>[1]Data!F2160</f>
        <v>San Pedro</v>
      </c>
      <c r="G2160" s="8">
        <f>[1]Data!G2160</f>
        <v>0</v>
      </c>
      <c r="H2160" s="8">
        <f>[1]Data!H2160</f>
        <v>0</v>
      </c>
      <c r="I2160" s="8">
        <f>[1]Data!I2160</f>
        <v>5.19</v>
      </c>
      <c r="J2160" s="8">
        <f>[1]Data!J2160</f>
        <v>3.9673993200000002</v>
      </c>
      <c r="K2160" s="8">
        <f>[1]Data!K2160</f>
        <v>4.9673993200000002</v>
      </c>
      <c r="L2160" s="8">
        <f>[1]Data!L2160</f>
        <v>0.22234520276481101</v>
      </c>
      <c r="M2160" s="8">
        <f>[1]Data!M2160</f>
        <v>5.1897445227648102</v>
      </c>
      <c r="N2160" s="8">
        <f>[1]Data!N2160</f>
        <v>3.3333333333333298E-2</v>
      </c>
      <c r="O2160" s="8">
        <f>[1]Data!O2160</f>
        <v>0</v>
      </c>
      <c r="P2160" s="8">
        <f>[1]Data!P2160</f>
        <v>0.17499999999999999</v>
      </c>
      <c r="Q2160" s="8">
        <f>[1]Data!Q2160</f>
        <v>0.80769230769230804</v>
      </c>
      <c r="R2160" s="8">
        <f>[1]Data!R2160</f>
        <v>4.7619047619047603E-2</v>
      </c>
      <c r="S2160" s="8">
        <f>[1]Data!S2160</f>
        <v>0</v>
      </c>
      <c r="T2160">
        <f t="shared" si="165"/>
        <v>7.9365079365079305E-2</v>
      </c>
      <c r="U2160">
        <f t="shared" si="166"/>
        <v>0</v>
      </c>
      <c r="V2160" s="4" t="str">
        <f t="shared" si="167"/>
        <v>15</v>
      </c>
      <c r="W2160" s="4" t="str">
        <f t="shared" si="168"/>
        <v>8</v>
      </c>
      <c r="X2160" s="4" t="str">
        <f t="shared" si="169"/>
        <v>15NON-HS8</v>
      </c>
      <c r="Y2160">
        <f>VLOOKUP(X2160,Sheet1!$J$5:$K$121,2,FALSE)</f>
        <v>4.7619047619047603E-2</v>
      </c>
    </row>
    <row r="2161" spans="1:25" x14ac:dyDescent="0.25">
      <c r="A2161" s="8">
        <f>[1]Data!A2161</f>
        <v>980031</v>
      </c>
      <c r="B2161" s="8">
        <f>[1]Data!B2161</f>
        <v>8</v>
      </c>
      <c r="C2161" s="8">
        <f>[1]Data!C2161</f>
        <v>15</v>
      </c>
      <c r="D2161" s="8">
        <f>[1]Data!D2161</f>
        <v>4</v>
      </c>
      <c r="E2161" s="8" t="str">
        <f>[1]Data!E2161</f>
        <v>NON-HS</v>
      </c>
      <c r="F2161" s="8" t="str">
        <f>[1]Data!F2161</f>
        <v>Wilmington</v>
      </c>
      <c r="G2161" s="8">
        <f>[1]Data!G2161</f>
        <v>0</v>
      </c>
      <c r="H2161" s="8">
        <f>[1]Data!H2161</f>
        <v>0</v>
      </c>
      <c r="I2161" s="8">
        <f>[1]Data!I2161</f>
        <v>10.474</v>
      </c>
      <c r="J2161" s="8">
        <f>[1]Data!J2161</f>
        <v>9.9184982999999995</v>
      </c>
      <c r="K2161" s="8">
        <f>[1]Data!K2161</f>
        <v>9.9184982999999995</v>
      </c>
      <c r="L2161" s="8">
        <f>[1]Data!L2161</f>
        <v>0.55586300691202895</v>
      </c>
      <c r="M2161" s="8">
        <f>[1]Data!M2161</f>
        <v>10.474361306912</v>
      </c>
      <c r="N2161" s="8">
        <f>[1]Data!N2161</f>
        <v>3.3333333333333298E-2</v>
      </c>
      <c r="O2161" s="8">
        <f>[1]Data!O2161</f>
        <v>0</v>
      </c>
      <c r="P2161" s="8">
        <f>[1]Data!P2161</f>
        <v>0.17499999999999999</v>
      </c>
      <c r="Q2161" s="8">
        <f>[1]Data!Q2161</f>
        <v>0.80769230769230804</v>
      </c>
      <c r="R2161" s="8">
        <f>[1]Data!R2161</f>
        <v>4.7619047619047603E-2</v>
      </c>
      <c r="S2161" s="8">
        <f>[1]Data!S2161</f>
        <v>0</v>
      </c>
      <c r="T2161">
        <f t="shared" si="165"/>
        <v>7.9365079365079305E-2</v>
      </c>
      <c r="U2161">
        <f t="shared" si="166"/>
        <v>0</v>
      </c>
      <c r="V2161" s="4" t="str">
        <f t="shared" si="167"/>
        <v>15</v>
      </c>
      <c r="W2161" s="4" t="str">
        <f t="shared" si="168"/>
        <v>8</v>
      </c>
      <c r="X2161" s="4" t="str">
        <f t="shared" si="169"/>
        <v>15NON-HS8</v>
      </c>
      <c r="Y2161">
        <f>VLOOKUP(X2161,Sheet1!$J$5:$K$121,2,FALSE)</f>
        <v>4.7619047619047603E-2</v>
      </c>
    </row>
    <row r="2163" spans="1:25" x14ac:dyDescent="0.25">
      <c r="G2163">
        <f>SUM(G2:G2161)</f>
        <v>293</v>
      </c>
      <c r="H2163">
        <f>SUM(H2:H2161)</f>
        <v>449</v>
      </c>
      <c r="I2163" s="6">
        <f>SUM(I2:I2161)</f>
        <v>36648.337000000087</v>
      </c>
      <c r="J2163" s="6">
        <f t="shared" ref="J2163:M2163" si="170">SUM(J2:J2161)</f>
        <v>25968.104934110055</v>
      </c>
      <c r="K2163" s="6">
        <f t="shared" si="170"/>
        <v>35555.104934110066</v>
      </c>
      <c r="L2163" s="6">
        <f t="shared" si="170"/>
        <v>1209.9226872434983</v>
      </c>
      <c r="M2163" s="6">
        <f t="shared" si="170"/>
        <v>36765.027621353714</v>
      </c>
      <c r="N2163">
        <f>SUM(N2:N2161)</f>
        <v>292.99999999999949</v>
      </c>
      <c r="O2163">
        <f>SUM(O2:O2161)</f>
        <v>2159.9999999999964</v>
      </c>
      <c r="R2163">
        <f>SUM(R2:R2161)</f>
        <v>156.00000000000031</v>
      </c>
      <c r="U2163" s="7">
        <f>SUM(U2:U2161)</f>
        <v>2375.209297858702</v>
      </c>
      <c r="V2163" s="7"/>
    </row>
    <row r="2164" spans="1:25" x14ac:dyDescent="0.25">
      <c r="R2164">
        <f>R2163+N2163</f>
        <v>448.99999999999977</v>
      </c>
    </row>
  </sheetData>
  <sortState ref="A2:S2165">
    <sortCondition ref="C2:C2165"/>
    <sortCondition ref="E2:E2165"/>
    <sortCondition ref="B2:B2165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2017-12-14T07:01:45Z</dcterms:modified>
</cp:coreProperties>
</file>